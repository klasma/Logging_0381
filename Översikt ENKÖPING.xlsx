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46004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46004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46004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46004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46004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46004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46004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46004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46004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46004</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46004</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46004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50105-2023</t>
        </is>
      </c>
      <c r="B14" s="1" t="n">
        <v>45215</v>
      </c>
      <c r="C14" s="1" t="n">
        <v>46004</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52092-2022</t>
        </is>
      </c>
      <c r="B15" s="1" t="n">
        <v>44873</v>
      </c>
      <c r="C15" s="1" t="n">
        <v>46004</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425-2024</t>
        </is>
      </c>
      <c r="B16" s="1" t="n">
        <v>45296</v>
      </c>
      <c r="C16" s="1" t="n">
        <v>46004</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46004</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46004</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46004</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46004</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46004</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1524-2023</t>
        </is>
      </c>
      <c r="B22" s="1" t="n">
        <v>44935</v>
      </c>
      <c r="C22" s="1" t="n">
        <v>46004</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Skogsduva</t>
        </is>
      </c>
      <c r="S22">
        <f>HYPERLINK("https://klasma.github.io/Logging_0381/artfynd/A 1524-2023 artfynd.xlsx", "A 1524-2023")</f>
        <v/>
      </c>
      <c r="T22">
        <f>HYPERLINK("https://klasma.github.io/Logging_0381/kartor/A 1524-2023 karta.png", "A 1524-2023")</f>
        <v/>
      </c>
      <c r="V22">
        <f>HYPERLINK("https://klasma.github.io/Logging_0381/klagomål/A 1524-2023 FSC-klagomål.docx", "A 1524-2023")</f>
        <v/>
      </c>
      <c r="W22">
        <f>HYPERLINK("https://klasma.github.io/Logging_0381/klagomålsmail/A 1524-2023 FSC-klagomål mail.docx", "A 1524-2023")</f>
        <v/>
      </c>
      <c r="X22">
        <f>HYPERLINK("https://klasma.github.io/Logging_0381/tillsyn/A 1524-2023 tillsynsbegäran.docx", "A 1524-2023")</f>
        <v/>
      </c>
      <c r="Y22">
        <f>HYPERLINK("https://klasma.github.io/Logging_0381/tillsynsmail/A 1524-2023 tillsynsbegäran mail.docx", "A 1524-2023")</f>
        <v/>
      </c>
      <c r="Z22">
        <f>HYPERLINK("https://klasma.github.io/Logging_0381/fåglar/A 1524-2023 prioriterade fågelarter.docx", "A 1524-2023")</f>
        <v/>
      </c>
    </row>
    <row r="23" ht="15" customHeight="1">
      <c r="A23" t="inlineStr">
        <is>
          <t>A 28900-2024</t>
        </is>
      </c>
      <c r="B23" s="1" t="n">
        <v>45480</v>
      </c>
      <c r="C23" s="1" t="n">
        <v>46004</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17942-2024</t>
        </is>
      </c>
      <c r="B24" s="1" t="n">
        <v>45419</v>
      </c>
      <c r="C24" s="1" t="n">
        <v>46004</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46749-2024</t>
        </is>
      </c>
      <c r="B25" s="1" t="n">
        <v>45583.48347222222</v>
      </c>
      <c r="C25" s="1" t="n">
        <v>46004</v>
      </c>
      <c r="D25" t="inlineStr">
        <is>
          <t>UPPSALA LÄN</t>
        </is>
      </c>
      <c r="E25" t="inlineStr">
        <is>
          <t>ENKÖPING</t>
        </is>
      </c>
      <c r="G25" t="n">
        <v>8.5</v>
      </c>
      <c r="H25" t="n">
        <v>0</v>
      </c>
      <c r="I25" t="n">
        <v>0</v>
      </c>
      <c r="J25" t="n">
        <v>1</v>
      </c>
      <c r="K25" t="n">
        <v>0</v>
      </c>
      <c r="L25" t="n">
        <v>0</v>
      </c>
      <c r="M25" t="n">
        <v>0</v>
      </c>
      <c r="N25" t="n">
        <v>0</v>
      </c>
      <c r="O25" t="n">
        <v>1</v>
      </c>
      <c r="P25" t="n">
        <v>0</v>
      </c>
      <c r="Q25" t="n">
        <v>1</v>
      </c>
      <c r="R25" s="2" t="inlineStr">
        <is>
          <t>Leptoporus erubescens</t>
        </is>
      </c>
      <c r="S25">
        <f>HYPERLINK("https://klasma.github.io/Logging_0381/artfynd/A 46749-2024 artfynd.xlsx", "A 46749-2024")</f>
        <v/>
      </c>
      <c r="T25">
        <f>HYPERLINK("https://klasma.github.io/Logging_0381/kartor/A 46749-2024 karta.png", "A 46749-2024")</f>
        <v/>
      </c>
      <c r="V25">
        <f>HYPERLINK("https://klasma.github.io/Logging_0381/klagomål/A 46749-2024 FSC-klagomål.docx", "A 46749-2024")</f>
        <v/>
      </c>
      <c r="W25">
        <f>HYPERLINK("https://klasma.github.io/Logging_0381/klagomålsmail/A 46749-2024 FSC-klagomål mail.docx", "A 46749-2024")</f>
        <v/>
      </c>
      <c r="X25">
        <f>HYPERLINK("https://klasma.github.io/Logging_0381/tillsyn/A 46749-2024 tillsynsbegäran.docx", "A 46749-2024")</f>
        <v/>
      </c>
      <c r="Y25">
        <f>HYPERLINK("https://klasma.github.io/Logging_0381/tillsynsmail/A 46749-2024 tillsynsbegäran mail.docx", "A 46749-2024")</f>
        <v/>
      </c>
    </row>
    <row r="26" ht="15" customHeight="1">
      <c r="A26" t="inlineStr">
        <is>
          <t>A 45116-2023</t>
        </is>
      </c>
      <c r="B26" s="1" t="n">
        <v>45191</v>
      </c>
      <c r="C26" s="1" t="n">
        <v>46004</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23961-2022</t>
        </is>
      </c>
      <c r="B27" s="1" t="n">
        <v>44722</v>
      </c>
      <c r="C27" s="1" t="n">
        <v>46004</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33339-2024</t>
        </is>
      </c>
      <c r="B28" s="1" t="n">
        <v>45519</v>
      </c>
      <c r="C28" s="1" t="n">
        <v>46004</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29510-2025</t>
        </is>
      </c>
      <c r="B29" s="1" t="n">
        <v>45825</v>
      </c>
      <c r="C29" s="1" t="n">
        <v>46004</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26347-2025</t>
        </is>
      </c>
      <c r="B30" s="1" t="n">
        <v>45805.7403125</v>
      </c>
      <c r="C30" s="1" t="n">
        <v>46004</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46004</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52439-2025</t>
        </is>
      </c>
      <c r="B32" s="1" t="n">
        <v>45954.40697916667</v>
      </c>
      <c r="C32" s="1" t="n">
        <v>46004</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16683-2021</t>
        </is>
      </c>
      <c r="B33" s="1" t="n">
        <v>44294.58495370371</v>
      </c>
      <c r="C33" s="1" t="n">
        <v>46004</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46004</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46004</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46004</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46004</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46004</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46004</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46004</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46004</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46004</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46004</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46004</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46004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46004</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46004</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46004</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46004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46004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46004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46004</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46004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46004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46004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48233-2022</t>
        </is>
      </c>
      <c r="B56" s="1" t="n">
        <v>44858.45300925926</v>
      </c>
      <c r="C56" s="1" t="n">
        <v>46004</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46004</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46004</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46004</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29425-2022</t>
        </is>
      </c>
      <c r="B60" s="1" t="n">
        <v>44753.47837962963</v>
      </c>
      <c r="C60" s="1" t="n">
        <v>46004</v>
      </c>
      <c r="D60" t="inlineStr">
        <is>
          <t>UPPSALA LÄN</t>
        </is>
      </c>
      <c r="E60" t="inlineStr">
        <is>
          <t>ENKÖPING</t>
        </is>
      </c>
      <c r="G60" t="n">
        <v>2.5</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46004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46004</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52896-2022</t>
        </is>
      </c>
      <c r="B63" s="1" t="n">
        <v>44875.5665625</v>
      </c>
      <c r="C63" s="1" t="n">
        <v>46004</v>
      </c>
      <c r="D63" t="inlineStr">
        <is>
          <t>UPPSALA LÄN</t>
        </is>
      </c>
      <c r="E63" t="inlineStr">
        <is>
          <t>ENKÖPING</t>
        </is>
      </c>
      <c r="G63" t="n">
        <v>0.8</v>
      </c>
      <c r="H63" t="n">
        <v>0</v>
      </c>
      <c r="I63" t="n">
        <v>0</v>
      </c>
      <c r="J63" t="n">
        <v>0</v>
      </c>
      <c r="K63" t="n">
        <v>0</v>
      </c>
      <c r="L63" t="n">
        <v>0</v>
      </c>
      <c r="M63" t="n">
        <v>0</v>
      </c>
      <c r="N63" t="n">
        <v>0</v>
      </c>
      <c r="O63" t="n">
        <v>0</v>
      </c>
      <c r="P63" t="n">
        <v>0</v>
      </c>
      <c r="Q63" t="n">
        <v>0</v>
      </c>
      <c r="R63" s="2" t="inlineStr"/>
    </row>
    <row r="64" ht="15" customHeight="1">
      <c r="A64" t="inlineStr">
        <is>
          <t>A 29435-2022</t>
        </is>
      </c>
      <c r="B64" s="1" t="n">
        <v>44753.49215277778</v>
      </c>
      <c r="C64" s="1" t="n">
        <v>46004</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4775-2021</t>
        </is>
      </c>
      <c r="B65" s="1" t="n">
        <v>44225</v>
      </c>
      <c r="C65" s="1" t="n">
        <v>46004</v>
      </c>
      <c r="D65" t="inlineStr">
        <is>
          <t>UPPSALA LÄN</t>
        </is>
      </c>
      <c r="E65" t="inlineStr">
        <is>
          <t>ENKÖPING</t>
        </is>
      </c>
      <c r="F65" t="inlineStr">
        <is>
          <t>Allmännings- och besparingsskogar</t>
        </is>
      </c>
      <c r="G65" t="n">
        <v>3.5</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46004</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2680-2022</t>
        </is>
      </c>
      <c r="B67" s="1" t="n">
        <v>44580</v>
      </c>
      <c r="C67" s="1" t="n">
        <v>46004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46004</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3861-2022</t>
        </is>
      </c>
      <c r="B69" s="1" t="n">
        <v>44587</v>
      </c>
      <c r="C69" s="1" t="n">
        <v>46004</v>
      </c>
      <c r="D69" t="inlineStr">
        <is>
          <t>UPPSALA LÄN</t>
        </is>
      </c>
      <c r="E69" t="inlineStr">
        <is>
          <t>ENKÖPING</t>
        </is>
      </c>
      <c r="G69" t="n">
        <v>0.5</v>
      </c>
      <c r="H69" t="n">
        <v>0</v>
      </c>
      <c r="I69" t="n">
        <v>0</v>
      </c>
      <c r="J69" t="n">
        <v>0</v>
      </c>
      <c r="K69" t="n">
        <v>0</v>
      </c>
      <c r="L69" t="n">
        <v>0</v>
      </c>
      <c r="M69" t="n">
        <v>0</v>
      </c>
      <c r="N69" t="n">
        <v>0</v>
      </c>
      <c r="O69" t="n">
        <v>0</v>
      </c>
      <c r="P69" t="n">
        <v>0</v>
      </c>
      <c r="Q69" t="n">
        <v>0</v>
      </c>
      <c r="R69" s="2" t="inlineStr"/>
    </row>
    <row r="70" ht="15" customHeight="1">
      <c r="A70" t="inlineStr">
        <is>
          <t>A 1965-2022</t>
        </is>
      </c>
      <c r="B70" s="1" t="n">
        <v>44575</v>
      </c>
      <c r="C70" s="1" t="n">
        <v>46004</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37410-2022</t>
        </is>
      </c>
      <c r="B71" s="1" t="n">
        <v>44809</v>
      </c>
      <c r="C71" s="1" t="n">
        <v>46004</v>
      </c>
      <c r="D71" t="inlineStr">
        <is>
          <t>UPPSALA LÄN</t>
        </is>
      </c>
      <c r="E71" t="inlineStr">
        <is>
          <t>ENKÖPING</t>
        </is>
      </c>
      <c r="G71" t="n">
        <v>3.6</v>
      </c>
      <c r="H71" t="n">
        <v>0</v>
      </c>
      <c r="I71" t="n">
        <v>0</v>
      </c>
      <c r="J71" t="n">
        <v>0</v>
      </c>
      <c r="K71" t="n">
        <v>0</v>
      </c>
      <c r="L71" t="n">
        <v>0</v>
      </c>
      <c r="M71" t="n">
        <v>0</v>
      </c>
      <c r="N71" t="n">
        <v>0</v>
      </c>
      <c r="O71" t="n">
        <v>0</v>
      </c>
      <c r="P71" t="n">
        <v>0</v>
      </c>
      <c r="Q71" t="n">
        <v>0</v>
      </c>
      <c r="R71" s="2" t="inlineStr"/>
    </row>
    <row r="72" ht="15" customHeight="1">
      <c r="A72" t="inlineStr">
        <is>
          <t>A 12732-2021</t>
        </is>
      </c>
      <c r="B72" s="1" t="n">
        <v>44270.62864583333</v>
      </c>
      <c r="C72" s="1" t="n">
        <v>46004</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14839-2021</t>
        </is>
      </c>
      <c r="B73" s="1" t="n">
        <v>44280</v>
      </c>
      <c r="C73" s="1" t="n">
        <v>46004</v>
      </c>
      <c r="D73" t="inlineStr">
        <is>
          <t>UPPSALA LÄN</t>
        </is>
      </c>
      <c r="E73" t="inlineStr">
        <is>
          <t>ENKÖPING</t>
        </is>
      </c>
      <c r="G73" t="n">
        <v>11.4</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46004</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67713-2020</t>
        </is>
      </c>
      <c r="B75" s="1" t="n">
        <v>44182</v>
      </c>
      <c r="C75" s="1" t="n">
        <v>46004</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1979-2022</t>
        </is>
      </c>
      <c r="B76" s="1" t="n">
        <v>44575</v>
      </c>
      <c r="C76" s="1" t="n">
        <v>46004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40773-2022</t>
        </is>
      </c>
      <c r="B77" s="1" t="n">
        <v>44824.61237268519</v>
      </c>
      <c r="C77" s="1" t="n">
        <v>46004</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15997-2021</t>
        </is>
      </c>
      <c r="B78" s="1" t="n">
        <v>44287</v>
      </c>
      <c r="C78" s="1" t="n">
        <v>46004</v>
      </c>
      <c r="D78" t="inlineStr">
        <is>
          <t>UPPSALA LÄN</t>
        </is>
      </c>
      <c r="E78" t="inlineStr">
        <is>
          <t>ENKÖPING</t>
        </is>
      </c>
      <c r="G78" t="n">
        <v>1.2</v>
      </c>
      <c r="H78" t="n">
        <v>0</v>
      </c>
      <c r="I78" t="n">
        <v>0</v>
      </c>
      <c r="J78" t="n">
        <v>0</v>
      </c>
      <c r="K78" t="n">
        <v>0</v>
      </c>
      <c r="L78" t="n">
        <v>0</v>
      </c>
      <c r="M78" t="n">
        <v>0</v>
      </c>
      <c r="N78" t="n">
        <v>0</v>
      </c>
      <c r="O78" t="n">
        <v>0</v>
      </c>
      <c r="P78" t="n">
        <v>0</v>
      </c>
      <c r="Q78" t="n">
        <v>0</v>
      </c>
      <c r="R78" s="2" t="inlineStr"/>
    </row>
    <row r="79" ht="15" customHeight="1">
      <c r="A79" t="inlineStr">
        <is>
          <t>A 28795-2021</t>
        </is>
      </c>
      <c r="B79" s="1" t="n">
        <v>44357</v>
      </c>
      <c r="C79" s="1" t="n">
        <v>46004</v>
      </c>
      <c r="D79" t="inlineStr">
        <is>
          <t>UPPSALA LÄN</t>
        </is>
      </c>
      <c r="E79" t="inlineStr">
        <is>
          <t>ENKÖPING</t>
        </is>
      </c>
      <c r="F79" t="inlineStr">
        <is>
          <t>Allmännings- och besparingsskogar</t>
        </is>
      </c>
      <c r="G79" t="n">
        <v>2.8</v>
      </c>
      <c r="H79" t="n">
        <v>0</v>
      </c>
      <c r="I79" t="n">
        <v>0</v>
      </c>
      <c r="J79" t="n">
        <v>0</v>
      </c>
      <c r="K79" t="n">
        <v>0</v>
      </c>
      <c r="L79" t="n">
        <v>0</v>
      </c>
      <c r="M79" t="n">
        <v>0</v>
      </c>
      <c r="N79" t="n">
        <v>0</v>
      </c>
      <c r="O79" t="n">
        <v>0</v>
      </c>
      <c r="P79" t="n">
        <v>0</v>
      </c>
      <c r="Q79" t="n">
        <v>0</v>
      </c>
      <c r="R79" s="2" t="inlineStr"/>
    </row>
    <row r="80" ht="15" customHeight="1">
      <c r="A80" t="inlineStr">
        <is>
          <t>A 52014-2021</t>
        </is>
      </c>
      <c r="B80" s="1" t="n">
        <v>44463.3425462963</v>
      </c>
      <c r="C80" s="1" t="n">
        <v>46004</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17264-2021</t>
        </is>
      </c>
      <c r="B81" s="1" t="n">
        <v>44298.56068287037</v>
      </c>
      <c r="C81" s="1" t="n">
        <v>46004</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17268-2021</t>
        </is>
      </c>
      <c r="B82" s="1" t="n">
        <v>44298.56302083333</v>
      </c>
      <c r="C82" s="1" t="n">
        <v>46004</v>
      </c>
      <c r="D82" t="inlineStr">
        <is>
          <t>UPPSALA LÄN</t>
        </is>
      </c>
      <c r="E82" t="inlineStr">
        <is>
          <t>ENKÖPING</t>
        </is>
      </c>
      <c r="G82" t="n">
        <v>0.4</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46004</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46004</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48230-2022</t>
        </is>
      </c>
      <c r="B85" s="1" t="n">
        <v>44858.45100694444</v>
      </c>
      <c r="C85" s="1" t="n">
        <v>46004</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60874-2021</t>
        </is>
      </c>
      <c r="B86" s="1" t="n">
        <v>44497</v>
      </c>
      <c r="C86" s="1" t="n">
        <v>46004</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14531-2022</t>
        </is>
      </c>
      <c r="B87" s="1" t="n">
        <v>44655</v>
      </c>
      <c r="C87" s="1" t="n">
        <v>46004</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46004</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69791-2021</t>
        </is>
      </c>
      <c r="B89" s="1" t="n">
        <v>44532</v>
      </c>
      <c r="C89" s="1" t="n">
        <v>46004</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46004</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46004</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46004</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57055-2021</t>
        </is>
      </c>
      <c r="B93" s="1" t="n">
        <v>44482.55201388889</v>
      </c>
      <c r="C93" s="1" t="n">
        <v>46004</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46004</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46004</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46004</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46004</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46004</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46004</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46004</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46004</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1971-2022</t>
        </is>
      </c>
      <c r="B102" s="1" t="n">
        <v>44575</v>
      </c>
      <c r="C102" s="1" t="n">
        <v>46004</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20067-2021</t>
        </is>
      </c>
      <c r="B103" s="1" t="n">
        <v>44314</v>
      </c>
      <c r="C103" s="1" t="n">
        <v>46004</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46004</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46004</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17467-2022</t>
        </is>
      </c>
      <c r="B106" s="1" t="n">
        <v>44679</v>
      </c>
      <c r="C106" s="1" t="n">
        <v>46004</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46004</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15942-2022</t>
        </is>
      </c>
      <c r="B108" s="1" t="n">
        <v>44664</v>
      </c>
      <c r="C108" s="1" t="n">
        <v>46004</v>
      </c>
      <c r="D108" t="inlineStr">
        <is>
          <t>UPPSALA LÄN</t>
        </is>
      </c>
      <c r="E108" t="inlineStr">
        <is>
          <t>ENKÖPING</t>
        </is>
      </c>
      <c r="G108" t="n">
        <v>6.6</v>
      </c>
      <c r="H108" t="n">
        <v>0</v>
      </c>
      <c r="I108" t="n">
        <v>0</v>
      </c>
      <c r="J108" t="n">
        <v>0</v>
      </c>
      <c r="K108" t="n">
        <v>0</v>
      </c>
      <c r="L108" t="n">
        <v>0</v>
      </c>
      <c r="M108" t="n">
        <v>0</v>
      </c>
      <c r="N108" t="n">
        <v>0</v>
      </c>
      <c r="O108" t="n">
        <v>0</v>
      </c>
      <c r="P108" t="n">
        <v>0</v>
      </c>
      <c r="Q108" t="n">
        <v>0</v>
      </c>
      <c r="R108" s="2" t="inlineStr"/>
    </row>
    <row r="109" ht="15" customHeight="1">
      <c r="A109" t="inlineStr">
        <is>
          <t>A 2974-2025</t>
        </is>
      </c>
      <c r="B109" s="1" t="n">
        <v>45678.47168981482</v>
      </c>
      <c r="C109" s="1" t="n">
        <v>46004</v>
      </c>
      <c r="D109" t="inlineStr">
        <is>
          <t>UPPSALA LÄN</t>
        </is>
      </c>
      <c r="E109" t="inlineStr">
        <is>
          <t>ENKÖPING</t>
        </is>
      </c>
      <c r="G109" t="n">
        <v>1.6</v>
      </c>
      <c r="H109" t="n">
        <v>0</v>
      </c>
      <c r="I109" t="n">
        <v>0</v>
      </c>
      <c r="J109" t="n">
        <v>0</v>
      </c>
      <c r="K109" t="n">
        <v>0</v>
      </c>
      <c r="L109" t="n">
        <v>0</v>
      </c>
      <c r="M109" t="n">
        <v>0</v>
      </c>
      <c r="N109" t="n">
        <v>0</v>
      </c>
      <c r="O109" t="n">
        <v>0</v>
      </c>
      <c r="P109" t="n">
        <v>0</v>
      </c>
      <c r="Q109" t="n">
        <v>0</v>
      </c>
      <c r="R109" s="2" t="inlineStr"/>
    </row>
    <row r="110" ht="15" customHeight="1">
      <c r="A110" t="inlineStr">
        <is>
          <t>A 13816-2021</t>
        </is>
      </c>
      <c r="B110" s="1" t="n">
        <v>44276</v>
      </c>
      <c r="C110" s="1" t="n">
        <v>46004</v>
      </c>
      <c r="D110" t="inlineStr">
        <is>
          <t>UPPSALA LÄN</t>
        </is>
      </c>
      <c r="E110" t="inlineStr">
        <is>
          <t>ENKÖPING</t>
        </is>
      </c>
      <c r="G110" t="n">
        <v>0.4</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46004</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27786-2023</t>
        </is>
      </c>
      <c r="B112" s="1" t="n">
        <v>45098</v>
      </c>
      <c r="C112" s="1" t="n">
        <v>46004</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48864-2022</t>
        </is>
      </c>
      <c r="B113" s="1" t="n">
        <v>44859</v>
      </c>
      <c r="C113" s="1" t="n">
        <v>46004</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6242-2025</t>
        </is>
      </c>
      <c r="B114" s="1" t="n">
        <v>45697</v>
      </c>
      <c r="C114" s="1" t="n">
        <v>46004</v>
      </c>
      <c r="D114" t="inlineStr">
        <is>
          <t>UPPSALA LÄN</t>
        </is>
      </c>
      <c r="E114" t="inlineStr">
        <is>
          <t>ENKÖPING</t>
        </is>
      </c>
      <c r="G114" t="n">
        <v>17.9</v>
      </c>
      <c r="H114" t="n">
        <v>0</v>
      </c>
      <c r="I114" t="n">
        <v>0</v>
      </c>
      <c r="J114" t="n">
        <v>0</v>
      </c>
      <c r="K114" t="n">
        <v>0</v>
      </c>
      <c r="L114" t="n">
        <v>0</v>
      </c>
      <c r="M114" t="n">
        <v>0</v>
      </c>
      <c r="N114" t="n">
        <v>0</v>
      </c>
      <c r="O114" t="n">
        <v>0</v>
      </c>
      <c r="P114" t="n">
        <v>0</v>
      </c>
      <c r="Q114" t="n">
        <v>0</v>
      </c>
      <c r="R114" s="2" t="inlineStr"/>
    </row>
    <row r="115" ht="15" customHeight="1">
      <c r="A115" t="inlineStr">
        <is>
          <t>A 42459-2024</t>
        </is>
      </c>
      <c r="B115" s="1" t="n">
        <v>45565</v>
      </c>
      <c r="C115" s="1" t="n">
        <v>46004</v>
      </c>
      <c r="D115" t="inlineStr">
        <is>
          <t>UPPSALA LÄN</t>
        </is>
      </c>
      <c r="E115" t="inlineStr">
        <is>
          <t>ENKÖPING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60125-2024</t>
        </is>
      </c>
      <c r="B116" s="1" t="n">
        <v>45642</v>
      </c>
      <c r="C116" s="1" t="n">
        <v>46004</v>
      </c>
      <c r="D116" t="inlineStr">
        <is>
          <t>UPPSALA LÄN</t>
        </is>
      </c>
      <c r="E116" t="inlineStr">
        <is>
          <t>ENKÖPING</t>
        </is>
      </c>
      <c r="G116" t="n">
        <v>2.1</v>
      </c>
      <c r="H116" t="n">
        <v>0</v>
      </c>
      <c r="I116" t="n">
        <v>0</v>
      </c>
      <c r="J116" t="n">
        <v>0</v>
      </c>
      <c r="K116" t="n">
        <v>0</v>
      </c>
      <c r="L116" t="n">
        <v>0</v>
      </c>
      <c r="M116" t="n">
        <v>0</v>
      </c>
      <c r="N116" t="n">
        <v>0</v>
      </c>
      <c r="O116" t="n">
        <v>0</v>
      </c>
      <c r="P116" t="n">
        <v>0</v>
      </c>
      <c r="Q116" t="n">
        <v>0</v>
      </c>
      <c r="R116" s="2" t="inlineStr"/>
    </row>
    <row r="117" ht="15" customHeight="1">
      <c r="A117" t="inlineStr">
        <is>
          <t>A 10468-2025</t>
        </is>
      </c>
      <c r="B117" s="1" t="n">
        <v>45720</v>
      </c>
      <c r="C117" s="1" t="n">
        <v>46004</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12434-2021</t>
        </is>
      </c>
      <c r="B118" s="1" t="n">
        <v>44267</v>
      </c>
      <c r="C118" s="1" t="n">
        <v>46004</v>
      </c>
      <c r="D118" t="inlineStr">
        <is>
          <t>UPPSALA LÄN</t>
        </is>
      </c>
      <c r="E118" t="inlineStr">
        <is>
          <t>ENKÖPING</t>
        </is>
      </c>
      <c r="G118" t="n">
        <v>5.3</v>
      </c>
      <c r="H118" t="n">
        <v>0</v>
      </c>
      <c r="I118" t="n">
        <v>0</v>
      </c>
      <c r="J118" t="n">
        <v>0</v>
      </c>
      <c r="K118" t="n">
        <v>0</v>
      </c>
      <c r="L118" t="n">
        <v>0</v>
      </c>
      <c r="M118" t="n">
        <v>0</v>
      </c>
      <c r="N118" t="n">
        <v>0</v>
      </c>
      <c r="O118" t="n">
        <v>0</v>
      </c>
      <c r="P118" t="n">
        <v>0</v>
      </c>
      <c r="Q118" t="n">
        <v>0</v>
      </c>
      <c r="R118" s="2" t="inlineStr"/>
    </row>
    <row r="119" ht="15" customHeight="1">
      <c r="A119" t="inlineStr">
        <is>
          <t>A 49614-2024</t>
        </is>
      </c>
      <c r="B119" s="1" t="n">
        <v>45596.57716435185</v>
      </c>
      <c r="C119" s="1" t="n">
        <v>46004</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49632-2024</t>
        </is>
      </c>
      <c r="B120" s="1" t="n">
        <v>45596</v>
      </c>
      <c r="C120" s="1" t="n">
        <v>46004</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24815-2022</t>
        </is>
      </c>
      <c r="B121" s="1" t="n">
        <v>44728</v>
      </c>
      <c r="C121" s="1" t="n">
        <v>46004</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57078-2021</t>
        </is>
      </c>
      <c r="B122" s="1" t="n">
        <v>44482.57855324074</v>
      </c>
      <c r="C122" s="1" t="n">
        <v>46004</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5211-2024</t>
        </is>
      </c>
      <c r="B123" s="1" t="n">
        <v>45330</v>
      </c>
      <c r="C123" s="1" t="n">
        <v>46004</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49063-2024</t>
        </is>
      </c>
      <c r="B124" s="1" t="n">
        <v>45594.59869212963</v>
      </c>
      <c r="C124" s="1" t="n">
        <v>46004</v>
      </c>
      <c r="D124" t="inlineStr">
        <is>
          <t>UPPSALA LÄN</t>
        </is>
      </c>
      <c r="E124" t="inlineStr">
        <is>
          <t>ENKÖPING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10409-2025</t>
        </is>
      </c>
      <c r="B125" s="1" t="n">
        <v>45720.631875</v>
      </c>
      <c r="C125" s="1" t="n">
        <v>46004</v>
      </c>
      <c r="D125" t="inlineStr">
        <is>
          <t>UPPSALA LÄN</t>
        </is>
      </c>
      <c r="E125" t="inlineStr">
        <is>
          <t>ENKÖPING</t>
        </is>
      </c>
      <c r="G125" t="n">
        <v>2.2</v>
      </c>
      <c r="H125" t="n">
        <v>0</v>
      </c>
      <c r="I125" t="n">
        <v>0</v>
      </c>
      <c r="J125" t="n">
        <v>0</v>
      </c>
      <c r="K125" t="n">
        <v>0</v>
      </c>
      <c r="L125" t="n">
        <v>0</v>
      </c>
      <c r="M125" t="n">
        <v>0</v>
      </c>
      <c r="N125" t="n">
        <v>0</v>
      </c>
      <c r="O125" t="n">
        <v>0</v>
      </c>
      <c r="P125" t="n">
        <v>0</v>
      </c>
      <c r="Q125" t="n">
        <v>0</v>
      </c>
      <c r="R125" s="2" t="inlineStr"/>
    </row>
    <row r="126" ht="15" customHeight="1">
      <c r="A126" t="inlineStr">
        <is>
          <t>A 13853-2023</t>
        </is>
      </c>
      <c r="B126" s="1" t="n">
        <v>45007</v>
      </c>
      <c r="C126" s="1" t="n">
        <v>46004</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29479-2022</t>
        </is>
      </c>
      <c r="B127" s="1" t="n">
        <v>44753.57265046296</v>
      </c>
      <c r="C127" s="1" t="n">
        <v>46004</v>
      </c>
      <c r="D127" t="inlineStr">
        <is>
          <t>UPPSALA LÄN</t>
        </is>
      </c>
      <c r="E127" t="inlineStr">
        <is>
          <t>ENKÖPING</t>
        </is>
      </c>
      <c r="G127" t="n">
        <v>0.9</v>
      </c>
      <c r="H127" t="n">
        <v>0</v>
      </c>
      <c r="I127" t="n">
        <v>0</v>
      </c>
      <c r="J127" t="n">
        <v>0</v>
      </c>
      <c r="K127" t="n">
        <v>0</v>
      </c>
      <c r="L127" t="n">
        <v>0</v>
      </c>
      <c r="M127" t="n">
        <v>0</v>
      </c>
      <c r="N127" t="n">
        <v>0</v>
      </c>
      <c r="O127" t="n">
        <v>0</v>
      </c>
      <c r="P127" t="n">
        <v>0</v>
      </c>
      <c r="Q127" t="n">
        <v>0</v>
      </c>
      <c r="R127" s="2" t="inlineStr"/>
    </row>
    <row r="128" ht="15" customHeight="1">
      <c r="A128" t="inlineStr">
        <is>
          <t>A 18299-2025</t>
        </is>
      </c>
      <c r="B128" s="1" t="n">
        <v>45762</v>
      </c>
      <c r="C128" s="1" t="n">
        <v>46004</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67765-2020</t>
        </is>
      </c>
      <c r="B129" s="1" t="n">
        <v>44182</v>
      </c>
      <c r="C129" s="1" t="n">
        <v>46004</v>
      </c>
      <c r="D129" t="inlineStr">
        <is>
          <t>UPPSALA LÄN</t>
        </is>
      </c>
      <c r="E129" t="inlineStr">
        <is>
          <t>ENKÖPING</t>
        </is>
      </c>
      <c r="G129" t="n">
        <v>3.6</v>
      </c>
      <c r="H129" t="n">
        <v>0</v>
      </c>
      <c r="I129" t="n">
        <v>0</v>
      </c>
      <c r="J129" t="n">
        <v>0</v>
      </c>
      <c r="K129" t="n">
        <v>0</v>
      </c>
      <c r="L129" t="n">
        <v>0</v>
      </c>
      <c r="M129" t="n">
        <v>0</v>
      </c>
      <c r="N129" t="n">
        <v>0</v>
      </c>
      <c r="O129" t="n">
        <v>0</v>
      </c>
      <c r="P129" t="n">
        <v>0</v>
      </c>
      <c r="Q129" t="n">
        <v>0</v>
      </c>
      <c r="R129" s="2" t="inlineStr"/>
    </row>
    <row r="130" ht="15" customHeight="1">
      <c r="A130" t="inlineStr">
        <is>
          <t>A 21686-2022</t>
        </is>
      </c>
      <c r="B130" s="1" t="n">
        <v>44707</v>
      </c>
      <c r="C130" s="1" t="n">
        <v>46004</v>
      </c>
      <c r="D130" t="inlineStr">
        <is>
          <t>UPPSALA LÄN</t>
        </is>
      </c>
      <c r="E130" t="inlineStr">
        <is>
          <t>ENKÖPING</t>
        </is>
      </c>
      <c r="G130" t="n">
        <v>2.2</v>
      </c>
      <c r="H130" t="n">
        <v>0</v>
      </c>
      <c r="I130" t="n">
        <v>0</v>
      </c>
      <c r="J130" t="n">
        <v>0</v>
      </c>
      <c r="K130" t="n">
        <v>0</v>
      </c>
      <c r="L130" t="n">
        <v>0</v>
      </c>
      <c r="M130" t="n">
        <v>0</v>
      </c>
      <c r="N130" t="n">
        <v>0</v>
      </c>
      <c r="O130" t="n">
        <v>0</v>
      </c>
      <c r="P130" t="n">
        <v>0</v>
      </c>
      <c r="Q130" t="n">
        <v>0</v>
      </c>
      <c r="R130" s="2" t="inlineStr"/>
    </row>
    <row r="131" ht="15" customHeight="1">
      <c r="A131" t="inlineStr">
        <is>
          <t>A 18831-2023</t>
        </is>
      </c>
      <c r="B131" s="1" t="n">
        <v>45044.40798611111</v>
      </c>
      <c r="C131" s="1" t="n">
        <v>46004</v>
      </c>
      <c r="D131" t="inlineStr">
        <is>
          <t>UPPSALA LÄN</t>
        </is>
      </c>
      <c r="E131" t="inlineStr">
        <is>
          <t>ENKÖPING</t>
        </is>
      </c>
      <c r="G131" t="n">
        <v>4.3</v>
      </c>
      <c r="H131" t="n">
        <v>0</v>
      </c>
      <c r="I131" t="n">
        <v>0</v>
      </c>
      <c r="J131" t="n">
        <v>0</v>
      </c>
      <c r="K131" t="n">
        <v>0</v>
      </c>
      <c r="L131" t="n">
        <v>0</v>
      </c>
      <c r="M131" t="n">
        <v>0</v>
      </c>
      <c r="N131" t="n">
        <v>0</v>
      </c>
      <c r="O131" t="n">
        <v>0</v>
      </c>
      <c r="P131" t="n">
        <v>0</v>
      </c>
      <c r="Q131" t="n">
        <v>0</v>
      </c>
      <c r="R131" s="2" t="inlineStr"/>
    </row>
    <row r="132" ht="15" customHeight="1">
      <c r="A132" t="inlineStr">
        <is>
          <t>A 50747-2022</t>
        </is>
      </c>
      <c r="B132" s="1" t="n">
        <v>44867.40162037037</v>
      </c>
      <c r="C132" s="1" t="n">
        <v>46004</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17657-2025</t>
        </is>
      </c>
      <c r="B133" s="1" t="n">
        <v>45758.35006944444</v>
      </c>
      <c r="C133" s="1" t="n">
        <v>46004</v>
      </c>
      <c r="D133" t="inlineStr">
        <is>
          <t>UPPSALA LÄN</t>
        </is>
      </c>
      <c r="E133" t="inlineStr">
        <is>
          <t>ENKÖPING</t>
        </is>
      </c>
      <c r="G133" t="n">
        <v>3</v>
      </c>
      <c r="H133" t="n">
        <v>0</v>
      </c>
      <c r="I133" t="n">
        <v>0</v>
      </c>
      <c r="J133" t="n">
        <v>0</v>
      </c>
      <c r="K133" t="n">
        <v>0</v>
      </c>
      <c r="L133" t="n">
        <v>0</v>
      </c>
      <c r="M133" t="n">
        <v>0</v>
      </c>
      <c r="N133" t="n">
        <v>0</v>
      </c>
      <c r="O133" t="n">
        <v>0</v>
      </c>
      <c r="P133" t="n">
        <v>0</v>
      </c>
      <c r="Q133" t="n">
        <v>0</v>
      </c>
      <c r="R133" s="2" t="inlineStr"/>
    </row>
    <row r="134" ht="15" customHeight="1">
      <c r="A134" t="inlineStr">
        <is>
          <t>A 49568-2022</t>
        </is>
      </c>
      <c r="B134" s="1" t="n">
        <v>44862.32791666667</v>
      </c>
      <c r="C134" s="1" t="n">
        <v>46004</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6298-2021</t>
        </is>
      </c>
      <c r="B135" s="1" t="n">
        <v>44235</v>
      </c>
      <c r="C135" s="1" t="n">
        <v>46004</v>
      </c>
      <c r="D135" t="inlineStr">
        <is>
          <t>UPPSALA LÄN</t>
        </is>
      </c>
      <c r="E135" t="inlineStr">
        <is>
          <t>ENKÖPING</t>
        </is>
      </c>
      <c r="G135" t="n">
        <v>1.4</v>
      </c>
      <c r="H135" t="n">
        <v>0</v>
      </c>
      <c r="I135" t="n">
        <v>0</v>
      </c>
      <c r="J135" t="n">
        <v>0</v>
      </c>
      <c r="K135" t="n">
        <v>0</v>
      </c>
      <c r="L135" t="n">
        <v>0</v>
      </c>
      <c r="M135" t="n">
        <v>0</v>
      </c>
      <c r="N135" t="n">
        <v>0</v>
      </c>
      <c r="O135" t="n">
        <v>0</v>
      </c>
      <c r="P135" t="n">
        <v>0</v>
      </c>
      <c r="Q135" t="n">
        <v>0</v>
      </c>
      <c r="R135" s="2" t="inlineStr"/>
    </row>
    <row r="136" ht="15" customHeight="1">
      <c r="A136" t="inlineStr">
        <is>
          <t>A 69567-2020</t>
        </is>
      </c>
      <c r="B136" s="1" t="n">
        <v>44194</v>
      </c>
      <c r="C136" s="1" t="n">
        <v>46004</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6172-2023</t>
        </is>
      </c>
      <c r="B137" s="1" t="n">
        <v>44964.68663194445</v>
      </c>
      <c r="C137" s="1" t="n">
        <v>46004</v>
      </c>
      <c r="D137" t="inlineStr">
        <is>
          <t>UPPSALA LÄN</t>
        </is>
      </c>
      <c r="E137" t="inlineStr">
        <is>
          <t>ENKÖPING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14402-2023</t>
        </is>
      </c>
      <c r="B138" s="1" t="n">
        <v>45012</v>
      </c>
      <c r="C138" s="1" t="n">
        <v>46004</v>
      </c>
      <c r="D138" t="inlineStr">
        <is>
          <t>UPPSALA LÄN</t>
        </is>
      </c>
      <c r="E138" t="inlineStr">
        <is>
          <t>ENKÖPING</t>
        </is>
      </c>
      <c r="G138" t="n">
        <v>9.5</v>
      </c>
      <c r="H138" t="n">
        <v>0</v>
      </c>
      <c r="I138" t="n">
        <v>0</v>
      </c>
      <c r="J138" t="n">
        <v>0</v>
      </c>
      <c r="K138" t="n">
        <v>0</v>
      </c>
      <c r="L138" t="n">
        <v>0</v>
      </c>
      <c r="M138" t="n">
        <v>0</v>
      </c>
      <c r="N138" t="n">
        <v>0</v>
      </c>
      <c r="O138" t="n">
        <v>0</v>
      </c>
      <c r="P138" t="n">
        <v>0</v>
      </c>
      <c r="Q138" t="n">
        <v>0</v>
      </c>
      <c r="R138" s="2" t="inlineStr"/>
    </row>
    <row r="139" ht="15" customHeight="1">
      <c r="A139" t="inlineStr">
        <is>
          <t>A 27538-2023</t>
        </is>
      </c>
      <c r="B139" s="1" t="n">
        <v>45097</v>
      </c>
      <c r="C139" s="1" t="n">
        <v>46004</v>
      </c>
      <c r="D139" t="inlineStr">
        <is>
          <t>UPPSALA LÄN</t>
        </is>
      </c>
      <c r="E139" t="inlineStr">
        <is>
          <t>ENKÖPING</t>
        </is>
      </c>
      <c r="G139" t="n">
        <v>5.8</v>
      </c>
      <c r="H139" t="n">
        <v>0</v>
      </c>
      <c r="I139" t="n">
        <v>0</v>
      </c>
      <c r="J139" t="n">
        <v>0</v>
      </c>
      <c r="K139" t="n">
        <v>0</v>
      </c>
      <c r="L139" t="n">
        <v>0</v>
      </c>
      <c r="M139" t="n">
        <v>0</v>
      </c>
      <c r="N139" t="n">
        <v>0</v>
      </c>
      <c r="O139" t="n">
        <v>0</v>
      </c>
      <c r="P139" t="n">
        <v>0</v>
      </c>
      <c r="Q139" t="n">
        <v>0</v>
      </c>
      <c r="R139" s="2" t="inlineStr"/>
    </row>
    <row r="140" ht="15" customHeight="1">
      <c r="A140" t="inlineStr">
        <is>
          <t>A 15409-2025</t>
        </is>
      </c>
      <c r="B140" s="1" t="n">
        <v>45747</v>
      </c>
      <c r="C140" s="1" t="n">
        <v>46004</v>
      </c>
      <c r="D140" t="inlineStr">
        <is>
          <t>UPPSALA LÄN</t>
        </is>
      </c>
      <c r="E140" t="inlineStr">
        <is>
          <t>ENKÖPING</t>
        </is>
      </c>
      <c r="G140" t="n">
        <v>2.5</v>
      </c>
      <c r="H140" t="n">
        <v>0</v>
      </c>
      <c r="I140" t="n">
        <v>0</v>
      </c>
      <c r="J140" t="n">
        <v>0</v>
      </c>
      <c r="K140" t="n">
        <v>0</v>
      </c>
      <c r="L140" t="n">
        <v>0</v>
      </c>
      <c r="M140" t="n">
        <v>0</v>
      </c>
      <c r="N140" t="n">
        <v>0</v>
      </c>
      <c r="O140" t="n">
        <v>0</v>
      </c>
      <c r="P140" t="n">
        <v>0</v>
      </c>
      <c r="Q140" t="n">
        <v>0</v>
      </c>
      <c r="R140" s="2" t="inlineStr"/>
    </row>
    <row r="141" ht="15" customHeight="1">
      <c r="A141" t="inlineStr">
        <is>
          <t>A 60874-2023</t>
        </is>
      </c>
      <c r="B141" s="1" t="n">
        <v>45261.06280092592</v>
      </c>
      <c r="C141" s="1" t="n">
        <v>46004</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47681-2024</t>
        </is>
      </c>
      <c r="B142" s="1" t="n">
        <v>45588</v>
      </c>
      <c r="C142" s="1" t="n">
        <v>46004</v>
      </c>
      <c r="D142" t="inlineStr">
        <is>
          <t>UPPSALA LÄN</t>
        </is>
      </c>
      <c r="E142" t="inlineStr">
        <is>
          <t>ENKÖPING</t>
        </is>
      </c>
      <c r="G142" t="n">
        <v>4.2</v>
      </c>
      <c r="H142" t="n">
        <v>0</v>
      </c>
      <c r="I142" t="n">
        <v>0</v>
      </c>
      <c r="J142" t="n">
        <v>0</v>
      </c>
      <c r="K142" t="n">
        <v>0</v>
      </c>
      <c r="L142" t="n">
        <v>0</v>
      </c>
      <c r="M142" t="n">
        <v>0</v>
      </c>
      <c r="N142" t="n">
        <v>0</v>
      </c>
      <c r="O142" t="n">
        <v>0</v>
      </c>
      <c r="P142" t="n">
        <v>0</v>
      </c>
      <c r="Q142" t="n">
        <v>0</v>
      </c>
      <c r="R142" s="2" t="inlineStr"/>
    </row>
    <row r="143" ht="15" customHeight="1">
      <c r="A143" t="inlineStr">
        <is>
          <t>A 27983-2024</t>
        </is>
      </c>
      <c r="B143" s="1" t="n">
        <v>45476</v>
      </c>
      <c r="C143" s="1" t="n">
        <v>46004</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50394-2024</t>
        </is>
      </c>
      <c r="B144" s="1" t="n">
        <v>45600</v>
      </c>
      <c r="C144" s="1" t="n">
        <v>46004</v>
      </c>
      <c r="D144" t="inlineStr">
        <is>
          <t>UPPSALA LÄN</t>
        </is>
      </c>
      <c r="E144" t="inlineStr">
        <is>
          <t>ENKÖPING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58961-2024</t>
        </is>
      </c>
      <c r="B145" s="1" t="n">
        <v>45636.585</v>
      </c>
      <c r="C145" s="1" t="n">
        <v>46004</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53496-2022</t>
        </is>
      </c>
      <c r="B146" s="1" t="n">
        <v>44879.57217592592</v>
      </c>
      <c r="C146" s="1" t="n">
        <v>46004</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51010-2024</t>
        </is>
      </c>
      <c r="B147" s="1" t="n">
        <v>45603.39285879629</v>
      </c>
      <c r="C147" s="1" t="n">
        <v>46004</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19298-2023</t>
        </is>
      </c>
      <c r="B148" s="1" t="n">
        <v>45048</v>
      </c>
      <c r="C148" s="1" t="n">
        <v>46004</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43016-2021</t>
        </is>
      </c>
      <c r="B149" s="1" t="n">
        <v>44431</v>
      </c>
      <c r="C149" s="1" t="n">
        <v>46004</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6147-2021</t>
        </is>
      </c>
      <c r="B150" s="1" t="n">
        <v>44232</v>
      </c>
      <c r="C150" s="1" t="n">
        <v>46004</v>
      </c>
      <c r="D150" t="inlineStr">
        <is>
          <t>UPPSALA LÄN</t>
        </is>
      </c>
      <c r="E150" t="inlineStr">
        <is>
          <t>ENKÖPING</t>
        </is>
      </c>
      <c r="G150" t="n">
        <v>1.6</v>
      </c>
      <c r="H150" t="n">
        <v>0</v>
      </c>
      <c r="I150" t="n">
        <v>0</v>
      </c>
      <c r="J150" t="n">
        <v>0</v>
      </c>
      <c r="K150" t="n">
        <v>0</v>
      </c>
      <c r="L150" t="n">
        <v>0</v>
      </c>
      <c r="M150" t="n">
        <v>0</v>
      </c>
      <c r="N150" t="n">
        <v>0</v>
      </c>
      <c r="O150" t="n">
        <v>0</v>
      </c>
      <c r="P150" t="n">
        <v>0</v>
      </c>
      <c r="Q150" t="n">
        <v>0</v>
      </c>
      <c r="R150" s="2" t="inlineStr"/>
    </row>
    <row r="151" ht="15" customHeight="1">
      <c r="A151" t="inlineStr">
        <is>
          <t>A 57335-2024</t>
        </is>
      </c>
      <c r="B151" s="1" t="n">
        <v>45629.63302083333</v>
      </c>
      <c r="C151" s="1" t="n">
        <v>46004</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19147-2024</t>
        </is>
      </c>
      <c r="B152" s="1" t="n">
        <v>45428</v>
      </c>
      <c r="C152" s="1" t="n">
        <v>46004</v>
      </c>
      <c r="D152" t="inlineStr">
        <is>
          <t>UPPSALA LÄN</t>
        </is>
      </c>
      <c r="E152" t="inlineStr">
        <is>
          <t>ENKÖPING</t>
        </is>
      </c>
      <c r="G152" t="n">
        <v>1.9</v>
      </c>
      <c r="H152" t="n">
        <v>0</v>
      </c>
      <c r="I152" t="n">
        <v>0</v>
      </c>
      <c r="J152" t="n">
        <v>0</v>
      </c>
      <c r="K152" t="n">
        <v>0</v>
      </c>
      <c r="L152" t="n">
        <v>0</v>
      </c>
      <c r="M152" t="n">
        <v>0</v>
      </c>
      <c r="N152" t="n">
        <v>0</v>
      </c>
      <c r="O152" t="n">
        <v>0</v>
      </c>
      <c r="P152" t="n">
        <v>0</v>
      </c>
      <c r="Q152" t="n">
        <v>0</v>
      </c>
      <c r="R152" s="2" t="inlineStr"/>
    </row>
    <row r="153" ht="15" customHeight="1">
      <c r="A153" t="inlineStr">
        <is>
          <t>A 15939-2022</t>
        </is>
      </c>
      <c r="B153" s="1" t="n">
        <v>44664</v>
      </c>
      <c r="C153" s="1" t="n">
        <v>46004</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57153-2021</t>
        </is>
      </c>
      <c r="B154" s="1" t="n">
        <v>44482</v>
      </c>
      <c r="C154" s="1" t="n">
        <v>46004</v>
      </c>
      <c r="D154" t="inlineStr">
        <is>
          <t>UPPSALA LÄN</t>
        </is>
      </c>
      <c r="E154" t="inlineStr">
        <is>
          <t>ENKÖPING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57209-2024</t>
        </is>
      </c>
      <c r="B155" s="1" t="n">
        <v>45629.49311342592</v>
      </c>
      <c r="C155" s="1" t="n">
        <v>46004</v>
      </c>
      <c r="D155" t="inlineStr">
        <is>
          <t>UPPSALA LÄN</t>
        </is>
      </c>
      <c r="E155" t="inlineStr">
        <is>
          <t>ENKÖPING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51120-2023</t>
        </is>
      </c>
      <c r="B156" s="1" t="n">
        <v>45219.3088425926</v>
      </c>
      <c r="C156" s="1" t="n">
        <v>46004</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12878-2025</t>
        </is>
      </c>
      <c r="B157" s="1" t="n">
        <v>45733.68571759259</v>
      </c>
      <c r="C157" s="1" t="n">
        <v>46004</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53595-2023</t>
        </is>
      </c>
      <c r="B158" s="1" t="n">
        <v>45223</v>
      </c>
      <c r="C158" s="1" t="n">
        <v>46004</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43697-2024</t>
        </is>
      </c>
      <c r="B159" s="1" t="n">
        <v>45569</v>
      </c>
      <c r="C159" s="1" t="n">
        <v>46004</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15893-2024</t>
        </is>
      </c>
      <c r="B160" s="1" t="n">
        <v>45405</v>
      </c>
      <c r="C160" s="1" t="n">
        <v>46004</v>
      </c>
      <c r="D160" t="inlineStr">
        <is>
          <t>UPPSALA LÄN</t>
        </is>
      </c>
      <c r="E160" t="inlineStr">
        <is>
          <t>ENKÖPING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18028-2023</t>
        </is>
      </c>
      <c r="B161" s="1" t="n">
        <v>45040</v>
      </c>
      <c r="C161" s="1" t="n">
        <v>46004</v>
      </c>
      <c r="D161" t="inlineStr">
        <is>
          <t>UPPSALA LÄN</t>
        </is>
      </c>
      <c r="E161" t="inlineStr">
        <is>
          <t>ENKÖPING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57835-2024</t>
        </is>
      </c>
      <c r="B162" s="1" t="n">
        <v>45631.39947916667</v>
      </c>
      <c r="C162" s="1" t="n">
        <v>46004</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53208-2023</t>
        </is>
      </c>
      <c r="B163" s="1" t="n">
        <v>45226</v>
      </c>
      <c r="C163" s="1" t="n">
        <v>46004</v>
      </c>
      <c r="D163" t="inlineStr">
        <is>
          <t>UPPSALA LÄN</t>
        </is>
      </c>
      <c r="E163" t="inlineStr">
        <is>
          <t>ENKÖPING</t>
        </is>
      </c>
      <c r="G163" t="n">
        <v>4.3</v>
      </c>
      <c r="H163" t="n">
        <v>0</v>
      </c>
      <c r="I163" t="n">
        <v>0</v>
      </c>
      <c r="J163" t="n">
        <v>0</v>
      </c>
      <c r="K163" t="n">
        <v>0</v>
      </c>
      <c r="L163" t="n">
        <v>0</v>
      </c>
      <c r="M163" t="n">
        <v>0</v>
      </c>
      <c r="N163" t="n">
        <v>0</v>
      </c>
      <c r="O163" t="n">
        <v>0</v>
      </c>
      <c r="P163" t="n">
        <v>0</v>
      </c>
      <c r="Q163" t="n">
        <v>0</v>
      </c>
      <c r="R163" s="2" t="inlineStr"/>
    </row>
    <row r="164" ht="15" customHeight="1">
      <c r="A164" t="inlineStr">
        <is>
          <t>A 45283-2022</t>
        </is>
      </c>
      <c r="B164" s="1" t="n">
        <v>44844</v>
      </c>
      <c r="C164" s="1" t="n">
        <v>46004</v>
      </c>
      <c r="D164" t="inlineStr">
        <is>
          <t>UPPSALA LÄN</t>
        </is>
      </c>
      <c r="E164" t="inlineStr">
        <is>
          <t>ENKÖPING</t>
        </is>
      </c>
      <c r="G164" t="n">
        <v>5.9</v>
      </c>
      <c r="H164" t="n">
        <v>0</v>
      </c>
      <c r="I164" t="n">
        <v>0</v>
      </c>
      <c r="J164" t="n">
        <v>0</v>
      </c>
      <c r="K164" t="n">
        <v>0</v>
      </c>
      <c r="L164" t="n">
        <v>0</v>
      </c>
      <c r="M164" t="n">
        <v>0</v>
      </c>
      <c r="N164" t="n">
        <v>0</v>
      </c>
      <c r="O164" t="n">
        <v>0</v>
      </c>
      <c r="P164" t="n">
        <v>0</v>
      </c>
      <c r="Q164" t="n">
        <v>0</v>
      </c>
      <c r="R164" s="2" t="inlineStr"/>
    </row>
    <row r="165" ht="15" customHeight="1">
      <c r="A165" t="inlineStr">
        <is>
          <t>A 41826-2024</t>
        </is>
      </c>
      <c r="B165" s="1" t="n">
        <v>45561</v>
      </c>
      <c r="C165" s="1" t="n">
        <v>46004</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19013-2025</t>
        </is>
      </c>
      <c r="B166" s="1" t="n">
        <v>45764.59533564815</v>
      </c>
      <c r="C166" s="1" t="n">
        <v>46004</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43896-2022</t>
        </is>
      </c>
      <c r="B167" s="1" t="n">
        <v>44838</v>
      </c>
      <c r="C167" s="1" t="n">
        <v>46004</v>
      </c>
      <c r="D167" t="inlineStr">
        <is>
          <t>UPPSALA LÄN</t>
        </is>
      </c>
      <c r="E167" t="inlineStr">
        <is>
          <t>ENKÖPING</t>
        </is>
      </c>
      <c r="G167" t="n">
        <v>5.3</v>
      </c>
      <c r="H167" t="n">
        <v>0</v>
      </c>
      <c r="I167" t="n">
        <v>0</v>
      </c>
      <c r="J167" t="n">
        <v>0</v>
      </c>
      <c r="K167" t="n">
        <v>0</v>
      </c>
      <c r="L167" t="n">
        <v>0</v>
      </c>
      <c r="M167" t="n">
        <v>0</v>
      </c>
      <c r="N167" t="n">
        <v>0</v>
      </c>
      <c r="O167" t="n">
        <v>0</v>
      </c>
      <c r="P167" t="n">
        <v>0</v>
      </c>
      <c r="Q167" t="n">
        <v>0</v>
      </c>
      <c r="R167" s="2" t="inlineStr"/>
    </row>
    <row r="168" ht="15" customHeight="1">
      <c r="A168" t="inlineStr">
        <is>
          <t>A 48843-2023</t>
        </is>
      </c>
      <c r="B168" s="1" t="n">
        <v>45209</v>
      </c>
      <c r="C168" s="1" t="n">
        <v>46004</v>
      </c>
      <c r="D168" t="inlineStr">
        <is>
          <t>UPPSALA LÄN</t>
        </is>
      </c>
      <c r="E168" t="inlineStr">
        <is>
          <t>ENKÖPING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33670-2024</t>
        </is>
      </c>
      <c r="B169" s="1" t="n">
        <v>45520</v>
      </c>
      <c r="C169" s="1" t="n">
        <v>46004</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4203-2021</t>
        </is>
      </c>
      <c r="B170" s="1" t="n">
        <v>44223</v>
      </c>
      <c r="C170" s="1" t="n">
        <v>46004</v>
      </c>
      <c r="D170" t="inlineStr">
        <is>
          <t>UPPSALA LÄN</t>
        </is>
      </c>
      <c r="E170" t="inlineStr">
        <is>
          <t>ENKÖPING</t>
        </is>
      </c>
      <c r="G170" t="n">
        <v>11.6</v>
      </c>
      <c r="H170" t="n">
        <v>0</v>
      </c>
      <c r="I170" t="n">
        <v>0</v>
      </c>
      <c r="J170" t="n">
        <v>0</v>
      </c>
      <c r="K170" t="n">
        <v>0</v>
      </c>
      <c r="L170" t="n">
        <v>0</v>
      </c>
      <c r="M170" t="n">
        <v>0</v>
      </c>
      <c r="N170" t="n">
        <v>0</v>
      </c>
      <c r="O170" t="n">
        <v>0</v>
      </c>
      <c r="P170" t="n">
        <v>0</v>
      </c>
      <c r="Q170" t="n">
        <v>0</v>
      </c>
      <c r="R170" s="2" t="inlineStr"/>
    </row>
    <row r="171" ht="15" customHeight="1">
      <c r="A171" t="inlineStr">
        <is>
          <t>A 42589-2022</t>
        </is>
      </c>
      <c r="B171" s="1" t="n">
        <v>44831</v>
      </c>
      <c r="C171" s="1" t="n">
        <v>46004</v>
      </c>
      <c r="D171" t="inlineStr">
        <is>
          <t>UPPSALA LÄN</t>
        </is>
      </c>
      <c r="E171" t="inlineStr">
        <is>
          <t>ENKÖPING</t>
        </is>
      </c>
      <c r="G171" t="n">
        <v>20</v>
      </c>
      <c r="H171" t="n">
        <v>0</v>
      </c>
      <c r="I171" t="n">
        <v>0</v>
      </c>
      <c r="J171" t="n">
        <v>0</v>
      </c>
      <c r="K171" t="n">
        <v>0</v>
      </c>
      <c r="L171" t="n">
        <v>0</v>
      </c>
      <c r="M171" t="n">
        <v>0</v>
      </c>
      <c r="N171" t="n">
        <v>0</v>
      </c>
      <c r="O171" t="n">
        <v>0</v>
      </c>
      <c r="P171" t="n">
        <v>0</v>
      </c>
      <c r="Q171" t="n">
        <v>0</v>
      </c>
      <c r="R171" s="2" t="inlineStr"/>
    </row>
    <row r="172" ht="15" customHeight="1">
      <c r="A172" t="inlineStr">
        <is>
          <t>A 19376-2024</t>
        </is>
      </c>
      <c r="B172" s="1" t="n">
        <v>45429</v>
      </c>
      <c r="C172" s="1" t="n">
        <v>46004</v>
      </c>
      <c r="D172" t="inlineStr">
        <is>
          <t>UPPSALA LÄN</t>
        </is>
      </c>
      <c r="E172" t="inlineStr">
        <is>
          <t>ENKÖPING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840-2025</t>
        </is>
      </c>
      <c r="B173" s="1" t="n">
        <v>45665</v>
      </c>
      <c r="C173" s="1" t="n">
        <v>46004</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7090-2022</t>
        </is>
      </c>
      <c r="B174" s="1" t="n">
        <v>44603.59520833333</v>
      </c>
      <c r="C174" s="1" t="n">
        <v>46004</v>
      </c>
      <c r="D174" t="inlineStr">
        <is>
          <t>UPPSALA LÄN</t>
        </is>
      </c>
      <c r="E174" t="inlineStr">
        <is>
          <t>ENKÖPING</t>
        </is>
      </c>
      <c r="G174" t="n">
        <v>2.8</v>
      </c>
      <c r="H174" t="n">
        <v>0</v>
      </c>
      <c r="I174" t="n">
        <v>0</v>
      </c>
      <c r="J174" t="n">
        <v>0</v>
      </c>
      <c r="K174" t="n">
        <v>0</v>
      </c>
      <c r="L174" t="n">
        <v>0</v>
      </c>
      <c r="M174" t="n">
        <v>0</v>
      </c>
      <c r="N174" t="n">
        <v>0</v>
      </c>
      <c r="O174" t="n">
        <v>0</v>
      </c>
      <c r="P174" t="n">
        <v>0</v>
      </c>
      <c r="Q174" t="n">
        <v>0</v>
      </c>
      <c r="R174" s="2" t="inlineStr"/>
    </row>
    <row r="175" ht="15" customHeight="1">
      <c r="A175" t="inlineStr">
        <is>
          <t>A 9487-2025</t>
        </is>
      </c>
      <c r="B175" s="1" t="n">
        <v>45715.49331018519</v>
      </c>
      <c r="C175" s="1" t="n">
        <v>46004</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6144-2024</t>
        </is>
      </c>
      <c r="B176" s="1" t="n">
        <v>45337.4684837963</v>
      </c>
      <c r="C176" s="1" t="n">
        <v>46004</v>
      </c>
      <c r="D176" t="inlineStr">
        <is>
          <t>UPPSALA LÄN</t>
        </is>
      </c>
      <c r="E176" t="inlineStr">
        <is>
          <t>ENKÖPING</t>
        </is>
      </c>
      <c r="G176" t="n">
        <v>13.8</v>
      </c>
      <c r="H176" t="n">
        <v>0</v>
      </c>
      <c r="I176" t="n">
        <v>0</v>
      </c>
      <c r="J176" t="n">
        <v>0</v>
      </c>
      <c r="K176" t="n">
        <v>0</v>
      </c>
      <c r="L176" t="n">
        <v>0</v>
      </c>
      <c r="M176" t="n">
        <v>0</v>
      </c>
      <c r="N176" t="n">
        <v>0</v>
      </c>
      <c r="O176" t="n">
        <v>0</v>
      </c>
      <c r="P176" t="n">
        <v>0</v>
      </c>
      <c r="Q176" t="n">
        <v>0</v>
      </c>
      <c r="R176" s="2" t="inlineStr"/>
    </row>
    <row r="177" ht="15" customHeight="1">
      <c r="A177" t="inlineStr">
        <is>
          <t>A 37115-2024</t>
        </is>
      </c>
      <c r="B177" s="1" t="n">
        <v>45539</v>
      </c>
      <c r="C177" s="1" t="n">
        <v>46004</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33955-2024</t>
        </is>
      </c>
      <c r="B178" s="1" t="n">
        <v>45523.46952546296</v>
      </c>
      <c r="C178" s="1" t="n">
        <v>46004</v>
      </c>
      <c r="D178" t="inlineStr">
        <is>
          <t>UPPSALA LÄN</t>
        </is>
      </c>
      <c r="E178" t="inlineStr">
        <is>
          <t>ENKÖPING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2164-2023</t>
        </is>
      </c>
      <c r="B179" s="1" t="n">
        <v>44941</v>
      </c>
      <c r="C179" s="1" t="n">
        <v>46004</v>
      </c>
      <c r="D179" t="inlineStr">
        <is>
          <t>UPPSALA LÄN</t>
        </is>
      </c>
      <c r="E179" t="inlineStr">
        <is>
          <t>ENKÖPING</t>
        </is>
      </c>
      <c r="G179" t="n">
        <v>2.5</v>
      </c>
      <c r="H179" t="n">
        <v>0</v>
      </c>
      <c r="I179" t="n">
        <v>0</v>
      </c>
      <c r="J179" t="n">
        <v>0</v>
      </c>
      <c r="K179" t="n">
        <v>0</v>
      </c>
      <c r="L179" t="n">
        <v>0</v>
      </c>
      <c r="M179" t="n">
        <v>0</v>
      </c>
      <c r="N179" t="n">
        <v>0</v>
      </c>
      <c r="O179" t="n">
        <v>0</v>
      </c>
      <c r="P179" t="n">
        <v>0</v>
      </c>
      <c r="Q179" t="n">
        <v>0</v>
      </c>
      <c r="R179" s="2" t="inlineStr"/>
    </row>
    <row r="180" ht="15" customHeight="1">
      <c r="A180" t="inlineStr">
        <is>
          <t>A 61952-2021</t>
        </is>
      </c>
      <c r="B180" s="1" t="n">
        <v>44502</v>
      </c>
      <c r="C180" s="1" t="n">
        <v>46004</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45142-2023</t>
        </is>
      </c>
      <c r="B181" s="1" t="n">
        <v>45191.4702662037</v>
      </c>
      <c r="C181" s="1" t="n">
        <v>46004</v>
      </c>
      <c r="D181" t="inlineStr">
        <is>
          <t>UPPSALA LÄN</t>
        </is>
      </c>
      <c r="E181" t="inlineStr">
        <is>
          <t>ENKÖPING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11918-2025</t>
        </is>
      </c>
      <c r="B182" s="1" t="n">
        <v>45728.49331018519</v>
      </c>
      <c r="C182" s="1" t="n">
        <v>46004</v>
      </c>
      <c r="D182" t="inlineStr">
        <is>
          <t>UPPSALA LÄN</t>
        </is>
      </c>
      <c r="E182" t="inlineStr">
        <is>
          <t>ENKÖPING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31242-2024</t>
        </is>
      </c>
      <c r="B183" s="1" t="n">
        <v>45503</v>
      </c>
      <c r="C183" s="1" t="n">
        <v>46004</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66517-2020</t>
        </is>
      </c>
      <c r="B184" s="1" t="n">
        <v>44178</v>
      </c>
      <c r="C184" s="1" t="n">
        <v>46004</v>
      </c>
      <c r="D184" t="inlineStr">
        <is>
          <t>UPPSALA LÄN</t>
        </is>
      </c>
      <c r="E184" t="inlineStr">
        <is>
          <t>ENKÖPING</t>
        </is>
      </c>
      <c r="G184" t="n">
        <v>4</v>
      </c>
      <c r="H184" t="n">
        <v>0</v>
      </c>
      <c r="I184" t="n">
        <v>0</v>
      </c>
      <c r="J184" t="n">
        <v>0</v>
      </c>
      <c r="K184" t="n">
        <v>0</v>
      </c>
      <c r="L184" t="n">
        <v>0</v>
      </c>
      <c r="M184" t="n">
        <v>0</v>
      </c>
      <c r="N184" t="n">
        <v>0</v>
      </c>
      <c r="O184" t="n">
        <v>0</v>
      </c>
      <c r="P184" t="n">
        <v>0</v>
      </c>
      <c r="Q184" t="n">
        <v>0</v>
      </c>
      <c r="R184" s="2" t="inlineStr"/>
    </row>
    <row r="185" ht="15" customHeight="1">
      <c r="A185" t="inlineStr">
        <is>
          <t>A 14083-2025</t>
        </is>
      </c>
      <c r="B185" s="1" t="n">
        <v>45740</v>
      </c>
      <c r="C185" s="1" t="n">
        <v>46004</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69879-2021</t>
        </is>
      </c>
      <c r="B186" s="1" t="n">
        <v>44532</v>
      </c>
      <c r="C186" s="1" t="n">
        <v>46004</v>
      </c>
      <c r="D186" t="inlineStr">
        <is>
          <t>UPPSALA LÄN</t>
        </is>
      </c>
      <c r="E186" t="inlineStr">
        <is>
          <t>ENKÖPING</t>
        </is>
      </c>
      <c r="G186" t="n">
        <v>4.2</v>
      </c>
      <c r="H186" t="n">
        <v>0</v>
      </c>
      <c r="I186" t="n">
        <v>0</v>
      </c>
      <c r="J186" t="n">
        <v>0</v>
      </c>
      <c r="K186" t="n">
        <v>0</v>
      </c>
      <c r="L186" t="n">
        <v>0</v>
      </c>
      <c r="M186" t="n">
        <v>0</v>
      </c>
      <c r="N186" t="n">
        <v>0</v>
      </c>
      <c r="O186" t="n">
        <v>0</v>
      </c>
      <c r="P186" t="n">
        <v>0</v>
      </c>
      <c r="Q186" t="n">
        <v>0</v>
      </c>
      <c r="R186" s="2" t="inlineStr"/>
    </row>
    <row r="187" ht="15" customHeight="1">
      <c r="A187" t="inlineStr">
        <is>
          <t>A 845-2025</t>
        </is>
      </c>
      <c r="B187" s="1" t="n">
        <v>45665</v>
      </c>
      <c r="C187" s="1" t="n">
        <v>46004</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849-2025</t>
        </is>
      </c>
      <c r="B188" s="1" t="n">
        <v>45665</v>
      </c>
      <c r="C188" s="1" t="n">
        <v>46004</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16920-2023</t>
        </is>
      </c>
      <c r="B189" s="1" t="n">
        <v>45033.59030092593</v>
      </c>
      <c r="C189" s="1" t="n">
        <v>46004</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53586-2024</t>
        </is>
      </c>
      <c r="B190" s="1" t="n">
        <v>45614</v>
      </c>
      <c r="C190" s="1" t="n">
        <v>46004</v>
      </c>
      <c r="D190" t="inlineStr">
        <is>
          <t>UPPSALA LÄN</t>
        </is>
      </c>
      <c r="E190" t="inlineStr">
        <is>
          <t>ENKÖPING</t>
        </is>
      </c>
      <c r="G190" t="n">
        <v>6.6</v>
      </c>
      <c r="H190" t="n">
        <v>0</v>
      </c>
      <c r="I190" t="n">
        <v>0</v>
      </c>
      <c r="J190" t="n">
        <v>0</v>
      </c>
      <c r="K190" t="n">
        <v>0</v>
      </c>
      <c r="L190" t="n">
        <v>0</v>
      </c>
      <c r="M190" t="n">
        <v>0</v>
      </c>
      <c r="N190" t="n">
        <v>0</v>
      </c>
      <c r="O190" t="n">
        <v>0</v>
      </c>
      <c r="P190" t="n">
        <v>0</v>
      </c>
      <c r="Q190" t="n">
        <v>0</v>
      </c>
      <c r="R190" s="2" t="inlineStr"/>
    </row>
    <row r="191" ht="15" customHeight="1">
      <c r="A191" t="inlineStr">
        <is>
          <t>A 15757-2023</t>
        </is>
      </c>
      <c r="B191" s="1" t="n">
        <v>45021</v>
      </c>
      <c r="C191" s="1" t="n">
        <v>46004</v>
      </c>
      <c r="D191" t="inlineStr">
        <is>
          <t>UPPSALA LÄN</t>
        </is>
      </c>
      <c r="E191" t="inlineStr">
        <is>
          <t>ENKÖPING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62158-2023</t>
        </is>
      </c>
      <c r="B192" s="1" t="n">
        <v>45267</v>
      </c>
      <c r="C192" s="1" t="n">
        <v>46004</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60350-2022</t>
        </is>
      </c>
      <c r="B193" s="1" t="n">
        <v>44910</v>
      </c>
      <c r="C193" s="1" t="n">
        <v>46004</v>
      </c>
      <c r="D193" t="inlineStr">
        <is>
          <t>UPPSALA LÄN</t>
        </is>
      </c>
      <c r="E193" t="inlineStr">
        <is>
          <t>ENKÖPING</t>
        </is>
      </c>
      <c r="F193" t="inlineStr">
        <is>
          <t>Allmännings- och besparingsskogar</t>
        </is>
      </c>
      <c r="G193" t="n">
        <v>3.5</v>
      </c>
      <c r="H193" t="n">
        <v>0</v>
      </c>
      <c r="I193" t="n">
        <v>0</v>
      </c>
      <c r="J193" t="n">
        <v>0</v>
      </c>
      <c r="K193" t="n">
        <v>0</v>
      </c>
      <c r="L193" t="n">
        <v>0</v>
      </c>
      <c r="M193" t="n">
        <v>0</v>
      </c>
      <c r="N193" t="n">
        <v>0</v>
      </c>
      <c r="O193" t="n">
        <v>0</v>
      </c>
      <c r="P193" t="n">
        <v>0</v>
      </c>
      <c r="Q193" t="n">
        <v>0</v>
      </c>
      <c r="R193" s="2" t="inlineStr"/>
    </row>
    <row r="194" ht="15" customHeight="1">
      <c r="A194" t="inlineStr">
        <is>
          <t>A 12020-2024</t>
        </is>
      </c>
      <c r="B194" s="1" t="n">
        <v>45377</v>
      </c>
      <c r="C194" s="1" t="n">
        <v>46004</v>
      </c>
      <c r="D194" t="inlineStr">
        <is>
          <t>UPPSALA LÄN</t>
        </is>
      </c>
      <c r="E194" t="inlineStr">
        <is>
          <t>ENKÖPING</t>
        </is>
      </c>
      <c r="G194" t="n">
        <v>2</v>
      </c>
      <c r="H194" t="n">
        <v>0</v>
      </c>
      <c r="I194" t="n">
        <v>0</v>
      </c>
      <c r="J194" t="n">
        <v>0</v>
      </c>
      <c r="K194" t="n">
        <v>0</v>
      </c>
      <c r="L194" t="n">
        <v>0</v>
      </c>
      <c r="M194" t="n">
        <v>0</v>
      </c>
      <c r="N194" t="n">
        <v>0</v>
      </c>
      <c r="O194" t="n">
        <v>0</v>
      </c>
      <c r="P194" t="n">
        <v>0</v>
      </c>
      <c r="Q194" t="n">
        <v>0</v>
      </c>
      <c r="R194" s="2" t="inlineStr"/>
    </row>
    <row r="195" ht="15" customHeight="1">
      <c r="A195" t="inlineStr">
        <is>
          <t>A 2161-2023</t>
        </is>
      </c>
      <c r="B195" s="1" t="n">
        <v>44941</v>
      </c>
      <c r="C195" s="1" t="n">
        <v>46004</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2165-2023</t>
        </is>
      </c>
      <c r="B196" s="1" t="n">
        <v>44941</v>
      </c>
      <c r="C196" s="1" t="n">
        <v>46004</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43506-2023</t>
        </is>
      </c>
      <c r="B197" s="1" t="n">
        <v>45181</v>
      </c>
      <c r="C197" s="1" t="n">
        <v>46004</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35647-2021</t>
        </is>
      </c>
      <c r="B198" s="1" t="n">
        <v>44386</v>
      </c>
      <c r="C198" s="1" t="n">
        <v>46004</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20112-2024</t>
        </is>
      </c>
      <c r="B199" s="1" t="n">
        <v>45434</v>
      </c>
      <c r="C199" s="1" t="n">
        <v>46004</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10465-2022</t>
        </is>
      </c>
      <c r="B200" s="1" t="n">
        <v>44623</v>
      </c>
      <c r="C200" s="1" t="n">
        <v>46004</v>
      </c>
      <c r="D200" t="inlineStr">
        <is>
          <t>UPPSALA LÄN</t>
        </is>
      </c>
      <c r="E200" t="inlineStr">
        <is>
          <t>ENKÖPING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14332-2024</t>
        </is>
      </c>
      <c r="B201" s="1" t="n">
        <v>45393</v>
      </c>
      <c r="C201" s="1" t="n">
        <v>46004</v>
      </c>
      <c r="D201" t="inlineStr">
        <is>
          <t>UPPSALA LÄN</t>
        </is>
      </c>
      <c r="E201" t="inlineStr">
        <is>
          <t>ENKÖPING</t>
        </is>
      </c>
      <c r="G201" t="n">
        <v>0.9</v>
      </c>
      <c r="H201" t="n">
        <v>0</v>
      </c>
      <c r="I201" t="n">
        <v>0</v>
      </c>
      <c r="J201" t="n">
        <v>0</v>
      </c>
      <c r="K201" t="n">
        <v>0</v>
      </c>
      <c r="L201" t="n">
        <v>0</v>
      </c>
      <c r="M201" t="n">
        <v>0</v>
      </c>
      <c r="N201" t="n">
        <v>0</v>
      </c>
      <c r="O201" t="n">
        <v>0</v>
      </c>
      <c r="P201" t="n">
        <v>0</v>
      </c>
      <c r="Q201" t="n">
        <v>0</v>
      </c>
      <c r="R201" s="2" t="inlineStr"/>
    </row>
    <row r="202" ht="15" customHeight="1">
      <c r="A202" t="inlineStr">
        <is>
          <t>A 61207-2023</t>
        </is>
      </c>
      <c r="B202" s="1" t="n">
        <v>45264.39444444444</v>
      </c>
      <c r="C202" s="1" t="n">
        <v>46004</v>
      </c>
      <c r="D202" t="inlineStr">
        <is>
          <t>UPPSALA LÄN</t>
        </is>
      </c>
      <c r="E202" t="inlineStr">
        <is>
          <t>ENKÖPING</t>
        </is>
      </c>
      <c r="G202" t="n">
        <v>10.8</v>
      </c>
      <c r="H202" t="n">
        <v>0</v>
      </c>
      <c r="I202" t="n">
        <v>0</v>
      </c>
      <c r="J202" t="n">
        <v>0</v>
      </c>
      <c r="K202" t="n">
        <v>0</v>
      </c>
      <c r="L202" t="n">
        <v>0</v>
      </c>
      <c r="M202" t="n">
        <v>0</v>
      </c>
      <c r="N202" t="n">
        <v>0</v>
      </c>
      <c r="O202" t="n">
        <v>0</v>
      </c>
      <c r="P202" t="n">
        <v>0</v>
      </c>
      <c r="Q202" t="n">
        <v>0</v>
      </c>
      <c r="R202" s="2" t="inlineStr"/>
    </row>
    <row r="203" ht="15" customHeight="1">
      <c r="A203" t="inlineStr">
        <is>
          <t>A 46186-2023</t>
        </is>
      </c>
      <c r="B203" s="1" t="n">
        <v>45196</v>
      </c>
      <c r="C203" s="1" t="n">
        <v>46004</v>
      </c>
      <c r="D203" t="inlineStr">
        <is>
          <t>UPPSALA LÄN</t>
        </is>
      </c>
      <c r="E203" t="inlineStr">
        <is>
          <t>ENKÖPING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54595-2021</t>
        </is>
      </c>
      <c r="B204" s="1" t="n">
        <v>44473.58824074074</v>
      </c>
      <c r="C204" s="1" t="n">
        <v>46004</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54588-2024</t>
        </is>
      </c>
      <c r="B205" s="1" t="n">
        <v>45617</v>
      </c>
      <c r="C205" s="1" t="n">
        <v>46004</v>
      </c>
      <c r="D205" t="inlineStr">
        <is>
          <t>UPPSALA LÄN</t>
        </is>
      </c>
      <c r="E205" t="inlineStr">
        <is>
          <t>ENKÖPING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47428-2023</t>
        </is>
      </c>
      <c r="B206" s="1" t="n">
        <v>45202.66664351852</v>
      </c>
      <c r="C206" s="1" t="n">
        <v>46004</v>
      </c>
      <c r="D206" t="inlineStr">
        <is>
          <t>UPPSALA LÄN</t>
        </is>
      </c>
      <c r="E206" t="inlineStr">
        <is>
          <t>ENKÖPING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5892-2023</t>
        </is>
      </c>
      <c r="B207" s="1" t="n">
        <v>44963.64883101852</v>
      </c>
      <c r="C207" s="1" t="n">
        <v>46004</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12572-2021</t>
        </is>
      </c>
      <c r="B208" s="1" t="n">
        <v>44270.36438657407</v>
      </c>
      <c r="C208" s="1" t="n">
        <v>46004</v>
      </c>
      <c r="D208" t="inlineStr">
        <is>
          <t>UPPSALA LÄN</t>
        </is>
      </c>
      <c r="E208" t="inlineStr">
        <is>
          <t>ENKÖPING</t>
        </is>
      </c>
      <c r="G208" t="n">
        <v>3.3</v>
      </c>
      <c r="H208" t="n">
        <v>0</v>
      </c>
      <c r="I208" t="n">
        <v>0</v>
      </c>
      <c r="J208" t="n">
        <v>0</v>
      </c>
      <c r="K208" t="n">
        <v>0</v>
      </c>
      <c r="L208" t="n">
        <v>0</v>
      </c>
      <c r="M208" t="n">
        <v>0</v>
      </c>
      <c r="N208" t="n">
        <v>0</v>
      </c>
      <c r="O208" t="n">
        <v>0</v>
      </c>
      <c r="P208" t="n">
        <v>0</v>
      </c>
      <c r="Q208" t="n">
        <v>0</v>
      </c>
      <c r="R208" s="2" t="inlineStr"/>
    </row>
    <row r="209" ht="15" customHeight="1">
      <c r="A209" t="inlineStr">
        <is>
          <t>A 2162-2023</t>
        </is>
      </c>
      <c r="B209" s="1" t="n">
        <v>44941</v>
      </c>
      <c r="C209" s="1" t="n">
        <v>46004</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671-2022</t>
        </is>
      </c>
      <c r="B210" s="1" t="n">
        <v>44568</v>
      </c>
      <c r="C210" s="1" t="n">
        <v>46004</v>
      </c>
      <c r="D210" t="inlineStr">
        <is>
          <t>UPPSALA LÄN</t>
        </is>
      </c>
      <c r="E210" t="inlineStr">
        <is>
          <t>ENKÖPING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32081-2024</t>
        </is>
      </c>
      <c r="B211" s="1" t="n">
        <v>45511.34605324074</v>
      </c>
      <c r="C211" s="1" t="n">
        <v>46004</v>
      </c>
      <c r="D211" t="inlineStr">
        <is>
          <t>UPPSALA LÄN</t>
        </is>
      </c>
      <c r="E211" t="inlineStr">
        <is>
          <t>ENKÖPING</t>
        </is>
      </c>
      <c r="G211" t="n">
        <v>5.4</v>
      </c>
      <c r="H211" t="n">
        <v>0</v>
      </c>
      <c r="I211" t="n">
        <v>0</v>
      </c>
      <c r="J211" t="n">
        <v>0</v>
      </c>
      <c r="K211" t="n">
        <v>0</v>
      </c>
      <c r="L211" t="n">
        <v>0</v>
      </c>
      <c r="M211" t="n">
        <v>0</v>
      </c>
      <c r="N211" t="n">
        <v>0</v>
      </c>
      <c r="O211" t="n">
        <v>0</v>
      </c>
      <c r="P211" t="n">
        <v>0</v>
      </c>
      <c r="Q211" t="n">
        <v>0</v>
      </c>
      <c r="R211" s="2" t="inlineStr"/>
    </row>
    <row r="212" ht="15" customHeight="1">
      <c r="A212" t="inlineStr">
        <is>
          <t>A 43488-2023</t>
        </is>
      </c>
      <c r="B212" s="1" t="n">
        <v>45181</v>
      </c>
      <c r="C212" s="1" t="n">
        <v>46004</v>
      </c>
      <c r="D212" t="inlineStr">
        <is>
          <t>UPPSALA LÄN</t>
        </is>
      </c>
      <c r="E212" t="inlineStr">
        <is>
          <t>ENKÖPING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40812-2022</t>
        </is>
      </c>
      <c r="B213" s="1" t="n">
        <v>44824.68791666667</v>
      </c>
      <c r="C213" s="1" t="n">
        <v>46004</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10458-2022</t>
        </is>
      </c>
      <c r="B214" s="1" t="n">
        <v>44623.56711805556</v>
      </c>
      <c r="C214" s="1" t="n">
        <v>46004</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44115-2024</t>
        </is>
      </c>
      <c r="B215" s="1" t="n">
        <v>45572</v>
      </c>
      <c r="C215" s="1" t="n">
        <v>46004</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2968-2025</t>
        </is>
      </c>
      <c r="B216" s="1" t="n">
        <v>45678</v>
      </c>
      <c r="C216" s="1" t="n">
        <v>46004</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49525-2021</t>
        </is>
      </c>
      <c r="B217" s="1" t="n">
        <v>44455</v>
      </c>
      <c r="C217" s="1" t="n">
        <v>46004</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9171-2024</t>
        </is>
      </c>
      <c r="B218" s="1" t="n">
        <v>45358</v>
      </c>
      <c r="C218" s="1" t="n">
        <v>46004</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6959-2025</t>
        </is>
      </c>
      <c r="B219" s="1" t="n">
        <v>45701.49315972222</v>
      </c>
      <c r="C219" s="1" t="n">
        <v>46004</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9957-2023</t>
        </is>
      </c>
      <c r="B220" s="1" t="n">
        <v>44978</v>
      </c>
      <c r="C220" s="1" t="n">
        <v>46004</v>
      </c>
      <c r="D220" t="inlineStr">
        <is>
          <t>UPPSALA LÄN</t>
        </is>
      </c>
      <c r="E220" t="inlineStr">
        <is>
          <t>ENKÖPING</t>
        </is>
      </c>
      <c r="G220" t="n">
        <v>5.9</v>
      </c>
      <c r="H220" t="n">
        <v>0</v>
      </c>
      <c r="I220" t="n">
        <v>0</v>
      </c>
      <c r="J220" t="n">
        <v>0</v>
      </c>
      <c r="K220" t="n">
        <v>0</v>
      </c>
      <c r="L220" t="n">
        <v>0</v>
      </c>
      <c r="M220" t="n">
        <v>0</v>
      </c>
      <c r="N220" t="n">
        <v>0</v>
      </c>
      <c r="O220" t="n">
        <v>0</v>
      </c>
      <c r="P220" t="n">
        <v>0</v>
      </c>
      <c r="Q220" t="n">
        <v>0</v>
      </c>
      <c r="R220" s="2" t="inlineStr"/>
    </row>
    <row r="221" ht="15" customHeight="1">
      <c r="A221" t="inlineStr">
        <is>
          <t>A 43691-2024</t>
        </is>
      </c>
      <c r="B221" s="1" t="n">
        <v>45569</v>
      </c>
      <c r="C221" s="1" t="n">
        <v>46004</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63402-2023</t>
        </is>
      </c>
      <c r="B222" s="1" t="n">
        <v>45274.50646990741</v>
      </c>
      <c r="C222" s="1" t="n">
        <v>46004</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43230-2023</t>
        </is>
      </c>
      <c r="B223" s="1" t="n">
        <v>45183</v>
      </c>
      <c r="C223" s="1" t="n">
        <v>46004</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45362-2022</t>
        </is>
      </c>
      <c r="B224" s="1" t="n">
        <v>44844.62366898148</v>
      </c>
      <c r="C224" s="1" t="n">
        <v>46004</v>
      </c>
      <c r="D224" t="inlineStr">
        <is>
          <t>UPPSALA LÄN</t>
        </is>
      </c>
      <c r="E224" t="inlineStr">
        <is>
          <t>ENKÖPING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72840-2021</t>
        </is>
      </c>
      <c r="B225" s="1" t="n">
        <v>44547</v>
      </c>
      <c r="C225" s="1" t="n">
        <v>46004</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30437-2022</t>
        </is>
      </c>
      <c r="B226" s="1" t="n">
        <v>44761</v>
      </c>
      <c r="C226" s="1" t="n">
        <v>46004</v>
      </c>
      <c r="D226" t="inlineStr">
        <is>
          <t>UPPSALA LÄN</t>
        </is>
      </c>
      <c r="E226" t="inlineStr">
        <is>
          <t>ENKÖPING</t>
        </is>
      </c>
      <c r="G226" t="n">
        <v>3.4</v>
      </c>
      <c r="H226" t="n">
        <v>0</v>
      </c>
      <c r="I226" t="n">
        <v>0</v>
      </c>
      <c r="J226" t="n">
        <v>0</v>
      </c>
      <c r="K226" t="n">
        <v>0</v>
      </c>
      <c r="L226" t="n">
        <v>0</v>
      </c>
      <c r="M226" t="n">
        <v>0</v>
      </c>
      <c r="N226" t="n">
        <v>0</v>
      </c>
      <c r="O226" t="n">
        <v>0</v>
      </c>
      <c r="P226" t="n">
        <v>0</v>
      </c>
      <c r="Q226" t="n">
        <v>0</v>
      </c>
      <c r="R226" s="2" t="inlineStr"/>
    </row>
    <row r="227" ht="15" customHeight="1">
      <c r="A227" t="inlineStr">
        <is>
          <t>A 51011-2024</t>
        </is>
      </c>
      <c r="B227" s="1" t="n">
        <v>45603.39427083333</v>
      </c>
      <c r="C227" s="1" t="n">
        <v>46004</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26319-2022</t>
        </is>
      </c>
      <c r="B228" s="1" t="n">
        <v>44735</v>
      </c>
      <c r="C228" s="1" t="n">
        <v>46004</v>
      </c>
      <c r="D228" t="inlineStr">
        <is>
          <t>UPPSALA LÄN</t>
        </is>
      </c>
      <c r="E228" t="inlineStr">
        <is>
          <t>ENKÖPING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16916-2023</t>
        </is>
      </c>
      <c r="B229" s="1" t="n">
        <v>45033.58347222222</v>
      </c>
      <c r="C229" s="1" t="n">
        <v>46004</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56886-2023</t>
        </is>
      </c>
      <c r="B230" s="1" t="n">
        <v>45239</v>
      </c>
      <c r="C230" s="1" t="n">
        <v>46004</v>
      </c>
      <c r="D230" t="inlineStr">
        <is>
          <t>UPPSALA LÄN</t>
        </is>
      </c>
      <c r="E230" t="inlineStr">
        <is>
          <t>ENKÖPING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29918-2023</t>
        </is>
      </c>
      <c r="B231" s="1" t="n">
        <v>45099</v>
      </c>
      <c r="C231" s="1" t="n">
        <v>46004</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25333-2023</t>
        </is>
      </c>
      <c r="B232" s="1" t="n">
        <v>45083</v>
      </c>
      <c r="C232" s="1" t="n">
        <v>46004</v>
      </c>
      <c r="D232" t="inlineStr">
        <is>
          <t>UPPSALA LÄN</t>
        </is>
      </c>
      <c r="E232" t="inlineStr">
        <is>
          <t>ENKÖPING</t>
        </is>
      </c>
      <c r="G232" t="n">
        <v>2.7</v>
      </c>
      <c r="H232" t="n">
        <v>0</v>
      </c>
      <c r="I232" t="n">
        <v>0</v>
      </c>
      <c r="J232" t="n">
        <v>0</v>
      </c>
      <c r="K232" t="n">
        <v>0</v>
      </c>
      <c r="L232" t="n">
        <v>0</v>
      </c>
      <c r="M232" t="n">
        <v>0</v>
      </c>
      <c r="N232" t="n">
        <v>0</v>
      </c>
      <c r="O232" t="n">
        <v>0</v>
      </c>
      <c r="P232" t="n">
        <v>0</v>
      </c>
      <c r="Q232" t="n">
        <v>0</v>
      </c>
      <c r="R232" s="2" t="inlineStr"/>
    </row>
    <row r="233" ht="15" customHeight="1">
      <c r="A233" t="inlineStr">
        <is>
          <t>A 3300-2025</t>
        </is>
      </c>
      <c r="B233" s="1" t="n">
        <v>45679</v>
      </c>
      <c r="C233" s="1" t="n">
        <v>46004</v>
      </c>
      <c r="D233" t="inlineStr">
        <is>
          <t>UPPSALA LÄN</t>
        </is>
      </c>
      <c r="E233" t="inlineStr">
        <is>
          <t>ENKÖPING</t>
        </is>
      </c>
      <c r="G233" t="n">
        <v>8.9</v>
      </c>
      <c r="H233" t="n">
        <v>0</v>
      </c>
      <c r="I233" t="n">
        <v>0</v>
      </c>
      <c r="J233" t="n">
        <v>0</v>
      </c>
      <c r="K233" t="n">
        <v>0</v>
      </c>
      <c r="L233" t="n">
        <v>0</v>
      </c>
      <c r="M233" t="n">
        <v>0</v>
      </c>
      <c r="N233" t="n">
        <v>0</v>
      </c>
      <c r="O233" t="n">
        <v>0</v>
      </c>
      <c r="P233" t="n">
        <v>0</v>
      </c>
      <c r="Q233" t="n">
        <v>0</v>
      </c>
      <c r="R233" s="2" t="inlineStr"/>
    </row>
    <row r="234" ht="15" customHeight="1">
      <c r="A234" t="inlineStr">
        <is>
          <t>A 24291-2024</t>
        </is>
      </c>
      <c r="B234" s="1" t="n">
        <v>45457.4584837963</v>
      </c>
      <c r="C234" s="1" t="n">
        <v>46004</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12754-2025</t>
        </is>
      </c>
      <c r="B235" s="1" t="n">
        <v>45733.56331018519</v>
      </c>
      <c r="C235" s="1" t="n">
        <v>46004</v>
      </c>
      <c r="D235" t="inlineStr">
        <is>
          <t>UPPSALA LÄN</t>
        </is>
      </c>
      <c r="E235" t="inlineStr">
        <is>
          <t>ENKÖPING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34617-2022</t>
        </is>
      </c>
      <c r="B236" s="1" t="n">
        <v>44795</v>
      </c>
      <c r="C236" s="1" t="n">
        <v>46004</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1992-2022</t>
        </is>
      </c>
      <c r="B237" s="1" t="n">
        <v>44575.56153935185</v>
      </c>
      <c r="C237" s="1" t="n">
        <v>46004</v>
      </c>
      <c r="D237" t="inlineStr">
        <is>
          <t>UPPSALA LÄN</t>
        </is>
      </c>
      <c r="E237" t="inlineStr">
        <is>
          <t>ENKÖPING</t>
        </is>
      </c>
      <c r="G237" t="n">
        <v>2.8</v>
      </c>
      <c r="H237" t="n">
        <v>0</v>
      </c>
      <c r="I237" t="n">
        <v>0</v>
      </c>
      <c r="J237" t="n">
        <v>0</v>
      </c>
      <c r="K237" t="n">
        <v>0</v>
      </c>
      <c r="L237" t="n">
        <v>0</v>
      </c>
      <c r="M237" t="n">
        <v>0</v>
      </c>
      <c r="N237" t="n">
        <v>0</v>
      </c>
      <c r="O237" t="n">
        <v>0</v>
      </c>
      <c r="P237" t="n">
        <v>0</v>
      </c>
      <c r="Q237" t="n">
        <v>0</v>
      </c>
      <c r="R237" s="2" t="inlineStr"/>
    </row>
    <row r="238" ht="15" customHeight="1">
      <c r="A238" t="inlineStr">
        <is>
          <t>A 18583-2021</t>
        </is>
      </c>
      <c r="B238" s="1" t="n">
        <v>44306</v>
      </c>
      <c r="C238" s="1" t="n">
        <v>46004</v>
      </c>
      <c r="D238" t="inlineStr">
        <is>
          <t>UPPSALA LÄN</t>
        </is>
      </c>
      <c r="E238" t="inlineStr">
        <is>
          <t>ENKÖPING</t>
        </is>
      </c>
      <c r="G238" t="n">
        <v>0.4</v>
      </c>
      <c r="H238" t="n">
        <v>0</v>
      </c>
      <c r="I238" t="n">
        <v>0</v>
      </c>
      <c r="J238" t="n">
        <v>0</v>
      </c>
      <c r="K238" t="n">
        <v>0</v>
      </c>
      <c r="L238" t="n">
        <v>0</v>
      </c>
      <c r="M238" t="n">
        <v>0</v>
      </c>
      <c r="N238" t="n">
        <v>0</v>
      </c>
      <c r="O238" t="n">
        <v>0</v>
      </c>
      <c r="P238" t="n">
        <v>0</v>
      </c>
      <c r="Q238" t="n">
        <v>0</v>
      </c>
      <c r="R238" s="2" t="inlineStr"/>
    </row>
    <row r="239" ht="15" customHeight="1">
      <c r="A239" t="inlineStr">
        <is>
          <t>A 1695-2025</t>
        </is>
      </c>
      <c r="B239" s="1" t="n">
        <v>45670</v>
      </c>
      <c r="C239" s="1" t="n">
        <v>46004</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16176-2025</t>
        </is>
      </c>
      <c r="B240" s="1" t="n">
        <v>45750</v>
      </c>
      <c r="C240" s="1" t="n">
        <v>46004</v>
      </c>
      <c r="D240" t="inlineStr">
        <is>
          <t>UPPSALA LÄN</t>
        </is>
      </c>
      <c r="E240" t="inlineStr">
        <is>
          <t>ENKÖPING</t>
        </is>
      </c>
      <c r="G240" t="n">
        <v>3.9</v>
      </c>
      <c r="H240" t="n">
        <v>0</v>
      </c>
      <c r="I240" t="n">
        <v>0</v>
      </c>
      <c r="J240" t="n">
        <v>0</v>
      </c>
      <c r="K240" t="n">
        <v>0</v>
      </c>
      <c r="L240" t="n">
        <v>0</v>
      </c>
      <c r="M240" t="n">
        <v>0</v>
      </c>
      <c r="N240" t="n">
        <v>0</v>
      </c>
      <c r="O240" t="n">
        <v>0</v>
      </c>
      <c r="P240" t="n">
        <v>0</v>
      </c>
      <c r="Q240" t="n">
        <v>0</v>
      </c>
      <c r="R240" s="2" t="inlineStr"/>
    </row>
    <row r="241" ht="15" customHeight="1">
      <c r="A241" t="inlineStr">
        <is>
          <t>A 56713-2024</t>
        </is>
      </c>
      <c r="B241" s="1" t="n">
        <v>45628</v>
      </c>
      <c r="C241" s="1" t="n">
        <v>46004</v>
      </c>
      <c r="D241" t="inlineStr">
        <is>
          <t>UPPSALA LÄN</t>
        </is>
      </c>
      <c r="E241" t="inlineStr">
        <is>
          <t>ENKÖPING</t>
        </is>
      </c>
      <c r="G241" t="n">
        <v>1.7</v>
      </c>
      <c r="H241" t="n">
        <v>0</v>
      </c>
      <c r="I241" t="n">
        <v>0</v>
      </c>
      <c r="J241" t="n">
        <v>0</v>
      </c>
      <c r="K241" t="n">
        <v>0</v>
      </c>
      <c r="L241" t="n">
        <v>0</v>
      </c>
      <c r="M241" t="n">
        <v>0</v>
      </c>
      <c r="N241" t="n">
        <v>0</v>
      </c>
      <c r="O241" t="n">
        <v>0</v>
      </c>
      <c r="P241" t="n">
        <v>0</v>
      </c>
      <c r="Q241" t="n">
        <v>0</v>
      </c>
      <c r="R241" s="2" t="inlineStr"/>
    </row>
    <row r="242" ht="15" customHeight="1">
      <c r="A242" t="inlineStr">
        <is>
          <t>A 37870-2023</t>
        </is>
      </c>
      <c r="B242" s="1" t="n">
        <v>45160.41996527778</v>
      </c>
      <c r="C242" s="1" t="n">
        <v>46004</v>
      </c>
      <c r="D242" t="inlineStr">
        <is>
          <t>UPPSALA LÄN</t>
        </is>
      </c>
      <c r="E242" t="inlineStr">
        <is>
          <t>ENKÖPING</t>
        </is>
      </c>
      <c r="G242" t="n">
        <v>3.5</v>
      </c>
      <c r="H242" t="n">
        <v>0</v>
      </c>
      <c r="I242" t="n">
        <v>0</v>
      </c>
      <c r="J242" t="n">
        <v>0</v>
      </c>
      <c r="K242" t="n">
        <v>0</v>
      </c>
      <c r="L242" t="n">
        <v>0</v>
      </c>
      <c r="M242" t="n">
        <v>0</v>
      </c>
      <c r="N242" t="n">
        <v>0</v>
      </c>
      <c r="O242" t="n">
        <v>0</v>
      </c>
      <c r="P242" t="n">
        <v>0</v>
      </c>
      <c r="Q242" t="n">
        <v>0</v>
      </c>
      <c r="R242" s="2" t="inlineStr"/>
    </row>
    <row r="243" ht="15" customHeight="1">
      <c r="A243" t="inlineStr">
        <is>
          <t>A 18592-2021</t>
        </is>
      </c>
      <c r="B243" s="1" t="n">
        <v>44306</v>
      </c>
      <c r="C243" s="1" t="n">
        <v>46004</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22094-2023</t>
        </is>
      </c>
      <c r="B244" s="1" t="n">
        <v>45069</v>
      </c>
      <c r="C244" s="1" t="n">
        <v>46004</v>
      </c>
      <c r="D244" t="inlineStr">
        <is>
          <t>UPPSALA LÄN</t>
        </is>
      </c>
      <c r="E244" t="inlineStr">
        <is>
          <t>ENKÖPING</t>
        </is>
      </c>
      <c r="G244" t="n">
        <v>2.1</v>
      </c>
      <c r="H244" t="n">
        <v>0</v>
      </c>
      <c r="I244" t="n">
        <v>0</v>
      </c>
      <c r="J244" t="n">
        <v>0</v>
      </c>
      <c r="K244" t="n">
        <v>0</v>
      </c>
      <c r="L244" t="n">
        <v>0</v>
      </c>
      <c r="M244" t="n">
        <v>0</v>
      </c>
      <c r="N244" t="n">
        <v>0</v>
      </c>
      <c r="O244" t="n">
        <v>0</v>
      </c>
      <c r="P244" t="n">
        <v>0</v>
      </c>
      <c r="Q244" t="n">
        <v>0</v>
      </c>
      <c r="R244" s="2" t="inlineStr"/>
    </row>
    <row r="245" ht="15" customHeight="1">
      <c r="A245" t="inlineStr">
        <is>
          <t>A 54357-2023</t>
        </is>
      </c>
      <c r="B245" s="1" t="n">
        <v>45225</v>
      </c>
      <c r="C245" s="1" t="n">
        <v>46004</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24962-2023</t>
        </is>
      </c>
      <c r="B246" s="1" t="n">
        <v>45085.60123842592</v>
      </c>
      <c r="C246" s="1" t="n">
        <v>46004</v>
      </c>
      <c r="D246" t="inlineStr">
        <is>
          <t>UPPSALA LÄN</t>
        </is>
      </c>
      <c r="E246" t="inlineStr">
        <is>
          <t>ENKÖPING</t>
        </is>
      </c>
      <c r="G246" t="n">
        <v>2.8</v>
      </c>
      <c r="H246" t="n">
        <v>0</v>
      </c>
      <c r="I246" t="n">
        <v>0</v>
      </c>
      <c r="J246" t="n">
        <v>0</v>
      </c>
      <c r="K246" t="n">
        <v>0</v>
      </c>
      <c r="L246" t="n">
        <v>0</v>
      </c>
      <c r="M246" t="n">
        <v>0</v>
      </c>
      <c r="N246" t="n">
        <v>0</v>
      </c>
      <c r="O246" t="n">
        <v>0</v>
      </c>
      <c r="P246" t="n">
        <v>0</v>
      </c>
      <c r="Q246" t="n">
        <v>0</v>
      </c>
      <c r="R246" s="2" t="inlineStr"/>
    </row>
    <row r="247" ht="15" customHeight="1">
      <c r="A247" t="inlineStr">
        <is>
          <t>A 6356-2022</t>
        </is>
      </c>
      <c r="B247" s="1" t="n">
        <v>44600</v>
      </c>
      <c r="C247" s="1" t="n">
        <v>46004</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15405-2025</t>
        </is>
      </c>
      <c r="B248" s="1" t="n">
        <v>45747.44670138889</v>
      </c>
      <c r="C248" s="1" t="n">
        <v>46004</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35079-2024</t>
        </is>
      </c>
      <c r="B249" s="1" t="n">
        <v>45527.66770833333</v>
      </c>
      <c r="C249" s="1" t="n">
        <v>46004</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10829-2024</t>
        </is>
      </c>
      <c r="B250" s="1" t="n">
        <v>45369</v>
      </c>
      <c r="C250" s="1" t="n">
        <v>46004</v>
      </c>
      <c r="D250" t="inlineStr">
        <is>
          <t>UPPSALA LÄN</t>
        </is>
      </c>
      <c r="E250" t="inlineStr">
        <is>
          <t>ENKÖPING</t>
        </is>
      </c>
      <c r="G250" t="n">
        <v>2.1</v>
      </c>
      <c r="H250" t="n">
        <v>0</v>
      </c>
      <c r="I250" t="n">
        <v>0</v>
      </c>
      <c r="J250" t="n">
        <v>0</v>
      </c>
      <c r="K250" t="n">
        <v>0</v>
      </c>
      <c r="L250" t="n">
        <v>0</v>
      </c>
      <c r="M250" t="n">
        <v>0</v>
      </c>
      <c r="N250" t="n">
        <v>0</v>
      </c>
      <c r="O250" t="n">
        <v>0</v>
      </c>
      <c r="P250" t="n">
        <v>0</v>
      </c>
      <c r="Q250" t="n">
        <v>0</v>
      </c>
      <c r="R250" s="2" t="inlineStr"/>
    </row>
    <row r="251" ht="15" customHeight="1">
      <c r="A251" t="inlineStr">
        <is>
          <t>A 34735-2023</t>
        </is>
      </c>
      <c r="B251" s="1" t="n">
        <v>45139</v>
      </c>
      <c r="C251" s="1" t="n">
        <v>46004</v>
      </c>
      <c r="D251" t="inlineStr">
        <is>
          <t>UPPSALA LÄN</t>
        </is>
      </c>
      <c r="E251" t="inlineStr">
        <is>
          <t>ENKÖPING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57328-2024</t>
        </is>
      </c>
      <c r="B252" s="1" t="n">
        <v>45629.62798611111</v>
      </c>
      <c r="C252" s="1" t="n">
        <v>46004</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67982-2021</t>
        </is>
      </c>
      <c r="B253" s="1" t="n">
        <v>44525</v>
      </c>
      <c r="C253" s="1" t="n">
        <v>46004</v>
      </c>
      <c r="D253" t="inlineStr">
        <is>
          <t>UPPSALA LÄN</t>
        </is>
      </c>
      <c r="E253" t="inlineStr">
        <is>
          <t>ENKÖPING</t>
        </is>
      </c>
      <c r="G253" t="n">
        <v>1.7</v>
      </c>
      <c r="H253" t="n">
        <v>0</v>
      </c>
      <c r="I253" t="n">
        <v>0</v>
      </c>
      <c r="J253" t="n">
        <v>0</v>
      </c>
      <c r="K253" t="n">
        <v>0</v>
      </c>
      <c r="L253" t="n">
        <v>0</v>
      </c>
      <c r="M253" t="n">
        <v>0</v>
      </c>
      <c r="N253" t="n">
        <v>0</v>
      </c>
      <c r="O253" t="n">
        <v>0</v>
      </c>
      <c r="P253" t="n">
        <v>0</v>
      </c>
      <c r="Q253" t="n">
        <v>0</v>
      </c>
      <c r="R253" s="2" t="inlineStr"/>
    </row>
    <row r="254" ht="15" customHeight="1">
      <c r="A254" t="inlineStr">
        <is>
          <t>A 33581-2023</t>
        </is>
      </c>
      <c r="B254" s="1" t="n">
        <v>45131</v>
      </c>
      <c r="C254" s="1" t="n">
        <v>46004</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2833-2025</t>
        </is>
      </c>
      <c r="B255" s="1" t="n">
        <v>45677.63206018518</v>
      </c>
      <c r="C255" s="1" t="n">
        <v>46004</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51034-2024</t>
        </is>
      </c>
      <c r="B256" s="1" t="n">
        <v>45603.4262037037</v>
      </c>
      <c r="C256" s="1" t="n">
        <v>46004</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51036-2024</t>
        </is>
      </c>
      <c r="B257" s="1" t="n">
        <v>45603.42839120371</v>
      </c>
      <c r="C257" s="1" t="n">
        <v>46004</v>
      </c>
      <c r="D257" t="inlineStr">
        <is>
          <t>UPPSALA LÄN</t>
        </is>
      </c>
      <c r="E257" t="inlineStr">
        <is>
          <t>ENKÖPING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55876-2024</t>
        </is>
      </c>
      <c r="B258" s="1" t="n">
        <v>45623.5546412037</v>
      </c>
      <c r="C258" s="1" t="n">
        <v>46004</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29482-2022</t>
        </is>
      </c>
      <c r="B259" s="1" t="n">
        <v>44753.57703703704</v>
      </c>
      <c r="C259" s="1" t="n">
        <v>46004</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29483-2022</t>
        </is>
      </c>
      <c r="B260" s="1" t="n">
        <v>44753.57829861111</v>
      </c>
      <c r="C260" s="1" t="n">
        <v>46004</v>
      </c>
      <c r="D260" t="inlineStr">
        <is>
          <t>UPPSALA LÄN</t>
        </is>
      </c>
      <c r="E260" t="inlineStr">
        <is>
          <t>ENKÖPING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50006-2023</t>
        </is>
      </c>
      <c r="B261" s="1" t="n">
        <v>45215</v>
      </c>
      <c r="C261" s="1" t="n">
        <v>46004</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11005-2023</t>
        </is>
      </c>
      <c r="B262" s="1" t="n">
        <v>44991</v>
      </c>
      <c r="C262" s="1" t="n">
        <v>46004</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44232-2022</t>
        </is>
      </c>
      <c r="B263" s="1" t="n">
        <v>44839</v>
      </c>
      <c r="C263" s="1" t="n">
        <v>46004</v>
      </c>
      <c r="D263" t="inlineStr">
        <is>
          <t>UPPSALA LÄN</t>
        </is>
      </c>
      <c r="E263" t="inlineStr">
        <is>
          <t>ENKÖPING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61106-2022</t>
        </is>
      </c>
      <c r="B264" s="1" t="n">
        <v>44915.4128587963</v>
      </c>
      <c r="C264" s="1" t="n">
        <v>46004</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56526-2022</t>
        </is>
      </c>
      <c r="B265" s="1" t="n">
        <v>44893</v>
      </c>
      <c r="C265" s="1" t="n">
        <v>46004</v>
      </c>
      <c r="D265" t="inlineStr">
        <is>
          <t>UPPSALA LÄN</t>
        </is>
      </c>
      <c r="E265" t="inlineStr">
        <is>
          <t>ENKÖPING</t>
        </is>
      </c>
      <c r="G265" t="n">
        <v>3.8</v>
      </c>
      <c r="H265" t="n">
        <v>0</v>
      </c>
      <c r="I265" t="n">
        <v>0</v>
      </c>
      <c r="J265" t="n">
        <v>0</v>
      </c>
      <c r="K265" t="n">
        <v>0</v>
      </c>
      <c r="L265" t="n">
        <v>0</v>
      </c>
      <c r="M265" t="n">
        <v>0</v>
      </c>
      <c r="N265" t="n">
        <v>0</v>
      </c>
      <c r="O265" t="n">
        <v>0</v>
      </c>
      <c r="P265" t="n">
        <v>0</v>
      </c>
      <c r="Q265" t="n">
        <v>0</v>
      </c>
      <c r="R265" s="2" t="inlineStr"/>
    </row>
    <row r="266" ht="15" customHeight="1">
      <c r="A266" t="inlineStr">
        <is>
          <t>A 57142-2021</t>
        </is>
      </c>
      <c r="B266" s="1" t="n">
        <v>44482</v>
      </c>
      <c r="C266" s="1" t="n">
        <v>46004</v>
      </c>
      <c r="D266" t="inlineStr">
        <is>
          <t>UPPSALA LÄN</t>
        </is>
      </c>
      <c r="E266" t="inlineStr">
        <is>
          <t>ENKÖPING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57147-2021</t>
        </is>
      </c>
      <c r="B267" s="1" t="n">
        <v>44482</v>
      </c>
      <c r="C267" s="1" t="n">
        <v>46004</v>
      </c>
      <c r="D267" t="inlineStr">
        <is>
          <t>UPPSALA LÄN</t>
        </is>
      </c>
      <c r="E267" t="inlineStr">
        <is>
          <t>ENKÖPING</t>
        </is>
      </c>
      <c r="G267" t="n">
        <v>5.7</v>
      </c>
      <c r="H267" t="n">
        <v>0</v>
      </c>
      <c r="I267" t="n">
        <v>0</v>
      </c>
      <c r="J267" t="n">
        <v>0</v>
      </c>
      <c r="K267" t="n">
        <v>0</v>
      </c>
      <c r="L267" t="n">
        <v>0</v>
      </c>
      <c r="M267" t="n">
        <v>0</v>
      </c>
      <c r="N267" t="n">
        <v>0</v>
      </c>
      <c r="O267" t="n">
        <v>0</v>
      </c>
      <c r="P267" t="n">
        <v>0</v>
      </c>
      <c r="Q267" t="n">
        <v>0</v>
      </c>
      <c r="R267" s="2" t="inlineStr"/>
    </row>
    <row r="268" ht="15" customHeight="1">
      <c r="A268" t="inlineStr">
        <is>
          <t>A 39858-2024</t>
        </is>
      </c>
      <c r="B268" s="1" t="n">
        <v>45553</v>
      </c>
      <c r="C268" s="1" t="n">
        <v>46004</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7868-2024</t>
        </is>
      </c>
      <c r="B269" s="1" t="n">
        <v>45350.33020833333</v>
      </c>
      <c r="C269" s="1" t="n">
        <v>46004</v>
      </c>
      <c r="D269" t="inlineStr">
        <is>
          <t>UPPSALA LÄN</t>
        </is>
      </c>
      <c r="E269" t="inlineStr">
        <is>
          <t>ENKÖPING</t>
        </is>
      </c>
      <c r="G269" t="n">
        <v>0.3</v>
      </c>
      <c r="H269" t="n">
        <v>0</v>
      </c>
      <c r="I269" t="n">
        <v>0</v>
      </c>
      <c r="J269" t="n">
        <v>0</v>
      </c>
      <c r="K269" t="n">
        <v>0</v>
      </c>
      <c r="L269" t="n">
        <v>0</v>
      </c>
      <c r="M269" t="n">
        <v>0</v>
      </c>
      <c r="N269" t="n">
        <v>0</v>
      </c>
      <c r="O269" t="n">
        <v>0</v>
      </c>
      <c r="P269" t="n">
        <v>0</v>
      </c>
      <c r="Q269" t="n">
        <v>0</v>
      </c>
      <c r="R269" s="2" t="inlineStr"/>
    </row>
    <row r="270" ht="15" customHeight="1">
      <c r="A270" t="inlineStr">
        <is>
          <t>A 7870-2024</t>
        </is>
      </c>
      <c r="B270" s="1" t="n">
        <v>45350.33349537037</v>
      </c>
      <c r="C270" s="1" t="n">
        <v>46004</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39624-2023</t>
        </is>
      </c>
      <c r="B271" s="1" t="n">
        <v>45164</v>
      </c>
      <c r="C271" s="1" t="n">
        <v>46004</v>
      </c>
      <c r="D271" t="inlineStr">
        <is>
          <t>UPPSALA LÄN</t>
        </is>
      </c>
      <c r="E271" t="inlineStr">
        <is>
          <t>ENKÖPING</t>
        </is>
      </c>
      <c r="G271" t="n">
        <v>0.9</v>
      </c>
      <c r="H271" t="n">
        <v>0</v>
      </c>
      <c r="I271" t="n">
        <v>0</v>
      </c>
      <c r="J271" t="n">
        <v>0</v>
      </c>
      <c r="K271" t="n">
        <v>0</v>
      </c>
      <c r="L271" t="n">
        <v>0</v>
      </c>
      <c r="M271" t="n">
        <v>0</v>
      </c>
      <c r="N271" t="n">
        <v>0</v>
      </c>
      <c r="O271" t="n">
        <v>0</v>
      </c>
      <c r="P271" t="n">
        <v>0</v>
      </c>
      <c r="Q271" t="n">
        <v>0</v>
      </c>
      <c r="R271" s="2" t="inlineStr"/>
    </row>
    <row r="272" ht="15" customHeight="1">
      <c r="A272" t="inlineStr">
        <is>
          <t>A 9231-2023</t>
        </is>
      </c>
      <c r="B272" s="1" t="n">
        <v>44980</v>
      </c>
      <c r="C272" s="1" t="n">
        <v>46004</v>
      </c>
      <c r="D272" t="inlineStr">
        <is>
          <t>UPPSALA LÄN</t>
        </is>
      </c>
      <c r="E272" t="inlineStr">
        <is>
          <t>ENKÖPING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60289-2022</t>
        </is>
      </c>
      <c r="B273" s="1" t="n">
        <v>44910.53026620371</v>
      </c>
      <c r="C273" s="1" t="n">
        <v>46004</v>
      </c>
      <c r="D273" t="inlineStr">
        <is>
          <t>UPPSALA LÄN</t>
        </is>
      </c>
      <c r="E273" t="inlineStr">
        <is>
          <t>ENKÖPING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13110-2023</t>
        </is>
      </c>
      <c r="B274" s="1" t="n">
        <v>45001</v>
      </c>
      <c r="C274" s="1" t="n">
        <v>46004</v>
      </c>
      <c r="D274" t="inlineStr">
        <is>
          <t>UPPSALA LÄN</t>
        </is>
      </c>
      <c r="E274" t="inlineStr">
        <is>
          <t>ENKÖPING</t>
        </is>
      </c>
      <c r="G274" t="n">
        <v>2.5</v>
      </c>
      <c r="H274" t="n">
        <v>0</v>
      </c>
      <c r="I274" t="n">
        <v>0</v>
      </c>
      <c r="J274" t="n">
        <v>0</v>
      </c>
      <c r="K274" t="n">
        <v>0</v>
      </c>
      <c r="L274" t="n">
        <v>0</v>
      </c>
      <c r="M274" t="n">
        <v>0</v>
      </c>
      <c r="N274" t="n">
        <v>0</v>
      </c>
      <c r="O274" t="n">
        <v>0</v>
      </c>
      <c r="P274" t="n">
        <v>0</v>
      </c>
      <c r="Q274" t="n">
        <v>0</v>
      </c>
      <c r="R274" s="2" t="inlineStr"/>
    </row>
    <row r="275" ht="15" customHeight="1">
      <c r="A275" t="inlineStr">
        <is>
          <t>A 58384-2022</t>
        </is>
      </c>
      <c r="B275" s="1" t="n">
        <v>44901</v>
      </c>
      <c r="C275" s="1" t="n">
        <v>46004</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59602-2022</t>
        </is>
      </c>
      <c r="B276" s="1" t="n">
        <v>44907.72241898148</v>
      </c>
      <c r="C276" s="1" t="n">
        <v>46004</v>
      </c>
      <c r="D276" t="inlineStr">
        <is>
          <t>UPPSALA LÄN</t>
        </is>
      </c>
      <c r="E276" t="inlineStr">
        <is>
          <t>ENKÖPING</t>
        </is>
      </c>
      <c r="G276" t="n">
        <v>14.2</v>
      </c>
      <c r="H276" t="n">
        <v>0</v>
      </c>
      <c r="I276" t="n">
        <v>0</v>
      </c>
      <c r="J276" t="n">
        <v>0</v>
      </c>
      <c r="K276" t="n">
        <v>0</v>
      </c>
      <c r="L276" t="n">
        <v>0</v>
      </c>
      <c r="M276" t="n">
        <v>0</v>
      </c>
      <c r="N276" t="n">
        <v>0</v>
      </c>
      <c r="O276" t="n">
        <v>0</v>
      </c>
      <c r="P276" t="n">
        <v>0</v>
      </c>
      <c r="Q276" t="n">
        <v>0</v>
      </c>
      <c r="R276" s="2" t="inlineStr"/>
    </row>
    <row r="277" ht="15" customHeight="1">
      <c r="A277" t="inlineStr">
        <is>
          <t>A 20184-2023</t>
        </is>
      </c>
      <c r="B277" s="1" t="n">
        <v>45055.5670949074</v>
      </c>
      <c r="C277" s="1" t="n">
        <v>46004</v>
      </c>
      <c r="D277" t="inlineStr">
        <is>
          <t>UPPSALA LÄN</t>
        </is>
      </c>
      <c r="E277" t="inlineStr">
        <is>
          <t>ENKÖPING</t>
        </is>
      </c>
      <c r="G277" t="n">
        <v>3.2</v>
      </c>
      <c r="H277" t="n">
        <v>0</v>
      </c>
      <c r="I277" t="n">
        <v>0</v>
      </c>
      <c r="J277" t="n">
        <v>0</v>
      </c>
      <c r="K277" t="n">
        <v>0</v>
      </c>
      <c r="L277" t="n">
        <v>0</v>
      </c>
      <c r="M277" t="n">
        <v>0</v>
      </c>
      <c r="N277" t="n">
        <v>0</v>
      </c>
      <c r="O277" t="n">
        <v>0</v>
      </c>
      <c r="P277" t="n">
        <v>0</v>
      </c>
      <c r="Q277" t="n">
        <v>0</v>
      </c>
      <c r="R277" s="2" t="inlineStr"/>
    </row>
    <row r="278" ht="15" customHeight="1">
      <c r="A278" t="inlineStr">
        <is>
          <t>A 8152-2022</t>
        </is>
      </c>
      <c r="B278" s="1" t="n">
        <v>44609</v>
      </c>
      <c r="C278" s="1" t="n">
        <v>46004</v>
      </c>
      <c r="D278" t="inlineStr">
        <is>
          <t>UPPSALA LÄN</t>
        </is>
      </c>
      <c r="E278" t="inlineStr">
        <is>
          <t>ENKÖPING</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16916-2022</t>
        </is>
      </c>
      <c r="B279" s="1" t="n">
        <v>44676</v>
      </c>
      <c r="C279" s="1" t="n">
        <v>46004</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31965-2021</t>
        </is>
      </c>
      <c r="B280" s="1" t="n">
        <v>44370.56901620371</v>
      </c>
      <c r="C280" s="1" t="n">
        <v>46004</v>
      </c>
      <c r="D280" t="inlineStr">
        <is>
          <t>UPPSALA LÄN</t>
        </is>
      </c>
      <c r="E280" t="inlineStr">
        <is>
          <t>ENKÖPING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40223-2024</t>
        </is>
      </c>
      <c r="B281" s="1" t="n">
        <v>45554</v>
      </c>
      <c r="C281" s="1" t="n">
        <v>46004</v>
      </c>
      <c r="D281" t="inlineStr">
        <is>
          <t>UPPSALA LÄN</t>
        </is>
      </c>
      <c r="E281" t="inlineStr">
        <is>
          <t>ENKÖPING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56163-2021</t>
        </is>
      </c>
      <c r="B282" s="1" t="n">
        <v>44477</v>
      </c>
      <c r="C282" s="1" t="n">
        <v>46004</v>
      </c>
      <c r="D282" t="inlineStr">
        <is>
          <t>UPPSALA LÄN</t>
        </is>
      </c>
      <c r="E282" t="inlineStr">
        <is>
          <t>ENKÖPING</t>
        </is>
      </c>
      <c r="F282" t="inlineStr">
        <is>
          <t>Allmännings- och besparingsskogar</t>
        </is>
      </c>
      <c r="G282" t="n">
        <v>0.6</v>
      </c>
      <c r="H282" t="n">
        <v>0</v>
      </c>
      <c r="I282" t="n">
        <v>0</v>
      </c>
      <c r="J282" t="n">
        <v>0</v>
      </c>
      <c r="K282" t="n">
        <v>0</v>
      </c>
      <c r="L282" t="n">
        <v>0</v>
      </c>
      <c r="M282" t="n">
        <v>0</v>
      </c>
      <c r="N282" t="n">
        <v>0</v>
      </c>
      <c r="O282" t="n">
        <v>0</v>
      </c>
      <c r="P282" t="n">
        <v>0</v>
      </c>
      <c r="Q282" t="n">
        <v>0</v>
      </c>
      <c r="R282" s="2" t="inlineStr"/>
    </row>
    <row r="283" ht="15" customHeight="1">
      <c r="A283" t="inlineStr">
        <is>
          <t>A 67984-2021</t>
        </is>
      </c>
      <c r="B283" s="1" t="n">
        <v>44525.70237268518</v>
      </c>
      <c r="C283" s="1" t="n">
        <v>46004</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37035-2023</t>
        </is>
      </c>
      <c r="B284" s="1" t="n">
        <v>45155</v>
      </c>
      <c r="C284" s="1" t="n">
        <v>46004</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30514-2021</t>
        </is>
      </c>
      <c r="B285" s="1" t="n">
        <v>44364</v>
      </c>
      <c r="C285" s="1" t="n">
        <v>46004</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47909-2024</t>
        </is>
      </c>
      <c r="B286" s="1" t="n">
        <v>45589.31866898148</v>
      </c>
      <c r="C286" s="1" t="n">
        <v>46004</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33619-2022</t>
        </is>
      </c>
      <c r="B287" s="1" t="n">
        <v>44789</v>
      </c>
      <c r="C287" s="1" t="n">
        <v>46004</v>
      </c>
      <c r="D287" t="inlineStr">
        <is>
          <t>UPPSALA LÄN</t>
        </is>
      </c>
      <c r="E287" t="inlineStr">
        <is>
          <t>ENKÖPING</t>
        </is>
      </c>
      <c r="F287" t="inlineStr">
        <is>
          <t>Allmännings- och besparingsskogar</t>
        </is>
      </c>
      <c r="G287" t="n">
        <v>4.5</v>
      </c>
      <c r="H287" t="n">
        <v>0</v>
      </c>
      <c r="I287" t="n">
        <v>0</v>
      </c>
      <c r="J287" t="n">
        <v>0</v>
      </c>
      <c r="K287" t="n">
        <v>0</v>
      </c>
      <c r="L287" t="n">
        <v>0</v>
      </c>
      <c r="M287" t="n">
        <v>0</v>
      </c>
      <c r="N287" t="n">
        <v>0</v>
      </c>
      <c r="O287" t="n">
        <v>0</v>
      </c>
      <c r="P287" t="n">
        <v>0</v>
      </c>
      <c r="Q287" t="n">
        <v>0</v>
      </c>
      <c r="R287" s="2" t="inlineStr"/>
    </row>
    <row r="288" ht="15" customHeight="1">
      <c r="A288" t="inlineStr">
        <is>
          <t>A 31604-2023</t>
        </is>
      </c>
      <c r="B288" s="1" t="n">
        <v>45117.50368055556</v>
      </c>
      <c r="C288" s="1" t="n">
        <v>46004</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52889-2022</t>
        </is>
      </c>
      <c r="B289" s="1" t="n">
        <v>44875</v>
      </c>
      <c r="C289" s="1" t="n">
        <v>46004</v>
      </c>
      <c r="D289" t="inlineStr">
        <is>
          <t>UPPSALA LÄN</t>
        </is>
      </c>
      <c r="E289" t="inlineStr">
        <is>
          <t>ENKÖPING</t>
        </is>
      </c>
      <c r="G289" t="n">
        <v>1.7</v>
      </c>
      <c r="H289" t="n">
        <v>0</v>
      </c>
      <c r="I289" t="n">
        <v>0</v>
      </c>
      <c r="J289" t="n">
        <v>0</v>
      </c>
      <c r="K289" t="n">
        <v>0</v>
      </c>
      <c r="L289" t="n">
        <v>0</v>
      </c>
      <c r="M289" t="n">
        <v>0</v>
      </c>
      <c r="N289" t="n">
        <v>0</v>
      </c>
      <c r="O289" t="n">
        <v>0</v>
      </c>
      <c r="P289" t="n">
        <v>0</v>
      </c>
      <c r="Q289" t="n">
        <v>0</v>
      </c>
      <c r="R289" s="2" t="inlineStr"/>
    </row>
    <row r="290" ht="15" customHeight="1">
      <c r="A290" t="inlineStr">
        <is>
          <t>A 51030-2024</t>
        </is>
      </c>
      <c r="B290" s="1" t="n">
        <v>45603</v>
      </c>
      <c r="C290" s="1" t="n">
        <v>46004</v>
      </c>
      <c r="D290" t="inlineStr">
        <is>
          <t>UPPSALA LÄN</t>
        </is>
      </c>
      <c r="E290" t="inlineStr">
        <is>
          <t>ENKÖPING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25598-2021</t>
        </is>
      </c>
      <c r="B291" s="1" t="n">
        <v>44343.4558912037</v>
      </c>
      <c r="C291" s="1" t="n">
        <v>46004</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15162-2025</t>
        </is>
      </c>
      <c r="B292" s="1" t="n">
        <v>45744</v>
      </c>
      <c r="C292" s="1" t="n">
        <v>46004</v>
      </c>
      <c r="D292" t="inlineStr">
        <is>
          <t>UPPSALA LÄN</t>
        </is>
      </c>
      <c r="E292" t="inlineStr">
        <is>
          <t>ENKÖPING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38941-2025</t>
        </is>
      </c>
      <c r="B293" s="1" t="n">
        <v>45887</v>
      </c>
      <c r="C293" s="1" t="n">
        <v>46004</v>
      </c>
      <c r="D293" t="inlineStr">
        <is>
          <t>UPPSALA LÄN</t>
        </is>
      </c>
      <c r="E293" t="inlineStr">
        <is>
          <t>ENKÖPING</t>
        </is>
      </c>
      <c r="F293" t="inlineStr">
        <is>
          <t>Övriga statliga verk och myndigheter</t>
        </is>
      </c>
      <c r="G293" t="n">
        <v>0.6</v>
      </c>
      <c r="H293" t="n">
        <v>0</v>
      </c>
      <c r="I293" t="n">
        <v>0</v>
      </c>
      <c r="J293" t="n">
        <v>0</v>
      </c>
      <c r="K293" t="n">
        <v>0</v>
      </c>
      <c r="L293" t="n">
        <v>0</v>
      </c>
      <c r="M293" t="n">
        <v>0</v>
      </c>
      <c r="N293" t="n">
        <v>0</v>
      </c>
      <c r="O293" t="n">
        <v>0</v>
      </c>
      <c r="P293" t="n">
        <v>0</v>
      </c>
      <c r="Q293" t="n">
        <v>0</v>
      </c>
      <c r="R293" s="2" t="inlineStr"/>
    </row>
    <row r="294" ht="15" customHeight="1">
      <c r="A294" t="inlineStr">
        <is>
          <t>A 26292-2022</t>
        </is>
      </c>
      <c r="B294" s="1" t="n">
        <v>44735</v>
      </c>
      <c r="C294" s="1" t="n">
        <v>46004</v>
      </c>
      <c r="D294" t="inlineStr">
        <is>
          <t>UPPSALA LÄN</t>
        </is>
      </c>
      <c r="E294" t="inlineStr">
        <is>
          <t>ENKÖPING</t>
        </is>
      </c>
      <c r="F294" t="inlineStr">
        <is>
          <t>Kyrkan</t>
        </is>
      </c>
      <c r="G294" t="n">
        <v>4.6</v>
      </c>
      <c r="H294" t="n">
        <v>0</v>
      </c>
      <c r="I294" t="n">
        <v>0</v>
      </c>
      <c r="J294" t="n">
        <v>0</v>
      </c>
      <c r="K294" t="n">
        <v>0</v>
      </c>
      <c r="L294" t="n">
        <v>0</v>
      </c>
      <c r="M294" t="n">
        <v>0</v>
      </c>
      <c r="N294" t="n">
        <v>0</v>
      </c>
      <c r="O294" t="n">
        <v>0</v>
      </c>
      <c r="P294" t="n">
        <v>0</v>
      </c>
      <c r="Q294" t="n">
        <v>0</v>
      </c>
      <c r="R294" s="2" t="inlineStr"/>
    </row>
    <row r="295" ht="15" customHeight="1">
      <c r="A295" t="inlineStr">
        <is>
          <t>A 4044-2024</t>
        </is>
      </c>
      <c r="B295" s="1" t="n">
        <v>45323.45954861111</v>
      </c>
      <c r="C295" s="1" t="n">
        <v>46004</v>
      </c>
      <c r="D295" t="inlineStr">
        <is>
          <t>UPPSALA LÄN</t>
        </is>
      </c>
      <c r="E295" t="inlineStr">
        <is>
          <t>ENKÖPING</t>
        </is>
      </c>
      <c r="G295" t="n">
        <v>2.1</v>
      </c>
      <c r="H295" t="n">
        <v>0</v>
      </c>
      <c r="I295" t="n">
        <v>0</v>
      </c>
      <c r="J295" t="n">
        <v>0</v>
      </c>
      <c r="K295" t="n">
        <v>0</v>
      </c>
      <c r="L295" t="n">
        <v>0</v>
      </c>
      <c r="M295" t="n">
        <v>0</v>
      </c>
      <c r="N295" t="n">
        <v>0</v>
      </c>
      <c r="O295" t="n">
        <v>0</v>
      </c>
      <c r="P295" t="n">
        <v>0</v>
      </c>
      <c r="Q295" t="n">
        <v>0</v>
      </c>
      <c r="R295" s="2" t="inlineStr"/>
    </row>
    <row r="296" ht="15" customHeight="1">
      <c r="A296" t="inlineStr">
        <is>
          <t>A 51932-2022</t>
        </is>
      </c>
      <c r="B296" s="1" t="n">
        <v>44872</v>
      </c>
      <c r="C296" s="1" t="n">
        <v>46004</v>
      </c>
      <c r="D296" t="inlineStr">
        <is>
          <t>UPPSALA LÄN</t>
        </is>
      </c>
      <c r="E296" t="inlineStr">
        <is>
          <t>ENKÖPING</t>
        </is>
      </c>
      <c r="G296" t="n">
        <v>5.5</v>
      </c>
      <c r="H296" t="n">
        <v>0</v>
      </c>
      <c r="I296" t="n">
        <v>0</v>
      </c>
      <c r="J296" t="n">
        <v>0</v>
      </c>
      <c r="K296" t="n">
        <v>0</v>
      </c>
      <c r="L296" t="n">
        <v>0</v>
      </c>
      <c r="M296" t="n">
        <v>0</v>
      </c>
      <c r="N296" t="n">
        <v>0</v>
      </c>
      <c r="O296" t="n">
        <v>0</v>
      </c>
      <c r="P296" t="n">
        <v>0</v>
      </c>
      <c r="Q296" t="n">
        <v>0</v>
      </c>
      <c r="R296" s="2" t="inlineStr"/>
    </row>
    <row r="297" ht="15" customHeight="1">
      <c r="A297" t="inlineStr">
        <is>
          <t>A 33349-2024</t>
        </is>
      </c>
      <c r="B297" s="1" t="n">
        <v>45519</v>
      </c>
      <c r="C297" s="1" t="n">
        <v>46004</v>
      </c>
      <c r="D297" t="inlineStr">
        <is>
          <t>UPPSALA LÄN</t>
        </is>
      </c>
      <c r="E297" t="inlineStr">
        <is>
          <t>ENKÖPING</t>
        </is>
      </c>
      <c r="G297" t="n">
        <v>3.6</v>
      </c>
      <c r="H297" t="n">
        <v>0</v>
      </c>
      <c r="I297" t="n">
        <v>0</v>
      </c>
      <c r="J297" t="n">
        <v>0</v>
      </c>
      <c r="K297" t="n">
        <v>0</v>
      </c>
      <c r="L297" t="n">
        <v>0</v>
      </c>
      <c r="M297" t="n">
        <v>0</v>
      </c>
      <c r="N297" t="n">
        <v>0</v>
      </c>
      <c r="O297" t="n">
        <v>0</v>
      </c>
      <c r="P297" t="n">
        <v>0</v>
      </c>
      <c r="Q297" t="n">
        <v>0</v>
      </c>
      <c r="R297" s="2" t="inlineStr"/>
    </row>
    <row r="298" ht="15" customHeight="1">
      <c r="A298" t="inlineStr">
        <is>
          <t>A 22912-2024</t>
        </is>
      </c>
      <c r="B298" s="1" t="n">
        <v>45448.73118055556</v>
      </c>
      <c r="C298" s="1" t="n">
        <v>46004</v>
      </c>
      <c r="D298" t="inlineStr">
        <is>
          <t>UPPSALA LÄN</t>
        </is>
      </c>
      <c r="E298" t="inlineStr">
        <is>
          <t>ENKÖPING</t>
        </is>
      </c>
      <c r="G298" t="n">
        <v>2.8</v>
      </c>
      <c r="H298" t="n">
        <v>0</v>
      </c>
      <c r="I298" t="n">
        <v>0</v>
      </c>
      <c r="J298" t="n">
        <v>0</v>
      </c>
      <c r="K298" t="n">
        <v>0</v>
      </c>
      <c r="L298" t="n">
        <v>0</v>
      </c>
      <c r="M298" t="n">
        <v>0</v>
      </c>
      <c r="N298" t="n">
        <v>0</v>
      </c>
      <c r="O298" t="n">
        <v>0</v>
      </c>
      <c r="P298" t="n">
        <v>0</v>
      </c>
      <c r="Q298" t="n">
        <v>0</v>
      </c>
      <c r="R298" s="2" t="inlineStr"/>
    </row>
    <row r="299" ht="15" customHeight="1">
      <c r="A299" t="inlineStr">
        <is>
          <t>A 21017-2023</t>
        </is>
      </c>
      <c r="B299" s="1" t="n">
        <v>45061</v>
      </c>
      <c r="C299" s="1" t="n">
        <v>46004</v>
      </c>
      <c r="D299" t="inlineStr">
        <is>
          <t>UPPSALA LÄN</t>
        </is>
      </c>
      <c r="E299" t="inlineStr">
        <is>
          <t>ENKÖPING</t>
        </is>
      </c>
      <c r="G299" t="n">
        <v>4.8</v>
      </c>
      <c r="H299" t="n">
        <v>0</v>
      </c>
      <c r="I299" t="n">
        <v>0</v>
      </c>
      <c r="J299" t="n">
        <v>0</v>
      </c>
      <c r="K299" t="n">
        <v>0</v>
      </c>
      <c r="L299" t="n">
        <v>0</v>
      </c>
      <c r="M299" t="n">
        <v>0</v>
      </c>
      <c r="N299" t="n">
        <v>0</v>
      </c>
      <c r="O299" t="n">
        <v>0</v>
      </c>
      <c r="P299" t="n">
        <v>0</v>
      </c>
      <c r="Q299" t="n">
        <v>0</v>
      </c>
      <c r="R299" s="2" t="inlineStr"/>
    </row>
    <row r="300" ht="15" customHeight="1">
      <c r="A300" t="inlineStr">
        <is>
          <t>A 21612-2023</t>
        </is>
      </c>
      <c r="B300" s="1" t="n">
        <v>45063</v>
      </c>
      <c r="C300" s="1" t="n">
        <v>46004</v>
      </c>
      <c r="D300" t="inlineStr">
        <is>
          <t>UPPSALA LÄN</t>
        </is>
      </c>
      <c r="E300" t="inlineStr">
        <is>
          <t>ENKÖPING</t>
        </is>
      </c>
      <c r="F300" t="inlineStr">
        <is>
          <t>Allmännings- och besparingsskogar</t>
        </is>
      </c>
      <c r="G300" t="n">
        <v>1</v>
      </c>
      <c r="H300" t="n">
        <v>0</v>
      </c>
      <c r="I300" t="n">
        <v>0</v>
      </c>
      <c r="J300" t="n">
        <v>0</v>
      </c>
      <c r="K300" t="n">
        <v>0</v>
      </c>
      <c r="L300" t="n">
        <v>0</v>
      </c>
      <c r="M300" t="n">
        <v>0</v>
      </c>
      <c r="N300" t="n">
        <v>0</v>
      </c>
      <c r="O300" t="n">
        <v>0</v>
      </c>
      <c r="P300" t="n">
        <v>0</v>
      </c>
      <c r="Q300" t="n">
        <v>0</v>
      </c>
      <c r="R300" s="2" t="inlineStr"/>
    </row>
    <row r="301" ht="15" customHeight="1">
      <c r="A301" t="inlineStr">
        <is>
          <t>A 14243-2025</t>
        </is>
      </c>
      <c r="B301" s="1" t="n">
        <v>45740.61288194444</v>
      </c>
      <c r="C301" s="1" t="n">
        <v>46004</v>
      </c>
      <c r="D301" t="inlineStr">
        <is>
          <t>UPPSALA LÄN</t>
        </is>
      </c>
      <c r="E301" t="inlineStr">
        <is>
          <t>ENKÖPING</t>
        </is>
      </c>
      <c r="G301" t="n">
        <v>2.2</v>
      </c>
      <c r="H301" t="n">
        <v>0</v>
      </c>
      <c r="I301" t="n">
        <v>0</v>
      </c>
      <c r="J301" t="n">
        <v>0</v>
      </c>
      <c r="K301" t="n">
        <v>0</v>
      </c>
      <c r="L301" t="n">
        <v>0</v>
      </c>
      <c r="M301" t="n">
        <v>0</v>
      </c>
      <c r="N301" t="n">
        <v>0</v>
      </c>
      <c r="O301" t="n">
        <v>0</v>
      </c>
      <c r="P301" t="n">
        <v>0</v>
      </c>
      <c r="Q301" t="n">
        <v>0</v>
      </c>
      <c r="R301" s="2" t="inlineStr"/>
    </row>
    <row r="302" ht="15" customHeight="1">
      <c r="A302" t="inlineStr">
        <is>
          <t>A 52388-2024</t>
        </is>
      </c>
      <c r="B302" s="1" t="n">
        <v>45609.42939814815</v>
      </c>
      <c r="C302" s="1" t="n">
        <v>46004</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33343-2024</t>
        </is>
      </c>
      <c r="B303" s="1" t="n">
        <v>45519</v>
      </c>
      <c r="C303" s="1" t="n">
        <v>46004</v>
      </c>
      <c r="D303" t="inlineStr">
        <is>
          <t>UPPSALA LÄN</t>
        </is>
      </c>
      <c r="E303" t="inlineStr">
        <is>
          <t>ENKÖPING</t>
        </is>
      </c>
      <c r="G303" t="n">
        <v>2</v>
      </c>
      <c r="H303" t="n">
        <v>0</v>
      </c>
      <c r="I303" t="n">
        <v>0</v>
      </c>
      <c r="J303" t="n">
        <v>0</v>
      </c>
      <c r="K303" t="n">
        <v>0</v>
      </c>
      <c r="L303" t="n">
        <v>0</v>
      </c>
      <c r="M303" t="n">
        <v>0</v>
      </c>
      <c r="N303" t="n">
        <v>0</v>
      </c>
      <c r="O303" t="n">
        <v>0</v>
      </c>
      <c r="P303" t="n">
        <v>0</v>
      </c>
      <c r="Q303" t="n">
        <v>0</v>
      </c>
      <c r="R303" s="2" t="inlineStr"/>
    </row>
    <row r="304" ht="15" customHeight="1">
      <c r="A304" t="inlineStr">
        <is>
          <t>A 53607-2023</t>
        </is>
      </c>
      <c r="B304" s="1" t="n">
        <v>45230</v>
      </c>
      <c r="C304" s="1" t="n">
        <v>46004</v>
      </c>
      <c r="D304" t="inlineStr">
        <is>
          <t>UPPSALA LÄN</t>
        </is>
      </c>
      <c r="E304" t="inlineStr">
        <is>
          <t>ENKÖPING</t>
        </is>
      </c>
      <c r="F304" t="inlineStr">
        <is>
          <t>Allmännings- och besparingsskogar</t>
        </is>
      </c>
      <c r="G304" t="n">
        <v>6.3</v>
      </c>
      <c r="H304" t="n">
        <v>0</v>
      </c>
      <c r="I304" t="n">
        <v>0</v>
      </c>
      <c r="J304" t="n">
        <v>0</v>
      </c>
      <c r="K304" t="n">
        <v>0</v>
      </c>
      <c r="L304" t="n">
        <v>0</v>
      </c>
      <c r="M304" t="n">
        <v>0</v>
      </c>
      <c r="N304" t="n">
        <v>0</v>
      </c>
      <c r="O304" t="n">
        <v>0</v>
      </c>
      <c r="P304" t="n">
        <v>0</v>
      </c>
      <c r="Q304" t="n">
        <v>0</v>
      </c>
      <c r="R304" s="2" t="inlineStr"/>
    </row>
    <row r="305" ht="15" customHeight="1">
      <c r="A305" t="inlineStr">
        <is>
          <t>A 40202-2024</t>
        </is>
      </c>
      <c r="B305" s="1" t="n">
        <v>45554</v>
      </c>
      <c r="C305" s="1" t="n">
        <v>46004</v>
      </c>
      <c r="D305" t="inlineStr">
        <is>
          <t>UPPSALA LÄN</t>
        </is>
      </c>
      <c r="E305" t="inlineStr">
        <is>
          <t>ENKÖPING</t>
        </is>
      </c>
      <c r="G305" t="n">
        <v>6.2</v>
      </c>
      <c r="H305" t="n">
        <v>0</v>
      </c>
      <c r="I305" t="n">
        <v>0</v>
      </c>
      <c r="J305" t="n">
        <v>0</v>
      </c>
      <c r="K305" t="n">
        <v>0</v>
      </c>
      <c r="L305" t="n">
        <v>0</v>
      </c>
      <c r="M305" t="n">
        <v>0</v>
      </c>
      <c r="N305" t="n">
        <v>0</v>
      </c>
      <c r="O305" t="n">
        <v>0</v>
      </c>
      <c r="P305" t="n">
        <v>0</v>
      </c>
      <c r="Q305" t="n">
        <v>0</v>
      </c>
      <c r="R305" s="2" t="inlineStr"/>
    </row>
    <row r="306" ht="15" customHeight="1">
      <c r="A306" t="inlineStr">
        <is>
          <t>A 8306-2021</t>
        </is>
      </c>
      <c r="B306" s="1" t="n">
        <v>44244</v>
      </c>
      <c r="C306" s="1" t="n">
        <v>46004</v>
      </c>
      <c r="D306" t="inlineStr">
        <is>
          <t>UPPSALA LÄN</t>
        </is>
      </c>
      <c r="E306" t="inlineStr">
        <is>
          <t>ENKÖPING</t>
        </is>
      </c>
      <c r="G306" t="n">
        <v>14.9</v>
      </c>
      <c r="H306" t="n">
        <v>0</v>
      </c>
      <c r="I306" t="n">
        <v>0</v>
      </c>
      <c r="J306" t="n">
        <v>0</v>
      </c>
      <c r="K306" t="n">
        <v>0</v>
      </c>
      <c r="L306" t="n">
        <v>0</v>
      </c>
      <c r="M306" t="n">
        <v>0</v>
      </c>
      <c r="N306" t="n">
        <v>0</v>
      </c>
      <c r="O306" t="n">
        <v>0</v>
      </c>
      <c r="P306" t="n">
        <v>0</v>
      </c>
      <c r="Q306" t="n">
        <v>0</v>
      </c>
      <c r="R306" s="2" t="inlineStr"/>
    </row>
    <row r="307" ht="15" customHeight="1">
      <c r="A307" t="inlineStr">
        <is>
          <t>A 57152-2021</t>
        </is>
      </c>
      <c r="B307" s="1" t="n">
        <v>44482</v>
      </c>
      <c r="C307" s="1" t="n">
        <v>46004</v>
      </c>
      <c r="D307" t="inlineStr">
        <is>
          <t>UPPSALA LÄN</t>
        </is>
      </c>
      <c r="E307" t="inlineStr">
        <is>
          <t>ENKÖPING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18302-2025</t>
        </is>
      </c>
      <c r="B308" s="1" t="n">
        <v>45762</v>
      </c>
      <c r="C308" s="1" t="n">
        <v>46004</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28243-2023</t>
        </is>
      </c>
      <c r="B309" s="1" t="n">
        <v>45099.58885416666</v>
      </c>
      <c r="C309" s="1" t="n">
        <v>46004</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34124-2021</t>
        </is>
      </c>
      <c r="B310" s="1" t="n">
        <v>44379</v>
      </c>
      <c r="C310" s="1" t="n">
        <v>46004</v>
      </c>
      <c r="D310" t="inlineStr">
        <is>
          <t>UPPSALA LÄN</t>
        </is>
      </c>
      <c r="E310" t="inlineStr">
        <is>
          <t>ENKÖPING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28518-2024</t>
        </is>
      </c>
      <c r="B311" s="1" t="n">
        <v>45477</v>
      </c>
      <c r="C311" s="1" t="n">
        <v>46004</v>
      </c>
      <c r="D311" t="inlineStr">
        <is>
          <t>UPPSALA LÄN</t>
        </is>
      </c>
      <c r="E311" t="inlineStr">
        <is>
          <t>ENKÖPING</t>
        </is>
      </c>
      <c r="G311" t="n">
        <v>3.4</v>
      </c>
      <c r="H311" t="n">
        <v>0</v>
      </c>
      <c r="I311" t="n">
        <v>0</v>
      </c>
      <c r="J311" t="n">
        <v>0</v>
      </c>
      <c r="K311" t="n">
        <v>0</v>
      </c>
      <c r="L311" t="n">
        <v>0</v>
      </c>
      <c r="M311" t="n">
        <v>0</v>
      </c>
      <c r="N311" t="n">
        <v>0</v>
      </c>
      <c r="O311" t="n">
        <v>0</v>
      </c>
      <c r="P311" t="n">
        <v>0</v>
      </c>
      <c r="Q311" t="n">
        <v>0</v>
      </c>
      <c r="R311" s="2" t="inlineStr"/>
    </row>
    <row r="312" ht="15" customHeight="1">
      <c r="A312" t="inlineStr">
        <is>
          <t>A 56176-2021</t>
        </is>
      </c>
      <c r="B312" s="1" t="n">
        <v>44477</v>
      </c>
      <c r="C312" s="1" t="n">
        <v>46004</v>
      </c>
      <c r="D312" t="inlineStr">
        <is>
          <t>UPPSALA LÄN</t>
        </is>
      </c>
      <c r="E312" t="inlineStr">
        <is>
          <t>ENKÖPING</t>
        </is>
      </c>
      <c r="G312" t="n">
        <v>2.9</v>
      </c>
      <c r="H312" t="n">
        <v>0</v>
      </c>
      <c r="I312" t="n">
        <v>0</v>
      </c>
      <c r="J312" t="n">
        <v>0</v>
      </c>
      <c r="K312" t="n">
        <v>0</v>
      </c>
      <c r="L312" t="n">
        <v>0</v>
      </c>
      <c r="M312" t="n">
        <v>0</v>
      </c>
      <c r="N312" t="n">
        <v>0</v>
      </c>
      <c r="O312" t="n">
        <v>0</v>
      </c>
      <c r="P312" t="n">
        <v>0</v>
      </c>
      <c r="Q312" t="n">
        <v>0</v>
      </c>
      <c r="R312" s="2" t="inlineStr"/>
    </row>
    <row r="313" ht="15" customHeight="1">
      <c r="A313" t="inlineStr">
        <is>
          <t>A 52299-2023</t>
        </is>
      </c>
      <c r="B313" s="1" t="n">
        <v>45224.61636574074</v>
      </c>
      <c r="C313" s="1" t="n">
        <v>46004</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3235-2025</t>
        </is>
      </c>
      <c r="B314" s="1" t="n">
        <v>45679</v>
      </c>
      <c r="C314" s="1" t="n">
        <v>46004</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41828-2024</t>
        </is>
      </c>
      <c r="B315" s="1" t="n">
        <v>45561</v>
      </c>
      <c r="C315" s="1" t="n">
        <v>46004</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1536-2024</t>
        </is>
      </c>
      <c r="B316" s="1" t="n">
        <v>45306</v>
      </c>
      <c r="C316" s="1" t="n">
        <v>46004</v>
      </c>
      <c r="D316" t="inlineStr">
        <is>
          <t>UPPSALA LÄN</t>
        </is>
      </c>
      <c r="E316" t="inlineStr">
        <is>
          <t>ENKÖPING</t>
        </is>
      </c>
      <c r="F316" t="inlineStr">
        <is>
          <t>Kyrkan</t>
        </is>
      </c>
      <c r="G316" t="n">
        <v>5.6</v>
      </c>
      <c r="H316" t="n">
        <v>0</v>
      </c>
      <c r="I316" t="n">
        <v>0</v>
      </c>
      <c r="J316" t="n">
        <v>0</v>
      </c>
      <c r="K316" t="n">
        <v>0</v>
      </c>
      <c r="L316" t="n">
        <v>0</v>
      </c>
      <c r="M316" t="n">
        <v>0</v>
      </c>
      <c r="N316" t="n">
        <v>0</v>
      </c>
      <c r="O316" t="n">
        <v>0</v>
      </c>
      <c r="P316" t="n">
        <v>0</v>
      </c>
      <c r="Q316" t="n">
        <v>0</v>
      </c>
      <c r="R316" s="2" t="inlineStr"/>
    </row>
    <row r="317" ht="15" customHeight="1">
      <c r="A317" t="inlineStr">
        <is>
          <t>A 42564-2024</t>
        </is>
      </c>
      <c r="B317" s="1" t="n">
        <v>45565.63358796296</v>
      </c>
      <c r="C317" s="1" t="n">
        <v>46004</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30634-2022</t>
        </is>
      </c>
      <c r="B318" s="1" t="n">
        <v>44763.45711805556</v>
      </c>
      <c r="C318" s="1" t="n">
        <v>46004</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69344-2021</t>
        </is>
      </c>
      <c r="B319" s="1" t="n">
        <v>44531</v>
      </c>
      <c r="C319" s="1" t="n">
        <v>46004</v>
      </c>
      <c r="D319" t="inlineStr">
        <is>
          <t>UPPSALA LÄN</t>
        </is>
      </c>
      <c r="E319" t="inlineStr">
        <is>
          <t>ENKÖPING</t>
        </is>
      </c>
      <c r="G319" t="n">
        <v>2.9</v>
      </c>
      <c r="H319" t="n">
        <v>0</v>
      </c>
      <c r="I319" t="n">
        <v>0</v>
      </c>
      <c r="J319" t="n">
        <v>0</v>
      </c>
      <c r="K319" t="n">
        <v>0</v>
      </c>
      <c r="L319" t="n">
        <v>0</v>
      </c>
      <c r="M319" t="n">
        <v>0</v>
      </c>
      <c r="N319" t="n">
        <v>0</v>
      </c>
      <c r="O319" t="n">
        <v>0</v>
      </c>
      <c r="P319" t="n">
        <v>0</v>
      </c>
      <c r="Q319" t="n">
        <v>0</v>
      </c>
      <c r="R319" s="2" t="inlineStr"/>
    </row>
    <row r="320" ht="15" customHeight="1">
      <c r="A320" t="inlineStr">
        <is>
          <t>A 43492-2023</t>
        </is>
      </c>
      <c r="B320" s="1" t="n">
        <v>45181</v>
      </c>
      <c r="C320" s="1" t="n">
        <v>46004</v>
      </c>
      <c r="D320" t="inlineStr">
        <is>
          <t>UPPSALA LÄN</t>
        </is>
      </c>
      <c r="E320" t="inlineStr">
        <is>
          <t>ENKÖPING</t>
        </is>
      </c>
      <c r="G320" t="n">
        <v>1.6</v>
      </c>
      <c r="H320" t="n">
        <v>0</v>
      </c>
      <c r="I320" t="n">
        <v>0</v>
      </c>
      <c r="J320" t="n">
        <v>0</v>
      </c>
      <c r="K320" t="n">
        <v>0</v>
      </c>
      <c r="L320" t="n">
        <v>0</v>
      </c>
      <c r="M320" t="n">
        <v>0</v>
      </c>
      <c r="N320" t="n">
        <v>0</v>
      </c>
      <c r="O320" t="n">
        <v>0</v>
      </c>
      <c r="P320" t="n">
        <v>0</v>
      </c>
      <c r="Q320" t="n">
        <v>0</v>
      </c>
      <c r="R320" s="2" t="inlineStr"/>
    </row>
    <row r="321" ht="15" customHeight="1">
      <c r="A321" t="inlineStr">
        <is>
          <t>A 18259-2025</t>
        </is>
      </c>
      <c r="B321" s="1" t="n">
        <v>45762</v>
      </c>
      <c r="C321" s="1" t="n">
        <v>46004</v>
      </c>
      <c r="D321" t="inlineStr">
        <is>
          <t>UPPSALA LÄN</t>
        </is>
      </c>
      <c r="E321" t="inlineStr">
        <is>
          <t>ENKÖPING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14004-2023</t>
        </is>
      </c>
      <c r="B322" s="1" t="n">
        <v>45008</v>
      </c>
      <c r="C322" s="1" t="n">
        <v>46004</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6626-2023</t>
        </is>
      </c>
      <c r="B323" s="1" t="n">
        <v>44966.55946759259</v>
      </c>
      <c r="C323" s="1" t="n">
        <v>46004</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52005-2024</t>
        </is>
      </c>
      <c r="B324" s="1" t="n">
        <v>45607.7627662037</v>
      </c>
      <c r="C324" s="1" t="n">
        <v>46004</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1960-2022</t>
        </is>
      </c>
      <c r="B325" s="1" t="n">
        <v>44575</v>
      </c>
      <c r="C325" s="1" t="n">
        <v>46004</v>
      </c>
      <c r="D325" t="inlineStr">
        <is>
          <t>UPPSALA LÄN</t>
        </is>
      </c>
      <c r="E325" t="inlineStr">
        <is>
          <t>ENKÖPING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6157-2021</t>
        </is>
      </c>
      <c r="B326" s="1" t="n">
        <v>44232</v>
      </c>
      <c r="C326" s="1" t="n">
        <v>46004</v>
      </c>
      <c r="D326" t="inlineStr">
        <is>
          <t>UPPSALA LÄN</t>
        </is>
      </c>
      <c r="E326" t="inlineStr">
        <is>
          <t>ENKÖPING</t>
        </is>
      </c>
      <c r="G326" t="n">
        <v>3.9</v>
      </c>
      <c r="H326" t="n">
        <v>0</v>
      </c>
      <c r="I326" t="n">
        <v>0</v>
      </c>
      <c r="J326" t="n">
        <v>0</v>
      </c>
      <c r="K326" t="n">
        <v>0</v>
      </c>
      <c r="L326" t="n">
        <v>0</v>
      </c>
      <c r="M326" t="n">
        <v>0</v>
      </c>
      <c r="N326" t="n">
        <v>0</v>
      </c>
      <c r="O326" t="n">
        <v>0</v>
      </c>
      <c r="P326" t="n">
        <v>0</v>
      </c>
      <c r="Q326" t="n">
        <v>0</v>
      </c>
      <c r="R326" s="2" t="inlineStr"/>
    </row>
    <row r="327" ht="15" customHeight="1">
      <c r="A327" t="inlineStr">
        <is>
          <t>A 59497-2022</t>
        </is>
      </c>
      <c r="B327" s="1" t="n">
        <v>44907.48258101852</v>
      </c>
      <c r="C327" s="1" t="n">
        <v>46004</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9041-2023</t>
        </is>
      </c>
      <c r="B328" s="1" t="n">
        <v>44979</v>
      </c>
      <c r="C328" s="1" t="n">
        <v>46004</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17165-2025</t>
        </is>
      </c>
      <c r="B329" s="1" t="n">
        <v>45756</v>
      </c>
      <c r="C329" s="1" t="n">
        <v>46004</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5013-2025</t>
        </is>
      </c>
      <c r="B330" s="1" t="n">
        <v>45691</v>
      </c>
      <c r="C330" s="1" t="n">
        <v>46004</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12755-2025</t>
        </is>
      </c>
      <c r="B331" s="1" t="n">
        <v>45733.56541666666</v>
      </c>
      <c r="C331" s="1" t="n">
        <v>46004</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49627-2024</t>
        </is>
      </c>
      <c r="B332" s="1" t="n">
        <v>45596.59140046296</v>
      </c>
      <c r="C332" s="1" t="n">
        <v>46004</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57998-2024</t>
        </is>
      </c>
      <c r="B333" s="1" t="n">
        <v>45631</v>
      </c>
      <c r="C333" s="1" t="n">
        <v>46004</v>
      </c>
      <c r="D333" t="inlineStr">
        <is>
          <t>UPPSALA LÄN</t>
        </is>
      </c>
      <c r="E333" t="inlineStr">
        <is>
          <t>ENKÖPING</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39746-2025</t>
        </is>
      </c>
      <c r="B334" s="1" t="n">
        <v>45891</v>
      </c>
      <c r="C334" s="1" t="n">
        <v>46004</v>
      </c>
      <c r="D334" t="inlineStr">
        <is>
          <t>UPPSALA LÄN</t>
        </is>
      </c>
      <c r="E334" t="inlineStr">
        <is>
          <t>ENKÖPING</t>
        </is>
      </c>
      <c r="G334" t="n">
        <v>7.4</v>
      </c>
      <c r="H334" t="n">
        <v>0</v>
      </c>
      <c r="I334" t="n">
        <v>0</v>
      </c>
      <c r="J334" t="n">
        <v>0</v>
      </c>
      <c r="K334" t="n">
        <v>0</v>
      </c>
      <c r="L334" t="n">
        <v>0</v>
      </c>
      <c r="M334" t="n">
        <v>0</v>
      </c>
      <c r="N334" t="n">
        <v>0</v>
      </c>
      <c r="O334" t="n">
        <v>0</v>
      </c>
      <c r="P334" t="n">
        <v>0</v>
      </c>
      <c r="Q334" t="n">
        <v>0</v>
      </c>
      <c r="R334" s="2" t="inlineStr"/>
    </row>
    <row r="335" ht="15" customHeight="1">
      <c r="A335" t="inlineStr">
        <is>
          <t>A 59027-2024</t>
        </is>
      </c>
      <c r="B335" s="1" t="n">
        <v>45636.68755787037</v>
      </c>
      <c r="C335" s="1" t="n">
        <v>46004</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9667-2024</t>
        </is>
      </c>
      <c r="B336" s="1" t="n">
        <v>45362.45130787037</v>
      </c>
      <c r="C336" s="1" t="n">
        <v>46004</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37170-2021</t>
        </is>
      </c>
      <c r="B337" s="1" t="n">
        <v>44395</v>
      </c>
      <c r="C337" s="1" t="n">
        <v>46004</v>
      </c>
      <c r="D337" t="inlineStr">
        <is>
          <t>UPPSALA LÄN</t>
        </is>
      </c>
      <c r="E337" t="inlineStr">
        <is>
          <t>ENKÖPING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35645-2021</t>
        </is>
      </c>
      <c r="B338" s="1" t="n">
        <v>44386.42</v>
      </c>
      <c r="C338" s="1" t="n">
        <v>46004</v>
      </c>
      <c r="D338" t="inlineStr">
        <is>
          <t>UPPSALA LÄN</t>
        </is>
      </c>
      <c r="E338" t="inlineStr">
        <is>
          <t>ENKÖPING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58147-2024</t>
        </is>
      </c>
      <c r="B339" s="1" t="n">
        <v>45632.4334375</v>
      </c>
      <c r="C339" s="1" t="n">
        <v>46004</v>
      </c>
      <c r="D339" t="inlineStr">
        <is>
          <t>UPPSALA LÄN</t>
        </is>
      </c>
      <c r="E339" t="inlineStr">
        <is>
          <t>ENKÖPING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53587-2024</t>
        </is>
      </c>
      <c r="B340" s="1" t="n">
        <v>45614.66953703704</v>
      </c>
      <c r="C340" s="1" t="n">
        <v>46004</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15711-2025</t>
        </is>
      </c>
      <c r="B341" s="1" t="n">
        <v>45748</v>
      </c>
      <c r="C341" s="1" t="n">
        <v>46004</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3550-2023</t>
        </is>
      </c>
      <c r="B342" s="1" t="n">
        <v>44950</v>
      </c>
      <c r="C342" s="1" t="n">
        <v>46004</v>
      </c>
      <c r="D342" t="inlineStr">
        <is>
          <t>UPPSALA LÄN</t>
        </is>
      </c>
      <c r="E342" t="inlineStr">
        <is>
          <t>ENKÖPING</t>
        </is>
      </c>
      <c r="G342" t="n">
        <v>0.9</v>
      </c>
      <c r="H342" t="n">
        <v>0</v>
      </c>
      <c r="I342" t="n">
        <v>0</v>
      </c>
      <c r="J342" t="n">
        <v>0</v>
      </c>
      <c r="K342" t="n">
        <v>0</v>
      </c>
      <c r="L342" t="n">
        <v>0</v>
      </c>
      <c r="M342" t="n">
        <v>0</v>
      </c>
      <c r="N342" t="n">
        <v>0</v>
      </c>
      <c r="O342" t="n">
        <v>0</v>
      </c>
      <c r="P342" t="n">
        <v>0</v>
      </c>
      <c r="Q342" t="n">
        <v>0</v>
      </c>
      <c r="R342" s="2" t="inlineStr"/>
    </row>
    <row r="343" ht="15" customHeight="1">
      <c r="A343" t="inlineStr">
        <is>
          <t>A 19014-2025</t>
        </is>
      </c>
      <c r="B343" s="1" t="n">
        <v>45764.59631944444</v>
      </c>
      <c r="C343" s="1" t="n">
        <v>46004</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28318-2024</t>
        </is>
      </c>
      <c r="B344" s="1" t="n">
        <v>45477</v>
      </c>
      <c r="C344" s="1" t="n">
        <v>46004</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11503-2024</t>
        </is>
      </c>
      <c r="B345" s="1" t="n">
        <v>45372.68020833333</v>
      </c>
      <c r="C345" s="1" t="n">
        <v>46004</v>
      </c>
      <c r="D345" t="inlineStr">
        <is>
          <t>UPPSALA LÄN</t>
        </is>
      </c>
      <c r="E345" t="inlineStr">
        <is>
          <t>ENKÖPING</t>
        </is>
      </c>
      <c r="G345" t="n">
        <v>1.2</v>
      </c>
      <c r="H345" t="n">
        <v>0</v>
      </c>
      <c r="I345" t="n">
        <v>0</v>
      </c>
      <c r="J345" t="n">
        <v>0</v>
      </c>
      <c r="K345" t="n">
        <v>0</v>
      </c>
      <c r="L345" t="n">
        <v>0</v>
      </c>
      <c r="M345" t="n">
        <v>0</v>
      </c>
      <c r="N345" t="n">
        <v>0</v>
      </c>
      <c r="O345" t="n">
        <v>0</v>
      </c>
      <c r="P345" t="n">
        <v>0</v>
      </c>
      <c r="Q345" t="n">
        <v>0</v>
      </c>
      <c r="R345" s="2" t="inlineStr"/>
    </row>
    <row r="346" ht="15" customHeight="1">
      <c r="A346" t="inlineStr">
        <is>
          <t>A 39115-2024</t>
        </is>
      </c>
      <c r="B346" s="1" t="n">
        <v>45548</v>
      </c>
      <c r="C346" s="1" t="n">
        <v>46004</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25334-2023</t>
        </is>
      </c>
      <c r="B347" s="1" t="n">
        <v>45083</v>
      </c>
      <c r="C347" s="1" t="n">
        <v>46004</v>
      </c>
      <c r="D347" t="inlineStr">
        <is>
          <t>UPPSALA LÄN</t>
        </is>
      </c>
      <c r="E347" t="inlineStr">
        <is>
          <t>ENKÖPING</t>
        </is>
      </c>
      <c r="G347" t="n">
        <v>0.2</v>
      </c>
      <c r="H347" t="n">
        <v>0</v>
      </c>
      <c r="I347" t="n">
        <v>0</v>
      </c>
      <c r="J347" t="n">
        <v>0</v>
      </c>
      <c r="K347" t="n">
        <v>0</v>
      </c>
      <c r="L347" t="n">
        <v>0</v>
      </c>
      <c r="M347" t="n">
        <v>0</v>
      </c>
      <c r="N347" t="n">
        <v>0</v>
      </c>
      <c r="O347" t="n">
        <v>0</v>
      </c>
      <c r="P347" t="n">
        <v>0</v>
      </c>
      <c r="Q347" t="n">
        <v>0</v>
      </c>
      <c r="R347" s="2" t="inlineStr"/>
    </row>
    <row r="348" ht="15" customHeight="1">
      <c r="A348" t="inlineStr">
        <is>
          <t>A 41616-2025</t>
        </is>
      </c>
      <c r="B348" s="1" t="n">
        <v>45901.69684027778</v>
      </c>
      <c r="C348" s="1" t="n">
        <v>46004</v>
      </c>
      <c r="D348" t="inlineStr">
        <is>
          <t>UPPSALA LÄN</t>
        </is>
      </c>
      <c r="E348" t="inlineStr">
        <is>
          <t>ENKÖPING</t>
        </is>
      </c>
      <c r="F348" t="inlineStr">
        <is>
          <t>Allmännings- och besparingsskogar</t>
        </is>
      </c>
      <c r="G348" t="n">
        <v>17.3</v>
      </c>
      <c r="H348" t="n">
        <v>0</v>
      </c>
      <c r="I348" t="n">
        <v>0</v>
      </c>
      <c r="J348" t="n">
        <v>0</v>
      </c>
      <c r="K348" t="n">
        <v>0</v>
      </c>
      <c r="L348" t="n">
        <v>0</v>
      </c>
      <c r="M348" t="n">
        <v>0</v>
      </c>
      <c r="N348" t="n">
        <v>0</v>
      </c>
      <c r="O348" t="n">
        <v>0</v>
      </c>
      <c r="P348" t="n">
        <v>0</v>
      </c>
      <c r="Q348" t="n">
        <v>0</v>
      </c>
      <c r="R348" s="2" t="inlineStr"/>
    </row>
    <row r="349" ht="15" customHeight="1">
      <c r="A349" t="inlineStr">
        <is>
          <t>A 69344-2021</t>
        </is>
      </c>
      <c r="B349" s="1" t="n">
        <v>44531</v>
      </c>
      <c r="C349" s="1" t="n">
        <v>46004</v>
      </c>
      <c r="D349" t="inlineStr">
        <is>
          <t>UPPSALA LÄN</t>
        </is>
      </c>
      <c r="E349" t="inlineStr">
        <is>
          <t>ENKÖPING</t>
        </is>
      </c>
      <c r="G349" t="n">
        <v>2.9</v>
      </c>
      <c r="H349" t="n">
        <v>0</v>
      </c>
      <c r="I349" t="n">
        <v>0</v>
      </c>
      <c r="J349" t="n">
        <v>0</v>
      </c>
      <c r="K349" t="n">
        <v>0</v>
      </c>
      <c r="L349" t="n">
        <v>0</v>
      </c>
      <c r="M349" t="n">
        <v>0</v>
      </c>
      <c r="N349" t="n">
        <v>0</v>
      </c>
      <c r="O349" t="n">
        <v>0</v>
      </c>
      <c r="P349" t="n">
        <v>0</v>
      </c>
      <c r="Q349" t="n">
        <v>0</v>
      </c>
      <c r="R349" s="2" t="inlineStr"/>
    </row>
    <row r="350" ht="15" customHeight="1">
      <c r="A350" t="inlineStr">
        <is>
          <t>A 56837-2024</t>
        </is>
      </c>
      <c r="B350" s="1" t="n">
        <v>45628</v>
      </c>
      <c r="C350" s="1" t="n">
        <v>46004</v>
      </c>
      <c r="D350" t="inlineStr">
        <is>
          <t>UPPSALA LÄN</t>
        </is>
      </c>
      <c r="E350" t="inlineStr">
        <is>
          <t>ENKÖPING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51524-2022</t>
        </is>
      </c>
      <c r="B351" s="1" t="n">
        <v>44869</v>
      </c>
      <c r="C351" s="1" t="n">
        <v>46004</v>
      </c>
      <c r="D351" t="inlineStr">
        <is>
          <t>UPPSALA LÄN</t>
        </is>
      </c>
      <c r="E351" t="inlineStr">
        <is>
          <t>ENKÖPING</t>
        </is>
      </c>
      <c r="G351" t="n">
        <v>6.6</v>
      </c>
      <c r="H351" t="n">
        <v>0</v>
      </c>
      <c r="I351" t="n">
        <v>0</v>
      </c>
      <c r="J351" t="n">
        <v>0</v>
      </c>
      <c r="K351" t="n">
        <v>0</v>
      </c>
      <c r="L351" t="n">
        <v>0</v>
      </c>
      <c r="M351" t="n">
        <v>0</v>
      </c>
      <c r="N351" t="n">
        <v>0</v>
      </c>
      <c r="O351" t="n">
        <v>0</v>
      </c>
      <c r="P351" t="n">
        <v>0</v>
      </c>
      <c r="Q351" t="n">
        <v>0</v>
      </c>
      <c r="R351" s="2" t="inlineStr"/>
    </row>
    <row r="352" ht="15" customHeight="1">
      <c r="A352" t="inlineStr">
        <is>
          <t>A 41637-2025</t>
        </is>
      </c>
      <c r="B352" s="1" t="n">
        <v>45901</v>
      </c>
      <c r="C352" s="1" t="n">
        <v>46004</v>
      </c>
      <c r="D352" t="inlineStr">
        <is>
          <t>UPPSALA LÄN</t>
        </is>
      </c>
      <c r="E352" t="inlineStr">
        <is>
          <t>ENKÖPING</t>
        </is>
      </c>
      <c r="F352" t="inlineStr">
        <is>
          <t>Allmännings- och besparingsskogar</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12958-2024</t>
        </is>
      </c>
      <c r="B353" s="1" t="n">
        <v>45385</v>
      </c>
      <c r="C353" s="1" t="n">
        <v>46004</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41618-2025</t>
        </is>
      </c>
      <c r="B354" s="1" t="n">
        <v>45901.70085648148</v>
      </c>
      <c r="C354" s="1" t="n">
        <v>46004</v>
      </c>
      <c r="D354" t="inlineStr">
        <is>
          <t>UPPSALA LÄN</t>
        </is>
      </c>
      <c r="E354" t="inlineStr">
        <is>
          <t>ENKÖPING</t>
        </is>
      </c>
      <c r="F354" t="inlineStr">
        <is>
          <t>Allmännings- och besparingsskogar</t>
        </is>
      </c>
      <c r="G354" t="n">
        <v>5.3</v>
      </c>
      <c r="H354" t="n">
        <v>0</v>
      </c>
      <c r="I354" t="n">
        <v>0</v>
      </c>
      <c r="J354" t="n">
        <v>0</v>
      </c>
      <c r="K354" t="n">
        <v>0</v>
      </c>
      <c r="L354" t="n">
        <v>0</v>
      </c>
      <c r="M354" t="n">
        <v>0</v>
      </c>
      <c r="N354" t="n">
        <v>0</v>
      </c>
      <c r="O354" t="n">
        <v>0</v>
      </c>
      <c r="P354" t="n">
        <v>0</v>
      </c>
      <c r="Q354" t="n">
        <v>0</v>
      </c>
      <c r="R354" s="2" t="inlineStr"/>
    </row>
    <row r="355" ht="15" customHeight="1">
      <c r="A355" t="inlineStr">
        <is>
          <t>A 1651-2024</t>
        </is>
      </c>
      <c r="B355" s="1" t="n">
        <v>45306.73770833333</v>
      </c>
      <c r="C355" s="1" t="n">
        <v>46004</v>
      </c>
      <c r="D355" t="inlineStr">
        <is>
          <t>UPPSALA LÄN</t>
        </is>
      </c>
      <c r="E355" t="inlineStr">
        <is>
          <t>ENKÖPING</t>
        </is>
      </c>
      <c r="G355" t="n">
        <v>10.2</v>
      </c>
      <c r="H355" t="n">
        <v>0</v>
      </c>
      <c r="I355" t="n">
        <v>0</v>
      </c>
      <c r="J355" t="n">
        <v>0</v>
      </c>
      <c r="K355" t="n">
        <v>0</v>
      </c>
      <c r="L355" t="n">
        <v>0</v>
      </c>
      <c r="M355" t="n">
        <v>0</v>
      </c>
      <c r="N355" t="n">
        <v>0</v>
      </c>
      <c r="O355" t="n">
        <v>0</v>
      </c>
      <c r="P355" t="n">
        <v>0</v>
      </c>
      <c r="Q355" t="n">
        <v>0</v>
      </c>
      <c r="R355" s="2" t="inlineStr"/>
    </row>
    <row r="356" ht="15" customHeight="1">
      <c r="A356" t="inlineStr">
        <is>
          <t>A 46103-2023</t>
        </is>
      </c>
      <c r="B356" s="1" t="n">
        <v>45190</v>
      </c>
      <c r="C356" s="1" t="n">
        <v>46004</v>
      </c>
      <c r="D356" t="inlineStr">
        <is>
          <t>UPPSALA LÄN</t>
        </is>
      </c>
      <c r="E356" t="inlineStr">
        <is>
          <t>ENKÖPING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51012-2024</t>
        </is>
      </c>
      <c r="B357" s="1" t="n">
        <v>45603.39686342593</v>
      </c>
      <c r="C357" s="1" t="n">
        <v>46004</v>
      </c>
      <c r="D357" t="inlineStr">
        <is>
          <t>UPPSALA LÄN</t>
        </is>
      </c>
      <c r="E357" t="inlineStr">
        <is>
          <t>ENKÖPING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42029-2025</t>
        </is>
      </c>
      <c r="B358" s="1" t="n">
        <v>45903</v>
      </c>
      <c r="C358" s="1" t="n">
        <v>46004</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41737-2022</t>
        </is>
      </c>
      <c r="B359" s="1" t="n">
        <v>44827.63826388889</v>
      </c>
      <c r="C359" s="1" t="n">
        <v>46004</v>
      </c>
      <c r="D359" t="inlineStr">
        <is>
          <t>UPPSALA LÄN</t>
        </is>
      </c>
      <c r="E359" t="inlineStr">
        <is>
          <t>ENKÖPING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8137-2025</t>
        </is>
      </c>
      <c r="B360" s="1" t="n">
        <v>45707.8561574074</v>
      </c>
      <c r="C360" s="1" t="n">
        <v>46004</v>
      </c>
      <c r="D360" t="inlineStr">
        <is>
          <t>UPPSALA LÄN</t>
        </is>
      </c>
      <c r="E360" t="inlineStr">
        <is>
          <t>ENKÖPING</t>
        </is>
      </c>
      <c r="G360" t="n">
        <v>0.4</v>
      </c>
      <c r="H360" t="n">
        <v>0</v>
      </c>
      <c r="I360" t="n">
        <v>0</v>
      </c>
      <c r="J360" t="n">
        <v>0</v>
      </c>
      <c r="K360" t="n">
        <v>0</v>
      </c>
      <c r="L360" t="n">
        <v>0</v>
      </c>
      <c r="M360" t="n">
        <v>0</v>
      </c>
      <c r="N360" t="n">
        <v>0</v>
      </c>
      <c r="O360" t="n">
        <v>0</v>
      </c>
      <c r="P360" t="n">
        <v>0</v>
      </c>
      <c r="Q360" t="n">
        <v>0</v>
      </c>
      <c r="R360" s="2" t="inlineStr"/>
    </row>
    <row r="361" ht="15" customHeight="1">
      <c r="A361" t="inlineStr">
        <is>
          <t>A 41765-2025</t>
        </is>
      </c>
      <c r="B361" s="1" t="n">
        <v>45902</v>
      </c>
      <c r="C361" s="1" t="n">
        <v>46004</v>
      </c>
      <c r="D361" t="inlineStr">
        <is>
          <t>UPPSALA LÄN</t>
        </is>
      </c>
      <c r="E361" t="inlineStr">
        <is>
          <t>ENKÖPING</t>
        </is>
      </c>
      <c r="G361" t="n">
        <v>2.7</v>
      </c>
      <c r="H361" t="n">
        <v>0</v>
      </c>
      <c r="I361" t="n">
        <v>0</v>
      </c>
      <c r="J361" t="n">
        <v>0</v>
      </c>
      <c r="K361" t="n">
        <v>0</v>
      </c>
      <c r="L361" t="n">
        <v>0</v>
      </c>
      <c r="M361" t="n">
        <v>0</v>
      </c>
      <c r="N361" t="n">
        <v>0</v>
      </c>
      <c r="O361" t="n">
        <v>0</v>
      </c>
      <c r="P361" t="n">
        <v>0</v>
      </c>
      <c r="Q361" t="n">
        <v>0</v>
      </c>
      <c r="R361" s="2" t="inlineStr"/>
    </row>
    <row r="362" ht="15" customHeight="1">
      <c r="A362" t="inlineStr">
        <is>
          <t>A 57940-2022</t>
        </is>
      </c>
      <c r="B362" s="1" t="n">
        <v>44900</v>
      </c>
      <c r="C362" s="1" t="n">
        <v>46004</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47516-2022</t>
        </is>
      </c>
      <c r="B363" s="1" t="n">
        <v>44853.68895833333</v>
      </c>
      <c r="C363" s="1" t="n">
        <v>46004</v>
      </c>
      <c r="D363" t="inlineStr">
        <is>
          <t>UPPSALA LÄN</t>
        </is>
      </c>
      <c r="E363" t="inlineStr">
        <is>
          <t>ENKÖPING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23301-2024</t>
        </is>
      </c>
      <c r="B364" s="1" t="n">
        <v>45453.4396412037</v>
      </c>
      <c r="C364" s="1" t="n">
        <v>46004</v>
      </c>
      <c r="D364" t="inlineStr">
        <is>
          <t>UPPSALA LÄN</t>
        </is>
      </c>
      <c r="E364" t="inlineStr">
        <is>
          <t>ENKÖPING</t>
        </is>
      </c>
      <c r="G364" t="n">
        <v>4.3</v>
      </c>
      <c r="H364" t="n">
        <v>0</v>
      </c>
      <c r="I364" t="n">
        <v>0</v>
      </c>
      <c r="J364" t="n">
        <v>0</v>
      </c>
      <c r="K364" t="n">
        <v>0</v>
      </c>
      <c r="L364" t="n">
        <v>0</v>
      </c>
      <c r="M364" t="n">
        <v>0</v>
      </c>
      <c r="N364" t="n">
        <v>0</v>
      </c>
      <c r="O364" t="n">
        <v>0</v>
      </c>
      <c r="P364" t="n">
        <v>0</v>
      </c>
      <c r="Q364" t="n">
        <v>0</v>
      </c>
      <c r="R364" s="2" t="inlineStr"/>
    </row>
    <row r="365" ht="15" customHeight="1">
      <c r="A365" t="inlineStr">
        <is>
          <t>A 52380-2024</t>
        </is>
      </c>
      <c r="B365" s="1" t="n">
        <v>45609</v>
      </c>
      <c r="C365" s="1" t="n">
        <v>46004</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63310-2021</t>
        </is>
      </c>
      <c r="B366" s="1" t="n">
        <v>44508</v>
      </c>
      <c r="C366" s="1" t="n">
        <v>46004</v>
      </c>
      <c r="D366" t="inlineStr">
        <is>
          <t>UPPSALA LÄN</t>
        </is>
      </c>
      <c r="E366" t="inlineStr">
        <is>
          <t>ENKÖPING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41764-2025</t>
        </is>
      </c>
      <c r="B367" s="1" t="n">
        <v>45902</v>
      </c>
      <c r="C367" s="1" t="n">
        <v>46004</v>
      </c>
      <c r="D367" t="inlineStr">
        <is>
          <t>UPPSALA LÄN</t>
        </is>
      </c>
      <c r="E367" t="inlineStr">
        <is>
          <t>ENKÖPING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30098-2024</t>
        </is>
      </c>
      <c r="B368" s="1" t="n">
        <v>45489.41609953704</v>
      </c>
      <c r="C368" s="1" t="n">
        <v>46004</v>
      </c>
      <c r="D368" t="inlineStr">
        <is>
          <t>UPPSALA LÄN</t>
        </is>
      </c>
      <c r="E368" t="inlineStr">
        <is>
          <t>ENKÖPING</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20440-2025</t>
        </is>
      </c>
      <c r="B369" s="1" t="n">
        <v>45775</v>
      </c>
      <c r="C369" s="1" t="n">
        <v>46004</v>
      </c>
      <c r="D369" t="inlineStr">
        <is>
          <t>UPPSALA LÄN</t>
        </is>
      </c>
      <c r="E369" t="inlineStr">
        <is>
          <t>ENKÖPING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51042-2024</t>
        </is>
      </c>
      <c r="B370" s="1" t="n">
        <v>45603.4342824074</v>
      </c>
      <c r="C370" s="1" t="n">
        <v>46004</v>
      </c>
      <c r="D370" t="inlineStr">
        <is>
          <t>UPPSALA LÄN</t>
        </is>
      </c>
      <c r="E370" t="inlineStr">
        <is>
          <t>ENKÖPING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51037-2024</t>
        </is>
      </c>
      <c r="B371" s="1" t="n">
        <v>45603.43005787037</v>
      </c>
      <c r="C371" s="1" t="n">
        <v>46004</v>
      </c>
      <c r="D371" t="inlineStr">
        <is>
          <t>UPPSALA LÄN</t>
        </is>
      </c>
      <c r="E371" t="inlineStr">
        <is>
          <t>ENKÖPING</t>
        </is>
      </c>
      <c r="G371" t="n">
        <v>5.7</v>
      </c>
      <c r="H371" t="n">
        <v>0</v>
      </c>
      <c r="I371" t="n">
        <v>0</v>
      </c>
      <c r="J371" t="n">
        <v>0</v>
      </c>
      <c r="K371" t="n">
        <v>0</v>
      </c>
      <c r="L371" t="n">
        <v>0</v>
      </c>
      <c r="M371" t="n">
        <v>0</v>
      </c>
      <c r="N371" t="n">
        <v>0</v>
      </c>
      <c r="O371" t="n">
        <v>0</v>
      </c>
      <c r="P371" t="n">
        <v>0</v>
      </c>
      <c r="Q371" t="n">
        <v>0</v>
      </c>
      <c r="R371" s="2" t="inlineStr"/>
    </row>
    <row r="372" ht="15" customHeight="1">
      <c r="A372" t="inlineStr">
        <is>
          <t>A 42756-2025</t>
        </is>
      </c>
      <c r="B372" s="1" t="n">
        <v>45908</v>
      </c>
      <c r="C372" s="1" t="n">
        <v>46004</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22632-2025</t>
        </is>
      </c>
      <c r="B373" s="1" t="n">
        <v>45789.44361111111</v>
      </c>
      <c r="C373" s="1" t="n">
        <v>46004</v>
      </c>
      <c r="D373" t="inlineStr">
        <is>
          <t>UPPSALA LÄN</t>
        </is>
      </c>
      <c r="E373" t="inlineStr">
        <is>
          <t>ENKÖPING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18821-2023</t>
        </is>
      </c>
      <c r="B374" s="1" t="n">
        <v>45044.3782175926</v>
      </c>
      <c r="C374" s="1" t="n">
        <v>46004</v>
      </c>
      <c r="D374" t="inlineStr">
        <is>
          <t>UPPSALA LÄN</t>
        </is>
      </c>
      <c r="E374" t="inlineStr">
        <is>
          <t>ENKÖPING</t>
        </is>
      </c>
      <c r="G374" t="n">
        <v>6</v>
      </c>
      <c r="H374" t="n">
        <v>0</v>
      </c>
      <c r="I374" t="n">
        <v>0</v>
      </c>
      <c r="J374" t="n">
        <v>0</v>
      </c>
      <c r="K374" t="n">
        <v>0</v>
      </c>
      <c r="L374" t="n">
        <v>0</v>
      </c>
      <c r="M374" t="n">
        <v>0</v>
      </c>
      <c r="N374" t="n">
        <v>0</v>
      </c>
      <c r="O374" t="n">
        <v>0</v>
      </c>
      <c r="P374" t="n">
        <v>0</v>
      </c>
      <c r="Q374" t="n">
        <v>0</v>
      </c>
      <c r="R374" s="2" t="inlineStr"/>
    </row>
    <row r="375" ht="15" customHeight="1">
      <c r="A375" t="inlineStr">
        <is>
          <t>A 19488-2022</t>
        </is>
      </c>
      <c r="B375" s="1" t="n">
        <v>44693</v>
      </c>
      <c r="C375" s="1" t="n">
        <v>46004</v>
      </c>
      <c r="D375" t="inlineStr">
        <is>
          <t>UPPSALA LÄN</t>
        </is>
      </c>
      <c r="E375" t="inlineStr">
        <is>
          <t>ENKÖPING</t>
        </is>
      </c>
      <c r="G375" t="n">
        <v>7.8</v>
      </c>
      <c r="H375" t="n">
        <v>0</v>
      </c>
      <c r="I375" t="n">
        <v>0</v>
      </c>
      <c r="J375" t="n">
        <v>0</v>
      </c>
      <c r="K375" t="n">
        <v>0</v>
      </c>
      <c r="L375" t="n">
        <v>0</v>
      </c>
      <c r="M375" t="n">
        <v>0</v>
      </c>
      <c r="N375" t="n">
        <v>0</v>
      </c>
      <c r="O375" t="n">
        <v>0</v>
      </c>
      <c r="P375" t="n">
        <v>0</v>
      </c>
      <c r="Q375" t="n">
        <v>0</v>
      </c>
      <c r="R375" s="2" t="inlineStr"/>
    </row>
    <row r="376" ht="15" customHeight="1">
      <c r="A376" t="inlineStr">
        <is>
          <t>A 5188-2022</t>
        </is>
      </c>
      <c r="B376" s="1" t="n">
        <v>44594.4471412037</v>
      </c>
      <c r="C376" s="1" t="n">
        <v>46004</v>
      </c>
      <c r="D376" t="inlineStr">
        <is>
          <t>UPPSALA LÄN</t>
        </is>
      </c>
      <c r="E376" t="inlineStr">
        <is>
          <t>ENKÖPING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31622-2022</t>
        </is>
      </c>
      <c r="B377" s="1" t="n">
        <v>44775</v>
      </c>
      <c r="C377" s="1" t="n">
        <v>46004</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51027-2024</t>
        </is>
      </c>
      <c r="B378" s="1" t="n">
        <v>45603</v>
      </c>
      <c r="C378" s="1" t="n">
        <v>46004</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12102-2024</t>
        </is>
      </c>
      <c r="B379" s="1" t="n">
        <v>45377</v>
      </c>
      <c r="C379" s="1" t="n">
        <v>46004</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43999-2025</t>
        </is>
      </c>
      <c r="B380" s="1" t="n">
        <v>45915.45158564814</v>
      </c>
      <c r="C380" s="1" t="n">
        <v>46004</v>
      </c>
      <c r="D380" t="inlineStr">
        <is>
          <t>UPPSALA LÄN</t>
        </is>
      </c>
      <c r="E380" t="inlineStr">
        <is>
          <t>ENKÖPING</t>
        </is>
      </c>
      <c r="G380" t="n">
        <v>4.1</v>
      </c>
      <c r="H380" t="n">
        <v>0</v>
      </c>
      <c r="I380" t="n">
        <v>0</v>
      </c>
      <c r="J380" t="n">
        <v>0</v>
      </c>
      <c r="K380" t="n">
        <v>0</v>
      </c>
      <c r="L380" t="n">
        <v>0</v>
      </c>
      <c r="M380" t="n">
        <v>0</v>
      </c>
      <c r="N380" t="n">
        <v>0</v>
      </c>
      <c r="O380" t="n">
        <v>0</v>
      </c>
      <c r="P380" t="n">
        <v>0</v>
      </c>
      <c r="Q380" t="n">
        <v>0</v>
      </c>
      <c r="R380" s="2" t="inlineStr"/>
    </row>
    <row r="381" ht="15" customHeight="1">
      <c r="A381" t="inlineStr">
        <is>
          <t>A 59602-2024</t>
        </is>
      </c>
      <c r="B381" s="1" t="n">
        <v>45638</v>
      </c>
      <c r="C381" s="1" t="n">
        <v>46004</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44131-2023</t>
        </is>
      </c>
      <c r="B382" s="1" t="n">
        <v>45188</v>
      </c>
      <c r="C382" s="1" t="n">
        <v>46004</v>
      </c>
      <c r="D382" t="inlineStr">
        <is>
          <t>UPPSALA LÄN</t>
        </is>
      </c>
      <c r="E382" t="inlineStr">
        <is>
          <t>ENKÖPING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44419-2025</t>
        </is>
      </c>
      <c r="B383" s="1" t="n">
        <v>45916.54671296296</v>
      </c>
      <c r="C383" s="1" t="n">
        <v>46004</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60533-2021</t>
        </is>
      </c>
      <c r="B384" s="1" t="n">
        <v>44496</v>
      </c>
      <c r="C384" s="1" t="n">
        <v>46004</v>
      </c>
      <c r="D384" t="inlineStr">
        <is>
          <t>UPPSALA LÄN</t>
        </is>
      </c>
      <c r="E384" t="inlineStr">
        <is>
          <t>ENKÖPING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32477-2025</t>
        </is>
      </c>
      <c r="B385" s="1" t="n">
        <v>45838.43098379629</v>
      </c>
      <c r="C385" s="1" t="n">
        <v>46004</v>
      </c>
      <c r="D385" t="inlineStr">
        <is>
          <t>UPPSALA LÄN</t>
        </is>
      </c>
      <c r="E385" t="inlineStr">
        <is>
          <t>ENKÖPING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35052-2024</t>
        </is>
      </c>
      <c r="B386" s="1" t="n">
        <v>45527.6516087963</v>
      </c>
      <c r="C386" s="1" t="n">
        <v>46004</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51008-2024</t>
        </is>
      </c>
      <c r="B387" s="1" t="n">
        <v>45603.39041666667</v>
      </c>
      <c r="C387" s="1" t="n">
        <v>46004</v>
      </c>
      <c r="D387" t="inlineStr">
        <is>
          <t>UPPSALA LÄN</t>
        </is>
      </c>
      <c r="E387" t="inlineStr">
        <is>
          <t>ENKÖPING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54263-2025</t>
        </is>
      </c>
      <c r="B388" s="1" t="n">
        <v>45964.66271990741</v>
      </c>
      <c r="C388" s="1" t="n">
        <v>46004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45755-2025</t>
        </is>
      </c>
      <c r="B389" s="1" t="n">
        <v>45923.50240740741</v>
      </c>
      <c r="C389" s="1" t="n">
        <v>46004</v>
      </c>
      <c r="D389" t="inlineStr">
        <is>
          <t>UPPSALA LÄN</t>
        </is>
      </c>
      <c r="E389" t="inlineStr">
        <is>
          <t>ENKÖPING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54541-2025</t>
        </is>
      </c>
      <c r="B390" s="1" t="n">
        <v>45965.64733796296</v>
      </c>
      <c r="C390" s="1" t="n">
        <v>46004</v>
      </c>
      <c r="D390" t="inlineStr">
        <is>
          <t>UPPSALA LÄN</t>
        </is>
      </c>
      <c r="E390" t="inlineStr">
        <is>
          <t>ENKÖPING</t>
        </is>
      </c>
      <c r="G390" t="n">
        <v>3.1</v>
      </c>
      <c r="H390" t="n">
        <v>0</v>
      </c>
      <c r="I390" t="n">
        <v>0</v>
      </c>
      <c r="J390" t="n">
        <v>0</v>
      </c>
      <c r="K390" t="n">
        <v>0</v>
      </c>
      <c r="L390" t="n">
        <v>0</v>
      </c>
      <c r="M390" t="n">
        <v>0</v>
      </c>
      <c r="N390" t="n">
        <v>0</v>
      </c>
      <c r="O390" t="n">
        <v>0</v>
      </c>
      <c r="P390" t="n">
        <v>0</v>
      </c>
      <c r="Q390" t="n">
        <v>0</v>
      </c>
      <c r="R390" s="2" t="inlineStr"/>
    </row>
    <row r="391" ht="15" customHeight="1">
      <c r="A391" t="inlineStr">
        <is>
          <t>A 54758-2025</t>
        </is>
      </c>
      <c r="B391" s="1" t="n">
        <v>45966.59737268519</v>
      </c>
      <c r="C391" s="1" t="n">
        <v>46004</v>
      </c>
      <c r="D391" t="inlineStr">
        <is>
          <t>UPPSALA LÄN</t>
        </is>
      </c>
      <c r="E391" t="inlineStr">
        <is>
          <t>ENKÖPING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54844-2025</t>
        </is>
      </c>
      <c r="B392" s="1" t="n">
        <v>45966.69570601852</v>
      </c>
      <c r="C392" s="1" t="n">
        <v>46004</v>
      </c>
      <c r="D392" t="inlineStr">
        <is>
          <t>UPPSALA LÄN</t>
        </is>
      </c>
      <c r="E392" t="inlineStr">
        <is>
          <t>ENKÖPING</t>
        </is>
      </c>
      <c r="G392" t="n">
        <v>5.5</v>
      </c>
      <c r="H392" t="n">
        <v>0</v>
      </c>
      <c r="I392" t="n">
        <v>0</v>
      </c>
      <c r="J392" t="n">
        <v>0</v>
      </c>
      <c r="K392" t="n">
        <v>0</v>
      </c>
      <c r="L392" t="n">
        <v>0</v>
      </c>
      <c r="M392" t="n">
        <v>0</v>
      </c>
      <c r="N392" t="n">
        <v>0</v>
      </c>
      <c r="O392" t="n">
        <v>0</v>
      </c>
      <c r="P392" t="n">
        <v>0</v>
      </c>
      <c r="Q392" t="n">
        <v>0</v>
      </c>
      <c r="R392" s="2" t="inlineStr"/>
    </row>
    <row r="393" ht="15" customHeight="1">
      <c r="A393" t="inlineStr">
        <is>
          <t>A 34989-2025</t>
        </is>
      </c>
      <c r="B393" s="1" t="n">
        <v>45849</v>
      </c>
      <c r="C393" s="1" t="n">
        <v>46004</v>
      </c>
      <c r="D393" t="inlineStr">
        <is>
          <t>UPPSALA LÄN</t>
        </is>
      </c>
      <c r="E393" t="inlineStr">
        <is>
          <t>ENKÖPING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22156-2025</t>
        </is>
      </c>
      <c r="B394" s="1" t="n">
        <v>45785.57512731481</v>
      </c>
      <c r="C394" s="1" t="n">
        <v>46004</v>
      </c>
      <c r="D394" t="inlineStr">
        <is>
          <t>UPPSALA LÄN</t>
        </is>
      </c>
      <c r="E394" t="inlineStr">
        <is>
          <t>ENKÖPING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22150-2025</t>
        </is>
      </c>
      <c r="B395" s="1" t="n">
        <v>45785.56398148148</v>
      </c>
      <c r="C395" s="1" t="n">
        <v>46004</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34990-2025</t>
        </is>
      </c>
      <c r="B396" s="1" t="n">
        <v>45849.78916666667</v>
      </c>
      <c r="C396" s="1" t="n">
        <v>46004</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30087-2024</t>
        </is>
      </c>
      <c r="B397" s="1" t="n">
        <v>45489.39447916667</v>
      </c>
      <c r="C397" s="1" t="n">
        <v>46004</v>
      </c>
      <c r="D397" t="inlineStr">
        <is>
          <t>UPPSALA LÄN</t>
        </is>
      </c>
      <c r="E397" t="inlineStr">
        <is>
          <t>ENKÖPING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54776-2024</t>
        </is>
      </c>
      <c r="B398" s="1" t="n">
        <v>45618</v>
      </c>
      <c r="C398" s="1" t="n">
        <v>46004</v>
      </c>
      <c r="D398" t="inlineStr">
        <is>
          <t>UPPSALA LÄN</t>
        </is>
      </c>
      <c r="E398" t="inlineStr">
        <is>
          <t>ENKÖPING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22729-2025</t>
        </is>
      </c>
      <c r="B399" s="1" t="n">
        <v>45789.57790509259</v>
      </c>
      <c r="C399" s="1" t="n">
        <v>46004</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14518-2025</t>
        </is>
      </c>
      <c r="B400" s="1" t="n">
        <v>45741</v>
      </c>
      <c r="C400" s="1" t="n">
        <v>46004</v>
      </c>
      <c r="D400" t="inlineStr">
        <is>
          <t>UPPSALA LÄN</t>
        </is>
      </c>
      <c r="E400" t="inlineStr">
        <is>
          <t>ENKÖPING</t>
        </is>
      </c>
      <c r="G400" t="n">
        <v>2</v>
      </c>
      <c r="H400" t="n">
        <v>0</v>
      </c>
      <c r="I400" t="n">
        <v>0</v>
      </c>
      <c r="J400" t="n">
        <v>0</v>
      </c>
      <c r="K400" t="n">
        <v>0</v>
      </c>
      <c r="L400" t="n">
        <v>0</v>
      </c>
      <c r="M400" t="n">
        <v>0</v>
      </c>
      <c r="N400" t="n">
        <v>0</v>
      </c>
      <c r="O400" t="n">
        <v>0</v>
      </c>
      <c r="P400" t="n">
        <v>0</v>
      </c>
      <c r="Q400" t="n">
        <v>0</v>
      </c>
      <c r="R400" s="2" t="inlineStr"/>
    </row>
    <row r="401" ht="15" customHeight="1">
      <c r="A401" t="inlineStr">
        <is>
          <t>A 22677-2025</t>
        </is>
      </c>
      <c r="B401" s="1" t="n">
        <v>45789.49515046296</v>
      </c>
      <c r="C401" s="1" t="n">
        <v>46004</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22679-2025</t>
        </is>
      </c>
      <c r="B402" s="1" t="n">
        <v>45789.49747685185</v>
      </c>
      <c r="C402" s="1" t="n">
        <v>46004</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22770-2025</t>
        </is>
      </c>
      <c r="B403" s="1" t="n">
        <v>45789.63454861111</v>
      </c>
      <c r="C403" s="1" t="n">
        <v>46004</v>
      </c>
      <c r="D403" t="inlineStr">
        <is>
          <t>UPPSALA LÄN</t>
        </is>
      </c>
      <c r="E403" t="inlineStr">
        <is>
          <t>ENKÖPING</t>
        </is>
      </c>
      <c r="G403" t="n">
        <v>4.5</v>
      </c>
      <c r="H403" t="n">
        <v>0</v>
      </c>
      <c r="I403" t="n">
        <v>0</v>
      </c>
      <c r="J403" t="n">
        <v>0</v>
      </c>
      <c r="K403" t="n">
        <v>0</v>
      </c>
      <c r="L403" t="n">
        <v>0</v>
      </c>
      <c r="M403" t="n">
        <v>0</v>
      </c>
      <c r="N403" t="n">
        <v>0</v>
      </c>
      <c r="O403" t="n">
        <v>0</v>
      </c>
      <c r="P403" t="n">
        <v>0</v>
      </c>
      <c r="Q403" t="n">
        <v>0</v>
      </c>
      <c r="R403" s="2" t="inlineStr"/>
    </row>
    <row r="404" ht="15" customHeight="1">
      <c r="A404" t="inlineStr">
        <is>
          <t>A 22800-2025</t>
        </is>
      </c>
      <c r="B404" s="1" t="n">
        <v>45789.6669212963</v>
      </c>
      <c r="C404" s="1" t="n">
        <v>46004</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6981-2025</t>
        </is>
      </c>
      <c r="B405" s="1" t="n">
        <v>45701</v>
      </c>
      <c r="C405" s="1" t="n">
        <v>46004</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22786-2025</t>
        </is>
      </c>
      <c r="B406" s="1" t="n">
        <v>45789.64643518518</v>
      </c>
      <c r="C406" s="1" t="n">
        <v>46004</v>
      </c>
      <c r="D406" t="inlineStr">
        <is>
          <t>UPPSALA LÄN</t>
        </is>
      </c>
      <c r="E406" t="inlineStr">
        <is>
          <t>ENKÖPING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68123-2021</t>
        </is>
      </c>
      <c r="B407" s="1" t="n">
        <v>44526.39126157408</v>
      </c>
      <c r="C407" s="1" t="n">
        <v>46004</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22680-2025</t>
        </is>
      </c>
      <c r="B408" s="1" t="n">
        <v>45789.5005787037</v>
      </c>
      <c r="C408" s="1" t="n">
        <v>46004</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22802-2025</t>
        </is>
      </c>
      <c r="B409" s="1" t="n">
        <v>45789.6686574074</v>
      </c>
      <c r="C409" s="1" t="n">
        <v>46004</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22793-2025</t>
        </is>
      </c>
      <c r="B410" s="1" t="n">
        <v>45789.65693287037</v>
      </c>
      <c r="C410" s="1" t="n">
        <v>46004</v>
      </c>
      <c r="D410" t="inlineStr">
        <is>
          <t>UPPSALA LÄN</t>
        </is>
      </c>
      <c r="E410" t="inlineStr">
        <is>
          <t>ENKÖPING</t>
        </is>
      </c>
      <c r="G410" t="n">
        <v>3.2</v>
      </c>
      <c r="H410" t="n">
        <v>0</v>
      </c>
      <c r="I410" t="n">
        <v>0</v>
      </c>
      <c r="J410" t="n">
        <v>0</v>
      </c>
      <c r="K410" t="n">
        <v>0</v>
      </c>
      <c r="L410" t="n">
        <v>0</v>
      </c>
      <c r="M410" t="n">
        <v>0</v>
      </c>
      <c r="N410" t="n">
        <v>0</v>
      </c>
      <c r="O410" t="n">
        <v>0</v>
      </c>
      <c r="P410" t="n">
        <v>0</v>
      </c>
      <c r="Q410" t="n">
        <v>0</v>
      </c>
      <c r="R410" s="2" t="inlineStr"/>
    </row>
    <row r="411" ht="15" customHeight="1">
      <c r="A411" t="inlineStr">
        <is>
          <t>A 22795-2025</t>
        </is>
      </c>
      <c r="B411" s="1" t="n">
        <v>45789.65944444444</v>
      </c>
      <c r="C411" s="1" t="n">
        <v>46004</v>
      </c>
      <c r="D411" t="inlineStr">
        <is>
          <t>UPPSALA LÄN</t>
        </is>
      </c>
      <c r="E411" t="inlineStr">
        <is>
          <t>ENKÖPING</t>
        </is>
      </c>
      <c r="G411" t="n">
        <v>10.4</v>
      </c>
      <c r="H411" t="n">
        <v>0</v>
      </c>
      <c r="I411" t="n">
        <v>0</v>
      </c>
      <c r="J411" t="n">
        <v>0</v>
      </c>
      <c r="K411" t="n">
        <v>0</v>
      </c>
      <c r="L411" t="n">
        <v>0</v>
      </c>
      <c r="M411" t="n">
        <v>0</v>
      </c>
      <c r="N411" t="n">
        <v>0</v>
      </c>
      <c r="O411" t="n">
        <v>0</v>
      </c>
      <c r="P411" t="n">
        <v>0</v>
      </c>
      <c r="Q411" t="n">
        <v>0</v>
      </c>
      <c r="R411" s="2" t="inlineStr"/>
    </row>
    <row r="412" ht="15" customHeight="1">
      <c r="A412" t="inlineStr">
        <is>
          <t>A 22725-2025</t>
        </is>
      </c>
      <c r="B412" s="1" t="n">
        <v>45789.57371527778</v>
      </c>
      <c r="C412" s="1" t="n">
        <v>46004</v>
      </c>
      <c r="D412" t="inlineStr">
        <is>
          <t>UPPSALA LÄN</t>
        </is>
      </c>
      <c r="E412" t="inlineStr">
        <is>
          <t>ENKÖPING</t>
        </is>
      </c>
      <c r="G412" t="n">
        <v>4.8</v>
      </c>
      <c r="H412" t="n">
        <v>0</v>
      </c>
      <c r="I412" t="n">
        <v>0</v>
      </c>
      <c r="J412" t="n">
        <v>0</v>
      </c>
      <c r="K412" t="n">
        <v>0</v>
      </c>
      <c r="L412" t="n">
        <v>0</v>
      </c>
      <c r="M412" t="n">
        <v>0</v>
      </c>
      <c r="N412" t="n">
        <v>0</v>
      </c>
      <c r="O412" t="n">
        <v>0</v>
      </c>
      <c r="P412" t="n">
        <v>0</v>
      </c>
      <c r="Q412" t="n">
        <v>0</v>
      </c>
      <c r="R412" s="2" t="inlineStr"/>
    </row>
    <row r="413" ht="15" customHeight="1">
      <c r="A413" t="inlineStr">
        <is>
          <t>A 46940-2025</t>
        </is>
      </c>
      <c r="B413" s="1" t="n">
        <v>45929.45483796296</v>
      </c>
      <c r="C413" s="1" t="n">
        <v>46004</v>
      </c>
      <c r="D413" t="inlineStr">
        <is>
          <t>UPPSALA LÄN</t>
        </is>
      </c>
      <c r="E413" t="inlineStr">
        <is>
          <t>ENKÖPING</t>
        </is>
      </c>
      <c r="G413" t="n">
        <v>5.3</v>
      </c>
      <c r="H413" t="n">
        <v>0</v>
      </c>
      <c r="I413" t="n">
        <v>0</v>
      </c>
      <c r="J413" t="n">
        <v>0</v>
      </c>
      <c r="K413" t="n">
        <v>0</v>
      </c>
      <c r="L413" t="n">
        <v>0</v>
      </c>
      <c r="M413" t="n">
        <v>0</v>
      </c>
      <c r="N413" t="n">
        <v>0</v>
      </c>
      <c r="O413" t="n">
        <v>0</v>
      </c>
      <c r="P413" t="n">
        <v>0</v>
      </c>
      <c r="Q413" t="n">
        <v>0</v>
      </c>
      <c r="R413" s="2" t="inlineStr"/>
    </row>
    <row r="414" ht="15" customHeight="1">
      <c r="A414" t="inlineStr">
        <is>
          <t>A 46590-2025</t>
        </is>
      </c>
      <c r="B414" s="1" t="n">
        <v>45926.39542824074</v>
      </c>
      <c r="C414" s="1" t="n">
        <v>46004</v>
      </c>
      <c r="D414" t="inlineStr">
        <is>
          <t>UPPSALA LÄN</t>
        </is>
      </c>
      <c r="E414" t="inlineStr">
        <is>
          <t>ENKÖPING</t>
        </is>
      </c>
      <c r="G414" t="n">
        <v>2.7</v>
      </c>
      <c r="H414" t="n">
        <v>0</v>
      </c>
      <c r="I414" t="n">
        <v>0</v>
      </c>
      <c r="J414" t="n">
        <v>0</v>
      </c>
      <c r="K414" t="n">
        <v>0</v>
      </c>
      <c r="L414" t="n">
        <v>0</v>
      </c>
      <c r="M414" t="n">
        <v>0</v>
      </c>
      <c r="N414" t="n">
        <v>0</v>
      </c>
      <c r="O414" t="n">
        <v>0</v>
      </c>
      <c r="P414" t="n">
        <v>0</v>
      </c>
      <c r="Q414" t="n">
        <v>0</v>
      </c>
      <c r="R414" s="2" t="inlineStr"/>
    </row>
    <row r="415" ht="15" customHeight="1">
      <c r="A415" t="inlineStr">
        <is>
          <t>A 55567-2025</t>
        </is>
      </c>
      <c r="B415" s="1" t="n">
        <v>45971.65589120371</v>
      </c>
      <c r="C415" s="1" t="n">
        <v>46004</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22981-2025</t>
        </is>
      </c>
      <c r="B416" s="1" t="n">
        <v>45790.56964120371</v>
      </c>
      <c r="C416" s="1" t="n">
        <v>46004</v>
      </c>
      <c r="D416" t="inlineStr">
        <is>
          <t>UPPSALA LÄN</t>
        </is>
      </c>
      <c r="E416" t="inlineStr">
        <is>
          <t>ENKÖPING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47441-2025</t>
        </is>
      </c>
      <c r="B417" s="1" t="n">
        <v>45930.63986111111</v>
      </c>
      <c r="C417" s="1" t="n">
        <v>46004</v>
      </c>
      <c r="D417" t="inlineStr">
        <is>
          <t>UPPSALA LÄN</t>
        </is>
      </c>
      <c r="E417" t="inlineStr">
        <is>
          <t>ENKÖPING</t>
        </is>
      </c>
      <c r="F417" t="inlineStr">
        <is>
          <t>Allmännings- och besparingsskogar</t>
        </is>
      </c>
      <c r="G417" t="n">
        <v>11.5</v>
      </c>
      <c r="H417" t="n">
        <v>0</v>
      </c>
      <c r="I417" t="n">
        <v>0</v>
      </c>
      <c r="J417" t="n">
        <v>0</v>
      </c>
      <c r="K417" t="n">
        <v>0</v>
      </c>
      <c r="L417" t="n">
        <v>0</v>
      </c>
      <c r="M417" t="n">
        <v>0</v>
      </c>
      <c r="N417" t="n">
        <v>0</v>
      </c>
      <c r="O417" t="n">
        <v>0</v>
      </c>
      <c r="P417" t="n">
        <v>0</v>
      </c>
      <c r="Q417" t="n">
        <v>0</v>
      </c>
      <c r="R417" s="2" t="inlineStr"/>
    </row>
    <row r="418" ht="15" customHeight="1">
      <c r="A418" t="inlineStr">
        <is>
          <t>A 45956-2024</t>
        </is>
      </c>
      <c r="B418" s="1" t="n">
        <v>45580</v>
      </c>
      <c r="C418" s="1" t="n">
        <v>46004</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10831-2024</t>
        </is>
      </c>
      <c r="B419" s="1" t="n">
        <v>45369</v>
      </c>
      <c r="C419" s="1" t="n">
        <v>46004</v>
      </c>
      <c r="D419" t="inlineStr">
        <is>
          <t>UPPSALA LÄN</t>
        </is>
      </c>
      <c r="E419" t="inlineStr">
        <is>
          <t>ENKÖPING</t>
        </is>
      </c>
      <c r="G419" t="n">
        <v>2.9</v>
      </c>
      <c r="H419" t="n">
        <v>0</v>
      </c>
      <c r="I419" t="n">
        <v>0</v>
      </c>
      <c r="J419" t="n">
        <v>0</v>
      </c>
      <c r="K419" t="n">
        <v>0</v>
      </c>
      <c r="L419" t="n">
        <v>0</v>
      </c>
      <c r="M419" t="n">
        <v>0</v>
      </c>
      <c r="N419" t="n">
        <v>0</v>
      </c>
      <c r="O419" t="n">
        <v>0</v>
      </c>
      <c r="P419" t="n">
        <v>0</v>
      </c>
      <c r="Q419" t="n">
        <v>0</v>
      </c>
      <c r="R419" s="2" t="inlineStr"/>
    </row>
    <row r="420" ht="15" customHeight="1">
      <c r="A420" t="inlineStr">
        <is>
          <t>A 8020-2022</t>
        </is>
      </c>
      <c r="B420" s="1" t="n">
        <v>44609</v>
      </c>
      <c r="C420" s="1" t="n">
        <v>46004</v>
      </c>
      <c r="D420" t="inlineStr">
        <is>
          <t>UPPSALA LÄN</t>
        </is>
      </c>
      <c r="E420" t="inlineStr">
        <is>
          <t>ENKÖPING</t>
        </is>
      </c>
      <c r="G420" t="n">
        <v>6</v>
      </c>
      <c r="H420" t="n">
        <v>0</v>
      </c>
      <c r="I420" t="n">
        <v>0</v>
      </c>
      <c r="J420" t="n">
        <v>0</v>
      </c>
      <c r="K420" t="n">
        <v>0</v>
      </c>
      <c r="L420" t="n">
        <v>0</v>
      </c>
      <c r="M420" t="n">
        <v>0</v>
      </c>
      <c r="N420" t="n">
        <v>0</v>
      </c>
      <c r="O420" t="n">
        <v>0</v>
      </c>
      <c r="P420" t="n">
        <v>0</v>
      </c>
      <c r="Q420" t="n">
        <v>0</v>
      </c>
      <c r="R420" s="2" t="inlineStr"/>
    </row>
    <row r="421" ht="15" customHeight="1">
      <c r="A421" t="inlineStr">
        <is>
          <t>A 56625-2025</t>
        </is>
      </c>
      <c r="B421" s="1" t="n">
        <v>45975.60608796297</v>
      </c>
      <c r="C421" s="1" t="n">
        <v>46004</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74090-2021</t>
        </is>
      </c>
      <c r="B422" s="1" t="n">
        <v>44557</v>
      </c>
      <c r="C422" s="1" t="n">
        <v>46004</v>
      </c>
      <c r="D422" t="inlineStr">
        <is>
          <t>UPPSALA LÄN</t>
        </is>
      </c>
      <c r="E422" t="inlineStr">
        <is>
          <t>ENKÖPING</t>
        </is>
      </c>
      <c r="G422" t="n">
        <v>2.1</v>
      </c>
      <c r="H422" t="n">
        <v>0</v>
      </c>
      <c r="I422" t="n">
        <v>0</v>
      </c>
      <c r="J422" t="n">
        <v>0</v>
      </c>
      <c r="K422" t="n">
        <v>0</v>
      </c>
      <c r="L422" t="n">
        <v>0</v>
      </c>
      <c r="M422" t="n">
        <v>0</v>
      </c>
      <c r="N422" t="n">
        <v>0</v>
      </c>
      <c r="O422" t="n">
        <v>0</v>
      </c>
      <c r="P422" t="n">
        <v>0</v>
      </c>
      <c r="Q422" t="n">
        <v>0</v>
      </c>
      <c r="R422" s="2" t="inlineStr"/>
    </row>
    <row r="423" ht="15" customHeight="1">
      <c r="A423" t="inlineStr">
        <is>
          <t>A 34805-2024</t>
        </is>
      </c>
      <c r="B423" s="1" t="n">
        <v>45526</v>
      </c>
      <c r="C423" s="1" t="n">
        <v>46004</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17729-2023</t>
        </is>
      </c>
      <c r="B424" s="1" t="n">
        <v>45037</v>
      </c>
      <c r="C424" s="1" t="n">
        <v>46004</v>
      </c>
      <c r="D424" t="inlineStr">
        <is>
          <t>UPPSALA LÄN</t>
        </is>
      </c>
      <c r="E424" t="inlineStr">
        <is>
          <t>ENKÖPING</t>
        </is>
      </c>
      <c r="G424" t="n">
        <v>10.2</v>
      </c>
      <c r="H424" t="n">
        <v>0</v>
      </c>
      <c r="I424" t="n">
        <v>0</v>
      </c>
      <c r="J424" t="n">
        <v>0</v>
      </c>
      <c r="K424" t="n">
        <v>0</v>
      </c>
      <c r="L424" t="n">
        <v>0</v>
      </c>
      <c r="M424" t="n">
        <v>0</v>
      </c>
      <c r="N424" t="n">
        <v>0</v>
      </c>
      <c r="O424" t="n">
        <v>0</v>
      </c>
      <c r="P424" t="n">
        <v>0</v>
      </c>
      <c r="Q424" t="n">
        <v>0</v>
      </c>
      <c r="R424" s="2" t="inlineStr"/>
    </row>
    <row r="425" ht="15" customHeight="1">
      <c r="A425" t="inlineStr">
        <is>
          <t>A 5712-2025</t>
        </is>
      </c>
      <c r="B425" s="1" t="n">
        <v>45694</v>
      </c>
      <c r="C425" s="1" t="n">
        <v>46004</v>
      </c>
      <c r="D425" t="inlineStr">
        <is>
          <t>UPPSALA LÄN</t>
        </is>
      </c>
      <c r="E425" t="inlineStr">
        <is>
          <t>ENKÖPING</t>
        </is>
      </c>
      <c r="G425" t="n">
        <v>5.1</v>
      </c>
      <c r="H425" t="n">
        <v>0</v>
      </c>
      <c r="I425" t="n">
        <v>0</v>
      </c>
      <c r="J425" t="n">
        <v>0</v>
      </c>
      <c r="K425" t="n">
        <v>0</v>
      </c>
      <c r="L425" t="n">
        <v>0</v>
      </c>
      <c r="M425" t="n">
        <v>0</v>
      </c>
      <c r="N425" t="n">
        <v>0</v>
      </c>
      <c r="O425" t="n">
        <v>0</v>
      </c>
      <c r="P425" t="n">
        <v>0</v>
      </c>
      <c r="Q425" t="n">
        <v>0</v>
      </c>
      <c r="R425" s="2" t="inlineStr"/>
    </row>
    <row r="426" ht="15" customHeight="1">
      <c r="A426" t="inlineStr">
        <is>
          <t>A 5749-2025</t>
        </is>
      </c>
      <c r="B426" s="1" t="n">
        <v>45694</v>
      </c>
      <c r="C426" s="1" t="n">
        <v>46004</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314-2025</t>
        </is>
      </c>
      <c r="B427" s="1" t="n">
        <v>45656</v>
      </c>
      <c r="C427" s="1" t="n">
        <v>46004</v>
      </c>
      <c r="D427" t="inlineStr">
        <is>
          <t>UPPSALA LÄN</t>
        </is>
      </c>
      <c r="E427" t="inlineStr">
        <is>
          <t>ENKÖPING</t>
        </is>
      </c>
      <c r="G427" t="n">
        <v>9</v>
      </c>
      <c r="H427" t="n">
        <v>0</v>
      </c>
      <c r="I427" t="n">
        <v>0</v>
      </c>
      <c r="J427" t="n">
        <v>0</v>
      </c>
      <c r="K427" t="n">
        <v>0</v>
      </c>
      <c r="L427" t="n">
        <v>0</v>
      </c>
      <c r="M427" t="n">
        <v>0</v>
      </c>
      <c r="N427" t="n">
        <v>0</v>
      </c>
      <c r="O427" t="n">
        <v>0</v>
      </c>
      <c r="P427" t="n">
        <v>0</v>
      </c>
      <c r="Q427" t="n">
        <v>0</v>
      </c>
      <c r="R427" s="2" t="inlineStr"/>
    </row>
    <row r="428" ht="15" customHeight="1">
      <c r="A428" t="inlineStr">
        <is>
          <t>A 11627-2025</t>
        </is>
      </c>
      <c r="B428" s="1" t="n">
        <v>45727</v>
      </c>
      <c r="C428" s="1" t="n">
        <v>46004</v>
      </c>
      <c r="D428" t="inlineStr">
        <is>
          <t>UPPSALA LÄN</t>
        </is>
      </c>
      <c r="E428" t="inlineStr">
        <is>
          <t>ENKÖPING</t>
        </is>
      </c>
      <c r="G428" t="n">
        <v>5.5</v>
      </c>
      <c r="H428" t="n">
        <v>0</v>
      </c>
      <c r="I428" t="n">
        <v>0</v>
      </c>
      <c r="J428" t="n">
        <v>0</v>
      </c>
      <c r="K428" t="n">
        <v>0</v>
      </c>
      <c r="L428" t="n">
        <v>0</v>
      </c>
      <c r="M428" t="n">
        <v>0</v>
      </c>
      <c r="N428" t="n">
        <v>0</v>
      </c>
      <c r="O428" t="n">
        <v>0</v>
      </c>
      <c r="P428" t="n">
        <v>0</v>
      </c>
      <c r="Q428" t="n">
        <v>0</v>
      </c>
      <c r="R428" s="2" t="inlineStr"/>
    </row>
    <row r="429" ht="15" customHeight="1">
      <c r="A429" t="inlineStr">
        <is>
          <t>A 39439-2025</t>
        </is>
      </c>
      <c r="B429" s="1" t="n">
        <v>45889</v>
      </c>
      <c r="C429" s="1" t="n">
        <v>46004</v>
      </c>
      <c r="D429" t="inlineStr">
        <is>
          <t>UPPSALA LÄN</t>
        </is>
      </c>
      <c r="E429" t="inlineStr">
        <is>
          <t>ENKÖPING</t>
        </is>
      </c>
      <c r="G429" t="n">
        <v>0.4</v>
      </c>
      <c r="H429" t="n">
        <v>0</v>
      </c>
      <c r="I429" t="n">
        <v>0</v>
      </c>
      <c r="J429" t="n">
        <v>0</v>
      </c>
      <c r="K429" t="n">
        <v>0</v>
      </c>
      <c r="L429" t="n">
        <v>0</v>
      </c>
      <c r="M429" t="n">
        <v>0</v>
      </c>
      <c r="N429" t="n">
        <v>0</v>
      </c>
      <c r="O429" t="n">
        <v>0</v>
      </c>
      <c r="P429" t="n">
        <v>0</v>
      </c>
      <c r="Q429" t="n">
        <v>0</v>
      </c>
      <c r="R429" s="2" t="inlineStr"/>
    </row>
    <row r="430" ht="15" customHeight="1">
      <c r="A430" t="inlineStr">
        <is>
          <t>A 48678-2025</t>
        </is>
      </c>
      <c r="B430" s="1" t="n">
        <v>45936.59168981481</v>
      </c>
      <c r="C430" s="1" t="n">
        <v>46004</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24411-2024</t>
        </is>
      </c>
      <c r="B431" s="1" t="n">
        <v>45457</v>
      </c>
      <c r="C431" s="1" t="n">
        <v>46004</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48423-2025</t>
        </is>
      </c>
      <c r="B432" s="1" t="n">
        <v>45934.68024305555</v>
      </c>
      <c r="C432" s="1" t="n">
        <v>46004</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48424-2025</t>
        </is>
      </c>
      <c r="B433" s="1" t="n">
        <v>45934.69131944444</v>
      </c>
      <c r="C433" s="1" t="n">
        <v>46004</v>
      </c>
      <c r="D433" t="inlineStr">
        <is>
          <t>UPPSALA LÄN</t>
        </is>
      </c>
      <c r="E433" t="inlineStr">
        <is>
          <t>ENKÖPING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49073-2025</t>
        </is>
      </c>
      <c r="B434" s="1" t="n">
        <v>45937.65512731481</v>
      </c>
      <c r="C434" s="1" t="n">
        <v>46004</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58092-2024</t>
        </is>
      </c>
      <c r="B435" s="1" t="n">
        <v>45632</v>
      </c>
      <c r="C435" s="1" t="n">
        <v>46004</v>
      </c>
      <c r="D435" t="inlineStr">
        <is>
          <t>UPPSALA LÄN</t>
        </is>
      </c>
      <c r="E435" t="inlineStr">
        <is>
          <t>ENKÖPING</t>
        </is>
      </c>
      <c r="G435" t="n">
        <v>4.8</v>
      </c>
      <c r="H435" t="n">
        <v>0</v>
      </c>
      <c r="I435" t="n">
        <v>0</v>
      </c>
      <c r="J435" t="n">
        <v>0</v>
      </c>
      <c r="K435" t="n">
        <v>0</v>
      </c>
      <c r="L435" t="n">
        <v>0</v>
      </c>
      <c r="M435" t="n">
        <v>0</v>
      </c>
      <c r="N435" t="n">
        <v>0</v>
      </c>
      <c r="O435" t="n">
        <v>0</v>
      </c>
      <c r="P435" t="n">
        <v>0</v>
      </c>
      <c r="Q435" t="n">
        <v>0</v>
      </c>
      <c r="R435" s="2" t="inlineStr"/>
    </row>
    <row r="436" ht="15" customHeight="1">
      <c r="A436" t="inlineStr">
        <is>
          <t>A 26024-2025</t>
        </is>
      </c>
      <c r="B436" s="1" t="n">
        <v>45804.6831712963</v>
      </c>
      <c r="C436" s="1" t="n">
        <v>46004</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26042-2025</t>
        </is>
      </c>
      <c r="B437" s="1" t="n">
        <v>45804.70018518518</v>
      </c>
      <c r="C437" s="1" t="n">
        <v>46004</v>
      </c>
      <c r="D437" t="inlineStr">
        <is>
          <t>UPPSALA LÄN</t>
        </is>
      </c>
      <c r="E437" t="inlineStr">
        <is>
          <t>ENKÖPING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26005-2025</t>
        </is>
      </c>
      <c r="B438" s="1" t="n">
        <v>45804.67055555555</v>
      </c>
      <c r="C438" s="1" t="n">
        <v>46004</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26026-2025</t>
        </is>
      </c>
      <c r="B439" s="1" t="n">
        <v>45804.68510416667</v>
      </c>
      <c r="C439" s="1" t="n">
        <v>46004</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26030-2025</t>
        </is>
      </c>
      <c r="B440" s="1" t="n">
        <v>45804.68815972222</v>
      </c>
      <c r="C440" s="1" t="n">
        <v>46004</v>
      </c>
      <c r="D440" t="inlineStr">
        <is>
          <t>UPPSALA LÄN</t>
        </is>
      </c>
      <c r="E440" t="inlineStr">
        <is>
          <t>ENKÖPING</t>
        </is>
      </c>
      <c r="G440" t="n">
        <v>0.3</v>
      </c>
      <c r="H440" t="n">
        <v>0</v>
      </c>
      <c r="I440" t="n">
        <v>0</v>
      </c>
      <c r="J440" t="n">
        <v>0</v>
      </c>
      <c r="K440" t="n">
        <v>0</v>
      </c>
      <c r="L440" t="n">
        <v>0</v>
      </c>
      <c r="M440" t="n">
        <v>0</v>
      </c>
      <c r="N440" t="n">
        <v>0</v>
      </c>
      <c r="O440" t="n">
        <v>0</v>
      </c>
      <c r="P440" t="n">
        <v>0</v>
      </c>
      <c r="Q440" t="n">
        <v>0</v>
      </c>
      <c r="R440" s="2" t="inlineStr"/>
    </row>
    <row r="441" ht="15" customHeight="1">
      <c r="A441" t="inlineStr">
        <is>
          <t>A 26022-2025</t>
        </is>
      </c>
      <c r="B441" s="1" t="n">
        <v>45804.68006944445</v>
      </c>
      <c r="C441" s="1" t="n">
        <v>46004</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25988-2025</t>
        </is>
      </c>
      <c r="B442" s="1" t="n">
        <v>45804.64814814815</v>
      </c>
      <c r="C442" s="1" t="n">
        <v>46004</v>
      </c>
      <c r="D442" t="inlineStr">
        <is>
          <t>UPPSALA LÄN</t>
        </is>
      </c>
      <c r="E442" t="inlineStr">
        <is>
          <t>ENKÖPING</t>
        </is>
      </c>
      <c r="G442" t="n">
        <v>4.7</v>
      </c>
      <c r="H442" t="n">
        <v>0</v>
      </c>
      <c r="I442" t="n">
        <v>0</v>
      </c>
      <c r="J442" t="n">
        <v>0</v>
      </c>
      <c r="K442" t="n">
        <v>0</v>
      </c>
      <c r="L442" t="n">
        <v>0</v>
      </c>
      <c r="M442" t="n">
        <v>0</v>
      </c>
      <c r="N442" t="n">
        <v>0</v>
      </c>
      <c r="O442" t="n">
        <v>0</v>
      </c>
      <c r="P442" t="n">
        <v>0</v>
      </c>
      <c r="Q442" t="n">
        <v>0</v>
      </c>
      <c r="R442" s="2" t="inlineStr"/>
    </row>
    <row r="443" ht="15" customHeight="1">
      <c r="A443" t="inlineStr">
        <is>
          <t>A 26031-2025</t>
        </is>
      </c>
      <c r="B443" s="1" t="n">
        <v>45804.69050925926</v>
      </c>
      <c r="C443" s="1" t="n">
        <v>46004</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57294-2025</t>
        </is>
      </c>
      <c r="B444" s="1" t="n">
        <v>45979</v>
      </c>
      <c r="C444" s="1" t="n">
        <v>46004</v>
      </c>
      <c r="D444" t="inlineStr">
        <is>
          <t>UPPSALA LÄN</t>
        </is>
      </c>
      <c r="E444" t="inlineStr">
        <is>
          <t>ENKÖPING</t>
        </is>
      </c>
      <c r="G444" t="n">
        <v>6.2</v>
      </c>
      <c r="H444" t="n">
        <v>0</v>
      </c>
      <c r="I444" t="n">
        <v>0</v>
      </c>
      <c r="J444" t="n">
        <v>0</v>
      </c>
      <c r="K444" t="n">
        <v>0</v>
      </c>
      <c r="L444" t="n">
        <v>0</v>
      </c>
      <c r="M444" t="n">
        <v>0</v>
      </c>
      <c r="N444" t="n">
        <v>0</v>
      </c>
      <c r="O444" t="n">
        <v>0</v>
      </c>
      <c r="P444" t="n">
        <v>0</v>
      </c>
      <c r="Q444" t="n">
        <v>0</v>
      </c>
      <c r="R444" s="2" t="inlineStr"/>
    </row>
    <row r="445" ht="15" customHeight="1">
      <c r="A445" t="inlineStr">
        <is>
          <t>A 26041-2025</t>
        </is>
      </c>
      <c r="B445" s="1" t="n">
        <v>45804.69883101852</v>
      </c>
      <c r="C445" s="1" t="n">
        <v>46004</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25990-2025</t>
        </is>
      </c>
      <c r="B446" s="1" t="n">
        <v>45804.65229166667</v>
      </c>
      <c r="C446" s="1" t="n">
        <v>46004</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43103-2025</t>
        </is>
      </c>
      <c r="B447" s="1" t="n">
        <v>45909</v>
      </c>
      <c r="C447" s="1" t="n">
        <v>46004</v>
      </c>
      <c r="D447" t="inlineStr">
        <is>
          <t>UPPSALA LÄN</t>
        </is>
      </c>
      <c r="E447" t="inlineStr">
        <is>
          <t>ENKÖPING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25847-2025</t>
        </is>
      </c>
      <c r="B448" s="1" t="n">
        <v>45804</v>
      </c>
      <c r="C448" s="1" t="n">
        <v>46004</v>
      </c>
      <c r="D448" t="inlineStr">
        <is>
          <t>UPPSALA LÄN</t>
        </is>
      </c>
      <c r="E448" t="inlineStr">
        <is>
          <t>ENKÖPING</t>
        </is>
      </c>
      <c r="G448" t="n">
        <v>3.6</v>
      </c>
      <c r="H448" t="n">
        <v>0</v>
      </c>
      <c r="I448" t="n">
        <v>0</v>
      </c>
      <c r="J448" t="n">
        <v>0</v>
      </c>
      <c r="K448" t="n">
        <v>0</v>
      </c>
      <c r="L448" t="n">
        <v>0</v>
      </c>
      <c r="M448" t="n">
        <v>0</v>
      </c>
      <c r="N448" t="n">
        <v>0</v>
      </c>
      <c r="O448" t="n">
        <v>0</v>
      </c>
      <c r="P448" t="n">
        <v>0</v>
      </c>
      <c r="Q448" t="n">
        <v>0</v>
      </c>
      <c r="R448" s="2" t="inlineStr"/>
    </row>
    <row r="449" ht="15" customHeight="1">
      <c r="A449" t="inlineStr">
        <is>
          <t>A 26047-2025</t>
        </is>
      </c>
      <c r="B449" s="1" t="n">
        <v>45804.70835648148</v>
      </c>
      <c r="C449" s="1" t="n">
        <v>46004</v>
      </c>
      <c r="D449" t="inlineStr">
        <is>
          <t>UPPSALA LÄN</t>
        </is>
      </c>
      <c r="E449" t="inlineStr">
        <is>
          <t>ENKÖPING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49068-2025</t>
        </is>
      </c>
      <c r="B450" s="1" t="n">
        <v>45937.64766203704</v>
      </c>
      <c r="C450" s="1" t="n">
        <v>46004</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35067-2024</t>
        </is>
      </c>
      <c r="B451" s="1" t="n">
        <v>45527.66153935185</v>
      </c>
      <c r="C451" s="1" t="n">
        <v>46004</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27829-2025</t>
        </is>
      </c>
      <c r="B452" s="1" t="n">
        <v>45817</v>
      </c>
      <c r="C452" s="1" t="n">
        <v>46004</v>
      </c>
      <c r="D452" t="inlineStr">
        <is>
          <t>UPPSALA LÄN</t>
        </is>
      </c>
      <c r="E452" t="inlineStr">
        <is>
          <t>ENKÖPING</t>
        </is>
      </c>
      <c r="G452" t="n">
        <v>2.1</v>
      </c>
      <c r="H452" t="n">
        <v>0</v>
      </c>
      <c r="I452" t="n">
        <v>0</v>
      </c>
      <c r="J452" t="n">
        <v>0</v>
      </c>
      <c r="K452" t="n">
        <v>0</v>
      </c>
      <c r="L452" t="n">
        <v>0</v>
      </c>
      <c r="M452" t="n">
        <v>0</v>
      </c>
      <c r="N452" t="n">
        <v>0</v>
      </c>
      <c r="O452" t="n">
        <v>0</v>
      </c>
      <c r="P452" t="n">
        <v>0</v>
      </c>
      <c r="Q452" t="n">
        <v>0</v>
      </c>
      <c r="R452" s="2" t="inlineStr"/>
    </row>
    <row r="453" ht="15" customHeight="1">
      <c r="A453" t="inlineStr">
        <is>
          <t>A 58025-2025</t>
        </is>
      </c>
      <c r="B453" s="1" t="n">
        <v>45982</v>
      </c>
      <c r="C453" s="1" t="n">
        <v>46004</v>
      </c>
      <c r="D453" t="inlineStr">
        <is>
          <t>UPPSALA LÄN</t>
        </is>
      </c>
      <c r="E453" t="inlineStr">
        <is>
          <t>ENKÖPING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39009-2024</t>
        </is>
      </c>
      <c r="B454" s="1" t="n">
        <v>45548</v>
      </c>
      <c r="C454" s="1" t="n">
        <v>46004</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8537-2025</t>
        </is>
      </c>
      <c r="B455" s="1" t="n">
        <v>45709</v>
      </c>
      <c r="C455" s="1" t="n">
        <v>46004</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51162-2025</t>
        </is>
      </c>
      <c r="B456" s="1" t="n">
        <v>45947.58820601852</v>
      </c>
      <c r="C456" s="1" t="n">
        <v>46004</v>
      </c>
      <c r="D456" t="inlineStr">
        <is>
          <t>UPPSALA LÄN</t>
        </is>
      </c>
      <c r="E456" t="inlineStr">
        <is>
          <t>ENKÖPING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51133-2025</t>
        </is>
      </c>
      <c r="B457" s="1" t="n">
        <v>45947.55598379629</v>
      </c>
      <c r="C457" s="1" t="n">
        <v>46004</v>
      </c>
      <c r="D457" t="inlineStr">
        <is>
          <t>UPPSALA LÄN</t>
        </is>
      </c>
      <c r="E457" t="inlineStr">
        <is>
          <t>ENKÖPING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28758-2025</t>
        </is>
      </c>
      <c r="B458" s="1" t="n">
        <v>45820.41212962963</v>
      </c>
      <c r="C458" s="1" t="n">
        <v>46004</v>
      </c>
      <c r="D458" t="inlineStr">
        <is>
          <t>UPPSALA LÄN</t>
        </is>
      </c>
      <c r="E458" t="inlineStr">
        <is>
          <t>ENKÖPING</t>
        </is>
      </c>
      <c r="G458" t="n">
        <v>2.4</v>
      </c>
      <c r="H458" t="n">
        <v>0</v>
      </c>
      <c r="I458" t="n">
        <v>0</v>
      </c>
      <c r="J458" t="n">
        <v>0</v>
      </c>
      <c r="K458" t="n">
        <v>0</v>
      </c>
      <c r="L458" t="n">
        <v>0</v>
      </c>
      <c r="M458" t="n">
        <v>0</v>
      </c>
      <c r="N458" t="n">
        <v>0</v>
      </c>
      <c r="O458" t="n">
        <v>0</v>
      </c>
      <c r="P458" t="n">
        <v>0</v>
      </c>
      <c r="Q458" t="n">
        <v>0</v>
      </c>
      <c r="R458" s="2" t="inlineStr"/>
    </row>
    <row r="459" ht="15" customHeight="1">
      <c r="A459" t="inlineStr">
        <is>
          <t>A 28862-2025</t>
        </is>
      </c>
      <c r="B459" s="1" t="n">
        <v>45820.59189814814</v>
      </c>
      <c r="C459" s="1" t="n">
        <v>46004</v>
      </c>
      <c r="D459" t="inlineStr">
        <is>
          <t>UPPSALA LÄN</t>
        </is>
      </c>
      <c r="E459" t="inlineStr">
        <is>
          <t>ENKÖPING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28855-2025</t>
        </is>
      </c>
      <c r="B460" s="1" t="n">
        <v>45820.58274305556</v>
      </c>
      <c r="C460" s="1" t="n">
        <v>46004</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59379-2025</t>
        </is>
      </c>
      <c r="B461" s="1" t="n">
        <v>45989.4540162037</v>
      </c>
      <c r="C461" s="1" t="n">
        <v>46004</v>
      </c>
      <c r="D461" t="inlineStr">
        <is>
          <t>UPPSALA LÄN</t>
        </is>
      </c>
      <c r="E461" t="inlineStr">
        <is>
          <t>ENKÖPING</t>
        </is>
      </c>
      <c r="G461" t="n">
        <v>10.8</v>
      </c>
      <c r="H461" t="n">
        <v>0</v>
      </c>
      <c r="I461" t="n">
        <v>0</v>
      </c>
      <c r="J461" t="n">
        <v>0</v>
      </c>
      <c r="K461" t="n">
        <v>0</v>
      </c>
      <c r="L461" t="n">
        <v>0</v>
      </c>
      <c r="M461" t="n">
        <v>0</v>
      </c>
      <c r="N461" t="n">
        <v>0</v>
      </c>
      <c r="O461" t="n">
        <v>0</v>
      </c>
      <c r="P461" t="n">
        <v>0</v>
      </c>
      <c r="Q461" t="n">
        <v>0</v>
      </c>
      <c r="R461" s="2" t="inlineStr"/>
    </row>
    <row r="462" ht="15" customHeight="1">
      <c r="A462" t="inlineStr">
        <is>
          <t>A 29093-2025</t>
        </is>
      </c>
      <c r="B462" s="1" t="n">
        <v>45821.55743055556</v>
      </c>
      <c r="C462" s="1" t="n">
        <v>46004</v>
      </c>
      <c r="D462" t="inlineStr">
        <is>
          <t>UPPSALA LÄN</t>
        </is>
      </c>
      <c r="E462" t="inlineStr">
        <is>
          <t>ENKÖPING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29477-2025</t>
        </is>
      </c>
      <c r="B463" s="1" t="n">
        <v>45824.71537037037</v>
      </c>
      <c r="C463" s="1" t="n">
        <v>46004</v>
      </c>
      <c r="D463" t="inlineStr">
        <is>
          <t>UPPSALA LÄN</t>
        </is>
      </c>
      <c r="E463" t="inlineStr">
        <is>
          <t>ENKÖPING</t>
        </is>
      </c>
      <c r="G463" t="n">
        <v>13.4</v>
      </c>
      <c r="H463" t="n">
        <v>0</v>
      </c>
      <c r="I463" t="n">
        <v>0</v>
      </c>
      <c r="J463" t="n">
        <v>0</v>
      </c>
      <c r="K463" t="n">
        <v>0</v>
      </c>
      <c r="L463" t="n">
        <v>0</v>
      </c>
      <c r="M463" t="n">
        <v>0</v>
      </c>
      <c r="N463" t="n">
        <v>0</v>
      </c>
      <c r="O463" t="n">
        <v>0</v>
      </c>
      <c r="P463" t="n">
        <v>0</v>
      </c>
      <c r="Q463" t="n">
        <v>0</v>
      </c>
      <c r="R463" s="2" t="inlineStr"/>
    </row>
    <row r="464" ht="15" customHeight="1">
      <c r="A464" t="inlineStr">
        <is>
          <t>A 59668-2025</t>
        </is>
      </c>
      <c r="B464" s="1" t="n">
        <v>45992.45567129629</v>
      </c>
      <c r="C464" s="1" t="n">
        <v>46004</v>
      </c>
      <c r="D464" t="inlineStr">
        <is>
          <t>UPPSALA LÄN</t>
        </is>
      </c>
      <c r="E464" t="inlineStr">
        <is>
          <t>ENKÖPING</t>
        </is>
      </c>
      <c r="G464" t="n">
        <v>3.3</v>
      </c>
      <c r="H464" t="n">
        <v>0</v>
      </c>
      <c r="I464" t="n">
        <v>0</v>
      </c>
      <c r="J464" t="n">
        <v>0</v>
      </c>
      <c r="K464" t="n">
        <v>0</v>
      </c>
      <c r="L464" t="n">
        <v>0</v>
      </c>
      <c r="M464" t="n">
        <v>0</v>
      </c>
      <c r="N464" t="n">
        <v>0</v>
      </c>
      <c r="O464" t="n">
        <v>0</v>
      </c>
      <c r="P464" t="n">
        <v>0</v>
      </c>
      <c r="Q464" t="n">
        <v>0</v>
      </c>
      <c r="R464" s="2" t="inlineStr"/>
    </row>
    <row r="465" ht="15" customHeight="1">
      <c r="A465" t="inlineStr">
        <is>
          <t>A 26017-2025</t>
        </is>
      </c>
      <c r="B465" s="1" t="n">
        <v>45804</v>
      </c>
      <c r="C465" s="1" t="n">
        <v>46004</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59964-2025</t>
        </is>
      </c>
      <c r="B466" s="1" t="n">
        <v>45993.48043981481</v>
      </c>
      <c r="C466" s="1" t="n">
        <v>46004</v>
      </c>
      <c r="D466" t="inlineStr">
        <is>
          <t>UPPSALA LÄN</t>
        </is>
      </c>
      <c r="E466" t="inlineStr">
        <is>
          <t>ENKÖPING</t>
        </is>
      </c>
      <c r="G466" t="n">
        <v>2.1</v>
      </c>
      <c r="H466" t="n">
        <v>0</v>
      </c>
      <c r="I466" t="n">
        <v>0</v>
      </c>
      <c r="J466" t="n">
        <v>0</v>
      </c>
      <c r="K466" t="n">
        <v>0</v>
      </c>
      <c r="L466" t="n">
        <v>0</v>
      </c>
      <c r="M466" t="n">
        <v>0</v>
      </c>
      <c r="N466" t="n">
        <v>0</v>
      </c>
      <c r="O466" t="n">
        <v>0</v>
      </c>
      <c r="P466" t="n">
        <v>0</v>
      </c>
      <c r="Q466" t="n">
        <v>0</v>
      </c>
      <c r="R466" s="2" t="inlineStr"/>
    </row>
    <row r="467" ht="15" customHeight="1">
      <c r="A467" t="inlineStr">
        <is>
          <t>A 30837-2025</t>
        </is>
      </c>
      <c r="B467" s="1" t="n">
        <v>45831.7063425926</v>
      </c>
      <c r="C467" s="1" t="n">
        <v>46004</v>
      </c>
      <c r="D467" t="inlineStr">
        <is>
          <t>UPPSALA LÄN</t>
        </is>
      </c>
      <c r="E467" t="inlineStr">
        <is>
          <t>ENKÖPING</t>
        </is>
      </c>
      <c r="G467" t="n">
        <v>3.8</v>
      </c>
      <c r="H467" t="n">
        <v>0</v>
      </c>
      <c r="I467" t="n">
        <v>0</v>
      </c>
      <c r="J467" t="n">
        <v>0</v>
      </c>
      <c r="K467" t="n">
        <v>0</v>
      </c>
      <c r="L467" t="n">
        <v>0</v>
      </c>
      <c r="M467" t="n">
        <v>0</v>
      </c>
      <c r="N467" t="n">
        <v>0</v>
      </c>
      <c r="O467" t="n">
        <v>0</v>
      </c>
      <c r="P467" t="n">
        <v>0</v>
      </c>
      <c r="Q467" t="n">
        <v>0</v>
      </c>
      <c r="R467" s="2" t="inlineStr"/>
    </row>
    <row r="468" ht="15" customHeight="1">
      <c r="A468" t="inlineStr">
        <is>
          <t>A 60175-2025</t>
        </is>
      </c>
      <c r="B468" s="1" t="n">
        <v>45994.45378472222</v>
      </c>
      <c r="C468" s="1" t="n">
        <v>46004</v>
      </c>
      <c r="D468" t="inlineStr">
        <is>
          <t>UPPSALA LÄN</t>
        </is>
      </c>
      <c r="E468" t="inlineStr">
        <is>
          <t>ENKÖPING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32111-2025</t>
        </is>
      </c>
      <c r="B469" s="1" t="n">
        <v>45835</v>
      </c>
      <c r="C469" s="1" t="n">
        <v>46004</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32031-2025</t>
        </is>
      </c>
      <c r="B470" s="1" t="n">
        <v>45835.41712962963</v>
      </c>
      <c r="C470" s="1" t="n">
        <v>46004</v>
      </c>
      <c r="D470" t="inlineStr">
        <is>
          <t>UPPSALA LÄN</t>
        </is>
      </c>
      <c r="E470" t="inlineStr">
        <is>
          <t>ENKÖPING</t>
        </is>
      </c>
      <c r="G470" t="n">
        <v>2.7</v>
      </c>
      <c r="H470" t="n">
        <v>0</v>
      </c>
      <c r="I470" t="n">
        <v>0</v>
      </c>
      <c r="J470" t="n">
        <v>0</v>
      </c>
      <c r="K470" t="n">
        <v>0</v>
      </c>
      <c r="L470" t="n">
        <v>0</v>
      </c>
      <c r="M470" t="n">
        <v>0</v>
      </c>
      <c r="N470" t="n">
        <v>0</v>
      </c>
      <c r="O470" t="n">
        <v>0</v>
      </c>
      <c r="P470" t="n">
        <v>0</v>
      </c>
      <c r="Q470" t="n">
        <v>0</v>
      </c>
      <c r="R470" s="2" t="inlineStr"/>
    </row>
    <row r="471" ht="15" customHeight="1">
      <c r="A471" t="inlineStr">
        <is>
          <t>A 60174-2025</t>
        </is>
      </c>
      <c r="B471" s="1" t="n">
        <v>45994.45039351852</v>
      </c>
      <c r="C471" s="1" t="n">
        <v>46004</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60340-2025</t>
        </is>
      </c>
      <c r="B472" s="1" t="n">
        <v>45994.83415509259</v>
      </c>
      <c r="C472" s="1" t="n">
        <v>46004</v>
      </c>
      <c r="D472" t="inlineStr">
        <is>
          <t>UPPSALA LÄN</t>
        </is>
      </c>
      <c r="E472" t="inlineStr">
        <is>
          <t>ENKÖPING</t>
        </is>
      </c>
      <c r="G472" t="n">
        <v>5.6</v>
      </c>
      <c r="H472" t="n">
        <v>0</v>
      </c>
      <c r="I472" t="n">
        <v>0</v>
      </c>
      <c r="J472" t="n">
        <v>0</v>
      </c>
      <c r="K472" t="n">
        <v>0</v>
      </c>
      <c r="L472" t="n">
        <v>0</v>
      </c>
      <c r="M472" t="n">
        <v>0</v>
      </c>
      <c r="N472" t="n">
        <v>0</v>
      </c>
      <c r="O472" t="n">
        <v>0</v>
      </c>
      <c r="P472" t="n">
        <v>0</v>
      </c>
      <c r="Q472" t="n">
        <v>0</v>
      </c>
      <c r="R472" s="2" t="inlineStr"/>
    </row>
    <row r="473" ht="15" customHeight="1">
      <c r="A473" t="inlineStr">
        <is>
          <t>A 15740-2025</t>
        </is>
      </c>
      <c r="B473" s="1" t="n">
        <v>45748</v>
      </c>
      <c r="C473" s="1" t="n">
        <v>46004</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26011-2025</t>
        </is>
      </c>
      <c r="B474" s="1" t="n">
        <v>45804.67412037037</v>
      </c>
      <c r="C474" s="1" t="n">
        <v>46004</v>
      </c>
      <c r="D474" t="inlineStr">
        <is>
          <t>UPPSALA LÄN</t>
        </is>
      </c>
      <c r="E474" t="inlineStr">
        <is>
          <t>ENKÖPING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18994-2025</t>
        </is>
      </c>
      <c r="B475" s="1" t="n">
        <v>45764.57350694444</v>
      </c>
      <c r="C475" s="1" t="n">
        <v>46004</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57848-2024</t>
        </is>
      </c>
      <c r="B476" s="1" t="n">
        <v>45631.40947916666</v>
      </c>
      <c r="C476" s="1" t="n">
        <v>46004</v>
      </c>
      <c r="D476" t="inlineStr">
        <is>
          <t>UPPSALA LÄN</t>
        </is>
      </c>
      <c r="E476" t="inlineStr">
        <is>
          <t>ENKÖPING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49601-2024</t>
        </is>
      </c>
      <c r="B477" s="1" t="n">
        <v>45596.56288194445</v>
      </c>
      <c r="C477" s="1" t="n">
        <v>46004</v>
      </c>
      <c r="D477" t="inlineStr">
        <is>
          <t>UPPSALA LÄN</t>
        </is>
      </c>
      <c r="E477" t="inlineStr">
        <is>
          <t>ENKÖPING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61437-2025</t>
        </is>
      </c>
      <c r="B478" s="1" t="n">
        <v>46001.5659375</v>
      </c>
      <c r="C478" s="1" t="n">
        <v>46004</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29513-2025</t>
        </is>
      </c>
      <c r="B479" s="1" t="n">
        <v>45825</v>
      </c>
      <c r="C479" s="1" t="n">
        <v>46004</v>
      </c>
      <c r="D479" t="inlineStr">
        <is>
          <t>UPPSALA LÄN</t>
        </is>
      </c>
      <c r="E479" t="inlineStr">
        <is>
          <t>ENKÖPING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61811-2025</t>
        </is>
      </c>
      <c r="B480" s="1" t="n">
        <v>46002.90059027778</v>
      </c>
      <c r="C480" s="1" t="n">
        <v>46004</v>
      </c>
      <c r="D480" t="inlineStr">
        <is>
          <t>UPPSALA LÄN</t>
        </is>
      </c>
      <c r="E480" t="inlineStr">
        <is>
          <t>ENKÖPING</t>
        </is>
      </c>
      <c r="F480" t="inlineStr">
        <is>
          <t>Allmännings- och besparingsskogar</t>
        </is>
      </c>
      <c r="G480" t="n">
        <v>4.7</v>
      </c>
      <c r="H480" t="n">
        <v>0</v>
      </c>
      <c r="I480" t="n">
        <v>0</v>
      </c>
      <c r="J480" t="n">
        <v>0</v>
      </c>
      <c r="K480" t="n">
        <v>0</v>
      </c>
      <c r="L480" t="n">
        <v>0</v>
      </c>
      <c r="M480" t="n">
        <v>0</v>
      </c>
      <c r="N480" t="n">
        <v>0</v>
      </c>
      <c r="O480" t="n">
        <v>0</v>
      </c>
      <c r="P480" t="n">
        <v>0</v>
      </c>
      <c r="Q480" t="n">
        <v>0</v>
      </c>
      <c r="R480" s="2" t="inlineStr"/>
    </row>
    <row r="481" ht="15" customHeight="1">
      <c r="A481" t="inlineStr">
        <is>
          <t>A 61778-2025</t>
        </is>
      </c>
      <c r="B481" s="1" t="n">
        <v>46002.66555555556</v>
      </c>
      <c r="C481" s="1" t="n">
        <v>46004</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17844-2025</t>
        </is>
      </c>
      <c r="B482" s="1" t="n">
        <v>45758.59920138889</v>
      </c>
      <c r="C482" s="1" t="n">
        <v>46004</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27837-2025</t>
        </is>
      </c>
      <c r="B483" s="1" t="n">
        <v>45817.37207175926</v>
      </c>
      <c r="C483" s="1" t="n">
        <v>46004</v>
      </c>
      <c r="D483" t="inlineStr">
        <is>
          <t>UPPSALA LÄN</t>
        </is>
      </c>
      <c r="E483" t="inlineStr">
        <is>
          <t>ENKÖPING</t>
        </is>
      </c>
      <c r="G483" t="n">
        <v>7.3</v>
      </c>
      <c r="H483" t="n">
        <v>0</v>
      </c>
      <c r="I483" t="n">
        <v>0</v>
      </c>
      <c r="J483" t="n">
        <v>0</v>
      </c>
      <c r="K483" t="n">
        <v>0</v>
      </c>
      <c r="L483" t="n">
        <v>0</v>
      </c>
      <c r="M483" t="n">
        <v>0</v>
      </c>
      <c r="N483" t="n">
        <v>0</v>
      </c>
      <c r="O483" t="n">
        <v>0</v>
      </c>
      <c r="P483" t="n">
        <v>0</v>
      </c>
      <c r="Q483" t="n">
        <v>0</v>
      </c>
      <c r="R483" s="2" t="inlineStr"/>
    </row>
    <row r="484" ht="15" customHeight="1">
      <c r="A484" t="inlineStr">
        <is>
          <t>A 60947-2025</t>
        </is>
      </c>
      <c r="B484" s="1" t="n">
        <v>45999</v>
      </c>
      <c r="C484" s="1" t="n">
        <v>46004</v>
      </c>
      <c r="D484" t="inlineStr">
        <is>
          <t>UPPSALA LÄN</t>
        </is>
      </c>
      <c r="E484" t="inlineStr">
        <is>
          <t>ENKÖPING</t>
        </is>
      </c>
      <c r="G484" t="n">
        <v>4</v>
      </c>
      <c r="H484" t="n">
        <v>0</v>
      </c>
      <c r="I484" t="n">
        <v>0</v>
      </c>
      <c r="J484" t="n">
        <v>0</v>
      </c>
      <c r="K484" t="n">
        <v>0</v>
      </c>
      <c r="L484" t="n">
        <v>0</v>
      </c>
      <c r="M484" t="n">
        <v>0</v>
      </c>
      <c r="N484" t="n">
        <v>0</v>
      </c>
      <c r="O484" t="n">
        <v>0</v>
      </c>
      <c r="P484" t="n">
        <v>0</v>
      </c>
      <c r="Q484" t="n">
        <v>0</v>
      </c>
      <c r="R484" s="2" t="inlineStr"/>
    </row>
    <row r="485" ht="15" customHeight="1">
      <c r="A485" t="inlineStr">
        <is>
          <t>A 2850-2025</t>
        </is>
      </c>
      <c r="B485" s="1" t="n">
        <v>45677</v>
      </c>
      <c r="C485" s="1" t="n">
        <v>46004</v>
      </c>
      <c r="D485" t="inlineStr">
        <is>
          <t>UPPSALA LÄN</t>
        </is>
      </c>
      <c r="E485" t="inlineStr">
        <is>
          <t>ENKÖPING</t>
        </is>
      </c>
      <c r="G485" t="n">
        <v>0.3</v>
      </c>
      <c r="H485" t="n">
        <v>0</v>
      </c>
      <c r="I485" t="n">
        <v>0</v>
      </c>
      <c r="J485" t="n">
        <v>0</v>
      </c>
      <c r="K485" t="n">
        <v>0</v>
      </c>
      <c r="L485" t="n">
        <v>0</v>
      </c>
      <c r="M485" t="n">
        <v>0</v>
      </c>
      <c r="N485" t="n">
        <v>0</v>
      </c>
      <c r="O485" t="n">
        <v>0</v>
      </c>
      <c r="P485" t="n">
        <v>0</v>
      </c>
      <c r="Q485" t="n">
        <v>0</v>
      </c>
      <c r="R485" s="2" t="inlineStr"/>
    </row>
    <row r="486" ht="15" customHeight="1">
      <c r="A486" t="inlineStr">
        <is>
          <t>A 57188-2025</t>
        </is>
      </c>
      <c r="B486" s="1" t="n">
        <v>45979</v>
      </c>
      <c r="C486" s="1" t="n">
        <v>46004</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60934-2025</t>
        </is>
      </c>
      <c r="B487" s="1" t="n">
        <v>45999</v>
      </c>
      <c r="C487" s="1" t="n">
        <v>46004</v>
      </c>
      <c r="D487" t="inlineStr">
        <is>
          <t>UPPSALA LÄN</t>
        </is>
      </c>
      <c r="E487" t="inlineStr">
        <is>
          <t>ENKÖPING</t>
        </is>
      </c>
      <c r="G487" t="n">
        <v>2.5</v>
      </c>
      <c r="H487" t="n">
        <v>0</v>
      </c>
      <c r="I487" t="n">
        <v>0</v>
      </c>
      <c r="J487" t="n">
        <v>0</v>
      </c>
      <c r="K487" t="n">
        <v>0</v>
      </c>
      <c r="L487" t="n">
        <v>0</v>
      </c>
      <c r="M487" t="n">
        <v>0</v>
      </c>
      <c r="N487" t="n">
        <v>0</v>
      </c>
      <c r="O487" t="n">
        <v>0</v>
      </c>
      <c r="P487" t="n">
        <v>0</v>
      </c>
      <c r="Q487" t="n">
        <v>0</v>
      </c>
      <c r="R487" s="2" t="inlineStr"/>
    </row>
    <row r="488" ht="15" customHeight="1">
      <c r="A488" t="inlineStr">
        <is>
          <t>A 21501-2025</t>
        </is>
      </c>
      <c r="B488" s="1" t="n">
        <v>45782</v>
      </c>
      <c r="C488" s="1" t="n">
        <v>46004</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61889-2025</t>
        </is>
      </c>
      <c r="B489" s="1" t="n">
        <v>46003.44765046296</v>
      </c>
      <c r="C489" s="1" t="n">
        <v>46004</v>
      </c>
      <c r="D489" t="inlineStr">
        <is>
          <t>UPPSALA LÄN</t>
        </is>
      </c>
      <c r="E489" t="inlineStr">
        <is>
          <t>ENKÖPING</t>
        </is>
      </c>
      <c r="G489" t="n">
        <v>2.3</v>
      </c>
      <c r="H489" t="n">
        <v>0</v>
      </c>
      <c r="I489" t="n">
        <v>0</v>
      </c>
      <c r="J489" t="n">
        <v>0</v>
      </c>
      <c r="K489" t="n">
        <v>0</v>
      </c>
      <c r="L489" t="n">
        <v>0</v>
      </c>
      <c r="M489" t="n">
        <v>0</v>
      </c>
      <c r="N489" t="n">
        <v>0</v>
      </c>
      <c r="O489" t="n">
        <v>0</v>
      </c>
      <c r="P489" t="n">
        <v>0</v>
      </c>
      <c r="Q489" t="n">
        <v>0</v>
      </c>
      <c r="R489" s="2" t="inlineStr"/>
    </row>
    <row r="490" ht="15" customHeight="1">
      <c r="A490" t="inlineStr">
        <is>
          <t>A 34988-2025</t>
        </is>
      </c>
      <c r="B490" s="1" t="n">
        <v>45849</v>
      </c>
      <c r="C490" s="1" t="n">
        <v>46004</v>
      </c>
      <c r="D490" t="inlineStr">
        <is>
          <t>UPPSALA LÄN</t>
        </is>
      </c>
      <c r="E490" t="inlineStr">
        <is>
          <t>ENKÖPING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34987-2025</t>
        </is>
      </c>
      <c r="B491" s="1" t="n">
        <v>45849</v>
      </c>
      <c r="C491" s="1" t="n">
        <v>46004</v>
      </c>
      <c r="D491" t="inlineStr">
        <is>
          <t>UPPSALA LÄN</t>
        </is>
      </c>
      <c r="E491" t="inlineStr">
        <is>
          <t>ENKÖPING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36492-2025</t>
        </is>
      </c>
      <c r="B492" s="1" t="n">
        <v>45869</v>
      </c>
      <c r="C492" s="1" t="n">
        <v>46004</v>
      </c>
      <c r="D492" t="inlineStr">
        <is>
          <t>UPPSALA LÄN</t>
        </is>
      </c>
      <c r="E492" t="inlineStr">
        <is>
          <t>ENKÖPING</t>
        </is>
      </c>
      <c r="G492" t="n">
        <v>6.3</v>
      </c>
      <c r="H492" t="n">
        <v>0</v>
      </c>
      <c r="I492" t="n">
        <v>0</v>
      </c>
      <c r="J492" t="n">
        <v>0</v>
      </c>
      <c r="K492" t="n">
        <v>0</v>
      </c>
      <c r="L492" t="n">
        <v>0</v>
      </c>
      <c r="M492" t="n">
        <v>0</v>
      </c>
      <c r="N492" t="n">
        <v>0</v>
      </c>
      <c r="O492" t="n">
        <v>0</v>
      </c>
      <c r="P492" t="n">
        <v>0</v>
      </c>
      <c r="Q492" t="n">
        <v>0</v>
      </c>
      <c r="R492" s="2" t="inlineStr"/>
    </row>
    <row r="493" ht="15" customHeight="1">
      <c r="A493" t="inlineStr">
        <is>
          <t>A 36350-2025</t>
        </is>
      </c>
      <c r="B493" s="1" t="n">
        <v>45868</v>
      </c>
      <c r="C493" s="1" t="n">
        <v>46004</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25989-2025</t>
        </is>
      </c>
      <c r="B494" s="1" t="n">
        <v>45804.65050925926</v>
      </c>
      <c r="C494" s="1" t="n">
        <v>46004</v>
      </c>
      <c r="D494" t="inlineStr">
        <is>
          <t>UPPSALA LÄN</t>
        </is>
      </c>
      <c r="E494" t="inlineStr">
        <is>
          <t>ENKÖPING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36599-2025</t>
        </is>
      </c>
      <c r="B495" s="1" t="n">
        <v>45870.51723379629</v>
      </c>
      <c r="C495" s="1" t="n">
        <v>46004</v>
      </c>
      <c r="D495" t="inlineStr">
        <is>
          <t>UPPSALA LÄN</t>
        </is>
      </c>
      <c r="E495" t="inlineStr">
        <is>
          <t>ENKÖPING</t>
        </is>
      </c>
      <c r="G495" t="n">
        <v>5.9</v>
      </c>
      <c r="H495" t="n">
        <v>0</v>
      </c>
      <c r="I495" t="n">
        <v>0</v>
      </c>
      <c r="J495" t="n">
        <v>0</v>
      </c>
      <c r="K495" t="n">
        <v>0</v>
      </c>
      <c r="L495" t="n">
        <v>0</v>
      </c>
      <c r="M495" t="n">
        <v>0</v>
      </c>
      <c r="N495" t="n">
        <v>0</v>
      </c>
      <c r="O495" t="n">
        <v>0</v>
      </c>
      <c r="P495" t="n">
        <v>0</v>
      </c>
      <c r="Q495" t="n">
        <v>0</v>
      </c>
      <c r="R495" s="2" t="inlineStr"/>
    </row>
    <row r="496" ht="15" customHeight="1">
      <c r="A496" t="inlineStr">
        <is>
          <t>A 37498-2025</t>
        </is>
      </c>
      <c r="B496" s="1" t="n">
        <v>45877</v>
      </c>
      <c r="C496" s="1" t="n">
        <v>46004</v>
      </c>
      <c r="D496" t="inlineStr">
        <is>
          <t>UPPSALA LÄN</t>
        </is>
      </c>
      <c r="E496" t="inlineStr">
        <is>
          <t>ENKÖPING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37296-2025</t>
        </is>
      </c>
      <c r="B497" s="1" t="n">
        <v>45876</v>
      </c>
      <c r="C497" s="1" t="n">
        <v>46004</v>
      </c>
      <c r="D497" t="inlineStr">
        <is>
          <t>UPPSALA LÄN</t>
        </is>
      </c>
      <c r="E497" t="inlineStr">
        <is>
          <t>ENKÖPING</t>
        </is>
      </c>
      <c r="G497" t="n">
        <v>9.5</v>
      </c>
      <c r="H497" t="n">
        <v>0</v>
      </c>
      <c r="I497" t="n">
        <v>0</v>
      </c>
      <c r="J497" t="n">
        <v>0</v>
      </c>
      <c r="K497" t="n">
        <v>0</v>
      </c>
      <c r="L497" t="n">
        <v>0</v>
      </c>
      <c r="M497" t="n">
        <v>0</v>
      </c>
      <c r="N497" t="n">
        <v>0</v>
      </c>
      <c r="O497" t="n">
        <v>0</v>
      </c>
      <c r="P497" t="n">
        <v>0</v>
      </c>
      <c r="Q497" t="n">
        <v>0</v>
      </c>
      <c r="R497" s="2" t="inlineStr"/>
    </row>
    <row r="498" ht="15" customHeight="1">
      <c r="A498" t="inlineStr">
        <is>
          <t>A 37319-2025</t>
        </is>
      </c>
      <c r="B498" s="1" t="n">
        <v>45876</v>
      </c>
      <c r="C498" s="1" t="n">
        <v>46004</v>
      </c>
      <c r="D498" t="inlineStr">
        <is>
          <t>UPPSALA LÄN</t>
        </is>
      </c>
      <c r="E498" t="inlineStr">
        <is>
          <t>ENKÖPING</t>
        </is>
      </c>
      <c r="G498" t="n">
        <v>9.5</v>
      </c>
      <c r="H498" t="n">
        <v>0</v>
      </c>
      <c r="I498" t="n">
        <v>0</v>
      </c>
      <c r="J498" t="n">
        <v>0</v>
      </c>
      <c r="K498" t="n">
        <v>0</v>
      </c>
      <c r="L498" t="n">
        <v>0</v>
      </c>
      <c r="M498" t="n">
        <v>0</v>
      </c>
      <c r="N498" t="n">
        <v>0</v>
      </c>
      <c r="O498" t="n">
        <v>0</v>
      </c>
      <c r="P498" t="n">
        <v>0</v>
      </c>
      <c r="Q498" t="n">
        <v>0</v>
      </c>
      <c r="R498" s="2" t="inlineStr"/>
    </row>
    <row r="499">
      <c r="A499" t="inlineStr">
        <is>
          <t>A 49622-2024</t>
        </is>
      </c>
      <c r="B499" s="1" t="n">
        <v>45596.58372685185</v>
      </c>
      <c r="C499" s="1" t="n">
        <v>46004</v>
      </c>
      <c r="D499" t="inlineStr">
        <is>
          <t>UPPSALA LÄN</t>
        </is>
      </c>
      <c r="E499" t="inlineStr">
        <is>
          <t>ENKÖPING</t>
        </is>
      </c>
      <c r="G499" t="n">
        <v>1.3</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2025-12-13T10:30:26Z</dcterms:created>
  <dcterms:modified xmlns:dcterms="http://purl.org/dc/terms/" xmlns:xsi="http://www.w3.org/2001/XMLSchema-instance" xsi:type="dcterms:W3CDTF">2025-12-13T10:30:26Z</dcterms:modified>
</cp:coreProperties>
</file>