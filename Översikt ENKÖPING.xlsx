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46162</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46162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46162</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46162</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46162</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46162</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46162</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46162</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46162</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21810-2026</t>
        </is>
      </c>
      <c r="B13" s="1" t="n">
        <v>46150</v>
      </c>
      <c r="C13" s="1" t="n">
        <v>46162</v>
      </c>
      <c r="D13" t="inlineStr">
        <is>
          <t>UPPSALA LÄN</t>
        </is>
      </c>
      <c r="E13" t="inlineStr">
        <is>
          <t>ENKÖPING</t>
        </is>
      </c>
      <c r="G13" t="n">
        <v>13.3</v>
      </c>
      <c r="H13" t="n">
        <v>1</v>
      </c>
      <c r="I13" t="n">
        <v>0</v>
      </c>
      <c r="J13" t="n">
        <v>1</v>
      </c>
      <c r="K13" t="n">
        <v>0</v>
      </c>
      <c r="L13" t="n">
        <v>0</v>
      </c>
      <c r="M13" t="n">
        <v>0</v>
      </c>
      <c r="N13" t="n">
        <v>0</v>
      </c>
      <c r="O13" t="n">
        <v>1</v>
      </c>
      <c r="P13" t="n">
        <v>0</v>
      </c>
      <c r="Q13" t="n">
        <v>2</v>
      </c>
      <c r="R13" s="2" t="inlineStr">
        <is>
          <t>Motaggsvamp
Kungsfågel</t>
        </is>
      </c>
      <c r="S13">
        <f>HYPERLINK("https://klasma.github.io/Logging_0381/artfynd/A 21810-2026 artfynd.xlsx", "A 21810-2026")</f>
        <v/>
      </c>
      <c r="T13">
        <f>HYPERLINK("https://klasma.github.io/Logging_0381/kartor/A 21810-2026 karta.png", "A 21810-2026")</f>
        <v/>
      </c>
      <c r="V13">
        <f>HYPERLINK("https://klasma.github.io/Logging_0381/klagomål/A 21810-2026 FSC-klagomål.docx", "A 21810-2026")</f>
        <v/>
      </c>
      <c r="W13">
        <f>HYPERLINK("https://klasma.github.io/Logging_0381/klagomålsmail/A 21810-2026 FSC-klagomål mail.docx", "A 21810-2026")</f>
        <v/>
      </c>
      <c r="X13">
        <f>HYPERLINK("https://klasma.github.io/Logging_0381/tillsyn/A 21810-2026 tillsynsbegäran.docx", "A 21810-2026")</f>
        <v/>
      </c>
      <c r="Y13">
        <f>HYPERLINK("https://klasma.github.io/Logging_0381/tillsynsmail/A 21810-2026 tillsynsbegäran mail.docx", "A 21810-2026")</f>
        <v/>
      </c>
      <c r="Z13">
        <f>HYPERLINK("https://klasma.github.io/Logging_0381/fåglar/A 21810-2026 prioriterade fågelarter.docx", "A 21810-2026")</f>
        <v/>
      </c>
    </row>
    <row r="14" ht="15" customHeight="1">
      <c r="A14" t="inlineStr">
        <is>
          <t>A 50105-2023</t>
        </is>
      </c>
      <c r="B14" s="1" t="n">
        <v>45215</v>
      </c>
      <c r="C14" s="1" t="n">
        <v>46162</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425-2024</t>
        </is>
      </c>
      <c r="B15" s="1" t="n">
        <v>45296</v>
      </c>
      <c r="C15" s="1" t="n">
        <v>46162</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9147-2026</t>
        </is>
      </c>
      <c r="B16" s="1" t="n">
        <v>46070.30649305556</v>
      </c>
      <c r="C16" s="1" t="n">
        <v>46162</v>
      </c>
      <c r="D16" t="inlineStr">
        <is>
          <t>UPPSALA LÄN</t>
        </is>
      </c>
      <c r="E16" t="inlineStr">
        <is>
          <t>ENKÖPING</t>
        </is>
      </c>
      <c r="G16" t="n">
        <v>1.6</v>
      </c>
      <c r="H16" t="n">
        <v>0</v>
      </c>
      <c r="I16" t="n">
        <v>1</v>
      </c>
      <c r="J16" t="n">
        <v>1</v>
      </c>
      <c r="K16" t="n">
        <v>0</v>
      </c>
      <c r="L16" t="n">
        <v>0</v>
      </c>
      <c r="M16" t="n">
        <v>0</v>
      </c>
      <c r="N16" t="n">
        <v>0</v>
      </c>
      <c r="O16" t="n">
        <v>1</v>
      </c>
      <c r="P16" t="n">
        <v>0</v>
      </c>
      <c r="Q16" t="n">
        <v>2</v>
      </c>
      <c r="R16" s="2" t="inlineStr">
        <is>
          <t>Motaggsvamp
Dropptaggsvamp</t>
        </is>
      </c>
      <c r="S16">
        <f>HYPERLINK("https://klasma.github.io/Logging_0381/artfynd/A 9147-2026 artfynd.xlsx", "A 9147-2026")</f>
        <v/>
      </c>
      <c r="T16">
        <f>HYPERLINK("https://klasma.github.io/Logging_0381/kartor/A 9147-2026 karta.png", "A 9147-2026")</f>
        <v/>
      </c>
      <c r="V16">
        <f>HYPERLINK("https://klasma.github.io/Logging_0381/klagomål/A 9147-2026 FSC-klagomål.docx", "A 9147-2026")</f>
        <v/>
      </c>
      <c r="W16">
        <f>HYPERLINK("https://klasma.github.io/Logging_0381/klagomålsmail/A 9147-2026 FSC-klagomål mail.docx", "A 9147-2026")</f>
        <v/>
      </c>
      <c r="X16">
        <f>HYPERLINK("https://klasma.github.io/Logging_0381/tillsyn/A 9147-2026 tillsynsbegäran.docx", "A 9147-2026")</f>
        <v/>
      </c>
      <c r="Y16">
        <f>HYPERLINK("https://klasma.github.io/Logging_0381/tillsynsmail/A 9147-2026 tillsynsbegäran mail.docx", "A 9147-2026")</f>
        <v/>
      </c>
    </row>
    <row r="17" ht="15" customHeight="1">
      <c r="A17" t="inlineStr">
        <is>
          <t>A 21970-2025</t>
        </is>
      </c>
      <c r="B17" s="1" t="n">
        <v>45784.63335648148</v>
      </c>
      <c r="C17" s="1" t="n">
        <v>46162</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46162</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46162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23961-2022</t>
        </is>
      </c>
      <c r="B21" s="1" t="n">
        <v>44722</v>
      </c>
      <c r="C21" s="1" t="n">
        <v>46162</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28900-2024</t>
        </is>
      </c>
      <c r="B22" s="1" t="n">
        <v>45480</v>
      </c>
      <c r="C22" s="1" t="n">
        <v>46162</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29510-2025</t>
        </is>
      </c>
      <c r="B23" s="1" t="n">
        <v>45825</v>
      </c>
      <c r="C23" s="1" t="n">
        <v>46162</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17942-2024</t>
        </is>
      </c>
      <c r="B24" s="1" t="n">
        <v>45419</v>
      </c>
      <c r="C24" s="1" t="n">
        <v>46162</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46162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46162</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33339-2024</t>
        </is>
      </c>
      <c r="B27" s="1" t="n">
        <v>45519</v>
      </c>
      <c r="C27" s="1" t="n">
        <v>46162</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46162</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4166-2026</t>
        </is>
      </c>
      <c r="B29" s="1" t="n">
        <v>46044.66402777778</v>
      </c>
      <c r="C29" s="1" t="n">
        <v>46162</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46749-2024</t>
        </is>
      </c>
      <c r="B30" s="1" t="n">
        <v>45583.48347222222</v>
      </c>
      <c r="C30" s="1" t="n">
        <v>46162</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46162</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46162</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46162</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46162</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46162</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57066-2021</t>
        </is>
      </c>
      <c r="B37" s="1" t="n">
        <v>44482.5663425926</v>
      </c>
      <c r="C37" s="1" t="n">
        <v>46162</v>
      </c>
      <c r="D37" t="inlineStr">
        <is>
          <t>UPPSALA LÄN</t>
        </is>
      </c>
      <c r="E37" t="inlineStr">
        <is>
          <t>ENKÖPING</t>
        </is>
      </c>
      <c r="G37" t="n">
        <v>1.5</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46162</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46162</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46162</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46162</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46162</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46162</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46162</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17704-2022</t>
        </is>
      </c>
      <c r="B45" s="1" t="n">
        <v>44680.61315972222</v>
      </c>
      <c r="C45" s="1" t="n">
        <v>46162</v>
      </c>
      <c r="D45" t="inlineStr">
        <is>
          <t>UPPSALA LÄN</t>
        </is>
      </c>
      <c r="E45" t="inlineStr">
        <is>
          <t>ENKÖPING</t>
        </is>
      </c>
      <c r="G45" t="n">
        <v>0.8</v>
      </c>
      <c r="H45" t="n">
        <v>0</v>
      </c>
      <c r="I45" t="n">
        <v>0</v>
      </c>
      <c r="J45" t="n">
        <v>0</v>
      </c>
      <c r="K45" t="n">
        <v>0</v>
      </c>
      <c r="L45" t="n">
        <v>0</v>
      </c>
      <c r="M45" t="n">
        <v>0</v>
      </c>
      <c r="N45" t="n">
        <v>0</v>
      </c>
      <c r="O45" t="n">
        <v>0</v>
      </c>
      <c r="P45" t="n">
        <v>0</v>
      </c>
      <c r="Q45" t="n">
        <v>0</v>
      </c>
      <c r="R45" s="2" t="inlineStr"/>
    </row>
    <row r="46" ht="15" customHeight="1">
      <c r="A46" t="inlineStr">
        <is>
          <t>A 46749-2022</t>
        </is>
      </c>
      <c r="B46" s="1" t="n">
        <v>44851</v>
      </c>
      <c r="C46" s="1" t="n">
        <v>46162</v>
      </c>
      <c r="D46" t="inlineStr">
        <is>
          <t>UPPSALA LÄN</t>
        </is>
      </c>
      <c r="E46" t="inlineStr">
        <is>
          <t>ENKÖPING</t>
        </is>
      </c>
      <c r="G46" t="n">
        <v>6.6</v>
      </c>
      <c r="H46" t="n">
        <v>0</v>
      </c>
      <c r="I46" t="n">
        <v>0</v>
      </c>
      <c r="J46" t="n">
        <v>0</v>
      </c>
      <c r="K46" t="n">
        <v>0</v>
      </c>
      <c r="L46" t="n">
        <v>0</v>
      </c>
      <c r="M46" t="n">
        <v>0</v>
      </c>
      <c r="N46" t="n">
        <v>0</v>
      </c>
      <c r="O46" t="n">
        <v>0</v>
      </c>
      <c r="P46" t="n">
        <v>0</v>
      </c>
      <c r="Q46" t="n">
        <v>0</v>
      </c>
      <c r="R46" s="2" t="inlineStr"/>
    </row>
    <row r="47" ht="15" customHeight="1">
      <c r="A47" t="inlineStr">
        <is>
          <t>A 18785-2022</t>
        </is>
      </c>
      <c r="B47" s="1" t="n">
        <v>44687</v>
      </c>
      <c r="C47" s="1" t="n">
        <v>46162</v>
      </c>
      <c r="D47" t="inlineStr">
        <is>
          <t>UPPSALA LÄN</t>
        </is>
      </c>
      <c r="E47" t="inlineStr">
        <is>
          <t>ENKÖPING</t>
        </is>
      </c>
      <c r="G47" t="n">
        <v>3.4</v>
      </c>
      <c r="H47" t="n">
        <v>0</v>
      </c>
      <c r="I47" t="n">
        <v>0</v>
      </c>
      <c r="J47" t="n">
        <v>0</v>
      </c>
      <c r="K47" t="n">
        <v>0</v>
      </c>
      <c r="L47" t="n">
        <v>0</v>
      </c>
      <c r="M47" t="n">
        <v>0</v>
      </c>
      <c r="N47" t="n">
        <v>0</v>
      </c>
      <c r="O47" t="n">
        <v>0</v>
      </c>
      <c r="P47" t="n">
        <v>0</v>
      </c>
      <c r="Q47" t="n">
        <v>0</v>
      </c>
      <c r="R47" s="2" t="inlineStr"/>
    </row>
    <row r="48" ht="15" customHeight="1">
      <c r="A48" t="inlineStr">
        <is>
          <t>A 39922-2022</t>
        </is>
      </c>
      <c r="B48" s="1" t="n">
        <v>44819</v>
      </c>
      <c r="C48" s="1" t="n">
        <v>46162</v>
      </c>
      <c r="D48" t="inlineStr">
        <is>
          <t>UPPSALA LÄN</t>
        </is>
      </c>
      <c r="E48" t="inlineStr">
        <is>
          <t>ENKÖPING</t>
        </is>
      </c>
      <c r="G48" t="n">
        <v>1.7</v>
      </c>
      <c r="H48" t="n">
        <v>0</v>
      </c>
      <c r="I48" t="n">
        <v>0</v>
      </c>
      <c r="J48" t="n">
        <v>0</v>
      </c>
      <c r="K48" t="n">
        <v>0</v>
      </c>
      <c r="L48" t="n">
        <v>0</v>
      </c>
      <c r="M48" t="n">
        <v>0</v>
      </c>
      <c r="N48" t="n">
        <v>0</v>
      </c>
      <c r="O48" t="n">
        <v>0</v>
      </c>
      <c r="P48" t="n">
        <v>0</v>
      </c>
      <c r="Q48" t="n">
        <v>0</v>
      </c>
      <c r="R48" s="2" t="inlineStr"/>
    </row>
    <row r="49" ht="15" customHeight="1">
      <c r="A49" t="inlineStr">
        <is>
          <t>A 41736-2022</t>
        </is>
      </c>
      <c r="B49" s="1" t="n">
        <v>44827</v>
      </c>
      <c r="C49" s="1" t="n">
        <v>46162</v>
      </c>
      <c r="D49" t="inlineStr">
        <is>
          <t>UPPSALA LÄN</t>
        </is>
      </c>
      <c r="E49" t="inlineStr">
        <is>
          <t>ENKÖPING</t>
        </is>
      </c>
      <c r="G49" t="n">
        <v>0.9</v>
      </c>
      <c r="H49" t="n">
        <v>0</v>
      </c>
      <c r="I49" t="n">
        <v>0</v>
      </c>
      <c r="J49" t="n">
        <v>0</v>
      </c>
      <c r="K49" t="n">
        <v>0</v>
      </c>
      <c r="L49" t="n">
        <v>0</v>
      </c>
      <c r="M49" t="n">
        <v>0</v>
      </c>
      <c r="N49" t="n">
        <v>0</v>
      </c>
      <c r="O49" t="n">
        <v>0</v>
      </c>
      <c r="P49" t="n">
        <v>0</v>
      </c>
      <c r="Q49" t="n">
        <v>0</v>
      </c>
      <c r="R49" s="2" t="inlineStr"/>
    </row>
    <row r="50" ht="15" customHeight="1">
      <c r="A50" t="inlineStr">
        <is>
          <t>A 3861-2022</t>
        </is>
      </c>
      <c r="B50" s="1" t="n">
        <v>44587</v>
      </c>
      <c r="C50" s="1" t="n">
        <v>46162</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16967-2022</t>
        </is>
      </c>
      <c r="B51" s="1" t="n">
        <v>44676</v>
      </c>
      <c r="C51" s="1" t="n">
        <v>46162</v>
      </c>
      <c r="D51" t="inlineStr">
        <is>
          <t>UPPSALA LÄN</t>
        </is>
      </c>
      <c r="E51" t="inlineStr">
        <is>
          <t>ENKÖPING</t>
        </is>
      </c>
      <c r="G51" t="n">
        <v>0.6</v>
      </c>
      <c r="H51" t="n">
        <v>0</v>
      </c>
      <c r="I51" t="n">
        <v>0</v>
      </c>
      <c r="J51" t="n">
        <v>0</v>
      </c>
      <c r="K51" t="n">
        <v>0</v>
      </c>
      <c r="L51" t="n">
        <v>0</v>
      </c>
      <c r="M51" t="n">
        <v>0</v>
      </c>
      <c r="N51" t="n">
        <v>0</v>
      </c>
      <c r="O51" t="n">
        <v>0</v>
      </c>
      <c r="P51" t="n">
        <v>0</v>
      </c>
      <c r="Q51" t="n">
        <v>0</v>
      </c>
      <c r="R51" s="2" t="inlineStr"/>
    </row>
    <row r="52" ht="15" customHeight="1">
      <c r="A52" t="inlineStr">
        <is>
          <t>A 498-2022</t>
        </is>
      </c>
      <c r="B52" s="1" t="n">
        <v>44566</v>
      </c>
      <c r="C52" s="1" t="n">
        <v>46162</v>
      </c>
      <c r="D52" t="inlineStr">
        <is>
          <t>UPPSALA LÄN</t>
        </is>
      </c>
      <c r="E52" t="inlineStr">
        <is>
          <t>ENKÖPING</t>
        </is>
      </c>
      <c r="F52" t="inlineStr">
        <is>
          <t>Övriga statliga verk och myndigheter</t>
        </is>
      </c>
      <c r="G52" t="n">
        <v>11.1</v>
      </c>
      <c r="H52" t="n">
        <v>0</v>
      </c>
      <c r="I52" t="n">
        <v>0</v>
      </c>
      <c r="J52" t="n">
        <v>0</v>
      </c>
      <c r="K52" t="n">
        <v>0</v>
      </c>
      <c r="L52" t="n">
        <v>0</v>
      </c>
      <c r="M52" t="n">
        <v>0</v>
      </c>
      <c r="N52" t="n">
        <v>0</v>
      </c>
      <c r="O52" t="n">
        <v>0</v>
      </c>
      <c r="P52" t="n">
        <v>0</v>
      </c>
      <c r="Q52" t="n">
        <v>0</v>
      </c>
      <c r="R52" s="2" t="inlineStr"/>
    </row>
    <row r="53" ht="15" customHeight="1">
      <c r="A53" t="inlineStr">
        <is>
          <t>A 1965-2022</t>
        </is>
      </c>
      <c r="B53" s="1" t="n">
        <v>44575</v>
      </c>
      <c r="C53" s="1" t="n">
        <v>46162</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48230-2022</t>
        </is>
      </c>
      <c r="B54" s="1" t="n">
        <v>44858.45100694444</v>
      </c>
      <c r="C54" s="1" t="n">
        <v>46162</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14531-2022</t>
        </is>
      </c>
      <c r="B55" s="1" t="n">
        <v>44655</v>
      </c>
      <c r="C55" s="1" t="n">
        <v>46162</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48233-2022</t>
        </is>
      </c>
      <c r="B56" s="1" t="n">
        <v>44858.45300925926</v>
      </c>
      <c r="C56" s="1" t="n">
        <v>46162</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29435-2022</t>
        </is>
      </c>
      <c r="B57" s="1" t="n">
        <v>44753.49215277778</v>
      </c>
      <c r="C57" s="1" t="n">
        <v>46162</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39473-2021</t>
        </is>
      </c>
      <c r="B58" s="1" t="n">
        <v>44414</v>
      </c>
      <c r="C58" s="1" t="n">
        <v>46162</v>
      </c>
      <c r="D58" t="inlineStr">
        <is>
          <t>UPPSALA LÄN</t>
        </is>
      </c>
      <c r="E58" t="inlineStr">
        <is>
          <t>ENKÖPING</t>
        </is>
      </c>
      <c r="G58" t="n">
        <v>3.2</v>
      </c>
      <c r="H58" t="n">
        <v>0</v>
      </c>
      <c r="I58" t="n">
        <v>0</v>
      </c>
      <c r="J58" t="n">
        <v>0</v>
      </c>
      <c r="K58" t="n">
        <v>0</v>
      </c>
      <c r="L58" t="n">
        <v>0</v>
      </c>
      <c r="M58" t="n">
        <v>0</v>
      </c>
      <c r="N58" t="n">
        <v>0</v>
      </c>
      <c r="O58" t="n">
        <v>0</v>
      </c>
      <c r="P58" t="n">
        <v>0</v>
      </c>
      <c r="Q58" t="n">
        <v>0</v>
      </c>
      <c r="R58" s="2" t="inlineStr"/>
    </row>
    <row r="59" ht="15" customHeight="1">
      <c r="A59" t="inlineStr">
        <is>
          <t>A 38005-2022</t>
        </is>
      </c>
      <c r="B59" s="1" t="n">
        <v>44810</v>
      </c>
      <c r="C59" s="1" t="n">
        <v>46162</v>
      </c>
      <c r="D59" t="inlineStr">
        <is>
          <t>UPPSALA LÄN</t>
        </is>
      </c>
      <c r="E59" t="inlineStr">
        <is>
          <t>ENKÖPING</t>
        </is>
      </c>
      <c r="G59" t="n">
        <v>1.5</v>
      </c>
      <c r="H59" t="n">
        <v>0</v>
      </c>
      <c r="I59" t="n">
        <v>0</v>
      </c>
      <c r="J59" t="n">
        <v>0</v>
      </c>
      <c r="K59" t="n">
        <v>0</v>
      </c>
      <c r="L59" t="n">
        <v>0</v>
      </c>
      <c r="M59" t="n">
        <v>0</v>
      </c>
      <c r="N59" t="n">
        <v>0</v>
      </c>
      <c r="O59" t="n">
        <v>0</v>
      </c>
      <c r="P59" t="n">
        <v>0</v>
      </c>
      <c r="Q59" t="n">
        <v>0</v>
      </c>
      <c r="R59" s="2" t="inlineStr"/>
    </row>
    <row r="60" ht="15" customHeight="1">
      <c r="A60" t="inlineStr">
        <is>
          <t>A 29425-2022</t>
        </is>
      </c>
      <c r="B60" s="1" t="n">
        <v>44753.47837962963</v>
      </c>
      <c r="C60" s="1" t="n">
        <v>46162</v>
      </c>
      <c r="D60" t="inlineStr">
        <is>
          <t>UPPSALA LÄN</t>
        </is>
      </c>
      <c r="E60" t="inlineStr">
        <is>
          <t>ENKÖPING</t>
        </is>
      </c>
      <c r="G60" t="n">
        <v>2.5</v>
      </c>
      <c r="H60" t="n">
        <v>0</v>
      </c>
      <c r="I60" t="n">
        <v>0</v>
      </c>
      <c r="J60" t="n">
        <v>0</v>
      </c>
      <c r="K60" t="n">
        <v>0</v>
      </c>
      <c r="L60" t="n">
        <v>0</v>
      </c>
      <c r="M60" t="n">
        <v>0</v>
      </c>
      <c r="N60" t="n">
        <v>0</v>
      </c>
      <c r="O60" t="n">
        <v>0</v>
      </c>
      <c r="P60" t="n">
        <v>0</v>
      </c>
      <c r="Q60" t="n">
        <v>0</v>
      </c>
      <c r="R60" s="2" t="inlineStr"/>
    </row>
    <row r="61" ht="15" customHeight="1">
      <c r="A61" t="inlineStr">
        <is>
          <t>A 52896-2022</t>
        </is>
      </c>
      <c r="B61" s="1" t="n">
        <v>44875.5665625</v>
      </c>
      <c r="C61" s="1" t="n">
        <v>46162</v>
      </c>
      <c r="D61" t="inlineStr">
        <is>
          <t>UPPSALA LÄN</t>
        </is>
      </c>
      <c r="E61" t="inlineStr">
        <is>
          <t>ENKÖPING</t>
        </is>
      </c>
      <c r="G61" t="n">
        <v>0.8</v>
      </c>
      <c r="H61" t="n">
        <v>0</v>
      </c>
      <c r="I61" t="n">
        <v>0</v>
      </c>
      <c r="J61" t="n">
        <v>0</v>
      </c>
      <c r="K61" t="n">
        <v>0</v>
      </c>
      <c r="L61" t="n">
        <v>0</v>
      </c>
      <c r="M61" t="n">
        <v>0</v>
      </c>
      <c r="N61" t="n">
        <v>0</v>
      </c>
      <c r="O61" t="n">
        <v>0</v>
      </c>
      <c r="P61" t="n">
        <v>0</v>
      </c>
      <c r="Q61" t="n">
        <v>0</v>
      </c>
      <c r="R61" s="2" t="inlineStr"/>
    </row>
    <row r="62" ht="15" customHeight="1">
      <c r="A62" t="inlineStr">
        <is>
          <t>A 2680-2022</t>
        </is>
      </c>
      <c r="B62" s="1" t="n">
        <v>44580</v>
      </c>
      <c r="C62" s="1" t="n">
        <v>46162</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52014-2021</t>
        </is>
      </c>
      <c r="B63" s="1" t="n">
        <v>44463.3425462963</v>
      </c>
      <c r="C63" s="1" t="n">
        <v>46162</v>
      </c>
      <c r="D63" t="inlineStr">
        <is>
          <t>UPPSALA LÄN</t>
        </is>
      </c>
      <c r="E63" t="inlineStr">
        <is>
          <t>ENKÖPING</t>
        </is>
      </c>
      <c r="G63" t="n">
        <v>5.8</v>
      </c>
      <c r="H63" t="n">
        <v>0</v>
      </c>
      <c r="I63" t="n">
        <v>0</v>
      </c>
      <c r="J63" t="n">
        <v>0</v>
      </c>
      <c r="K63" t="n">
        <v>0</v>
      </c>
      <c r="L63" t="n">
        <v>0</v>
      </c>
      <c r="M63" t="n">
        <v>0</v>
      </c>
      <c r="N63" t="n">
        <v>0</v>
      </c>
      <c r="O63" t="n">
        <v>0</v>
      </c>
      <c r="P63" t="n">
        <v>0</v>
      </c>
      <c r="Q63" t="n">
        <v>0</v>
      </c>
      <c r="R63" s="2" t="inlineStr"/>
    </row>
    <row r="64" ht="15" customHeight="1">
      <c r="A64" t="inlineStr">
        <is>
          <t>A 37410-2022</t>
        </is>
      </c>
      <c r="B64" s="1" t="n">
        <v>44809</v>
      </c>
      <c r="C64" s="1" t="n">
        <v>46162</v>
      </c>
      <c r="D64" t="inlineStr">
        <is>
          <t>UPPSALA LÄN</t>
        </is>
      </c>
      <c r="E64" t="inlineStr">
        <is>
          <t>ENKÖPING</t>
        </is>
      </c>
      <c r="G64" t="n">
        <v>3.6</v>
      </c>
      <c r="H64" t="n">
        <v>0</v>
      </c>
      <c r="I64" t="n">
        <v>0</v>
      </c>
      <c r="J64" t="n">
        <v>0</v>
      </c>
      <c r="K64" t="n">
        <v>0</v>
      </c>
      <c r="L64" t="n">
        <v>0</v>
      </c>
      <c r="M64" t="n">
        <v>0</v>
      </c>
      <c r="N64" t="n">
        <v>0</v>
      </c>
      <c r="O64" t="n">
        <v>0</v>
      </c>
      <c r="P64" t="n">
        <v>0</v>
      </c>
      <c r="Q64" t="n">
        <v>0</v>
      </c>
      <c r="R64" s="2" t="inlineStr"/>
    </row>
    <row r="65" ht="15" customHeight="1">
      <c r="A65" t="inlineStr">
        <is>
          <t>A 1979-2022</t>
        </is>
      </c>
      <c r="B65" s="1" t="n">
        <v>44575</v>
      </c>
      <c r="C65" s="1" t="n">
        <v>46162</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40773-2022</t>
        </is>
      </c>
      <c r="B66" s="1" t="n">
        <v>44824.61237268519</v>
      </c>
      <c r="C66" s="1" t="n">
        <v>46162</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28795-2021</t>
        </is>
      </c>
      <c r="B67" s="1" t="n">
        <v>44357</v>
      </c>
      <c r="C67" s="1" t="n">
        <v>46162</v>
      </c>
      <c r="D67" t="inlineStr">
        <is>
          <t>UPPSALA LÄN</t>
        </is>
      </c>
      <c r="E67" t="inlineStr">
        <is>
          <t>ENKÖPING</t>
        </is>
      </c>
      <c r="F67" t="inlineStr">
        <is>
          <t>Allmännings- och besparingsskogar</t>
        </is>
      </c>
      <c r="G67" t="n">
        <v>2.8</v>
      </c>
      <c r="H67" t="n">
        <v>0</v>
      </c>
      <c r="I67" t="n">
        <v>0</v>
      </c>
      <c r="J67" t="n">
        <v>0</v>
      </c>
      <c r="K67" t="n">
        <v>0</v>
      </c>
      <c r="L67" t="n">
        <v>0</v>
      </c>
      <c r="M67" t="n">
        <v>0</v>
      </c>
      <c r="N67" t="n">
        <v>0</v>
      </c>
      <c r="O67" t="n">
        <v>0</v>
      </c>
      <c r="P67" t="n">
        <v>0</v>
      </c>
      <c r="Q67" t="n">
        <v>0</v>
      </c>
      <c r="R67" s="2" t="inlineStr"/>
    </row>
    <row r="68" ht="15" customHeight="1">
      <c r="A68" t="inlineStr">
        <is>
          <t>A 68107-2021</t>
        </is>
      </c>
      <c r="B68" s="1" t="n">
        <v>44526</v>
      </c>
      <c r="C68" s="1" t="n">
        <v>46162</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69791-2021</t>
        </is>
      </c>
      <c r="B69" s="1" t="n">
        <v>44532</v>
      </c>
      <c r="C69" s="1" t="n">
        <v>46162</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46162</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57055-2021</t>
        </is>
      </c>
      <c r="B71" s="1" t="n">
        <v>44482.55201388889</v>
      </c>
      <c r="C71" s="1" t="n">
        <v>46162</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46162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15021-2022</t>
        </is>
      </c>
      <c r="B73" s="1" t="n">
        <v>44657</v>
      </c>
      <c r="C73" s="1" t="n">
        <v>46162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31013-2022</t>
        </is>
      </c>
      <c r="B74" s="1" t="n">
        <v>44768</v>
      </c>
      <c r="C74" s="1" t="n">
        <v>46162</v>
      </c>
      <c r="D74" t="inlineStr">
        <is>
          <t>UPPSALA LÄN</t>
        </is>
      </c>
      <c r="E74" t="inlineStr">
        <is>
          <t>ENKÖPING</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42029-2021</t>
        </is>
      </c>
      <c r="B75" s="1" t="n">
        <v>44426</v>
      </c>
      <c r="C75" s="1" t="n">
        <v>46162</v>
      </c>
      <c r="D75" t="inlineStr">
        <is>
          <t>UPPSALA LÄN</t>
        </is>
      </c>
      <c r="E75" t="inlineStr">
        <is>
          <t>ENKÖPING</t>
        </is>
      </c>
      <c r="G75" t="n">
        <v>5.3</v>
      </c>
      <c r="H75" t="n">
        <v>0</v>
      </c>
      <c r="I75" t="n">
        <v>0</v>
      </c>
      <c r="J75" t="n">
        <v>0</v>
      </c>
      <c r="K75" t="n">
        <v>0</v>
      </c>
      <c r="L75" t="n">
        <v>0</v>
      </c>
      <c r="M75" t="n">
        <v>0</v>
      </c>
      <c r="N75" t="n">
        <v>0</v>
      </c>
      <c r="O75" t="n">
        <v>0</v>
      </c>
      <c r="P75" t="n">
        <v>0</v>
      </c>
      <c r="Q75" t="n">
        <v>0</v>
      </c>
      <c r="R75" s="2" t="inlineStr"/>
    </row>
    <row r="76" ht="15" customHeight="1">
      <c r="A76" t="inlineStr">
        <is>
          <t>A 1971-2022</t>
        </is>
      </c>
      <c r="B76" s="1" t="n">
        <v>44575</v>
      </c>
      <c r="C76" s="1" t="n">
        <v>46162</v>
      </c>
      <c r="D76" t="inlineStr">
        <is>
          <t>UPPSALA LÄN</t>
        </is>
      </c>
      <c r="E76" t="inlineStr">
        <is>
          <t>ENKÖPING</t>
        </is>
      </c>
      <c r="G76" t="n">
        <v>1.4</v>
      </c>
      <c r="H76" t="n">
        <v>0</v>
      </c>
      <c r="I76" t="n">
        <v>0</v>
      </c>
      <c r="J76" t="n">
        <v>0</v>
      </c>
      <c r="K76" t="n">
        <v>0</v>
      </c>
      <c r="L76" t="n">
        <v>0</v>
      </c>
      <c r="M76" t="n">
        <v>0</v>
      </c>
      <c r="N76" t="n">
        <v>0</v>
      </c>
      <c r="O76" t="n">
        <v>0</v>
      </c>
      <c r="P76" t="n">
        <v>0</v>
      </c>
      <c r="Q76" t="n">
        <v>0</v>
      </c>
      <c r="R76" s="2" t="inlineStr"/>
    </row>
    <row r="77" ht="15" customHeight="1">
      <c r="A77" t="inlineStr">
        <is>
          <t>A 15924-2022</t>
        </is>
      </c>
      <c r="B77" s="1" t="n">
        <v>44664</v>
      </c>
      <c r="C77" s="1" t="n">
        <v>46162</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15943-2022</t>
        </is>
      </c>
      <c r="B78" s="1" t="n">
        <v>44664.66428240741</v>
      </c>
      <c r="C78" s="1" t="n">
        <v>46162</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46162</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19731-2022</t>
        </is>
      </c>
      <c r="B80" s="1" t="n">
        <v>44694</v>
      </c>
      <c r="C80" s="1" t="n">
        <v>46162</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57043-2021</t>
        </is>
      </c>
      <c r="B81" s="1" t="n">
        <v>44482.53399305556</v>
      </c>
      <c r="C81" s="1" t="n">
        <v>46162</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24883-2022</t>
        </is>
      </c>
      <c r="B82" s="1" t="n">
        <v>44728</v>
      </c>
      <c r="C82" s="1" t="n">
        <v>46162</v>
      </c>
      <c r="D82" t="inlineStr">
        <is>
          <t>UPPSALA LÄN</t>
        </is>
      </c>
      <c r="E82" t="inlineStr">
        <is>
          <t>ENKÖPING</t>
        </is>
      </c>
      <c r="G82" t="n">
        <v>2.5</v>
      </c>
      <c r="H82" t="n">
        <v>0</v>
      </c>
      <c r="I82" t="n">
        <v>0</v>
      </c>
      <c r="J82" t="n">
        <v>0</v>
      </c>
      <c r="K82" t="n">
        <v>0</v>
      </c>
      <c r="L82" t="n">
        <v>0</v>
      </c>
      <c r="M82" t="n">
        <v>0</v>
      </c>
      <c r="N82" t="n">
        <v>0</v>
      </c>
      <c r="O82" t="n">
        <v>0</v>
      </c>
      <c r="P82" t="n">
        <v>0</v>
      </c>
      <c r="Q82" t="n">
        <v>0</v>
      </c>
      <c r="R82" s="2" t="inlineStr"/>
    </row>
    <row r="83" ht="15" customHeight="1">
      <c r="A83" t="inlineStr">
        <is>
          <t>A 68127-2021</t>
        </is>
      </c>
      <c r="B83" s="1" t="n">
        <v>44526.39513888889</v>
      </c>
      <c r="C83" s="1" t="n">
        <v>46162</v>
      </c>
      <c r="D83" t="inlineStr">
        <is>
          <t>UPPSALA LÄN</t>
        </is>
      </c>
      <c r="E83" t="inlineStr">
        <is>
          <t>ENKÖPING</t>
        </is>
      </c>
      <c r="G83" t="n">
        <v>0.8</v>
      </c>
      <c r="H83" t="n">
        <v>0</v>
      </c>
      <c r="I83" t="n">
        <v>0</v>
      </c>
      <c r="J83" t="n">
        <v>0</v>
      </c>
      <c r="K83" t="n">
        <v>0</v>
      </c>
      <c r="L83" t="n">
        <v>0</v>
      </c>
      <c r="M83" t="n">
        <v>0</v>
      </c>
      <c r="N83" t="n">
        <v>0</v>
      </c>
      <c r="O83" t="n">
        <v>0</v>
      </c>
      <c r="P83" t="n">
        <v>0</v>
      </c>
      <c r="Q83" t="n">
        <v>0</v>
      </c>
      <c r="R83" s="2" t="inlineStr"/>
    </row>
    <row r="84" ht="15" customHeight="1">
      <c r="A84" t="inlineStr">
        <is>
          <t>A 17467-2022</t>
        </is>
      </c>
      <c r="B84" s="1" t="n">
        <v>44679</v>
      </c>
      <c r="C84" s="1" t="n">
        <v>46162</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46162</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59121-2021</t>
        </is>
      </c>
      <c r="B86" s="1" t="n">
        <v>44490</v>
      </c>
      <c r="C86" s="1" t="n">
        <v>46162</v>
      </c>
      <c r="D86" t="inlineStr">
        <is>
          <t>UPPSALA LÄN</t>
        </is>
      </c>
      <c r="E86" t="inlineStr">
        <is>
          <t>ENKÖPING</t>
        </is>
      </c>
      <c r="G86" t="n">
        <v>2.4</v>
      </c>
      <c r="H86" t="n">
        <v>0</v>
      </c>
      <c r="I86" t="n">
        <v>0</v>
      </c>
      <c r="J86" t="n">
        <v>0</v>
      </c>
      <c r="K86" t="n">
        <v>0</v>
      </c>
      <c r="L86" t="n">
        <v>0</v>
      </c>
      <c r="M86" t="n">
        <v>0</v>
      </c>
      <c r="N86" t="n">
        <v>0</v>
      </c>
      <c r="O86" t="n">
        <v>0</v>
      </c>
      <c r="P86" t="n">
        <v>0</v>
      </c>
      <c r="Q86" t="n">
        <v>0</v>
      </c>
      <c r="R86" s="2" t="inlineStr"/>
    </row>
    <row r="87" ht="15" customHeight="1">
      <c r="A87" t="inlineStr">
        <is>
          <t>A 24815-2022</t>
        </is>
      </c>
      <c r="B87" s="1" t="n">
        <v>44728</v>
      </c>
      <c r="C87" s="1" t="n">
        <v>46162</v>
      </c>
      <c r="D87" t="inlineStr">
        <is>
          <t>UPPSALA LÄN</t>
        </is>
      </c>
      <c r="E87" t="inlineStr">
        <is>
          <t>ENKÖPING</t>
        </is>
      </c>
      <c r="G87" t="n">
        <v>1.8</v>
      </c>
      <c r="H87" t="n">
        <v>0</v>
      </c>
      <c r="I87" t="n">
        <v>0</v>
      </c>
      <c r="J87" t="n">
        <v>0</v>
      </c>
      <c r="K87" t="n">
        <v>0</v>
      </c>
      <c r="L87" t="n">
        <v>0</v>
      </c>
      <c r="M87" t="n">
        <v>0</v>
      </c>
      <c r="N87" t="n">
        <v>0</v>
      </c>
      <c r="O87" t="n">
        <v>0</v>
      </c>
      <c r="P87" t="n">
        <v>0</v>
      </c>
      <c r="Q87" t="n">
        <v>0</v>
      </c>
      <c r="R87" s="2" t="inlineStr"/>
    </row>
    <row r="88" ht="15" customHeight="1">
      <c r="A88" t="inlineStr">
        <is>
          <t>A 57078-2021</t>
        </is>
      </c>
      <c r="B88" s="1" t="n">
        <v>44482.57855324074</v>
      </c>
      <c r="C88" s="1" t="n">
        <v>46162</v>
      </c>
      <c r="D88" t="inlineStr">
        <is>
          <t>UPPSALA LÄN</t>
        </is>
      </c>
      <c r="E88" t="inlineStr">
        <is>
          <t>ENKÖPING</t>
        </is>
      </c>
      <c r="G88" t="n">
        <v>3</v>
      </c>
      <c r="H88" t="n">
        <v>0</v>
      </c>
      <c r="I88" t="n">
        <v>0</v>
      </c>
      <c r="J88" t="n">
        <v>0</v>
      </c>
      <c r="K88" t="n">
        <v>0</v>
      </c>
      <c r="L88" t="n">
        <v>0</v>
      </c>
      <c r="M88" t="n">
        <v>0</v>
      </c>
      <c r="N88" t="n">
        <v>0</v>
      </c>
      <c r="O88" t="n">
        <v>0</v>
      </c>
      <c r="P88" t="n">
        <v>0</v>
      </c>
      <c r="Q88" t="n">
        <v>0</v>
      </c>
      <c r="R88" s="2" t="inlineStr"/>
    </row>
    <row r="89" ht="15" customHeight="1">
      <c r="A89" t="inlineStr">
        <is>
          <t>A 29983-2021</t>
        </is>
      </c>
      <c r="B89" s="1" t="n">
        <v>44363</v>
      </c>
      <c r="C89" s="1" t="n">
        <v>46162</v>
      </c>
      <c r="D89" t="inlineStr">
        <is>
          <t>UPPSALA LÄN</t>
        </is>
      </c>
      <c r="E89" t="inlineStr">
        <is>
          <t>ENKÖPING</t>
        </is>
      </c>
      <c r="F89" t="inlineStr">
        <is>
          <t>Kommuner</t>
        </is>
      </c>
      <c r="G89" t="n">
        <v>3.1</v>
      </c>
      <c r="H89" t="n">
        <v>0</v>
      </c>
      <c r="I89" t="n">
        <v>0</v>
      </c>
      <c r="J89" t="n">
        <v>0</v>
      </c>
      <c r="K89" t="n">
        <v>0</v>
      </c>
      <c r="L89" t="n">
        <v>0</v>
      </c>
      <c r="M89" t="n">
        <v>0</v>
      </c>
      <c r="N89" t="n">
        <v>0</v>
      </c>
      <c r="O89" t="n">
        <v>0</v>
      </c>
      <c r="P89" t="n">
        <v>0</v>
      </c>
      <c r="Q89" t="n">
        <v>0</v>
      </c>
      <c r="R89" s="2" t="inlineStr"/>
    </row>
    <row r="90" ht="15" customHeight="1">
      <c r="A90" t="inlineStr">
        <is>
          <t>A 31965-2021</t>
        </is>
      </c>
      <c r="B90" s="1" t="n">
        <v>44370.56901620371</v>
      </c>
      <c r="C90" s="1" t="n">
        <v>46162</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46103-2023</t>
        </is>
      </c>
      <c r="B91" s="1" t="n">
        <v>45190</v>
      </c>
      <c r="C91" s="1" t="n">
        <v>46162</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10468-2025</t>
        </is>
      </c>
      <c r="B92" s="1" t="n">
        <v>45720</v>
      </c>
      <c r="C92" s="1" t="n">
        <v>46162</v>
      </c>
      <c r="D92" t="inlineStr">
        <is>
          <t>UPPSALA LÄN</t>
        </is>
      </c>
      <c r="E92" t="inlineStr">
        <is>
          <t>ENKÖPING</t>
        </is>
      </c>
      <c r="G92" t="n">
        <v>1.6</v>
      </c>
      <c r="H92" t="n">
        <v>0</v>
      </c>
      <c r="I92" t="n">
        <v>0</v>
      </c>
      <c r="J92" t="n">
        <v>0</v>
      </c>
      <c r="K92" t="n">
        <v>0</v>
      </c>
      <c r="L92" t="n">
        <v>0</v>
      </c>
      <c r="M92" t="n">
        <v>0</v>
      </c>
      <c r="N92" t="n">
        <v>0</v>
      </c>
      <c r="O92" t="n">
        <v>0</v>
      </c>
      <c r="P92" t="n">
        <v>0</v>
      </c>
      <c r="Q92" t="n">
        <v>0</v>
      </c>
      <c r="R92" s="2" t="inlineStr"/>
    </row>
    <row r="93" ht="15" customHeight="1">
      <c r="A93" t="inlineStr">
        <is>
          <t>A 43488-2023</t>
        </is>
      </c>
      <c r="B93" s="1" t="n">
        <v>45181</v>
      </c>
      <c r="C93" s="1" t="n">
        <v>46162</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4044-2024</t>
        </is>
      </c>
      <c r="B94" s="1" t="n">
        <v>45323.45954861111</v>
      </c>
      <c r="C94" s="1" t="n">
        <v>46162</v>
      </c>
      <c r="D94" t="inlineStr">
        <is>
          <t>UPPSALA LÄN</t>
        </is>
      </c>
      <c r="E94" t="inlineStr">
        <is>
          <t>ENKÖPING</t>
        </is>
      </c>
      <c r="G94" t="n">
        <v>2.1</v>
      </c>
      <c r="H94" t="n">
        <v>0</v>
      </c>
      <c r="I94" t="n">
        <v>0</v>
      </c>
      <c r="J94" t="n">
        <v>0</v>
      </c>
      <c r="K94" t="n">
        <v>0</v>
      </c>
      <c r="L94" t="n">
        <v>0</v>
      </c>
      <c r="M94" t="n">
        <v>0</v>
      </c>
      <c r="N94" t="n">
        <v>0</v>
      </c>
      <c r="O94" t="n">
        <v>0</v>
      </c>
      <c r="P94" t="n">
        <v>0</v>
      </c>
      <c r="Q94" t="n">
        <v>0</v>
      </c>
      <c r="R94" s="2" t="inlineStr"/>
    </row>
    <row r="95" ht="15" customHeight="1">
      <c r="A95" t="inlineStr">
        <is>
          <t>A 12755-2025</t>
        </is>
      </c>
      <c r="B95" s="1" t="n">
        <v>45733.56541666666</v>
      </c>
      <c r="C95" s="1" t="n">
        <v>46162</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30437-2022</t>
        </is>
      </c>
      <c r="B96" s="1" t="n">
        <v>44761</v>
      </c>
      <c r="C96" s="1" t="n">
        <v>46162</v>
      </c>
      <c r="D96" t="inlineStr">
        <is>
          <t>UPPSALA LÄN</t>
        </is>
      </c>
      <c r="E96" t="inlineStr">
        <is>
          <t>ENKÖPING</t>
        </is>
      </c>
      <c r="G96" t="n">
        <v>3.4</v>
      </c>
      <c r="H96" t="n">
        <v>0</v>
      </c>
      <c r="I96" t="n">
        <v>0</v>
      </c>
      <c r="J96" t="n">
        <v>0</v>
      </c>
      <c r="K96" t="n">
        <v>0</v>
      </c>
      <c r="L96" t="n">
        <v>0</v>
      </c>
      <c r="M96" t="n">
        <v>0</v>
      </c>
      <c r="N96" t="n">
        <v>0</v>
      </c>
      <c r="O96" t="n">
        <v>0</v>
      </c>
      <c r="P96" t="n">
        <v>0</v>
      </c>
      <c r="Q96" t="n">
        <v>0</v>
      </c>
      <c r="R96" s="2" t="inlineStr"/>
    </row>
    <row r="97" ht="15" customHeight="1">
      <c r="A97" t="inlineStr">
        <is>
          <t>A 50747-2022</t>
        </is>
      </c>
      <c r="B97" s="1" t="n">
        <v>44867.40162037037</v>
      </c>
      <c r="C97" s="1" t="n">
        <v>46162</v>
      </c>
      <c r="D97" t="inlineStr">
        <is>
          <t>UPPSALA LÄN</t>
        </is>
      </c>
      <c r="E97" t="inlineStr">
        <is>
          <t>ENKÖPING</t>
        </is>
      </c>
      <c r="G97" t="n">
        <v>1.5</v>
      </c>
      <c r="H97" t="n">
        <v>0</v>
      </c>
      <c r="I97" t="n">
        <v>0</v>
      </c>
      <c r="J97" t="n">
        <v>0</v>
      </c>
      <c r="K97" t="n">
        <v>0</v>
      </c>
      <c r="L97" t="n">
        <v>0</v>
      </c>
      <c r="M97" t="n">
        <v>0</v>
      </c>
      <c r="N97" t="n">
        <v>0</v>
      </c>
      <c r="O97" t="n">
        <v>0</v>
      </c>
      <c r="P97" t="n">
        <v>0</v>
      </c>
      <c r="Q97" t="n">
        <v>0</v>
      </c>
      <c r="R97" s="2" t="inlineStr"/>
    </row>
    <row r="98" ht="15" customHeight="1">
      <c r="A98" t="inlineStr">
        <is>
          <t>A 57152-2021</t>
        </is>
      </c>
      <c r="B98" s="1" t="n">
        <v>44482</v>
      </c>
      <c r="C98" s="1" t="n">
        <v>46162</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25333-2023</t>
        </is>
      </c>
      <c r="B99" s="1" t="n">
        <v>45083</v>
      </c>
      <c r="C99" s="1" t="n">
        <v>46162</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20112-2024</t>
        </is>
      </c>
      <c r="B100" s="1" t="n">
        <v>45434</v>
      </c>
      <c r="C100" s="1" t="n">
        <v>46162</v>
      </c>
      <c r="D100" t="inlineStr">
        <is>
          <t>UPPSALA LÄN</t>
        </is>
      </c>
      <c r="E100" t="inlineStr">
        <is>
          <t>ENKÖPING</t>
        </is>
      </c>
      <c r="G100" t="n">
        <v>1.8</v>
      </c>
      <c r="H100" t="n">
        <v>0</v>
      </c>
      <c r="I100" t="n">
        <v>0</v>
      </c>
      <c r="J100" t="n">
        <v>0</v>
      </c>
      <c r="K100" t="n">
        <v>0</v>
      </c>
      <c r="L100" t="n">
        <v>0</v>
      </c>
      <c r="M100" t="n">
        <v>0</v>
      </c>
      <c r="N100" t="n">
        <v>0</v>
      </c>
      <c r="O100" t="n">
        <v>0</v>
      </c>
      <c r="P100" t="n">
        <v>0</v>
      </c>
      <c r="Q100" t="n">
        <v>0</v>
      </c>
      <c r="R100" s="2" t="inlineStr"/>
    </row>
    <row r="101" ht="15" customHeight="1">
      <c r="A101" t="inlineStr">
        <is>
          <t>A 51932-2022</t>
        </is>
      </c>
      <c r="B101" s="1" t="n">
        <v>44872</v>
      </c>
      <c r="C101" s="1" t="n">
        <v>46162</v>
      </c>
      <c r="D101" t="inlineStr">
        <is>
          <t>UPPSALA LÄN</t>
        </is>
      </c>
      <c r="E101" t="inlineStr">
        <is>
          <t>ENKÖPING</t>
        </is>
      </c>
      <c r="G101" t="n">
        <v>5.5</v>
      </c>
      <c r="H101" t="n">
        <v>0</v>
      </c>
      <c r="I101" t="n">
        <v>0</v>
      </c>
      <c r="J101" t="n">
        <v>0</v>
      </c>
      <c r="K101" t="n">
        <v>0</v>
      </c>
      <c r="L101" t="n">
        <v>0</v>
      </c>
      <c r="M101" t="n">
        <v>0</v>
      </c>
      <c r="N101" t="n">
        <v>0</v>
      </c>
      <c r="O101" t="n">
        <v>0</v>
      </c>
      <c r="P101" t="n">
        <v>0</v>
      </c>
      <c r="Q101" t="n">
        <v>0</v>
      </c>
      <c r="R101" s="2" t="inlineStr"/>
    </row>
    <row r="102" ht="15" customHeight="1">
      <c r="A102" t="inlineStr">
        <is>
          <t>A 12958-2024</t>
        </is>
      </c>
      <c r="B102" s="1" t="n">
        <v>45385</v>
      </c>
      <c r="C102" s="1" t="n">
        <v>46162</v>
      </c>
      <c r="D102" t="inlineStr">
        <is>
          <t>UPPSALA LÄN</t>
        </is>
      </c>
      <c r="E102" t="inlineStr">
        <is>
          <t>ENKÖPING</t>
        </is>
      </c>
      <c r="G102" t="n">
        <v>2.1</v>
      </c>
      <c r="H102" t="n">
        <v>0</v>
      </c>
      <c r="I102" t="n">
        <v>0</v>
      </c>
      <c r="J102" t="n">
        <v>0</v>
      </c>
      <c r="K102" t="n">
        <v>0</v>
      </c>
      <c r="L102" t="n">
        <v>0</v>
      </c>
      <c r="M102" t="n">
        <v>0</v>
      </c>
      <c r="N102" t="n">
        <v>0</v>
      </c>
      <c r="O102" t="n">
        <v>0</v>
      </c>
      <c r="P102" t="n">
        <v>0</v>
      </c>
      <c r="Q102" t="n">
        <v>0</v>
      </c>
      <c r="R102" s="2" t="inlineStr"/>
    </row>
    <row r="103" ht="15" customHeight="1">
      <c r="A103" t="inlineStr">
        <is>
          <t>A 5211-2024</t>
        </is>
      </c>
      <c r="B103" s="1" t="n">
        <v>45330</v>
      </c>
      <c r="C103" s="1" t="n">
        <v>46162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46162</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24291-2024</t>
        </is>
      </c>
      <c r="B105" s="1" t="n">
        <v>45457.4584837963</v>
      </c>
      <c r="C105" s="1" t="n">
        <v>46162</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44232-2022</t>
        </is>
      </c>
      <c r="B106" s="1" t="n">
        <v>44839</v>
      </c>
      <c r="C106" s="1" t="n">
        <v>46162</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47428-2023</t>
        </is>
      </c>
      <c r="B107" s="1" t="n">
        <v>45202.66664351852</v>
      </c>
      <c r="C107" s="1" t="n">
        <v>46162</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60350-2022</t>
        </is>
      </c>
      <c r="B108" s="1" t="n">
        <v>44910</v>
      </c>
      <c r="C108" s="1" t="n">
        <v>46162</v>
      </c>
      <c r="D108" t="inlineStr">
        <is>
          <t>UPPSALA LÄN</t>
        </is>
      </c>
      <c r="E108" t="inlineStr">
        <is>
          <t>ENKÖPING</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28518-2024</t>
        </is>
      </c>
      <c r="B109" s="1" t="n">
        <v>45477</v>
      </c>
      <c r="C109" s="1" t="n">
        <v>46162</v>
      </c>
      <c r="D109" t="inlineStr">
        <is>
          <t>UPPSALA LÄN</t>
        </is>
      </c>
      <c r="E109" t="inlineStr">
        <is>
          <t>ENKÖPING</t>
        </is>
      </c>
      <c r="G109" t="n">
        <v>3.4</v>
      </c>
      <c r="H109" t="n">
        <v>0</v>
      </c>
      <c r="I109" t="n">
        <v>0</v>
      </c>
      <c r="J109" t="n">
        <v>0</v>
      </c>
      <c r="K109" t="n">
        <v>0</v>
      </c>
      <c r="L109" t="n">
        <v>0</v>
      </c>
      <c r="M109" t="n">
        <v>0</v>
      </c>
      <c r="N109" t="n">
        <v>0</v>
      </c>
      <c r="O109" t="n">
        <v>0</v>
      </c>
      <c r="P109" t="n">
        <v>0</v>
      </c>
      <c r="Q109" t="n">
        <v>0</v>
      </c>
      <c r="R109" s="2" t="inlineStr"/>
    </row>
    <row r="110" ht="15" customHeight="1">
      <c r="A110" t="inlineStr">
        <is>
          <t>A 45362-2022</t>
        </is>
      </c>
      <c r="B110" s="1" t="n">
        <v>44844.62366898148</v>
      </c>
      <c r="C110" s="1" t="n">
        <v>46162</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56526-2022</t>
        </is>
      </c>
      <c r="B111" s="1" t="n">
        <v>44893</v>
      </c>
      <c r="C111" s="1" t="n">
        <v>46162</v>
      </c>
      <c r="D111" t="inlineStr">
        <is>
          <t>UPPSALA LÄN</t>
        </is>
      </c>
      <c r="E111" t="inlineStr">
        <is>
          <t>ENKÖPING</t>
        </is>
      </c>
      <c r="G111" t="n">
        <v>3.8</v>
      </c>
      <c r="H111" t="n">
        <v>0</v>
      </c>
      <c r="I111" t="n">
        <v>0</v>
      </c>
      <c r="J111" t="n">
        <v>0</v>
      </c>
      <c r="K111" t="n">
        <v>0</v>
      </c>
      <c r="L111" t="n">
        <v>0</v>
      </c>
      <c r="M111" t="n">
        <v>0</v>
      </c>
      <c r="N111" t="n">
        <v>0</v>
      </c>
      <c r="O111" t="n">
        <v>0</v>
      </c>
      <c r="P111" t="n">
        <v>0</v>
      </c>
      <c r="Q111" t="n">
        <v>0</v>
      </c>
      <c r="R111" s="2" t="inlineStr"/>
    </row>
    <row r="112" ht="15" customHeight="1">
      <c r="A112" t="inlineStr">
        <is>
          <t>A 60289-2022</t>
        </is>
      </c>
      <c r="B112" s="1" t="n">
        <v>44910.53026620371</v>
      </c>
      <c r="C112" s="1" t="n">
        <v>46162</v>
      </c>
      <c r="D112" t="inlineStr">
        <is>
          <t>UPPSALA LÄN</t>
        </is>
      </c>
      <c r="E112" t="inlineStr">
        <is>
          <t>ENKÖPING</t>
        </is>
      </c>
      <c r="G112" t="n">
        <v>3.2</v>
      </c>
      <c r="H112" t="n">
        <v>0</v>
      </c>
      <c r="I112" t="n">
        <v>0</v>
      </c>
      <c r="J112" t="n">
        <v>0</v>
      </c>
      <c r="K112" t="n">
        <v>0</v>
      </c>
      <c r="L112" t="n">
        <v>0</v>
      </c>
      <c r="M112" t="n">
        <v>0</v>
      </c>
      <c r="N112" t="n">
        <v>0</v>
      </c>
      <c r="O112" t="n">
        <v>0</v>
      </c>
      <c r="P112" t="n">
        <v>0</v>
      </c>
      <c r="Q112" t="n">
        <v>0</v>
      </c>
      <c r="R112" s="2" t="inlineStr"/>
    </row>
    <row r="113" ht="15" customHeight="1">
      <c r="A113" t="inlineStr">
        <is>
          <t>A 1651-2024</t>
        </is>
      </c>
      <c r="B113" s="1" t="n">
        <v>45306.73770833333</v>
      </c>
      <c r="C113" s="1" t="n">
        <v>46162</v>
      </c>
      <c r="D113" t="inlineStr">
        <is>
          <t>UPPSALA LÄN</t>
        </is>
      </c>
      <c r="E113" t="inlineStr">
        <is>
          <t>ENKÖPING</t>
        </is>
      </c>
      <c r="G113" t="n">
        <v>10.2</v>
      </c>
      <c r="H113" t="n">
        <v>0</v>
      </c>
      <c r="I113" t="n">
        <v>0</v>
      </c>
      <c r="J113" t="n">
        <v>0</v>
      </c>
      <c r="K113" t="n">
        <v>0</v>
      </c>
      <c r="L113" t="n">
        <v>0</v>
      </c>
      <c r="M113" t="n">
        <v>0</v>
      </c>
      <c r="N113" t="n">
        <v>0</v>
      </c>
      <c r="O113" t="n">
        <v>0</v>
      </c>
      <c r="P113" t="n">
        <v>0</v>
      </c>
      <c r="Q113" t="n">
        <v>0</v>
      </c>
      <c r="R113" s="2" t="inlineStr"/>
    </row>
    <row r="114" ht="15" customHeight="1">
      <c r="A114" t="inlineStr">
        <is>
          <t>A 30098-2024</t>
        </is>
      </c>
      <c r="B114" s="1" t="n">
        <v>45489.41609953704</v>
      </c>
      <c r="C114" s="1" t="n">
        <v>46162</v>
      </c>
      <c r="D114" t="inlineStr">
        <is>
          <t>UPPSALA LÄN</t>
        </is>
      </c>
      <c r="E114" t="inlineStr">
        <is>
          <t>ENKÖPING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2162-2023</t>
        </is>
      </c>
      <c r="B115" s="1" t="n">
        <v>44941</v>
      </c>
      <c r="C115" s="1" t="n">
        <v>46162</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56163-2021</t>
        </is>
      </c>
      <c r="B116" s="1" t="n">
        <v>44477</v>
      </c>
      <c r="C116" s="1" t="n">
        <v>46162</v>
      </c>
      <c r="D116" t="inlineStr">
        <is>
          <t>UPPSALA LÄN</t>
        </is>
      </c>
      <c r="E116" t="inlineStr">
        <is>
          <t>ENKÖPING</t>
        </is>
      </c>
      <c r="F116" t="inlineStr">
        <is>
          <t>Allmännings- och besparingsskogar</t>
        </is>
      </c>
      <c r="G116" t="n">
        <v>0.6</v>
      </c>
      <c r="H116" t="n">
        <v>0</v>
      </c>
      <c r="I116" t="n">
        <v>0</v>
      </c>
      <c r="J116" t="n">
        <v>0</v>
      </c>
      <c r="K116" t="n">
        <v>0</v>
      </c>
      <c r="L116" t="n">
        <v>0</v>
      </c>
      <c r="M116" t="n">
        <v>0</v>
      </c>
      <c r="N116" t="n">
        <v>0</v>
      </c>
      <c r="O116" t="n">
        <v>0</v>
      </c>
      <c r="P116" t="n">
        <v>0</v>
      </c>
      <c r="Q116" t="n">
        <v>0</v>
      </c>
      <c r="R116" s="2" t="inlineStr"/>
    </row>
    <row r="117" ht="15" customHeight="1">
      <c r="A117" t="inlineStr">
        <is>
          <t>A 28318-2024</t>
        </is>
      </c>
      <c r="B117" s="1" t="n">
        <v>45477</v>
      </c>
      <c r="C117" s="1" t="n">
        <v>46162</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31242-2024</t>
        </is>
      </c>
      <c r="B118" s="1" t="n">
        <v>45503</v>
      </c>
      <c r="C118" s="1" t="n">
        <v>46162</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14402-2023</t>
        </is>
      </c>
      <c r="B119" s="1" t="n">
        <v>45012</v>
      </c>
      <c r="C119" s="1" t="n">
        <v>46162</v>
      </c>
      <c r="D119" t="inlineStr">
        <is>
          <t>UPPSALA LÄN</t>
        </is>
      </c>
      <c r="E119" t="inlineStr">
        <is>
          <t>ENKÖPING</t>
        </is>
      </c>
      <c r="G119" t="n">
        <v>9.5</v>
      </c>
      <c r="H119" t="n">
        <v>0</v>
      </c>
      <c r="I119" t="n">
        <v>0</v>
      </c>
      <c r="J119" t="n">
        <v>0</v>
      </c>
      <c r="K119" t="n">
        <v>0</v>
      </c>
      <c r="L119" t="n">
        <v>0</v>
      </c>
      <c r="M119" t="n">
        <v>0</v>
      </c>
      <c r="N119" t="n">
        <v>0</v>
      </c>
      <c r="O119" t="n">
        <v>0</v>
      </c>
      <c r="P119" t="n">
        <v>0</v>
      </c>
      <c r="Q119" t="n">
        <v>0</v>
      </c>
      <c r="R119" s="2" t="inlineStr"/>
    </row>
    <row r="120" ht="15" customHeight="1">
      <c r="A120" t="inlineStr">
        <is>
          <t>A 39115-2024</t>
        </is>
      </c>
      <c r="B120" s="1" t="n">
        <v>45548</v>
      </c>
      <c r="C120" s="1" t="n">
        <v>46162</v>
      </c>
      <c r="D120" t="inlineStr">
        <is>
          <t>UPPSALA LÄN</t>
        </is>
      </c>
      <c r="E120" t="inlineStr">
        <is>
          <t>ENKÖPING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12020-2024</t>
        </is>
      </c>
      <c r="B121" s="1" t="n">
        <v>45377</v>
      </c>
      <c r="C121" s="1" t="n">
        <v>46162</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69344-2021</t>
        </is>
      </c>
      <c r="B122" s="1" t="n">
        <v>44531</v>
      </c>
      <c r="C122" s="1" t="n">
        <v>46162</v>
      </c>
      <c r="D122" t="inlineStr">
        <is>
          <t>UPPSALA LÄN</t>
        </is>
      </c>
      <c r="E122" t="inlineStr">
        <is>
          <t>ENKÖPING</t>
        </is>
      </c>
      <c r="G122" t="n">
        <v>2.9</v>
      </c>
      <c r="H122" t="n">
        <v>0</v>
      </c>
      <c r="I122" t="n">
        <v>0</v>
      </c>
      <c r="J122" t="n">
        <v>0</v>
      </c>
      <c r="K122" t="n">
        <v>0</v>
      </c>
      <c r="L122" t="n">
        <v>0</v>
      </c>
      <c r="M122" t="n">
        <v>0</v>
      </c>
      <c r="N122" t="n">
        <v>0</v>
      </c>
      <c r="O122" t="n">
        <v>0</v>
      </c>
      <c r="P122" t="n">
        <v>0</v>
      </c>
      <c r="Q122" t="n">
        <v>0</v>
      </c>
      <c r="R122" s="2" t="inlineStr"/>
    </row>
    <row r="123" ht="15" customHeight="1">
      <c r="A123" t="inlineStr">
        <is>
          <t>A 34124-2021</t>
        </is>
      </c>
      <c r="B123" s="1" t="n">
        <v>44379</v>
      </c>
      <c r="C123" s="1" t="n">
        <v>46162</v>
      </c>
      <c r="D123" t="inlineStr">
        <is>
          <t>UPPSALA LÄN</t>
        </is>
      </c>
      <c r="E123" t="inlineStr">
        <is>
          <t>ENKÖPING</t>
        </is>
      </c>
      <c r="G123" t="n">
        <v>2.2</v>
      </c>
      <c r="H123" t="n">
        <v>0</v>
      </c>
      <c r="I123" t="n">
        <v>0</v>
      </c>
      <c r="J123" t="n">
        <v>0</v>
      </c>
      <c r="K123" t="n">
        <v>0</v>
      </c>
      <c r="L123" t="n">
        <v>0</v>
      </c>
      <c r="M123" t="n">
        <v>0</v>
      </c>
      <c r="N123" t="n">
        <v>0</v>
      </c>
      <c r="O123" t="n">
        <v>0</v>
      </c>
      <c r="P123" t="n">
        <v>0</v>
      </c>
      <c r="Q123" t="n">
        <v>0</v>
      </c>
      <c r="R123" s="2" t="inlineStr"/>
    </row>
    <row r="124" ht="15" customHeight="1">
      <c r="A124" t="inlineStr">
        <is>
          <t>A 43697-2024</t>
        </is>
      </c>
      <c r="B124" s="1" t="n">
        <v>45569</v>
      </c>
      <c r="C124" s="1" t="n">
        <v>46162</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51010-2024</t>
        </is>
      </c>
      <c r="B125" s="1" t="n">
        <v>45603.39285879629</v>
      </c>
      <c r="C125" s="1" t="n">
        <v>46162</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27983-2024</t>
        </is>
      </c>
      <c r="B126" s="1" t="n">
        <v>45476</v>
      </c>
      <c r="C126" s="1" t="n">
        <v>46162</v>
      </c>
      <c r="D126" t="inlineStr">
        <is>
          <t>UPPSALA LÄN</t>
        </is>
      </c>
      <c r="E126" t="inlineStr">
        <is>
          <t>ENKÖPING</t>
        </is>
      </c>
      <c r="G126" t="n">
        <v>3.2</v>
      </c>
      <c r="H126" t="n">
        <v>0</v>
      </c>
      <c r="I126" t="n">
        <v>0</v>
      </c>
      <c r="J126" t="n">
        <v>0</v>
      </c>
      <c r="K126" t="n">
        <v>0</v>
      </c>
      <c r="L126" t="n">
        <v>0</v>
      </c>
      <c r="M126" t="n">
        <v>0</v>
      </c>
      <c r="N126" t="n">
        <v>0</v>
      </c>
      <c r="O126" t="n">
        <v>0</v>
      </c>
      <c r="P126" t="n">
        <v>0</v>
      </c>
      <c r="Q126" t="n">
        <v>0</v>
      </c>
      <c r="R126" s="2" t="inlineStr"/>
    </row>
    <row r="127" ht="15" customHeight="1">
      <c r="A127" t="inlineStr">
        <is>
          <t>A 22912-2024</t>
        </is>
      </c>
      <c r="B127" s="1" t="n">
        <v>45448.73118055556</v>
      </c>
      <c r="C127" s="1" t="n">
        <v>46162</v>
      </c>
      <c r="D127" t="inlineStr">
        <is>
          <t>UPPSALA LÄN</t>
        </is>
      </c>
      <c r="E127" t="inlineStr">
        <is>
          <t>ENKÖPING</t>
        </is>
      </c>
      <c r="G127" t="n">
        <v>2.8</v>
      </c>
      <c r="H127" t="n">
        <v>0</v>
      </c>
      <c r="I127" t="n">
        <v>0</v>
      </c>
      <c r="J127" t="n">
        <v>0</v>
      </c>
      <c r="K127" t="n">
        <v>0</v>
      </c>
      <c r="L127" t="n">
        <v>0</v>
      </c>
      <c r="M127" t="n">
        <v>0</v>
      </c>
      <c r="N127" t="n">
        <v>0</v>
      </c>
      <c r="O127" t="n">
        <v>0</v>
      </c>
      <c r="P127" t="n">
        <v>0</v>
      </c>
      <c r="Q127" t="n">
        <v>0</v>
      </c>
      <c r="R127" s="2" t="inlineStr"/>
    </row>
    <row r="128" ht="15" customHeight="1">
      <c r="A128" t="inlineStr">
        <is>
          <t>A 9667-2024</t>
        </is>
      </c>
      <c r="B128" s="1" t="n">
        <v>45362.45130787037</v>
      </c>
      <c r="C128" s="1" t="n">
        <v>46162</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41828-2024</t>
        </is>
      </c>
      <c r="B129" s="1" t="n">
        <v>45561</v>
      </c>
      <c r="C129" s="1" t="n">
        <v>46162</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14004-2023</t>
        </is>
      </c>
      <c r="B130" s="1" t="n">
        <v>45008</v>
      </c>
      <c r="C130" s="1" t="n">
        <v>46162</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51012-2024</t>
        </is>
      </c>
      <c r="B131" s="1" t="n">
        <v>45603.39686342593</v>
      </c>
      <c r="C131" s="1" t="n">
        <v>46162</v>
      </c>
      <c r="D131" t="inlineStr">
        <is>
          <t>UPPSALA LÄN</t>
        </is>
      </c>
      <c r="E131" t="inlineStr">
        <is>
          <t>ENKÖPING</t>
        </is>
      </c>
      <c r="G131" t="n">
        <v>2.7</v>
      </c>
      <c r="H131" t="n">
        <v>0</v>
      </c>
      <c r="I131" t="n">
        <v>0</v>
      </c>
      <c r="J131" t="n">
        <v>0</v>
      </c>
      <c r="K131" t="n">
        <v>0</v>
      </c>
      <c r="L131" t="n">
        <v>0</v>
      </c>
      <c r="M131" t="n">
        <v>0</v>
      </c>
      <c r="N131" t="n">
        <v>0</v>
      </c>
      <c r="O131" t="n">
        <v>0</v>
      </c>
      <c r="P131" t="n">
        <v>0</v>
      </c>
      <c r="Q131" t="n">
        <v>0</v>
      </c>
      <c r="R131" s="2" t="inlineStr"/>
    </row>
    <row r="132" ht="15" customHeight="1">
      <c r="A132" t="inlineStr">
        <is>
          <t>A 43506-2023</t>
        </is>
      </c>
      <c r="B132" s="1" t="n">
        <v>45181</v>
      </c>
      <c r="C132" s="1" t="n">
        <v>46162</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10465-2022</t>
        </is>
      </c>
      <c r="B133" s="1" t="n">
        <v>44623</v>
      </c>
      <c r="C133" s="1" t="n">
        <v>46162</v>
      </c>
      <c r="D133" t="inlineStr">
        <is>
          <t>UPPSALA LÄN</t>
        </is>
      </c>
      <c r="E133" t="inlineStr">
        <is>
          <t>ENKÖPING</t>
        </is>
      </c>
      <c r="G133" t="n">
        <v>1.7</v>
      </c>
      <c r="H133" t="n">
        <v>0</v>
      </c>
      <c r="I133" t="n">
        <v>0</v>
      </c>
      <c r="J133" t="n">
        <v>0</v>
      </c>
      <c r="K133" t="n">
        <v>0</v>
      </c>
      <c r="L133" t="n">
        <v>0</v>
      </c>
      <c r="M133" t="n">
        <v>0</v>
      </c>
      <c r="N133" t="n">
        <v>0</v>
      </c>
      <c r="O133" t="n">
        <v>0</v>
      </c>
      <c r="P133" t="n">
        <v>0</v>
      </c>
      <c r="Q133" t="n">
        <v>0</v>
      </c>
      <c r="R133" s="2" t="inlineStr"/>
    </row>
    <row r="134" ht="15" customHeight="1">
      <c r="A134" t="inlineStr">
        <is>
          <t>A 2164-2023</t>
        </is>
      </c>
      <c r="B134" s="1" t="n">
        <v>44941</v>
      </c>
      <c r="C134" s="1" t="n">
        <v>46162</v>
      </c>
      <c r="D134" t="inlineStr">
        <is>
          <t>UPPSALA LÄN</t>
        </is>
      </c>
      <c r="E134" t="inlineStr">
        <is>
          <t>ENKÖPING</t>
        </is>
      </c>
      <c r="G134" t="n">
        <v>2.5</v>
      </c>
      <c r="H134" t="n">
        <v>0</v>
      </c>
      <c r="I134" t="n">
        <v>0</v>
      </c>
      <c r="J134" t="n">
        <v>0</v>
      </c>
      <c r="K134" t="n">
        <v>0</v>
      </c>
      <c r="L134" t="n">
        <v>0</v>
      </c>
      <c r="M134" t="n">
        <v>0</v>
      </c>
      <c r="N134" t="n">
        <v>0</v>
      </c>
      <c r="O134" t="n">
        <v>0</v>
      </c>
      <c r="P134" t="n">
        <v>0</v>
      </c>
      <c r="Q134" t="n">
        <v>0</v>
      </c>
      <c r="R134" s="2" t="inlineStr"/>
    </row>
    <row r="135" ht="15" customHeight="1">
      <c r="A135" t="inlineStr">
        <is>
          <t>A 33955-2024</t>
        </is>
      </c>
      <c r="B135" s="1" t="n">
        <v>45523.46952546296</v>
      </c>
      <c r="C135" s="1" t="n">
        <v>46162</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6172-2023</t>
        </is>
      </c>
      <c r="B136" s="1" t="n">
        <v>44964.68663194445</v>
      </c>
      <c r="C136" s="1" t="n">
        <v>46162</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10409-2025</t>
        </is>
      </c>
      <c r="B137" s="1" t="n">
        <v>45720.631875</v>
      </c>
      <c r="C137" s="1" t="n">
        <v>46162</v>
      </c>
      <c r="D137" t="inlineStr">
        <is>
          <t>UPPSALA LÄN</t>
        </is>
      </c>
      <c r="E137" t="inlineStr">
        <is>
          <t>ENKÖPING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5013-2025</t>
        </is>
      </c>
      <c r="B138" s="1" t="n">
        <v>45691</v>
      </c>
      <c r="C138" s="1" t="n">
        <v>46162</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11503-2024</t>
        </is>
      </c>
      <c r="B139" s="1" t="n">
        <v>45372.68020833333</v>
      </c>
      <c r="C139" s="1" t="n">
        <v>46162</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69344-2021</t>
        </is>
      </c>
      <c r="B140" s="1" t="n">
        <v>44531</v>
      </c>
      <c r="C140" s="1" t="n">
        <v>46162</v>
      </c>
      <c r="D140" t="inlineStr">
        <is>
          <t>UPPSALA LÄN</t>
        </is>
      </c>
      <c r="E140" t="inlineStr">
        <is>
          <t>ENKÖPING</t>
        </is>
      </c>
      <c r="G140" t="n">
        <v>2.9</v>
      </c>
      <c r="H140" t="n">
        <v>0</v>
      </c>
      <c r="I140" t="n">
        <v>0</v>
      </c>
      <c r="J140" t="n">
        <v>0</v>
      </c>
      <c r="K140" t="n">
        <v>0</v>
      </c>
      <c r="L140" t="n">
        <v>0</v>
      </c>
      <c r="M140" t="n">
        <v>0</v>
      </c>
      <c r="N140" t="n">
        <v>0</v>
      </c>
      <c r="O140" t="n">
        <v>0</v>
      </c>
      <c r="P140" t="n">
        <v>0</v>
      </c>
      <c r="Q140" t="n">
        <v>0</v>
      </c>
      <c r="R140" s="2" t="inlineStr"/>
    </row>
    <row r="141" ht="15" customHeight="1">
      <c r="A141" t="inlineStr">
        <is>
          <t>A 21501-2025</t>
        </is>
      </c>
      <c r="B141" s="1" t="n">
        <v>45782</v>
      </c>
      <c r="C141" s="1" t="n">
        <v>46162</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34987-2025</t>
        </is>
      </c>
      <c r="B142" s="1" t="n">
        <v>45849</v>
      </c>
      <c r="C142" s="1" t="n">
        <v>46162</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25989-2025</t>
        </is>
      </c>
      <c r="B143" s="1" t="n">
        <v>45804.65050925926</v>
      </c>
      <c r="C143" s="1" t="n">
        <v>46162</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34988-2025</t>
        </is>
      </c>
      <c r="B144" s="1" t="n">
        <v>45849</v>
      </c>
      <c r="C144" s="1" t="n">
        <v>46162</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36350-2025</t>
        </is>
      </c>
      <c r="B145" s="1" t="n">
        <v>45868</v>
      </c>
      <c r="C145" s="1" t="n">
        <v>46162</v>
      </c>
      <c r="D145" t="inlineStr">
        <is>
          <t>UPPSALA LÄN</t>
        </is>
      </c>
      <c r="E145" t="inlineStr">
        <is>
          <t>ENKÖPING</t>
        </is>
      </c>
      <c r="G145" t="n">
        <v>1.9</v>
      </c>
      <c r="H145" t="n">
        <v>0</v>
      </c>
      <c r="I145" t="n">
        <v>0</v>
      </c>
      <c r="J145" t="n">
        <v>0</v>
      </c>
      <c r="K145" t="n">
        <v>0</v>
      </c>
      <c r="L145" t="n">
        <v>0</v>
      </c>
      <c r="M145" t="n">
        <v>0</v>
      </c>
      <c r="N145" t="n">
        <v>0</v>
      </c>
      <c r="O145" t="n">
        <v>0</v>
      </c>
      <c r="P145" t="n">
        <v>0</v>
      </c>
      <c r="Q145" t="n">
        <v>0</v>
      </c>
      <c r="R145" s="2" t="inlineStr"/>
    </row>
    <row r="146" ht="15" customHeight="1">
      <c r="A146" t="inlineStr">
        <is>
          <t>A 22315-2026</t>
        </is>
      </c>
      <c r="B146" s="1" t="n">
        <v>46154.49106481481</v>
      </c>
      <c r="C146" s="1" t="n">
        <v>46162</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36599-2025</t>
        </is>
      </c>
      <c r="B147" s="1" t="n">
        <v>45870.51723379629</v>
      </c>
      <c r="C147" s="1" t="n">
        <v>46162</v>
      </c>
      <c r="D147" t="inlineStr">
        <is>
          <t>UPPSALA LÄN</t>
        </is>
      </c>
      <c r="E147" t="inlineStr">
        <is>
          <t>ENKÖPING</t>
        </is>
      </c>
      <c r="G147" t="n">
        <v>5.9</v>
      </c>
      <c r="H147" t="n">
        <v>0</v>
      </c>
      <c r="I147" t="n">
        <v>0</v>
      </c>
      <c r="J147" t="n">
        <v>0</v>
      </c>
      <c r="K147" t="n">
        <v>0</v>
      </c>
      <c r="L147" t="n">
        <v>0</v>
      </c>
      <c r="M147" t="n">
        <v>0</v>
      </c>
      <c r="N147" t="n">
        <v>0</v>
      </c>
      <c r="O147" t="n">
        <v>0</v>
      </c>
      <c r="P147" t="n">
        <v>0</v>
      </c>
      <c r="Q147" t="n">
        <v>0</v>
      </c>
      <c r="R147" s="2" t="inlineStr"/>
    </row>
    <row r="148" ht="15" customHeight="1">
      <c r="A148" t="inlineStr">
        <is>
          <t>A 36492-2025</t>
        </is>
      </c>
      <c r="B148" s="1" t="n">
        <v>45869</v>
      </c>
      <c r="C148" s="1" t="n">
        <v>46162</v>
      </c>
      <c r="D148" t="inlineStr">
        <is>
          <t>UPPSALA LÄN</t>
        </is>
      </c>
      <c r="E148" t="inlineStr">
        <is>
          <t>ENKÖPING</t>
        </is>
      </c>
      <c r="G148" t="n">
        <v>6.3</v>
      </c>
      <c r="H148" t="n">
        <v>0</v>
      </c>
      <c r="I148" t="n">
        <v>0</v>
      </c>
      <c r="J148" t="n">
        <v>0</v>
      </c>
      <c r="K148" t="n">
        <v>0</v>
      </c>
      <c r="L148" t="n">
        <v>0</v>
      </c>
      <c r="M148" t="n">
        <v>0</v>
      </c>
      <c r="N148" t="n">
        <v>0</v>
      </c>
      <c r="O148" t="n">
        <v>0</v>
      </c>
      <c r="P148" t="n">
        <v>0</v>
      </c>
      <c r="Q148" t="n">
        <v>0</v>
      </c>
      <c r="R148" s="2" t="inlineStr"/>
    </row>
    <row r="149" ht="15" customHeight="1">
      <c r="A149" t="inlineStr">
        <is>
          <t>A 21686-2022</t>
        </is>
      </c>
      <c r="B149" s="1" t="n">
        <v>44707</v>
      </c>
      <c r="C149" s="1" t="n">
        <v>46162</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29479-2022</t>
        </is>
      </c>
      <c r="B150" s="1" t="n">
        <v>44753.57265046296</v>
      </c>
      <c r="C150" s="1" t="n">
        <v>46162</v>
      </c>
      <c r="D150" t="inlineStr">
        <is>
          <t>UPPSALA LÄN</t>
        </is>
      </c>
      <c r="E150" t="inlineStr">
        <is>
          <t>ENKÖPING</t>
        </is>
      </c>
      <c r="G150" t="n">
        <v>0.9</v>
      </c>
      <c r="H150" t="n">
        <v>0</v>
      </c>
      <c r="I150" t="n">
        <v>0</v>
      </c>
      <c r="J150" t="n">
        <v>0</v>
      </c>
      <c r="K150" t="n">
        <v>0</v>
      </c>
      <c r="L150" t="n">
        <v>0</v>
      </c>
      <c r="M150" t="n">
        <v>0</v>
      </c>
      <c r="N150" t="n">
        <v>0</v>
      </c>
      <c r="O150" t="n">
        <v>0</v>
      </c>
      <c r="P150" t="n">
        <v>0</v>
      </c>
      <c r="Q150" t="n">
        <v>0</v>
      </c>
      <c r="R150" s="2" t="inlineStr"/>
    </row>
    <row r="151" ht="15" customHeight="1">
      <c r="A151" t="inlineStr">
        <is>
          <t>A 49525-2021</t>
        </is>
      </c>
      <c r="B151" s="1" t="n">
        <v>44455</v>
      </c>
      <c r="C151" s="1" t="n">
        <v>46162</v>
      </c>
      <c r="D151" t="inlineStr">
        <is>
          <t>UPPSALA LÄN</t>
        </is>
      </c>
      <c r="E151" t="inlineStr">
        <is>
          <t>ENKÖPING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37319-2025</t>
        </is>
      </c>
      <c r="B152" s="1" t="n">
        <v>45876</v>
      </c>
      <c r="C152" s="1" t="n">
        <v>46162</v>
      </c>
      <c r="D152" t="inlineStr">
        <is>
          <t>UPPSALA LÄN</t>
        </is>
      </c>
      <c r="E152" t="inlineStr">
        <is>
          <t>ENKÖPING</t>
        </is>
      </c>
      <c r="G152" t="n">
        <v>9.5</v>
      </c>
      <c r="H152" t="n">
        <v>0</v>
      </c>
      <c r="I152" t="n">
        <v>0</v>
      </c>
      <c r="J152" t="n">
        <v>0</v>
      </c>
      <c r="K152" t="n">
        <v>0</v>
      </c>
      <c r="L152" t="n">
        <v>0</v>
      </c>
      <c r="M152" t="n">
        <v>0</v>
      </c>
      <c r="N152" t="n">
        <v>0</v>
      </c>
      <c r="O152" t="n">
        <v>0</v>
      </c>
      <c r="P152" t="n">
        <v>0</v>
      </c>
      <c r="Q152" t="n">
        <v>0</v>
      </c>
      <c r="R152" s="2" t="inlineStr"/>
    </row>
    <row r="153" ht="15" customHeight="1">
      <c r="A153" t="inlineStr">
        <is>
          <t>A 37296-2025</t>
        </is>
      </c>
      <c r="B153" s="1" t="n">
        <v>45876</v>
      </c>
      <c r="C153" s="1" t="n">
        <v>46162</v>
      </c>
      <c r="D153" t="inlineStr">
        <is>
          <t>UPPSALA LÄN</t>
        </is>
      </c>
      <c r="E153" t="inlineStr">
        <is>
          <t>ENKÖPING</t>
        </is>
      </c>
      <c r="G153" t="n">
        <v>9.5</v>
      </c>
      <c r="H153" t="n">
        <v>0</v>
      </c>
      <c r="I153" t="n">
        <v>0</v>
      </c>
      <c r="J153" t="n">
        <v>0</v>
      </c>
      <c r="K153" t="n">
        <v>0</v>
      </c>
      <c r="L153" t="n">
        <v>0</v>
      </c>
      <c r="M153" t="n">
        <v>0</v>
      </c>
      <c r="N153" t="n">
        <v>0</v>
      </c>
      <c r="O153" t="n">
        <v>0</v>
      </c>
      <c r="P153" t="n">
        <v>0</v>
      </c>
      <c r="Q153" t="n">
        <v>0</v>
      </c>
      <c r="R153" s="2" t="inlineStr"/>
    </row>
    <row r="154" ht="15" customHeight="1">
      <c r="A154" t="inlineStr">
        <is>
          <t>A 37498-2025</t>
        </is>
      </c>
      <c r="B154" s="1" t="n">
        <v>45877</v>
      </c>
      <c r="C154" s="1" t="n">
        <v>46162</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49622-2024</t>
        </is>
      </c>
      <c r="B155" s="1" t="n">
        <v>45596.58372685185</v>
      </c>
      <c r="C155" s="1" t="n">
        <v>46162</v>
      </c>
      <c r="D155" t="inlineStr">
        <is>
          <t>UPPSALA LÄN</t>
        </is>
      </c>
      <c r="E155" t="inlineStr">
        <is>
          <t>ENKÖPING</t>
        </is>
      </c>
      <c r="G155" t="n">
        <v>1.3</v>
      </c>
      <c r="H155" t="n">
        <v>0</v>
      </c>
      <c r="I155" t="n">
        <v>0</v>
      </c>
      <c r="J155" t="n">
        <v>0</v>
      </c>
      <c r="K155" t="n">
        <v>0</v>
      </c>
      <c r="L155" t="n">
        <v>0</v>
      </c>
      <c r="M155" t="n">
        <v>0</v>
      </c>
      <c r="N155" t="n">
        <v>0</v>
      </c>
      <c r="O155" t="n">
        <v>0</v>
      </c>
      <c r="P155" t="n">
        <v>0</v>
      </c>
      <c r="Q155" t="n">
        <v>0</v>
      </c>
      <c r="R155" s="2" t="inlineStr"/>
    </row>
    <row r="156" ht="15" customHeight="1">
      <c r="A156" t="inlineStr">
        <is>
          <t>A 57328-2024</t>
        </is>
      </c>
      <c r="B156" s="1" t="n">
        <v>45629.62798611111</v>
      </c>
      <c r="C156" s="1" t="n">
        <v>46162</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46162</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21017-2023</t>
        </is>
      </c>
      <c r="B158" s="1" t="n">
        <v>45061</v>
      </c>
      <c r="C158" s="1" t="n">
        <v>46162</v>
      </c>
      <c r="D158" t="inlineStr">
        <is>
          <t>UPPSALA LÄN</t>
        </is>
      </c>
      <c r="E158" t="inlineStr">
        <is>
          <t>ENKÖPING</t>
        </is>
      </c>
      <c r="G158" t="n">
        <v>4.8</v>
      </c>
      <c r="H158" t="n">
        <v>0</v>
      </c>
      <c r="I158" t="n">
        <v>0</v>
      </c>
      <c r="J158" t="n">
        <v>0</v>
      </c>
      <c r="K158" t="n">
        <v>0</v>
      </c>
      <c r="L158" t="n">
        <v>0</v>
      </c>
      <c r="M158" t="n">
        <v>0</v>
      </c>
      <c r="N158" t="n">
        <v>0</v>
      </c>
      <c r="O158" t="n">
        <v>0</v>
      </c>
      <c r="P158" t="n">
        <v>0</v>
      </c>
      <c r="Q158" t="n">
        <v>0</v>
      </c>
      <c r="R158" s="2" t="inlineStr"/>
    </row>
    <row r="159" ht="15" customHeight="1">
      <c r="A159" t="inlineStr">
        <is>
          <t>A 56176-2021</t>
        </is>
      </c>
      <c r="B159" s="1" t="n">
        <v>44477</v>
      </c>
      <c r="C159" s="1" t="n">
        <v>46162</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56837-2024</t>
        </is>
      </c>
      <c r="B160" s="1" t="n">
        <v>45628</v>
      </c>
      <c r="C160" s="1" t="n">
        <v>46162</v>
      </c>
      <c r="D160" t="inlineStr">
        <is>
          <t>UPPSALA LÄN</t>
        </is>
      </c>
      <c r="E160" t="inlineStr">
        <is>
          <t>ENKÖPING</t>
        </is>
      </c>
      <c r="G160" t="n">
        <v>2.2</v>
      </c>
      <c r="H160" t="n">
        <v>0</v>
      </c>
      <c r="I160" t="n">
        <v>0</v>
      </c>
      <c r="J160" t="n">
        <v>0</v>
      </c>
      <c r="K160" t="n">
        <v>0</v>
      </c>
      <c r="L160" t="n">
        <v>0</v>
      </c>
      <c r="M160" t="n">
        <v>0</v>
      </c>
      <c r="N160" t="n">
        <v>0</v>
      </c>
      <c r="O160" t="n">
        <v>0</v>
      </c>
      <c r="P160" t="n">
        <v>0</v>
      </c>
      <c r="Q160" t="n">
        <v>0</v>
      </c>
      <c r="R160" s="2" t="inlineStr"/>
    </row>
    <row r="161" ht="15" customHeight="1">
      <c r="A161" t="inlineStr">
        <is>
          <t>A 41618-2025</t>
        </is>
      </c>
      <c r="B161" s="1" t="n">
        <v>45901.70085648148</v>
      </c>
      <c r="C161" s="1" t="n">
        <v>46162</v>
      </c>
      <c r="D161" t="inlineStr">
        <is>
          <t>UPPSALA LÄN</t>
        </is>
      </c>
      <c r="E161" t="inlineStr">
        <is>
          <t>ENKÖPING</t>
        </is>
      </c>
      <c r="F161" t="inlineStr">
        <is>
          <t>Allmännings- och besparingsskogar</t>
        </is>
      </c>
      <c r="G161" t="n">
        <v>5.3</v>
      </c>
      <c r="H161" t="n">
        <v>0</v>
      </c>
      <c r="I161" t="n">
        <v>0</v>
      </c>
      <c r="J161" t="n">
        <v>0</v>
      </c>
      <c r="K161" t="n">
        <v>0</v>
      </c>
      <c r="L161" t="n">
        <v>0</v>
      </c>
      <c r="M161" t="n">
        <v>0</v>
      </c>
      <c r="N161" t="n">
        <v>0</v>
      </c>
      <c r="O161" t="n">
        <v>0</v>
      </c>
      <c r="P161" t="n">
        <v>0</v>
      </c>
      <c r="Q161" t="n">
        <v>0</v>
      </c>
      <c r="R161" s="2" t="inlineStr"/>
    </row>
    <row r="162" ht="15" customHeight="1">
      <c r="A162" t="inlineStr">
        <is>
          <t>A 41765-2025</t>
        </is>
      </c>
      <c r="B162" s="1" t="n">
        <v>45902</v>
      </c>
      <c r="C162" s="1" t="n">
        <v>46162</v>
      </c>
      <c r="D162" t="inlineStr">
        <is>
          <t>UPPSALA LÄN</t>
        </is>
      </c>
      <c r="E162" t="inlineStr">
        <is>
          <t>ENKÖPING</t>
        </is>
      </c>
      <c r="G162" t="n">
        <v>2.7</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46162</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55876-2024</t>
        </is>
      </c>
      <c r="B164" s="1" t="n">
        <v>45623.5546412037</v>
      </c>
      <c r="C164" s="1" t="n">
        <v>46162</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41637-2025</t>
        </is>
      </c>
      <c r="B165" s="1" t="n">
        <v>45901</v>
      </c>
      <c r="C165" s="1" t="n">
        <v>46162</v>
      </c>
      <c r="D165" t="inlineStr">
        <is>
          <t>UPPSALA LÄN</t>
        </is>
      </c>
      <c r="E165" t="inlineStr">
        <is>
          <t>ENKÖPING</t>
        </is>
      </c>
      <c r="F165" t="inlineStr">
        <is>
          <t>Allmännings- och besparingsskogar</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47516-2022</t>
        </is>
      </c>
      <c r="B166" s="1" t="n">
        <v>44853.68895833333</v>
      </c>
      <c r="C166" s="1" t="n">
        <v>46162</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25334-2023</t>
        </is>
      </c>
      <c r="B167" s="1" t="n">
        <v>45083</v>
      </c>
      <c r="C167" s="1" t="n">
        <v>46162</v>
      </c>
      <c r="D167" t="inlineStr">
        <is>
          <t>UPPSALA LÄN</t>
        </is>
      </c>
      <c r="E167" t="inlineStr">
        <is>
          <t>ENKÖPING</t>
        </is>
      </c>
      <c r="G167" t="n">
        <v>0.2</v>
      </c>
      <c r="H167" t="n">
        <v>0</v>
      </c>
      <c r="I167" t="n">
        <v>0</v>
      </c>
      <c r="J167" t="n">
        <v>0</v>
      </c>
      <c r="K167" t="n">
        <v>0</v>
      </c>
      <c r="L167" t="n">
        <v>0</v>
      </c>
      <c r="M167" t="n">
        <v>0</v>
      </c>
      <c r="N167" t="n">
        <v>0</v>
      </c>
      <c r="O167" t="n">
        <v>0</v>
      </c>
      <c r="P167" t="n">
        <v>0</v>
      </c>
      <c r="Q167" t="n">
        <v>0</v>
      </c>
      <c r="R167" s="2" t="inlineStr"/>
    </row>
    <row r="168" ht="15" customHeight="1">
      <c r="A168" t="inlineStr">
        <is>
          <t>A 33349-2024</t>
        </is>
      </c>
      <c r="B168" s="1" t="n">
        <v>45519</v>
      </c>
      <c r="C168" s="1" t="n">
        <v>46162</v>
      </c>
      <c r="D168" t="inlineStr">
        <is>
          <t>UPPSALA LÄN</t>
        </is>
      </c>
      <c r="E168" t="inlineStr">
        <is>
          <t>ENKÖPING</t>
        </is>
      </c>
      <c r="G168" t="n">
        <v>3.6</v>
      </c>
      <c r="H168" t="n">
        <v>0</v>
      </c>
      <c r="I168" t="n">
        <v>0</v>
      </c>
      <c r="J168" t="n">
        <v>0</v>
      </c>
      <c r="K168" t="n">
        <v>0</v>
      </c>
      <c r="L168" t="n">
        <v>0</v>
      </c>
      <c r="M168" t="n">
        <v>0</v>
      </c>
      <c r="N168" t="n">
        <v>0</v>
      </c>
      <c r="O168" t="n">
        <v>0</v>
      </c>
      <c r="P168" t="n">
        <v>0</v>
      </c>
      <c r="Q168" t="n">
        <v>0</v>
      </c>
      <c r="R168" s="2" t="inlineStr"/>
    </row>
    <row r="169" ht="15" customHeight="1">
      <c r="A169" t="inlineStr">
        <is>
          <t>A 42029-2025</t>
        </is>
      </c>
      <c r="B169" s="1" t="n">
        <v>45903</v>
      </c>
      <c r="C169" s="1" t="n">
        <v>46162</v>
      </c>
      <c r="D169" t="inlineStr">
        <is>
          <t>UPPSALA LÄN</t>
        </is>
      </c>
      <c r="E169" t="inlineStr">
        <is>
          <t>ENKÖPING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42756-2025</t>
        </is>
      </c>
      <c r="B170" s="1" t="n">
        <v>45908</v>
      </c>
      <c r="C170" s="1" t="n">
        <v>46162</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53587-2024</t>
        </is>
      </c>
      <c r="B171" s="1" t="n">
        <v>45614.66953703704</v>
      </c>
      <c r="C171" s="1" t="n">
        <v>46162</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41764-2025</t>
        </is>
      </c>
      <c r="B172" s="1" t="n">
        <v>45902</v>
      </c>
      <c r="C172" s="1" t="n">
        <v>46162</v>
      </c>
      <c r="D172" t="inlineStr">
        <is>
          <t>UPPSALA LÄN</t>
        </is>
      </c>
      <c r="E172" t="inlineStr">
        <is>
          <t>ENKÖPING</t>
        </is>
      </c>
      <c r="G172" t="n">
        <v>2.7</v>
      </c>
      <c r="H172" t="n">
        <v>0</v>
      </c>
      <c r="I172" t="n">
        <v>0</v>
      </c>
      <c r="J172" t="n">
        <v>0</v>
      </c>
      <c r="K172" t="n">
        <v>0</v>
      </c>
      <c r="L172" t="n">
        <v>0</v>
      </c>
      <c r="M172" t="n">
        <v>0</v>
      </c>
      <c r="N172" t="n">
        <v>0</v>
      </c>
      <c r="O172" t="n">
        <v>0</v>
      </c>
      <c r="P172" t="n">
        <v>0</v>
      </c>
      <c r="Q172" t="n">
        <v>0</v>
      </c>
      <c r="R172" s="2" t="inlineStr"/>
    </row>
    <row r="173" ht="15" customHeight="1">
      <c r="A173" t="inlineStr">
        <is>
          <t>A 51042-2024</t>
        </is>
      </c>
      <c r="B173" s="1" t="n">
        <v>45603.4342824074</v>
      </c>
      <c r="C173" s="1" t="n">
        <v>46162</v>
      </c>
      <c r="D173" t="inlineStr">
        <is>
          <t>UPPSALA LÄN</t>
        </is>
      </c>
      <c r="E173" t="inlineStr">
        <is>
          <t>ENKÖPING</t>
        </is>
      </c>
      <c r="G173" t="n">
        <v>4.6</v>
      </c>
      <c r="H173" t="n">
        <v>0</v>
      </c>
      <c r="I173" t="n">
        <v>0</v>
      </c>
      <c r="J173" t="n">
        <v>0</v>
      </c>
      <c r="K173" t="n">
        <v>0</v>
      </c>
      <c r="L173" t="n">
        <v>0</v>
      </c>
      <c r="M173" t="n">
        <v>0</v>
      </c>
      <c r="N173" t="n">
        <v>0</v>
      </c>
      <c r="O173" t="n">
        <v>0</v>
      </c>
      <c r="P173" t="n">
        <v>0</v>
      </c>
      <c r="Q173" t="n">
        <v>0</v>
      </c>
      <c r="R173" s="2" t="inlineStr"/>
    </row>
    <row r="174" ht="15" customHeight="1">
      <c r="A174" t="inlineStr">
        <is>
          <t>A 22632-2025</t>
        </is>
      </c>
      <c r="B174" s="1" t="n">
        <v>45789.44361111111</v>
      </c>
      <c r="C174" s="1" t="n">
        <v>46162</v>
      </c>
      <c r="D174" t="inlineStr">
        <is>
          <t>UPPSALA LÄN</t>
        </is>
      </c>
      <c r="E174" t="inlineStr">
        <is>
          <t>ENKÖPING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51037-2024</t>
        </is>
      </c>
      <c r="B175" s="1" t="n">
        <v>45603.43005787037</v>
      </c>
      <c r="C175" s="1" t="n">
        <v>46162</v>
      </c>
      <c r="D175" t="inlineStr">
        <is>
          <t>UPPSALA LÄN</t>
        </is>
      </c>
      <c r="E175" t="inlineStr">
        <is>
          <t>ENKÖPING</t>
        </is>
      </c>
      <c r="G175" t="n">
        <v>5.7</v>
      </c>
      <c r="H175" t="n">
        <v>0</v>
      </c>
      <c r="I175" t="n">
        <v>0</v>
      </c>
      <c r="J175" t="n">
        <v>0</v>
      </c>
      <c r="K175" t="n">
        <v>0</v>
      </c>
      <c r="L175" t="n">
        <v>0</v>
      </c>
      <c r="M175" t="n">
        <v>0</v>
      </c>
      <c r="N175" t="n">
        <v>0</v>
      </c>
      <c r="O175" t="n">
        <v>0</v>
      </c>
      <c r="P175" t="n">
        <v>0</v>
      </c>
      <c r="Q175" t="n">
        <v>0</v>
      </c>
      <c r="R175" s="2" t="inlineStr"/>
    </row>
    <row r="176" ht="15" customHeight="1">
      <c r="A176" t="inlineStr">
        <is>
          <t>A 51027-2024</t>
        </is>
      </c>
      <c r="B176" s="1" t="n">
        <v>45603</v>
      </c>
      <c r="C176" s="1" t="n">
        <v>46162</v>
      </c>
      <c r="D176" t="inlineStr">
        <is>
          <t>UPPSALA LÄN</t>
        </is>
      </c>
      <c r="E176" t="inlineStr">
        <is>
          <t>ENKÖPING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1695-2025</t>
        </is>
      </c>
      <c r="B177" s="1" t="n">
        <v>45670</v>
      </c>
      <c r="C177" s="1" t="n">
        <v>46162</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59027-2024</t>
        </is>
      </c>
      <c r="B178" s="1" t="n">
        <v>45636.68755787037</v>
      </c>
      <c r="C178" s="1" t="n">
        <v>46162</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44419-2025</t>
        </is>
      </c>
      <c r="B179" s="1" t="n">
        <v>45916.54671296296</v>
      </c>
      <c r="C179" s="1" t="n">
        <v>46162</v>
      </c>
      <c r="D179" t="inlineStr">
        <is>
          <t>UPPSALA LÄN</t>
        </is>
      </c>
      <c r="E179" t="inlineStr">
        <is>
          <t>ENKÖPING</t>
        </is>
      </c>
      <c r="G179" t="n">
        <v>1.6</v>
      </c>
      <c r="H179" t="n">
        <v>0</v>
      </c>
      <c r="I179" t="n">
        <v>0</v>
      </c>
      <c r="J179" t="n">
        <v>0</v>
      </c>
      <c r="K179" t="n">
        <v>0</v>
      </c>
      <c r="L179" t="n">
        <v>0</v>
      </c>
      <c r="M179" t="n">
        <v>0</v>
      </c>
      <c r="N179" t="n">
        <v>0</v>
      </c>
      <c r="O179" t="n">
        <v>0</v>
      </c>
      <c r="P179" t="n">
        <v>0</v>
      </c>
      <c r="Q179" t="n">
        <v>0</v>
      </c>
      <c r="R179" s="2" t="inlineStr"/>
    </row>
    <row r="180" ht="15" customHeight="1">
      <c r="A180" t="inlineStr">
        <is>
          <t>A 43999-2025</t>
        </is>
      </c>
      <c r="B180" s="1" t="n">
        <v>45915.45158564814</v>
      </c>
      <c r="C180" s="1" t="n">
        <v>46162</v>
      </c>
      <c r="D180" t="inlineStr">
        <is>
          <t>UPPSALA LÄN</t>
        </is>
      </c>
      <c r="E180" t="inlineStr">
        <is>
          <t>ENKÖPING</t>
        </is>
      </c>
      <c r="G180" t="n">
        <v>4.1</v>
      </c>
      <c r="H180" t="n">
        <v>0</v>
      </c>
      <c r="I180" t="n">
        <v>0</v>
      </c>
      <c r="J180" t="n">
        <v>0</v>
      </c>
      <c r="K180" t="n">
        <v>0</v>
      </c>
      <c r="L180" t="n">
        <v>0</v>
      </c>
      <c r="M180" t="n">
        <v>0</v>
      </c>
      <c r="N180" t="n">
        <v>0</v>
      </c>
      <c r="O180" t="n">
        <v>0</v>
      </c>
      <c r="P180" t="n">
        <v>0</v>
      </c>
      <c r="Q180" t="n">
        <v>0</v>
      </c>
      <c r="R180" s="2" t="inlineStr"/>
    </row>
    <row r="181" ht="15" customHeight="1">
      <c r="A181" t="inlineStr">
        <is>
          <t>A 32477-2025</t>
        </is>
      </c>
      <c r="B181" s="1" t="n">
        <v>45838.43098379629</v>
      </c>
      <c r="C181" s="1" t="n">
        <v>46162</v>
      </c>
      <c r="D181" t="inlineStr">
        <is>
          <t>UPPSALA LÄN</t>
        </is>
      </c>
      <c r="E181" t="inlineStr">
        <is>
          <t>ENKÖPING</t>
        </is>
      </c>
      <c r="G181" t="n">
        <v>2.7</v>
      </c>
      <c r="H181" t="n">
        <v>0</v>
      </c>
      <c r="I181" t="n">
        <v>0</v>
      </c>
      <c r="J181" t="n">
        <v>0</v>
      </c>
      <c r="K181" t="n">
        <v>0</v>
      </c>
      <c r="L181" t="n">
        <v>0</v>
      </c>
      <c r="M181" t="n">
        <v>0</v>
      </c>
      <c r="N181" t="n">
        <v>0</v>
      </c>
      <c r="O181" t="n">
        <v>0</v>
      </c>
      <c r="P181" t="n">
        <v>0</v>
      </c>
      <c r="Q181" t="n">
        <v>0</v>
      </c>
      <c r="R181" s="2" t="inlineStr"/>
    </row>
    <row r="182" ht="15" customHeight="1">
      <c r="A182" t="inlineStr">
        <is>
          <t>A 42564-2024</t>
        </is>
      </c>
      <c r="B182" s="1" t="n">
        <v>45565.63358796296</v>
      </c>
      <c r="C182" s="1" t="n">
        <v>46162</v>
      </c>
      <c r="D182" t="inlineStr">
        <is>
          <t>UPPSALA LÄN</t>
        </is>
      </c>
      <c r="E182" t="inlineStr">
        <is>
          <t>ENKÖPING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3235-2025</t>
        </is>
      </c>
      <c r="B183" s="1" t="n">
        <v>45679</v>
      </c>
      <c r="C183" s="1" t="n">
        <v>46162</v>
      </c>
      <c r="D183" t="inlineStr">
        <is>
          <t>UPPSALA LÄN</t>
        </is>
      </c>
      <c r="E183" t="inlineStr">
        <is>
          <t>ENKÖPING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15711-2025</t>
        </is>
      </c>
      <c r="B184" s="1" t="n">
        <v>45748</v>
      </c>
      <c r="C184" s="1" t="n">
        <v>46162</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6959-2025</t>
        </is>
      </c>
      <c r="B185" s="1" t="n">
        <v>45701.49315972222</v>
      </c>
      <c r="C185" s="1" t="n">
        <v>46162</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17165-2025</t>
        </is>
      </c>
      <c r="B186" s="1" t="n">
        <v>45756</v>
      </c>
      <c r="C186" s="1" t="n">
        <v>46162</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45755-2025</t>
        </is>
      </c>
      <c r="B187" s="1" t="n">
        <v>45923.50240740741</v>
      </c>
      <c r="C187" s="1" t="n">
        <v>46162</v>
      </c>
      <c r="D187" t="inlineStr">
        <is>
          <t>UPPSALA LÄN</t>
        </is>
      </c>
      <c r="E187" t="inlineStr">
        <is>
          <t>ENKÖPING</t>
        </is>
      </c>
      <c r="G187" t="n">
        <v>2.2</v>
      </c>
      <c r="H187" t="n">
        <v>0</v>
      </c>
      <c r="I187" t="n">
        <v>0</v>
      </c>
      <c r="J187" t="n">
        <v>0</v>
      </c>
      <c r="K187" t="n">
        <v>0</v>
      </c>
      <c r="L187" t="n">
        <v>0</v>
      </c>
      <c r="M187" t="n">
        <v>0</v>
      </c>
      <c r="N187" t="n">
        <v>0</v>
      </c>
      <c r="O187" t="n">
        <v>0</v>
      </c>
      <c r="P187" t="n">
        <v>0</v>
      </c>
      <c r="Q187" t="n">
        <v>0</v>
      </c>
      <c r="R187" s="2" t="inlineStr"/>
    </row>
    <row r="188" ht="15" customHeight="1">
      <c r="A188" t="inlineStr">
        <is>
          <t>A 46590-2025</t>
        </is>
      </c>
      <c r="B188" s="1" t="n">
        <v>45926.39542824074</v>
      </c>
      <c r="C188" s="1" t="n">
        <v>46162</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34989-2025</t>
        </is>
      </c>
      <c r="B189" s="1" t="n">
        <v>45849</v>
      </c>
      <c r="C189" s="1" t="n">
        <v>46162</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52299-2023</t>
        </is>
      </c>
      <c r="B190" s="1" t="n">
        <v>45224.61636574074</v>
      </c>
      <c r="C190" s="1" t="n">
        <v>46162</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34990-2025</t>
        </is>
      </c>
      <c r="B191" s="1" t="n">
        <v>45849.78916666667</v>
      </c>
      <c r="C191" s="1" t="n">
        <v>46162</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25598-2021</t>
        </is>
      </c>
      <c r="B192" s="1" t="n">
        <v>44343.4558912037</v>
      </c>
      <c r="C192" s="1" t="n">
        <v>46162</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32081-2024</t>
        </is>
      </c>
      <c r="B193" s="1" t="n">
        <v>45511.34605324074</v>
      </c>
      <c r="C193" s="1" t="n">
        <v>46162</v>
      </c>
      <c r="D193" t="inlineStr">
        <is>
          <t>UPPSALA LÄN</t>
        </is>
      </c>
      <c r="E193" t="inlineStr">
        <is>
          <t>ENKÖPING</t>
        </is>
      </c>
      <c r="G193" t="n">
        <v>5.4</v>
      </c>
      <c r="H193" t="n">
        <v>0</v>
      </c>
      <c r="I193" t="n">
        <v>0</v>
      </c>
      <c r="J193" t="n">
        <v>0</v>
      </c>
      <c r="K193" t="n">
        <v>0</v>
      </c>
      <c r="L193" t="n">
        <v>0</v>
      </c>
      <c r="M193" t="n">
        <v>0</v>
      </c>
      <c r="N193" t="n">
        <v>0</v>
      </c>
      <c r="O193" t="n">
        <v>0</v>
      </c>
      <c r="P193" t="n">
        <v>0</v>
      </c>
      <c r="Q193" t="n">
        <v>0</v>
      </c>
      <c r="R193" s="2" t="inlineStr"/>
    </row>
    <row r="194" ht="15" customHeight="1">
      <c r="A194" t="inlineStr">
        <is>
          <t>A 47441-2025</t>
        </is>
      </c>
      <c r="B194" s="1" t="n">
        <v>45930.63986111111</v>
      </c>
      <c r="C194" s="1" t="n">
        <v>46162</v>
      </c>
      <c r="D194" t="inlineStr">
        <is>
          <t>UPPSALA LÄN</t>
        </is>
      </c>
      <c r="E194" t="inlineStr">
        <is>
          <t>ENKÖPING</t>
        </is>
      </c>
      <c r="F194" t="inlineStr">
        <is>
          <t>Allmännings- och besparingsskogar</t>
        </is>
      </c>
      <c r="G194" t="n">
        <v>11.5</v>
      </c>
      <c r="H194" t="n">
        <v>0</v>
      </c>
      <c r="I194" t="n">
        <v>0</v>
      </c>
      <c r="J194" t="n">
        <v>0</v>
      </c>
      <c r="K194" t="n">
        <v>0</v>
      </c>
      <c r="L194" t="n">
        <v>0</v>
      </c>
      <c r="M194" t="n">
        <v>0</v>
      </c>
      <c r="N194" t="n">
        <v>0</v>
      </c>
      <c r="O194" t="n">
        <v>0</v>
      </c>
      <c r="P194" t="n">
        <v>0</v>
      </c>
      <c r="Q194" t="n">
        <v>0</v>
      </c>
      <c r="R194" s="2" t="inlineStr"/>
    </row>
    <row r="195" ht="15" customHeight="1">
      <c r="A195" t="inlineStr">
        <is>
          <t>A 46940-2025</t>
        </is>
      </c>
      <c r="B195" s="1" t="n">
        <v>45929.45483796296</v>
      </c>
      <c r="C195" s="1" t="n">
        <v>46162</v>
      </c>
      <c r="D195" t="inlineStr">
        <is>
          <t>UPPSALA LÄN</t>
        </is>
      </c>
      <c r="E195" t="inlineStr">
        <is>
          <t>ENKÖPING</t>
        </is>
      </c>
      <c r="G195" t="n">
        <v>5.3</v>
      </c>
      <c r="H195" t="n">
        <v>0</v>
      </c>
      <c r="I195" t="n">
        <v>0</v>
      </c>
      <c r="J195" t="n">
        <v>0</v>
      </c>
      <c r="K195" t="n">
        <v>0</v>
      </c>
      <c r="L195" t="n">
        <v>0</v>
      </c>
      <c r="M195" t="n">
        <v>0</v>
      </c>
      <c r="N195" t="n">
        <v>0</v>
      </c>
      <c r="O195" t="n">
        <v>0</v>
      </c>
      <c r="P195" t="n">
        <v>0</v>
      </c>
      <c r="Q195" t="n">
        <v>0</v>
      </c>
      <c r="R195" s="2" t="inlineStr"/>
    </row>
    <row r="196" ht="15" customHeight="1">
      <c r="A196" t="inlineStr">
        <is>
          <t>A 20184-2023</t>
        </is>
      </c>
      <c r="B196" s="1" t="n">
        <v>45055.5670949074</v>
      </c>
      <c r="C196" s="1" t="n">
        <v>46162</v>
      </c>
      <c r="D196" t="inlineStr">
        <is>
          <t>UPPSALA LÄN</t>
        </is>
      </c>
      <c r="E196" t="inlineStr">
        <is>
          <t>ENKÖPING</t>
        </is>
      </c>
      <c r="G196" t="n">
        <v>3.2</v>
      </c>
      <c r="H196" t="n">
        <v>0</v>
      </c>
      <c r="I196" t="n">
        <v>0</v>
      </c>
      <c r="J196" t="n">
        <v>0</v>
      </c>
      <c r="K196" t="n">
        <v>0</v>
      </c>
      <c r="L196" t="n">
        <v>0</v>
      </c>
      <c r="M196" t="n">
        <v>0</v>
      </c>
      <c r="N196" t="n">
        <v>0</v>
      </c>
      <c r="O196" t="n">
        <v>0</v>
      </c>
      <c r="P196" t="n">
        <v>0</v>
      </c>
      <c r="Q196" t="n">
        <v>0</v>
      </c>
      <c r="R196" s="2" t="inlineStr"/>
    </row>
    <row r="197" ht="15" customHeight="1">
      <c r="A197" t="inlineStr">
        <is>
          <t>A 61952-2021</t>
        </is>
      </c>
      <c r="B197" s="1" t="n">
        <v>44502</v>
      </c>
      <c r="C197" s="1" t="n">
        <v>46162</v>
      </c>
      <c r="D197" t="inlineStr">
        <is>
          <t>UPPSALA LÄN</t>
        </is>
      </c>
      <c r="E197" t="inlineStr">
        <is>
          <t>ENKÖPING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59602-2022</t>
        </is>
      </c>
      <c r="B198" s="1" t="n">
        <v>44907.72241898148</v>
      </c>
      <c r="C198" s="1" t="n">
        <v>46162</v>
      </c>
      <c r="D198" t="inlineStr">
        <is>
          <t>UPPSALA LÄN</t>
        </is>
      </c>
      <c r="E198" t="inlineStr">
        <is>
          <t>ENKÖPING</t>
        </is>
      </c>
      <c r="G198" t="n">
        <v>14.2</v>
      </c>
      <c r="H198" t="n">
        <v>0</v>
      </c>
      <c r="I198" t="n">
        <v>0</v>
      </c>
      <c r="J198" t="n">
        <v>0</v>
      </c>
      <c r="K198" t="n">
        <v>0</v>
      </c>
      <c r="L198" t="n">
        <v>0</v>
      </c>
      <c r="M198" t="n">
        <v>0</v>
      </c>
      <c r="N198" t="n">
        <v>0</v>
      </c>
      <c r="O198" t="n">
        <v>0</v>
      </c>
      <c r="P198" t="n">
        <v>0</v>
      </c>
      <c r="Q198" t="n">
        <v>0</v>
      </c>
      <c r="R198" s="2" t="inlineStr"/>
    </row>
    <row r="199" ht="15" customHeight="1">
      <c r="A199" t="inlineStr">
        <is>
          <t>A 42589-2022</t>
        </is>
      </c>
      <c r="B199" s="1" t="n">
        <v>44831</v>
      </c>
      <c r="C199" s="1" t="n">
        <v>46162</v>
      </c>
      <c r="D199" t="inlineStr">
        <is>
          <t>UPPSALA LÄN</t>
        </is>
      </c>
      <c r="E199" t="inlineStr">
        <is>
          <t>ENKÖPING</t>
        </is>
      </c>
      <c r="G199" t="n">
        <v>20</v>
      </c>
      <c r="H199" t="n">
        <v>0</v>
      </c>
      <c r="I199" t="n">
        <v>0</v>
      </c>
      <c r="J199" t="n">
        <v>0</v>
      </c>
      <c r="K199" t="n">
        <v>0</v>
      </c>
      <c r="L199" t="n">
        <v>0</v>
      </c>
      <c r="M199" t="n">
        <v>0</v>
      </c>
      <c r="N199" t="n">
        <v>0</v>
      </c>
      <c r="O199" t="n">
        <v>0</v>
      </c>
      <c r="P199" t="n">
        <v>0</v>
      </c>
      <c r="Q199" t="n">
        <v>0</v>
      </c>
      <c r="R199" s="2" t="inlineStr"/>
    </row>
    <row r="200" ht="15" customHeight="1">
      <c r="A200" t="inlineStr">
        <is>
          <t>A 35645-2021</t>
        </is>
      </c>
      <c r="B200" s="1" t="n">
        <v>44386.42</v>
      </c>
      <c r="C200" s="1" t="n">
        <v>46162</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48423-2025</t>
        </is>
      </c>
      <c r="B201" s="1" t="n">
        <v>45934.68024305555</v>
      </c>
      <c r="C201" s="1" t="n">
        <v>46162</v>
      </c>
      <c r="D201" t="inlineStr">
        <is>
          <t>UPPSALA LÄN</t>
        </is>
      </c>
      <c r="E201" t="inlineStr">
        <is>
          <t>ENKÖPING</t>
        </is>
      </c>
      <c r="G201" t="n">
        <v>4.3</v>
      </c>
      <c r="H201" t="n">
        <v>0</v>
      </c>
      <c r="I201" t="n">
        <v>0</v>
      </c>
      <c r="J201" t="n">
        <v>0</v>
      </c>
      <c r="K201" t="n">
        <v>0</v>
      </c>
      <c r="L201" t="n">
        <v>0</v>
      </c>
      <c r="M201" t="n">
        <v>0</v>
      </c>
      <c r="N201" t="n">
        <v>0</v>
      </c>
      <c r="O201" t="n">
        <v>0</v>
      </c>
      <c r="P201" t="n">
        <v>0</v>
      </c>
      <c r="Q201" t="n">
        <v>0</v>
      </c>
      <c r="R201" s="2" t="inlineStr"/>
    </row>
    <row r="202" ht="15" customHeight="1">
      <c r="A202" t="inlineStr">
        <is>
          <t>A 2968-2025</t>
        </is>
      </c>
      <c r="B202" s="1" t="n">
        <v>45678</v>
      </c>
      <c r="C202" s="1" t="n">
        <v>46162</v>
      </c>
      <c r="D202" t="inlineStr">
        <is>
          <t>UPPSALA LÄN</t>
        </is>
      </c>
      <c r="E202" t="inlineStr">
        <is>
          <t>ENKÖPING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48424-2025</t>
        </is>
      </c>
      <c r="B203" s="1" t="n">
        <v>45934.69131944444</v>
      </c>
      <c r="C203" s="1" t="n">
        <v>46162</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48678-2025</t>
        </is>
      </c>
      <c r="B204" s="1" t="n">
        <v>45936.59168981481</v>
      </c>
      <c r="C204" s="1" t="n">
        <v>46162</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9487-2025</t>
        </is>
      </c>
      <c r="B205" s="1" t="n">
        <v>45715.49331018519</v>
      </c>
      <c r="C205" s="1" t="n">
        <v>46162</v>
      </c>
      <c r="D205" t="inlineStr">
        <is>
          <t>UPPSALA LÄN</t>
        </is>
      </c>
      <c r="E205" t="inlineStr">
        <is>
          <t>ENKÖPING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16176-2025</t>
        </is>
      </c>
      <c r="B206" s="1" t="n">
        <v>45750</v>
      </c>
      <c r="C206" s="1" t="n">
        <v>46162</v>
      </c>
      <c r="D206" t="inlineStr">
        <is>
          <t>UPPSALA LÄN</t>
        </is>
      </c>
      <c r="E206" t="inlineStr">
        <is>
          <t>ENKÖPING</t>
        </is>
      </c>
      <c r="G206" t="n">
        <v>3.9</v>
      </c>
      <c r="H206" t="n">
        <v>0</v>
      </c>
      <c r="I206" t="n">
        <v>0</v>
      </c>
      <c r="J206" t="n">
        <v>0</v>
      </c>
      <c r="K206" t="n">
        <v>0</v>
      </c>
      <c r="L206" t="n">
        <v>0</v>
      </c>
      <c r="M206" t="n">
        <v>0</v>
      </c>
      <c r="N206" t="n">
        <v>0</v>
      </c>
      <c r="O206" t="n">
        <v>0</v>
      </c>
      <c r="P206" t="n">
        <v>0</v>
      </c>
      <c r="Q206" t="n">
        <v>0</v>
      </c>
      <c r="R206" s="2" t="inlineStr"/>
    </row>
    <row r="207" ht="15" customHeight="1">
      <c r="A207" t="inlineStr">
        <is>
          <t>A 49068-2025</t>
        </is>
      </c>
      <c r="B207" s="1" t="n">
        <v>45937.64766203704</v>
      </c>
      <c r="C207" s="1" t="n">
        <v>46162</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37035-2023</t>
        </is>
      </c>
      <c r="B208" s="1" t="n">
        <v>45155</v>
      </c>
      <c r="C208" s="1" t="n">
        <v>46162</v>
      </c>
      <c r="D208" t="inlineStr">
        <is>
          <t>UPPSALA LÄN</t>
        </is>
      </c>
      <c r="E208" t="inlineStr">
        <is>
          <t>ENKÖPING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46186-2023</t>
        </is>
      </c>
      <c r="B209" s="1" t="n">
        <v>45196</v>
      </c>
      <c r="C209" s="1" t="n">
        <v>46162</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15162-2025</t>
        </is>
      </c>
      <c r="B210" s="1" t="n">
        <v>45744</v>
      </c>
      <c r="C210" s="1" t="n">
        <v>46162</v>
      </c>
      <c r="D210" t="inlineStr">
        <is>
          <t>UPPSALA LÄN</t>
        </is>
      </c>
      <c r="E210" t="inlineStr">
        <is>
          <t>ENKÖPING</t>
        </is>
      </c>
      <c r="G210" t="n">
        <v>4.2</v>
      </c>
      <c r="H210" t="n">
        <v>0</v>
      </c>
      <c r="I210" t="n">
        <v>0</v>
      </c>
      <c r="J210" t="n">
        <v>0</v>
      </c>
      <c r="K210" t="n">
        <v>0</v>
      </c>
      <c r="L210" t="n">
        <v>0</v>
      </c>
      <c r="M210" t="n">
        <v>0</v>
      </c>
      <c r="N210" t="n">
        <v>0</v>
      </c>
      <c r="O210" t="n">
        <v>0</v>
      </c>
      <c r="P210" t="n">
        <v>0</v>
      </c>
      <c r="Q210" t="n">
        <v>0</v>
      </c>
      <c r="R210" s="2" t="inlineStr"/>
    </row>
    <row r="211" ht="15" customHeight="1">
      <c r="A211" t="inlineStr">
        <is>
          <t>A 39439-2025</t>
        </is>
      </c>
      <c r="B211" s="1" t="n">
        <v>45889</v>
      </c>
      <c r="C211" s="1" t="n">
        <v>46162</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18299-2025</t>
        </is>
      </c>
      <c r="B212" s="1" t="n">
        <v>45762</v>
      </c>
      <c r="C212" s="1" t="n">
        <v>46162</v>
      </c>
      <c r="D212" t="inlineStr">
        <is>
          <t>UPPSALA LÄN</t>
        </is>
      </c>
      <c r="E212" t="inlineStr">
        <is>
          <t>ENKÖPING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43103-2025</t>
        </is>
      </c>
      <c r="B213" s="1" t="n">
        <v>45909</v>
      </c>
      <c r="C213" s="1" t="n">
        <v>46162</v>
      </c>
      <c r="D213" t="inlineStr">
        <is>
          <t>UPPSALA LÄN</t>
        </is>
      </c>
      <c r="E213" t="inlineStr">
        <is>
          <t>ENKÖPING</t>
        </is>
      </c>
      <c r="G213" t="n">
        <v>2.3</v>
      </c>
      <c r="H213" t="n">
        <v>0</v>
      </c>
      <c r="I213" t="n">
        <v>0</v>
      </c>
      <c r="J213" t="n">
        <v>0</v>
      </c>
      <c r="K213" t="n">
        <v>0</v>
      </c>
      <c r="L213" t="n">
        <v>0</v>
      </c>
      <c r="M213" t="n">
        <v>0</v>
      </c>
      <c r="N213" t="n">
        <v>0</v>
      </c>
      <c r="O213" t="n">
        <v>0</v>
      </c>
      <c r="P213" t="n">
        <v>0</v>
      </c>
      <c r="Q213" t="n">
        <v>0</v>
      </c>
      <c r="R213" s="2" t="inlineStr"/>
    </row>
    <row r="214" ht="15" customHeight="1">
      <c r="A214" t="inlineStr">
        <is>
          <t>A 6242-2025</t>
        </is>
      </c>
      <c r="B214" s="1" t="n">
        <v>45697</v>
      </c>
      <c r="C214" s="1" t="n">
        <v>46162</v>
      </c>
      <c r="D214" t="inlineStr">
        <is>
          <t>UPPSALA LÄN</t>
        </is>
      </c>
      <c r="E214" t="inlineStr">
        <is>
          <t>ENKÖPING</t>
        </is>
      </c>
      <c r="G214" t="n">
        <v>17.9</v>
      </c>
      <c r="H214" t="n">
        <v>0</v>
      </c>
      <c r="I214" t="n">
        <v>0</v>
      </c>
      <c r="J214" t="n">
        <v>0</v>
      </c>
      <c r="K214" t="n">
        <v>0</v>
      </c>
      <c r="L214" t="n">
        <v>0</v>
      </c>
      <c r="M214" t="n">
        <v>0</v>
      </c>
      <c r="N214" t="n">
        <v>0</v>
      </c>
      <c r="O214" t="n">
        <v>0</v>
      </c>
      <c r="P214" t="n">
        <v>0</v>
      </c>
      <c r="Q214" t="n">
        <v>0</v>
      </c>
      <c r="R214" s="2" t="inlineStr"/>
    </row>
    <row r="215" ht="15" customHeight="1">
      <c r="A215" t="inlineStr">
        <is>
          <t>A 6144-2024</t>
        </is>
      </c>
      <c r="B215" s="1" t="n">
        <v>45337.4684837963</v>
      </c>
      <c r="C215" s="1" t="n">
        <v>46162</v>
      </c>
      <c r="D215" t="inlineStr">
        <is>
          <t>UPPSALA LÄN</t>
        </is>
      </c>
      <c r="E215" t="inlineStr">
        <is>
          <t>ENKÖPING</t>
        </is>
      </c>
      <c r="G215" t="n">
        <v>13.8</v>
      </c>
      <c r="H215" t="n">
        <v>0</v>
      </c>
      <c r="I215" t="n">
        <v>0</v>
      </c>
      <c r="J215" t="n">
        <v>0</v>
      </c>
      <c r="K215" t="n">
        <v>0</v>
      </c>
      <c r="L215" t="n">
        <v>0</v>
      </c>
      <c r="M215" t="n">
        <v>0</v>
      </c>
      <c r="N215" t="n">
        <v>0</v>
      </c>
      <c r="O215" t="n">
        <v>0</v>
      </c>
      <c r="P215" t="n">
        <v>0</v>
      </c>
      <c r="Q215" t="n">
        <v>0</v>
      </c>
      <c r="R215" s="2" t="inlineStr"/>
    </row>
    <row r="216" ht="15" customHeight="1">
      <c r="A216" t="inlineStr">
        <is>
          <t>A 67984-2021</t>
        </is>
      </c>
      <c r="B216" s="1" t="n">
        <v>44525.70237268518</v>
      </c>
      <c r="C216" s="1" t="n">
        <v>46162</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49073-2025</t>
        </is>
      </c>
      <c r="B217" s="1" t="n">
        <v>45937.65512731481</v>
      </c>
      <c r="C217" s="1" t="n">
        <v>46162</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11918-2025</t>
        </is>
      </c>
      <c r="B218" s="1" t="n">
        <v>45728.49331018519</v>
      </c>
      <c r="C218" s="1" t="n">
        <v>46162</v>
      </c>
      <c r="D218" t="inlineStr">
        <is>
          <t>UPPSALA LÄN</t>
        </is>
      </c>
      <c r="E218" t="inlineStr">
        <is>
          <t>ENKÖPING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43896-2022</t>
        </is>
      </c>
      <c r="B219" s="1" t="n">
        <v>44838</v>
      </c>
      <c r="C219" s="1" t="n">
        <v>46162</v>
      </c>
      <c r="D219" t="inlineStr">
        <is>
          <t>UPPSALA LÄN</t>
        </is>
      </c>
      <c r="E219" t="inlineStr">
        <is>
          <t>ENKÖPING</t>
        </is>
      </c>
      <c r="G219" t="n">
        <v>5.3</v>
      </c>
      <c r="H219" t="n">
        <v>0</v>
      </c>
      <c r="I219" t="n">
        <v>0</v>
      </c>
      <c r="J219" t="n">
        <v>0</v>
      </c>
      <c r="K219" t="n">
        <v>0</v>
      </c>
      <c r="L219" t="n">
        <v>0</v>
      </c>
      <c r="M219" t="n">
        <v>0</v>
      </c>
      <c r="N219" t="n">
        <v>0</v>
      </c>
      <c r="O219" t="n">
        <v>0</v>
      </c>
      <c r="P219" t="n">
        <v>0</v>
      </c>
      <c r="Q219" t="n">
        <v>0</v>
      </c>
      <c r="R219" s="2" t="inlineStr"/>
    </row>
    <row r="220" ht="15" customHeight="1">
      <c r="A220" t="inlineStr">
        <is>
          <t>A 20440-2025</t>
        </is>
      </c>
      <c r="B220" s="1" t="n">
        <v>45775</v>
      </c>
      <c r="C220" s="1" t="n">
        <v>46162</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51162-2025</t>
        </is>
      </c>
      <c r="B221" s="1" t="n">
        <v>45947.58820601852</v>
      </c>
      <c r="C221" s="1" t="n">
        <v>46162</v>
      </c>
      <c r="D221" t="inlineStr">
        <is>
          <t>UPPSALA LÄN</t>
        </is>
      </c>
      <c r="E221" t="inlineStr">
        <is>
          <t>ENKÖPING</t>
        </is>
      </c>
      <c r="G221" t="n">
        <v>3.4</v>
      </c>
      <c r="H221" t="n">
        <v>0</v>
      </c>
      <c r="I221" t="n">
        <v>0</v>
      </c>
      <c r="J221" t="n">
        <v>0</v>
      </c>
      <c r="K221" t="n">
        <v>0</v>
      </c>
      <c r="L221" t="n">
        <v>0</v>
      </c>
      <c r="M221" t="n">
        <v>0</v>
      </c>
      <c r="N221" t="n">
        <v>0</v>
      </c>
      <c r="O221" t="n">
        <v>0</v>
      </c>
      <c r="P221" t="n">
        <v>0</v>
      </c>
      <c r="Q221" t="n">
        <v>0</v>
      </c>
      <c r="R221" s="2" t="inlineStr"/>
    </row>
    <row r="222" ht="15" customHeight="1">
      <c r="A222" t="inlineStr">
        <is>
          <t>A 51133-2025</t>
        </is>
      </c>
      <c r="B222" s="1" t="n">
        <v>45947.55598379629</v>
      </c>
      <c r="C222" s="1" t="n">
        <v>46162</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41737-2022</t>
        </is>
      </c>
      <c r="B223" s="1" t="n">
        <v>44827.63826388889</v>
      </c>
      <c r="C223" s="1" t="n">
        <v>46162</v>
      </c>
      <c r="D223" t="inlineStr">
        <is>
          <t>UPPSALA LÄN</t>
        </is>
      </c>
      <c r="E223" t="inlineStr">
        <is>
          <t>ENKÖPING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54595-2021</t>
        </is>
      </c>
      <c r="B224" s="1" t="n">
        <v>44473.58824074074</v>
      </c>
      <c r="C224" s="1" t="n">
        <v>46162</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22094-2023</t>
        </is>
      </c>
      <c r="B225" s="1" t="n">
        <v>45069</v>
      </c>
      <c r="C225" s="1" t="n">
        <v>46162</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26017-2025</t>
        </is>
      </c>
      <c r="B226" s="1" t="n">
        <v>45804</v>
      </c>
      <c r="C226" s="1" t="n">
        <v>46162</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35647-2021</t>
        </is>
      </c>
      <c r="B227" s="1" t="n">
        <v>44386</v>
      </c>
      <c r="C227" s="1" t="n">
        <v>46162</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24962-2023</t>
        </is>
      </c>
      <c r="B228" s="1" t="n">
        <v>45085.60123842592</v>
      </c>
      <c r="C228" s="1" t="n">
        <v>46162</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44131-2023</t>
        </is>
      </c>
      <c r="B229" s="1" t="n">
        <v>45188</v>
      </c>
      <c r="C229" s="1" t="n">
        <v>46162</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29482-2022</t>
        </is>
      </c>
      <c r="B230" s="1" t="n">
        <v>44753.57703703704</v>
      </c>
      <c r="C230" s="1" t="n">
        <v>46162</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29483-2022</t>
        </is>
      </c>
      <c r="B231" s="1" t="n">
        <v>44753.57829861111</v>
      </c>
      <c r="C231" s="1" t="n">
        <v>46162</v>
      </c>
      <c r="D231" t="inlineStr">
        <is>
          <t>UPPSALA LÄN</t>
        </is>
      </c>
      <c r="E231" t="inlineStr">
        <is>
          <t>ENKÖPING</t>
        </is>
      </c>
      <c r="G231" t="n">
        <v>3.6</v>
      </c>
      <c r="H231" t="n">
        <v>0</v>
      </c>
      <c r="I231" t="n">
        <v>0</v>
      </c>
      <c r="J231" t="n">
        <v>0</v>
      </c>
      <c r="K231" t="n">
        <v>0</v>
      </c>
      <c r="L231" t="n">
        <v>0</v>
      </c>
      <c r="M231" t="n">
        <v>0</v>
      </c>
      <c r="N231" t="n">
        <v>0</v>
      </c>
      <c r="O231" t="n">
        <v>0</v>
      </c>
      <c r="P231" t="n">
        <v>0</v>
      </c>
      <c r="Q231" t="n">
        <v>0</v>
      </c>
      <c r="R231" s="2" t="inlineStr"/>
    </row>
    <row r="232" ht="15" customHeight="1">
      <c r="A232" t="inlineStr">
        <is>
          <t>A 37170-2021</t>
        </is>
      </c>
      <c r="B232" s="1" t="n">
        <v>44395</v>
      </c>
      <c r="C232" s="1" t="n">
        <v>46162</v>
      </c>
      <c r="D232" t="inlineStr">
        <is>
          <t>UPPSALA LÄN</t>
        </is>
      </c>
      <c r="E232" t="inlineStr">
        <is>
          <t>ENKÖPING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26011-2025</t>
        </is>
      </c>
      <c r="B233" s="1" t="n">
        <v>45804.67412037037</v>
      </c>
      <c r="C233" s="1" t="n">
        <v>46162</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53496-2022</t>
        </is>
      </c>
      <c r="B234" s="1" t="n">
        <v>44879.57217592592</v>
      </c>
      <c r="C234" s="1" t="n">
        <v>46162</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7870-2024</t>
        </is>
      </c>
      <c r="B235" s="1" t="n">
        <v>45350.33349537037</v>
      </c>
      <c r="C235" s="1" t="n">
        <v>46162</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28243-2023</t>
        </is>
      </c>
      <c r="B236" s="1" t="n">
        <v>45099.58885416666</v>
      </c>
      <c r="C236" s="1" t="n">
        <v>46162</v>
      </c>
      <c r="D236" t="inlineStr">
        <is>
          <t>UPPSALA LÄN</t>
        </is>
      </c>
      <c r="E236" t="inlineStr">
        <is>
          <t>ENKÖPING</t>
        </is>
      </c>
      <c r="G236" t="n">
        <v>1.9</v>
      </c>
      <c r="H236" t="n">
        <v>0</v>
      </c>
      <c r="I236" t="n">
        <v>0</v>
      </c>
      <c r="J236" t="n">
        <v>0</v>
      </c>
      <c r="K236" t="n">
        <v>0</v>
      </c>
      <c r="L236" t="n">
        <v>0</v>
      </c>
      <c r="M236" t="n">
        <v>0</v>
      </c>
      <c r="N236" t="n">
        <v>0</v>
      </c>
      <c r="O236" t="n">
        <v>0</v>
      </c>
      <c r="P236" t="n">
        <v>0</v>
      </c>
      <c r="Q236" t="n">
        <v>0</v>
      </c>
      <c r="R236" s="2" t="inlineStr"/>
    </row>
    <row r="237" ht="15" customHeight="1">
      <c r="A237" t="inlineStr">
        <is>
          <t>A 10829-2024</t>
        </is>
      </c>
      <c r="B237" s="1" t="n">
        <v>45369</v>
      </c>
      <c r="C237" s="1" t="n">
        <v>46162</v>
      </c>
      <c r="D237" t="inlineStr">
        <is>
          <t>UPPSALA LÄN</t>
        </is>
      </c>
      <c r="E237" t="inlineStr">
        <is>
          <t>ENKÖPING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2161-2023</t>
        </is>
      </c>
      <c r="B238" s="1" t="n">
        <v>44941</v>
      </c>
      <c r="C238" s="1" t="n">
        <v>46162</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2165-2023</t>
        </is>
      </c>
      <c r="B239" s="1" t="n">
        <v>44941</v>
      </c>
      <c r="C239" s="1" t="n">
        <v>46162</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54263-2025</t>
        </is>
      </c>
      <c r="B240" s="1" t="n">
        <v>45964.66271990741</v>
      </c>
      <c r="C240" s="1" t="n">
        <v>46162</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2850-2025</t>
        </is>
      </c>
      <c r="B241" s="1" t="n">
        <v>45677</v>
      </c>
      <c r="C241" s="1" t="n">
        <v>46162</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13853-2023</t>
        </is>
      </c>
      <c r="B242" s="1" t="n">
        <v>45007</v>
      </c>
      <c r="C242" s="1" t="n">
        <v>46162</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63310-2021</t>
        </is>
      </c>
      <c r="B243" s="1" t="n">
        <v>44508</v>
      </c>
      <c r="C243" s="1" t="n">
        <v>46162</v>
      </c>
      <c r="D243" t="inlineStr">
        <is>
          <t>UPPSALA LÄN</t>
        </is>
      </c>
      <c r="E243" t="inlineStr">
        <is>
          <t>ENKÖPING</t>
        </is>
      </c>
      <c r="G243" t="n">
        <v>3.5</v>
      </c>
      <c r="H243" t="n">
        <v>0</v>
      </c>
      <c r="I243" t="n">
        <v>0</v>
      </c>
      <c r="J243" t="n">
        <v>0</v>
      </c>
      <c r="K243" t="n">
        <v>0</v>
      </c>
      <c r="L243" t="n">
        <v>0</v>
      </c>
      <c r="M243" t="n">
        <v>0</v>
      </c>
      <c r="N243" t="n">
        <v>0</v>
      </c>
      <c r="O243" t="n">
        <v>0</v>
      </c>
      <c r="P243" t="n">
        <v>0</v>
      </c>
      <c r="Q243" t="n">
        <v>0</v>
      </c>
      <c r="R243" s="2" t="inlineStr"/>
    </row>
    <row r="244" ht="15" customHeight="1">
      <c r="A244" t="inlineStr">
        <is>
          <t>A 54844-2025</t>
        </is>
      </c>
      <c r="B244" s="1" t="n">
        <v>45966.69570601852</v>
      </c>
      <c r="C244" s="1" t="n">
        <v>46162</v>
      </c>
      <c r="D244" t="inlineStr">
        <is>
          <t>UPPSALA LÄN</t>
        </is>
      </c>
      <c r="E244" t="inlineStr">
        <is>
          <t>ENKÖPING</t>
        </is>
      </c>
      <c r="G244" t="n">
        <v>5.5</v>
      </c>
      <c r="H244" t="n">
        <v>0</v>
      </c>
      <c r="I244" t="n">
        <v>0</v>
      </c>
      <c r="J244" t="n">
        <v>0</v>
      </c>
      <c r="K244" t="n">
        <v>0</v>
      </c>
      <c r="L244" t="n">
        <v>0</v>
      </c>
      <c r="M244" t="n">
        <v>0</v>
      </c>
      <c r="N244" t="n">
        <v>0</v>
      </c>
      <c r="O244" t="n">
        <v>0</v>
      </c>
      <c r="P244" t="n">
        <v>0</v>
      </c>
      <c r="Q244" t="n">
        <v>0</v>
      </c>
      <c r="R244" s="2" t="inlineStr"/>
    </row>
    <row r="245" ht="15" customHeight="1">
      <c r="A245" t="inlineStr">
        <is>
          <t>A 61106-2022</t>
        </is>
      </c>
      <c r="B245" s="1" t="n">
        <v>44915.4128587963</v>
      </c>
      <c r="C245" s="1" t="n">
        <v>46162</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54758-2025</t>
        </is>
      </c>
      <c r="B246" s="1" t="n">
        <v>45966.59737268519</v>
      </c>
      <c r="C246" s="1" t="n">
        <v>46162</v>
      </c>
      <c r="D246" t="inlineStr">
        <is>
          <t>UPPSALA LÄN</t>
        </is>
      </c>
      <c r="E246" t="inlineStr">
        <is>
          <t>ENKÖPING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54541-2025</t>
        </is>
      </c>
      <c r="B247" s="1" t="n">
        <v>45965.64733796296</v>
      </c>
      <c r="C247" s="1" t="n">
        <v>46162</v>
      </c>
      <c r="D247" t="inlineStr">
        <is>
          <t>UPPSALA LÄN</t>
        </is>
      </c>
      <c r="E247" t="inlineStr">
        <is>
          <t>ENKÖPING</t>
        </is>
      </c>
      <c r="G247" t="n">
        <v>3.1</v>
      </c>
      <c r="H247" t="n">
        <v>0</v>
      </c>
      <c r="I247" t="n">
        <v>0</v>
      </c>
      <c r="J247" t="n">
        <v>0</v>
      </c>
      <c r="K247" t="n">
        <v>0</v>
      </c>
      <c r="L247" t="n">
        <v>0</v>
      </c>
      <c r="M247" t="n">
        <v>0</v>
      </c>
      <c r="N247" t="n">
        <v>0</v>
      </c>
      <c r="O247" t="n">
        <v>0</v>
      </c>
      <c r="P247" t="n">
        <v>0</v>
      </c>
      <c r="Q247" t="n">
        <v>0</v>
      </c>
      <c r="R247" s="2" t="inlineStr"/>
    </row>
    <row r="248" ht="15" customHeight="1">
      <c r="A248" t="inlineStr">
        <is>
          <t>A 9171-2024</t>
        </is>
      </c>
      <c r="B248" s="1" t="n">
        <v>45358</v>
      </c>
      <c r="C248" s="1" t="n">
        <v>46162</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671-2022</t>
        </is>
      </c>
      <c r="B249" s="1" t="n">
        <v>44568</v>
      </c>
      <c r="C249" s="1" t="n">
        <v>46162</v>
      </c>
      <c r="D249" t="inlineStr">
        <is>
          <t>UPPSALA LÄN</t>
        </is>
      </c>
      <c r="E249" t="inlineStr">
        <is>
          <t>ENKÖPING</t>
        </is>
      </c>
      <c r="G249" t="n">
        <v>3.5</v>
      </c>
      <c r="H249" t="n">
        <v>0</v>
      </c>
      <c r="I249" t="n">
        <v>0</v>
      </c>
      <c r="J249" t="n">
        <v>0</v>
      </c>
      <c r="K249" t="n">
        <v>0</v>
      </c>
      <c r="L249" t="n">
        <v>0</v>
      </c>
      <c r="M249" t="n">
        <v>0</v>
      </c>
      <c r="N249" t="n">
        <v>0</v>
      </c>
      <c r="O249" t="n">
        <v>0</v>
      </c>
      <c r="P249" t="n">
        <v>0</v>
      </c>
      <c r="Q249" t="n">
        <v>0</v>
      </c>
      <c r="R249" s="2" t="inlineStr"/>
    </row>
    <row r="250" ht="15" customHeight="1">
      <c r="A250" t="inlineStr">
        <is>
          <t>A 11005-2023</t>
        </is>
      </c>
      <c r="B250" s="1" t="n">
        <v>44991</v>
      </c>
      <c r="C250" s="1" t="n">
        <v>46162</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29918-2023</t>
        </is>
      </c>
      <c r="B251" s="1" t="n">
        <v>45099</v>
      </c>
      <c r="C251" s="1" t="n">
        <v>46162</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55567-2025</t>
        </is>
      </c>
      <c r="B252" s="1" t="n">
        <v>45971.65589120371</v>
      </c>
      <c r="C252" s="1" t="n">
        <v>46162</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58384-2022</t>
        </is>
      </c>
      <c r="B253" s="1" t="n">
        <v>44901</v>
      </c>
      <c r="C253" s="1" t="n">
        <v>46162</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43016-2021</t>
        </is>
      </c>
      <c r="B254" s="1" t="n">
        <v>44431</v>
      </c>
      <c r="C254" s="1" t="n">
        <v>46162</v>
      </c>
      <c r="D254" t="inlineStr">
        <is>
          <t>UPPSALA LÄN</t>
        </is>
      </c>
      <c r="E254" t="inlineStr">
        <is>
          <t>ENKÖPING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15893-2024</t>
        </is>
      </c>
      <c r="B255" s="1" t="n">
        <v>45405</v>
      </c>
      <c r="C255" s="1" t="n">
        <v>46162</v>
      </c>
      <c r="D255" t="inlineStr">
        <is>
          <t>UPPSALA LÄN</t>
        </is>
      </c>
      <c r="E255" t="inlineStr">
        <is>
          <t>ENKÖPING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33343-2024</t>
        </is>
      </c>
      <c r="B256" s="1" t="n">
        <v>45519</v>
      </c>
      <c r="C256" s="1" t="n">
        <v>46162</v>
      </c>
      <c r="D256" t="inlineStr">
        <is>
          <t>UPPSALA LÄN</t>
        </is>
      </c>
      <c r="E256" t="inlineStr">
        <is>
          <t>ENKÖPING</t>
        </is>
      </c>
      <c r="G256" t="n">
        <v>2</v>
      </c>
      <c r="H256" t="n">
        <v>0</v>
      </c>
      <c r="I256" t="n">
        <v>0</v>
      </c>
      <c r="J256" t="n">
        <v>0</v>
      </c>
      <c r="K256" t="n">
        <v>0</v>
      </c>
      <c r="L256" t="n">
        <v>0</v>
      </c>
      <c r="M256" t="n">
        <v>0</v>
      </c>
      <c r="N256" t="n">
        <v>0</v>
      </c>
      <c r="O256" t="n">
        <v>0</v>
      </c>
      <c r="P256" t="n">
        <v>0</v>
      </c>
      <c r="Q256" t="n">
        <v>0</v>
      </c>
      <c r="R256" s="2" t="inlineStr"/>
    </row>
    <row r="257" ht="15" customHeight="1">
      <c r="A257" t="inlineStr">
        <is>
          <t>A 57142-2021</t>
        </is>
      </c>
      <c r="B257" s="1" t="n">
        <v>44482</v>
      </c>
      <c r="C257" s="1" t="n">
        <v>46162</v>
      </c>
      <c r="D257" t="inlineStr">
        <is>
          <t>UPPSALA LÄN</t>
        </is>
      </c>
      <c r="E257" t="inlineStr">
        <is>
          <t>ENKÖPING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57153-2021</t>
        </is>
      </c>
      <c r="B258" s="1" t="n">
        <v>44482</v>
      </c>
      <c r="C258" s="1" t="n">
        <v>46162</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5188-2022</t>
        </is>
      </c>
      <c r="B259" s="1" t="n">
        <v>44594.4471412037</v>
      </c>
      <c r="C259" s="1" t="n">
        <v>46162</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19014-2025</t>
        </is>
      </c>
      <c r="B260" s="1" t="n">
        <v>45764.59631944444</v>
      </c>
      <c r="C260" s="1" t="n">
        <v>46162</v>
      </c>
      <c r="D260" t="inlineStr">
        <is>
          <t>UPPSALA LÄN</t>
        </is>
      </c>
      <c r="E260" t="inlineStr">
        <is>
          <t>ENKÖPING</t>
        </is>
      </c>
      <c r="G260" t="n">
        <v>0.2</v>
      </c>
      <c r="H260" t="n">
        <v>0</v>
      </c>
      <c r="I260" t="n">
        <v>0</v>
      </c>
      <c r="J260" t="n">
        <v>0</v>
      </c>
      <c r="K260" t="n">
        <v>0</v>
      </c>
      <c r="L260" t="n">
        <v>0</v>
      </c>
      <c r="M260" t="n">
        <v>0</v>
      </c>
      <c r="N260" t="n">
        <v>0</v>
      </c>
      <c r="O260" t="n">
        <v>0</v>
      </c>
      <c r="P260" t="n">
        <v>0</v>
      </c>
      <c r="Q260" t="n">
        <v>0</v>
      </c>
      <c r="R260" s="2" t="inlineStr"/>
    </row>
    <row r="261" ht="15" customHeight="1">
      <c r="A261" t="inlineStr">
        <is>
          <t>A 43691-2024</t>
        </is>
      </c>
      <c r="B261" s="1" t="n">
        <v>45569</v>
      </c>
      <c r="C261" s="1" t="n">
        <v>46162</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56625-2025</t>
        </is>
      </c>
      <c r="B262" s="1" t="n">
        <v>45975.60608796297</v>
      </c>
      <c r="C262" s="1" t="n">
        <v>46162</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19376-2024</t>
        </is>
      </c>
      <c r="B263" s="1" t="n">
        <v>45429</v>
      </c>
      <c r="C263" s="1" t="n">
        <v>46162</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57294-2025</t>
        </is>
      </c>
      <c r="B264" s="1" t="n">
        <v>45979</v>
      </c>
      <c r="C264" s="1" t="n">
        <v>46162</v>
      </c>
      <c r="D264" t="inlineStr">
        <is>
          <t>UPPSALA LÄN</t>
        </is>
      </c>
      <c r="E264" t="inlineStr">
        <is>
          <t>ENKÖPING</t>
        </is>
      </c>
      <c r="G264" t="n">
        <v>6.2</v>
      </c>
      <c r="H264" t="n">
        <v>0</v>
      </c>
      <c r="I264" t="n">
        <v>0</v>
      </c>
      <c r="J264" t="n">
        <v>0</v>
      </c>
      <c r="K264" t="n">
        <v>0</v>
      </c>
      <c r="L264" t="n">
        <v>0</v>
      </c>
      <c r="M264" t="n">
        <v>0</v>
      </c>
      <c r="N264" t="n">
        <v>0</v>
      </c>
      <c r="O264" t="n">
        <v>0</v>
      </c>
      <c r="P264" t="n">
        <v>0</v>
      </c>
      <c r="Q264" t="n">
        <v>0</v>
      </c>
      <c r="R264" s="2" t="inlineStr"/>
    </row>
    <row r="265" ht="15" customHeight="1">
      <c r="A265" t="inlineStr">
        <is>
          <t>A 33670-2024</t>
        </is>
      </c>
      <c r="B265" s="1" t="n">
        <v>45520</v>
      </c>
      <c r="C265" s="1" t="n">
        <v>46162</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19147-2024</t>
        </is>
      </c>
      <c r="B266" s="1" t="n">
        <v>45428</v>
      </c>
      <c r="C266" s="1" t="n">
        <v>46162</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58025-2025</t>
        </is>
      </c>
      <c r="B267" s="1" t="n">
        <v>45982</v>
      </c>
      <c r="C267" s="1" t="n">
        <v>46162</v>
      </c>
      <c r="D267" t="inlineStr">
        <is>
          <t>UPPSALA LÄN</t>
        </is>
      </c>
      <c r="E267" t="inlineStr">
        <is>
          <t>ENKÖPING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67982-2021</t>
        </is>
      </c>
      <c r="B268" s="1" t="n">
        <v>44525</v>
      </c>
      <c r="C268" s="1" t="n">
        <v>46162</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57835-2024</t>
        </is>
      </c>
      <c r="B269" s="1" t="n">
        <v>45631.39947916667</v>
      </c>
      <c r="C269" s="1" t="n">
        <v>46162</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21612-2023</t>
        </is>
      </c>
      <c r="B270" s="1" t="n">
        <v>45063</v>
      </c>
      <c r="C270" s="1" t="n">
        <v>46162</v>
      </c>
      <c r="D270" t="inlineStr">
        <is>
          <t>UPPSALA LÄN</t>
        </is>
      </c>
      <c r="E270" t="inlineStr">
        <is>
          <t>ENKÖPING</t>
        </is>
      </c>
      <c r="F270" t="inlineStr">
        <is>
          <t>Allmännings- och besparingsskogar</t>
        </is>
      </c>
      <c r="G270" t="n">
        <v>1</v>
      </c>
      <c r="H270" t="n">
        <v>0</v>
      </c>
      <c r="I270" t="n">
        <v>0</v>
      </c>
      <c r="J270" t="n">
        <v>0</v>
      </c>
      <c r="K270" t="n">
        <v>0</v>
      </c>
      <c r="L270" t="n">
        <v>0</v>
      </c>
      <c r="M270" t="n">
        <v>0</v>
      </c>
      <c r="N270" t="n">
        <v>0</v>
      </c>
      <c r="O270" t="n">
        <v>0</v>
      </c>
      <c r="P270" t="n">
        <v>0</v>
      </c>
      <c r="Q270" t="n">
        <v>0</v>
      </c>
      <c r="R270" s="2" t="inlineStr"/>
    </row>
    <row r="271" ht="15" customHeight="1">
      <c r="A271" t="inlineStr">
        <is>
          <t>A 39624-2023</t>
        </is>
      </c>
      <c r="B271" s="1" t="n">
        <v>45164</v>
      </c>
      <c r="C271" s="1" t="n">
        <v>46162</v>
      </c>
      <c r="D271" t="inlineStr">
        <is>
          <t>UPPSALA LÄN</t>
        </is>
      </c>
      <c r="E271" t="inlineStr">
        <is>
          <t>ENKÖPING</t>
        </is>
      </c>
      <c r="G271" t="n">
        <v>0.9</v>
      </c>
      <c r="H271" t="n">
        <v>0</v>
      </c>
      <c r="I271" t="n">
        <v>0</v>
      </c>
      <c r="J271" t="n">
        <v>0</v>
      </c>
      <c r="K271" t="n">
        <v>0</v>
      </c>
      <c r="L271" t="n">
        <v>0</v>
      </c>
      <c r="M271" t="n">
        <v>0</v>
      </c>
      <c r="N271" t="n">
        <v>0</v>
      </c>
      <c r="O271" t="n">
        <v>0</v>
      </c>
      <c r="P271" t="n">
        <v>0</v>
      </c>
      <c r="Q271" t="n">
        <v>0</v>
      </c>
      <c r="R271" s="2" t="inlineStr"/>
    </row>
    <row r="272" ht="15" customHeight="1">
      <c r="A272" t="inlineStr">
        <is>
          <t>A 5892-2023</t>
        </is>
      </c>
      <c r="B272" s="1" t="n">
        <v>44963.64883101852</v>
      </c>
      <c r="C272" s="1" t="n">
        <v>46162</v>
      </c>
      <c r="D272" t="inlineStr">
        <is>
          <t>UPPSALA LÄN</t>
        </is>
      </c>
      <c r="E272" t="inlineStr">
        <is>
          <t>ENKÖPING</t>
        </is>
      </c>
      <c r="G272" t="n">
        <v>5.5</v>
      </c>
      <c r="H272" t="n">
        <v>0</v>
      </c>
      <c r="I272" t="n">
        <v>0</v>
      </c>
      <c r="J272" t="n">
        <v>0</v>
      </c>
      <c r="K272" t="n">
        <v>0</v>
      </c>
      <c r="L272" t="n">
        <v>0</v>
      </c>
      <c r="M272" t="n">
        <v>0</v>
      </c>
      <c r="N272" t="n">
        <v>0</v>
      </c>
      <c r="O272" t="n">
        <v>0</v>
      </c>
      <c r="P272" t="n">
        <v>0</v>
      </c>
      <c r="Q272" t="n">
        <v>0</v>
      </c>
      <c r="R272" s="2" t="inlineStr"/>
    </row>
    <row r="273" ht="15" customHeight="1">
      <c r="A273" t="inlineStr">
        <is>
          <t>A 39858-2024</t>
        </is>
      </c>
      <c r="B273" s="1" t="n">
        <v>45553</v>
      </c>
      <c r="C273" s="1" t="n">
        <v>46162</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57188-2025</t>
        </is>
      </c>
      <c r="B274" s="1" t="n">
        <v>45979</v>
      </c>
      <c r="C274" s="1" t="n">
        <v>46162</v>
      </c>
      <c r="D274" t="inlineStr">
        <is>
          <t>UPPSALA LÄN</t>
        </is>
      </c>
      <c r="E274" t="inlineStr">
        <is>
          <t>ENKÖPING</t>
        </is>
      </c>
      <c r="G274" t="n">
        <v>1.7</v>
      </c>
      <c r="H274" t="n">
        <v>0</v>
      </c>
      <c r="I274" t="n">
        <v>0</v>
      </c>
      <c r="J274" t="n">
        <v>0</v>
      </c>
      <c r="K274" t="n">
        <v>0</v>
      </c>
      <c r="L274" t="n">
        <v>0</v>
      </c>
      <c r="M274" t="n">
        <v>0</v>
      </c>
      <c r="N274" t="n">
        <v>0</v>
      </c>
      <c r="O274" t="n">
        <v>0</v>
      </c>
      <c r="P274" t="n">
        <v>0</v>
      </c>
      <c r="Q274" t="n">
        <v>0</v>
      </c>
      <c r="R274" s="2" t="inlineStr"/>
    </row>
    <row r="275" ht="15" customHeight="1">
      <c r="A275" t="inlineStr">
        <is>
          <t>A 9957-2023</t>
        </is>
      </c>
      <c r="B275" s="1" t="n">
        <v>44978</v>
      </c>
      <c r="C275" s="1" t="n">
        <v>46162</v>
      </c>
      <c r="D275" t="inlineStr">
        <is>
          <t>UPPSALA LÄN</t>
        </is>
      </c>
      <c r="E275" t="inlineStr">
        <is>
          <t>ENKÖPING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59668-2025</t>
        </is>
      </c>
      <c r="B276" s="1" t="n">
        <v>45992.45567129629</v>
      </c>
      <c r="C276" s="1" t="n">
        <v>46162</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59964-2025</t>
        </is>
      </c>
      <c r="B277" s="1" t="n">
        <v>45993.48043981481</v>
      </c>
      <c r="C277" s="1" t="n">
        <v>46162</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60174-2025</t>
        </is>
      </c>
      <c r="B278" s="1" t="n">
        <v>45994.45039351852</v>
      </c>
      <c r="C278" s="1" t="n">
        <v>46162</v>
      </c>
      <c r="D278" t="inlineStr">
        <is>
          <t>UPPSALA LÄN</t>
        </is>
      </c>
      <c r="E278" t="inlineStr">
        <is>
          <t>ENKÖPING</t>
        </is>
      </c>
      <c r="G278" t="n">
        <v>2.8</v>
      </c>
      <c r="H278" t="n">
        <v>0</v>
      </c>
      <c r="I278" t="n">
        <v>0</v>
      </c>
      <c r="J278" t="n">
        <v>0</v>
      </c>
      <c r="K278" t="n">
        <v>0</v>
      </c>
      <c r="L278" t="n">
        <v>0</v>
      </c>
      <c r="M278" t="n">
        <v>0</v>
      </c>
      <c r="N278" t="n">
        <v>0</v>
      </c>
      <c r="O278" t="n">
        <v>0</v>
      </c>
      <c r="P278" t="n">
        <v>0</v>
      </c>
      <c r="Q278" t="n">
        <v>0</v>
      </c>
      <c r="R278" s="2" t="inlineStr"/>
    </row>
    <row r="279" ht="15" customHeight="1">
      <c r="A279" t="inlineStr">
        <is>
          <t>A 60175-2025</t>
        </is>
      </c>
      <c r="B279" s="1" t="n">
        <v>45994.45378472222</v>
      </c>
      <c r="C279" s="1" t="n">
        <v>46162</v>
      </c>
      <c r="D279" t="inlineStr">
        <is>
          <t>UPPSALA LÄN</t>
        </is>
      </c>
      <c r="E279" t="inlineStr">
        <is>
          <t>ENKÖPING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60340-2025</t>
        </is>
      </c>
      <c r="B280" s="1" t="n">
        <v>45994.83415509259</v>
      </c>
      <c r="C280" s="1" t="n">
        <v>46162</v>
      </c>
      <c r="D280" t="inlineStr">
        <is>
          <t>UPPSALA LÄN</t>
        </is>
      </c>
      <c r="E280" t="inlineStr">
        <is>
          <t>ENKÖPING</t>
        </is>
      </c>
      <c r="G280" t="n">
        <v>5.6</v>
      </c>
      <c r="H280" t="n">
        <v>0</v>
      </c>
      <c r="I280" t="n">
        <v>0</v>
      </c>
      <c r="J280" t="n">
        <v>0</v>
      </c>
      <c r="K280" t="n">
        <v>0</v>
      </c>
      <c r="L280" t="n">
        <v>0</v>
      </c>
      <c r="M280" t="n">
        <v>0</v>
      </c>
      <c r="N280" t="n">
        <v>0</v>
      </c>
      <c r="O280" t="n">
        <v>0</v>
      </c>
      <c r="P280" t="n">
        <v>0</v>
      </c>
      <c r="Q280" t="n">
        <v>0</v>
      </c>
      <c r="R280" s="2" t="inlineStr"/>
    </row>
    <row r="281" ht="15" customHeight="1">
      <c r="A281" t="inlineStr">
        <is>
          <t>A 60947-2025</t>
        </is>
      </c>
      <c r="B281" s="1" t="n">
        <v>45999</v>
      </c>
      <c r="C281" s="1" t="n">
        <v>46162</v>
      </c>
      <c r="D281" t="inlineStr">
        <is>
          <t>UPPSALA LÄN</t>
        </is>
      </c>
      <c r="E281" t="inlineStr">
        <is>
          <t>ENKÖPING</t>
        </is>
      </c>
      <c r="G281" t="n">
        <v>4</v>
      </c>
      <c r="H281" t="n">
        <v>0</v>
      </c>
      <c r="I281" t="n">
        <v>0</v>
      </c>
      <c r="J281" t="n">
        <v>0</v>
      </c>
      <c r="K281" t="n">
        <v>0</v>
      </c>
      <c r="L281" t="n">
        <v>0</v>
      </c>
      <c r="M281" t="n">
        <v>0</v>
      </c>
      <c r="N281" t="n">
        <v>0</v>
      </c>
      <c r="O281" t="n">
        <v>0</v>
      </c>
      <c r="P281" t="n">
        <v>0</v>
      </c>
      <c r="Q281" t="n">
        <v>0</v>
      </c>
      <c r="R281" s="2" t="inlineStr"/>
    </row>
    <row r="282" ht="15" customHeight="1">
      <c r="A282" t="inlineStr">
        <is>
          <t>A 29477-2025</t>
        </is>
      </c>
      <c r="B282" s="1" t="n">
        <v>45824.71537037037</v>
      </c>
      <c r="C282" s="1" t="n">
        <v>46162</v>
      </c>
      <c r="D282" t="inlineStr">
        <is>
          <t>UPPSALA LÄN</t>
        </is>
      </c>
      <c r="E282" t="inlineStr">
        <is>
          <t>ENKÖPING</t>
        </is>
      </c>
      <c r="G282" t="n">
        <v>13.4</v>
      </c>
      <c r="H282" t="n">
        <v>0</v>
      </c>
      <c r="I282" t="n">
        <v>0</v>
      </c>
      <c r="J282" t="n">
        <v>0</v>
      </c>
      <c r="K282" t="n">
        <v>0</v>
      </c>
      <c r="L282" t="n">
        <v>0</v>
      </c>
      <c r="M282" t="n">
        <v>0</v>
      </c>
      <c r="N282" t="n">
        <v>0</v>
      </c>
      <c r="O282" t="n">
        <v>0</v>
      </c>
      <c r="P282" t="n">
        <v>0</v>
      </c>
      <c r="Q282" t="n">
        <v>0</v>
      </c>
      <c r="R282" s="2" t="inlineStr"/>
    </row>
    <row r="283" ht="15" customHeight="1">
      <c r="A283" t="inlineStr">
        <is>
          <t>A 60934-2025</t>
        </is>
      </c>
      <c r="B283" s="1" t="n">
        <v>45999</v>
      </c>
      <c r="C283" s="1" t="n">
        <v>46162</v>
      </c>
      <c r="D283" t="inlineStr">
        <is>
          <t>UPPSALA LÄN</t>
        </is>
      </c>
      <c r="E283" t="inlineStr">
        <is>
          <t>ENKÖPING</t>
        </is>
      </c>
      <c r="G283" t="n">
        <v>2.5</v>
      </c>
      <c r="H283" t="n">
        <v>0</v>
      </c>
      <c r="I283" t="n">
        <v>0</v>
      </c>
      <c r="J283" t="n">
        <v>0</v>
      </c>
      <c r="K283" t="n">
        <v>0</v>
      </c>
      <c r="L283" t="n">
        <v>0</v>
      </c>
      <c r="M283" t="n">
        <v>0</v>
      </c>
      <c r="N283" t="n">
        <v>0</v>
      </c>
      <c r="O283" t="n">
        <v>0</v>
      </c>
      <c r="P283" t="n">
        <v>0</v>
      </c>
      <c r="Q283" t="n">
        <v>0</v>
      </c>
      <c r="R283" s="2" t="inlineStr"/>
    </row>
    <row r="284" ht="15" customHeight="1">
      <c r="A284" t="inlineStr">
        <is>
          <t>A 8152-2022</t>
        </is>
      </c>
      <c r="B284" s="1" t="n">
        <v>44609</v>
      </c>
      <c r="C284" s="1" t="n">
        <v>46162</v>
      </c>
      <c r="D284" t="inlineStr">
        <is>
          <t>UPPSALA LÄN</t>
        </is>
      </c>
      <c r="E284" t="inlineStr">
        <is>
          <t>ENKÖPING</t>
        </is>
      </c>
      <c r="F284" t="inlineStr">
        <is>
          <t>Kyrkan</t>
        </is>
      </c>
      <c r="G284" t="n">
        <v>1.3</v>
      </c>
      <c r="H284" t="n">
        <v>0</v>
      </c>
      <c r="I284" t="n">
        <v>0</v>
      </c>
      <c r="J284" t="n">
        <v>0</v>
      </c>
      <c r="K284" t="n">
        <v>0</v>
      </c>
      <c r="L284" t="n">
        <v>0</v>
      </c>
      <c r="M284" t="n">
        <v>0</v>
      </c>
      <c r="N284" t="n">
        <v>0</v>
      </c>
      <c r="O284" t="n">
        <v>0</v>
      </c>
      <c r="P284" t="n">
        <v>0</v>
      </c>
      <c r="Q284" t="n">
        <v>0</v>
      </c>
      <c r="R284" s="2" t="inlineStr"/>
    </row>
    <row r="285" ht="15" customHeight="1">
      <c r="A285" t="inlineStr">
        <is>
          <t>A 61437-2025</t>
        </is>
      </c>
      <c r="B285" s="1" t="n">
        <v>46001.5659375</v>
      </c>
      <c r="C285" s="1" t="n">
        <v>46162</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38941-2025</t>
        </is>
      </c>
      <c r="B286" s="1" t="n">
        <v>45887</v>
      </c>
      <c r="C286" s="1" t="n">
        <v>46162</v>
      </c>
      <c r="D286" t="inlineStr">
        <is>
          <t>UPPSALA LÄN</t>
        </is>
      </c>
      <c r="E286" t="inlineStr">
        <is>
          <t>ENKÖPING</t>
        </is>
      </c>
      <c r="F286" t="inlineStr">
        <is>
          <t>Övriga statliga verk och myndigheter</t>
        </is>
      </c>
      <c r="G286" t="n">
        <v>0.6</v>
      </c>
      <c r="H286" t="n">
        <v>0</v>
      </c>
      <c r="I286" t="n">
        <v>0</v>
      </c>
      <c r="J286" t="n">
        <v>0</v>
      </c>
      <c r="K286" t="n">
        <v>0</v>
      </c>
      <c r="L286" t="n">
        <v>0</v>
      </c>
      <c r="M286" t="n">
        <v>0</v>
      </c>
      <c r="N286" t="n">
        <v>0</v>
      </c>
      <c r="O286" t="n">
        <v>0</v>
      </c>
      <c r="P286" t="n">
        <v>0</v>
      </c>
      <c r="Q286" t="n">
        <v>0</v>
      </c>
      <c r="R286" s="2" t="inlineStr"/>
    </row>
    <row r="287" ht="15" customHeight="1">
      <c r="A287" t="inlineStr">
        <is>
          <t>A 61778-2025</t>
        </is>
      </c>
      <c r="B287" s="1" t="n">
        <v>46002.66555555556</v>
      </c>
      <c r="C287" s="1" t="n">
        <v>46162</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17657-2025</t>
        </is>
      </c>
      <c r="B288" s="1" t="n">
        <v>45758.35006944444</v>
      </c>
      <c r="C288" s="1" t="n">
        <v>46162</v>
      </c>
      <c r="D288" t="inlineStr">
        <is>
          <t>UPPSALA LÄN</t>
        </is>
      </c>
      <c r="E288" t="inlineStr">
        <is>
          <t>ENKÖPING</t>
        </is>
      </c>
      <c r="G288" t="n">
        <v>3</v>
      </c>
      <c r="H288" t="n">
        <v>0</v>
      </c>
      <c r="I288" t="n">
        <v>0</v>
      </c>
      <c r="J288" t="n">
        <v>0</v>
      </c>
      <c r="K288" t="n">
        <v>0</v>
      </c>
      <c r="L288" t="n">
        <v>0</v>
      </c>
      <c r="M288" t="n">
        <v>0</v>
      </c>
      <c r="N288" t="n">
        <v>0</v>
      </c>
      <c r="O288" t="n">
        <v>0</v>
      </c>
      <c r="P288" t="n">
        <v>0</v>
      </c>
      <c r="Q288" t="n">
        <v>0</v>
      </c>
      <c r="R288" s="2" t="inlineStr"/>
    </row>
    <row r="289" ht="15" customHeight="1">
      <c r="A289" t="inlineStr">
        <is>
          <t>A 61811-2025</t>
        </is>
      </c>
      <c r="B289" s="1" t="n">
        <v>46002.90059027778</v>
      </c>
      <c r="C289" s="1" t="n">
        <v>46162</v>
      </c>
      <c r="D289" t="inlineStr">
        <is>
          <t>UPPSALA LÄN</t>
        </is>
      </c>
      <c r="E289" t="inlineStr">
        <is>
          <t>ENKÖPING</t>
        </is>
      </c>
      <c r="F289" t="inlineStr">
        <is>
          <t>Allmännings- och besparingsskogar</t>
        </is>
      </c>
      <c r="G289" t="n">
        <v>4.7</v>
      </c>
      <c r="H289" t="n">
        <v>0</v>
      </c>
      <c r="I289" t="n">
        <v>0</v>
      </c>
      <c r="J289" t="n">
        <v>0</v>
      </c>
      <c r="K289" t="n">
        <v>0</v>
      </c>
      <c r="L289" t="n">
        <v>0</v>
      </c>
      <c r="M289" t="n">
        <v>0</v>
      </c>
      <c r="N289" t="n">
        <v>0</v>
      </c>
      <c r="O289" t="n">
        <v>0</v>
      </c>
      <c r="P289" t="n">
        <v>0</v>
      </c>
      <c r="Q289" t="n">
        <v>0</v>
      </c>
      <c r="R289" s="2" t="inlineStr"/>
    </row>
    <row r="290" ht="15" customHeight="1">
      <c r="A290" t="inlineStr">
        <is>
          <t>A 61889-2025</t>
        </is>
      </c>
      <c r="B290" s="1" t="n">
        <v>46003.44765046296</v>
      </c>
      <c r="C290" s="1" t="n">
        <v>46162</v>
      </c>
      <c r="D290" t="inlineStr">
        <is>
          <t>UPPSALA LÄN</t>
        </is>
      </c>
      <c r="E290" t="inlineStr">
        <is>
          <t>ENKÖPING</t>
        </is>
      </c>
      <c r="G290" t="n">
        <v>2.3</v>
      </c>
      <c r="H290" t="n">
        <v>0</v>
      </c>
      <c r="I290" t="n">
        <v>0</v>
      </c>
      <c r="J290" t="n">
        <v>0</v>
      </c>
      <c r="K290" t="n">
        <v>0</v>
      </c>
      <c r="L290" t="n">
        <v>0</v>
      </c>
      <c r="M290" t="n">
        <v>0</v>
      </c>
      <c r="N290" t="n">
        <v>0</v>
      </c>
      <c r="O290" t="n">
        <v>0</v>
      </c>
      <c r="P290" t="n">
        <v>0</v>
      </c>
      <c r="Q290" t="n">
        <v>0</v>
      </c>
      <c r="R290" s="2" t="inlineStr"/>
    </row>
    <row r="291" ht="15" customHeight="1">
      <c r="A291" t="inlineStr">
        <is>
          <t>A 15939-2022</t>
        </is>
      </c>
      <c r="B291" s="1" t="n">
        <v>44664</v>
      </c>
      <c r="C291" s="1" t="n">
        <v>46162</v>
      </c>
      <c r="D291" t="inlineStr">
        <is>
          <t>UPPSALA LÄN</t>
        </is>
      </c>
      <c r="E291" t="inlineStr">
        <is>
          <t>ENKÖPING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62772-2025</t>
        </is>
      </c>
      <c r="B292" s="1" t="n">
        <v>46008.60365740741</v>
      </c>
      <c r="C292" s="1" t="n">
        <v>46162</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50394-2024</t>
        </is>
      </c>
      <c r="B293" s="1" t="n">
        <v>45600</v>
      </c>
      <c r="C293" s="1" t="n">
        <v>46162</v>
      </c>
      <c r="D293" t="inlineStr">
        <is>
          <t>UPPSALA LÄN</t>
        </is>
      </c>
      <c r="E293" t="inlineStr">
        <is>
          <t>ENKÖPING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62599-2025</t>
        </is>
      </c>
      <c r="B294" s="1" t="n">
        <v>46007.91961805556</v>
      </c>
      <c r="C294" s="1" t="n">
        <v>46162</v>
      </c>
      <c r="D294" t="inlineStr">
        <is>
          <t>UPPSALA LÄN</t>
        </is>
      </c>
      <c r="E294" t="inlineStr">
        <is>
          <t>ENKÖPING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62601-2025</t>
        </is>
      </c>
      <c r="B295" s="1" t="n">
        <v>46007.92395833333</v>
      </c>
      <c r="C295" s="1" t="n">
        <v>46162</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62602-2025</t>
        </is>
      </c>
      <c r="B296" s="1" t="n">
        <v>46007.92581018519</v>
      </c>
      <c r="C296" s="1" t="n">
        <v>46162</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62600-2025</t>
        </is>
      </c>
      <c r="B297" s="1" t="n">
        <v>46007.92175925926</v>
      </c>
      <c r="C297" s="1" t="n">
        <v>46162</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63128-2025</t>
        </is>
      </c>
      <c r="B298" s="1" t="n">
        <v>46009</v>
      </c>
      <c r="C298" s="1" t="n">
        <v>46162</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72840-2021</t>
        </is>
      </c>
      <c r="B299" s="1" t="n">
        <v>44547</v>
      </c>
      <c r="C299" s="1" t="n">
        <v>46162</v>
      </c>
      <c r="D299" t="inlineStr">
        <is>
          <t>UPPSALA LÄN</t>
        </is>
      </c>
      <c r="E299" t="inlineStr">
        <is>
          <t>ENKÖPING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37870-2023</t>
        </is>
      </c>
      <c r="B300" s="1" t="n">
        <v>45160.41996527778</v>
      </c>
      <c r="C300" s="1" t="n">
        <v>46162</v>
      </c>
      <c r="D300" t="inlineStr">
        <is>
          <t>UPPSALA LÄN</t>
        </is>
      </c>
      <c r="E300" t="inlineStr">
        <is>
          <t>ENKÖPING</t>
        </is>
      </c>
      <c r="G300" t="n">
        <v>3.5</v>
      </c>
      <c r="H300" t="n">
        <v>0</v>
      </c>
      <c r="I300" t="n">
        <v>0</v>
      </c>
      <c r="J300" t="n">
        <v>0</v>
      </c>
      <c r="K300" t="n">
        <v>0</v>
      </c>
      <c r="L300" t="n">
        <v>0</v>
      </c>
      <c r="M300" t="n">
        <v>0</v>
      </c>
      <c r="N300" t="n">
        <v>0</v>
      </c>
      <c r="O300" t="n">
        <v>0</v>
      </c>
      <c r="P300" t="n">
        <v>0</v>
      </c>
      <c r="Q300" t="n">
        <v>0</v>
      </c>
      <c r="R300" s="2" t="inlineStr"/>
    </row>
    <row r="301" ht="15" customHeight="1">
      <c r="A301" t="inlineStr">
        <is>
          <t>A 7090-2022</t>
        </is>
      </c>
      <c r="B301" s="1" t="n">
        <v>44603.59520833333</v>
      </c>
      <c r="C301" s="1" t="n">
        <v>46162</v>
      </c>
      <c r="D301" t="inlineStr">
        <is>
          <t>UPPSALA LÄN</t>
        </is>
      </c>
      <c r="E301" t="inlineStr">
        <is>
          <t>ENKÖPING</t>
        </is>
      </c>
      <c r="G301" t="n">
        <v>2.8</v>
      </c>
      <c r="H301" t="n">
        <v>0</v>
      </c>
      <c r="I301" t="n">
        <v>0</v>
      </c>
      <c r="J301" t="n">
        <v>0</v>
      </c>
      <c r="K301" t="n">
        <v>0</v>
      </c>
      <c r="L301" t="n">
        <v>0</v>
      </c>
      <c r="M301" t="n">
        <v>0</v>
      </c>
      <c r="N301" t="n">
        <v>0</v>
      </c>
      <c r="O301" t="n">
        <v>0</v>
      </c>
      <c r="P301" t="n">
        <v>0</v>
      </c>
      <c r="Q301" t="n">
        <v>0</v>
      </c>
      <c r="R301" s="2" t="inlineStr"/>
    </row>
    <row r="302" ht="15" customHeight="1">
      <c r="A302" t="inlineStr">
        <is>
          <t>A 49063-2024</t>
        </is>
      </c>
      <c r="B302" s="1" t="n">
        <v>45594.59869212963</v>
      </c>
      <c r="C302" s="1" t="n">
        <v>46162</v>
      </c>
      <c r="D302" t="inlineStr">
        <is>
          <t>UPPSALA LÄN</t>
        </is>
      </c>
      <c r="E302" t="inlineStr">
        <is>
          <t>ENKÖPING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14083-2025</t>
        </is>
      </c>
      <c r="B303" s="1" t="n">
        <v>45740</v>
      </c>
      <c r="C303" s="1" t="n">
        <v>46162</v>
      </c>
      <c r="D303" t="inlineStr">
        <is>
          <t>UPPSALA LÄN</t>
        </is>
      </c>
      <c r="E303" t="inlineStr">
        <is>
          <t>ENKÖPING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19298-2023</t>
        </is>
      </c>
      <c r="B304" s="1" t="n">
        <v>45048</v>
      </c>
      <c r="C304" s="1" t="n">
        <v>46162</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60848-2025</t>
        </is>
      </c>
      <c r="B305" s="1" t="n">
        <v>45999</v>
      </c>
      <c r="C305" s="1" t="n">
        <v>46162</v>
      </c>
      <c r="D305" t="inlineStr">
        <is>
          <t>UPPSALA LÄN</t>
        </is>
      </c>
      <c r="E305" t="inlineStr">
        <is>
          <t>ENKÖPING</t>
        </is>
      </c>
      <c r="G305" t="n">
        <v>2.5</v>
      </c>
      <c r="H305" t="n">
        <v>0</v>
      </c>
      <c r="I305" t="n">
        <v>0</v>
      </c>
      <c r="J305" t="n">
        <v>0</v>
      </c>
      <c r="K305" t="n">
        <v>0</v>
      </c>
      <c r="L305" t="n">
        <v>0</v>
      </c>
      <c r="M305" t="n">
        <v>0</v>
      </c>
      <c r="N305" t="n">
        <v>0</v>
      </c>
      <c r="O305" t="n">
        <v>0</v>
      </c>
      <c r="P305" t="n">
        <v>0</v>
      </c>
      <c r="Q305" t="n">
        <v>0</v>
      </c>
      <c r="R305" s="2" t="inlineStr"/>
    </row>
    <row r="306" ht="15" customHeight="1">
      <c r="A306" t="inlineStr">
        <is>
          <t>A 15409-2025</t>
        </is>
      </c>
      <c r="B306" s="1" t="n">
        <v>45747</v>
      </c>
      <c r="C306" s="1" t="n">
        <v>46162</v>
      </c>
      <c r="D306" t="inlineStr">
        <is>
          <t>UPPSALA LÄN</t>
        </is>
      </c>
      <c r="E306" t="inlineStr">
        <is>
          <t>ENKÖPING</t>
        </is>
      </c>
      <c r="G306" t="n">
        <v>2.5</v>
      </c>
      <c r="H306" t="n">
        <v>0</v>
      </c>
      <c r="I306" t="n">
        <v>0</v>
      </c>
      <c r="J306" t="n">
        <v>0</v>
      </c>
      <c r="K306" t="n">
        <v>0</v>
      </c>
      <c r="L306" t="n">
        <v>0</v>
      </c>
      <c r="M306" t="n">
        <v>0</v>
      </c>
      <c r="N306" t="n">
        <v>0</v>
      </c>
      <c r="O306" t="n">
        <v>0</v>
      </c>
      <c r="P306" t="n">
        <v>0</v>
      </c>
      <c r="Q306" t="n">
        <v>0</v>
      </c>
      <c r="R306" s="2" t="inlineStr"/>
    </row>
    <row r="307" ht="15" customHeight="1">
      <c r="A307" t="inlineStr">
        <is>
          <t>A 192-2026</t>
        </is>
      </c>
      <c r="B307" s="1" t="n">
        <v>46025</v>
      </c>
      <c r="C307" s="1" t="n">
        <v>46162</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34617-2022</t>
        </is>
      </c>
      <c r="B308" s="1" t="n">
        <v>44795</v>
      </c>
      <c r="C308" s="1" t="n">
        <v>46162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861-2026</t>
        </is>
      </c>
      <c r="B309" s="1" t="n">
        <v>46030</v>
      </c>
      <c r="C309" s="1" t="n">
        <v>46162</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40202-2024</t>
        </is>
      </c>
      <c r="B310" s="1" t="n">
        <v>45554</v>
      </c>
      <c r="C310" s="1" t="n">
        <v>46162</v>
      </c>
      <c r="D310" t="inlineStr">
        <is>
          <t>UPPSALA LÄN</t>
        </is>
      </c>
      <c r="E310" t="inlineStr">
        <is>
          <t>ENKÖPING</t>
        </is>
      </c>
      <c r="G310" t="n">
        <v>6.2</v>
      </c>
      <c r="H310" t="n">
        <v>0</v>
      </c>
      <c r="I310" t="n">
        <v>0</v>
      </c>
      <c r="J310" t="n">
        <v>0</v>
      </c>
      <c r="K310" t="n">
        <v>0</v>
      </c>
      <c r="L310" t="n">
        <v>0</v>
      </c>
      <c r="M310" t="n">
        <v>0</v>
      </c>
      <c r="N310" t="n">
        <v>0</v>
      </c>
      <c r="O310" t="n">
        <v>0</v>
      </c>
      <c r="P310" t="n">
        <v>0</v>
      </c>
      <c r="Q310" t="n">
        <v>0</v>
      </c>
      <c r="R310" s="2" t="inlineStr"/>
    </row>
    <row r="311" ht="15" customHeight="1">
      <c r="A311" t="inlineStr">
        <is>
          <t>A 40223-2024</t>
        </is>
      </c>
      <c r="B311" s="1" t="n">
        <v>45554</v>
      </c>
      <c r="C311" s="1" t="n">
        <v>46162</v>
      </c>
      <c r="D311" t="inlineStr">
        <is>
          <t>UPPSALA LÄN</t>
        </is>
      </c>
      <c r="E311" t="inlineStr">
        <is>
          <t>ENKÖPING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69879-2021</t>
        </is>
      </c>
      <c r="B312" s="1" t="n">
        <v>44532</v>
      </c>
      <c r="C312" s="1" t="n">
        <v>46162</v>
      </c>
      <c r="D312" t="inlineStr">
        <is>
          <t>UPPSALA LÄN</t>
        </is>
      </c>
      <c r="E312" t="inlineStr">
        <is>
          <t>ENKÖPING</t>
        </is>
      </c>
      <c r="G312" t="n">
        <v>4.2</v>
      </c>
      <c r="H312" t="n">
        <v>0</v>
      </c>
      <c r="I312" t="n">
        <v>0</v>
      </c>
      <c r="J312" t="n">
        <v>0</v>
      </c>
      <c r="K312" t="n">
        <v>0</v>
      </c>
      <c r="L312" t="n">
        <v>0</v>
      </c>
      <c r="M312" t="n">
        <v>0</v>
      </c>
      <c r="N312" t="n">
        <v>0</v>
      </c>
      <c r="O312" t="n">
        <v>0</v>
      </c>
      <c r="P312" t="n">
        <v>0</v>
      </c>
      <c r="Q312" t="n">
        <v>0</v>
      </c>
      <c r="R312" s="2" t="inlineStr"/>
    </row>
    <row r="313" ht="15" customHeight="1">
      <c r="A313" t="inlineStr">
        <is>
          <t>A 19013-2025</t>
        </is>
      </c>
      <c r="B313" s="1" t="n">
        <v>45764.59533564815</v>
      </c>
      <c r="C313" s="1" t="n">
        <v>46162</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57335-2024</t>
        </is>
      </c>
      <c r="B314" s="1" t="n">
        <v>45629.63302083333</v>
      </c>
      <c r="C314" s="1" t="n">
        <v>46162</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23301-2024</t>
        </is>
      </c>
      <c r="B315" s="1" t="n">
        <v>45453.4396412037</v>
      </c>
      <c r="C315" s="1" t="n">
        <v>46162</v>
      </c>
      <c r="D315" t="inlineStr">
        <is>
          <t>UPPSALA LÄN</t>
        </is>
      </c>
      <c r="E315" t="inlineStr">
        <is>
          <t>ENKÖPING</t>
        </is>
      </c>
      <c r="G315" t="n">
        <v>4.3</v>
      </c>
      <c r="H315" t="n">
        <v>0</v>
      </c>
      <c r="I315" t="n">
        <v>0</v>
      </c>
      <c r="J315" t="n">
        <v>0</v>
      </c>
      <c r="K315" t="n">
        <v>0</v>
      </c>
      <c r="L315" t="n">
        <v>0</v>
      </c>
      <c r="M315" t="n">
        <v>0</v>
      </c>
      <c r="N315" t="n">
        <v>0</v>
      </c>
      <c r="O315" t="n">
        <v>0</v>
      </c>
      <c r="P315" t="n">
        <v>0</v>
      </c>
      <c r="Q315" t="n">
        <v>0</v>
      </c>
      <c r="R315" s="2" t="inlineStr"/>
    </row>
    <row r="316" ht="15" customHeight="1">
      <c r="A316" t="inlineStr">
        <is>
          <t>A 2833-2025</t>
        </is>
      </c>
      <c r="B316" s="1" t="n">
        <v>45677.63206018518</v>
      </c>
      <c r="C316" s="1" t="n">
        <v>46162</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2218-2026</t>
        </is>
      </c>
      <c r="B317" s="1" t="n">
        <v>46036.50010416667</v>
      </c>
      <c r="C317" s="1" t="n">
        <v>46162</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2258-2026</t>
        </is>
      </c>
      <c r="B318" s="1" t="n">
        <v>46036</v>
      </c>
      <c r="C318" s="1" t="n">
        <v>46162</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33619-2022</t>
        </is>
      </c>
      <c r="B319" s="1" t="n">
        <v>44789</v>
      </c>
      <c r="C319" s="1" t="n">
        <v>46162</v>
      </c>
      <c r="D319" t="inlineStr">
        <is>
          <t>UPPSALA LÄN</t>
        </is>
      </c>
      <c r="E319" t="inlineStr">
        <is>
          <t>ENKÖPING</t>
        </is>
      </c>
      <c r="F319" t="inlineStr">
        <is>
          <t>Allmännings- och besparingsskogar</t>
        </is>
      </c>
      <c r="G319" t="n">
        <v>4.5</v>
      </c>
      <c r="H319" t="n">
        <v>0</v>
      </c>
      <c r="I319" t="n">
        <v>0</v>
      </c>
      <c r="J319" t="n">
        <v>0</v>
      </c>
      <c r="K319" t="n">
        <v>0</v>
      </c>
      <c r="L319" t="n">
        <v>0</v>
      </c>
      <c r="M319" t="n">
        <v>0</v>
      </c>
      <c r="N319" t="n">
        <v>0</v>
      </c>
      <c r="O319" t="n">
        <v>0</v>
      </c>
      <c r="P319" t="n">
        <v>0</v>
      </c>
      <c r="Q319" t="n">
        <v>0</v>
      </c>
      <c r="R319" s="2" t="inlineStr"/>
    </row>
    <row r="320" ht="15" customHeight="1">
      <c r="A320" t="inlineStr">
        <is>
          <t>A 31604-2023</t>
        </is>
      </c>
      <c r="B320" s="1" t="n">
        <v>45117.50368055556</v>
      </c>
      <c r="C320" s="1" t="n">
        <v>46162</v>
      </c>
      <c r="D320" t="inlineStr">
        <is>
          <t>UPPSALA LÄN</t>
        </is>
      </c>
      <c r="E320" t="inlineStr">
        <is>
          <t>ENKÖPING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59602-2024</t>
        </is>
      </c>
      <c r="B321" s="1" t="n">
        <v>45638</v>
      </c>
      <c r="C321" s="1" t="n">
        <v>46162</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14243-2025</t>
        </is>
      </c>
      <c r="B322" s="1" t="n">
        <v>45740.61288194444</v>
      </c>
      <c r="C322" s="1" t="n">
        <v>46162</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19488-2022</t>
        </is>
      </c>
      <c r="B323" s="1" t="n">
        <v>44693</v>
      </c>
      <c r="C323" s="1" t="n">
        <v>46162</v>
      </c>
      <c r="D323" t="inlineStr">
        <is>
          <t>UPPSALA LÄN</t>
        </is>
      </c>
      <c r="E323" t="inlineStr">
        <is>
          <t>ENKÖPING</t>
        </is>
      </c>
      <c r="G323" t="n">
        <v>7.8</v>
      </c>
      <c r="H323" t="n">
        <v>0</v>
      </c>
      <c r="I323" t="n">
        <v>0</v>
      </c>
      <c r="J323" t="n">
        <v>0</v>
      </c>
      <c r="K323" t="n">
        <v>0</v>
      </c>
      <c r="L323" t="n">
        <v>0</v>
      </c>
      <c r="M323" t="n">
        <v>0</v>
      </c>
      <c r="N323" t="n">
        <v>0</v>
      </c>
      <c r="O323" t="n">
        <v>0</v>
      </c>
      <c r="P323" t="n">
        <v>0</v>
      </c>
      <c r="Q323" t="n">
        <v>0</v>
      </c>
      <c r="R323" s="2" t="inlineStr"/>
    </row>
    <row r="324" ht="15" customHeight="1">
      <c r="A324" t="inlineStr">
        <is>
          <t>A 41826-2024</t>
        </is>
      </c>
      <c r="B324" s="1" t="n">
        <v>45561</v>
      </c>
      <c r="C324" s="1" t="n">
        <v>46162</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16916-2022</t>
        </is>
      </c>
      <c r="B325" s="1" t="n">
        <v>44676</v>
      </c>
      <c r="C325" s="1" t="n">
        <v>46162</v>
      </c>
      <c r="D325" t="inlineStr">
        <is>
          <t>UPPSALA LÄN</t>
        </is>
      </c>
      <c r="E325" t="inlineStr">
        <is>
          <t>ENKÖPING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44115-2024</t>
        </is>
      </c>
      <c r="B326" s="1" t="n">
        <v>45572</v>
      </c>
      <c r="C326" s="1" t="n">
        <v>46162</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30634-2022</t>
        </is>
      </c>
      <c r="B327" s="1" t="n">
        <v>44763.45711805556</v>
      </c>
      <c r="C327" s="1" t="n">
        <v>46162</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3300-2025</t>
        </is>
      </c>
      <c r="B328" s="1" t="n">
        <v>45679</v>
      </c>
      <c r="C328" s="1" t="n">
        <v>46162</v>
      </c>
      <c r="D328" t="inlineStr">
        <is>
          <t>UPPSALA LÄN</t>
        </is>
      </c>
      <c r="E328" t="inlineStr">
        <is>
          <t>ENKÖPING</t>
        </is>
      </c>
      <c r="G328" t="n">
        <v>8.9</v>
      </c>
      <c r="H328" t="n">
        <v>0</v>
      </c>
      <c r="I328" t="n">
        <v>0</v>
      </c>
      <c r="J328" t="n">
        <v>0</v>
      </c>
      <c r="K328" t="n">
        <v>0</v>
      </c>
      <c r="L328" t="n">
        <v>0</v>
      </c>
      <c r="M328" t="n">
        <v>0</v>
      </c>
      <c r="N328" t="n">
        <v>0</v>
      </c>
      <c r="O328" t="n">
        <v>0</v>
      </c>
      <c r="P328" t="n">
        <v>0</v>
      </c>
      <c r="Q328" t="n">
        <v>0</v>
      </c>
      <c r="R328" s="2" t="inlineStr"/>
    </row>
    <row r="329" ht="15" customHeight="1">
      <c r="A329" t="inlineStr">
        <is>
          <t>A 5104-2026</t>
        </is>
      </c>
      <c r="B329" s="1" t="n">
        <v>46049.56914351852</v>
      </c>
      <c r="C329" s="1" t="n">
        <v>46162</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5569-2026</t>
        </is>
      </c>
      <c r="B330" s="1" t="n">
        <v>46050.89431712963</v>
      </c>
      <c r="C330" s="1" t="n">
        <v>46162</v>
      </c>
      <c r="D330" t="inlineStr">
        <is>
          <t>UPPSALA LÄN</t>
        </is>
      </c>
      <c r="E330" t="inlineStr">
        <is>
          <t>ENKÖPING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5948-2026</t>
        </is>
      </c>
      <c r="B331" s="1" t="n">
        <v>46052</v>
      </c>
      <c r="C331" s="1" t="n">
        <v>46162</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6031-2026</t>
        </is>
      </c>
      <c r="B332" s="1" t="n">
        <v>46052.61201388889</v>
      </c>
      <c r="C332" s="1" t="n">
        <v>46162</v>
      </c>
      <c r="D332" t="inlineStr">
        <is>
          <t>UPPSALA LÄN</t>
        </is>
      </c>
      <c r="E332" t="inlineStr">
        <is>
          <t>ENKÖPING</t>
        </is>
      </c>
      <c r="G332" t="n">
        <v>4.1</v>
      </c>
      <c r="H332" t="n">
        <v>0</v>
      </c>
      <c r="I332" t="n">
        <v>0</v>
      </c>
      <c r="J332" t="n">
        <v>0</v>
      </c>
      <c r="K332" t="n">
        <v>0</v>
      </c>
      <c r="L332" t="n">
        <v>0</v>
      </c>
      <c r="M332" t="n">
        <v>0</v>
      </c>
      <c r="N332" t="n">
        <v>0</v>
      </c>
      <c r="O332" t="n">
        <v>0</v>
      </c>
      <c r="P332" t="n">
        <v>0</v>
      </c>
      <c r="Q332" t="n">
        <v>0</v>
      </c>
      <c r="R332" s="2" t="inlineStr"/>
    </row>
    <row r="333" ht="15" customHeight="1">
      <c r="A333" t="inlineStr">
        <is>
          <t>A 6047-2026</t>
        </is>
      </c>
      <c r="B333" s="1" t="n">
        <v>46052.62738425926</v>
      </c>
      <c r="C333" s="1" t="n">
        <v>46162</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51120-2023</t>
        </is>
      </c>
      <c r="B334" s="1" t="n">
        <v>45219.3088425926</v>
      </c>
      <c r="C334" s="1" t="n">
        <v>46162</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26319-2022</t>
        </is>
      </c>
      <c r="B335" s="1" t="n">
        <v>44735</v>
      </c>
      <c r="C335" s="1" t="n">
        <v>46162</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54357-2023</t>
        </is>
      </c>
      <c r="B336" s="1" t="n">
        <v>45225</v>
      </c>
      <c r="C336" s="1" t="n">
        <v>46162</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63402-2023</t>
        </is>
      </c>
      <c r="B337" s="1" t="n">
        <v>45274.50646990741</v>
      </c>
      <c r="C337" s="1" t="n">
        <v>46162</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7003-2026</t>
        </is>
      </c>
      <c r="B338" s="1" t="n">
        <v>46057.63243055555</v>
      </c>
      <c r="C338" s="1" t="n">
        <v>46162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53208-2023</t>
        </is>
      </c>
      <c r="B339" s="1" t="n">
        <v>45226</v>
      </c>
      <c r="C339" s="1" t="n">
        <v>46162</v>
      </c>
      <c r="D339" t="inlineStr">
        <is>
          <t>UPPSALA LÄN</t>
        </is>
      </c>
      <c r="E339" t="inlineStr">
        <is>
          <t>ENKÖPING</t>
        </is>
      </c>
      <c r="G339" t="n">
        <v>4.3</v>
      </c>
      <c r="H339" t="n">
        <v>0</v>
      </c>
      <c r="I339" t="n">
        <v>0</v>
      </c>
      <c r="J339" t="n">
        <v>0</v>
      </c>
      <c r="K339" t="n">
        <v>0</v>
      </c>
      <c r="L339" t="n">
        <v>0</v>
      </c>
      <c r="M339" t="n">
        <v>0</v>
      </c>
      <c r="N339" t="n">
        <v>0</v>
      </c>
      <c r="O339" t="n">
        <v>0</v>
      </c>
      <c r="P339" t="n">
        <v>0</v>
      </c>
      <c r="Q339" t="n">
        <v>0</v>
      </c>
      <c r="R339" s="2" t="inlineStr"/>
    </row>
    <row r="340" ht="15" customHeight="1">
      <c r="A340" t="inlineStr">
        <is>
          <t>A 7008-2026</t>
        </is>
      </c>
      <c r="B340" s="1" t="n">
        <v>46057.63806712963</v>
      </c>
      <c r="C340" s="1" t="n">
        <v>46162</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8309-2026</t>
        </is>
      </c>
      <c r="B341" s="1" t="n">
        <v>46064.59081018518</v>
      </c>
      <c r="C341" s="1" t="n">
        <v>46162</v>
      </c>
      <c r="D341" t="inlineStr">
        <is>
          <t>UPPSALA LÄN</t>
        </is>
      </c>
      <c r="E341" t="inlineStr">
        <is>
          <t>ENKÖPING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18259-2025</t>
        </is>
      </c>
      <c r="B342" s="1" t="n">
        <v>45762</v>
      </c>
      <c r="C342" s="1" t="n">
        <v>46162</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62158-2023</t>
        </is>
      </c>
      <c r="B343" s="1" t="n">
        <v>45267</v>
      </c>
      <c r="C343" s="1" t="n">
        <v>46162</v>
      </c>
      <c r="D343" t="inlineStr">
        <is>
          <t>UPPSALA LÄN</t>
        </is>
      </c>
      <c r="E343" t="inlineStr">
        <is>
          <t>ENKÖPING</t>
        </is>
      </c>
      <c r="G343" t="n">
        <v>1.4</v>
      </c>
      <c r="H343" t="n">
        <v>0</v>
      </c>
      <c r="I343" t="n">
        <v>0</v>
      </c>
      <c r="J343" t="n">
        <v>0</v>
      </c>
      <c r="K343" t="n">
        <v>0</v>
      </c>
      <c r="L343" t="n">
        <v>0</v>
      </c>
      <c r="M343" t="n">
        <v>0</v>
      </c>
      <c r="N343" t="n">
        <v>0</v>
      </c>
      <c r="O343" t="n">
        <v>0</v>
      </c>
      <c r="P343" t="n">
        <v>0</v>
      </c>
      <c r="Q343" t="n">
        <v>0</v>
      </c>
      <c r="R343" s="2" t="inlineStr"/>
    </row>
    <row r="344" ht="15" customHeight="1">
      <c r="A344" t="inlineStr">
        <is>
          <t>A 60874-2023</t>
        </is>
      </c>
      <c r="B344" s="1" t="n">
        <v>45261.06280092592</v>
      </c>
      <c r="C344" s="1" t="n">
        <v>46162</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9148-2026</t>
        </is>
      </c>
      <c r="B345" s="1" t="n">
        <v>46070.30946759259</v>
      </c>
      <c r="C345" s="1" t="n">
        <v>46162</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9467-2026</t>
        </is>
      </c>
      <c r="B346" s="1" t="n">
        <v>46071.50694444445</v>
      </c>
      <c r="C346" s="1" t="n">
        <v>46162</v>
      </c>
      <c r="D346" t="inlineStr">
        <is>
          <t>UPPSALA LÄN</t>
        </is>
      </c>
      <c r="E346" t="inlineStr">
        <is>
          <t>ENKÖPING</t>
        </is>
      </c>
      <c r="G346" t="n">
        <v>5.9</v>
      </c>
      <c r="H346" t="n">
        <v>0</v>
      </c>
      <c r="I346" t="n">
        <v>0</v>
      </c>
      <c r="J346" t="n">
        <v>0</v>
      </c>
      <c r="K346" t="n">
        <v>0</v>
      </c>
      <c r="L346" t="n">
        <v>0</v>
      </c>
      <c r="M346" t="n">
        <v>0</v>
      </c>
      <c r="N346" t="n">
        <v>0</v>
      </c>
      <c r="O346" t="n">
        <v>0</v>
      </c>
      <c r="P346" t="n">
        <v>0</v>
      </c>
      <c r="Q346" t="n">
        <v>0</v>
      </c>
      <c r="R346" s="2" t="inlineStr"/>
    </row>
    <row r="347" ht="15" customHeight="1">
      <c r="A347" t="inlineStr">
        <is>
          <t>A 9474-2026</t>
        </is>
      </c>
      <c r="B347" s="1" t="n">
        <v>46071.52324074074</v>
      </c>
      <c r="C347" s="1" t="n">
        <v>46162</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3550-2023</t>
        </is>
      </c>
      <c r="B348" s="1" t="n">
        <v>44950</v>
      </c>
      <c r="C348" s="1" t="n">
        <v>46162</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9469-2026</t>
        </is>
      </c>
      <c r="B349" s="1" t="n">
        <v>46071.51248842593</v>
      </c>
      <c r="C349" s="1" t="n">
        <v>46162</v>
      </c>
      <c r="D349" t="inlineStr">
        <is>
          <t>UPPSALA LÄN</t>
        </is>
      </c>
      <c r="E349" t="inlineStr">
        <is>
          <t>ENKÖPING</t>
        </is>
      </c>
      <c r="G349" t="n">
        <v>3</v>
      </c>
      <c r="H349" t="n">
        <v>0</v>
      </c>
      <c r="I349" t="n">
        <v>0</v>
      </c>
      <c r="J349" t="n">
        <v>0</v>
      </c>
      <c r="K349" t="n">
        <v>0</v>
      </c>
      <c r="L349" t="n">
        <v>0</v>
      </c>
      <c r="M349" t="n">
        <v>0</v>
      </c>
      <c r="N349" t="n">
        <v>0</v>
      </c>
      <c r="O349" t="n">
        <v>0</v>
      </c>
      <c r="P349" t="n">
        <v>0</v>
      </c>
      <c r="Q349" t="n">
        <v>0</v>
      </c>
      <c r="R349" s="2" t="inlineStr"/>
    </row>
    <row r="350" ht="15" customHeight="1">
      <c r="A350" t="inlineStr">
        <is>
          <t>A 26292-2022</t>
        </is>
      </c>
      <c r="B350" s="1" t="n">
        <v>44735</v>
      </c>
      <c r="C350" s="1" t="n">
        <v>46162</v>
      </c>
      <c r="D350" t="inlineStr">
        <is>
          <t>UPPSALA LÄN</t>
        </is>
      </c>
      <c r="E350" t="inlineStr">
        <is>
          <t>ENKÖPING</t>
        </is>
      </c>
      <c r="F350" t="inlineStr">
        <is>
          <t>Kyrkan</t>
        </is>
      </c>
      <c r="G350" t="n">
        <v>4.6</v>
      </c>
      <c r="H350" t="n">
        <v>0</v>
      </c>
      <c r="I350" t="n">
        <v>0</v>
      </c>
      <c r="J350" t="n">
        <v>0</v>
      </c>
      <c r="K350" t="n">
        <v>0</v>
      </c>
      <c r="L350" t="n">
        <v>0</v>
      </c>
      <c r="M350" t="n">
        <v>0</v>
      </c>
      <c r="N350" t="n">
        <v>0</v>
      </c>
      <c r="O350" t="n">
        <v>0</v>
      </c>
      <c r="P350" t="n">
        <v>0</v>
      </c>
      <c r="Q350" t="n">
        <v>0</v>
      </c>
      <c r="R350" s="2" t="inlineStr"/>
    </row>
    <row r="351" ht="15" customHeight="1">
      <c r="A351" t="inlineStr">
        <is>
          <t>A 61207-2023</t>
        </is>
      </c>
      <c r="B351" s="1" t="n">
        <v>45264.39444444444</v>
      </c>
      <c r="C351" s="1" t="n">
        <v>46162</v>
      </c>
      <c r="D351" t="inlineStr">
        <is>
          <t>UPPSALA LÄN</t>
        </is>
      </c>
      <c r="E351" t="inlineStr">
        <is>
          <t>ENKÖPING</t>
        </is>
      </c>
      <c r="G351" t="n">
        <v>10.8</v>
      </c>
      <c r="H351" t="n">
        <v>0</v>
      </c>
      <c r="I351" t="n">
        <v>0</v>
      </c>
      <c r="J351" t="n">
        <v>0</v>
      </c>
      <c r="K351" t="n">
        <v>0</v>
      </c>
      <c r="L351" t="n">
        <v>0</v>
      </c>
      <c r="M351" t="n">
        <v>0</v>
      </c>
      <c r="N351" t="n">
        <v>0</v>
      </c>
      <c r="O351" t="n">
        <v>0</v>
      </c>
      <c r="P351" t="n">
        <v>0</v>
      </c>
      <c r="Q351" t="n">
        <v>0</v>
      </c>
      <c r="R351" s="2" t="inlineStr"/>
    </row>
    <row r="352" ht="15" customHeight="1">
      <c r="A352" t="inlineStr">
        <is>
          <t>A 60125-2024</t>
        </is>
      </c>
      <c r="B352" s="1" t="n">
        <v>45642</v>
      </c>
      <c r="C352" s="1" t="n">
        <v>46162</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840-2025</t>
        </is>
      </c>
      <c r="B353" s="1" t="n">
        <v>45665</v>
      </c>
      <c r="C353" s="1" t="n">
        <v>46162</v>
      </c>
      <c r="D353" t="inlineStr">
        <is>
          <t>UPPSALA LÄN</t>
        </is>
      </c>
      <c r="E353" t="inlineStr">
        <is>
          <t>ENKÖPING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17418-2026</t>
        </is>
      </c>
      <c r="B354" s="1" t="n">
        <v>46120.3591087963</v>
      </c>
      <c r="C354" s="1" t="n">
        <v>46162</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17419-2026</t>
        </is>
      </c>
      <c r="B355" s="1" t="n">
        <v>46120.36064814815</v>
      </c>
      <c r="C355" s="1" t="n">
        <v>46162</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10458-2022</t>
        </is>
      </c>
      <c r="B356" s="1" t="n">
        <v>44623.56711805556</v>
      </c>
      <c r="C356" s="1" t="n">
        <v>46162</v>
      </c>
      <c r="D356" t="inlineStr">
        <is>
          <t>UPPSALA LÄN</t>
        </is>
      </c>
      <c r="E356" t="inlineStr">
        <is>
          <t>ENKÖPING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45142-2023</t>
        </is>
      </c>
      <c r="B357" s="1" t="n">
        <v>45191.4702662037</v>
      </c>
      <c r="C357" s="1" t="n">
        <v>46162</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57998-2024</t>
        </is>
      </c>
      <c r="B358" s="1" t="n">
        <v>45631</v>
      </c>
      <c r="C358" s="1" t="n">
        <v>46162</v>
      </c>
      <c r="D358" t="inlineStr">
        <is>
          <t>UPPSALA LÄN</t>
        </is>
      </c>
      <c r="E358" t="inlineStr">
        <is>
          <t>ENKÖPING</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14332-2024</t>
        </is>
      </c>
      <c r="B359" s="1" t="n">
        <v>45393</v>
      </c>
      <c r="C359" s="1" t="n">
        <v>46162</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18831-2023</t>
        </is>
      </c>
      <c r="B360" s="1" t="n">
        <v>45044.40798611111</v>
      </c>
      <c r="C360" s="1" t="n">
        <v>46162</v>
      </c>
      <c r="D360" t="inlineStr">
        <is>
          <t>UPPSALA LÄN</t>
        </is>
      </c>
      <c r="E360" t="inlineStr">
        <is>
          <t>ENKÖPING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33581-2023</t>
        </is>
      </c>
      <c r="B361" s="1" t="n">
        <v>45131</v>
      </c>
      <c r="C361" s="1" t="n">
        <v>46162</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37115-2024</t>
        </is>
      </c>
      <c r="B362" s="1" t="n">
        <v>45539</v>
      </c>
      <c r="C362" s="1" t="n">
        <v>46162</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18565-2026</t>
        </is>
      </c>
      <c r="B363" s="1" t="n">
        <v>46127.5871412037</v>
      </c>
      <c r="C363" s="1" t="n">
        <v>46162</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1960-2022</t>
        </is>
      </c>
      <c r="B364" s="1" t="n">
        <v>44575</v>
      </c>
      <c r="C364" s="1" t="n">
        <v>46162</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18562-2026</t>
        </is>
      </c>
      <c r="B365" s="1" t="n">
        <v>46127</v>
      </c>
      <c r="C365" s="1" t="n">
        <v>46162</v>
      </c>
      <c r="D365" t="inlineStr">
        <is>
          <t>UPPSALA LÄN</t>
        </is>
      </c>
      <c r="E365" t="inlineStr">
        <is>
          <t>ENKÖPING</t>
        </is>
      </c>
      <c r="G365" t="n">
        <v>4</v>
      </c>
      <c r="H365" t="n">
        <v>0</v>
      </c>
      <c r="I365" t="n">
        <v>0</v>
      </c>
      <c r="J365" t="n">
        <v>0</v>
      </c>
      <c r="K365" t="n">
        <v>0</v>
      </c>
      <c r="L365" t="n">
        <v>0</v>
      </c>
      <c r="M365" t="n">
        <v>0</v>
      </c>
      <c r="N365" t="n">
        <v>0</v>
      </c>
      <c r="O365" t="n">
        <v>0</v>
      </c>
      <c r="P365" t="n">
        <v>0</v>
      </c>
      <c r="Q365" t="n">
        <v>0</v>
      </c>
      <c r="R365" s="2" t="inlineStr"/>
    </row>
    <row r="366" ht="15" customHeight="1">
      <c r="A366" t="inlineStr">
        <is>
          <t>A 18028-2023</t>
        </is>
      </c>
      <c r="B366" s="1" t="n">
        <v>45040</v>
      </c>
      <c r="C366" s="1" t="n">
        <v>46162</v>
      </c>
      <c r="D366" t="inlineStr">
        <is>
          <t>UPPSALA LÄN</t>
        </is>
      </c>
      <c r="E366" t="inlineStr">
        <is>
          <t>ENKÖPING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18643-2026</t>
        </is>
      </c>
      <c r="B367" s="1" t="n">
        <v>46128.33024305556</v>
      </c>
      <c r="C367" s="1" t="n">
        <v>46162</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18806-2026</t>
        </is>
      </c>
      <c r="B368" s="1" t="n">
        <v>46128.63238425926</v>
      </c>
      <c r="C368" s="1" t="n">
        <v>46162</v>
      </c>
      <c r="D368" t="inlineStr">
        <is>
          <t>UPPSALA LÄN</t>
        </is>
      </c>
      <c r="E368" t="inlineStr">
        <is>
          <t>ENKÖPING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18644-2026</t>
        </is>
      </c>
      <c r="B369" s="1" t="n">
        <v>46128.33157407407</v>
      </c>
      <c r="C369" s="1" t="n">
        <v>46162</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49568-2022</t>
        </is>
      </c>
      <c r="B370" s="1" t="n">
        <v>44862.32791666667</v>
      </c>
      <c r="C370" s="1" t="n">
        <v>46162</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42459-2024</t>
        </is>
      </c>
      <c r="B371" s="1" t="n">
        <v>45565</v>
      </c>
      <c r="C371" s="1" t="n">
        <v>46162</v>
      </c>
      <c r="D371" t="inlineStr">
        <is>
          <t>UPPSALA LÄN</t>
        </is>
      </c>
      <c r="E371" t="inlineStr">
        <is>
          <t>ENKÖPING</t>
        </is>
      </c>
      <c r="G371" t="n">
        <v>3.6</v>
      </c>
      <c r="H371" t="n">
        <v>0</v>
      </c>
      <c r="I371" t="n">
        <v>0</v>
      </c>
      <c r="J371" t="n">
        <v>0</v>
      </c>
      <c r="K371" t="n">
        <v>0</v>
      </c>
      <c r="L371" t="n">
        <v>0</v>
      </c>
      <c r="M371" t="n">
        <v>0</v>
      </c>
      <c r="N371" t="n">
        <v>0</v>
      </c>
      <c r="O371" t="n">
        <v>0</v>
      </c>
      <c r="P371" t="n">
        <v>0</v>
      </c>
      <c r="Q371" t="n">
        <v>0</v>
      </c>
      <c r="R371" s="2" t="inlineStr"/>
    </row>
    <row r="372" ht="15" customHeight="1">
      <c r="A372" t="inlineStr">
        <is>
          <t>A 48864-2022</t>
        </is>
      </c>
      <c r="B372" s="1" t="n">
        <v>44859</v>
      </c>
      <c r="C372" s="1" t="n">
        <v>46162</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31622-2022</t>
        </is>
      </c>
      <c r="B373" s="1" t="n">
        <v>44775</v>
      </c>
      <c r="C373" s="1" t="n">
        <v>46162</v>
      </c>
      <c r="D373" t="inlineStr">
        <is>
          <t>UPPSALA LÄN</t>
        </is>
      </c>
      <c r="E373" t="inlineStr">
        <is>
          <t>ENKÖPING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12411-2026</t>
        </is>
      </c>
      <c r="B374" s="1" t="n">
        <v>46090.42670138889</v>
      </c>
      <c r="C374" s="1" t="n">
        <v>46162</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6356-2022</t>
        </is>
      </c>
      <c r="B375" s="1" t="n">
        <v>44600</v>
      </c>
      <c r="C375" s="1" t="n">
        <v>46162</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57147-2021</t>
        </is>
      </c>
      <c r="B376" s="1" t="n">
        <v>44482</v>
      </c>
      <c r="C376" s="1" t="n">
        <v>46162</v>
      </c>
      <c r="D376" t="inlineStr">
        <is>
          <t>UPPSALA LÄN</t>
        </is>
      </c>
      <c r="E376" t="inlineStr">
        <is>
          <t>ENKÖPING</t>
        </is>
      </c>
      <c r="G376" t="n">
        <v>5.7</v>
      </c>
      <c r="H376" t="n">
        <v>0</v>
      </c>
      <c r="I376" t="n">
        <v>0</v>
      </c>
      <c r="J376" t="n">
        <v>0</v>
      </c>
      <c r="K376" t="n">
        <v>0</v>
      </c>
      <c r="L376" t="n">
        <v>0</v>
      </c>
      <c r="M376" t="n">
        <v>0</v>
      </c>
      <c r="N376" t="n">
        <v>0</v>
      </c>
      <c r="O376" t="n">
        <v>0</v>
      </c>
      <c r="P376" t="n">
        <v>0</v>
      </c>
      <c r="Q376" t="n">
        <v>0</v>
      </c>
      <c r="R376" s="2" t="inlineStr"/>
    </row>
    <row r="377" ht="15" customHeight="1">
      <c r="A377" t="inlineStr">
        <is>
          <t>A 7167-2026</t>
        </is>
      </c>
      <c r="B377" s="1" t="n">
        <v>46058.45677083333</v>
      </c>
      <c r="C377" s="1" t="n">
        <v>46162</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7168-2026</t>
        </is>
      </c>
      <c r="B378" s="1" t="n">
        <v>46058.45831018518</v>
      </c>
      <c r="C378" s="1" t="n">
        <v>46162</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7172-2026</t>
        </is>
      </c>
      <c r="B379" s="1" t="n">
        <v>46058.46113425926</v>
      </c>
      <c r="C379" s="1" t="n">
        <v>46162</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47909-2024</t>
        </is>
      </c>
      <c r="B380" s="1" t="n">
        <v>45589.31866898148</v>
      </c>
      <c r="C380" s="1" t="n">
        <v>46162</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52005-2024</t>
        </is>
      </c>
      <c r="B381" s="1" t="n">
        <v>45607.7627662037</v>
      </c>
      <c r="C381" s="1" t="n">
        <v>46162</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12997-2026</t>
        </is>
      </c>
      <c r="B382" s="1" t="n">
        <v>46092.6834375</v>
      </c>
      <c r="C382" s="1" t="n">
        <v>46162</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5953-2026</t>
        </is>
      </c>
      <c r="B383" s="1" t="n">
        <v>46052.49119212963</v>
      </c>
      <c r="C383" s="1" t="n">
        <v>46162</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12996-2026</t>
        </is>
      </c>
      <c r="B384" s="1" t="n">
        <v>46092.68149305556</v>
      </c>
      <c r="C384" s="1" t="n">
        <v>46162</v>
      </c>
      <c r="D384" t="inlineStr">
        <is>
          <t>UPPSALA LÄN</t>
        </is>
      </c>
      <c r="E384" t="inlineStr">
        <is>
          <t>ENKÖPING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53586-2024</t>
        </is>
      </c>
      <c r="B385" s="1" t="n">
        <v>45614</v>
      </c>
      <c r="C385" s="1" t="n">
        <v>46162</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13590-2026</t>
        </is>
      </c>
      <c r="B386" s="1" t="n">
        <v>46096</v>
      </c>
      <c r="C386" s="1" t="n">
        <v>46162</v>
      </c>
      <c r="D386" t="inlineStr">
        <is>
          <t>UPPSALA LÄN</t>
        </is>
      </c>
      <c r="E386" t="inlineStr">
        <is>
          <t>ENKÖPING</t>
        </is>
      </c>
      <c r="G386" t="n">
        <v>2.3</v>
      </c>
      <c r="H386" t="n">
        <v>0</v>
      </c>
      <c r="I386" t="n">
        <v>0</v>
      </c>
      <c r="J386" t="n">
        <v>0</v>
      </c>
      <c r="K386" t="n">
        <v>0</v>
      </c>
      <c r="L386" t="n">
        <v>0</v>
      </c>
      <c r="M386" t="n">
        <v>0</v>
      </c>
      <c r="N386" t="n">
        <v>0</v>
      </c>
      <c r="O386" t="n">
        <v>0</v>
      </c>
      <c r="P386" t="n">
        <v>0</v>
      </c>
      <c r="Q386" t="n">
        <v>0</v>
      </c>
      <c r="R386" s="2" t="inlineStr"/>
    </row>
    <row r="387" ht="15" customHeight="1">
      <c r="A387" t="inlineStr">
        <is>
          <t>A 51034-2024</t>
        </is>
      </c>
      <c r="B387" s="1" t="n">
        <v>45603.4262037037</v>
      </c>
      <c r="C387" s="1" t="n">
        <v>46162</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51036-2024</t>
        </is>
      </c>
      <c r="B388" s="1" t="n">
        <v>45603.42839120371</v>
      </c>
      <c r="C388" s="1" t="n">
        <v>46162</v>
      </c>
      <c r="D388" t="inlineStr">
        <is>
          <t>UPPSALA LÄN</t>
        </is>
      </c>
      <c r="E388" t="inlineStr">
        <is>
          <t>ENKÖPING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27837-2025</t>
        </is>
      </c>
      <c r="B389" s="1" t="n">
        <v>45817.37207175926</v>
      </c>
      <c r="C389" s="1" t="n">
        <v>46162</v>
      </c>
      <c r="D389" t="inlineStr">
        <is>
          <t>UPPSALA LÄN</t>
        </is>
      </c>
      <c r="E389" t="inlineStr">
        <is>
          <t>ENKÖPING</t>
        </is>
      </c>
      <c r="G389" t="n">
        <v>7.3</v>
      </c>
      <c r="H389" t="n">
        <v>0</v>
      </c>
      <c r="I389" t="n">
        <v>0</v>
      </c>
      <c r="J389" t="n">
        <v>0</v>
      </c>
      <c r="K389" t="n">
        <v>0</v>
      </c>
      <c r="L389" t="n">
        <v>0</v>
      </c>
      <c r="M389" t="n">
        <v>0</v>
      </c>
      <c r="N389" t="n">
        <v>0</v>
      </c>
      <c r="O389" t="n">
        <v>0</v>
      </c>
      <c r="P389" t="n">
        <v>0</v>
      </c>
      <c r="Q389" t="n">
        <v>0</v>
      </c>
      <c r="R389" s="2" t="inlineStr"/>
    </row>
    <row r="390" ht="15" customHeight="1">
      <c r="A390" t="inlineStr">
        <is>
          <t>A 43492-2023</t>
        </is>
      </c>
      <c r="B390" s="1" t="n">
        <v>45181</v>
      </c>
      <c r="C390" s="1" t="n">
        <v>46162</v>
      </c>
      <c r="D390" t="inlineStr">
        <is>
          <t>UPPSALA LÄN</t>
        </is>
      </c>
      <c r="E390" t="inlineStr">
        <is>
          <t>ENKÖPING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14178-2026</t>
        </is>
      </c>
      <c r="B391" s="1" t="n">
        <v>46099.49608796297</v>
      </c>
      <c r="C391" s="1" t="n">
        <v>46162</v>
      </c>
      <c r="D391" t="inlineStr">
        <is>
          <t>UPPSALA LÄN</t>
        </is>
      </c>
      <c r="E391" t="inlineStr">
        <is>
          <t>ENKÖPING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1536-2024</t>
        </is>
      </c>
      <c r="B392" s="1" t="n">
        <v>45306</v>
      </c>
      <c r="C392" s="1" t="n">
        <v>46162</v>
      </c>
      <c r="D392" t="inlineStr">
        <is>
          <t>UPPSALA LÄN</t>
        </is>
      </c>
      <c r="E392" t="inlineStr">
        <is>
          <t>ENKÖPING</t>
        </is>
      </c>
      <c r="F392" t="inlineStr">
        <is>
          <t>Kyrkan</t>
        </is>
      </c>
      <c r="G392" t="n">
        <v>5.6</v>
      </c>
      <c r="H392" t="n">
        <v>0</v>
      </c>
      <c r="I392" t="n">
        <v>0</v>
      </c>
      <c r="J392" t="n">
        <v>0</v>
      </c>
      <c r="K392" t="n">
        <v>0</v>
      </c>
      <c r="L392" t="n">
        <v>0</v>
      </c>
      <c r="M392" t="n">
        <v>0</v>
      </c>
      <c r="N392" t="n">
        <v>0</v>
      </c>
      <c r="O392" t="n">
        <v>0</v>
      </c>
      <c r="P392" t="n">
        <v>0</v>
      </c>
      <c r="Q392" t="n">
        <v>0</v>
      </c>
      <c r="R392" s="2" t="inlineStr"/>
    </row>
    <row r="393" ht="15" customHeight="1">
      <c r="A393" t="inlineStr">
        <is>
          <t>A 2974-2025</t>
        </is>
      </c>
      <c r="B393" s="1" t="n">
        <v>45678.47168981482</v>
      </c>
      <c r="C393" s="1" t="n">
        <v>46162</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14260-2026</t>
        </is>
      </c>
      <c r="B394" s="1" t="n">
        <v>46099.63395833333</v>
      </c>
      <c r="C394" s="1" t="n">
        <v>46162</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16916-2023</t>
        </is>
      </c>
      <c r="B395" s="1" t="n">
        <v>45033.58347222222</v>
      </c>
      <c r="C395" s="1" t="n">
        <v>46162</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14298-2026</t>
        </is>
      </c>
      <c r="B396" s="1" t="n">
        <v>46099</v>
      </c>
      <c r="C396" s="1" t="n">
        <v>46162</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14182-2026</t>
        </is>
      </c>
      <c r="B397" s="1" t="n">
        <v>46099.49839120371</v>
      </c>
      <c r="C397" s="1" t="n">
        <v>46162</v>
      </c>
      <c r="D397" t="inlineStr">
        <is>
          <t>UPPSALA LÄN</t>
        </is>
      </c>
      <c r="E397" t="inlineStr">
        <is>
          <t>ENKÖPING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14229-2026</t>
        </is>
      </c>
      <c r="B398" s="1" t="n">
        <v>46099</v>
      </c>
      <c r="C398" s="1" t="n">
        <v>46162</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16920-2023</t>
        </is>
      </c>
      <c r="B399" s="1" t="n">
        <v>45033.59030092593</v>
      </c>
      <c r="C399" s="1" t="n">
        <v>46162</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14296-2026</t>
        </is>
      </c>
      <c r="B400" s="1" t="n">
        <v>46099.7181712963</v>
      </c>
      <c r="C400" s="1" t="n">
        <v>46162</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52388-2024</t>
        </is>
      </c>
      <c r="B401" s="1" t="n">
        <v>45609.42939814815</v>
      </c>
      <c r="C401" s="1" t="n">
        <v>46162</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1992-2022</t>
        </is>
      </c>
      <c r="B402" s="1" t="n">
        <v>44575.56153935185</v>
      </c>
      <c r="C402" s="1" t="n">
        <v>46162</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6626-2023</t>
        </is>
      </c>
      <c r="B403" s="1" t="n">
        <v>44966.55946759259</v>
      </c>
      <c r="C403" s="1" t="n">
        <v>46162</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48843-2023</t>
        </is>
      </c>
      <c r="B404" s="1" t="n">
        <v>45209</v>
      </c>
      <c r="C404" s="1" t="n">
        <v>46162</v>
      </c>
      <c r="D404" t="inlineStr">
        <is>
          <t>UPPSALA LÄN</t>
        </is>
      </c>
      <c r="E404" t="inlineStr">
        <is>
          <t>ENKÖPING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57940-2022</t>
        </is>
      </c>
      <c r="B405" s="1" t="n">
        <v>44900</v>
      </c>
      <c r="C405" s="1" t="n">
        <v>46162</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15003-2026</t>
        </is>
      </c>
      <c r="B406" s="1" t="n">
        <v>46104.60931712963</v>
      </c>
      <c r="C406" s="1" t="n">
        <v>46162</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35079-2024</t>
        </is>
      </c>
      <c r="B407" s="1" t="n">
        <v>45527.66770833333</v>
      </c>
      <c r="C407" s="1" t="n">
        <v>46162</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53595-2023</t>
        </is>
      </c>
      <c r="B408" s="1" t="n">
        <v>45223</v>
      </c>
      <c r="C408" s="1" t="n">
        <v>46162</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60533-2021</t>
        </is>
      </c>
      <c r="B409" s="1" t="n">
        <v>44496</v>
      </c>
      <c r="C409" s="1" t="n">
        <v>46162</v>
      </c>
      <c r="D409" t="inlineStr">
        <is>
          <t>UPPSALA LÄN</t>
        </is>
      </c>
      <c r="E409" t="inlineStr">
        <is>
          <t>ENKÖPING</t>
        </is>
      </c>
      <c r="G409" t="n">
        <v>2.2</v>
      </c>
      <c r="H409" t="n">
        <v>0</v>
      </c>
      <c r="I409" t="n">
        <v>0</v>
      </c>
      <c r="J409" t="n">
        <v>0</v>
      </c>
      <c r="K409" t="n">
        <v>0</v>
      </c>
      <c r="L409" t="n">
        <v>0</v>
      </c>
      <c r="M409" t="n">
        <v>0</v>
      </c>
      <c r="N409" t="n">
        <v>0</v>
      </c>
      <c r="O409" t="n">
        <v>0</v>
      </c>
      <c r="P409" t="n">
        <v>0</v>
      </c>
      <c r="Q409" t="n">
        <v>0</v>
      </c>
      <c r="R409" s="2" t="inlineStr"/>
    </row>
    <row r="410" ht="15" customHeight="1">
      <c r="A410" t="inlineStr">
        <is>
          <t>A 15757-2023</t>
        </is>
      </c>
      <c r="B410" s="1" t="n">
        <v>45021</v>
      </c>
      <c r="C410" s="1" t="n">
        <v>46162</v>
      </c>
      <c r="D410" t="inlineStr">
        <is>
          <t>UPPSALA LÄN</t>
        </is>
      </c>
      <c r="E410" t="inlineStr">
        <is>
          <t>ENKÖPING</t>
        </is>
      </c>
      <c r="G410" t="n">
        <v>3</v>
      </c>
      <c r="H410" t="n">
        <v>0</v>
      </c>
      <c r="I410" t="n">
        <v>0</v>
      </c>
      <c r="J410" t="n">
        <v>0</v>
      </c>
      <c r="K410" t="n">
        <v>0</v>
      </c>
      <c r="L410" t="n">
        <v>0</v>
      </c>
      <c r="M410" t="n">
        <v>0</v>
      </c>
      <c r="N410" t="n">
        <v>0</v>
      </c>
      <c r="O410" t="n">
        <v>0</v>
      </c>
      <c r="P410" t="n">
        <v>0</v>
      </c>
      <c r="Q410" t="n">
        <v>0</v>
      </c>
      <c r="R410" s="2" t="inlineStr"/>
    </row>
    <row r="411" ht="15" customHeight="1">
      <c r="A411" t="inlineStr">
        <is>
          <t>A 43230-2023</t>
        </is>
      </c>
      <c r="B411" s="1" t="n">
        <v>45183</v>
      </c>
      <c r="C411" s="1" t="n">
        <v>46162</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56886-2023</t>
        </is>
      </c>
      <c r="B412" s="1" t="n">
        <v>45239</v>
      </c>
      <c r="C412" s="1" t="n">
        <v>46162</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51011-2024</t>
        </is>
      </c>
      <c r="B413" s="1" t="n">
        <v>45603.39427083333</v>
      </c>
      <c r="C413" s="1" t="n">
        <v>46162</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7175-2026</t>
        </is>
      </c>
      <c r="B414" s="1" t="n">
        <v>46058.46399305556</v>
      </c>
      <c r="C414" s="1" t="n">
        <v>46162</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12102-2024</t>
        </is>
      </c>
      <c r="B415" s="1" t="n">
        <v>45377</v>
      </c>
      <c r="C415" s="1" t="n">
        <v>46162</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15547-2026</t>
        </is>
      </c>
      <c r="B416" s="1" t="n">
        <v>46106.52613425926</v>
      </c>
      <c r="C416" s="1" t="n">
        <v>46162</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25990-2025</t>
        </is>
      </c>
      <c r="B417" s="1" t="n">
        <v>45804.65229166667</v>
      </c>
      <c r="C417" s="1" t="n">
        <v>46162</v>
      </c>
      <c r="D417" t="inlineStr">
        <is>
          <t>UPPSALA LÄN</t>
        </is>
      </c>
      <c r="E417" t="inlineStr">
        <is>
          <t>ENKÖPING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58961-2024</t>
        </is>
      </c>
      <c r="B418" s="1" t="n">
        <v>45636.585</v>
      </c>
      <c r="C418" s="1" t="n">
        <v>46162</v>
      </c>
      <c r="D418" t="inlineStr">
        <is>
          <t>UPPSALA LÄN</t>
        </is>
      </c>
      <c r="E418" t="inlineStr">
        <is>
          <t>ENKÖPING</t>
        </is>
      </c>
      <c r="G418" t="n">
        <v>4</v>
      </c>
      <c r="H418" t="n">
        <v>0</v>
      </c>
      <c r="I418" t="n">
        <v>0</v>
      </c>
      <c r="J418" t="n">
        <v>0</v>
      </c>
      <c r="K418" t="n">
        <v>0</v>
      </c>
      <c r="L418" t="n">
        <v>0</v>
      </c>
      <c r="M418" t="n">
        <v>0</v>
      </c>
      <c r="N418" t="n">
        <v>0</v>
      </c>
      <c r="O418" t="n">
        <v>0</v>
      </c>
      <c r="P418" t="n">
        <v>0</v>
      </c>
      <c r="Q418" t="n">
        <v>0</v>
      </c>
      <c r="R418" s="2" t="inlineStr"/>
    </row>
    <row r="419" ht="15" customHeight="1">
      <c r="A419" t="inlineStr">
        <is>
          <t>A 21862-2026</t>
        </is>
      </c>
      <c r="B419" s="1" t="n">
        <v>46150.55599537037</v>
      </c>
      <c r="C419" s="1" t="n">
        <v>46162</v>
      </c>
      <c r="D419" t="inlineStr">
        <is>
          <t>UPPSALA LÄN</t>
        </is>
      </c>
      <c r="E419" t="inlineStr">
        <is>
          <t>ENKÖPING</t>
        </is>
      </c>
      <c r="G419" t="n">
        <v>4.1</v>
      </c>
      <c r="H419" t="n">
        <v>0</v>
      </c>
      <c r="I419" t="n">
        <v>0</v>
      </c>
      <c r="J419" t="n">
        <v>0</v>
      </c>
      <c r="K419" t="n">
        <v>0</v>
      </c>
      <c r="L419" t="n">
        <v>0</v>
      </c>
      <c r="M419" t="n">
        <v>0</v>
      </c>
      <c r="N419" t="n">
        <v>0</v>
      </c>
      <c r="O419" t="n">
        <v>0</v>
      </c>
      <c r="P419" t="n">
        <v>0</v>
      </c>
      <c r="Q419" t="n">
        <v>0</v>
      </c>
      <c r="R419" s="2" t="inlineStr"/>
    </row>
    <row r="420" ht="15" customHeight="1">
      <c r="A420" t="inlineStr">
        <is>
          <t>A 45283-2022</t>
        </is>
      </c>
      <c r="B420" s="1" t="n">
        <v>44844</v>
      </c>
      <c r="C420" s="1" t="n">
        <v>46162</v>
      </c>
      <c r="D420" t="inlineStr">
        <is>
          <t>UPPSALA LÄN</t>
        </is>
      </c>
      <c r="E420" t="inlineStr">
        <is>
          <t>ENKÖPING</t>
        </is>
      </c>
      <c r="G420" t="n">
        <v>5.9</v>
      </c>
      <c r="H420" t="n">
        <v>0</v>
      </c>
      <c r="I420" t="n">
        <v>0</v>
      </c>
      <c r="J420" t="n">
        <v>0</v>
      </c>
      <c r="K420" t="n">
        <v>0</v>
      </c>
      <c r="L420" t="n">
        <v>0</v>
      </c>
      <c r="M420" t="n">
        <v>0</v>
      </c>
      <c r="N420" t="n">
        <v>0</v>
      </c>
      <c r="O420" t="n">
        <v>0</v>
      </c>
      <c r="P420" t="n">
        <v>0</v>
      </c>
      <c r="Q420" t="n">
        <v>0</v>
      </c>
      <c r="R420" s="2" t="inlineStr"/>
    </row>
    <row r="421" ht="15" customHeight="1">
      <c r="A421" t="inlineStr">
        <is>
          <t>A 845-2025</t>
        </is>
      </c>
      <c r="B421" s="1" t="n">
        <v>45665</v>
      </c>
      <c r="C421" s="1" t="n">
        <v>46162</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849-2025</t>
        </is>
      </c>
      <c r="B422" s="1" t="n">
        <v>45665</v>
      </c>
      <c r="C422" s="1" t="n">
        <v>46162</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6049-2026</t>
        </is>
      </c>
      <c r="B423" s="1" t="n">
        <v>46052.63005787037</v>
      </c>
      <c r="C423" s="1" t="n">
        <v>46162</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6041-2026</t>
        </is>
      </c>
      <c r="B424" s="1" t="n">
        <v>46052.62184027778</v>
      </c>
      <c r="C424" s="1" t="n">
        <v>46162</v>
      </c>
      <c r="D424" t="inlineStr">
        <is>
          <t>UPPSALA LÄN</t>
        </is>
      </c>
      <c r="E424" t="inlineStr">
        <is>
          <t>ENKÖPING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6044-2026</t>
        </is>
      </c>
      <c r="B425" s="1" t="n">
        <v>46052.62506944445</v>
      </c>
      <c r="C425" s="1" t="n">
        <v>46162</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9257-2026</t>
        </is>
      </c>
      <c r="B426" s="1" t="n">
        <v>46070.51166666667</v>
      </c>
      <c r="C426" s="1" t="n">
        <v>46162</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58147-2024</t>
        </is>
      </c>
      <c r="B427" s="1" t="n">
        <v>45632.4334375</v>
      </c>
      <c r="C427" s="1" t="n">
        <v>46162</v>
      </c>
      <c r="D427" t="inlineStr">
        <is>
          <t>UPPSALA LÄN</t>
        </is>
      </c>
      <c r="E427" t="inlineStr">
        <is>
          <t>ENKÖPING</t>
        </is>
      </c>
      <c r="G427" t="n">
        <v>3</v>
      </c>
      <c r="H427" t="n">
        <v>0</v>
      </c>
      <c r="I427" t="n">
        <v>0</v>
      </c>
      <c r="J427" t="n">
        <v>0</v>
      </c>
      <c r="K427" t="n">
        <v>0</v>
      </c>
      <c r="L427" t="n">
        <v>0</v>
      </c>
      <c r="M427" t="n">
        <v>0</v>
      </c>
      <c r="N427" t="n">
        <v>0</v>
      </c>
      <c r="O427" t="n">
        <v>0</v>
      </c>
      <c r="P427" t="n">
        <v>0</v>
      </c>
      <c r="Q427" t="n">
        <v>0</v>
      </c>
      <c r="R427" s="2" t="inlineStr"/>
    </row>
    <row r="428" ht="15" customHeight="1">
      <c r="A428" t="inlineStr">
        <is>
          <t>A 18302-2025</t>
        </is>
      </c>
      <c r="B428" s="1" t="n">
        <v>45762</v>
      </c>
      <c r="C428" s="1" t="n">
        <v>46162</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34735-2023</t>
        </is>
      </c>
      <c r="B429" s="1" t="n">
        <v>45139</v>
      </c>
      <c r="C429" s="1" t="n">
        <v>46162</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30514-2021</t>
        </is>
      </c>
      <c r="B430" s="1" t="n">
        <v>44364</v>
      </c>
      <c r="C430" s="1" t="n">
        <v>46162</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57209-2024</t>
        </is>
      </c>
      <c r="B431" s="1" t="n">
        <v>45629.49311342592</v>
      </c>
      <c r="C431" s="1" t="n">
        <v>46162</v>
      </c>
      <c r="D431" t="inlineStr">
        <is>
          <t>UPPSALA LÄN</t>
        </is>
      </c>
      <c r="E431" t="inlineStr">
        <is>
          <t>ENKÖPING</t>
        </is>
      </c>
      <c r="G431" t="n">
        <v>3.2</v>
      </c>
      <c r="H431" t="n">
        <v>0</v>
      </c>
      <c r="I431" t="n">
        <v>0</v>
      </c>
      <c r="J431" t="n">
        <v>0</v>
      </c>
      <c r="K431" t="n">
        <v>0</v>
      </c>
      <c r="L431" t="n">
        <v>0</v>
      </c>
      <c r="M431" t="n">
        <v>0</v>
      </c>
      <c r="N431" t="n">
        <v>0</v>
      </c>
      <c r="O431" t="n">
        <v>0</v>
      </c>
      <c r="P431" t="n">
        <v>0</v>
      </c>
      <c r="Q431" t="n">
        <v>0</v>
      </c>
      <c r="R431" s="2" t="inlineStr"/>
    </row>
    <row r="432" ht="15" customHeight="1">
      <c r="A432" t="inlineStr">
        <is>
          <t>A 13110-2023</t>
        </is>
      </c>
      <c r="B432" s="1" t="n">
        <v>45001</v>
      </c>
      <c r="C432" s="1" t="n">
        <v>46162</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49627-2024</t>
        </is>
      </c>
      <c r="B433" s="1" t="n">
        <v>45596.59140046296</v>
      </c>
      <c r="C433" s="1" t="n">
        <v>46162</v>
      </c>
      <c r="D433" t="inlineStr">
        <is>
          <t>UPPSALA LÄN</t>
        </is>
      </c>
      <c r="E433" t="inlineStr">
        <is>
          <t>ENKÖPING</t>
        </is>
      </c>
      <c r="G433" t="n">
        <v>0.4</v>
      </c>
      <c r="H433" t="n">
        <v>0</v>
      </c>
      <c r="I433" t="n">
        <v>0</v>
      </c>
      <c r="J433" t="n">
        <v>0</v>
      </c>
      <c r="K433" t="n">
        <v>0</v>
      </c>
      <c r="L433" t="n">
        <v>0</v>
      </c>
      <c r="M433" t="n">
        <v>0</v>
      </c>
      <c r="N433" t="n">
        <v>0</v>
      </c>
      <c r="O433" t="n">
        <v>0</v>
      </c>
      <c r="P433" t="n">
        <v>0</v>
      </c>
      <c r="Q433" t="n">
        <v>0</v>
      </c>
      <c r="R433" s="2" t="inlineStr"/>
    </row>
    <row r="434" ht="15" customHeight="1">
      <c r="A434" t="inlineStr">
        <is>
          <t>A 9231-2023</t>
        </is>
      </c>
      <c r="B434" s="1" t="n">
        <v>44980</v>
      </c>
      <c r="C434" s="1" t="n">
        <v>46162</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27538-2023</t>
        </is>
      </c>
      <c r="B435" s="1" t="n">
        <v>45097</v>
      </c>
      <c r="C435" s="1" t="n">
        <v>46162</v>
      </c>
      <c r="D435" t="inlineStr">
        <is>
          <t>UPPSALA LÄN</t>
        </is>
      </c>
      <c r="E435" t="inlineStr">
        <is>
          <t>ENKÖPING</t>
        </is>
      </c>
      <c r="G435" t="n">
        <v>5.8</v>
      </c>
      <c r="H435" t="n">
        <v>0</v>
      </c>
      <c r="I435" t="n">
        <v>0</v>
      </c>
      <c r="J435" t="n">
        <v>0</v>
      </c>
      <c r="K435" t="n">
        <v>0</v>
      </c>
      <c r="L435" t="n">
        <v>0</v>
      </c>
      <c r="M435" t="n">
        <v>0</v>
      </c>
      <c r="N435" t="n">
        <v>0</v>
      </c>
      <c r="O435" t="n">
        <v>0</v>
      </c>
      <c r="P435" t="n">
        <v>0</v>
      </c>
      <c r="Q435" t="n">
        <v>0</v>
      </c>
      <c r="R435" s="2" t="inlineStr"/>
    </row>
    <row r="436" ht="15" customHeight="1">
      <c r="A436" t="inlineStr">
        <is>
          <t>A 18821-2023</t>
        </is>
      </c>
      <c r="B436" s="1" t="n">
        <v>45044.3782175926</v>
      </c>
      <c r="C436" s="1" t="n">
        <v>46162</v>
      </c>
      <c r="D436" t="inlineStr">
        <is>
          <t>UPPSALA LÄN</t>
        </is>
      </c>
      <c r="E436" t="inlineStr">
        <is>
          <t>ENKÖPING</t>
        </is>
      </c>
      <c r="G436" t="n">
        <v>6</v>
      </c>
      <c r="H436" t="n">
        <v>0</v>
      </c>
      <c r="I436" t="n">
        <v>0</v>
      </c>
      <c r="J436" t="n">
        <v>0</v>
      </c>
      <c r="K436" t="n">
        <v>0</v>
      </c>
      <c r="L436" t="n">
        <v>0</v>
      </c>
      <c r="M436" t="n">
        <v>0</v>
      </c>
      <c r="N436" t="n">
        <v>0</v>
      </c>
      <c r="O436" t="n">
        <v>0</v>
      </c>
      <c r="P436" t="n">
        <v>0</v>
      </c>
      <c r="Q436" t="n">
        <v>0</v>
      </c>
      <c r="R436" s="2" t="inlineStr"/>
    </row>
    <row r="437" ht="15" customHeight="1">
      <c r="A437" t="inlineStr">
        <is>
          <t>A 52380-2024</t>
        </is>
      </c>
      <c r="B437" s="1" t="n">
        <v>45609</v>
      </c>
      <c r="C437" s="1" t="n">
        <v>46162</v>
      </c>
      <c r="D437" t="inlineStr">
        <is>
          <t>UPPSALA LÄN</t>
        </is>
      </c>
      <c r="E437" t="inlineStr">
        <is>
          <t>ENKÖPING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9041-2023</t>
        </is>
      </c>
      <c r="B438" s="1" t="n">
        <v>44979</v>
      </c>
      <c r="C438" s="1" t="n">
        <v>46162</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27786-2023</t>
        </is>
      </c>
      <c r="B439" s="1" t="n">
        <v>45098</v>
      </c>
      <c r="C439" s="1" t="n">
        <v>46162</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15942-2022</t>
        </is>
      </c>
      <c r="B440" s="1" t="n">
        <v>44664</v>
      </c>
      <c r="C440" s="1" t="n">
        <v>46162</v>
      </c>
      <c r="D440" t="inlineStr">
        <is>
          <t>UPPSALA LÄN</t>
        </is>
      </c>
      <c r="E440" t="inlineStr">
        <is>
          <t>ENKÖPING</t>
        </is>
      </c>
      <c r="G440" t="n">
        <v>6.6</v>
      </c>
      <c r="H440" t="n">
        <v>0</v>
      </c>
      <c r="I440" t="n">
        <v>0</v>
      </c>
      <c r="J440" t="n">
        <v>0</v>
      </c>
      <c r="K440" t="n">
        <v>0</v>
      </c>
      <c r="L440" t="n">
        <v>0</v>
      </c>
      <c r="M440" t="n">
        <v>0</v>
      </c>
      <c r="N440" t="n">
        <v>0</v>
      </c>
      <c r="O440" t="n">
        <v>0</v>
      </c>
      <c r="P440" t="n">
        <v>0</v>
      </c>
      <c r="Q440" t="n">
        <v>0</v>
      </c>
      <c r="R440" s="2" t="inlineStr"/>
    </row>
    <row r="441" ht="15" customHeight="1">
      <c r="A441" t="inlineStr">
        <is>
          <t>A 50006-2023</t>
        </is>
      </c>
      <c r="B441" s="1" t="n">
        <v>45215</v>
      </c>
      <c r="C441" s="1" t="n">
        <v>46162</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53607-2023</t>
        </is>
      </c>
      <c r="B442" s="1" t="n">
        <v>45230</v>
      </c>
      <c r="C442" s="1" t="n">
        <v>46162</v>
      </c>
      <c r="D442" t="inlineStr">
        <is>
          <t>UPPSALA LÄN</t>
        </is>
      </c>
      <c r="E442" t="inlineStr">
        <is>
          <t>ENKÖPING</t>
        </is>
      </c>
      <c r="F442" t="inlineStr">
        <is>
          <t>Allmännings- och besparingsskogar</t>
        </is>
      </c>
      <c r="G442" t="n">
        <v>6.3</v>
      </c>
      <c r="H442" t="n">
        <v>0</v>
      </c>
      <c r="I442" t="n">
        <v>0</v>
      </c>
      <c r="J442" t="n">
        <v>0</v>
      </c>
      <c r="K442" t="n">
        <v>0</v>
      </c>
      <c r="L442" t="n">
        <v>0</v>
      </c>
      <c r="M442" t="n">
        <v>0</v>
      </c>
      <c r="N442" t="n">
        <v>0</v>
      </c>
      <c r="O442" t="n">
        <v>0</v>
      </c>
      <c r="P442" t="n">
        <v>0</v>
      </c>
      <c r="Q442" t="n">
        <v>0</v>
      </c>
      <c r="R442" s="2" t="inlineStr"/>
    </row>
    <row r="443" ht="15" customHeight="1">
      <c r="A443" t="inlineStr">
        <is>
          <t>A 59497-2022</t>
        </is>
      </c>
      <c r="B443" s="1" t="n">
        <v>44907.48258101852</v>
      </c>
      <c r="C443" s="1" t="n">
        <v>46162</v>
      </c>
      <c r="D443" t="inlineStr">
        <is>
          <t>UPPSALA LÄN</t>
        </is>
      </c>
      <c r="E443" t="inlineStr">
        <is>
          <t>ENKÖPING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49614-2024</t>
        </is>
      </c>
      <c r="B444" s="1" t="n">
        <v>45596.57716435185</v>
      </c>
      <c r="C444" s="1" t="n">
        <v>46162</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49632-2024</t>
        </is>
      </c>
      <c r="B445" s="1" t="n">
        <v>45596</v>
      </c>
      <c r="C445" s="1" t="n">
        <v>46162</v>
      </c>
      <c r="D445" t="inlineStr">
        <is>
          <t>UPPSALA LÄN</t>
        </is>
      </c>
      <c r="E445" t="inlineStr">
        <is>
          <t>ENKÖPING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51030-2024</t>
        </is>
      </c>
      <c r="B446" s="1" t="n">
        <v>45603</v>
      </c>
      <c r="C446" s="1" t="n">
        <v>46162</v>
      </c>
      <c r="D446" t="inlineStr">
        <is>
          <t>UPPSALA LÄN</t>
        </is>
      </c>
      <c r="E446" t="inlineStr">
        <is>
          <t>ENKÖPING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15405-2025</t>
        </is>
      </c>
      <c r="B447" s="1" t="n">
        <v>45747.44670138889</v>
      </c>
      <c r="C447" s="1" t="n">
        <v>46162</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12878-2025</t>
        </is>
      </c>
      <c r="B448" s="1" t="n">
        <v>45733.68571759259</v>
      </c>
      <c r="C448" s="1" t="n">
        <v>46162</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52889-2022</t>
        </is>
      </c>
      <c r="B449" s="1" t="n">
        <v>44875</v>
      </c>
      <c r="C449" s="1" t="n">
        <v>46162</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47681-2024</t>
        </is>
      </c>
      <c r="B450" s="1" t="n">
        <v>45588</v>
      </c>
      <c r="C450" s="1" t="n">
        <v>46162</v>
      </c>
      <c r="D450" t="inlineStr">
        <is>
          <t>UPPSALA LÄN</t>
        </is>
      </c>
      <c r="E450" t="inlineStr">
        <is>
          <t>ENKÖPING</t>
        </is>
      </c>
      <c r="G450" t="n">
        <v>4.2</v>
      </c>
      <c r="H450" t="n">
        <v>0</v>
      </c>
      <c r="I450" t="n">
        <v>0</v>
      </c>
      <c r="J450" t="n">
        <v>0</v>
      </c>
      <c r="K450" t="n">
        <v>0</v>
      </c>
      <c r="L450" t="n">
        <v>0</v>
      </c>
      <c r="M450" t="n">
        <v>0</v>
      </c>
      <c r="N450" t="n">
        <v>0</v>
      </c>
      <c r="O450" t="n">
        <v>0</v>
      </c>
      <c r="P450" t="n">
        <v>0</v>
      </c>
      <c r="Q450" t="n">
        <v>0</v>
      </c>
      <c r="R450" s="2" t="inlineStr"/>
    </row>
    <row r="451" ht="15" customHeight="1">
      <c r="A451" t="inlineStr">
        <is>
          <t>A 12754-2025</t>
        </is>
      </c>
      <c r="B451" s="1" t="n">
        <v>45733.56331018519</v>
      </c>
      <c r="C451" s="1" t="n">
        <v>46162</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54588-2024</t>
        </is>
      </c>
      <c r="B452" s="1" t="n">
        <v>45617</v>
      </c>
      <c r="C452" s="1" t="n">
        <v>46162</v>
      </c>
      <c r="D452" t="inlineStr">
        <is>
          <t>UPPSALA LÄN</t>
        </is>
      </c>
      <c r="E452" t="inlineStr">
        <is>
          <t>ENKÖPING</t>
        </is>
      </c>
      <c r="G452" t="n">
        <v>3.7</v>
      </c>
      <c r="H452" t="n">
        <v>0</v>
      </c>
      <c r="I452" t="n">
        <v>0</v>
      </c>
      <c r="J452" t="n">
        <v>0</v>
      </c>
      <c r="K452" t="n">
        <v>0</v>
      </c>
      <c r="L452" t="n">
        <v>0</v>
      </c>
      <c r="M452" t="n">
        <v>0</v>
      </c>
      <c r="N452" t="n">
        <v>0</v>
      </c>
      <c r="O452" t="n">
        <v>0</v>
      </c>
      <c r="P452" t="n">
        <v>0</v>
      </c>
      <c r="Q452" t="n">
        <v>0</v>
      </c>
      <c r="R452" s="2" t="inlineStr"/>
    </row>
    <row r="453" ht="15" customHeight="1">
      <c r="A453" t="inlineStr">
        <is>
          <t>A 56713-2024</t>
        </is>
      </c>
      <c r="B453" s="1" t="n">
        <v>45628</v>
      </c>
      <c r="C453" s="1" t="n">
        <v>46162</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51524-2022</t>
        </is>
      </c>
      <c r="B454" s="1" t="n">
        <v>44869</v>
      </c>
      <c r="C454" s="1" t="n">
        <v>46162</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8137-2025</t>
        </is>
      </c>
      <c r="B455" s="1" t="n">
        <v>45707.8561574074</v>
      </c>
      <c r="C455" s="1" t="n">
        <v>46162</v>
      </c>
      <c r="D455" t="inlineStr">
        <is>
          <t>UPPSALA LÄN</t>
        </is>
      </c>
      <c r="E455" t="inlineStr">
        <is>
          <t>ENKÖPING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7868-2024</t>
        </is>
      </c>
      <c r="B456" s="1" t="n">
        <v>45350.33020833333</v>
      </c>
      <c r="C456" s="1" t="n">
        <v>46162</v>
      </c>
      <c r="D456" t="inlineStr">
        <is>
          <t>UPPSALA LÄN</t>
        </is>
      </c>
      <c r="E456" t="inlineStr">
        <is>
          <t>ENKÖPING</t>
        </is>
      </c>
      <c r="G456" t="n">
        <v>0.3</v>
      </c>
      <c r="H456" t="n">
        <v>0</v>
      </c>
      <c r="I456" t="n">
        <v>0</v>
      </c>
      <c r="J456" t="n">
        <v>0</v>
      </c>
      <c r="K456" t="n">
        <v>0</v>
      </c>
      <c r="L456" t="n">
        <v>0</v>
      </c>
      <c r="M456" t="n">
        <v>0</v>
      </c>
      <c r="N456" t="n">
        <v>0</v>
      </c>
      <c r="O456" t="n">
        <v>0</v>
      </c>
      <c r="P456" t="n">
        <v>0</v>
      </c>
      <c r="Q456" t="n">
        <v>0</v>
      </c>
      <c r="R456" s="2" t="inlineStr"/>
    </row>
    <row r="457" ht="15" customHeight="1">
      <c r="A457" t="inlineStr">
        <is>
          <t>A 51008-2024</t>
        </is>
      </c>
      <c r="B457" s="1" t="n">
        <v>45603.39041666667</v>
      </c>
      <c r="C457" s="1" t="n">
        <v>46162</v>
      </c>
      <c r="D457" t="inlineStr">
        <is>
          <t>UPPSALA LÄN</t>
        </is>
      </c>
      <c r="E457" t="inlineStr">
        <is>
          <t>ENKÖPING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35052-2024</t>
        </is>
      </c>
      <c r="B458" s="1" t="n">
        <v>45527.6516087963</v>
      </c>
      <c r="C458" s="1" t="n">
        <v>46162</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14518-2025</t>
        </is>
      </c>
      <c r="B459" s="1" t="n">
        <v>45741</v>
      </c>
      <c r="C459" s="1" t="n">
        <v>46162</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54776-2024</t>
        </is>
      </c>
      <c r="B460" s="1" t="n">
        <v>45618</v>
      </c>
      <c r="C460" s="1" t="n">
        <v>46162</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22150-2025</t>
        </is>
      </c>
      <c r="B461" s="1" t="n">
        <v>45785.56398148148</v>
      </c>
      <c r="C461" s="1" t="n">
        <v>46162</v>
      </c>
      <c r="D461" t="inlineStr">
        <is>
          <t>UPPSALA LÄN</t>
        </is>
      </c>
      <c r="E461" t="inlineStr">
        <is>
          <t>ENKÖPING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22156-2025</t>
        </is>
      </c>
      <c r="B462" s="1" t="n">
        <v>45785.57512731481</v>
      </c>
      <c r="C462" s="1" t="n">
        <v>46162</v>
      </c>
      <c r="D462" t="inlineStr">
        <is>
          <t>UPPSALA LÄN</t>
        </is>
      </c>
      <c r="E462" t="inlineStr">
        <is>
          <t>ENKÖPING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30087-2024</t>
        </is>
      </c>
      <c r="B463" s="1" t="n">
        <v>45489.39447916667</v>
      </c>
      <c r="C463" s="1" t="n">
        <v>46162</v>
      </c>
      <c r="D463" t="inlineStr">
        <is>
          <t>UPPSALA LÄN</t>
        </is>
      </c>
      <c r="E463" t="inlineStr">
        <is>
          <t>ENKÖPING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22677-2025</t>
        </is>
      </c>
      <c r="B464" s="1" t="n">
        <v>45789.49515046296</v>
      </c>
      <c r="C464" s="1" t="n">
        <v>46162</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22679-2025</t>
        </is>
      </c>
      <c r="B465" s="1" t="n">
        <v>45789.49747685185</v>
      </c>
      <c r="C465" s="1" t="n">
        <v>46162</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22729-2025</t>
        </is>
      </c>
      <c r="B466" s="1" t="n">
        <v>45789.57790509259</v>
      </c>
      <c r="C466" s="1" t="n">
        <v>46162</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22786-2025</t>
        </is>
      </c>
      <c r="B467" s="1" t="n">
        <v>45789.64643518518</v>
      </c>
      <c r="C467" s="1" t="n">
        <v>46162</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22795-2025</t>
        </is>
      </c>
      <c r="B468" s="1" t="n">
        <v>45789.65944444444</v>
      </c>
      <c r="C468" s="1" t="n">
        <v>46162</v>
      </c>
      <c r="D468" t="inlineStr">
        <is>
          <t>UPPSALA LÄN</t>
        </is>
      </c>
      <c r="E468" t="inlineStr">
        <is>
          <t>ENKÖPING</t>
        </is>
      </c>
      <c r="G468" t="n">
        <v>10.4</v>
      </c>
      <c r="H468" t="n">
        <v>0</v>
      </c>
      <c r="I468" t="n">
        <v>0</v>
      </c>
      <c r="J468" t="n">
        <v>0</v>
      </c>
      <c r="K468" t="n">
        <v>0</v>
      </c>
      <c r="L468" t="n">
        <v>0</v>
      </c>
      <c r="M468" t="n">
        <v>0</v>
      </c>
      <c r="N468" t="n">
        <v>0</v>
      </c>
      <c r="O468" t="n">
        <v>0</v>
      </c>
      <c r="P468" t="n">
        <v>0</v>
      </c>
      <c r="Q468" t="n">
        <v>0</v>
      </c>
      <c r="R468" s="2" t="inlineStr"/>
    </row>
    <row r="469" ht="15" customHeight="1">
      <c r="A469" t="inlineStr">
        <is>
          <t>A 22802-2025</t>
        </is>
      </c>
      <c r="B469" s="1" t="n">
        <v>45789.6686574074</v>
      </c>
      <c r="C469" s="1" t="n">
        <v>46162</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22680-2025</t>
        </is>
      </c>
      <c r="B470" s="1" t="n">
        <v>45789.5005787037</v>
      </c>
      <c r="C470" s="1" t="n">
        <v>46162</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6981-2025</t>
        </is>
      </c>
      <c r="B471" s="1" t="n">
        <v>45701</v>
      </c>
      <c r="C471" s="1" t="n">
        <v>46162</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22770-2025</t>
        </is>
      </c>
      <c r="B472" s="1" t="n">
        <v>45789.63454861111</v>
      </c>
      <c r="C472" s="1" t="n">
        <v>46162</v>
      </c>
      <c r="D472" t="inlineStr">
        <is>
          <t>UPPSALA LÄN</t>
        </is>
      </c>
      <c r="E472" t="inlineStr">
        <is>
          <t>ENKÖPING</t>
        </is>
      </c>
      <c r="G472" t="n">
        <v>4.5</v>
      </c>
      <c r="H472" t="n">
        <v>0</v>
      </c>
      <c r="I472" t="n">
        <v>0</v>
      </c>
      <c r="J472" t="n">
        <v>0</v>
      </c>
      <c r="K472" t="n">
        <v>0</v>
      </c>
      <c r="L472" t="n">
        <v>0</v>
      </c>
      <c r="M472" t="n">
        <v>0</v>
      </c>
      <c r="N472" t="n">
        <v>0</v>
      </c>
      <c r="O472" t="n">
        <v>0</v>
      </c>
      <c r="P472" t="n">
        <v>0</v>
      </c>
      <c r="Q472" t="n">
        <v>0</v>
      </c>
      <c r="R472" s="2" t="inlineStr"/>
    </row>
    <row r="473" ht="15" customHeight="1">
      <c r="A473" t="inlineStr">
        <is>
          <t>A 22725-2025</t>
        </is>
      </c>
      <c r="B473" s="1" t="n">
        <v>45789.57371527778</v>
      </c>
      <c r="C473" s="1" t="n">
        <v>46162</v>
      </c>
      <c r="D473" t="inlineStr">
        <is>
          <t>UPPSALA LÄN</t>
        </is>
      </c>
      <c r="E473" t="inlineStr">
        <is>
          <t>ENKÖPING</t>
        </is>
      </c>
      <c r="G473" t="n">
        <v>4.8</v>
      </c>
      <c r="H473" t="n">
        <v>0</v>
      </c>
      <c r="I473" t="n">
        <v>0</v>
      </c>
      <c r="J473" t="n">
        <v>0</v>
      </c>
      <c r="K473" t="n">
        <v>0</v>
      </c>
      <c r="L473" t="n">
        <v>0</v>
      </c>
      <c r="M473" t="n">
        <v>0</v>
      </c>
      <c r="N473" t="n">
        <v>0</v>
      </c>
      <c r="O473" t="n">
        <v>0</v>
      </c>
      <c r="P473" t="n">
        <v>0</v>
      </c>
      <c r="Q473" t="n">
        <v>0</v>
      </c>
      <c r="R473" s="2" t="inlineStr"/>
    </row>
    <row r="474" ht="15" customHeight="1">
      <c r="A474" t="inlineStr">
        <is>
          <t>A 22981-2025</t>
        </is>
      </c>
      <c r="B474" s="1" t="n">
        <v>45790.56964120371</v>
      </c>
      <c r="C474" s="1" t="n">
        <v>46162</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68123-2021</t>
        </is>
      </c>
      <c r="B475" s="1" t="n">
        <v>44526.39126157408</v>
      </c>
      <c r="C475" s="1" t="n">
        <v>46162</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22793-2025</t>
        </is>
      </c>
      <c r="B476" s="1" t="n">
        <v>45789.65693287037</v>
      </c>
      <c r="C476" s="1" t="n">
        <v>46162</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22800-2025</t>
        </is>
      </c>
      <c r="B477" s="1" t="n">
        <v>45789.6669212963</v>
      </c>
      <c r="C477" s="1" t="n">
        <v>46162</v>
      </c>
      <c r="D477" t="inlineStr">
        <is>
          <t>UPPSALA LÄN</t>
        </is>
      </c>
      <c r="E477" t="inlineStr">
        <is>
          <t>ENKÖPING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17729-2023</t>
        </is>
      </c>
      <c r="B478" s="1" t="n">
        <v>45037</v>
      </c>
      <c r="C478" s="1" t="n">
        <v>46162</v>
      </c>
      <c r="D478" t="inlineStr">
        <is>
          <t>UPPSALA LÄN</t>
        </is>
      </c>
      <c r="E478" t="inlineStr">
        <is>
          <t>ENKÖPING</t>
        </is>
      </c>
      <c r="G478" t="n">
        <v>10.2</v>
      </c>
      <c r="H478" t="n">
        <v>0</v>
      </c>
      <c r="I478" t="n">
        <v>0</v>
      </c>
      <c r="J478" t="n">
        <v>0</v>
      </c>
      <c r="K478" t="n">
        <v>0</v>
      </c>
      <c r="L478" t="n">
        <v>0</v>
      </c>
      <c r="M478" t="n">
        <v>0</v>
      </c>
      <c r="N478" t="n">
        <v>0</v>
      </c>
      <c r="O478" t="n">
        <v>0</v>
      </c>
      <c r="P478" t="n">
        <v>0</v>
      </c>
      <c r="Q478" t="n">
        <v>0</v>
      </c>
      <c r="R478" s="2" t="inlineStr"/>
    </row>
    <row r="479" ht="15" customHeight="1">
      <c r="A479" t="inlineStr">
        <is>
          <t>A 5749-2025</t>
        </is>
      </c>
      <c r="B479" s="1" t="n">
        <v>45694</v>
      </c>
      <c r="C479" s="1" t="n">
        <v>46162</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8020-2022</t>
        </is>
      </c>
      <c r="B480" s="1" t="n">
        <v>44609</v>
      </c>
      <c r="C480" s="1" t="n">
        <v>46162</v>
      </c>
      <c r="D480" t="inlineStr">
        <is>
          <t>UPPSALA LÄN</t>
        </is>
      </c>
      <c r="E480" t="inlineStr">
        <is>
          <t>ENKÖPING</t>
        </is>
      </c>
      <c r="G480" t="n">
        <v>6</v>
      </c>
      <c r="H480" t="n">
        <v>0</v>
      </c>
      <c r="I480" t="n">
        <v>0</v>
      </c>
      <c r="J480" t="n">
        <v>0</v>
      </c>
      <c r="K480" t="n">
        <v>0</v>
      </c>
      <c r="L480" t="n">
        <v>0</v>
      </c>
      <c r="M480" t="n">
        <v>0</v>
      </c>
      <c r="N480" t="n">
        <v>0</v>
      </c>
      <c r="O480" t="n">
        <v>0</v>
      </c>
      <c r="P480" t="n">
        <v>0</v>
      </c>
      <c r="Q480" t="n">
        <v>0</v>
      </c>
      <c r="R480" s="2" t="inlineStr"/>
    </row>
    <row r="481" ht="15" customHeight="1">
      <c r="A481" t="inlineStr">
        <is>
          <t>A 34805-2024</t>
        </is>
      </c>
      <c r="B481" s="1" t="n">
        <v>45526</v>
      </c>
      <c r="C481" s="1" t="n">
        <v>46162</v>
      </c>
      <c r="D481" t="inlineStr">
        <is>
          <t>UPPSALA LÄN</t>
        </is>
      </c>
      <c r="E481" t="inlineStr">
        <is>
          <t>ENKÖPING</t>
        </is>
      </c>
      <c r="G481" t="n">
        <v>3.6</v>
      </c>
      <c r="H481" t="n">
        <v>0</v>
      </c>
      <c r="I481" t="n">
        <v>0</v>
      </c>
      <c r="J481" t="n">
        <v>0</v>
      </c>
      <c r="K481" t="n">
        <v>0</v>
      </c>
      <c r="L481" t="n">
        <v>0</v>
      </c>
      <c r="M481" t="n">
        <v>0</v>
      </c>
      <c r="N481" t="n">
        <v>0</v>
      </c>
      <c r="O481" t="n">
        <v>0</v>
      </c>
      <c r="P481" t="n">
        <v>0</v>
      </c>
      <c r="Q481" t="n">
        <v>0</v>
      </c>
      <c r="R481" s="2" t="inlineStr"/>
    </row>
    <row r="482" ht="15" customHeight="1">
      <c r="A482" t="inlineStr">
        <is>
          <t>A 314-2025</t>
        </is>
      </c>
      <c r="B482" s="1" t="n">
        <v>45656</v>
      </c>
      <c r="C482" s="1" t="n">
        <v>46162</v>
      </c>
      <c r="D482" t="inlineStr">
        <is>
          <t>UPPSALA LÄN</t>
        </is>
      </c>
      <c r="E482" t="inlineStr">
        <is>
          <t>ENKÖPING</t>
        </is>
      </c>
      <c r="G482" t="n">
        <v>9</v>
      </c>
      <c r="H482" t="n">
        <v>0</v>
      </c>
      <c r="I482" t="n">
        <v>0</v>
      </c>
      <c r="J482" t="n">
        <v>0</v>
      </c>
      <c r="K482" t="n">
        <v>0</v>
      </c>
      <c r="L482" t="n">
        <v>0</v>
      </c>
      <c r="M482" t="n">
        <v>0</v>
      </c>
      <c r="N482" t="n">
        <v>0</v>
      </c>
      <c r="O482" t="n">
        <v>0</v>
      </c>
      <c r="P482" t="n">
        <v>0</v>
      </c>
      <c r="Q482" t="n">
        <v>0</v>
      </c>
      <c r="R482" s="2" t="inlineStr"/>
    </row>
    <row r="483" ht="15" customHeight="1">
      <c r="A483" t="inlineStr">
        <is>
          <t>A 10831-2024</t>
        </is>
      </c>
      <c r="B483" s="1" t="n">
        <v>45369</v>
      </c>
      <c r="C483" s="1" t="n">
        <v>46162</v>
      </c>
      <c r="D483" t="inlineStr">
        <is>
          <t>UPPSALA LÄN</t>
        </is>
      </c>
      <c r="E483" t="inlineStr">
        <is>
          <t>ENKÖPING</t>
        </is>
      </c>
      <c r="G483" t="n">
        <v>2.9</v>
      </c>
      <c r="H483" t="n">
        <v>0</v>
      </c>
      <c r="I483" t="n">
        <v>0</v>
      </c>
      <c r="J483" t="n">
        <v>0</v>
      </c>
      <c r="K483" t="n">
        <v>0</v>
      </c>
      <c r="L483" t="n">
        <v>0</v>
      </c>
      <c r="M483" t="n">
        <v>0</v>
      </c>
      <c r="N483" t="n">
        <v>0</v>
      </c>
      <c r="O483" t="n">
        <v>0</v>
      </c>
      <c r="P483" t="n">
        <v>0</v>
      </c>
      <c r="Q483" t="n">
        <v>0</v>
      </c>
      <c r="R483" s="2" t="inlineStr"/>
    </row>
    <row r="484" ht="15" customHeight="1">
      <c r="A484" t="inlineStr">
        <is>
          <t>A 5712-2025</t>
        </is>
      </c>
      <c r="B484" s="1" t="n">
        <v>45694</v>
      </c>
      <c r="C484" s="1" t="n">
        <v>46162</v>
      </c>
      <c r="D484" t="inlineStr">
        <is>
          <t>UPPSALA LÄN</t>
        </is>
      </c>
      <c r="E484" t="inlineStr">
        <is>
          <t>ENKÖPING</t>
        </is>
      </c>
      <c r="G484" t="n">
        <v>5.1</v>
      </c>
      <c r="H484" t="n">
        <v>0</v>
      </c>
      <c r="I484" t="n">
        <v>0</v>
      </c>
      <c r="J484" t="n">
        <v>0</v>
      </c>
      <c r="K484" t="n">
        <v>0</v>
      </c>
      <c r="L484" t="n">
        <v>0</v>
      </c>
      <c r="M484" t="n">
        <v>0</v>
      </c>
      <c r="N484" t="n">
        <v>0</v>
      </c>
      <c r="O484" t="n">
        <v>0</v>
      </c>
      <c r="P484" t="n">
        <v>0</v>
      </c>
      <c r="Q484" t="n">
        <v>0</v>
      </c>
      <c r="R484" s="2" t="inlineStr"/>
    </row>
    <row r="485" ht="15" customHeight="1">
      <c r="A485" t="inlineStr">
        <is>
          <t>A 45956-2024</t>
        </is>
      </c>
      <c r="B485" s="1" t="n">
        <v>45580</v>
      </c>
      <c r="C485" s="1" t="n">
        <v>46162</v>
      </c>
      <c r="D485" t="inlineStr">
        <is>
          <t>UPPSALA LÄN</t>
        </is>
      </c>
      <c r="E485" t="inlineStr">
        <is>
          <t>ENKÖPING</t>
        </is>
      </c>
      <c r="G485" t="n">
        <v>1</v>
      </c>
      <c r="H485" t="n">
        <v>0</v>
      </c>
      <c r="I485" t="n">
        <v>0</v>
      </c>
      <c r="J485" t="n">
        <v>0</v>
      </c>
      <c r="K485" t="n">
        <v>0</v>
      </c>
      <c r="L485" t="n">
        <v>0</v>
      </c>
      <c r="M485" t="n">
        <v>0</v>
      </c>
      <c r="N485" t="n">
        <v>0</v>
      </c>
      <c r="O485" t="n">
        <v>0</v>
      </c>
      <c r="P485" t="n">
        <v>0</v>
      </c>
      <c r="Q485" t="n">
        <v>0</v>
      </c>
      <c r="R485" s="2" t="inlineStr"/>
    </row>
    <row r="486" ht="15" customHeight="1">
      <c r="A486" t="inlineStr">
        <is>
          <t>A 11627-2025</t>
        </is>
      </c>
      <c r="B486" s="1" t="n">
        <v>45727</v>
      </c>
      <c r="C486" s="1" t="n">
        <v>46162</v>
      </c>
      <c r="D486" t="inlineStr">
        <is>
          <t>UPPSALA LÄN</t>
        </is>
      </c>
      <c r="E486" t="inlineStr">
        <is>
          <t>ENKÖPING</t>
        </is>
      </c>
      <c r="G486" t="n">
        <v>5.5</v>
      </c>
      <c r="H486" t="n">
        <v>0</v>
      </c>
      <c r="I486" t="n">
        <v>0</v>
      </c>
      <c r="J486" t="n">
        <v>0</v>
      </c>
      <c r="K486" t="n">
        <v>0</v>
      </c>
      <c r="L486" t="n">
        <v>0</v>
      </c>
      <c r="M486" t="n">
        <v>0</v>
      </c>
      <c r="N486" t="n">
        <v>0</v>
      </c>
      <c r="O486" t="n">
        <v>0</v>
      </c>
      <c r="P486" t="n">
        <v>0</v>
      </c>
      <c r="Q486" t="n">
        <v>0</v>
      </c>
      <c r="R486" s="2" t="inlineStr"/>
    </row>
    <row r="487" ht="15" customHeight="1">
      <c r="A487" t="inlineStr">
        <is>
          <t>A 74090-2021</t>
        </is>
      </c>
      <c r="B487" s="1" t="n">
        <v>44557</v>
      </c>
      <c r="C487" s="1" t="n">
        <v>46162</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58092-2024</t>
        </is>
      </c>
      <c r="B488" s="1" t="n">
        <v>45632</v>
      </c>
      <c r="C488" s="1" t="n">
        <v>46162</v>
      </c>
      <c r="D488" t="inlineStr">
        <is>
          <t>UPPSALA LÄN</t>
        </is>
      </c>
      <c r="E488" t="inlineStr">
        <is>
          <t>ENKÖPING</t>
        </is>
      </c>
      <c r="G488" t="n">
        <v>4.8</v>
      </c>
      <c r="H488" t="n">
        <v>0</v>
      </c>
      <c r="I488" t="n">
        <v>0</v>
      </c>
      <c r="J488" t="n">
        <v>0</v>
      </c>
      <c r="K488" t="n">
        <v>0</v>
      </c>
      <c r="L488" t="n">
        <v>0</v>
      </c>
      <c r="M488" t="n">
        <v>0</v>
      </c>
      <c r="N488" t="n">
        <v>0</v>
      </c>
      <c r="O488" t="n">
        <v>0</v>
      </c>
      <c r="P488" t="n">
        <v>0</v>
      </c>
      <c r="Q488" t="n">
        <v>0</v>
      </c>
      <c r="R488" s="2" t="inlineStr"/>
    </row>
    <row r="489" ht="15" customHeight="1">
      <c r="A489" t="inlineStr">
        <is>
          <t>A 24411-2024</t>
        </is>
      </c>
      <c r="B489" s="1" t="n">
        <v>45457</v>
      </c>
      <c r="C489" s="1" t="n">
        <v>46162</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25988-2025</t>
        </is>
      </c>
      <c r="B490" s="1" t="n">
        <v>45804.64814814815</v>
      </c>
      <c r="C490" s="1" t="n">
        <v>46162</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26024-2025</t>
        </is>
      </c>
      <c r="B491" s="1" t="n">
        <v>45804.6831712963</v>
      </c>
      <c r="C491" s="1" t="n">
        <v>46162</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26042-2025</t>
        </is>
      </c>
      <c r="B492" s="1" t="n">
        <v>45804.70018518518</v>
      </c>
      <c r="C492" s="1" t="n">
        <v>46162</v>
      </c>
      <c r="D492" t="inlineStr">
        <is>
          <t>UPPSALA LÄN</t>
        </is>
      </c>
      <c r="E492" t="inlineStr">
        <is>
          <t>ENKÖPING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26030-2025</t>
        </is>
      </c>
      <c r="B493" s="1" t="n">
        <v>45804.68815972222</v>
      </c>
      <c r="C493" s="1" t="n">
        <v>46162</v>
      </c>
      <c r="D493" t="inlineStr">
        <is>
          <t>UPPSALA LÄN</t>
        </is>
      </c>
      <c r="E493" t="inlineStr">
        <is>
          <t>ENKÖPING</t>
        </is>
      </c>
      <c r="G493" t="n">
        <v>0.3</v>
      </c>
      <c r="H493" t="n">
        <v>0</v>
      </c>
      <c r="I493" t="n">
        <v>0</v>
      </c>
      <c r="J493" t="n">
        <v>0</v>
      </c>
      <c r="K493" t="n">
        <v>0</v>
      </c>
      <c r="L493" t="n">
        <v>0</v>
      </c>
      <c r="M493" t="n">
        <v>0</v>
      </c>
      <c r="N493" t="n">
        <v>0</v>
      </c>
      <c r="O493" t="n">
        <v>0</v>
      </c>
      <c r="P493" t="n">
        <v>0</v>
      </c>
      <c r="Q493" t="n">
        <v>0</v>
      </c>
      <c r="R493" s="2" t="inlineStr"/>
    </row>
    <row r="494" ht="15" customHeight="1">
      <c r="A494" t="inlineStr">
        <is>
          <t>A 26026-2025</t>
        </is>
      </c>
      <c r="B494" s="1" t="n">
        <v>45804.68510416667</v>
      </c>
      <c r="C494" s="1" t="n">
        <v>46162</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26047-2025</t>
        </is>
      </c>
      <c r="B495" s="1" t="n">
        <v>45804.70835648148</v>
      </c>
      <c r="C495" s="1" t="n">
        <v>46162</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25847-2025</t>
        </is>
      </c>
      <c r="B496" s="1" t="n">
        <v>45804</v>
      </c>
      <c r="C496" s="1" t="n">
        <v>46162</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26005-2025</t>
        </is>
      </c>
      <c r="B497" s="1" t="n">
        <v>45804.67055555555</v>
      </c>
      <c r="C497" s="1" t="n">
        <v>46162</v>
      </c>
      <c r="D497" t="inlineStr">
        <is>
          <t>UPPSALA LÄN</t>
        </is>
      </c>
      <c r="E497" t="inlineStr">
        <is>
          <t>ENKÖPING</t>
        </is>
      </c>
      <c r="G497" t="n">
        <v>0.3</v>
      </c>
      <c r="H497" t="n">
        <v>0</v>
      </c>
      <c r="I497" t="n">
        <v>0</v>
      </c>
      <c r="J497" t="n">
        <v>0</v>
      </c>
      <c r="K497" t="n">
        <v>0</v>
      </c>
      <c r="L497" t="n">
        <v>0</v>
      </c>
      <c r="M497" t="n">
        <v>0</v>
      </c>
      <c r="N497" t="n">
        <v>0</v>
      </c>
      <c r="O497" t="n">
        <v>0</v>
      </c>
      <c r="P497" t="n">
        <v>0</v>
      </c>
      <c r="Q497" t="n">
        <v>0</v>
      </c>
      <c r="R497" s="2" t="inlineStr"/>
    </row>
    <row r="498" ht="15" customHeight="1">
      <c r="A498" t="inlineStr">
        <is>
          <t>A 26031-2025</t>
        </is>
      </c>
      <c r="B498" s="1" t="n">
        <v>45804.69050925926</v>
      </c>
      <c r="C498" s="1" t="n">
        <v>46162</v>
      </c>
      <c r="D498" t="inlineStr">
        <is>
          <t>UPPSALA LÄN</t>
        </is>
      </c>
      <c r="E498" t="inlineStr">
        <is>
          <t>ENKÖPING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26041-2025</t>
        </is>
      </c>
      <c r="B499" s="1" t="n">
        <v>45804.69883101852</v>
      </c>
      <c r="C499" s="1" t="n">
        <v>46162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26022-2025</t>
        </is>
      </c>
      <c r="B500" s="1" t="n">
        <v>45804.68006944445</v>
      </c>
      <c r="C500" s="1" t="n">
        <v>46162</v>
      </c>
      <c r="D500" t="inlineStr">
        <is>
          <t>UPPSALA LÄN</t>
        </is>
      </c>
      <c r="E500" t="inlineStr">
        <is>
          <t>ENKÖPING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35067-2024</t>
        </is>
      </c>
      <c r="B501" s="1" t="n">
        <v>45527.66153935185</v>
      </c>
      <c r="C501" s="1" t="n">
        <v>46162</v>
      </c>
      <c r="D501" t="inlineStr">
        <is>
          <t>UPPSALA LÄN</t>
        </is>
      </c>
      <c r="E501" t="inlineStr">
        <is>
          <t>ENKÖPING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27829-2025</t>
        </is>
      </c>
      <c r="B502" s="1" t="n">
        <v>45817</v>
      </c>
      <c r="C502" s="1" t="n">
        <v>46162</v>
      </c>
      <c r="D502" t="inlineStr">
        <is>
          <t>UPPSALA LÄN</t>
        </is>
      </c>
      <c r="E502" t="inlineStr">
        <is>
          <t>ENKÖPING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28855-2025</t>
        </is>
      </c>
      <c r="B503" s="1" t="n">
        <v>45820.58274305556</v>
      </c>
      <c r="C503" s="1" t="n">
        <v>46162</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28758-2025</t>
        </is>
      </c>
      <c r="B504" s="1" t="n">
        <v>45820.41212962963</v>
      </c>
      <c r="C504" s="1" t="n">
        <v>46162</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39009-2024</t>
        </is>
      </c>
      <c r="B505" s="1" t="n">
        <v>45548</v>
      </c>
      <c r="C505" s="1" t="n">
        <v>46162</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8537-2025</t>
        </is>
      </c>
      <c r="B506" s="1" t="n">
        <v>45709</v>
      </c>
      <c r="C506" s="1" t="n">
        <v>46162</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28862-2025</t>
        </is>
      </c>
      <c r="B507" s="1" t="n">
        <v>45820.59189814814</v>
      </c>
      <c r="C507" s="1" t="n">
        <v>46162</v>
      </c>
      <c r="D507" t="inlineStr">
        <is>
          <t>UPPSALA LÄN</t>
        </is>
      </c>
      <c r="E507" t="inlineStr">
        <is>
          <t>ENKÖPING</t>
        </is>
      </c>
      <c r="G507" t="n">
        <v>2.2</v>
      </c>
      <c r="H507" t="n">
        <v>0</v>
      </c>
      <c r="I507" t="n">
        <v>0</v>
      </c>
      <c r="J507" t="n">
        <v>0</v>
      </c>
      <c r="K507" t="n">
        <v>0</v>
      </c>
      <c r="L507" t="n">
        <v>0</v>
      </c>
      <c r="M507" t="n">
        <v>0</v>
      </c>
      <c r="N507" t="n">
        <v>0</v>
      </c>
      <c r="O507" t="n">
        <v>0</v>
      </c>
      <c r="P507" t="n">
        <v>0</v>
      </c>
      <c r="Q507" t="n">
        <v>0</v>
      </c>
      <c r="R507" s="2" t="inlineStr"/>
    </row>
    <row r="508" ht="15" customHeight="1">
      <c r="A508" t="inlineStr">
        <is>
          <t>A 29093-2025</t>
        </is>
      </c>
      <c r="B508" s="1" t="n">
        <v>45821.55743055556</v>
      </c>
      <c r="C508" s="1" t="n">
        <v>46162</v>
      </c>
      <c r="D508" t="inlineStr">
        <is>
          <t>UPPSALA LÄN</t>
        </is>
      </c>
      <c r="E508" t="inlineStr">
        <is>
          <t>ENKÖPING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30837-2025</t>
        </is>
      </c>
      <c r="B509" s="1" t="n">
        <v>45831.7063425926</v>
      </c>
      <c r="C509" s="1" t="n">
        <v>46162</v>
      </c>
      <c r="D509" t="inlineStr">
        <is>
          <t>UPPSALA LÄN</t>
        </is>
      </c>
      <c r="E509" t="inlineStr">
        <is>
          <t>ENKÖPING</t>
        </is>
      </c>
      <c r="G509" t="n">
        <v>3.8</v>
      </c>
      <c r="H509" t="n">
        <v>0</v>
      </c>
      <c r="I509" t="n">
        <v>0</v>
      </c>
      <c r="J509" t="n">
        <v>0</v>
      </c>
      <c r="K509" t="n">
        <v>0</v>
      </c>
      <c r="L509" t="n">
        <v>0</v>
      </c>
      <c r="M509" t="n">
        <v>0</v>
      </c>
      <c r="N509" t="n">
        <v>0</v>
      </c>
      <c r="O509" t="n">
        <v>0</v>
      </c>
      <c r="P509" t="n">
        <v>0</v>
      </c>
      <c r="Q509" t="n">
        <v>0</v>
      </c>
      <c r="R509" s="2" t="inlineStr"/>
    </row>
    <row r="510" ht="15" customHeight="1">
      <c r="A510" t="inlineStr">
        <is>
          <t>A 32031-2025</t>
        </is>
      </c>
      <c r="B510" s="1" t="n">
        <v>45835.41712962963</v>
      </c>
      <c r="C510" s="1" t="n">
        <v>46162</v>
      </c>
      <c r="D510" t="inlineStr">
        <is>
          <t>UPPSALA LÄN</t>
        </is>
      </c>
      <c r="E510" t="inlineStr">
        <is>
          <t>ENKÖPING</t>
        </is>
      </c>
      <c r="G510" t="n">
        <v>2.7</v>
      </c>
      <c r="H510" t="n">
        <v>0</v>
      </c>
      <c r="I510" t="n">
        <v>0</v>
      </c>
      <c r="J510" t="n">
        <v>0</v>
      </c>
      <c r="K510" t="n">
        <v>0</v>
      </c>
      <c r="L510" t="n">
        <v>0</v>
      </c>
      <c r="M510" t="n">
        <v>0</v>
      </c>
      <c r="N510" t="n">
        <v>0</v>
      </c>
      <c r="O510" t="n">
        <v>0</v>
      </c>
      <c r="P510" t="n">
        <v>0</v>
      </c>
      <c r="Q510" t="n">
        <v>0</v>
      </c>
      <c r="R510" s="2" t="inlineStr"/>
    </row>
    <row r="511" ht="15" customHeight="1">
      <c r="A511" t="inlineStr">
        <is>
          <t>A 32111-2025</t>
        </is>
      </c>
      <c r="B511" s="1" t="n">
        <v>45835</v>
      </c>
      <c r="C511" s="1" t="n">
        <v>46162</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15740-2025</t>
        </is>
      </c>
      <c r="B512" s="1" t="n">
        <v>45748</v>
      </c>
      <c r="C512" s="1" t="n">
        <v>46162</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57848-2024</t>
        </is>
      </c>
      <c r="B513" s="1" t="n">
        <v>45631.40947916666</v>
      </c>
      <c r="C513" s="1" t="n">
        <v>46162</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18994-2025</t>
        </is>
      </c>
      <c r="B514" s="1" t="n">
        <v>45764.57350694444</v>
      </c>
      <c r="C514" s="1" t="n">
        <v>46162</v>
      </c>
      <c r="D514" t="inlineStr">
        <is>
          <t>UPPSALA LÄN</t>
        </is>
      </c>
      <c r="E514" t="inlineStr">
        <is>
          <t>ENKÖPING</t>
        </is>
      </c>
      <c r="G514" t="n">
        <v>3.8</v>
      </c>
      <c r="H514" t="n">
        <v>0</v>
      </c>
      <c r="I514" t="n">
        <v>0</v>
      </c>
      <c r="J514" t="n">
        <v>0</v>
      </c>
      <c r="K514" t="n">
        <v>0</v>
      </c>
      <c r="L514" t="n">
        <v>0</v>
      </c>
      <c r="M514" t="n">
        <v>0</v>
      </c>
      <c r="N514" t="n">
        <v>0</v>
      </c>
      <c r="O514" t="n">
        <v>0</v>
      </c>
      <c r="P514" t="n">
        <v>0</v>
      </c>
      <c r="Q514" t="n">
        <v>0</v>
      </c>
      <c r="R514" s="2" t="inlineStr"/>
    </row>
    <row r="515" ht="15" customHeight="1">
      <c r="A515" t="inlineStr">
        <is>
          <t>A 49601-2024</t>
        </is>
      </c>
      <c r="B515" s="1" t="n">
        <v>45596.56288194445</v>
      </c>
      <c r="C515" s="1" t="n">
        <v>46162</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17844-2025</t>
        </is>
      </c>
      <c r="B516" s="1" t="n">
        <v>45758.59920138889</v>
      </c>
      <c r="C516" s="1" t="n">
        <v>46162</v>
      </c>
      <c r="D516" t="inlineStr">
        <is>
          <t>UPPSALA LÄN</t>
        </is>
      </c>
      <c r="E516" t="inlineStr">
        <is>
          <t>ENKÖPING</t>
        </is>
      </c>
      <c r="G516" t="n">
        <v>1.4</v>
      </c>
      <c r="H516" t="n">
        <v>0</v>
      </c>
      <c r="I516" t="n">
        <v>0</v>
      </c>
      <c r="J516" t="n">
        <v>0</v>
      </c>
      <c r="K516" t="n">
        <v>0</v>
      </c>
      <c r="L516" t="n">
        <v>0</v>
      </c>
      <c r="M516" t="n">
        <v>0</v>
      </c>
      <c r="N516" t="n">
        <v>0</v>
      </c>
      <c r="O516" t="n">
        <v>0</v>
      </c>
      <c r="P516" t="n">
        <v>0</v>
      </c>
      <c r="Q516" t="n">
        <v>0</v>
      </c>
      <c r="R516" s="2" t="inlineStr"/>
    </row>
    <row r="517">
      <c r="A517" t="inlineStr">
        <is>
          <t>A 29513-2025</t>
        </is>
      </c>
      <c r="B517" s="1" t="n">
        <v>45825</v>
      </c>
      <c r="C517" s="1" t="n">
        <v>46162</v>
      </c>
      <c r="D517" t="inlineStr">
        <is>
          <t>UPPSALA LÄN</t>
        </is>
      </c>
      <c r="E517" t="inlineStr">
        <is>
          <t>ENKÖPING</t>
        </is>
      </c>
      <c r="G517" t="n">
        <v>2.6</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2026-05-20T11:00:21Z</dcterms:created>
  <dcterms:modified xmlns:dcterms="http://purl.org/dc/terms/" xmlns:xsi="http://www.w3.org/2001/XMLSchema-instance" xsi:type="dcterms:W3CDTF">2026-05-20T11:00:22Z</dcterms:modified>
</cp:coreProperties>
</file>