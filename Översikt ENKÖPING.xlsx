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45915</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45915</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45915</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45915</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45915</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45915</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45915</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45915</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45915</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45915</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45915</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45915</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21970-2025</t>
        </is>
      </c>
      <c r="B20" s="1" t="n">
        <v>45784.63335648148</v>
      </c>
      <c r="C20" s="1" t="n">
        <v>45915</v>
      </c>
      <c r="D20" t="inlineStr">
        <is>
          <t>UPPSALA LÄN</t>
        </is>
      </c>
      <c r="E20" t="inlineStr">
        <is>
          <t>ENKÖPING</t>
        </is>
      </c>
      <c r="G20" t="n">
        <v>5.3</v>
      </c>
      <c r="H20" t="n">
        <v>1</v>
      </c>
      <c r="I20" t="n">
        <v>0</v>
      </c>
      <c r="J20" t="n">
        <v>0</v>
      </c>
      <c r="K20" t="n">
        <v>0</v>
      </c>
      <c r="L20" t="n">
        <v>0</v>
      </c>
      <c r="M20" t="n">
        <v>0</v>
      </c>
      <c r="N20" t="n">
        <v>0</v>
      </c>
      <c r="O20" t="n">
        <v>0</v>
      </c>
      <c r="P20" t="n">
        <v>0</v>
      </c>
      <c r="Q20" t="n">
        <v>1</v>
      </c>
      <c r="R20" s="2" t="inlineStr">
        <is>
          <t>Blåsippa</t>
        </is>
      </c>
      <c r="S20">
        <f>HYPERLINK("https://klasma.github.io/Logging_0381/artfynd/A 21970-2025 artfynd.xlsx", "A 21970-2025")</f>
        <v/>
      </c>
      <c r="T20">
        <f>HYPERLINK("https://klasma.github.io/Logging_0381/kartor/A 21970-2025 karta.png", "A 21970-2025")</f>
        <v/>
      </c>
      <c r="V20">
        <f>HYPERLINK("https://klasma.github.io/Logging_0381/klagomål/A 21970-2025 FSC-klagomål.docx", "A 21970-2025")</f>
        <v/>
      </c>
      <c r="W20">
        <f>HYPERLINK("https://klasma.github.io/Logging_0381/klagomålsmail/A 21970-2025 FSC-klagomål mail.docx", "A 21970-2025")</f>
        <v/>
      </c>
      <c r="X20">
        <f>HYPERLINK("https://klasma.github.io/Logging_0381/tillsyn/A 21970-2025 tillsynsbegäran.docx", "A 21970-2025")</f>
        <v/>
      </c>
      <c r="Y20">
        <f>HYPERLINK("https://klasma.github.io/Logging_0381/tillsynsmail/A 21970-2025 tillsynsbegäran mail.docx", "A 21970-2025")</f>
        <v/>
      </c>
    </row>
    <row r="21" ht="15" customHeight="1">
      <c r="A21" t="inlineStr">
        <is>
          <t>A 33339-2024</t>
        </is>
      </c>
      <c r="B21" s="1" t="n">
        <v>45519</v>
      </c>
      <c r="C21" s="1" t="n">
        <v>45915</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23385-2021</t>
        </is>
      </c>
      <c r="B22" s="1" t="n">
        <v>44333.6091087963</v>
      </c>
      <c r="C22" s="1" t="n">
        <v>45915</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45915</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45116-2023</t>
        </is>
      </c>
      <c r="B24" s="1" t="n">
        <v>45191</v>
      </c>
      <c r="C24" s="1" t="n">
        <v>45915</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27060-2025</t>
        </is>
      </c>
      <c r="B25" s="1" t="n">
        <v>45811.63590277778</v>
      </c>
      <c r="C25" s="1" t="n">
        <v>45915</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23961-2022</t>
        </is>
      </c>
      <c r="B26" s="1" t="n">
        <v>44722</v>
      </c>
      <c r="C26" s="1" t="n">
        <v>45915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45915</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45915</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45915</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29510-2025</t>
        </is>
      </c>
      <c r="B30" s="1" t="n">
        <v>45825</v>
      </c>
      <c r="C30" s="1" t="n">
        <v>45915</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46749-2024</t>
        </is>
      </c>
      <c r="B31" s="1" t="n">
        <v>45583.48347222222</v>
      </c>
      <c r="C31" s="1" t="n">
        <v>45915</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45915</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45915</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45915</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45915</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45915</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45915</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45915</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45915</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45915</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24399-2021</t>
        </is>
      </c>
      <c r="B44" s="1" t="n">
        <v>44337</v>
      </c>
      <c r="C44" s="1" t="n">
        <v>45915</v>
      </c>
      <c r="D44" t="inlineStr">
        <is>
          <t>UPPSALA LÄN</t>
        </is>
      </c>
      <c r="E44" t="inlineStr">
        <is>
          <t>ENKÖPING</t>
        </is>
      </c>
      <c r="G44" t="n">
        <v>4</v>
      </c>
      <c r="H44" t="n">
        <v>0</v>
      </c>
      <c r="I44" t="n">
        <v>0</v>
      </c>
      <c r="J44" t="n">
        <v>0</v>
      </c>
      <c r="K44" t="n">
        <v>0</v>
      </c>
      <c r="L44" t="n">
        <v>0</v>
      </c>
      <c r="M44" t="n">
        <v>0</v>
      </c>
      <c r="N44" t="n">
        <v>0</v>
      </c>
      <c r="O44" t="n">
        <v>0</v>
      </c>
      <c r="P44" t="n">
        <v>0</v>
      </c>
      <c r="Q44" t="n">
        <v>0</v>
      </c>
      <c r="R44" s="2" t="inlineStr"/>
    </row>
    <row r="45" ht="15" customHeight="1">
      <c r="A45" t="inlineStr">
        <is>
          <t>A 48362-2020</t>
        </is>
      </c>
      <c r="B45" s="1" t="n">
        <v>44102</v>
      </c>
      <c r="C45" s="1" t="n">
        <v>45915</v>
      </c>
      <c r="D45" t="inlineStr">
        <is>
          <t>UPPSALA LÄN</t>
        </is>
      </c>
      <c r="E45" t="inlineStr">
        <is>
          <t>ENKÖPING</t>
        </is>
      </c>
      <c r="G45" t="n">
        <v>2.4</v>
      </c>
      <c r="H45" t="n">
        <v>0</v>
      </c>
      <c r="I45" t="n">
        <v>0</v>
      </c>
      <c r="J45" t="n">
        <v>0</v>
      </c>
      <c r="K45" t="n">
        <v>0</v>
      </c>
      <c r="L45" t="n">
        <v>0</v>
      </c>
      <c r="M45" t="n">
        <v>0</v>
      </c>
      <c r="N45" t="n">
        <v>0</v>
      </c>
      <c r="O45" t="n">
        <v>0</v>
      </c>
      <c r="P45" t="n">
        <v>0</v>
      </c>
      <c r="Q45" t="n">
        <v>0</v>
      </c>
      <c r="R45" s="2" t="inlineStr"/>
    </row>
    <row r="46" ht="15" customHeight="1">
      <c r="A46" t="inlineStr">
        <is>
          <t>A 54433-2021</t>
        </is>
      </c>
      <c r="B46" s="1" t="n">
        <v>44473</v>
      </c>
      <c r="C46" s="1" t="n">
        <v>45915</v>
      </c>
      <c r="D46" t="inlineStr">
        <is>
          <t>UPPSALA LÄN</t>
        </is>
      </c>
      <c r="E46" t="inlineStr">
        <is>
          <t>ENKÖPING</t>
        </is>
      </c>
      <c r="G46" t="n">
        <v>1</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45915</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17704-2022</t>
        </is>
      </c>
      <c r="B48" s="1" t="n">
        <v>44680.61315972222</v>
      </c>
      <c r="C48" s="1" t="n">
        <v>45915</v>
      </c>
      <c r="D48" t="inlineStr">
        <is>
          <t>UPPSALA LÄN</t>
        </is>
      </c>
      <c r="E48" t="inlineStr">
        <is>
          <t>ENKÖPING</t>
        </is>
      </c>
      <c r="G48" t="n">
        <v>0.8</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45915</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45915</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45915</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45915</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57066-2021</t>
        </is>
      </c>
      <c r="B53" s="1" t="n">
        <v>44482.5663425926</v>
      </c>
      <c r="C53" s="1" t="n">
        <v>45915</v>
      </c>
      <c r="D53" t="inlineStr">
        <is>
          <t>UPPSALA LÄN</t>
        </is>
      </c>
      <c r="E53" t="inlineStr">
        <is>
          <t>ENKÖPING</t>
        </is>
      </c>
      <c r="G53" t="n">
        <v>1.5</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45915</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45915</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45915</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45915</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45915</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45915</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45915</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45915</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45915</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45915</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45915</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45915</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45915</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45915</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4170-2022</t>
        </is>
      </c>
      <c r="B70" s="1" t="n">
        <v>44588</v>
      </c>
      <c r="C70" s="1" t="n">
        <v>45915</v>
      </c>
      <c r="D70" t="inlineStr">
        <is>
          <t>UPPSALA LÄN</t>
        </is>
      </c>
      <c r="E70" t="inlineStr">
        <is>
          <t>ENKÖPING</t>
        </is>
      </c>
      <c r="G70" t="n">
        <v>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45915</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45915</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16498-2021</t>
        </is>
      </c>
      <c r="B73" s="1" t="n">
        <v>44293</v>
      </c>
      <c r="C73" s="1" t="n">
        <v>45915</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45915</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45915</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45915</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45915</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45915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45915</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45915</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45915</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37410-2022</t>
        </is>
      </c>
      <c r="B83" s="1" t="n">
        <v>44809</v>
      </c>
      <c r="C83" s="1" t="n">
        <v>45915</v>
      </c>
      <c r="D83" t="inlineStr">
        <is>
          <t>UPPSALA LÄN</t>
        </is>
      </c>
      <c r="E83" t="inlineStr">
        <is>
          <t>ENKÖPING</t>
        </is>
      </c>
      <c r="G83" t="n">
        <v>3.6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45915</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45915</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45915</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45915</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45915</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45915</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45915</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45915</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45915</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45915</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45915</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45915</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45915</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57055-2021</t>
        </is>
      </c>
      <c r="B97" s="1" t="n">
        <v>44482.55201388889</v>
      </c>
      <c r="C97" s="1" t="n">
        <v>45915</v>
      </c>
      <c r="D97" t="inlineStr">
        <is>
          <t>UPPSALA LÄN</t>
        </is>
      </c>
      <c r="E97" t="inlineStr">
        <is>
          <t>ENKÖPING</t>
        </is>
      </c>
      <c r="G97" t="n">
        <v>3.3</v>
      </c>
      <c r="H97" t="n">
        <v>0</v>
      </c>
      <c r="I97" t="n">
        <v>0</v>
      </c>
      <c r="J97" t="n">
        <v>0</v>
      </c>
      <c r="K97" t="n">
        <v>0</v>
      </c>
      <c r="L97" t="n">
        <v>0</v>
      </c>
      <c r="M97" t="n">
        <v>0</v>
      </c>
      <c r="N97" t="n">
        <v>0</v>
      </c>
      <c r="O97" t="n">
        <v>0</v>
      </c>
      <c r="P97" t="n">
        <v>0</v>
      </c>
      <c r="Q97" t="n">
        <v>0</v>
      </c>
      <c r="R97" s="2" t="inlineStr"/>
    </row>
    <row r="98" ht="15" customHeight="1">
      <c r="A98" t="inlineStr">
        <is>
          <t>A 60874-2021</t>
        </is>
      </c>
      <c r="B98" s="1" t="n">
        <v>44497</v>
      </c>
      <c r="C98" s="1" t="n">
        <v>45915</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45915</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45915</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45915</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45915</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45915</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45915</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19630-2021</t>
        </is>
      </c>
      <c r="B105" s="1" t="n">
        <v>44312.61876157407</v>
      </c>
      <c r="C105" s="1" t="n">
        <v>45915</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45915</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45915</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45915</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47516-2022</t>
        </is>
      </c>
      <c r="B109" s="1" t="n">
        <v>44853.68895833333</v>
      </c>
      <c r="C109" s="1" t="n">
        <v>45915</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45915</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68127-2021</t>
        </is>
      </c>
      <c r="B111" s="1" t="n">
        <v>44526.39513888889</v>
      </c>
      <c r="C111" s="1" t="n">
        <v>45915</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45915</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29983-2021</t>
        </is>
      </c>
      <c r="B113" s="1" t="n">
        <v>44363</v>
      </c>
      <c r="C113" s="1" t="n">
        <v>45915</v>
      </c>
      <c r="D113" t="inlineStr">
        <is>
          <t>UPPSALA LÄN</t>
        </is>
      </c>
      <c r="E113" t="inlineStr">
        <is>
          <t>ENKÖPING</t>
        </is>
      </c>
      <c r="F113" t="inlineStr">
        <is>
          <t>Kommuner</t>
        </is>
      </c>
      <c r="G113" t="n">
        <v>3.1</v>
      </c>
      <c r="H113" t="n">
        <v>0</v>
      </c>
      <c r="I113" t="n">
        <v>0</v>
      </c>
      <c r="J113" t="n">
        <v>0</v>
      </c>
      <c r="K113" t="n">
        <v>0</v>
      </c>
      <c r="L113" t="n">
        <v>0</v>
      </c>
      <c r="M113" t="n">
        <v>0</v>
      </c>
      <c r="N113" t="n">
        <v>0</v>
      </c>
      <c r="O113" t="n">
        <v>0</v>
      </c>
      <c r="P113" t="n">
        <v>0</v>
      </c>
      <c r="Q113" t="n">
        <v>0</v>
      </c>
      <c r="R113" s="2" t="inlineStr"/>
    </row>
    <row r="114" ht="15" customHeight="1">
      <c r="A114" t="inlineStr">
        <is>
          <t>A 52464-2020</t>
        </is>
      </c>
      <c r="B114" s="1" t="n">
        <v>44118</v>
      </c>
      <c r="C114" s="1" t="n">
        <v>45915</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31013-2022</t>
        </is>
      </c>
      <c r="B115" s="1" t="n">
        <v>44768</v>
      </c>
      <c r="C115" s="1" t="n">
        <v>45915</v>
      </c>
      <c r="D115" t="inlineStr">
        <is>
          <t>UPPSALA LÄN</t>
        </is>
      </c>
      <c r="E115" t="inlineStr">
        <is>
          <t>ENKÖPING</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46103-2023</t>
        </is>
      </c>
      <c r="B116" s="1" t="n">
        <v>45190</v>
      </c>
      <c r="C116" s="1" t="n">
        <v>45915</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31965-2021</t>
        </is>
      </c>
      <c r="B117" s="1" t="n">
        <v>44370.56901620371</v>
      </c>
      <c r="C117" s="1" t="n">
        <v>45915</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42029-2021</t>
        </is>
      </c>
      <c r="B118" s="1" t="n">
        <v>44426</v>
      </c>
      <c r="C118" s="1" t="n">
        <v>45915</v>
      </c>
      <c r="D118" t="inlineStr">
        <is>
          <t>UPPSALA LÄN</t>
        </is>
      </c>
      <c r="E118" t="inlineStr">
        <is>
          <t>ENKÖPING</t>
        </is>
      </c>
      <c r="G118" t="n">
        <v>5.3</v>
      </c>
      <c r="H118" t="n">
        <v>0</v>
      </c>
      <c r="I118" t="n">
        <v>0</v>
      </c>
      <c r="J118" t="n">
        <v>0</v>
      </c>
      <c r="K118" t="n">
        <v>0</v>
      </c>
      <c r="L118" t="n">
        <v>0</v>
      </c>
      <c r="M118" t="n">
        <v>0</v>
      </c>
      <c r="N118" t="n">
        <v>0</v>
      </c>
      <c r="O118" t="n">
        <v>0</v>
      </c>
      <c r="P118" t="n">
        <v>0</v>
      </c>
      <c r="Q118" t="n">
        <v>0</v>
      </c>
      <c r="R118" s="2" t="inlineStr"/>
    </row>
    <row r="119" ht="15" customHeight="1">
      <c r="A119" t="inlineStr">
        <is>
          <t>A 10468-2025</t>
        </is>
      </c>
      <c r="B119" s="1" t="n">
        <v>45720</v>
      </c>
      <c r="C119" s="1" t="n">
        <v>45915</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45915</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43488-2023</t>
        </is>
      </c>
      <c r="B121" s="1" t="n">
        <v>45181</v>
      </c>
      <c r="C121" s="1" t="n">
        <v>45915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12755-2025</t>
        </is>
      </c>
      <c r="B122" s="1" t="n">
        <v>45733.56541666666</v>
      </c>
      <c r="C122" s="1" t="n">
        <v>45915</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45915</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57152-2021</t>
        </is>
      </c>
      <c r="B124" s="1" t="n">
        <v>44482</v>
      </c>
      <c r="C124" s="1" t="n">
        <v>45915</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30437-2022</t>
        </is>
      </c>
      <c r="B125" s="1" t="n">
        <v>44761</v>
      </c>
      <c r="C125" s="1" t="n">
        <v>45915</v>
      </c>
      <c r="D125" t="inlineStr">
        <is>
          <t>UPPSALA LÄN</t>
        </is>
      </c>
      <c r="E125" t="inlineStr">
        <is>
          <t>ENKÖPING</t>
        </is>
      </c>
      <c r="G125" t="n">
        <v>3.4</v>
      </c>
      <c r="H125" t="n">
        <v>0</v>
      </c>
      <c r="I125" t="n">
        <v>0</v>
      </c>
      <c r="J125" t="n">
        <v>0</v>
      </c>
      <c r="K125" t="n">
        <v>0</v>
      </c>
      <c r="L125" t="n">
        <v>0</v>
      </c>
      <c r="M125" t="n">
        <v>0</v>
      </c>
      <c r="N125" t="n">
        <v>0</v>
      </c>
      <c r="O125" t="n">
        <v>0</v>
      </c>
      <c r="P125" t="n">
        <v>0</v>
      </c>
      <c r="Q125" t="n">
        <v>0</v>
      </c>
      <c r="R125" s="2" t="inlineStr"/>
    </row>
    <row r="126" ht="15" customHeight="1">
      <c r="A126" t="inlineStr">
        <is>
          <t>A 12572-2021</t>
        </is>
      </c>
      <c r="B126" s="1" t="n">
        <v>44270.36438657407</v>
      </c>
      <c r="C126" s="1" t="n">
        <v>45915</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4044-2024</t>
        </is>
      </c>
      <c r="B127" s="1" t="n">
        <v>45323.45954861111</v>
      </c>
      <c r="C127" s="1" t="n">
        <v>45915</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20112-2024</t>
        </is>
      </c>
      <c r="B128" s="1" t="n">
        <v>45434</v>
      </c>
      <c r="C128" s="1" t="n">
        <v>45915</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45915</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1971-2022</t>
        </is>
      </c>
      <c r="B130" s="1" t="n">
        <v>44575</v>
      </c>
      <c r="C130" s="1" t="n">
        <v>45915</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12878-2025</t>
        </is>
      </c>
      <c r="B131" s="1" t="n">
        <v>45733.68571759259</v>
      </c>
      <c r="C131" s="1" t="n">
        <v>45915</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51932-2022</t>
        </is>
      </c>
      <c r="B132" s="1" t="n">
        <v>44872</v>
      </c>
      <c r="C132" s="1" t="n">
        <v>45915</v>
      </c>
      <c r="D132" t="inlineStr">
        <is>
          <t>UPPSALA LÄN</t>
        </is>
      </c>
      <c r="E132" t="inlineStr">
        <is>
          <t>ENKÖPING</t>
        </is>
      </c>
      <c r="G132" t="n">
        <v>5.5</v>
      </c>
      <c r="H132" t="n">
        <v>0</v>
      </c>
      <c r="I132" t="n">
        <v>0</v>
      </c>
      <c r="J132" t="n">
        <v>0</v>
      </c>
      <c r="K132" t="n">
        <v>0</v>
      </c>
      <c r="L132" t="n">
        <v>0</v>
      </c>
      <c r="M132" t="n">
        <v>0</v>
      </c>
      <c r="N132" t="n">
        <v>0</v>
      </c>
      <c r="O132" t="n">
        <v>0</v>
      </c>
      <c r="P132" t="n">
        <v>0</v>
      </c>
      <c r="Q132" t="n">
        <v>0</v>
      </c>
      <c r="R132" s="2" t="inlineStr"/>
    </row>
    <row r="133" ht="15" customHeight="1">
      <c r="A133" t="inlineStr">
        <is>
          <t>A 63310-2021</t>
        </is>
      </c>
      <c r="B133" s="1" t="n">
        <v>44508</v>
      </c>
      <c r="C133" s="1" t="n">
        <v>45915</v>
      </c>
      <c r="D133" t="inlineStr">
        <is>
          <t>UPPSALA LÄN</t>
        </is>
      </c>
      <c r="E133" t="inlineStr">
        <is>
          <t>ENKÖPING</t>
        </is>
      </c>
      <c r="G133" t="n">
        <v>3.5</v>
      </c>
      <c r="H133" t="n">
        <v>0</v>
      </c>
      <c r="I133" t="n">
        <v>0</v>
      </c>
      <c r="J133" t="n">
        <v>0</v>
      </c>
      <c r="K133" t="n">
        <v>0</v>
      </c>
      <c r="L133" t="n">
        <v>0</v>
      </c>
      <c r="M133" t="n">
        <v>0</v>
      </c>
      <c r="N133" t="n">
        <v>0</v>
      </c>
      <c r="O133" t="n">
        <v>0</v>
      </c>
      <c r="P133" t="n">
        <v>0</v>
      </c>
      <c r="Q133" t="n">
        <v>0</v>
      </c>
      <c r="R133" s="2" t="inlineStr"/>
    </row>
    <row r="134" ht="15" customHeight="1">
      <c r="A134" t="inlineStr">
        <is>
          <t>A 52889-2022</t>
        </is>
      </c>
      <c r="B134" s="1" t="n">
        <v>44875</v>
      </c>
      <c r="C134" s="1" t="n">
        <v>45915</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12958-2024</t>
        </is>
      </c>
      <c r="B135" s="1" t="n">
        <v>45385</v>
      </c>
      <c r="C135" s="1" t="n">
        <v>45915</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61106-2022</t>
        </is>
      </c>
      <c r="B136" s="1" t="n">
        <v>44915.4128587963</v>
      </c>
      <c r="C136" s="1" t="n">
        <v>45915</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47681-2024</t>
        </is>
      </c>
      <c r="B137" s="1" t="n">
        <v>45588</v>
      </c>
      <c r="C137" s="1" t="n">
        <v>45915</v>
      </c>
      <c r="D137" t="inlineStr">
        <is>
          <t>UPPSALA LÄN</t>
        </is>
      </c>
      <c r="E137" t="inlineStr">
        <is>
          <t>ENKÖPING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12754-2025</t>
        </is>
      </c>
      <c r="B138" s="1" t="n">
        <v>45733.56331018519</v>
      </c>
      <c r="C138" s="1" t="n">
        <v>45915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54588-2024</t>
        </is>
      </c>
      <c r="B139" s="1" t="n">
        <v>45617</v>
      </c>
      <c r="C139" s="1" t="n">
        <v>45915</v>
      </c>
      <c r="D139" t="inlineStr">
        <is>
          <t>UPPSALA LÄN</t>
        </is>
      </c>
      <c r="E139" t="inlineStr">
        <is>
          <t>ENKÖPING</t>
        </is>
      </c>
      <c r="G139" t="n">
        <v>3.7</v>
      </c>
      <c r="H139" t="n">
        <v>0</v>
      </c>
      <c r="I139" t="n">
        <v>0</v>
      </c>
      <c r="J139" t="n">
        <v>0</v>
      </c>
      <c r="K139" t="n">
        <v>0</v>
      </c>
      <c r="L139" t="n">
        <v>0</v>
      </c>
      <c r="M139" t="n">
        <v>0</v>
      </c>
      <c r="N139" t="n">
        <v>0</v>
      </c>
      <c r="O139" t="n">
        <v>0</v>
      </c>
      <c r="P139" t="n">
        <v>0</v>
      </c>
      <c r="Q139" t="n">
        <v>0</v>
      </c>
      <c r="R139" s="2" t="inlineStr"/>
    </row>
    <row r="140" ht="15" customHeight="1">
      <c r="A140" t="inlineStr">
        <is>
          <t>A 56713-2024</t>
        </is>
      </c>
      <c r="B140" s="1" t="n">
        <v>45628</v>
      </c>
      <c r="C140" s="1" t="n">
        <v>45915</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9171-2024</t>
        </is>
      </c>
      <c r="B141" s="1" t="n">
        <v>45358</v>
      </c>
      <c r="C141" s="1" t="n">
        <v>45915</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51524-2022</t>
        </is>
      </c>
      <c r="B142" s="1" t="n">
        <v>44869</v>
      </c>
      <c r="C142" s="1" t="n">
        <v>45915</v>
      </c>
      <c r="D142" t="inlineStr">
        <is>
          <t>UPPSALA LÄN</t>
        </is>
      </c>
      <c r="E142" t="inlineStr">
        <is>
          <t>ENKÖPING</t>
        </is>
      </c>
      <c r="G142" t="n">
        <v>6.6</v>
      </c>
      <c r="H142" t="n">
        <v>0</v>
      </c>
      <c r="I142" t="n">
        <v>0</v>
      </c>
      <c r="J142" t="n">
        <v>0</v>
      </c>
      <c r="K142" t="n">
        <v>0</v>
      </c>
      <c r="L142" t="n">
        <v>0</v>
      </c>
      <c r="M142" t="n">
        <v>0</v>
      </c>
      <c r="N142" t="n">
        <v>0</v>
      </c>
      <c r="O142" t="n">
        <v>0</v>
      </c>
      <c r="P142" t="n">
        <v>0</v>
      </c>
      <c r="Q142" t="n">
        <v>0</v>
      </c>
      <c r="R142" s="2" t="inlineStr"/>
    </row>
    <row r="143" ht="15" customHeight="1">
      <c r="A143" t="inlineStr">
        <is>
          <t>A 671-2022</t>
        </is>
      </c>
      <c r="B143" s="1" t="n">
        <v>44568</v>
      </c>
      <c r="C143" s="1" t="n">
        <v>45915</v>
      </c>
      <c r="D143" t="inlineStr">
        <is>
          <t>UPPSALA LÄN</t>
        </is>
      </c>
      <c r="E143" t="inlineStr">
        <is>
          <t>ENKÖPING</t>
        </is>
      </c>
      <c r="G143" t="n">
        <v>3.5</v>
      </c>
      <c r="H143" t="n">
        <v>0</v>
      </c>
      <c r="I143" t="n">
        <v>0</v>
      </c>
      <c r="J143" t="n">
        <v>0</v>
      </c>
      <c r="K143" t="n">
        <v>0</v>
      </c>
      <c r="L143" t="n">
        <v>0</v>
      </c>
      <c r="M143" t="n">
        <v>0</v>
      </c>
      <c r="N143" t="n">
        <v>0</v>
      </c>
      <c r="O143" t="n">
        <v>0</v>
      </c>
      <c r="P143" t="n">
        <v>0</v>
      </c>
      <c r="Q143" t="n">
        <v>0</v>
      </c>
      <c r="R143" s="2" t="inlineStr"/>
    </row>
    <row r="144" ht="15" customHeight="1">
      <c r="A144" t="inlineStr">
        <is>
          <t>A 11005-2023</t>
        </is>
      </c>
      <c r="B144" s="1" t="n">
        <v>44991</v>
      </c>
      <c r="C144" s="1" t="n">
        <v>45915</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8137-2025</t>
        </is>
      </c>
      <c r="B145" s="1" t="n">
        <v>45707.8561574074</v>
      </c>
      <c r="C145" s="1" t="n">
        <v>45915</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7868-2024</t>
        </is>
      </c>
      <c r="B146" s="1" t="n">
        <v>45350.33020833333</v>
      </c>
      <c r="C146" s="1" t="n">
        <v>45915</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29918-2023</t>
        </is>
      </c>
      <c r="B147" s="1" t="n">
        <v>45099</v>
      </c>
      <c r="C147" s="1" t="n">
        <v>45915</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40812-2022</t>
        </is>
      </c>
      <c r="B148" s="1" t="n">
        <v>44824.68791666667</v>
      </c>
      <c r="C148" s="1" t="n">
        <v>45915</v>
      </c>
      <c r="D148" t="inlineStr">
        <is>
          <t>UPPSALA LÄN</t>
        </is>
      </c>
      <c r="E148" t="inlineStr">
        <is>
          <t>ENKÖPING</t>
        </is>
      </c>
      <c r="G148" t="n">
        <v>1.4</v>
      </c>
      <c r="H148" t="n">
        <v>0</v>
      </c>
      <c r="I148" t="n">
        <v>0</v>
      </c>
      <c r="J148" t="n">
        <v>0</v>
      </c>
      <c r="K148" t="n">
        <v>0</v>
      </c>
      <c r="L148" t="n">
        <v>0</v>
      </c>
      <c r="M148" t="n">
        <v>0</v>
      </c>
      <c r="N148" t="n">
        <v>0</v>
      </c>
      <c r="O148" t="n">
        <v>0</v>
      </c>
      <c r="P148" t="n">
        <v>0</v>
      </c>
      <c r="Q148" t="n">
        <v>0</v>
      </c>
      <c r="R148" s="2" t="inlineStr"/>
    </row>
    <row r="149" ht="15" customHeight="1">
      <c r="A149" t="inlineStr">
        <is>
          <t>A 51008-2024</t>
        </is>
      </c>
      <c r="B149" s="1" t="n">
        <v>45603.39041666667</v>
      </c>
      <c r="C149" s="1" t="n">
        <v>45915</v>
      </c>
      <c r="D149" t="inlineStr">
        <is>
          <t>UPPSALA LÄN</t>
        </is>
      </c>
      <c r="E149" t="inlineStr">
        <is>
          <t>ENKÖPING</t>
        </is>
      </c>
      <c r="G149" t="n">
        <v>2.4</v>
      </c>
      <c r="H149" t="n">
        <v>0</v>
      </c>
      <c r="I149" t="n">
        <v>0</v>
      </c>
      <c r="J149" t="n">
        <v>0</v>
      </c>
      <c r="K149" t="n">
        <v>0</v>
      </c>
      <c r="L149" t="n">
        <v>0</v>
      </c>
      <c r="M149" t="n">
        <v>0</v>
      </c>
      <c r="N149" t="n">
        <v>0</v>
      </c>
      <c r="O149" t="n">
        <v>0</v>
      </c>
      <c r="P149" t="n">
        <v>0</v>
      </c>
      <c r="Q149" t="n">
        <v>0</v>
      </c>
      <c r="R149" s="2" t="inlineStr"/>
    </row>
    <row r="150" ht="15" customHeight="1">
      <c r="A150" t="inlineStr">
        <is>
          <t>A 24291-2024</t>
        </is>
      </c>
      <c r="B150" s="1" t="n">
        <v>45457.4584837963</v>
      </c>
      <c r="C150" s="1" t="n">
        <v>45915</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35052-2024</t>
        </is>
      </c>
      <c r="B151" s="1" t="n">
        <v>45527.6516087963</v>
      </c>
      <c r="C151" s="1" t="n">
        <v>45915</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21017-2023</t>
        </is>
      </c>
      <c r="B152" s="1" t="n">
        <v>45061</v>
      </c>
      <c r="C152" s="1" t="n">
        <v>45915</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45915</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45915</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45915</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45915</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57142-2021</t>
        </is>
      </c>
      <c r="B157" s="1" t="n">
        <v>44482</v>
      </c>
      <c r="C157" s="1" t="n">
        <v>45915</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57153-2021</t>
        </is>
      </c>
      <c r="B158" s="1" t="n">
        <v>44482</v>
      </c>
      <c r="C158" s="1" t="n">
        <v>45915</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5188-2022</t>
        </is>
      </c>
      <c r="B159" s="1" t="n">
        <v>44594.4471412037</v>
      </c>
      <c r="C159" s="1" t="n">
        <v>45915</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44232-2022</t>
        </is>
      </c>
      <c r="B160" s="1" t="n">
        <v>44839</v>
      </c>
      <c r="C160" s="1" t="n">
        <v>45915</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19014-2025</t>
        </is>
      </c>
      <c r="B161" s="1" t="n">
        <v>45764.59631944444</v>
      </c>
      <c r="C161" s="1" t="n">
        <v>45915</v>
      </c>
      <c r="D161" t="inlineStr">
        <is>
          <t>UPPSALA LÄN</t>
        </is>
      </c>
      <c r="E161" t="inlineStr">
        <is>
          <t>ENKÖPING</t>
        </is>
      </c>
      <c r="G161" t="n">
        <v>0.2</v>
      </c>
      <c r="H161" t="n">
        <v>0</v>
      </c>
      <c r="I161" t="n">
        <v>0</v>
      </c>
      <c r="J161" t="n">
        <v>0</v>
      </c>
      <c r="K161" t="n">
        <v>0</v>
      </c>
      <c r="L161" t="n">
        <v>0</v>
      </c>
      <c r="M161" t="n">
        <v>0</v>
      </c>
      <c r="N161" t="n">
        <v>0</v>
      </c>
      <c r="O161" t="n">
        <v>0</v>
      </c>
      <c r="P161" t="n">
        <v>0</v>
      </c>
      <c r="Q161" t="n">
        <v>0</v>
      </c>
      <c r="R161" s="2" t="inlineStr"/>
    </row>
    <row r="162" ht="15" customHeight="1">
      <c r="A162" t="inlineStr">
        <is>
          <t>A 43691-2024</t>
        </is>
      </c>
      <c r="B162" s="1" t="n">
        <v>45569</v>
      </c>
      <c r="C162" s="1" t="n">
        <v>45915</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47428-2023</t>
        </is>
      </c>
      <c r="B163" s="1" t="n">
        <v>45202.66664351852</v>
      </c>
      <c r="C163" s="1" t="n">
        <v>45915</v>
      </c>
      <c r="D163" t="inlineStr">
        <is>
          <t>UPPSALA LÄN</t>
        </is>
      </c>
      <c r="E163" t="inlineStr">
        <is>
          <t>ENKÖPING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19376-2024</t>
        </is>
      </c>
      <c r="B164" s="1" t="n">
        <v>45429</v>
      </c>
      <c r="C164" s="1" t="n">
        <v>45915</v>
      </c>
      <c r="D164" t="inlineStr">
        <is>
          <t>UPPSALA LÄN</t>
        </is>
      </c>
      <c r="E164" t="inlineStr">
        <is>
          <t>ENKÖPING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45362-2022</t>
        </is>
      </c>
      <c r="B165" s="1" t="n">
        <v>44844.62366898148</v>
      </c>
      <c r="C165" s="1" t="n">
        <v>45915</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56526-2022</t>
        </is>
      </c>
      <c r="B166" s="1" t="n">
        <v>44893</v>
      </c>
      <c r="C166" s="1" t="n">
        <v>45915</v>
      </c>
      <c r="D166" t="inlineStr">
        <is>
          <t>UPPSALA LÄN</t>
        </is>
      </c>
      <c r="E166" t="inlineStr">
        <is>
          <t>ENKÖPING</t>
        </is>
      </c>
      <c r="G166" t="n">
        <v>3.8</v>
      </c>
      <c r="H166" t="n">
        <v>0</v>
      </c>
      <c r="I166" t="n">
        <v>0</v>
      </c>
      <c r="J166" t="n">
        <v>0</v>
      </c>
      <c r="K166" t="n">
        <v>0</v>
      </c>
      <c r="L166" t="n">
        <v>0</v>
      </c>
      <c r="M166" t="n">
        <v>0</v>
      </c>
      <c r="N166" t="n">
        <v>0</v>
      </c>
      <c r="O166" t="n">
        <v>0</v>
      </c>
      <c r="P166" t="n">
        <v>0</v>
      </c>
      <c r="Q166" t="n">
        <v>0</v>
      </c>
      <c r="R166" s="2" t="inlineStr"/>
    </row>
    <row r="167" ht="15" customHeight="1">
      <c r="A167" t="inlineStr">
        <is>
          <t>A 33670-2024</t>
        </is>
      </c>
      <c r="B167" s="1" t="n">
        <v>45520</v>
      </c>
      <c r="C167" s="1" t="n">
        <v>45915</v>
      </c>
      <c r="D167" t="inlineStr">
        <is>
          <t>UPPSALA LÄN</t>
        </is>
      </c>
      <c r="E167" t="inlineStr">
        <is>
          <t>ENKÖPING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14518-2025</t>
        </is>
      </c>
      <c r="B168" s="1" t="n">
        <v>45741</v>
      </c>
      <c r="C168" s="1" t="n">
        <v>45915</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60350-2022</t>
        </is>
      </c>
      <c r="B169" s="1" t="n">
        <v>44910</v>
      </c>
      <c r="C169" s="1" t="n">
        <v>45915</v>
      </c>
      <c r="D169" t="inlineStr">
        <is>
          <t>UPPSALA LÄN</t>
        </is>
      </c>
      <c r="E169" t="inlineStr">
        <is>
          <t>ENKÖPING</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28518-2024</t>
        </is>
      </c>
      <c r="B170" s="1" t="n">
        <v>45477</v>
      </c>
      <c r="C170" s="1" t="n">
        <v>45915</v>
      </c>
      <c r="D170" t="inlineStr">
        <is>
          <t>UPPSALA LÄN</t>
        </is>
      </c>
      <c r="E170" t="inlineStr">
        <is>
          <t>ENKÖPING</t>
        </is>
      </c>
      <c r="G170" t="n">
        <v>3.4</v>
      </c>
      <c r="H170" t="n">
        <v>0</v>
      </c>
      <c r="I170" t="n">
        <v>0</v>
      </c>
      <c r="J170" t="n">
        <v>0</v>
      </c>
      <c r="K170" t="n">
        <v>0</v>
      </c>
      <c r="L170" t="n">
        <v>0</v>
      </c>
      <c r="M170" t="n">
        <v>0</v>
      </c>
      <c r="N170" t="n">
        <v>0</v>
      </c>
      <c r="O170" t="n">
        <v>0</v>
      </c>
      <c r="P170" t="n">
        <v>0</v>
      </c>
      <c r="Q170" t="n">
        <v>0</v>
      </c>
      <c r="R170" s="2" t="inlineStr"/>
    </row>
    <row r="171" ht="15" customHeight="1">
      <c r="A171" t="inlineStr">
        <is>
          <t>A 19147-2024</t>
        </is>
      </c>
      <c r="B171" s="1" t="n">
        <v>45428</v>
      </c>
      <c r="C171" s="1" t="n">
        <v>45915</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57802-2020</t>
        </is>
      </c>
      <c r="B172" s="1" t="n">
        <v>44141</v>
      </c>
      <c r="C172" s="1" t="n">
        <v>45915</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54776-2024</t>
        </is>
      </c>
      <c r="B173" s="1" t="n">
        <v>45618</v>
      </c>
      <c r="C173" s="1" t="n">
        <v>45915</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67982-2021</t>
        </is>
      </c>
      <c r="B174" s="1" t="n">
        <v>44525</v>
      </c>
      <c r="C174" s="1" t="n">
        <v>45915</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22150-2025</t>
        </is>
      </c>
      <c r="B175" s="1" t="n">
        <v>45785.56398148148</v>
      </c>
      <c r="C175" s="1" t="n">
        <v>45915</v>
      </c>
      <c r="D175" t="inlineStr">
        <is>
          <t>UPPSALA LÄN</t>
        </is>
      </c>
      <c r="E175" t="inlineStr">
        <is>
          <t>ENKÖPING</t>
        </is>
      </c>
      <c r="G175" t="n">
        <v>1.3</v>
      </c>
      <c r="H175" t="n">
        <v>0</v>
      </c>
      <c r="I175" t="n">
        <v>0</v>
      </c>
      <c r="J175" t="n">
        <v>0</v>
      </c>
      <c r="K175" t="n">
        <v>0</v>
      </c>
      <c r="L175" t="n">
        <v>0</v>
      </c>
      <c r="M175" t="n">
        <v>0</v>
      </c>
      <c r="N175" t="n">
        <v>0</v>
      </c>
      <c r="O175" t="n">
        <v>0</v>
      </c>
      <c r="P175" t="n">
        <v>0</v>
      </c>
      <c r="Q175" t="n">
        <v>0</v>
      </c>
      <c r="R175" s="2" t="inlineStr"/>
    </row>
    <row r="176" ht="15" customHeight="1">
      <c r="A176" t="inlineStr">
        <is>
          <t>A 30098-2024</t>
        </is>
      </c>
      <c r="B176" s="1" t="n">
        <v>45489.41609953704</v>
      </c>
      <c r="C176" s="1" t="n">
        <v>45915</v>
      </c>
      <c r="D176" t="inlineStr">
        <is>
          <t>UPPSALA LÄN</t>
        </is>
      </c>
      <c r="E176" t="inlineStr">
        <is>
          <t>ENKÖPING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57835-2024</t>
        </is>
      </c>
      <c r="B177" s="1" t="n">
        <v>45631.39947916667</v>
      </c>
      <c r="C177" s="1" t="n">
        <v>45915</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22156-2025</t>
        </is>
      </c>
      <c r="B178" s="1" t="n">
        <v>45785.57512731481</v>
      </c>
      <c r="C178" s="1" t="n">
        <v>45915</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21612-2023</t>
        </is>
      </c>
      <c r="B179" s="1" t="n">
        <v>45063</v>
      </c>
      <c r="C179" s="1" t="n">
        <v>45915</v>
      </c>
      <c r="D179" t="inlineStr">
        <is>
          <t>UPPSALA LÄN</t>
        </is>
      </c>
      <c r="E179" t="inlineStr">
        <is>
          <t>ENKÖPING</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39624-2023</t>
        </is>
      </c>
      <c r="B180" s="1" t="n">
        <v>45164</v>
      </c>
      <c r="C180" s="1" t="n">
        <v>45915</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30087-2024</t>
        </is>
      </c>
      <c r="B181" s="1" t="n">
        <v>45489.39447916667</v>
      </c>
      <c r="C181" s="1" t="n">
        <v>45915</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5892-2023</t>
        </is>
      </c>
      <c r="B182" s="1" t="n">
        <v>44963.64883101852</v>
      </c>
      <c r="C182" s="1" t="n">
        <v>45915</v>
      </c>
      <c r="D182" t="inlineStr">
        <is>
          <t>UPPSALA LÄN</t>
        </is>
      </c>
      <c r="E182" t="inlineStr">
        <is>
          <t>ENKÖPING</t>
        </is>
      </c>
      <c r="G182" t="n">
        <v>5.5</v>
      </c>
      <c r="H182" t="n">
        <v>0</v>
      </c>
      <c r="I182" t="n">
        <v>0</v>
      </c>
      <c r="J182" t="n">
        <v>0</v>
      </c>
      <c r="K182" t="n">
        <v>0</v>
      </c>
      <c r="L182" t="n">
        <v>0</v>
      </c>
      <c r="M182" t="n">
        <v>0</v>
      </c>
      <c r="N182" t="n">
        <v>0</v>
      </c>
      <c r="O182" t="n">
        <v>0</v>
      </c>
      <c r="P182" t="n">
        <v>0</v>
      </c>
      <c r="Q182" t="n">
        <v>0</v>
      </c>
      <c r="R182" s="2" t="inlineStr"/>
    </row>
    <row r="183" ht="15" customHeight="1">
      <c r="A183" t="inlineStr">
        <is>
          <t>A 22632-2025</t>
        </is>
      </c>
      <c r="B183" s="1" t="n">
        <v>45789.44361111111</v>
      </c>
      <c r="C183" s="1" t="n">
        <v>45915</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22677-2025</t>
        </is>
      </c>
      <c r="B184" s="1" t="n">
        <v>45789.49515046296</v>
      </c>
      <c r="C184" s="1" t="n">
        <v>45915</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22679-2025</t>
        </is>
      </c>
      <c r="B185" s="1" t="n">
        <v>45789.49747685185</v>
      </c>
      <c r="C185" s="1" t="n">
        <v>45915</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22729-2025</t>
        </is>
      </c>
      <c r="B186" s="1" t="n">
        <v>45789.57790509259</v>
      </c>
      <c r="C186" s="1" t="n">
        <v>45915</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22786-2025</t>
        </is>
      </c>
      <c r="B187" s="1" t="n">
        <v>45789.64643518518</v>
      </c>
      <c r="C187" s="1" t="n">
        <v>45915</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39858-2024</t>
        </is>
      </c>
      <c r="B188" s="1" t="n">
        <v>45553</v>
      </c>
      <c r="C188" s="1" t="n">
        <v>45915</v>
      </c>
      <c r="D188" t="inlineStr">
        <is>
          <t>UPPSALA LÄN</t>
        </is>
      </c>
      <c r="E188" t="inlineStr">
        <is>
          <t>ENKÖPING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1651-2024</t>
        </is>
      </c>
      <c r="B189" s="1" t="n">
        <v>45306.73770833333</v>
      </c>
      <c r="C189" s="1" t="n">
        <v>45915</v>
      </c>
      <c r="D189" t="inlineStr">
        <is>
          <t>UPPSALA LÄN</t>
        </is>
      </c>
      <c r="E189" t="inlineStr">
        <is>
          <t>ENKÖPING</t>
        </is>
      </c>
      <c r="G189" t="n">
        <v>10.2</v>
      </c>
      <c r="H189" t="n">
        <v>0</v>
      </c>
      <c r="I189" t="n">
        <v>0</v>
      </c>
      <c r="J189" t="n">
        <v>0</v>
      </c>
      <c r="K189" t="n">
        <v>0</v>
      </c>
      <c r="L189" t="n">
        <v>0</v>
      </c>
      <c r="M189" t="n">
        <v>0</v>
      </c>
      <c r="N189" t="n">
        <v>0</v>
      </c>
      <c r="O189" t="n">
        <v>0</v>
      </c>
      <c r="P189" t="n">
        <v>0</v>
      </c>
      <c r="Q189" t="n">
        <v>0</v>
      </c>
      <c r="R189" s="2" t="inlineStr"/>
    </row>
    <row r="190" ht="15" customHeight="1">
      <c r="A190" t="inlineStr">
        <is>
          <t>A 22795-2025</t>
        </is>
      </c>
      <c r="B190" s="1" t="n">
        <v>45789.65944444444</v>
      </c>
      <c r="C190" s="1" t="n">
        <v>45915</v>
      </c>
      <c r="D190" t="inlineStr">
        <is>
          <t>UPPSALA LÄN</t>
        </is>
      </c>
      <c r="E190" t="inlineStr">
        <is>
          <t>ENKÖPING</t>
        </is>
      </c>
      <c r="G190" t="n">
        <v>10.4</v>
      </c>
      <c r="H190" t="n">
        <v>0</v>
      </c>
      <c r="I190" t="n">
        <v>0</v>
      </c>
      <c r="J190" t="n">
        <v>0</v>
      </c>
      <c r="K190" t="n">
        <v>0</v>
      </c>
      <c r="L190" t="n">
        <v>0</v>
      </c>
      <c r="M190" t="n">
        <v>0</v>
      </c>
      <c r="N190" t="n">
        <v>0</v>
      </c>
      <c r="O190" t="n">
        <v>0</v>
      </c>
      <c r="P190" t="n">
        <v>0</v>
      </c>
      <c r="Q190" t="n">
        <v>0</v>
      </c>
      <c r="R190" s="2" t="inlineStr"/>
    </row>
    <row r="191" ht="15" customHeight="1">
      <c r="A191" t="inlineStr">
        <is>
          <t>A 22802-2025</t>
        </is>
      </c>
      <c r="B191" s="1" t="n">
        <v>45789.6686574074</v>
      </c>
      <c r="C191" s="1" t="n">
        <v>45915</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60289-2022</t>
        </is>
      </c>
      <c r="B192" s="1" t="n">
        <v>44910.53026620371</v>
      </c>
      <c r="C192" s="1" t="n">
        <v>45915</v>
      </c>
      <c r="D192" t="inlineStr">
        <is>
          <t>UPPSALA LÄN</t>
        </is>
      </c>
      <c r="E192" t="inlineStr">
        <is>
          <t>ENKÖPING</t>
        </is>
      </c>
      <c r="G192" t="n">
        <v>3.2</v>
      </c>
      <c r="H192" t="n">
        <v>0</v>
      </c>
      <c r="I192" t="n">
        <v>0</v>
      </c>
      <c r="J192" t="n">
        <v>0</v>
      </c>
      <c r="K192" t="n">
        <v>0</v>
      </c>
      <c r="L192" t="n">
        <v>0</v>
      </c>
      <c r="M192" t="n">
        <v>0</v>
      </c>
      <c r="N192" t="n">
        <v>0</v>
      </c>
      <c r="O192" t="n">
        <v>0</v>
      </c>
      <c r="P192" t="n">
        <v>0</v>
      </c>
      <c r="Q192" t="n">
        <v>0</v>
      </c>
      <c r="R192" s="2" t="inlineStr"/>
    </row>
    <row r="193" ht="15" customHeight="1">
      <c r="A193" t="inlineStr">
        <is>
          <t>A 22680-2025</t>
        </is>
      </c>
      <c r="B193" s="1" t="n">
        <v>45789.5005787037</v>
      </c>
      <c r="C193" s="1" t="n">
        <v>45915</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6981-2025</t>
        </is>
      </c>
      <c r="B194" s="1" t="n">
        <v>45701</v>
      </c>
      <c r="C194" s="1" t="n">
        <v>45915</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9957-2023</t>
        </is>
      </c>
      <c r="B195" s="1" t="n">
        <v>44978</v>
      </c>
      <c r="C195" s="1" t="n">
        <v>45915</v>
      </c>
      <c r="D195" t="inlineStr">
        <is>
          <t>UPPSALA LÄN</t>
        </is>
      </c>
      <c r="E195" t="inlineStr">
        <is>
          <t>ENKÖPING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22770-2025</t>
        </is>
      </c>
      <c r="B196" s="1" t="n">
        <v>45789.63454861111</v>
      </c>
      <c r="C196" s="1" t="n">
        <v>45915</v>
      </c>
      <c r="D196" t="inlineStr">
        <is>
          <t>UPPSALA LÄN</t>
        </is>
      </c>
      <c r="E196" t="inlineStr">
        <is>
          <t>ENKÖPING</t>
        </is>
      </c>
      <c r="G196" t="n">
        <v>4.5</v>
      </c>
      <c r="H196" t="n">
        <v>0</v>
      </c>
      <c r="I196" t="n">
        <v>0</v>
      </c>
      <c r="J196" t="n">
        <v>0</v>
      </c>
      <c r="K196" t="n">
        <v>0</v>
      </c>
      <c r="L196" t="n">
        <v>0</v>
      </c>
      <c r="M196" t="n">
        <v>0</v>
      </c>
      <c r="N196" t="n">
        <v>0</v>
      </c>
      <c r="O196" t="n">
        <v>0</v>
      </c>
      <c r="P196" t="n">
        <v>0</v>
      </c>
      <c r="Q196" t="n">
        <v>0</v>
      </c>
      <c r="R196" s="2" t="inlineStr"/>
    </row>
    <row r="197" ht="15" customHeight="1">
      <c r="A197" t="inlineStr">
        <is>
          <t>A 22725-2025</t>
        </is>
      </c>
      <c r="B197" s="1" t="n">
        <v>45789.57371527778</v>
      </c>
      <c r="C197" s="1" t="n">
        <v>45915</v>
      </c>
      <c r="D197" t="inlineStr">
        <is>
          <t>UPPSALA LÄN</t>
        </is>
      </c>
      <c r="E197" t="inlineStr">
        <is>
          <t>ENKÖPING</t>
        </is>
      </c>
      <c r="G197" t="n">
        <v>4.8</v>
      </c>
      <c r="H197" t="n">
        <v>0</v>
      </c>
      <c r="I197" t="n">
        <v>0</v>
      </c>
      <c r="J197" t="n">
        <v>0</v>
      </c>
      <c r="K197" t="n">
        <v>0</v>
      </c>
      <c r="L197" t="n">
        <v>0</v>
      </c>
      <c r="M197" t="n">
        <v>0</v>
      </c>
      <c r="N197" t="n">
        <v>0</v>
      </c>
      <c r="O197" t="n">
        <v>0</v>
      </c>
      <c r="P197" t="n">
        <v>0</v>
      </c>
      <c r="Q197" t="n">
        <v>0</v>
      </c>
      <c r="R197" s="2" t="inlineStr"/>
    </row>
    <row r="198" ht="15" customHeight="1">
      <c r="A198" t="inlineStr">
        <is>
          <t>A 22981-2025</t>
        </is>
      </c>
      <c r="B198" s="1" t="n">
        <v>45790.56964120371</v>
      </c>
      <c r="C198" s="1" t="n">
        <v>45915</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42021-2021</t>
        </is>
      </c>
      <c r="B199" s="1" t="n">
        <v>44426</v>
      </c>
      <c r="C199" s="1" t="n">
        <v>45915</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68123-2021</t>
        </is>
      </c>
      <c r="B200" s="1" t="n">
        <v>44526.39126157408</v>
      </c>
      <c r="C200" s="1" t="n">
        <v>45915</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22793-2025</t>
        </is>
      </c>
      <c r="B201" s="1" t="n">
        <v>45789.65693287037</v>
      </c>
      <c r="C201" s="1" t="n">
        <v>45915</v>
      </c>
      <c r="D201" t="inlineStr">
        <is>
          <t>UPPSALA LÄN</t>
        </is>
      </c>
      <c r="E201" t="inlineStr">
        <is>
          <t>ENKÖPING</t>
        </is>
      </c>
      <c r="G201" t="n">
        <v>3.2</v>
      </c>
      <c r="H201" t="n">
        <v>0</v>
      </c>
      <c r="I201" t="n">
        <v>0</v>
      </c>
      <c r="J201" t="n">
        <v>0</v>
      </c>
      <c r="K201" t="n">
        <v>0</v>
      </c>
      <c r="L201" t="n">
        <v>0</v>
      </c>
      <c r="M201" t="n">
        <v>0</v>
      </c>
      <c r="N201" t="n">
        <v>0</v>
      </c>
      <c r="O201" t="n">
        <v>0</v>
      </c>
      <c r="P201" t="n">
        <v>0</v>
      </c>
      <c r="Q201" t="n">
        <v>0</v>
      </c>
      <c r="R201" s="2" t="inlineStr"/>
    </row>
    <row r="202" ht="15" customHeight="1">
      <c r="A202" t="inlineStr">
        <is>
          <t>A 22800-2025</t>
        </is>
      </c>
      <c r="B202" s="1" t="n">
        <v>45789.6669212963</v>
      </c>
      <c r="C202" s="1" t="n">
        <v>45915</v>
      </c>
      <c r="D202" t="inlineStr">
        <is>
          <t>UPPSALA LÄN</t>
        </is>
      </c>
      <c r="E202" t="inlineStr">
        <is>
          <t>ENKÖPING</t>
        </is>
      </c>
      <c r="G202" t="n">
        <v>2</v>
      </c>
      <c r="H202" t="n">
        <v>0</v>
      </c>
      <c r="I202" t="n">
        <v>0</v>
      </c>
      <c r="J202" t="n">
        <v>0</v>
      </c>
      <c r="K202" t="n">
        <v>0</v>
      </c>
      <c r="L202" t="n">
        <v>0</v>
      </c>
      <c r="M202" t="n">
        <v>0</v>
      </c>
      <c r="N202" t="n">
        <v>0</v>
      </c>
      <c r="O202" t="n">
        <v>0</v>
      </c>
      <c r="P202" t="n">
        <v>0</v>
      </c>
      <c r="Q202" t="n">
        <v>0</v>
      </c>
      <c r="R202" s="2" t="inlineStr"/>
    </row>
    <row r="203" ht="15" customHeight="1">
      <c r="A203" t="inlineStr">
        <is>
          <t>A 8152-2022</t>
        </is>
      </c>
      <c r="B203" s="1" t="n">
        <v>44609</v>
      </c>
      <c r="C203" s="1" t="n">
        <v>45915</v>
      </c>
      <c r="D203" t="inlineStr">
        <is>
          <t>UPPSALA LÄN</t>
        </is>
      </c>
      <c r="E203" t="inlineStr">
        <is>
          <t>ENKÖPING</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31242-2024</t>
        </is>
      </c>
      <c r="B204" s="1" t="n">
        <v>45503</v>
      </c>
      <c r="C204" s="1" t="n">
        <v>45915</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17467-2022</t>
        </is>
      </c>
      <c r="B205" s="1" t="n">
        <v>44679</v>
      </c>
      <c r="C205" s="1" t="n">
        <v>45915</v>
      </c>
      <c r="D205" t="inlineStr">
        <is>
          <t>UPPSALA LÄN</t>
        </is>
      </c>
      <c r="E205" t="inlineStr">
        <is>
          <t>ENKÖPING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2162-2023</t>
        </is>
      </c>
      <c r="B206" s="1" t="n">
        <v>44941</v>
      </c>
      <c r="C206" s="1" t="n">
        <v>45915</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17657-2025</t>
        </is>
      </c>
      <c r="B207" s="1" t="n">
        <v>45758.35006944444</v>
      </c>
      <c r="C207" s="1" t="n">
        <v>45915</v>
      </c>
      <c r="D207" t="inlineStr">
        <is>
          <t>UPPSALA LÄN</t>
        </is>
      </c>
      <c r="E207" t="inlineStr">
        <is>
          <t>ENKÖPING</t>
        </is>
      </c>
      <c r="G207" t="n">
        <v>3</v>
      </c>
      <c r="H207" t="n">
        <v>0</v>
      </c>
      <c r="I207" t="n">
        <v>0</v>
      </c>
      <c r="J207" t="n">
        <v>0</v>
      </c>
      <c r="K207" t="n">
        <v>0</v>
      </c>
      <c r="L207" t="n">
        <v>0</v>
      </c>
      <c r="M207" t="n">
        <v>0</v>
      </c>
      <c r="N207" t="n">
        <v>0</v>
      </c>
      <c r="O207" t="n">
        <v>0</v>
      </c>
      <c r="P207" t="n">
        <v>0</v>
      </c>
      <c r="Q207" t="n">
        <v>0</v>
      </c>
      <c r="R207" s="2" t="inlineStr"/>
    </row>
    <row r="208" ht="15" customHeight="1">
      <c r="A208" t="inlineStr">
        <is>
          <t>A 56163-2021</t>
        </is>
      </c>
      <c r="B208" s="1" t="n">
        <v>44477</v>
      </c>
      <c r="C208" s="1" t="n">
        <v>45915</v>
      </c>
      <c r="D208" t="inlineStr">
        <is>
          <t>UPPSALA LÄN</t>
        </is>
      </c>
      <c r="E208" t="inlineStr">
        <is>
          <t>ENKÖPING</t>
        </is>
      </c>
      <c r="F208" t="inlineStr">
        <is>
          <t>Allmännings- och besparingsskogar</t>
        </is>
      </c>
      <c r="G208" t="n">
        <v>0.6</v>
      </c>
      <c r="H208" t="n">
        <v>0</v>
      </c>
      <c r="I208" t="n">
        <v>0</v>
      </c>
      <c r="J208" t="n">
        <v>0</v>
      </c>
      <c r="K208" t="n">
        <v>0</v>
      </c>
      <c r="L208" t="n">
        <v>0</v>
      </c>
      <c r="M208" t="n">
        <v>0</v>
      </c>
      <c r="N208" t="n">
        <v>0</v>
      </c>
      <c r="O208" t="n">
        <v>0</v>
      </c>
      <c r="P208" t="n">
        <v>0</v>
      </c>
      <c r="Q208" t="n">
        <v>0</v>
      </c>
      <c r="R208" s="2" t="inlineStr"/>
    </row>
    <row r="209" ht="15" customHeight="1">
      <c r="A209" t="inlineStr">
        <is>
          <t>A 28318-2024</t>
        </is>
      </c>
      <c r="B209" s="1" t="n">
        <v>45477</v>
      </c>
      <c r="C209" s="1" t="n">
        <v>45915</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17729-2023</t>
        </is>
      </c>
      <c r="B210" s="1" t="n">
        <v>45037</v>
      </c>
      <c r="C210" s="1" t="n">
        <v>45915</v>
      </c>
      <c r="D210" t="inlineStr">
        <is>
          <t>UPPSALA LÄN</t>
        </is>
      </c>
      <c r="E210" t="inlineStr">
        <is>
          <t>ENKÖPING</t>
        </is>
      </c>
      <c r="G210" t="n">
        <v>10.2</v>
      </c>
      <c r="H210" t="n">
        <v>0</v>
      </c>
      <c r="I210" t="n">
        <v>0</v>
      </c>
      <c r="J210" t="n">
        <v>0</v>
      </c>
      <c r="K210" t="n">
        <v>0</v>
      </c>
      <c r="L210" t="n">
        <v>0</v>
      </c>
      <c r="M210" t="n">
        <v>0</v>
      </c>
      <c r="N210" t="n">
        <v>0</v>
      </c>
      <c r="O210" t="n">
        <v>0</v>
      </c>
      <c r="P210" t="n">
        <v>0</v>
      </c>
      <c r="Q210" t="n">
        <v>0</v>
      </c>
      <c r="R210" s="2" t="inlineStr"/>
    </row>
    <row r="211" ht="15" customHeight="1">
      <c r="A211" t="inlineStr">
        <is>
          <t>A 5749-2025</t>
        </is>
      </c>
      <c r="B211" s="1" t="n">
        <v>45694</v>
      </c>
      <c r="C211" s="1" t="n">
        <v>45915</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8020-2022</t>
        </is>
      </c>
      <c r="B212" s="1" t="n">
        <v>44609</v>
      </c>
      <c r="C212" s="1" t="n">
        <v>45915</v>
      </c>
      <c r="D212" t="inlineStr">
        <is>
          <t>UPPSALA LÄN</t>
        </is>
      </c>
      <c r="E212" t="inlineStr">
        <is>
          <t>ENKÖPING</t>
        </is>
      </c>
      <c r="G212" t="n">
        <v>6</v>
      </c>
      <c r="H212" t="n">
        <v>0</v>
      </c>
      <c r="I212" t="n">
        <v>0</v>
      </c>
      <c r="J212" t="n">
        <v>0</v>
      </c>
      <c r="K212" t="n">
        <v>0</v>
      </c>
      <c r="L212" t="n">
        <v>0</v>
      </c>
      <c r="M212" t="n">
        <v>0</v>
      </c>
      <c r="N212" t="n">
        <v>0</v>
      </c>
      <c r="O212" t="n">
        <v>0</v>
      </c>
      <c r="P212" t="n">
        <v>0</v>
      </c>
      <c r="Q212" t="n">
        <v>0</v>
      </c>
      <c r="R212" s="2" t="inlineStr"/>
    </row>
    <row r="213" ht="15" customHeight="1">
      <c r="A213" t="inlineStr">
        <is>
          <t>A 45378-2020</t>
        </is>
      </c>
      <c r="B213" s="1" t="n">
        <v>44089</v>
      </c>
      <c r="C213" s="1" t="n">
        <v>45915</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34805-2024</t>
        </is>
      </c>
      <c r="B214" s="1" t="n">
        <v>45526</v>
      </c>
      <c r="C214" s="1" t="n">
        <v>45915</v>
      </c>
      <c r="D214" t="inlineStr">
        <is>
          <t>UPPSALA LÄN</t>
        </is>
      </c>
      <c r="E214" t="inlineStr">
        <is>
          <t>ENKÖPING</t>
        </is>
      </c>
      <c r="G214" t="n">
        <v>3.6</v>
      </c>
      <c r="H214" t="n">
        <v>0</v>
      </c>
      <c r="I214" t="n">
        <v>0</v>
      </c>
      <c r="J214" t="n">
        <v>0</v>
      </c>
      <c r="K214" t="n">
        <v>0</v>
      </c>
      <c r="L214" t="n">
        <v>0</v>
      </c>
      <c r="M214" t="n">
        <v>0</v>
      </c>
      <c r="N214" t="n">
        <v>0</v>
      </c>
      <c r="O214" t="n">
        <v>0</v>
      </c>
      <c r="P214" t="n">
        <v>0</v>
      </c>
      <c r="Q214" t="n">
        <v>0</v>
      </c>
      <c r="R214" s="2" t="inlineStr"/>
    </row>
    <row r="215" ht="15" customHeight="1">
      <c r="A215" t="inlineStr">
        <is>
          <t>A 314-2025</t>
        </is>
      </c>
      <c r="B215" s="1" t="n">
        <v>45656</v>
      </c>
      <c r="C215" s="1" t="n">
        <v>45915</v>
      </c>
      <c r="D215" t="inlineStr">
        <is>
          <t>UPPSALA LÄN</t>
        </is>
      </c>
      <c r="E215" t="inlineStr">
        <is>
          <t>ENKÖPING</t>
        </is>
      </c>
      <c r="G215" t="n">
        <v>9</v>
      </c>
      <c r="H215" t="n">
        <v>0</v>
      </c>
      <c r="I215" t="n">
        <v>0</v>
      </c>
      <c r="J215" t="n">
        <v>0</v>
      </c>
      <c r="K215" t="n">
        <v>0</v>
      </c>
      <c r="L215" t="n">
        <v>0</v>
      </c>
      <c r="M215" t="n">
        <v>0</v>
      </c>
      <c r="N215" t="n">
        <v>0</v>
      </c>
      <c r="O215" t="n">
        <v>0</v>
      </c>
      <c r="P215" t="n">
        <v>0</v>
      </c>
      <c r="Q215" t="n">
        <v>0</v>
      </c>
      <c r="R215" s="2" t="inlineStr"/>
    </row>
    <row r="216" ht="15" customHeight="1">
      <c r="A216" t="inlineStr">
        <is>
          <t>A 10831-2024</t>
        </is>
      </c>
      <c r="B216" s="1" t="n">
        <v>45369</v>
      </c>
      <c r="C216" s="1" t="n">
        <v>45915</v>
      </c>
      <c r="D216" t="inlineStr">
        <is>
          <t>UPPSALA LÄN</t>
        </is>
      </c>
      <c r="E216" t="inlineStr">
        <is>
          <t>ENKÖPING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14402-2023</t>
        </is>
      </c>
      <c r="B217" s="1" t="n">
        <v>45012</v>
      </c>
      <c r="C217" s="1" t="n">
        <v>45915</v>
      </c>
      <c r="D217" t="inlineStr">
        <is>
          <t>UPPSALA LÄN</t>
        </is>
      </c>
      <c r="E217" t="inlineStr">
        <is>
          <t>ENKÖPING</t>
        </is>
      </c>
      <c r="G217" t="n">
        <v>9.5</v>
      </c>
      <c r="H217" t="n">
        <v>0</v>
      </c>
      <c r="I217" t="n">
        <v>0</v>
      </c>
      <c r="J217" t="n">
        <v>0</v>
      </c>
      <c r="K217" t="n">
        <v>0</v>
      </c>
      <c r="L217" t="n">
        <v>0</v>
      </c>
      <c r="M217" t="n">
        <v>0</v>
      </c>
      <c r="N217" t="n">
        <v>0</v>
      </c>
      <c r="O217" t="n">
        <v>0</v>
      </c>
      <c r="P217" t="n">
        <v>0</v>
      </c>
      <c r="Q217" t="n">
        <v>0</v>
      </c>
      <c r="R217" s="2" t="inlineStr"/>
    </row>
    <row r="218" ht="15" customHeight="1">
      <c r="A218" t="inlineStr">
        <is>
          <t>A 15939-2022</t>
        </is>
      </c>
      <c r="B218" s="1" t="n">
        <v>44664</v>
      </c>
      <c r="C218" s="1" t="n">
        <v>45915</v>
      </c>
      <c r="D218" t="inlineStr">
        <is>
          <t>UPPSALA LÄN</t>
        </is>
      </c>
      <c r="E218" t="inlineStr">
        <is>
          <t>ENKÖPING</t>
        </is>
      </c>
      <c r="G218" t="n">
        <v>2</v>
      </c>
      <c r="H218" t="n">
        <v>0</v>
      </c>
      <c r="I218" t="n">
        <v>0</v>
      </c>
      <c r="J218" t="n">
        <v>0</v>
      </c>
      <c r="K218" t="n">
        <v>0</v>
      </c>
      <c r="L218" t="n">
        <v>0</v>
      </c>
      <c r="M218" t="n">
        <v>0</v>
      </c>
      <c r="N218" t="n">
        <v>0</v>
      </c>
      <c r="O218" t="n">
        <v>0</v>
      </c>
      <c r="P218" t="n">
        <v>0</v>
      </c>
      <c r="Q218" t="n">
        <v>0</v>
      </c>
      <c r="R218" s="2" t="inlineStr"/>
    </row>
    <row r="219" ht="15" customHeight="1">
      <c r="A219" t="inlineStr">
        <is>
          <t>A 5712-2025</t>
        </is>
      </c>
      <c r="B219" s="1" t="n">
        <v>45694</v>
      </c>
      <c r="C219" s="1" t="n">
        <v>45915</v>
      </c>
      <c r="D219" t="inlineStr">
        <is>
          <t>UPPSALA LÄN</t>
        </is>
      </c>
      <c r="E219" t="inlineStr">
        <is>
          <t>ENKÖPING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50394-2024</t>
        </is>
      </c>
      <c r="B220" s="1" t="n">
        <v>45600</v>
      </c>
      <c r="C220" s="1" t="n">
        <v>45915</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45956-2024</t>
        </is>
      </c>
      <c r="B221" s="1" t="n">
        <v>45580</v>
      </c>
      <c r="C221" s="1" t="n">
        <v>45915</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39115-2024</t>
        </is>
      </c>
      <c r="B222" s="1" t="n">
        <v>45548</v>
      </c>
      <c r="C222" s="1" t="n">
        <v>45915</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11627-2025</t>
        </is>
      </c>
      <c r="B223" s="1" t="n">
        <v>45727</v>
      </c>
      <c r="C223" s="1" t="n">
        <v>45915</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12020-2024</t>
        </is>
      </c>
      <c r="B224" s="1" t="n">
        <v>45377</v>
      </c>
      <c r="C224" s="1" t="n">
        <v>45915</v>
      </c>
      <c r="D224" t="inlineStr">
        <is>
          <t>UPPSALA LÄN</t>
        </is>
      </c>
      <c r="E224" t="inlineStr">
        <is>
          <t>ENKÖPING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74090-2021</t>
        </is>
      </c>
      <c r="B225" s="1" t="n">
        <v>44557</v>
      </c>
      <c r="C225" s="1" t="n">
        <v>45915</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72840-2021</t>
        </is>
      </c>
      <c r="B226" s="1" t="n">
        <v>44547</v>
      </c>
      <c r="C226" s="1" t="n">
        <v>45915</v>
      </c>
      <c r="D226" t="inlineStr">
        <is>
          <t>UPPSALA LÄN</t>
        </is>
      </c>
      <c r="E226" t="inlineStr">
        <is>
          <t>ENKÖPING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37870-2023</t>
        </is>
      </c>
      <c r="B227" s="1" t="n">
        <v>45160.41996527778</v>
      </c>
      <c r="C227" s="1" t="n">
        <v>45915</v>
      </c>
      <c r="D227" t="inlineStr">
        <is>
          <t>UPPSALA LÄN</t>
        </is>
      </c>
      <c r="E227" t="inlineStr">
        <is>
          <t>ENKÖPING</t>
        </is>
      </c>
      <c r="G227" t="n">
        <v>3.5</v>
      </c>
      <c r="H227" t="n">
        <v>0</v>
      </c>
      <c r="I227" t="n">
        <v>0</v>
      </c>
      <c r="J227" t="n">
        <v>0</v>
      </c>
      <c r="K227" t="n">
        <v>0</v>
      </c>
      <c r="L227" t="n">
        <v>0</v>
      </c>
      <c r="M227" t="n">
        <v>0</v>
      </c>
      <c r="N227" t="n">
        <v>0</v>
      </c>
      <c r="O227" t="n">
        <v>0</v>
      </c>
      <c r="P227" t="n">
        <v>0</v>
      </c>
      <c r="Q227" t="n">
        <v>0</v>
      </c>
      <c r="R227" s="2" t="inlineStr"/>
    </row>
    <row r="228" ht="15" customHeight="1">
      <c r="A228" t="inlineStr">
        <is>
          <t>A 7090-2022</t>
        </is>
      </c>
      <c r="B228" s="1" t="n">
        <v>44603.59520833333</v>
      </c>
      <c r="C228" s="1" t="n">
        <v>45915</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49063-2024</t>
        </is>
      </c>
      <c r="B229" s="1" t="n">
        <v>45594.59869212963</v>
      </c>
      <c r="C229" s="1" t="n">
        <v>45915</v>
      </c>
      <c r="D229" t="inlineStr">
        <is>
          <t>UPPSALA LÄN</t>
        </is>
      </c>
      <c r="E229" t="inlineStr">
        <is>
          <t>ENKÖPING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51092-2020</t>
        </is>
      </c>
      <c r="B230" s="1" t="n">
        <v>44112</v>
      </c>
      <c r="C230" s="1" t="n">
        <v>45915</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14083-2025</t>
        </is>
      </c>
      <c r="B231" s="1" t="n">
        <v>45740</v>
      </c>
      <c r="C231" s="1" t="n">
        <v>45915</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69344-2021</t>
        </is>
      </c>
      <c r="B232" s="1" t="n">
        <v>44531</v>
      </c>
      <c r="C232" s="1" t="n">
        <v>45915</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19298-2023</t>
        </is>
      </c>
      <c r="B233" s="1" t="n">
        <v>45048</v>
      </c>
      <c r="C233" s="1" t="n">
        <v>45915</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34124-2021</t>
        </is>
      </c>
      <c r="B234" s="1" t="n">
        <v>44379</v>
      </c>
      <c r="C234" s="1" t="n">
        <v>45915</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43697-2024</t>
        </is>
      </c>
      <c r="B235" s="1" t="n">
        <v>45569</v>
      </c>
      <c r="C235" s="1" t="n">
        <v>45915</v>
      </c>
      <c r="D235" t="inlineStr">
        <is>
          <t>UPPSALA LÄN</t>
        </is>
      </c>
      <c r="E235" t="inlineStr">
        <is>
          <t>ENKÖPING</t>
        </is>
      </c>
      <c r="G235" t="n">
        <v>2.1</v>
      </c>
      <c r="H235" t="n">
        <v>0</v>
      </c>
      <c r="I235" t="n">
        <v>0</v>
      </c>
      <c r="J235" t="n">
        <v>0</v>
      </c>
      <c r="K235" t="n">
        <v>0</v>
      </c>
      <c r="L235" t="n">
        <v>0</v>
      </c>
      <c r="M235" t="n">
        <v>0</v>
      </c>
      <c r="N235" t="n">
        <v>0</v>
      </c>
      <c r="O235" t="n">
        <v>0</v>
      </c>
      <c r="P235" t="n">
        <v>0</v>
      </c>
      <c r="Q235" t="n">
        <v>0</v>
      </c>
      <c r="R235" s="2" t="inlineStr"/>
    </row>
    <row r="236" ht="15" customHeight="1">
      <c r="A236" t="inlineStr">
        <is>
          <t>A 58092-2024</t>
        </is>
      </c>
      <c r="B236" s="1" t="n">
        <v>45632</v>
      </c>
      <c r="C236" s="1" t="n">
        <v>45915</v>
      </c>
      <c r="D236" t="inlineStr">
        <is>
          <t>UPPSALA LÄN</t>
        </is>
      </c>
      <c r="E236" t="inlineStr">
        <is>
          <t>ENKÖPING</t>
        </is>
      </c>
      <c r="G236" t="n">
        <v>4.8</v>
      </c>
      <c r="H236" t="n">
        <v>0</v>
      </c>
      <c r="I236" t="n">
        <v>0</v>
      </c>
      <c r="J236" t="n">
        <v>0</v>
      </c>
      <c r="K236" t="n">
        <v>0</v>
      </c>
      <c r="L236" t="n">
        <v>0</v>
      </c>
      <c r="M236" t="n">
        <v>0</v>
      </c>
      <c r="N236" t="n">
        <v>0</v>
      </c>
      <c r="O236" t="n">
        <v>0</v>
      </c>
      <c r="P236" t="n">
        <v>0</v>
      </c>
      <c r="Q236" t="n">
        <v>0</v>
      </c>
      <c r="R236" s="2" t="inlineStr"/>
    </row>
    <row r="237" ht="15" customHeight="1">
      <c r="A237" t="inlineStr">
        <is>
          <t>A 27983-2024</t>
        </is>
      </c>
      <c r="B237" s="1" t="n">
        <v>45476</v>
      </c>
      <c r="C237" s="1" t="n">
        <v>45915</v>
      </c>
      <c r="D237" t="inlineStr">
        <is>
          <t>UPPSALA LÄN</t>
        </is>
      </c>
      <c r="E237" t="inlineStr">
        <is>
          <t>ENKÖPING</t>
        </is>
      </c>
      <c r="G237" t="n">
        <v>3.2</v>
      </c>
      <c r="H237" t="n">
        <v>0</v>
      </c>
      <c r="I237" t="n">
        <v>0</v>
      </c>
      <c r="J237" t="n">
        <v>0</v>
      </c>
      <c r="K237" t="n">
        <v>0</v>
      </c>
      <c r="L237" t="n">
        <v>0</v>
      </c>
      <c r="M237" t="n">
        <v>0</v>
      </c>
      <c r="N237" t="n">
        <v>0</v>
      </c>
      <c r="O237" t="n">
        <v>0</v>
      </c>
      <c r="P237" t="n">
        <v>0</v>
      </c>
      <c r="Q237" t="n">
        <v>0</v>
      </c>
      <c r="R237" s="2" t="inlineStr"/>
    </row>
    <row r="238" ht="15" customHeight="1">
      <c r="A238" t="inlineStr">
        <is>
          <t>A 15409-2025</t>
        </is>
      </c>
      <c r="B238" s="1" t="n">
        <v>45747</v>
      </c>
      <c r="C238" s="1" t="n">
        <v>45915</v>
      </c>
      <c r="D238" t="inlineStr">
        <is>
          <t>UPPSALA LÄN</t>
        </is>
      </c>
      <c r="E238" t="inlineStr">
        <is>
          <t>ENKÖPING</t>
        </is>
      </c>
      <c r="G238" t="n">
        <v>2.5</v>
      </c>
      <c r="H238" t="n">
        <v>0</v>
      </c>
      <c r="I238" t="n">
        <v>0</v>
      </c>
      <c r="J238" t="n">
        <v>0</v>
      </c>
      <c r="K238" t="n">
        <v>0</v>
      </c>
      <c r="L238" t="n">
        <v>0</v>
      </c>
      <c r="M238" t="n">
        <v>0</v>
      </c>
      <c r="N238" t="n">
        <v>0</v>
      </c>
      <c r="O238" t="n">
        <v>0</v>
      </c>
      <c r="P238" t="n">
        <v>0</v>
      </c>
      <c r="Q238" t="n">
        <v>0</v>
      </c>
      <c r="R238" s="2" t="inlineStr"/>
    </row>
    <row r="239" ht="15" customHeight="1">
      <c r="A239" t="inlineStr">
        <is>
          <t>A 24411-2024</t>
        </is>
      </c>
      <c r="B239" s="1" t="n">
        <v>45457</v>
      </c>
      <c r="C239" s="1" t="n">
        <v>45915</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51010-2024</t>
        </is>
      </c>
      <c r="B240" s="1" t="n">
        <v>45603.39285879629</v>
      </c>
      <c r="C240" s="1" t="n">
        <v>45915</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51042-2024</t>
        </is>
      </c>
      <c r="B241" s="1" t="n">
        <v>45603.4342824074</v>
      </c>
      <c r="C241" s="1" t="n">
        <v>45915</v>
      </c>
      <c r="D241" t="inlineStr">
        <is>
          <t>UPPSALA LÄN</t>
        </is>
      </c>
      <c r="E241" t="inlineStr">
        <is>
          <t>ENKÖPING</t>
        </is>
      </c>
      <c r="G241" t="n">
        <v>4.6</v>
      </c>
      <c r="H241" t="n">
        <v>0</v>
      </c>
      <c r="I241" t="n">
        <v>0</v>
      </c>
      <c r="J241" t="n">
        <v>0</v>
      </c>
      <c r="K241" t="n">
        <v>0</v>
      </c>
      <c r="L241" t="n">
        <v>0</v>
      </c>
      <c r="M241" t="n">
        <v>0</v>
      </c>
      <c r="N241" t="n">
        <v>0</v>
      </c>
      <c r="O241" t="n">
        <v>0</v>
      </c>
      <c r="P241" t="n">
        <v>0</v>
      </c>
      <c r="Q241" t="n">
        <v>0</v>
      </c>
      <c r="R241" s="2" t="inlineStr"/>
    </row>
    <row r="242" ht="15" customHeight="1">
      <c r="A242" t="inlineStr">
        <is>
          <t>A 25988-2025</t>
        </is>
      </c>
      <c r="B242" s="1" t="n">
        <v>45804.64814814815</v>
      </c>
      <c r="C242" s="1" t="n">
        <v>45915</v>
      </c>
      <c r="D242" t="inlineStr">
        <is>
          <t>UPPSALA LÄN</t>
        </is>
      </c>
      <c r="E242" t="inlineStr">
        <is>
          <t>ENKÖPING</t>
        </is>
      </c>
      <c r="G242" t="n">
        <v>4.7</v>
      </c>
      <c r="H242" t="n">
        <v>0</v>
      </c>
      <c r="I242" t="n">
        <v>0</v>
      </c>
      <c r="J242" t="n">
        <v>0</v>
      </c>
      <c r="K242" t="n">
        <v>0</v>
      </c>
      <c r="L242" t="n">
        <v>0</v>
      </c>
      <c r="M242" t="n">
        <v>0</v>
      </c>
      <c r="N242" t="n">
        <v>0</v>
      </c>
      <c r="O242" t="n">
        <v>0</v>
      </c>
      <c r="P242" t="n">
        <v>0</v>
      </c>
      <c r="Q242" t="n">
        <v>0</v>
      </c>
      <c r="R242" s="2" t="inlineStr"/>
    </row>
    <row r="243" ht="15" customHeight="1">
      <c r="A243" t="inlineStr">
        <is>
          <t>A 26017-2025</t>
        </is>
      </c>
      <c r="B243" s="1" t="n">
        <v>45804</v>
      </c>
      <c r="C243" s="1" t="n">
        <v>45915</v>
      </c>
      <c r="D243" t="inlineStr">
        <is>
          <t>UPPSALA LÄN</t>
        </is>
      </c>
      <c r="E243" t="inlineStr">
        <is>
          <t>ENKÖPING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26024-2025</t>
        </is>
      </c>
      <c r="B244" s="1" t="n">
        <v>45804.6831712963</v>
      </c>
      <c r="C244" s="1" t="n">
        <v>45915</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26042-2025</t>
        </is>
      </c>
      <c r="B245" s="1" t="n">
        <v>45804.70018518518</v>
      </c>
      <c r="C245" s="1" t="n">
        <v>45915</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25990-2025</t>
        </is>
      </c>
      <c r="B246" s="1" t="n">
        <v>45804.65229166667</v>
      </c>
      <c r="C246" s="1" t="n">
        <v>45915</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26030-2025</t>
        </is>
      </c>
      <c r="B247" s="1" t="n">
        <v>45804.68815972222</v>
      </c>
      <c r="C247" s="1" t="n">
        <v>45915</v>
      </c>
      <c r="D247" t="inlineStr">
        <is>
          <t>UPPSALA LÄN</t>
        </is>
      </c>
      <c r="E247" t="inlineStr">
        <is>
          <t>ENKÖPING</t>
        </is>
      </c>
      <c r="G247" t="n">
        <v>0.3</v>
      </c>
      <c r="H247" t="n">
        <v>0</v>
      </c>
      <c r="I247" t="n">
        <v>0</v>
      </c>
      <c r="J247" t="n">
        <v>0</v>
      </c>
      <c r="K247" t="n">
        <v>0</v>
      </c>
      <c r="L247" t="n">
        <v>0</v>
      </c>
      <c r="M247" t="n">
        <v>0</v>
      </c>
      <c r="N247" t="n">
        <v>0</v>
      </c>
      <c r="O247" t="n">
        <v>0</v>
      </c>
      <c r="P247" t="n">
        <v>0</v>
      </c>
      <c r="Q247" t="n">
        <v>0</v>
      </c>
      <c r="R247" s="2" t="inlineStr"/>
    </row>
    <row r="248" ht="15" customHeight="1">
      <c r="A248" t="inlineStr">
        <is>
          <t>A 26026-2025</t>
        </is>
      </c>
      <c r="B248" s="1" t="n">
        <v>45804.68510416667</v>
      </c>
      <c r="C248" s="1" t="n">
        <v>45915</v>
      </c>
      <c r="D248" t="inlineStr">
        <is>
          <t>UPPSALA LÄN</t>
        </is>
      </c>
      <c r="E248" t="inlineStr">
        <is>
          <t>ENKÖPING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26047-2025</t>
        </is>
      </c>
      <c r="B249" s="1" t="n">
        <v>45804.70835648148</v>
      </c>
      <c r="C249" s="1" t="n">
        <v>45915</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25847-2025</t>
        </is>
      </c>
      <c r="B250" s="1" t="n">
        <v>45804</v>
      </c>
      <c r="C250" s="1" t="n">
        <v>45915</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26005-2025</t>
        </is>
      </c>
      <c r="B251" s="1" t="n">
        <v>45804.67055555555</v>
      </c>
      <c r="C251" s="1" t="n">
        <v>45915</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26031-2025</t>
        </is>
      </c>
      <c r="B252" s="1" t="n">
        <v>45804.69050925926</v>
      </c>
      <c r="C252" s="1" t="n">
        <v>45915</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26041-2025</t>
        </is>
      </c>
      <c r="B253" s="1" t="n">
        <v>45804.69883101852</v>
      </c>
      <c r="C253" s="1" t="n">
        <v>45915</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26022-2025</t>
        </is>
      </c>
      <c r="B254" s="1" t="n">
        <v>45804.68006944445</v>
      </c>
      <c r="C254" s="1" t="n">
        <v>45915</v>
      </c>
      <c r="D254" t="inlineStr">
        <is>
          <t>UPPSALA LÄN</t>
        </is>
      </c>
      <c r="E254" t="inlineStr">
        <is>
          <t>ENKÖPING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26011-2025</t>
        </is>
      </c>
      <c r="B255" s="1" t="n">
        <v>45804.67412037037</v>
      </c>
      <c r="C255" s="1" t="n">
        <v>45915</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34617-2022</t>
        </is>
      </c>
      <c r="B256" s="1" t="n">
        <v>44795</v>
      </c>
      <c r="C256" s="1" t="n">
        <v>45915</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22912-2024</t>
        </is>
      </c>
      <c r="B257" s="1" t="n">
        <v>45448.73118055556</v>
      </c>
      <c r="C257" s="1" t="n">
        <v>45915</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45915</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40202-2024</t>
        </is>
      </c>
      <c r="B259" s="1" t="n">
        <v>45554</v>
      </c>
      <c r="C259" s="1" t="n">
        <v>45915</v>
      </c>
      <c r="D259" t="inlineStr">
        <is>
          <t>UPPSALA LÄN</t>
        </is>
      </c>
      <c r="E259" t="inlineStr">
        <is>
          <t>ENKÖPING</t>
        </is>
      </c>
      <c r="G259" t="n">
        <v>6.2</v>
      </c>
      <c r="H259" t="n">
        <v>0</v>
      </c>
      <c r="I259" t="n">
        <v>0</v>
      </c>
      <c r="J259" t="n">
        <v>0</v>
      </c>
      <c r="K259" t="n">
        <v>0</v>
      </c>
      <c r="L259" t="n">
        <v>0</v>
      </c>
      <c r="M259" t="n">
        <v>0</v>
      </c>
      <c r="N259" t="n">
        <v>0</v>
      </c>
      <c r="O259" t="n">
        <v>0</v>
      </c>
      <c r="P259" t="n">
        <v>0</v>
      </c>
      <c r="Q259" t="n">
        <v>0</v>
      </c>
      <c r="R259" s="2" t="inlineStr"/>
    </row>
    <row r="260" ht="15" customHeight="1">
      <c r="A260" t="inlineStr">
        <is>
          <t>A 40223-2024</t>
        </is>
      </c>
      <c r="B260" s="1" t="n">
        <v>45554</v>
      </c>
      <c r="C260" s="1" t="n">
        <v>45915</v>
      </c>
      <c r="D260" t="inlineStr">
        <is>
          <t>UPPSALA LÄN</t>
        </is>
      </c>
      <c r="E260" t="inlineStr">
        <is>
          <t>ENKÖPING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69879-2021</t>
        </is>
      </c>
      <c r="B261" s="1" t="n">
        <v>44532</v>
      </c>
      <c r="C261" s="1" t="n">
        <v>45915</v>
      </c>
      <c r="D261" t="inlineStr">
        <is>
          <t>UPPSALA LÄN</t>
        </is>
      </c>
      <c r="E261" t="inlineStr">
        <is>
          <t>ENKÖPING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9667-2024</t>
        </is>
      </c>
      <c r="B262" s="1" t="n">
        <v>45362.45130787037</v>
      </c>
      <c r="C262" s="1" t="n">
        <v>45915</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19013-2025</t>
        </is>
      </c>
      <c r="B263" s="1" t="n">
        <v>45764.59533564815</v>
      </c>
      <c r="C263" s="1" t="n">
        <v>45915</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57335-2024</t>
        </is>
      </c>
      <c r="B264" s="1" t="n">
        <v>45629.63302083333</v>
      </c>
      <c r="C264" s="1" t="n">
        <v>45915</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23301-2024</t>
        </is>
      </c>
      <c r="B265" s="1" t="n">
        <v>45453.4396412037</v>
      </c>
      <c r="C265" s="1" t="n">
        <v>45915</v>
      </c>
      <c r="D265" t="inlineStr">
        <is>
          <t>UPPSALA LÄN</t>
        </is>
      </c>
      <c r="E265" t="inlineStr">
        <is>
          <t>ENKÖPING</t>
        </is>
      </c>
      <c r="G265" t="n">
        <v>4.3</v>
      </c>
      <c r="H265" t="n">
        <v>0</v>
      </c>
      <c r="I265" t="n">
        <v>0</v>
      </c>
      <c r="J265" t="n">
        <v>0</v>
      </c>
      <c r="K265" t="n">
        <v>0</v>
      </c>
      <c r="L265" t="n">
        <v>0</v>
      </c>
      <c r="M265" t="n">
        <v>0</v>
      </c>
      <c r="N265" t="n">
        <v>0</v>
      </c>
      <c r="O265" t="n">
        <v>0</v>
      </c>
      <c r="P265" t="n">
        <v>0</v>
      </c>
      <c r="Q265" t="n">
        <v>0</v>
      </c>
      <c r="R265" s="2" t="inlineStr"/>
    </row>
    <row r="266" ht="15" customHeight="1">
      <c r="A266" t="inlineStr">
        <is>
          <t>A 2833-2025</t>
        </is>
      </c>
      <c r="B266" s="1" t="n">
        <v>45677.63206018518</v>
      </c>
      <c r="C266" s="1" t="n">
        <v>45915</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35067-2024</t>
        </is>
      </c>
      <c r="B267" s="1" t="n">
        <v>45527.66153935185</v>
      </c>
      <c r="C267" s="1" t="n">
        <v>45915</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43506-2023</t>
        </is>
      </c>
      <c r="B268" s="1" t="n">
        <v>45181</v>
      </c>
      <c r="C268" s="1" t="n">
        <v>45915</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33619-2022</t>
        </is>
      </c>
      <c r="B269" s="1" t="n">
        <v>44789</v>
      </c>
      <c r="C269" s="1" t="n">
        <v>45915</v>
      </c>
      <c r="D269" t="inlineStr">
        <is>
          <t>UPPSALA LÄN</t>
        </is>
      </c>
      <c r="E269" t="inlineStr">
        <is>
          <t>ENKÖPING</t>
        </is>
      </c>
      <c r="F269" t="inlineStr">
        <is>
          <t>Allmännings- och besparingsskogar</t>
        </is>
      </c>
      <c r="G269" t="n">
        <v>4.5</v>
      </c>
      <c r="H269" t="n">
        <v>0</v>
      </c>
      <c r="I269" t="n">
        <v>0</v>
      </c>
      <c r="J269" t="n">
        <v>0</v>
      </c>
      <c r="K269" t="n">
        <v>0</v>
      </c>
      <c r="L269" t="n">
        <v>0</v>
      </c>
      <c r="M269" t="n">
        <v>0</v>
      </c>
      <c r="N269" t="n">
        <v>0</v>
      </c>
      <c r="O269" t="n">
        <v>0</v>
      </c>
      <c r="P269" t="n">
        <v>0</v>
      </c>
      <c r="Q269" t="n">
        <v>0</v>
      </c>
      <c r="R269" s="2" t="inlineStr"/>
    </row>
    <row r="270" ht="15" customHeight="1">
      <c r="A270" t="inlineStr">
        <is>
          <t>A 14004-2023</t>
        </is>
      </c>
      <c r="B270" s="1" t="n">
        <v>45008</v>
      </c>
      <c r="C270" s="1" t="n">
        <v>45915</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31604-2023</t>
        </is>
      </c>
      <c r="B271" s="1" t="n">
        <v>45117.50368055556</v>
      </c>
      <c r="C271" s="1" t="n">
        <v>45915</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51012-2024</t>
        </is>
      </c>
      <c r="B272" s="1" t="n">
        <v>45603.39686342593</v>
      </c>
      <c r="C272" s="1" t="n">
        <v>45915</v>
      </c>
      <c r="D272" t="inlineStr">
        <is>
          <t>UPPSALA LÄN</t>
        </is>
      </c>
      <c r="E272" t="inlineStr">
        <is>
          <t>ENKÖPING</t>
        </is>
      </c>
      <c r="G272" t="n">
        <v>2.7</v>
      </c>
      <c r="H272" t="n">
        <v>0</v>
      </c>
      <c r="I272" t="n">
        <v>0</v>
      </c>
      <c r="J272" t="n">
        <v>0</v>
      </c>
      <c r="K272" t="n">
        <v>0</v>
      </c>
      <c r="L272" t="n">
        <v>0</v>
      </c>
      <c r="M272" t="n">
        <v>0</v>
      </c>
      <c r="N272" t="n">
        <v>0</v>
      </c>
      <c r="O272" t="n">
        <v>0</v>
      </c>
      <c r="P272" t="n">
        <v>0</v>
      </c>
      <c r="Q272" t="n">
        <v>0</v>
      </c>
      <c r="R272" s="2" t="inlineStr"/>
    </row>
    <row r="273" ht="15" customHeight="1">
      <c r="A273" t="inlineStr">
        <is>
          <t>A 51037-2024</t>
        </is>
      </c>
      <c r="B273" s="1" t="n">
        <v>45603.43005787037</v>
      </c>
      <c r="C273" s="1" t="n">
        <v>45915</v>
      </c>
      <c r="D273" t="inlineStr">
        <is>
          <t>UPPSALA LÄN</t>
        </is>
      </c>
      <c r="E273" t="inlineStr">
        <is>
          <t>ENKÖPING</t>
        </is>
      </c>
      <c r="G273" t="n">
        <v>5.7</v>
      </c>
      <c r="H273" t="n">
        <v>0</v>
      </c>
      <c r="I273" t="n">
        <v>0</v>
      </c>
      <c r="J273" t="n">
        <v>0</v>
      </c>
      <c r="K273" t="n">
        <v>0</v>
      </c>
      <c r="L273" t="n">
        <v>0</v>
      </c>
      <c r="M273" t="n">
        <v>0</v>
      </c>
      <c r="N273" t="n">
        <v>0</v>
      </c>
      <c r="O273" t="n">
        <v>0</v>
      </c>
      <c r="P273" t="n">
        <v>0</v>
      </c>
      <c r="Q273" t="n">
        <v>0</v>
      </c>
      <c r="R273" s="2" t="inlineStr"/>
    </row>
    <row r="274" ht="15" customHeight="1">
      <c r="A274" t="inlineStr">
        <is>
          <t>A 59602-2024</t>
        </is>
      </c>
      <c r="B274" s="1" t="n">
        <v>45638</v>
      </c>
      <c r="C274" s="1" t="n">
        <v>45915</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41828-2024</t>
        </is>
      </c>
      <c r="B275" s="1" t="n">
        <v>45561</v>
      </c>
      <c r="C275" s="1" t="n">
        <v>45915</v>
      </c>
      <c r="D275" t="inlineStr">
        <is>
          <t>UPPSALA LÄN</t>
        </is>
      </c>
      <c r="E275" t="inlineStr">
        <is>
          <t>ENKÖPING</t>
        </is>
      </c>
      <c r="G275" t="n">
        <v>2.5</v>
      </c>
      <c r="H275" t="n">
        <v>0</v>
      </c>
      <c r="I275" t="n">
        <v>0</v>
      </c>
      <c r="J275" t="n">
        <v>0</v>
      </c>
      <c r="K275" t="n">
        <v>0</v>
      </c>
      <c r="L275" t="n">
        <v>0</v>
      </c>
      <c r="M275" t="n">
        <v>0</v>
      </c>
      <c r="N275" t="n">
        <v>0</v>
      </c>
      <c r="O275" t="n">
        <v>0</v>
      </c>
      <c r="P275" t="n">
        <v>0</v>
      </c>
      <c r="Q275" t="n">
        <v>0</v>
      </c>
      <c r="R275" s="2" t="inlineStr"/>
    </row>
    <row r="276" ht="15" customHeight="1">
      <c r="A276" t="inlineStr">
        <is>
          <t>A 14243-2025</t>
        </is>
      </c>
      <c r="B276" s="1" t="n">
        <v>45740.61288194444</v>
      </c>
      <c r="C276" s="1" t="n">
        <v>45915</v>
      </c>
      <c r="D276" t="inlineStr">
        <is>
          <t>UPPSALA LÄN</t>
        </is>
      </c>
      <c r="E276" t="inlineStr">
        <is>
          <t>ENKÖPING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19488-2022</t>
        </is>
      </c>
      <c r="B277" s="1" t="n">
        <v>44693</v>
      </c>
      <c r="C277" s="1" t="n">
        <v>45915</v>
      </c>
      <c r="D277" t="inlineStr">
        <is>
          <t>UPPSALA LÄN</t>
        </is>
      </c>
      <c r="E277" t="inlineStr">
        <is>
          <t>ENKÖPING</t>
        </is>
      </c>
      <c r="G277" t="n">
        <v>7.8</v>
      </c>
      <c r="H277" t="n">
        <v>0</v>
      </c>
      <c r="I277" t="n">
        <v>0</v>
      </c>
      <c r="J277" t="n">
        <v>0</v>
      </c>
      <c r="K277" t="n">
        <v>0</v>
      </c>
      <c r="L277" t="n">
        <v>0</v>
      </c>
      <c r="M277" t="n">
        <v>0</v>
      </c>
      <c r="N277" t="n">
        <v>0</v>
      </c>
      <c r="O277" t="n">
        <v>0</v>
      </c>
      <c r="P277" t="n">
        <v>0</v>
      </c>
      <c r="Q277" t="n">
        <v>0</v>
      </c>
      <c r="R277" s="2" t="inlineStr"/>
    </row>
    <row r="278" ht="15" customHeight="1">
      <c r="A278" t="inlineStr">
        <is>
          <t>A 10465-2022</t>
        </is>
      </c>
      <c r="B278" s="1" t="n">
        <v>44623</v>
      </c>
      <c r="C278" s="1" t="n">
        <v>45915</v>
      </c>
      <c r="D278" t="inlineStr">
        <is>
          <t>UPPSALA LÄN</t>
        </is>
      </c>
      <c r="E278" t="inlineStr">
        <is>
          <t>ENKÖPING</t>
        </is>
      </c>
      <c r="G278" t="n">
        <v>1.7</v>
      </c>
      <c r="H278" t="n">
        <v>0</v>
      </c>
      <c r="I278" t="n">
        <v>0</v>
      </c>
      <c r="J278" t="n">
        <v>0</v>
      </c>
      <c r="K278" t="n">
        <v>0</v>
      </c>
      <c r="L278" t="n">
        <v>0</v>
      </c>
      <c r="M278" t="n">
        <v>0</v>
      </c>
      <c r="N278" t="n">
        <v>0</v>
      </c>
      <c r="O278" t="n">
        <v>0</v>
      </c>
      <c r="P278" t="n">
        <v>0</v>
      </c>
      <c r="Q278" t="n">
        <v>0</v>
      </c>
      <c r="R278" s="2" t="inlineStr"/>
    </row>
    <row r="279" ht="15" customHeight="1">
      <c r="A279" t="inlineStr">
        <is>
          <t>A 27829-2025</t>
        </is>
      </c>
      <c r="B279" s="1" t="n">
        <v>45817</v>
      </c>
      <c r="C279" s="1" t="n">
        <v>45915</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41826-2024</t>
        </is>
      </c>
      <c r="B280" s="1" t="n">
        <v>45561</v>
      </c>
      <c r="C280" s="1" t="n">
        <v>45915</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16916-2022</t>
        </is>
      </c>
      <c r="B281" s="1" t="n">
        <v>44676</v>
      </c>
      <c r="C281" s="1" t="n">
        <v>45915</v>
      </c>
      <c r="D281" t="inlineStr">
        <is>
          <t>UPPSALA LÄN</t>
        </is>
      </c>
      <c r="E281" t="inlineStr">
        <is>
          <t>ENKÖPING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44115-2024</t>
        </is>
      </c>
      <c r="B282" s="1" t="n">
        <v>45572</v>
      </c>
      <c r="C282" s="1" t="n">
        <v>45915</v>
      </c>
      <c r="D282" t="inlineStr">
        <is>
          <t>UPPSALA LÄN</t>
        </is>
      </c>
      <c r="E282" t="inlineStr">
        <is>
          <t>ENKÖPING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45915</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28855-2025</t>
        </is>
      </c>
      <c r="B284" s="1" t="n">
        <v>45820.58274305556</v>
      </c>
      <c r="C284" s="1" t="n">
        <v>45915</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11503-2024</t>
        </is>
      </c>
      <c r="B285" s="1" t="n">
        <v>45372.68020833333</v>
      </c>
      <c r="C285" s="1" t="n">
        <v>45915</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30634-2022</t>
        </is>
      </c>
      <c r="B286" s="1" t="n">
        <v>44763.45711805556</v>
      </c>
      <c r="C286" s="1" t="n">
        <v>45915</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28758-2025</t>
        </is>
      </c>
      <c r="B287" s="1" t="n">
        <v>45820.41212962963</v>
      </c>
      <c r="C287" s="1" t="n">
        <v>45915</v>
      </c>
      <c r="D287" t="inlineStr">
        <is>
          <t>UPPSALA LÄN</t>
        </is>
      </c>
      <c r="E287" t="inlineStr">
        <is>
          <t>ENKÖPING</t>
        </is>
      </c>
      <c r="G287" t="n">
        <v>2.4</v>
      </c>
      <c r="H287" t="n">
        <v>0</v>
      </c>
      <c r="I287" t="n">
        <v>0</v>
      </c>
      <c r="J287" t="n">
        <v>0</v>
      </c>
      <c r="K287" t="n">
        <v>0</v>
      </c>
      <c r="L287" t="n">
        <v>0</v>
      </c>
      <c r="M287" t="n">
        <v>0</v>
      </c>
      <c r="N287" t="n">
        <v>0</v>
      </c>
      <c r="O287" t="n">
        <v>0</v>
      </c>
      <c r="P287" t="n">
        <v>0</v>
      </c>
      <c r="Q287" t="n">
        <v>0</v>
      </c>
      <c r="R287" s="2" t="inlineStr"/>
    </row>
    <row r="288" ht="15" customHeight="1">
      <c r="A288" t="inlineStr">
        <is>
          <t>A 39009-2024</t>
        </is>
      </c>
      <c r="B288" s="1" t="n">
        <v>45548</v>
      </c>
      <c r="C288" s="1" t="n">
        <v>45915</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8537-2025</t>
        </is>
      </c>
      <c r="B289" s="1" t="n">
        <v>45709</v>
      </c>
      <c r="C289" s="1" t="n">
        <v>45915</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28862-2025</t>
        </is>
      </c>
      <c r="B290" s="1" t="n">
        <v>45820.59189814814</v>
      </c>
      <c r="C290" s="1" t="n">
        <v>45915</v>
      </c>
      <c r="D290" t="inlineStr">
        <is>
          <t>UPPSALA LÄN</t>
        </is>
      </c>
      <c r="E290" t="inlineStr">
        <is>
          <t>ENKÖPING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2164-2023</t>
        </is>
      </c>
      <c r="B291" s="1" t="n">
        <v>44941</v>
      </c>
      <c r="C291" s="1" t="n">
        <v>45915</v>
      </c>
      <c r="D291" t="inlineStr">
        <is>
          <t>UPPSALA LÄN</t>
        </is>
      </c>
      <c r="E291" t="inlineStr">
        <is>
          <t>ENKÖPING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3300-2025</t>
        </is>
      </c>
      <c r="B292" s="1" t="n">
        <v>45679</v>
      </c>
      <c r="C292" s="1" t="n">
        <v>45915</v>
      </c>
      <c r="D292" t="inlineStr">
        <is>
          <t>UPPSALA LÄN</t>
        </is>
      </c>
      <c r="E292" t="inlineStr">
        <is>
          <t>ENKÖPING</t>
        </is>
      </c>
      <c r="G292" t="n">
        <v>8.9</v>
      </c>
      <c r="H292" t="n">
        <v>0</v>
      </c>
      <c r="I292" t="n">
        <v>0</v>
      </c>
      <c r="J292" t="n">
        <v>0</v>
      </c>
      <c r="K292" t="n">
        <v>0</v>
      </c>
      <c r="L292" t="n">
        <v>0</v>
      </c>
      <c r="M292" t="n">
        <v>0</v>
      </c>
      <c r="N292" t="n">
        <v>0</v>
      </c>
      <c r="O292" t="n">
        <v>0</v>
      </c>
      <c r="P292" t="n">
        <v>0</v>
      </c>
      <c r="Q292" t="n">
        <v>0</v>
      </c>
      <c r="R292" s="2" t="inlineStr"/>
    </row>
    <row r="293" ht="15" customHeight="1">
      <c r="A293" t="inlineStr">
        <is>
          <t>A 29093-2025</t>
        </is>
      </c>
      <c r="B293" s="1" t="n">
        <v>45821.55743055556</v>
      </c>
      <c r="C293" s="1" t="n">
        <v>45915</v>
      </c>
      <c r="D293" t="inlineStr">
        <is>
          <t>UPPSALA LÄN</t>
        </is>
      </c>
      <c r="E293" t="inlineStr">
        <is>
          <t>ENKÖPING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29477-2025</t>
        </is>
      </c>
      <c r="B294" s="1" t="n">
        <v>45824.71537037037</v>
      </c>
      <c r="C294" s="1" t="n">
        <v>45915</v>
      </c>
      <c r="D294" t="inlineStr">
        <is>
          <t>UPPSALA LÄN</t>
        </is>
      </c>
      <c r="E294" t="inlineStr">
        <is>
          <t>ENKÖPING</t>
        </is>
      </c>
      <c r="G294" t="n">
        <v>13.4</v>
      </c>
      <c r="H294" t="n">
        <v>0</v>
      </c>
      <c r="I294" t="n">
        <v>0</v>
      </c>
      <c r="J294" t="n">
        <v>0</v>
      </c>
      <c r="K294" t="n">
        <v>0</v>
      </c>
      <c r="L294" t="n">
        <v>0</v>
      </c>
      <c r="M294" t="n">
        <v>0</v>
      </c>
      <c r="N294" t="n">
        <v>0</v>
      </c>
      <c r="O294" t="n">
        <v>0</v>
      </c>
      <c r="P294" t="n">
        <v>0</v>
      </c>
      <c r="Q294" t="n">
        <v>0</v>
      </c>
      <c r="R294" s="2" t="inlineStr"/>
    </row>
    <row r="295" ht="15" customHeight="1">
      <c r="A295" t="inlineStr">
        <is>
          <t>A 33955-2024</t>
        </is>
      </c>
      <c r="B295" s="1" t="n">
        <v>45523.46952546296</v>
      </c>
      <c r="C295" s="1" t="n">
        <v>45915</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51120-2023</t>
        </is>
      </c>
      <c r="B296" s="1" t="n">
        <v>45219.3088425926</v>
      </c>
      <c r="C296" s="1" t="n">
        <v>45915</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6172-2023</t>
        </is>
      </c>
      <c r="B297" s="1" t="n">
        <v>44964.68663194445</v>
      </c>
      <c r="C297" s="1" t="n">
        <v>45915</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10409-2025</t>
        </is>
      </c>
      <c r="B298" s="1" t="n">
        <v>45720.631875</v>
      </c>
      <c r="C298" s="1" t="n">
        <v>45915</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26319-2022</t>
        </is>
      </c>
      <c r="B299" s="1" t="n">
        <v>44735</v>
      </c>
      <c r="C299" s="1" t="n">
        <v>45915</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54357-2023</t>
        </is>
      </c>
      <c r="B300" s="1" t="n">
        <v>45225</v>
      </c>
      <c r="C300" s="1" t="n">
        <v>45915</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4203-2021</t>
        </is>
      </c>
      <c r="B301" s="1" t="n">
        <v>44223</v>
      </c>
      <c r="C301" s="1" t="n">
        <v>45915</v>
      </c>
      <c r="D301" t="inlineStr">
        <is>
          <t>UPPSALA LÄN</t>
        </is>
      </c>
      <c r="E301" t="inlineStr">
        <is>
          <t>ENKÖPING</t>
        </is>
      </c>
      <c r="G301" t="n">
        <v>11.6</v>
      </c>
      <c r="H301" t="n">
        <v>0</v>
      </c>
      <c r="I301" t="n">
        <v>0</v>
      </c>
      <c r="J301" t="n">
        <v>0</v>
      </c>
      <c r="K301" t="n">
        <v>0</v>
      </c>
      <c r="L301" t="n">
        <v>0</v>
      </c>
      <c r="M301" t="n">
        <v>0</v>
      </c>
      <c r="N301" t="n">
        <v>0</v>
      </c>
      <c r="O301" t="n">
        <v>0</v>
      </c>
      <c r="P301" t="n">
        <v>0</v>
      </c>
      <c r="Q301" t="n">
        <v>0</v>
      </c>
      <c r="R301" s="2" t="inlineStr"/>
    </row>
    <row r="302" ht="15" customHeight="1">
      <c r="A302" t="inlineStr">
        <is>
          <t>A 13816-2021</t>
        </is>
      </c>
      <c r="B302" s="1" t="n">
        <v>44276</v>
      </c>
      <c r="C302" s="1" t="n">
        <v>45915</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63402-2023</t>
        </is>
      </c>
      <c r="B303" s="1" t="n">
        <v>45274.50646990741</v>
      </c>
      <c r="C303" s="1" t="n">
        <v>45915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30837-2025</t>
        </is>
      </c>
      <c r="B304" s="1" t="n">
        <v>45831.7063425926</v>
      </c>
      <c r="C304" s="1" t="n">
        <v>45915</v>
      </c>
      <c r="D304" t="inlineStr">
        <is>
          <t>UPPSALA LÄN</t>
        </is>
      </c>
      <c r="E304" t="inlineStr">
        <is>
          <t>ENKÖPING</t>
        </is>
      </c>
      <c r="G304" t="n">
        <v>3.8</v>
      </c>
      <c r="H304" t="n">
        <v>0</v>
      </c>
      <c r="I304" t="n">
        <v>0</v>
      </c>
      <c r="J304" t="n">
        <v>0</v>
      </c>
      <c r="K304" t="n">
        <v>0</v>
      </c>
      <c r="L304" t="n">
        <v>0</v>
      </c>
      <c r="M304" t="n">
        <v>0</v>
      </c>
      <c r="N304" t="n">
        <v>0</v>
      </c>
      <c r="O304" t="n">
        <v>0</v>
      </c>
      <c r="P304" t="n">
        <v>0</v>
      </c>
      <c r="Q304" t="n">
        <v>0</v>
      </c>
      <c r="R304" s="2" t="inlineStr"/>
    </row>
    <row r="305" ht="15" customHeight="1">
      <c r="A305" t="inlineStr">
        <is>
          <t>A 53208-2023</t>
        </is>
      </c>
      <c r="B305" s="1" t="n">
        <v>45226</v>
      </c>
      <c r="C305" s="1" t="n">
        <v>45915</v>
      </c>
      <c r="D305" t="inlineStr">
        <is>
          <t>UPPSALA LÄN</t>
        </is>
      </c>
      <c r="E305" t="inlineStr">
        <is>
          <t>ENKÖPING</t>
        </is>
      </c>
      <c r="G305" t="n">
        <v>4.3</v>
      </c>
      <c r="H305" t="n">
        <v>0</v>
      </c>
      <c r="I305" t="n">
        <v>0</v>
      </c>
      <c r="J305" t="n">
        <v>0</v>
      </c>
      <c r="K305" t="n">
        <v>0</v>
      </c>
      <c r="L305" t="n">
        <v>0</v>
      </c>
      <c r="M305" t="n">
        <v>0</v>
      </c>
      <c r="N305" t="n">
        <v>0</v>
      </c>
      <c r="O305" t="n">
        <v>0</v>
      </c>
      <c r="P305" t="n">
        <v>0</v>
      </c>
      <c r="Q305" t="n">
        <v>0</v>
      </c>
      <c r="R305" s="2" t="inlineStr"/>
    </row>
    <row r="306" ht="15" customHeight="1">
      <c r="A306" t="inlineStr">
        <is>
          <t>A 69567-2020</t>
        </is>
      </c>
      <c r="B306" s="1" t="n">
        <v>44194</v>
      </c>
      <c r="C306" s="1" t="n">
        <v>45915</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21686-2022</t>
        </is>
      </c>
      <c r="B307" s="1" t="n">
        <v>44707</v>
      </c>
      <c r="C307" s="1" t="n">
        <v>45915</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29479-2022</t>
        </is>
      </c>
      <c r="B308" s="1" t="n">
        <v>44753.57265046296</v>
      </c>
      <c r="C308" s="1" t="n">
        <v>45915</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45915</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6298-2021</t>
        </is>
      </c>
      <c r="B310" s="1" t="n">
        <v>44235</v>
      </c>
      <c r="C310" s="1" t="n">
        <v>45915</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18259-2025</t>
        </is>
      </c>
      <c r="B311" s="1" t="n">
        <v>45762</v>
      </c>
      <c r="C311" s="1" t="n">
        <v>45915</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59441-2020</t>
        </is>
      </c>
      <c r="B312" s="1" t="n">
        <v>44148</v>
      </c>
      <c r="C312" s="1" t="n">
        <v>45915</v>
      </c>
      <c r="D312" t="inlineStr">
        <is>
          <t>UPPSALA LÄN</t>
        </is>
      </c>
      <c r="E312" t="inlineStr">
        <is>
          <t>ENKÖPING</t>
        </is>
      </c>
      <c r="G312" t="n">
        <v>4.8</v>
      </c>
      <c r="H312" t="n">
        <v>0</v>
      </c>
      <c r="I312" t="n">
        <v>0</v>
      </c>
      <c r="J312" t="n">
        <v>0</v>
      </c>
      <c r="K312" t="n">
        <v>0</v>
      </c>
      <c r="L312" t="n">
        <v>0</v>
      </c>
      <c r="M312" t="n">
        <v>0</v>
      </c>
      <c r="N312" t="n">
        <v>0</v>
      </c>
      <c r="O312" t="n">
        <v>0</v>
      </c>
      <c r="P312" t="n">
        <v>0</v>
      </c>
      <c r="Q312" t="n">
        <v>0</v>
      </c>
      <c r="R312" s="2" t="inlineStr"/>
    </row>
    <row r="313" ht="15" customHeight="1">
      <c r="A313" t="inlineStr">
        <is>
          <t>A 62158-2023</t>
        </is>
      </c>
      <c r="B313" s="1" t="n">
        <v>45267</v>
      </c>
      <c r="C313" s="1" t="n">
        <v>45915</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57328-2024</t>
        </is>
      </c>
      <c r="B314" s="1" t="n">
        <v>45629.62798611111</v>
      </c>
      <c r="C314" s="1" t="n">
        <v>45915</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32477-2025</t>
        </is>
      </c>
      <c r="B315" s="1" t="n">
        <v>45838.43098379629</v>
      </c>
      <c r="C315" s="1" t="n">
        <v>45915</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32031-2025</t>
        </is>
      </c>
      <c r="B316" s="1" t="n">
        <v>45835.41712962963</v>
      </c>
      <c r="C316" s="1" t="n">
        <v>45915</v>
      </c>
      <c r="D316" t="inlineStr">
        <is>
          <t>UPPSALA LÄN</t>
        </is>
      </c>
      <c r="E316" t="inlineStr">
        <is>
          <t>ENKÖPING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32111-2025</t>
        </is>
      </c>
      <c r="B317" s="1" t="n">
        <v>45835</v>
      </c>
      <c r="C317" s="1" t="n">
        <v>45915</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60874-2023</t>
        </is>
      </c>
      <c r="B318" s="1" t="n">
        <v>45261.06280092592</v>
      </c>
      <c r="C318" s="1" t="n">
        <v>45915</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56837-2024</t>
        </is>
      </c>
      <c r="B319" s="1" t="n">
        <v>45628</v>
      </c>
      <c r="C319" s="1" t="n">
        <v>45915</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55876-2024</t>
        </is>
      </c>
      <c r="B320" s="1" t="n">
        <v>45623.5546412037</v>
      </c>
      <c r="C320" s="1" t="n">
        <v>45915</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25334-2023</t>
        </is>
      </c>
      <c r="B321" s="1" t="n">
        <v>45083</v>
      </c>
      <c r="C321" s="1" t="n">
        <v>45915</v>
      </c>
      <c r="D321" t="inlineStr">
        <is>
          <t>UPPSALA LÄN</t>
        </is>
      </c>
      <c r="E321" t="inlineStr">
        <is>
          <t>ENKÖPING</t>
        </is>
      </c>
      <c r="G321" t="n">
        <v>0.2</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45915</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3550-2023</t>
        </is>
      </c>
      <c r="B323" s="1" t="n">
        <v>44950</v>
      </c>
      <c r="C323" s="1" t="n">
        <v>45915</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53587-2024</t>
        </is>
      </c>
      <c r="B324" s="1" t="n">
        <v>45614.66953703704</v>
      </c>
      <c r="C324" s="1" t="n">
        <v>45915</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26292-2022</t>
        </is>
      </c>
      <c r="B325" s="1" t="n">
        <v>44735</v>
      </c>
      <c r="C325" s="1" t="n">
        <v>45915</v>
      </c>
      <c r="D325" t="inlineStr">
        <is>
          <t>UPPSALA LÄN</t>
        </is>
      </c>
      <c r="E325" t="inlineStr">
        <is>
          <t>ENKÖPING</t>
        </is>
      </c>
      <c r="F325" t="inlineStr">
        <is>
          <t>Kyrkan</t>
        </is>
      </c>
      <c r="G325" t="n">
        <v>4.6</v>
      </c>
      <c r="H325" t="n">
        <v>0</v>
      </c>
      <c r="I325" t="n">
        <v>0</v>
      </c>
      <c r="J325" t="n">
        <v>0</v>
      </c>
      <c r="K325" t="n">
        <v>0</v>
      </c>
      <c r="L325" t="n">
        <v>0</v>
      </c>
      <c r="M325" t="n">
        <v>0</v>
      </c>
      <c r="N325" t="n">
        <v>0</v>
      </c>
      <c r="O325" t="n">
        <v>0</v>
      </c>
      <c r="P325" t="n">
        <v>0</v>
      </c>
      <c r="Q325" t="n">
        <v>0</v>
      </c>
      <c r="R325" s="2" t="inlineStr"/>
    </row>
    <row r="326" ht="15" customHeight="1">
      <c r="A326" t="inlineStr">
        <is>
          <t>A 18583-2021</t>
        </is>
      </c>
      <c r="B326" s="1" t="n">
        <v>44306</v>
      </c>
      <c r="C326" s="1" t="n">
        <v>45915</v>
      </c>
      <c r="D326" t="inlineStr">
        <is>
          <t>UPPSALA LÄN</t>
        </is>
      </c>
      <c r="E326" t="inlineStr">
        <is>
          <t>ENKÖPING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60125-2024</t>
        </is>
      </c>
      <c r="B327" s="1" t="n">
        <v>45642</v>
      </c>
      <c r="C327" s="1" t="n">
        <v>45915</v>
      </c>
      <c r="D327" t="inlineStr">
        <is>
          <t>UPPSALA LÄN</t>
        </is>
      </c>
      <c r="E327" t="inlineStr">
        <is>
          <t>ENKÖPING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1695-2025</t>
        </is>
      </c>
      <c r="B328" s="1" t="n">
        <v>45670</v>
      </c>
      <c r="C328" s="1" t="n">
        <v>45915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59027-2024</t>
        </is>
      </c>
      <c r="B329" s="1" t="n">
        <v>45636.68755787037</v>
      </c>
      <c r="C329" s="1" t="n">
        <v>45915</v>
      </c>
      <c r="D329" t="inlineStr">
        <is>
          <t>UPPSALA LÄN</t>
        </is>
      </c>
      <c r="E329" t="inlineStr">
        <is>
          <t>ENKÖPING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42564-2024</t>
        </is>
      </c>
      <c r="B330" s="1" t="n">
        <v>45565.63358796296</v>
      </c>
      <c r="C330" s="1" t="n">
        <v>45915</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3235-2025</t>
        </is>
      </c>
      <c r="B331" s="1" t="n">
        <v>45679</v>
      </c>
      <c r="C331" s="1" t="n">
        <v>45915</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61207-2023</t>
        </is>
      </c>
      <c r="B332" s="1" t="n">
        <v>45264.39444444444</v>
      </c>
      <c r="C332" s="1" t="n">
        <v>45915</v>
      </c>
      <c r="D332" t="inlineStr">
        <is>
          <t>UPPSALA LÄN</t>
        </is>
      </c>
      <c r="E332" t="inlineStr">
        <is>
          <t>ENKÖPING</t>
        </is>
      </c>
      <c r="G332" t="n">
        <v>10.8</v>
      </c>
      <c r="H332" t="n">
        <v>0</v>
      </c>
      <c r="I332" t="n">
        <v>0</v>
      </c>
      <c r="J332" t="n">
        <v>0</v>
      </c>
      <c r="K332" t="n">
        <v>0</v>
      </c>
      <c r="L332" t="n">
        <v>0</v>
      </c>
      <c r="M332" t="n">
        <v>0</v>
      </c>
      <c r="N332" t="n">
        <v>0</v>
      </c>
      <c r="O332" t="n">
        <v>0</v>
      </c>
      <c r="P332" t="n">
        <v>0</v>
      </c>
      <c r="Q332" t="n">
        <v>0</v>
      </c>
      <c r="R332" s="2" t="inlineStr"/>
    </row>
    <row r="333" ht="15" customHeight="1">
      <c r="A333" t="inlineStr">
        <is>
          <t>A 15711-2025</t>
        </is>
      </c>
      <c r="B333" s="1" t="n">
        <v>45748</v>
      </c>
      <c r="C333" s="1" t="n">
        <v>45915</v>
      </c>
      <c r="D333" t="inlineStr">
        <is>
          <t>UPPSALA LÄN</t>
        </is>
      </c>
      <c r="E333" t="inlineStr">
        <is>
          <t>ENKÖPING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4562-2025</t>
        </is>
      </c>
      <c r="B334" s="1" t="n">
        <v>45687</v>
      </c>
      <c r="C334" s="1" t="n">
        <v>45915</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6959-2025</t>
        </is>
      </c>
      <c r="B335" s="1" t="n">
        <v>45701.49315972222</v>
      </c>
      <c r="C335" s="1" t="n">
        <v>45915</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67765-2020</t>
        </is>
      </c>
      <c r="B336" s="1" t="n">
        <v>44182</v>
      </c>
      <c r="C336" s="1" t="n">
        <v>45915</v>
      </c>
      <c r="D336" t="inlineStr">
        <is>
          <t>UPPSALA LÄN</t>
        </is>
      </c>
      <c r="E336" t="inlineStr">
        <is>
          <t>ENKÖPING</t>
        </is>
      </c>
      <c r="G336" t="n">
        <v>3.6</v>
      </c>
      <c r="H336" t="n">
        <v>0</v>
      </c>
      <c r="I336" t="n">
        <v>0</v>
      </c>
      <c r="J336" t="n">
        <v>0</v>
      </c>
      <c r="K336" t="n">
        <v>0</v>
      </c>
      <c r="L336" t="n">
        <v>0</v>
      </c>
      <c r="M336" t="n">
        <v>0</v>
      </c>
      <c r="N336" t="n">
        <v>0</v>
      </c>
      <c r="O336" t="n">
        <v>0</v>
      </c>
      <c r="P336" t="n">
        <v>0</v>
      </c>
      <c r="Q336" t="n">
        <v>0</v>
      </c>
      <c r="R336" s="2" t="inlineStr"/>
    </row>
    <row r="337" ht="15" customHeight="1">
      <c r="A337" t="inlineStr">
        <is>
          <t>A 17165-2025</t>
        </is>
      </c>
      <c r="B337" s="1" t="n">
        <v>45756</v>
      </c>
      <c r="C337" s="1" t="n">
        <v>45915</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840-2025</t>
        </is>
      </c>
      <c r="B338" s="1" t="n">
        <v>45665</v>
      </c>
      <c r="C338" s="1" t="n">
        <v>45915</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52299-2023</t>
        </is>
      </c>
      <c r="B339" s="1" t="n">
        <v>45224.61636574074</v>
      </c>
      <c r="C339" s="1" t="n">
        <v>45915</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25598-2021</t>
        </is>
      </c>
      <c r="B340" s="1" t="n">
        <v>44343.4558912037</v>
      </c>
      <c r="C340" s="1" t="n">
        <v>45915</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32081-2024</t>
        </is>
      </c>
      <c r="B341" s="1" t="n">
        <v>45511.34605324074</v>
      </c>
      <c r="C341" s="1" t="n">
        <v>45915</v>
      </c>
      <c r="D341" t="inlineStr">
        <is>
          <t>UPPSALA LÄN</t>
        </is>
      </c>
      <c r="E341" t="inlineStr">
        <is>
          <t>ENKÖPING</t>
        </is>
      </c>
      <c r="G341" t="n">
        <v>5.4</v>
      </c>
      <c r="H341" t="n">
        <v>0</v>
      </c>
      <c r="I341" t="n">
        <v>0</v>
      </c>
      <c r="J341" t="n">
        <v>0</v>
      </c>
      <c r="K341" t="n">
        <v>0</v>
      </c>
      <c r="L341" t="n">
        <v>0</v>
      </c>
      <c r="M341" t="n">
        <v>0</v>
      </c>
      <c r="N341" t="n">
        <v>0</v>
      </c>
      <c r="O341" t="n">
        <v>0</v>
      </c>
      <c r="P341" t="n">
        <v>0</v>
      </c>
      <c r="Q341" t="n">
        <v>0</v>
      </c>
      <c r="R341" s="2" t="inlineStr"/>
    </row>
    <row r="342" ht="15" customHeight="1">
      <c r="A342" t="inlineStr">
        <is>
          <t>A 10458-2022</t>
        </is>
      </c>
      <c r="B342" s="1" t="n">
        <v>44623.56711805556</v>
      </c>
      <c r="C342" s="1" t="n">
        <v>45915</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45142-2023</t>
        </is>
      </c>
      <c r="B343" s="1" t="n">
        <v>45191.4702662037</v>
      </c>
      <c r="C343" s="1" t="n">
        <v>45915</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20184-2023</t>
        </is>
      </c>
      <c r="B344" s="1" t="n">
        <v>45055.5670949074</v>
      </c>
      <c r="C344" s="1" t="n">
        <v>45915</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45915</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57998-2024</t>
        </is>
      </c>
      <c r="B346" s="1" t="n">
        <v>45631</v>
      </c>
      <c r="C346" s="1" t="n">
        <v>45915</v>
      </c>
      <c r="D346" t="inlineStr">
        <is>
          <t>UPPSALA LÄN</t>
        </is>
      </c>
      <c r="E346" t="inlineStr">
        <is>
          <t>ENKÖPING</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59602-2022</t>
        </is>
      </c>
      <c r="B347" s="1" t="n">
        <v>44907.72241898148</v>
      </c>
      <c r="C347" s="1" t="n">
        <v>45915</v>
      </c>
      <c r="D347" t="inlineStr">
        <is>
          <t>UPPSALA LÄN</t>
        </is>
      </c>
      <c r="E347" t="inlineStr">
        <is>
          <t>ENKÖPING</t>
        </is>
      </c>
      <c r="G347" t="n">
        <v>14.2</v>
      </c>
      <c r="H347" t="n">
        <v>0</v>
      </c>
      <c r="I347" t="n">
        <v>0</v>
      </c>
      <c r="J347" t="n">
        <v>0</v>
      </c>
      <c r="K347" t="n">
        <v>0</v>
      </c>
      <c r="L347" t="n">
        <v>0</v>
      </c>
      <c r="M347" t="n">
        <v>0</v>
      </c>
      <c r="N347" t="n">
        <v>0</v>
      </c>
      <c r="O347" t="n">
        <v>0</v>
      </c>
      <c r="P347" t="n">
        <v>0</v>
      </c>
      <c r="Q347" t="n">
        <v>0</v>
      </c>
      <c r="R347" s="2" t="inlineStr"/>
    </row>
    <row r="348" ht="15" customHeight="1">
      <c r="A348" t="inlineStr">
        <is>
          <t>A 42589-2022</t>
        </is>
      </c>
      <c r="B348" s="1" t="n">
        <v>44831</v>
      </c>
      <c r="C348" s="1" t="n">
        <v>45915</v>
      </c>
      <c r="D348" t="inlineStr">
        <is>
          <t>UPPSALA LÄN</t>
        </is>
      </c>
      <c r="E348" t="inlineStr">
        <is>
          <t>ENKÖPING</t>
        </is>
      </c>
      <c r="G348" t="n">
        <v>20</v>
      </c>
      <c r="H348" t="n">
        <v>0</v>
      </c>
      <c r="I348" t="n">
        <v>0</v>
      </c>
      <c r="J348" t="n">
        <v>0</v>
      </c>
      <c r="K348" t="n">
        <v>0</v>
      </c>
      <c r="L348" t="n">
        <v>0</v>
      </c>
      <c r="M348" t="n">
        <v>0</v>
      </c>
      <c r="N348" t="n">
        <v>0</v>
      </c>
      <c r="O348" t="n">
        <v>0</v>
      </c>
      <c r="P348" t="n">
        <v>0</v>
      </c>
      <c r="Q348" t="n">
        <v>0</v>
      </c>
      <c r="R348" s="2" t="inlineStr"/>
    </row>
    <row r="349" ht="15" customHeight="1">
      <c r="A349" t="inlineStr">
        <is>
          <t>A 35645-2021</t>
        </is>
      </c>
      <c r="B349" s="1" t="n">
        <v>44386.42</v>
      </c>
      <c r="C349" s="1" t="n">
        <v>45915</v>
      </c>
      <c r="D349" t="inlineStr">
        <is>
          <t>UPPSALA LÄN</t>
        </is>
      </c>
      <c r="E349" t="inlineStr">
        <is>
          <t>ENKÖPING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2968-2025</t>
        </is>
      </c>
      <c r="B350" s="1" t="n">
        <v>45678</v>
      </c>
      <c r="C350" s="1" t="n">
        <v>45915</v>
      </c>
      <c r="D350" t="inlineStr">
        <is>
          <t>UPPSALA LÄN</t>
        </is>
      </c>
      <c r="E350" t="inlineStr">
        <is>
          <t>ENKÖPING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9487-2025</t>
        </is>
      </c>
      <c r="B351" s="1" t="n">
        <v>45715.49331018519</v>
      </c>
      <c r="C351" s="1" t="n">
        <v>45915</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16176-2025</t>
        </is>
      </c>
      <c r="B352" s="1" t="n">
        <v>45750</v>
      </c>
      <c r="C352" s="1" t="n">
        <v>45915</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37035-2023</t>
        </is>
      </c>
      <c r="B353" s="1" t="n">
        <v>45155</v>
      </c>
      <c r="C353" s="1" t="n">
        <v>45915</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46186-2023</t>
        </is>
      </c>
      <c r="B354" s="1" t="n">
        <v>45196</v>
      </c>
      <c r="C354" s="1" t="n">
        <v>45915</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15162-2025</t>
        </is>
      </c>
      <c r="B355" s="1" t="n">
        <v>45744</v>
      </c>
      <c r="C355" s="1" t="n">
        <v>45915</v>
      </c>
      <c r="D355" t="inlineStr">
        <is>
          <t>UPPSALA LÄN</t>
        </is>
      </c>
      <c r="E355" t="inlineStr">
        <is>
          <t>ENKÖPING</t>
        </is>
      </c>
      <c r="G355" t="n">
        <v>4.2</v>
      </c>
      <c r="H355" t="n">
        <v>0</v>
      </c>
      <c r="I355" t="n">
        <v>0</v>
      </c>
      <c r="J355" t="n">
        <v>0</v>
      </c>
      <c r="K355" t="n">
        <v>0</v>
      </c>
      <c r="L355" t="n">
        <v>0</v>
      </c>
      <c r="M355" t="n">
        <v>0</v>
      </c>
      <c r="N355" t="n">
        <v>0</v>
      </c>
      <c r="O355" t="n">
        <v>0</v>
      </c>
      <c r="P355" t="n">
        <v>0</v>
      </c>
      <c r="Q355" t="n">
        <v>0</v>
      </c>
      <c r="R355" s="2" t="inlineStr"/>
    </row>
    <row r="356" ht="15" customHeight="1">
      <c r="A356" t="inlineStr">
        <is>
          <t>A 14332-2024</t>
        </is>
      </c>
      <c r="B356" s="1" t="n">
        <v>45393</v>
      </c>
      <c r="C356" s="1" t="n">
        <v>45915</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18299-2025</t>
        </is>
      </c>
      <c r="B357" s="1" t="n">
        <v>45762</v>
      </c>
      <c r="C357" s="1" t="n">
        <v>45915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6242-2025</t>
        </is>
      </c>
      <c r="B358" s="1" t="n">
        <v>45697</v>
      </c>
      <c r="C358" s="1" t="n">
        <v>45915</v>
      </c>
      <c r="D358" t="inlineStr">
        <is>
          <t>UPPSALA LÄN</t>
        </is>
      </c>
      <c r="E358" t="inlineStr">
        <is>
          <t>ENKÖPING</t>
        </is>
      </c>
      <c r="G358" t="n">
        <v>17.9</v>
      </c>
      <c r="H358" t="n">
        <v>0</v>
      </c>
      <c r="I358" t="n">
        <v>0</v>
      </c>
      <c r="J358" t="n">
        <v>0</v>
      </c>
      <c r="K358" t="n">
        <v>0</v>
      </c>
      <c r="L358" t="n">
        <v>0</v>
      </c>
      <c r="M358" t="n">
        <v>0</v>
      </c>
      <c r="N358" t="n">
        <v>0</v>
      </c>
      <c r="O358" t="n">
        <v>0</v>
      </c>
      <c r="P358" t="n">
        <v>0</v>
      </c>
      <c r="Q358" t="n">
        <v>0</v>
      </c>
      <c r="R358" s="2" t="inlineStr"/>
    </row>
    <row r="359" ht="15" customHeight="1">
      <c r="A359" t="inlineStr">
        <is>
          <t>A 6144-2024</t>
        </is>
      </c>
      <c r="B359" s="1" t="n">
        <v>45337.4684837963</v>
      </c>
      <c r="C359" s="1" t="n">
        <v>45915</v>
      </c>
      <c r="D359" t="inlineStr">
        <is>
          <t>UPPSALA LÄN</t>
        </is>
      </c>
      <c r="E359" t="inlineStr">
        <is>
          <t>ENKÖPING</t>
        </is>
      </c>
      <c r="G359" t="n">
        <v>13.8</v>
      </c>
      <c r="H359" t="n">
        <v>0</v>
      </c>
      <c r="I359" t="n">
        <v>0</v>
      </c>
      <c r="J359" t="n">
        <v>0</v>
      </c>
      <c r="K359" t="n">
        <v>0</v>
      </c>
      <c r="L359" t="n">
        <v>0</v>
      </c>
      <c r="M359" t="n">
        <v>0</v>
      </c>
      <c r="N359" t="n">
        <v>0</v>
      </c>
      <c r="O359" t="n">
        <v>0</v>
      </c>
      <c r="P359" t="n">
        <v>0</v>
      </c>
      <c r="Q359" t="n">
        <v>0</v>
      </c>
      <c r="R359" s="2" t="inlineStr"/>
    </row>
    <row r="360" ht="15" customHeight="1">
      <c r="A360" t="inlineStr">
        <is>
          <t>A 67984-2021</t>
        </is>
      </c>
      <c r="B360" s="1" t="n">
        <v>44525.70237268518</v>
      </c>
      <c r="C360" s="1" t="n">
        <v>45915</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18831-2023</t>
        </is>
      </c>
      <c r="B361" s="1" t="n">
        <v>45044.40798611111</v>
      </c>
      <c r="C361" s="1" t="n">
        <v>45915</v>
      </c>
      <c r="D361" t="inlineStr">
        <is>
          <t>UPPSALA LÄN</t>
        </is>
      </c>
      <c r="E361" t="inlineStr">
        <is>
          <t>ENKÖPING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46593-2020</t>
        </is>
      </c>
      <c r="B362" s="1" t="n">
        <v>44095</v>
      </c>
      <c r="C362" s="1" t="n">
        <v>45915</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15740-2025</t>
        </is>
      </c>
      <c r="B363" s="1" t="n">
        <v>45748</v>
      </c>
      <c r="C363" s="1" t="n">
        <v>45915</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18592-2021</t>
        </is>
      </c>
      <c r="B364" s="1" t="n">
        <v>44306</v>
      </c>
      <c r="C364" s="1" t="n">
        <v>45915</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11918-2025</t>
        </is>
      </c>
      <c r="B365" s="1" t="n">
        <v>45728.49331018519</v>
      </c>
      <c r="C365" s="1" t="n">
        <v>45915</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52169-2020</t>
        </is>
      </c>
      <c r="B366" s="1" t="n">
        <v>44117</v>
      </c>
      <c r="C366" s="1" t="n">
        <v>45915</v>
      </c>
      <c r="D366" t="inlineStr">
        <is>
          <t>UPPSALA LÄN</t>
        </is>
      </c>
      <c r="E366" t="inlineStr">
        <is>
          <t>ENKÖPING</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43896-2022</t>
        </is>
      </c>
      <c r="B367" s="1" t="n">
        <v>44838</v>
      </c>
      <c r="C367" s="1" t="n">
        <v>45915</v>
      </c>
      <c r="D367" t="inlineStr">
        <is>
          <t>UPPSALA LÄN</t>
        </is>
      </c>
      <c r="E367" t="inlineStr">
        <is>
          <t>ENKÖPING</t>
        </is>
      </c>
      <c r="G367" t="n">
        <v>5.3</v>
      </c>
      <c r="H367" t="n">
        <v>0</v>
      </c>
      <c r="I367" t="n">
        <v>0</v>
      </c>
      <c r="J367" t="n">
        <v>0</v>
      </c>
      <c r="K367" t="n">
        <v>0</v>
      </c>
      <c r="L367" t="n">
        <v>0</v>
      </c>
      <c r="M367" t="n">
        <v>0</v>
      </c>
      <c r="N367" t="n">
        <v>0</v>
      </c>
      <c r="O367" t="n">
        <v>0</v>
      </c>
      <c r="P367" t="n">
        <v>0</v>
      </c>
      <c r="Q367" t="n">
        <v>0</v>
      </c>
      <c r="R367" s="2" t="inlineStr"/>
    </row>
    <row r="368" ht="15" customHeight="1">
      <c r="A368" t="inlineStr">
        <is>
          <t>A 20440-2025</t>
        </is>
      </c>
      <c r="B368" s="1" t="n">
        <v>45775</v>
      </c>
      <c r="C368" s="1" t="n">
        <v>45915</v>
      </c>
      <c r="D368" t="inlineStr">
        <is>
          <t>UPPSALA LÄN</t>
        </is>
      </c>
      <c r="E368" t="inlineStr">
        <is>
          <t>ENKÖPING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45915</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54595-2021</t>
        </is>
      </c>
      <c r="B370" s="1" t="n">
        <v>44473.58824074074</v>
      </c>
      <c r="C370" s="1" t="n">
        <v>45915</v>
      </c>
      <c r="D370" t="inlineStr">
        <is>
          <t>UPPSALA LÄN</t>
        </is>
      </c>
      <c r="E370" t="inlineStr">
        <is>
          <t>ENKÖPING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22094-2023</t>
        </is>
      </c>
      <c r="B371" s="1" t="n">
        <v>45069</v>
      </c>
      <c r="C371" s="1" t="n">
        <v>45915</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35647-2021</t>
        </is>
      </c>
      <c r="B372" s="1" t="n">
        <v>44386</v>
      </c>
      <c r="C372" s="1" t="n">
        <v>45915</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24962-2023</t>
        </is>
      </c>
      <c r="B373" s="1" t="n">
        <v>45085.60123842592</v>
      </c>
      <c r="C373" s="1" t="n">
        <v>45915</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33581-2023</t>
        </is>
      </c>
      <c r="B374" s="1" t="n">
        <v>45131</v>
      </c>
      <c r="C374" s="1" t="n">
        <v>45915</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44131-2023</t>
        </is>
      </c>
      <c r="B375" s="1" t="n">
        <v>45188</v>
      </c>
      <c r="C375" s="1" t="n">
        <v>45915</v>
      </c>
      <c r="D375" t="inlineStr">
        <is>
          <t>UPPSALA LÄN</t>
        </is>
      </c>
      <c r="E375" t="inlineStr">
        <is>
          <t>ENKÖPING</t>
        </is>
      </c>
      <c r="G375" t="n">
        <v>0.3</v>
      </c>
      <c r="H375" t="n">
        <v>0</v>
      </c>
      <c r="I375" t="n">
        <v>0</v>
      </c>
      <c r="J375" t="n">
        <v>0</v>
      </c>
      <c r="K375" t="n">
        <v>0</v>
      </c>
      <c r="L375" t="n">
        <v>0</v>
      </c>
      <c r="M375" t="n">
        <v>0</v>
      </c>
      <c r="N375" t="n">
        <v>0</v>
      </c>
      <c r="O375" t="n">
        <v>0</v>
      </c>
      <c r="P375" t="n">
        <v>0</v>
      </c>
      <c r="Q375" t="n">
        <v>0</v>
      </c>
      <c r="R375" s="2" t="inlineStr"/>
    </row>
    <row r="376" ht="15" customHeight="1">
      <c r="A376" t="inlineStr">
        <is>
          <t>A 29482-2022</t>
        </is>
      </c>
      <c r="B376" s="1" t="n">
        <v>44753.57703703704</v>
      </c>
      <c r="C376" s="1" t="n">
        <v>45915</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29483-2022</t>
        </is>
      </c>
      <c r="B377" s="1" t="n">
        <v>44753.57829861111</v>
      </c>
      <c r="C377" s="1" t="n">
        <v>45915</v>
      </c>
      <c r="D377" t="inlineStr">
        <is>
          <t>UPPSALA LÄN</t>
        </is>
      </c>
      <c r="E377" t="inlineStr">
        <is>
          <t>ENKÖPING</t>
        </is>
      </c>
      <c r="G377" t="n">
        <v>3.6</v>
      </c>
      <c r="H377" t="n">
        <v>0</v>
      </c>
      <c r="I377" t="n">
        <v>0</v>
      </c>
      <c r="J377" t="n">
        <v>0</v>
      </c>
      <c r="K377" t="n">
        <v>0</v>
      </c>
      <c r="L377" t="n">
        <v>0</v>
      </c>
      <c r="M377" t="n">
        <v>0</v>
      </c>
      <c r="N377" t="n">
        <v>0</v>
      </c>
      <c r="O377" t="n">
        <v>0</v>
      </c>
      <c r="P377" t="n">
        <v>0</v>
      </c>
      <c r="Q377" t="n">
        <v>0</v>
      </c>
      <c r="R377" s="2" t="inlineStr"/>
    </row>
    <row r="378" ht="15" customHeight="1">
      <c r="A378" t="inlineStr">
        <is>
          <t>A 37170-2021</t>
        </is>
      </c>
      <c r="B378" s="1" t="n">
        <v>44395</v>
      </c>
      <c r="C378" s="1" t="n">
        <v>45915</v>
      </c>
      <c r="D378" t="inlineStr">
        <is>
          <t>UPPSALA LÄN</t>
        </is>
      </c>
      <c r="E378" t="inlineStr">
        <is>
          <t>ENKÖPING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53343-2020</t>
        </is>
      </c>
      <c r="B379" s="1" t="n">
        <v>44123.53505787037</v>
      </c>
      <c r="C379" s="1" t="n">
        <v>45915</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57848-2024</t>
        </is>
      </c>
      <c r="B380" s="1" t="n">
        <v>45631.40947916666</v>
      </c>
      <c r="C380" s="1" t="n">
        <v>45915</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58896-2020</t>
        </is>
      </c>
      <c r="B381" s="1" t="n">
        <v>44146</v>
      </c>
      <c r="C381" s="1" t="n">
        <v>45915</v>
      </c>
      <c r="D381" t="inlineStr">
        <is>
          <t>UPPSALA LÄN</t>
        </is>
      </c>
      <c r="E381" t="inlineStr">
        <is>
          <t>ENKÖPING</t>
        </is>
      </c>
      <c r="G381" t="n">
        <v>2.5</v>
      </c>
      <c r="H381" t="n">
        <v>0</v>
      </c>
      <c r="I381" t="n">
        <v>0</v>
      </c>
      <c r="J381" t="n">
        <v>0</v>
      </c>
      <c r="K381" t="n">
        <v>0</v>
      </c>
      <c r="L381" t="n">
        <v>0</v>
      </c>
      <c r="M381" t="n">
        <v>0</v>
      </c>
      <c r="N381" t="n">
        <v>0</v>
      </c>
      <c r="O381" t="n">
        <v>0</v>
      </c>
      <c r="P381" t="n">
        <v>0</v>
      </c>
      <c r="Q381" t="n">
        <v>0</v>
      </c>
      <c r="R381" s="2" t="inlineStr"/>
    </row>
    <row r="382" ht="15" customHeight="1">
      <c r="A382" t="inlineStr">
        <is>
          <t>A 53496-2022</t>
        </is>
      </c>
      <c r="B382" s="1" t="n">
        <v>44879.57217592592</v>
      </c>
      <c r="C382" s="1" t="n">
        <v>45915</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37115-2024</t>
        </is>
      </c>
      <c r="B383" s="1" t="n">
        <v>45539</v>
      </c>
      <c r="C383" s="1" t="n">
        <v>45915</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7870-2024</t>
        </is>
      </c>
      <c r="B384" s="1" t="n">
        <v>45350.33349537037</v>
      </c>
      <c r="C384" s="1" t="n">
        <v>45915</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28243-2023</t>
        </is>
      </c>
      <c r="B385" s="1" t="n">
        <v>45099.58885416666</v>
      </c>
      <c r="C385" s="1" t="n">
        <v>45915</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10829-2024</t>
        </is>
      </c>
      <c r="B386" s="1" t="n">
        <v>45369</v>
      </c>
      <c r="C386" s="1" t="n">
        <v>45915</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17029-2025</t>
        </is>
      </c>
      <c r="B387" s="1" t="n">
        <v>45755.57291666666</v>
      </c>
      <c r="C387" s="1" t="n">
        <v>45915</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2161-2023</t>
        </is>
      </c>
      <c r="B388" s="1" t="n">
        <v>44941</v>
      </c>
      <c r="C388" s="1" t="n">
        <v>45915</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2165-2023</t>
        </is>
      </c>
      <c r="B389" s="1" t="n">
        <v>44941</v>
      </c>
      <c r="C389" s="1" t="n">
        <v>45915</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18994-2025</t>
        </is>
      </c>
      <c r="B390" s="1" t="n">
        <v>45764.57350694444</v>
      </c>
      <c r="C390" s="1" t="n">
        <v>45915</v>
      </c>
      <c r="D390" t="inlineStr">
        <is>
          <t>UPPSALA LÄN</t>
        </is>
      </c>
      <c r="E390" t="inlineStr">
        <is>
          <t>ENKÖPING</t>
        </is>
      </c>
      <c r="G390" t="n">
        <v>3.8</v>
      </c>
      <c r="H390" t="n">
        <v>0</v>
      </c>
      <c r="I390" t="n">
        <v>0</v>
      </c>
      <c r="J390" t="n">
        <v>0</v>
      </c>
      <c r="K390" t="n">
        <v>0</v>
      </c>
      <c r="L390" t="n">
        <v>0</v>
      </c>
      <c r="M390" t="n">
        <v>0</v>
      </c>
      <c r="N390" t="n">
        <v>0</v>
      </c>
      <c r="O390" t="n">
        <v>0</v>
      </c>
      <c r="P390" t="n">
        <v>0</v>
      </c>
      <c r="Q390" t="n">
        <v>0</v>
      </c>
      <c r="R390" s="2" t="inlineStr"/>
    </row>
    <row r="391" ht="15" customHeight="1">
      <c r="A391" t="inlineStr">
        <is>
          <t>A 8306-2021</t>
        </is>
      </c>
      <c r="B391" s="1" t="n">
        <v>44244</v>
      </c>
      <c r="C391" s="1" t="n">
        <v>45915</v>
      </c>
      <c r="D391" t="inlineStr">
        <is>
          <t>UPPSALA LÄN</t>
        </is>
      </c>
      <c r="E391" t="inlineStr">
        <is>
          <t>ENKÖPING</t>
        </is>
      </c>
      <c r="G391" t="n">
        <v>14.9</v>
      </c>
      <c r="H391" t="n">
        <v>0</v>
      </c>
      <c r="I391" t="n">
        <v>0</v>
      </c>
      <c r="J391" t="n">
        <v>0</v>
      </c>
      <c r="K391" t="n">
        <v>0</v>
      </c>
      <c r="L391" t="n">
        <v>0</v>
      </c>
      <c r="M391" t="n">
        <v>0</v>
      </c>
      <c r="N391" t="n">
        <v>0</v>
      </c>
      <c r="O391" t="n">
        <v>0</v>
      </c>
      <c r="P391" t="n">
        <v>0</v>
      </c>
      <c r="Q391" t="n">
        <v>0</v>
      </c>
      <c r="R391" s="2" t="inlineStr"/>
    </row>
    <row r="392" ht="15" customHeight="1">
      <c r="A392" t="inlineStr">
        <is>
          <t>A 58062-2020</t>
        </is>
      </c>
      <c r="B392" s="1" t="n">
        <v>44144</v>
      </c>
      <c r="C392" s="1" t="n">
        <v>45915</v>
      </c>
      <c r="D392" t="inlineStr">
        <is>
          <t>UPPSALA LÄN</t>
        </is>
      </c>
      <c r="E392" t="inlineStr">
        <is>
          <t>ENKÖPING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49601-2024</t>
        </is>
      </c>
      <c r="B393" s="1" t="n">
        <v>45596.56288194445</v>
      </c>
      <c r="C393" s="1" t="n">
        <v>45915</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6147-2021</t>
        </is>
      </c>
      <c r="B394" s="1" t="n">
        <v>44232</v>
      </c>
      <c r="C394" s="1" t="n">
        <v>45915</v>
      </c>
      <c r="D394" t="inlineStr">
        <is>
          <t>UPPSALA LÄN</t>
        </is>
      </c>
      <c r="E394" t="inlineStr">
        <is>
          <t>ENKÖPING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49622-2024</t>
        </is>
      </c>
      <c r="B395" s="1" t="n">
        <v>45596.58372685185</v>
      </c>
      <c r="C395" s="1" t="n">
        <v>45915</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1960-2022</t>
        </is>
      </c>
      <c r="B396" s="1" t="n">
        <v>44575</v>
      </c>
      <c r="C396" s="1" t="n">
        <v>45915</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37296-2025</t>
        </is>
      </c>
      <c r="B397" s="1" t="n">
        <v>45876</v>
      </c>
      <c r="C397" s="1" t="n">
        <v>45915</v>
      </c>
      <c r="D397" t="inlineStr">
        <is>
          <t>UPPSALA LÄN</t>
        </is>
      </c>
      <c r="E397" t="inlineStr">
        <is>
          <t>ENKÖPING</t>
        </is>
      </c>
      <c r="G397" t="n">
        <v>9.5</v>
      </c>
      <c r="H397" t="n">
        <v>0</v>
      </c>
      <c r="I397" t="n">
        <v>0</v>
      </c>
      <c r="J397" t="n">
        <v>0</v>
      </c>
      <c r="K397" t="n">
        <v>0</v>
      </c>
      <c r="L397" t="n">
        <v>0</v>
      </c>
      <c r="M397" t="n">
        <v>0</v>
      </c>
      <c r="N397" t="n">
        <v>0</v>
      </c>
      <c r="O397" t="n">
        <v>0</v>
      </c>
      <c r="P397" t="n">
        <v>0</v>
      </c>
      <c r="Q397" t="n">
        <v>0</v>
      </c>
      <c r="R397" s="2" t="inlineStr"/>
    </row>
    <row r="398" ht="15" customHeight="1">
      <c r="A398" t="inlineStr">
        <is>
          <t>A 18028-2023</t>
        </is>
      </c>
      <c r="B398" s="1" t="n">
        <v>45040</v>
      </c>
      <c r="C398" s="1" t="n">
        <v>45915</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37319-2025</t>
        </is>
      </c>
      <c r="B399" s="1" t="n">
        <v>45876</v>
      </c>
      <c r="C399" s="1" t="n">
        <v>45915</v>
      </c>
      <c r="D399" t="inlineStr">
        <is>
          <t>UPPSALA LÄN</t>
        </is>
      </c>
      <c r="E399" t="inlineStr">
        <is>
          <t>ENKÖPING</t>
        </is>
      </c>
      <c r="G399" t="n">
        <v>9.5</v>
      </c>
      <c r="H399" t="n">
        <v>0</v>
      </c>
      <c r="I399" t="n">
        <v>0</v>
      </c>
      <c r="J399" t="n">
        <v>0</v>
      </c>
      <c r="K399" t="n">
        <v>0</v>
      </c>
      <c r="L399" t="n">
        <v>0</v>
      </c>
      <c r="M399" t="n">
        <v>0</v>
      </c>
      <c r="N399" t="n">
        <v>0</v>
      </c>
      <c r="O399" t="n">
        <v>0</v>
      </c>
      <c r="P399" t="n">
        <v>0</v>
      </c>
      <c r="Q399" t="n">
        <v>0</v>
      </c>
      <c r="R399" s="2" t="inlineStr"/>
    </row>
    <row r="400" ht="15" customHeight="1">
      <c r="A400" t="inlineStr">
        <is>
          <t>A 37498-2025</t>
        </is>
      </c>
      <c r="B400" s="1" t="n">
        <v>45877</v>
      </c>
      <c r="C400" s="1" t="n">
        <v>45915</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2850-2025</t>
        </is>
      </c>
      <c r="B401" s="1" t="n">
        <v>45677</v>
      </c>
      <c r="C401" s="1" t="n">
        <v>45915</v>
      </c>
      <c r="D401" t="inlineStr">
        <is>
          <t>UPPSALA LÄN</t>
        </is>
      </c>
      <c r="E401" t="inlineStr">
        <is>
          <t>ENKÖPING</t>
        </is>
      </c>
      <c r="G401" t="n">
        <v>0.3</v>
      </c>
      <c r="H401" t="n">
        <v>0</v>
      </c>
      <c r="I401" t="n">
        <v>0</v>
      </c>
      <c r="J401" t="n">
        <v>0</v>
      </c>
      <c r="K401" t="n">
        <v>0</v>
      </c>
      <c r="L401" t="n">
        <v>0</v>
      </c>
      <c r="M401" t="n">
        <v>0</v>
      </c>
      <c r="N401" t="n">
        <v>0</v>
      </c>
      <c r="O401" t="n">
        <v>0</v>
      </c>
      <c r="P401" t="n">
        <v>0</v>
      </c>
      <c r="Q401" t="n">
        <v>0</v>
      </c>
      <c r="R401" s="2" t="inlineStr"/>
    </row>
    <row r="402" ht="15" customHeight="1">
      <c r="A402" t="inlineStr">
        <is>
          <t>A 39439-2025</t>
        </is>
      </c>
      <c r="B402" s="1" t="n">
        <v>45889</v>
      </c>
      <c r="C402" s="1" t="n">
        <v>45915</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34990-2025</t>
        </is>
      </c>
      <c r="B403" s="1" t="n">
        <v>45849.78916666667</v>
      </c>
      <c r="C403" s="1" t="n">
        <v>45915</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13853-2023</t>
        </is>
      </c>
      <c r="B404" s="1" t="n">
        <v>45007</v>
      </c>
      <c r="C404" s="1" t="n">
        <v>45915</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49568-2022</t>
        </is>
      </c>
      <c r="B405" s="1" t="n">
        <v>44862.32791666667</v>
      </c>
      <c r="C405" s="1" t="n">
        <v>45915</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42459-2024</t>
        </is>
      </c>
      <c r="B406" s="1" t="n">
        <v>45565</v>
      </c>
      <c r="C406" s="1" t="n">
        <v>45915</v>
      </c>
      <c r="D406" t="inlineStr">
        <is>
          <t>UPPSALA LÄN</t>
        </is>
      </c>
      <c r="E406" t="inlineStr">
        <is>
          <t>ENKÖPING</t>
        </is>
      </c>
      <c r="G406" t="n">
        <v>3.6</v>
      </c>
      <c r="H406" t="n">
        <v>0</v>
      </c>
      <c r="I406" t="n">
        <v>0</v>
      </c>
      <c r="J406" t="n">
        <v>0</v>
      </c>
      <c r="K406" t="n">
        <v>0</v>
      </c>
      <c r="L406" t="n">
        <v>0</v>
      </c>
      <c r="M406" t="n">
        <v>0</v>
      </c>
      <c r="N406" t="n">
        <v>0</v>
      </c>
      <c r="O406" t="n">
        <v>0</v>
      </c>
      <c r="P406" t="n">
        <v>0</v>
      </c>
      <c r="Q406" t="n">
        <v>0</v>
      </c>
      <c r="R406" s="2" t="inlineStr"/>
    </row>
    <row r="407" ht="15" customHeight="1">
      <c r="A407" t="inlineStr">
        <is>
          <t>A 48864-2022</t>
        </is>
      </c>
      <c r="B407" s="1" t="n">
        <v>44859</v>
      </c>
      <c r="C407" s="1" t="n">
        <v>45915</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31622-2022</t>
        </is>
      </c>
      <c r="B408" s="1" t="n">
        <v>44775</v>
      </c>
      <c r="C408" s="1" t="n">
        <v>45915</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17844-2025</t>
        </is>
      </c>
      <c r="B409" s="1" t="n">
        <v>45758.59920138889</v>
      </c>
      <c r="C409" s="1" t="n">
        <v>45915</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27837-2025</t>
        </is>
      </c>
      <c r="B410" s="1" t="n">
        <v>45817.37207175926</v>
      </c>
      <c r="C410" s="1" t="n">
        <v>45915</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39746-2025</t>
        </is>
      </c>
      <c r="B411" s="1" t="n">
        <v>45891</v>
      </c>
      <c r="C411" s="1" t="n">
        <v>45915</v>
      </c>
      <c r="D411" t="inlineStr">
        <is>
          <t>UPPSALA LÄN</t>
        </is>
      </c>
      <c r="E411" t="inlineStr">
        <is>
          <t>ENKÖPING</t>
        </is>
      </c>
      <c r="G411" t="n">
        <v>7.4</v>
      </c>
      <c r="H411" t="n">
        <v>0</v>
      </c>
      <c r="I411" t="n">
        <v>0</v>
      </c>
      <c r="J411" t="n">
        <v>0</v>
      </c>
      <c r="K411" t="n">
        <v>0</v>
      </c>
      <c r="L411" t="n">
        <v>0</v>
      </c>
      <c r="M411" t="n">
        <v>0</v>
      </c>
      <c r="N411" t="n">
        <v>0</v>
      </c>
      <c r="O411" t="n">
        <v>0</v>
      </c>
      <c r="P411" t="n">
        <v>0</v>
      </c>
      <c r="Q411" t="n">
        <v>0</v>
      </c>
      <c r="R411" s="2" t="inlineStr"/>
    </row>
    <row r="412" ht="15" customHeight="1">
      <c r="A412" t="inlineStr">
        <is>
          <t>A 29513-2025</t>
        </is>
      </c>
      <c r="B412" s="1" t="n">
        <v>45825</v>
      </c>
      <c r="C412" s="1" t="n">
        <v>45915</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66517-2020</t>
        </is>
      </c>
      <c r="B413" s="1" t="n">
        <v>44178</v>
      </c>
      <c r="C413" s="1" t="n">
        <v>45915</v>
      </c>
      <c r="D413" t="inlineStr">
        <is>
          <t>UPPSALA LÄN</t>
        </is>
      </c>
      <c r="E413" t="inlineStr">
        <is>
          <t>ENKÖPING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6356-2022</t>
        </is>
      </c>
      <c r="B414" s="1" t="n">
        <v>44600</v>
      </c>
      <c r="C414" s="1" t="n">
        <v>45915</v>
      </c>
      <c r="D414" t="inlineStr">
        <is>
          <t>UPPSALA LÄN</t>
        </is>
      </c>
      <c r="E414" t="inlineStr">
        <is>
          <t>ENKÖPING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57147-2021</t>
        </is>
      </c>
      <c r="B415" s="1" t="n">
        <v>44482</v>
      </c>
      <c r="C415" s="1" t="n">
        <v>45915</v>
      </c>
      <c r="D415" t="inlineStr">
        <is>
          <t>UPPSALA LÄN</t>
        </is>
      </c>
      <c r="E415" t="inlineStr">
        <is>
          <t>ENKÖPING</t>
        </is>
      </c>
      <c r="G415" t="n">
        <v>5.7</v>
      </c>
      <c r="H415" t="n">
        <v>0</v>
      </c>
      <c r="I415" t="n">
        <v>0</v>
      </c>
      <c r="J415" t="n">
        <v>0</v>
      </c>
      <c r="K415" t="n">
        <v>0</v>
      </c>
      <c r="L415" t="n">
        <v>0</v>
      </c>
      <c r="M415" t="n">
        <v>0</v>
      </c>
      <c r="N415" t="n">
        <v>0</v>
      </c>
      <c r="O415" t="n">
        <v>0</v>
      </c>
      <c r="P415" t="n">
        <v>0</v>
      </c>
      <c r="Q415" t="n">
        <v>0</v>
      </c>
      <c r="R415" s="2" t="inlineStr"/>
    </row>
    <row r="416" ht="15" customHeight="1">
      <c r="A416" t="inlineStr">
        <is>
          <t>A 61711-2020</t>
        </is>
      </c>
      <c r="B416" s="1" t="n">
        <v>44158</v>
      </c>
      <c r="C416" s="1" t="n">
        <v>45915</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47909-2024</t>
        </is>
      </c>
      <c r="B417" s="1" t="n">
        <v>45589.31866898148</v>
      </c>
      <c r="C417" s="1" t="n">
        <v>45915</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6157-2021</t>
        </is>
      </c>
      <c r="B418" s="1" t="n">
        <v>44232</v>
      </c>
      <c r="C418" s="1" t="n">
        <v>45915</v>
      </c>
      <c r="D418" t="inlineStr">
        <is>
          <t>UPPSALA LÄN</t>
        </is>
      </c>
      <c r="E418" t="inlineStr">
        <is>
          <t>ENKÖPING</t>
        </is>
      </c>
      <c r="G418" t="n">
        <v>3.9</v>
      </c>
      <c r="H418" t="n">
        <v>0</v>
      </c>
      <c r="I418" t="n">
        <v>0</v>
      </c>
      <c r="J418" t="n">
        <v>0</v>
      </c>
      <c r="K418" t="n">
        <v>0</v>
      </c>
      <c r="L418" t="n">
        <v>0</v>
      </c>
      <c r="M418" t="n">
        <v>0</v>
      </c>
      <c r="N418" t="n">
        <v>0</v>
      </c>
      <c r="O418" t="n">
        <v>0</v>
      </c>
      <c r="P418" t="n">
        <v>0</v>
      </c>
      <c r="Q418" t="n">
        <v>0</v>
      </c>
      <c r="R418" s="2" t="inlineStr"/>
    </row>
    <row r="419" ht="15" customHeight="1">
      <c r="A419" t="inlineStr">
        <is>
          <t>A 41637-2025</t>
        </is>
      </c>
      <c r="B419" s="1" t="n">
        <v>45901</v>
      </c>
      <c r="C419" s="1" t="n">
        <v>45915</v>
      </c>
      <c r="D419" t="inlineStr">
        <is>
          <t>UPPSALA LÄN</t>
        </is>
      </c>
      <c r="E419" t="inlineStr">
        <is>
          <t>ENKÖPING</t>
        </is>
      </c>
      <c r="F419" t="inlineStr">
        <is>
          <t>Allmännings- och besparingsskogar</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41618-2025</t>
        </is>
      </c>
      <c r="B420" s="1" t="n">
        <v>45901.70085648148</v>
      </c>
      <c r="C420" s="1" t="n">
        <v>45915</v>
      </c>
      <c r="D420" t="inlineStr">
        <is>
          <t>UPPSALA LÄN</t>
        </is>
      </c>
      <c r="E420" t="inlineStr">
        <is>
          <t>ENKÖPING</t>
        </is>
      </c>
      <c r="F420" t="inlineStr">
        <is>
          <t>Allmännings- och besparingsskogar</t>
        </is>
      </c>
      <c r="G420" t="n">
        <v>5.3</v>
      </c>
      <c r="H420" t="n">
        <v>0</v>
      </c>
      <c r="I420" t="n">
        <v>0</v>
      </c>
      <c r="J420" t="n">
        <v>0</v>
      </c>
      <c r="K420" t="n">
        <v>0</v>
      </c>
      <c r="L420" t="n">
        <v>0</v>
      </c>
      <c r="M420" t="n">
        <v>0</v>
      </c>
      <c r="N420" t="n">
        <v>0</v>
      </c>
      <c r="O420" t="n">
        <v>0</v>
      </c>
      <c r="P420" t="n">
        <v>0</v>
      </c>
      <c r="Q420" t="n">
        <v>0</v>
      </c>
      <c r="R420" s="2" t="inlineStr"/>
    </row>
    <row r="421" ht="15" customHeight="1">
      <c r="A421" t="inlineStr">
        <is>
          <t>A 52005-2024</t>
        </is>
      </c>
      <c r="B421" s="1" t="n">
        <v>45607.7627662037</v>
      </c>
      <c r="C421" s="1" t="n">
        <v>45915</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41616-2025</t>
        </is>
      </c>
      <c r="B422" s="1" t="n">
        <v>45901.69684027778</v>
      </c>
      <c r="C422" s="1" t="n">
        <v>45915</v>
      </c>
      <c r="D422" t="inlineStr">
        <is>
          <t>UPPSALA LÄN</t>
        </is>
      </c>
      <c r="E422" t="inlineStr">
        <is>
          <t>ENKÖPING</t>
        </is>
      </c>
      <c r="F422" t="inlineStr">
        <is>
          <t>Allmännings- och besparingsskogar</t>
        </is>
      </c>
      <c r="G422" t="n">
        <v>17.3</v>
      </c>
      <c r="H422" t="n">
        <v>0</v>
      </c>
      <c r="I422" t="n">
        <v>0</v>
      </c>
      <c r="J422" t="n">
        <v>0</v>
      </c>
      <c r="K422" t="n">
        <v>0</v>
      </c>
      <c r="L422" t="n">
        <v>0</v>
      </c>
      <c r="M422" t="n">
        <v>0</v>
      </c>
      <c r="N422" t="n">
        <v>0</v>
      </c>
      <c r="O422" t="n">
        <v>0</v>
      </c>
      <c r="P422" t="n">
        <v>0</v>
      </c>
      <c r="Q422" t="n">
        <v>0</v>
      </c>
      <c r="R422" s="2" t="inlineStr"/>
    </row>
    <row r="423" ht="15" customHeight="1">
      <c r="A423" t="inlineStr">
        <is>
          <t>A 21501-2025</t>
        </is>
      </c>
      <c r="B423" s="1" t="n">
        <v>45782</v>
      </c>
      <c r="C423" s="1" t="n">
        <v>45915</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42029-2025</t>
        </is>
      </c>
      <c r="B424" s="1" t="n">
        <v>45903</v>
      </c>
      <c r="C424" s="1" t="n">
        <v>45915</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34987-2025</t>
        </is>
      </c>
      <c r="B425" s="1" t="n">
        <v>45849</v>
      </c>
      <c r="C425" s="1" t="n">
        <v>45915</v>
      </c>
      <c r="D425" t="inlineStr">
        <is>
          <t>UPPSALA LÄN</t>
        </is>
      </c>
      <c r="E425" t="inlineStr">
        <is>
          <t>ENKÖPING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53586-2024</t>
        </is>
      </c>
      <c r="B426" s="1" t="n">
        <v>45614</v>
      </c>
      <c r="C426" s="1" t="n">
        <v>45915</v>
      </c>
      <c r="D426" t="inlineStr">
        <is>
          <t>UPPSALA LÄN</t>
        </is>
      </c>
      <c r="E426" t="inlineStr">
        <is>
          <t>ENKÖPING</t>
        </is>
      </c>
      <c r="G426" t="n">
        <v>6.6</v>
      </c>
      <c r="H426" t="n">
        <v>0</v>
      </c>
      <c r="I426" t="n">
        <v>0</v>
      </c>
      <c r="J426" t="n">
        <v>0</v>
      </c>
      <c r="K426" t="n">
        <v>0</v>
      </c>
      <c r="L426" t="n">
        <v>0</v>
      </c>
      <c r="M426" t="n">
        <v>0</v>
      </c>
      <c r="N426" t="n">
        <v>0</v>
      </c>
      <c r="O426" t="n">
        <v>0</v>
      </c>
      <c r="P426" t="n">
        <v>0</v>
      </c>
      <c r="Q426" t="n">
        <v>0</v>
      </c>
      <c r="R426" s="2" t="inlineStr"/>
    </row>
    <row r="427" ht="15" customHeight="1">
      <c r="A427" t="inlineStr">
        <is>
          <t>A 34988-2025</t>
        </is>
      </c>
      <c r="B427" s="1" t="n">
        <v>45849</v>
      </c>
      <c r="C427" s="1" t="n">
        <v>45915</v>
      </c>
      <c r="D427" t="inlineStr">
        <is>
          <t>UPPSALA LÄN</t>
        </is>
      </c>
      <c r="E427" t="inlineStr">
        <is>
          <t>ENKÖPING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38941-2025</t>
        </is>
      </c>
      <c r="B428" s="1" t="n">
        <v>45887</v>
      </c>
      <c r="C428" s="1" t="n">
        <v>45915</v>
      </c>
      <c r="D428" t="inlineStr">
        <is>
          <t>UPPSALA LÄN</t>
        </is>
      </c>
      <c r="E428" t="inlineStr">
        <is>
          <t>ENKÖPING</t>
        </is>
      </c>
      <c r="F428" t="inlineStr">
        <is>
          <t>Övriga statliga verk och myndigheter</t>
        </is>
      </c>
      <c r="G428" t="n">
        <v>0.6</v>
      </c>
      <c r="H428" t="n">
        <v>0</v>
      </c>
      <c r="I428" t="n">
        <v>0</v>
      </c>
      <c r="J428" t="n">
        <v>0</v>
      </c>
      <c r="K428" t="n">
        <v>0</v>
      </c>
      <c r="L428" t="n">
        <v>0</v>
      </c>
      <c r="M428" t="n">
        <v>0</v>
      </c>
      <c r="N428" t="n">
        <v>0</v>
      </c>
      <c r="O428" t="n">
        <v>0</v>
      </c>
      <c r="P428" t="n">
        <v>0</v>
      </c>
      <c r="Q428" t="n">
        <v>0</v>
      </c>
      <c r="R428" s="2" t="inlineStr"/>
    </row>
    <row r="429" ht="15" customHeight="1">
      <c r="A429" t="inlineStr">
        <is>
          <t>A 51034-2024</t>
        </is>
      </c>
      <c r="B429" s="1" t="n">
        <v>45603.4262037037</v>
      </c>
      <c r="C429" s="1" t="n">
        <v>45915</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41765-2025</t>
        </is>
      </c>
      <c r="B430" s="1" t="n">
        <v>45902</v>
      </c>
      <c r="C430" s="1" t="n">
        <v>45915</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51036-2024</t>
        </is>
      </c>
      <c r="B431" s="1" t="n">
        <v>45603.42839120371</v>
      </c>
      <c r="C431" s="1" t="n">
        <v>45915</v>
      </c>
      <c r="D431" t="inlineStr">
        <is>
          <t>UPPSALA LÄN</t>
        </is>
      </c>
      <c r="E431" t="inlineStr">
        <is>
          <t>ENKÖPING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45915</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34989-2025</t>
        </is>
      </c>
      <c r="B433" s="1" t="n">
        <v>45849</v>
      </c>
      <c r="C433" s="1" t="n">
        <v>45915</v>
      </c>
      <c r="D433" t="inlineStr">
        <is>
          <t>UPPSALA LÄN</t>
        </is>
      </c>
      <c r="E433" t="inlineStr">
        <is>
          <t>ENKÖPING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41764-2025</t>
        </is>
      </c>
      <c r="B434" s="1" t="n">
        <v>45902</v>
      </c>
      <c r="C434" s="1" t="n">
        <v>45915</v>
      </c>
      <c r="D434" t="inlineStr">
        <is>
          <t>UPPSALA LÄN</t>
        </is>
      </c>
      <c r="E434" t="inlineStr">
        <is>
          <t>ENKÖPING</t>
        </is>
      </c>
      <c r="G434" t="n">
        <v>2.7</v>
      </c>
      <c r="H434" t="n">
        <v>0</v>
      </c>
      <c r="I434" t="n">
        <v>0</v>
      </c>
      <c r="J434" t="n">
        <v>0</v>
      </c>
      <c r="K434" t="n">
        <v>0</v>
      </c>
      <c r="L434" t="n">
        <v>0</v>
      </c>
      <c r="M434" t="n">
        <v>0</v>
      </c>
      <c r="N434" t="n">
        <v>0</v>
      </c>
      <c r="O434" t="n">
        <v>0</v>
      </c>
      <c r="P434" t="n">
        <v>0</v>
      </c>
      <c r="Q434" t="n">
        <v>0</v>
      </c>
      <c r="R434" s="2" t="inlineStr"/>
    </row>
    <row r="435" ht="15" customHeight="1">
      <c r="A435" t="inlineStr">
        <is>
          <t>A 42756-2025</t>
        </is>
      </c>
      <c r="B435" s="1" t="n">
        <v>45908.44939814815</v>
      </c>
      <c r="C435" s="1" t="n">
        <v>45915</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1536-2024</t>
        </is>
      </c>
      <c r="B436" s="1" t="n">
        <v>45306</v>
      </c>
      <c r="C436" s="1" t="n">
        <v>45915</v>
      </c>
      <c r="D436" t="inlineStr">
        <is>
          <t>UPPSALA LÄN</t>
        </is>
      </c>
      <c r="E436" t="inlineStr">
        <is>
          <t>ENKÖPING</t>
        </is>
      </c>
      <c r="F436" t="inlineStr">
        <is>
          <t>Kyrkan</t>
        </is>
      </c>
      <c r="G436" t="n">
        <v>5.6</v>
      </c>
      <c r="H436" t="n">
        <v>0</v>
      </c>
      <c r="I436" t="n">
        <v>0</v>
      </c>
      <c r="J436" t="n">
        <v>0</v>
      </c>
      <c r="K436" t="n">
        <v>0</v>
      </c>
      <c r="L436" t="n">
        <v>0</v>
      </c>
      <c r="M436" t="n">
        <v>0</v>
      </c>
      <c r="N436" t="n">
        <v>0</v>
      </c>
      <c r="O436" t="n">
        <v>0</v>
      </c>
      <c r="P436" t="n">
        <v>0</v>
      </c>
      <c r="Q436" t="n">
        <v>0</v>
      </c>
      <c r="R436" s="2" t="inlineStr"/>
    </row>
    <row r="437" ht="15" customHeight="1">
      <c r="A437" t="inlineStr">
        <is>
          <t>A 2974-2025</t>
        </is>
      </c>
      <c r="B437" s="1" t="n">
        <v>45678.47168981482</v>
      </c>
      <c r="C437" s="1" t="n">
        <v>45915</v>
      </c>
      <c r="D437" t="inlineStr">
        <is>
          <t>UPPSALA LÄN</t>
        </is>
      </c>
      <c r="E437" t="inlineStr">
        <is>
          <t>ENKÖPING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16916-2023</t>
        </is>
      </c>
      <c r="B438" s="1" t="n">
        <v>45033.58347222222</v>
      </c>
      <c r="C438" s="1" t="n">
        <v>45915</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16920-2023</t>
        </is>
      </c>
      <c r="B439" s="1" t="n">
        <v>45033.59030092593</v>
      </c>
      <c r="C439" s="1" t="n">
        <v>45915</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52388-2024</t>
        </is>
      </c>
      <c r="B440" s="1" t="n">
        <v>45609.42939814815</v>
      </c>
      <c r="C440" s="1" t="n">
        <v>45915</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36350-2025</t>
        </is>
      </c>
      <c r="B441" s="1" t="n">
        <v>45868</v>
      </c>
      <c r="C441" s="1" t="n">
        <v>45915</v>
      </c>
      <c r="D441" t="inlineStr">
        <is>
          <t>UPPSALA LÄN</t>
        </is>
      </c>
      <c r="E441" t="inlineStr">
        <is>
          <t>ENKÖPING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12434-2021</t>
        </is>
      </c>
      <c r="B442" s="1" t="n">
        <v>44267</v>
      </c>
      <c r="C442" s="1" t="n">
        <v>45915</v>
      </c>
      <c r="D442" t="inlineStr">
        <is>
          <t>UPPSALA LÄN</t>
        </is>
      </c>
      <c r="E442" t="inlineStr">
        <is>
          <t>ENKÖPING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43103-2025</t>
        </is>
      </c>
      <c r="B443" s="1" t="n">
        <v>45909</v>
      </c>
      <c r="C443" s="1" t="n">
        <v>45915</v>
      </c>
      <c r="D443" t="inlineStr">
        <is>
          <t>UPPSALA LÄN</t>
        </is>
      </c>
      <c r="E443" t="inlineStr">
        <is>
          <t>ENKÖPING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1992-2022</t>
        </is>
      </c>
      <c r="B444" s="1" t="n">
        <v>44575.56153935185</v>
      </c>
      <c r="C444" s="1" t="n">
        <v>45915</v>
      </c>
      <c r="D444" t="inlineStr">
        <is>
          <t>UPPSALA LÄN</t>
        </is>
      </c>
      <c r="E444" t="inlineStr">
        <is>
          <t>ENKÖPING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25989-2025</t>
        </is>
      </c>
      <c r="B445" s="1" t="n">
        <v>45804.65050925926</v>
      </c>
      <c r="C445" s="1" t="n">
        <v>45915</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6626-2023</t>
        </is>
      </c>
      <c r="B446" s="1" t="n">
        <v>44966.55946759259</v>
      </c>
      <c r="C446" s="1" t="n">
        <v>45915</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48843-2023</t>
        </is>
      </c>
      <c r="B447" s="1" t="n">
        <v>45209</v>
      </c>
      <c r="C447" s="1" t="n">
        <v>45915</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36599-2025</t>
        </is>
      </c>
      <c r="B448" s="1" t="n">
        <v>45870.51723379629</v>
      </c>
      <c r="C448" s="1" t="n">
        <v>45915</v>
      </c>
      <c r="D448" t="inlineStr">
        <is>
          <t>UPPSALA LÄN</t>
        </is>
      </c>
      <c r="E448" t="inlineStr">
        <is>
          <t>ENKÖPING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57940-2022</t>
        </is>
      </c>
      <c r="B449" s="1" t="n">
        <v>44900</v>
      </c>
      <c r="C449" s="1" t="n">
        <v>45915</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36492-2025</t>
        </is>
      </c>
      <c r="B450" s="1" t="n">
        <v>45869</v>
      </c>
      <c r="C450" s="1" t="n">
        <v>45915</v>
      </c>
      <c r="D450" t="inlineStr">
        <is>
          <t>UPPSALA LÄN</t>
        </is>
      </c>
      <c r="E450" t="inlineStr">
        <is>
          <t>ENKÖPING</t>
        </is>
      </c>
      <c r="G450" t="n">
        <v>6.3</v>
      </c>
      <c r="H450" t="n">
        <v>0</v>
      </c>
      <c r="I450" t="n">
        <v>0</v>
      </c>
      <c r="J450" t="n">
        <v>0</v>
      </c>
      <c r="K450" t="n">
        <v>0</v>
      </c>
      <c r="L450" t="n">
        <v>0</v>
      </c>
      <c r="M450" t="n">
        <v>0</v>
      </c>
      <c r="N450" t="n">
        <v>0</v>
      </c>
      <c r="O450" t="n">
        <v>0</v>
      </c>
      <c r="P450" t="n">
        <v>0</v>
      </c>
      <c r="Q450" t="n">
        <v>0</v>
      </c>
      <c r="R450" s="2" t="inlineStr"/>
    </row>
    <row r="451" ht="15" customHeight="1">
      <c r="A451" t="inlineStr">
        <is>
          <t>A 35079-2024</t>
        </is>
      </c>
      <c r="B451" s="1" t="n">
        <v>45527.66770833333</v>
      </c>
      <c r="C451" s="1" t="n">
        <v>45915</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53595-2023</t>
        </is>
      </c>
      <c r="B452" s="1" t="n">
        <v>45223</v>
      </c>
      <c r="C452" s="1" t="n">
        <v>45915</v>
      </c>
      <c r="D452" t="inlineStr">
        <is>
          <t>UPPSALA LÄN</t>
        </is>
      </c>
      <c r="E452" t="inlineStr">
        <is>
          <t>ENKÖPING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60533-2021</t>
        </is>
      </c>
      <c r="B453" s="1" t="n">
        <v>44496</v>
      </c>
      <c r="C453" s="1" t="n">
        <v>45915</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15757-2023</t>
        </is>
      </c>
      <c r="B454" s="1" t="n">
        <v>45021</v>
      </c>
      <c r="C454" s="1" t="n">
        <v>45915</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43230-2023</t>
        </is>
      </c>
      <c r="B455" s="1" t="n">
        <v>45183</v>
      </c>
      <c r="C455" s="1" t="n">
        <v>45915</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56886-2023</t>
        </is>
      </c>
      <c r="B456" s="1" t="n">
        <v>45239</v>
      </c>
      <c r="C456" s="1" t="n">
        <v>45915</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51011-2024</t>
        </is>
      </c>
      <c r="B457" s="1" t="n">
        <v>45603.39427083333</v>
      </c>
      <c r="C457" s="1" t="n">
        <v>45915</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12102-2024</t>
        </is>
      </c>
      <c r="B458" s="1" t="n">
        <v>45377</v>
      </c>
      <c r="C458" s="1" t="n">
        <v>45915</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58961-2024</t>
        </is>
      </c>
      <c r="B459" s="1" t="n">
        <v>45636.585</v>
      </c>
      <c r="C459" s="1" t="n">
        <v>45915</v>
      </c>
      <c r="D459" t="inlineStr">
        <is>
          <t>UPPSALA LÄN</t>
        </is>
      </c>
      <c r="E459" t="inlineStr">
        <is>
          <t>ENKÖPING</t>
        </is>
      </c>
      <c r="G459" t="n">
        <v>4</v>
      </c>
      <c r="H459" t="n">
        <v>0</v>
      </c>
      <c r="I459" t="n">
        <v>0</v>
      </c>
      <c r="J459" t="n">
        <v>0</v>
      </c>
      <c r="K459" t="n">
        <v>0</v>
      </c>
      <c r="L459" t="n">
        <v>0</v>
      </c>
      <c r="M459" t="n">
        <v>0</v>
      </c>
      <c r="N459" t="n">
        <v>0</v>
      </c>
      <c r="O459" t="n">
        <v>0</v>
      </c>
      <c r="P459" t="n">
        <v>0</v>
      </c>
      <c r="Q459" t="n">
        <v>0</v>
      </c>
      <c r="R459" s="2" t="inlineStr"/>
    </row>
    <row r="460" ht="15" customHeight="1">
      <c r="A460" t="inlineStr">
        <is>
          <t>A 45283-2022</t>
        </is>
      </c>
      <c r="B460" s="1" t="n">
        <v>44844</v>
      </c>
      <c r="C460" s="1" t="n">
        <v>45915</v>
      </c>
      <c r="D460" t="inlineStr">
        <is>
          <t>UPPSALA LÄN</t>
        </is>
      </c>
      <c r="E460" t="inlineStr">
        <is>
          <t>ENKÖPING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845-2025</t>
        </is>
      </c>
      <c r="B461" s="1" t="n">
        <v>45665</v>
      </c>
      <c r="C461" s="1" t="n">
        <v>45915</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849-2025</t>
        </is>
      </c>
      <c r="B462" s="1" t="n">
        <v>45665</v>
      </c>
      <c r="C462" s="1" t="n">
        <v>45915</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58147-2024</t>
        </is>
      </c>
      <c r="B463" s="1" t="n">
        <v>45632.4334375</v>
      </c>
      <c r="C463" s="1" t="n">
        <v>45915</v>
      </c>
      <c r="D463" t="inlineStr">
        <is>
          <t>UPPSALA LÄN</t>
        </is>
      </c>
      <c r="E463" t="inlineStr">
        <is>
          <t>ENKÖPING</t>
        </is>
      </c>
      <c r="G463" t="n">
        <v>3</v>
      </c>
      <c r="H463" t="n">
        <v>0</v>
      </c>
      <c r="I463" t="n">
        <v>0</v>
      </c>
      <c r="J463" t="n">
        <v>0</v>
      </c>
      <c r="K463" t="n">
        <v>0</v>
      </c>
      <c r="L463" t="n">
        <v>0</v>
      </c>
      <c r="M463" t="n">
        <v>0</v>
      </c>
      <c r="N463" t="n">
        <v>0</v>
      </c>
      <c r="O463" t="n">
        <v>0</v>
      </c>
      <c r="P463" t="n">
        <v>0</v>
      </c>
      <c r="Q463" t="n">
        <v>0</v>
      </c>
      <c r="R463" s="2" t="inlineStr"/>
    </row>
    <row r="464" ht="15" customHeight="1">
      <c r="A464" t="inlineStr">
        <is>
          <t>A 18302-2025</t>
        </is>
      </c>
      <c r="B464" s="1" t="n">
        <v>45762</v>
      </c>
      <c r="C464" s="1" t="n">
        <v>45915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34735-2023</t>
        </is>
      </c>
      <c r="B465" s="1" t="n">
        <v>45139</v>
      </c>
      <c r="C465" s="1" t="n">
        <v>45915</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30514-2021</t>
        </is>
      </c>
      <c r="B466" s="1" t="n">
        <v>44364</v>
      </c>
      <c r="C466" s="1" t="n">
        <v>45915</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57209-2024</t>
        </is>
      </c>
      <c r="B467" s="1" t="n">
        <v>45629.49311342592</v>
      </c>
      <c r="C467" s="1" t="n">
        <v>45915</v>
      </c>
      <c r="D467" t="inlineStr">
        <is>
          <t>UPPSALA LÄN</t>
        </is>
      </c>
      <c r="E467" t="inlineStr">
        <is>
          <t>ENKÖPING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13110-2023</t>
        </is>
      </c>
      <c r="B468" s="1" t="n">
        <v>45001</v>
      </c>
      <c r="C468" s="1" t="n">
        <v>45915</v>
      </c>
      <c r="D468" t="inlineStr">
        <is>
          <t>UPPSALA LÄN</t>
        </is>
      </c>
      <c r="E468" t="inlineStr">
        <is>
          <t>ENKÖPING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49623-2024</t>
        </is>
      </c>
      <c r="B469" s="1" t="n">
        <v>45596</v>
      </c>
      <c r="C469" s="1" t="n">
        <v>45915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49627-2024</t>
        </is>
      </c>
      <c r="B470" s="1" t="n">
        <v>45596.59140046296</v>
      </c>
      <c r="C470" s="1" t="n">
        <v>45915</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9231-2023</t>
        </is>
      </c>
      <c r="B471" s="1" t="n">
        <v>44980</v>
      </c>
      <c r="C471" s="1" t="n">
        <v>45915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27538-2023</t>
        </is>
      </c>
      <c r="B472" s="1" t="n">
        <v>45097</v>
      </c>
      <c r="C472" s="1" t="n">
        <v>45915</v>
      </c>
      <c r="D472" t="inlineStr">
        <is>
          <t>UPPSALA LÄN</t>
        </is>
      </c>
      <c r="E472" t="inlineStr">
        <is>
          <t>ENKÖPING</t>
        </is>
      </c>
      <c r="G472" t="n">
        <v>5.8</v>
      </c>
      <c r="H472" t="n">
        <v>0</v>
      </c>
      <c r="I472" t="n">
        <v>0</v>
      </c>
      <c r="J472" t="n">
        <v>0</v>
      </c>
      <c r="K472" t="n">
        <v>0</v>
      </c>
      <c r="L472" t="n">
        <v>0</v>
      </c>
      <c r="M472" t="n">
        <v>0</v>
      </c>
      <c r="N472" t="n">
        <v>0</v>
      </c>
      <c r="O472" t="n">
        <v>0</v>
      </c>
      <c r="P472" t="n">
        <v>0</v>
      </c>
      <c r="Q472" t="n">
        <v>0</v>
      </c>
      <c r="R472" s="2" t="inlineStr"/>
    </row>
    <row r="473" ht="15" customHeight="1">
      <c r="A473" t="inlineStr">
        <is>
          <t>A 18821-2023</t>
        </is>
      </c>
      <c r="B473" s="1" t="n">
        <v>45044.3782175926</v>
      </c>
      <c r="C473" s="1" t="n">
        <v>45915</v>
      </c>
      <c r="D473" t="inlineStr">
        <is>
          <t>UPPSALA LÄN</t>
        </is>
      </c>
      <c r="E473" t="inlineStr">
        <is>
          <t>ENKÖPING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52380-2024</t>
        </is>
      </c>
      <c r="B474" s="1" t="n">
        <v>45609</v>
      </c>
      <c r="C474" s="1" t="n">
        <v>45915</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9041-2023</t>
        </is>
      </c>
      <c r="B475" s="1" t="n">
        <v>44979</v>
      </c>
      <c r="C475" s="1" t="n">
        <v>45915</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27786-2023</t>
        </is>
      </c>
      <c r="B476" s="1" t="n">
        <v>45098</v>
      </c>
      <c r="C476" s="1" t="n">
        <v>45915</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15942-2022</t>
        </is>
      </c>
      <c r="B477" s="1" t="n">
        <v>44664</v>
      </c>
      <c r="C477" s="1" t="n">
        <v>45915</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50006-2023</t>
        </is>
      </c>
      <c r="B478" s="1" t="n">
        <v>45215</v>
      </c>
      <c r="C478" s="1" t="n">
        <v>45915</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53607-2023</t>
        </is>
      </c>
      <c r="B479" s="1" t="n">
        <v>45230</v>
      </c>
      <c r="C479" s="1" t="n">
        <v>45915</v>
      </c>
      <c r="D479" t="inlineStr">
        <is>
          <t>UPPSALA LÄN</t>
        </is>
      </c>
      <c r="E479" t="inlineStr">
        <is>
          <t>ENKÖPING</t>
        </is>
      </c>
      <c r="F479" t="inlineStr">
        <is>
          <t>Allmännings- och besparingsskogar</t>
        </is>
      </c>
      <c r="G479" t="n">
        <v>6.3</v>
      </c>
      <c r="H479" t="n">
        <v>0</v>
      </c>
      <c r="I479" t="n">
        <v>0</v>
      </c>
      <c r="J479" t="n">
        <v>0</v>
      </c>
      <c r="K479" t="n">
        <v>0</v>
      </c>
      <c r="L479" t="n">
        <v>0</v>
      </c>
      <c r="M479" t="n">
        <v>0</v>
      </c>
      <c r="N479" t="n">
        <v>0</v>
      </c>
      <c r="O479" t="n">
        <v>0</v>
      </c>
      <c r="P479" t="n">
        <v>0</v>
      </c>
      <c r="Q479" t="n">
        <v>0</v>
      </c>
      <c r="R479" s="2" t="inlineStr"/>
    </row>
    <row r="480" ht="15" customHeight="1">
      <c r="A480" t="inlineStr">
        <is>
          <t>A 59497-2022</t>
        </is>
      </c>
      <c r="B480" s="1" t="n">
        <v>44907.48258101852</v>
      </c>
      <c r="C480" s="1" t="n">
        <v>45915</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49614-2024</t>
        </is>
      </c>
      <c r="B481" s="1" t="n">
        <v>45596.57716435185</v>
      </c>
      <c r="C481" s="1" t="n">
        <v>45915</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49632-2024</t>
        </is>
      </c>
      <c r="B482" s="1" t="n">
        <v>45596</v>
      </c>
      <c r="C482" s="1" t="n">
        <v>45915</v>
      </c>
      <c r="D482" t="inlineStr">
        <is>
          <t>UPPSALA LÄN</t>
        </is>
      </c>
      <c r="E482" t="inlineStr">
        <is>
          <t>ENKÖPING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51027-2024</t>
        </is>
      </c>
      <c r="B483" s="1" t="n">
        <v>45603</v>
      </c>
      <c r="C483" s="1" t="n">
        <v>45915</v>
      </c>
      <c r="D483" t="inlineStr">
        <is>
          <t>UPPSALA LÄN</t>
        </is>
      </c>
      <c r="E483" t="inlineStr">
        <is>
          <t>ENKÖPING</t>
        </is>
      </c>
      <c r="G483" t="n">
        <v>3.5</v>
      </c>
      <c r="H483" t="n">
        <v>0</v>
      </c>
      <c r="I483" t="n">
        <v>0</v>
      </c>
      <c r="J483" t="n">
        <v>0</v>
      </c>
      <c r="K483" t="n">
        <v>0</v>
      </c>
      <c r="L483" t="n">
        <v>0</v>
      </c>
      <c r="M483" t="n">
        <v>0</v>
      </c>
      <c r="N483" t="n">
        <v>0</v>
      </c>
      <c r="O483" t="n">
        <v>0</v>
      </c>
      <c r="P483" t="n">
        <v>0</v>
      </c>
      <c r="Q483" t="n">
        <v>0</v>
      </c>
      <c r="R483" s="2" t="inlineStr"/>
    </row>
    <row r="484" ht="15" customHeight="1">
      <c r="A484" t="inlineStr">
        <is>
          <t>A 51030-2024</t>
        </is>
      </c>
      <c r="B484" s="1" t="n">
        <v>45603</v>
      </c>
      <c r="C484" s="1" t="n">
        <v>45915</v>
      </c>
      <c r="D484" t="inlineStr">
        <is>
          <t>UPPSALA LÄN</t>
        </is>
      </c>
      <c r="E484" t="inlineStr">
        <is>
          <t>ENKÖPING</t>
        </is>
      </c>
      <c r="G484" t="n">
        <v>2</v>
      </c>
      <c r="H484" t="n">
        <v>0</v>
      </c>
      <c r="I484" t="n">
        <v>0</v>
      </c>
      <c r="J484" t="n">
        <v>0</v>
      </c>
      <c r="K484" t="n">
        <v>0</v>
      </c>
      <c r="L484" t="n">
        <v>0</v>
      </c>
      <c r="M484" t="n">
        <v>0</v>
      </c>
      <c r="N484" t="n">
        <v>0</v>
      </c>
      <c r="O484" t="n">
        <v>0</v>
      </c>
      <c r="P484" t="n">
        <v>0</v>
      </c>
      <c r="Q484" t="n">
        <v>0</v>
      </c>
      <c r="R484" s="2" t="inlineStr"/>
    </row>
    <row r="485">
      <c r="A485" t="inlineStr">
        <is>
          <t>A 15405-2025</t>
        </is>
      </c>
      <c r="B485" s="1" t="n">
        <v>45747.44670138889</v>
      </c>
      <c r="C485" s="1" t="n">
        <v>45915</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2025-09-15T08:51:51Z</dcterms:created>
  <dcterms:modified xmlns:dcterms="http://purl.org/dc/terms/" xmlns:xsi="http://www.w3.org/2001/XMLSchema-instance" xsi:type="dcterms:W3CDTF">2025-09-15T08:51:52Z</dcterms:modified>
</cp:coreProperties>
</file>