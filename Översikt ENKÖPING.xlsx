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45852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45852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45852</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45852</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45852</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45852</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45852</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45852</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45852</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45852</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45852</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45852</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45852</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45852</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45852</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45852</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45852</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45852</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45852</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45852</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45852</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45852</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45852</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45852</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45852</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45852</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45852</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45852</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45852</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45852</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45852</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45852</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45852</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45852</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45852</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45852</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45852</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45852</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45852</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45852</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45852</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45852</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45852</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45852</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45852</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45852</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45852</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45852</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45852</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45852</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45852</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45852</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45852</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45852</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45852</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45852</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45852</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45852</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45852</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45852</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45852</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45852</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45852</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45852</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21970-2025</t>
        </is>
      </c>
      <c r="B66" s="1" t="n">
        <v>45784</v>
      </c>
      <c r="C66" s="1" t="n">
        <v>45852</v>
      </c>
      <c r="D66" t="inlineStr">
        <is>
          <t>UPPSALA LÄN</t>
        </is>
      </c>
      <c r="E66" t="inlineStr">
        <is>
          <t>ENKÖPING</t>
        </is>
      </c>
      <c r="G66" t="n">
        <v>5.3</v>
      </c>
      <c r="H66" t="n">
        <v>1</v>
      </c>
      <c r="I66" t="n">
        <v>0</v>
      </c>
      <c r="J66" t="n">
        <v>0</v>
      </c>
      <c r="K66" t="n">
        <v>0</v>
      </c>
      <c r="L66" t="n">
        <v>0</v>
      </c>
      <c r="M66" t="n">
        <v>0</v>
      </c>
      <c r="N66" t="n">
        <v>0</v>
      </c>
      <c r="O66" t="n">
        <v>0</v>
      </c>
      <c r="P66" t="n">
        <v>0</v>
      </c>
      <c r="Q66" t="n">
        <v>1</v>
      </c>
      <c r="R66" s="2" t="inlineStr">
        <is>
          <t>Blåsippa</t>
        </is>
      </c>
      <c r="S66">
        <f>HYPERLINK("https://klasma.github.io/Logging_030381/artfynd/A 21970-2025 artfynd.xlsx", "A 21970-2025")</f>
        <v/>
      </c>
      <c r="T66">
        <f>HYPERLINK("https://klasma.github.io/Logging_030381/kartor/A 21970-2025 karta.png", "A 21970-2025")</f>
        <v/>
      </c>
      <c r="V66">
        <f>HYPERLINK("https://klasma.github.io/Logging_030381/klagomål/A 21970-2025 FSC-klagomål.docx", "A 21970-2025")</f>
        <v/>
      </c>
      <c r="W66">
        <f>HYPERLINK("https://klasma.github.io/Logging_030381/klagomålsmail/A 21970-2025 FSC-klagomål mail.docx", "A 21970-2025")</f>
        <v/>
      </c>
      <c r="X66">
        <f>HYPERLINK("https://klasma.github.io/Logging_030381/tillsyn/A 21970-2025 tillsynsbegäran.docx", "A 21970-2025")</f>
        <v/>
      </c>
      <c r="Y66">
        <f>HYPERLINK("https://klasma.github.io/Logging_030381/tillsynsmail/A 21970-2025 tillsynsbegäran mail.docx", "A 21970-2025")</f>
        <v/>
      </c>
    </row>
    <row r="67" ht="15" customHeight="1">
      <c r="A67" t="inlineStr">
        <is>
          <t>A 26347-2025</t>
        </is>
      </c>
      <c r="B67" s="1" t="n">
        <v>45805</v>
      </c>
      <c r="C67" s="1" t="n">
        <v>45852</v>
      </c>
      <c r="D67" t="inlineStr">
        <is>
          <t>UPPSALA LÄN</t>
        </is>
      </c>
      <c r="E67" t="inlineStr">
        <is>
          <t>ENKÖPING</t>
        </is>
      </c>
      <c r="G67" t="n">
        <v>7.3</v>
      </c>
      <c r="H67" t="n">
        <v>1</v>
      </c>
      <c r="I67" t="n">
        <v>0</v>
      </c>
      <c r="J67" t="n">
        <v>0</v>
      </c>
      <c r="K67" t="n">
        <v>1</v>
      </c>
      <c r="L67" t="n">
        <v>0</v>
      </c>
      <c r="M67" t="n">
        <v>0</v>
      </c>
      <c r="N67" t="n">
        <v>0</v>
      </c>
      <c r="O67" t="n">
        <v>1</v>
      </c>
      <c r="P67" t="n">
        <v>1</v>
      </c>
      <c r="Q67" t="n">
        <v>1</v>
      </c>
      <c r="R67" s="2" t="inlineStr">
        <is>
          <t>Tofsvipa</t>
        </is>
      </c>
      <c r="S67">
        <f>HYPERLINK("https://klasma.github.io/Logging_030381/artfynd/A 26347-2025 artfynd.xlsx", "A 26347-2025")</f>
        <v/>
      </c>
      <c r="T67">
        <f>HYPERLINK("https://klasma.github.io/Logging_030381/kartor/A 26347-2025 karta.png", "A 26347-2025")</f>
        <v/>
      </c>
      <c r="V67">
        <f>HYPERLINK("https://klasma.github.io/Logging_030381/klagomål/A 26347-2025 FSC-klagomål.docx", "A 26347-2025")</f>
        <v/>
      </c>
      <c r="W67">
        <f>HYPERLINK("https://klasma.github.io/Logging_030381/klagomålsmail/A 26347-2025 FSC-klagomål mail.docx", "A 26347-2025")</f>
        <v/>
      </c>
      <c r="X67">
        <f>HYPERLINK("https://klasma.github.io/Logging_030381/tillsyn/A 26347-2025 tillsynsbegäran.docx", "A 26347-2025")</f>
        <v/>
      </c>
      <c r="Y67">
        <f>HYPERLINK("https://klasma.github.io/Logging_030381/tillsynsmail/A 26347-2025 tillsynsbegäran mail.docx", "A 26347-2025")</f>
        <v/>
      </c>
    </row>
    <row r="68" ht="15" customHeight="1">
      <c r="A68" t="inlineStr">
        <is>
          <t>A 27060-2025</t>
        </is>
      </c>
      <c r="B68" s="1" t="n">
        <v>45811</v>
      </c>
      <c r="C68" s="1" t="n">
        <v>45852</v>
      </c>
      <c r="D68" t="inlineStr">
        <is>
          <t>UPPSALA LÄN</t>
        </is>
      </c>
      <c r="E68" t="inlineStr">
        <is>
          <t>ENKÖPING</t>
        </is>
      </c>
      <c r="G68" t="n">
        <v>2.6</v>
      </c>
      <c r="H68" t="n">
        <v>0</v>
      </c>
      <c r="I68" t="n">
        <v>1</v>
      </c>
      <c r="J68" t="n">
        <v>0</v>
      </c>
      <c r="K68" t="n">
        <v>0</v>
      </c>
      <c r="L68" t="n">
        <v>0</v>
      </c>
      <c r="M68" t="n">
        <v>0</v>
      </c>
      <c r="N68" t="n">
        <v>0</v>
      </c>
      <c r="O68" t="n">
        <v>0</v>
      </c>
      <c r="P68" t="n">
        <v>0</v>
      </c>
      <c r="Q68" t="n">
        <v>1</v>
      </c>
      <c r="R68" s="2" t="inlineStr">
        <is>
          <t>Granbarkgnagare</t>
        </is>
      </c>
      <c r="S68">
        <f>HYPERLINK("https://klasma.github.io/Logging_030381/artfynd/A 27060-2025 artfynd.xlsx", "A 27060-2025")</f>
        <v/>
      </c>
      <c r="T68">
        <f>HYPERLINK("https://klasma.github.io/Logging_030381/kartor/A 27060-2025 karta.png", "A 27060-2025")</f>
        <v/>
      </c>
      <c r="V68">
        <f>HYPERLINK("https://klasma.github.io/Logging_030381/klagomål/A 27060-2025 FSC-klagomål.docx", "A 27060-2025")</f>
        <v/>
      </c>
      <c r="W68">
        <f>HYPERLINK("https://klasma.github.io/Logging_030381/klagomålsmail/A 27060-2025 FSC-klagomål mail.docx", "A 27060-2025")</f>
        <v/>
      </c>
      <c r="X68">
        <f>HYPERLINK("https://klasma.github.io/Logging_030381/tillsyn/A 27060-2025 tillsynsbegäran.docx", "A 27060-2025")</f>
        <v/>
      </c>
      <c r="Y68">
        <f>HYPERLINK("https://klasma.github.io/Logging_030381/tillsynsmail/A 27060-2025 tillsynsbegäran mail.docx", "A 27060-2025")</f>
        <v/>
      </c>
    </row>
    <row r="69" ht="15" customHeight="1">
      <c r="A69" t="inlineStr">
        <is>
          <t>A 29510-2025</t>
        </is>
      </c>
      <c r="B69" s="1" t="n">
        <v>45825</v>
      </c>
      <c r="C69" s="1" t="n">
        <v>45852</v>
      </c>
      <c r="D69" t="inlineStr">
        <is>
          <t>UPPSALA LÄN</t>
        </is>
      </c>
      <c r="E69" t="inlineStr">
        <is>
          <t>ENKÖPING</t>
        </is>
      </c>
      <c r="G69" t="n">
        <v>2.4</v>
      </c>
      <c r="H69" t="n">
        <v>0</v>
      </c>
      <c r="I69" t="n">
        <v>0</v>
      </c>
      <c r="J69" t="n">
        <v>0</v>
      </c>
      <c r="K69" t="n">
        <v>1</v>
      </c>
      <c r="L69" t="n">
        <v>0</v>
      </c>
      <c r="M69" t="n">
        <v>0</v>
      </c>
      <c r="N69" t="n">
        <v>0</v>
      </c>
      <c r="O69" t="n">
        <v>1</v>
      </c>
      <c r="P69" t="n">
        <v>1</v>
      </c>
      <c r="Q69" t="n">
        <v>1</v>
      </c>
      <c r="R69" s="2" t="inlineStr">
        <is>
          <t>Toppjungfrulin</t>
        </is>
      </c>
      <c r="S69">
        <f>HYPERLINK("https://klasma.github.io/Logging_030381/artfynd/A 29510-2025 artfynd.xlsx", "A 29510-2025")</f>
        <v/>
      </c>
      <c r="T69">
        <f>HYPERLINK("https://klasma.github.io/Logging_030381/kartor/A 29510-2025 karta.png", "A 29510-2025")</f>
        <v/>
      </c>
      <c r="V69">
        <f>HYPERLINK("https://klasma.github.io/Logging_030381/klagomål/A 29510-2025 FSC-klagomål.docx", "A 29510-2025")</f>
        <v/>
      </c>
      <c r="W69">
        <f>HYPERLINK("https://klasma.github.io/Logging_030381/klagomålsmail/A 29510-2025 FSC-klagomål mail.docx", "A 29510-2025")</f>
        <v/>
      </c>
      <c r="X69">
        <f>HYPERLINK("https://klasma.github.io/Logging_030381/tillsyn/A 29510-2025 tillsynsbegäran.docx", "A 29510-2025")</f>
        <v/>
      </c>
      <c r="Y69">
        <f>HYPERLINK("https://klasma.github.io/Logging_030381/tillsynsmail/A 29510-2025 tillsynsbegäran mail.docx", "A 29510-2025")</f>
        <v/>
      </c>
    </row>
    <row r="70" ht="15" customHeight="1">
      <c r="A70" t="inlineStr">
        <is>
          <t>A 18148-2019</t>
        </is>
      </c>
      <c r="B70" s="1" t="n">
        <v>43558</v>
      </c>
      <c r="C70" s="1" t="n">
        <v>45852</v>
      </c>
      <c r="D70" t="inlineStr">
        <is>
          <t>UPPSALA LÄN</t>
        </is>
      </c>
      <c r="E70" t="inlineStr">
        <is>
          <t>ENKÖPING</t>
        </is>
      </c>
      <c r="G70" t="n">
        <v>4.5</v>
      </c>
      <c r="H70" t="n">
        <v>0</v>
      </c>
      <c r="I70" t="n">
        <v>0</v>
      </c>
      <c r="J70" t="n">
        <v>0</v>
      </c>
      <c r="K70" t="n">
        <v>0</v>
      </c>
      <c r="L70" t="n">
        <v>0</v>
      </c>
      <c r="M70" t="n">
        <v>0</v>
      </c>
      <c r="N70" t="n">
        <v>0</v>
      </c>
      <c r="O70" t="n">
        <v>0</v>
      </c>
      <c r="P70" t="n">
        <v>0</v>
      </c>
      <c r="Q70" t="n">
        <v>0</v>
      </c>
      <c r="R70" s="2" t="inlineStr"/>
    </row>
    <row r="71" ht="15" customHeight="1">
      <c r="A71" t="inlineStr">
        <is>
          <t>A 22750-2019</t>
        </is>
      </c>
      <c r="B71" s="1" t="n">
        <v>43588</v>
      </c>
      <c r="C71" s="1" t="n">
        <v>45852</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23328-2019</t>
        </is>
      </c>
      <c r="B72" s="1" t="n">
        <v>43593</v>
      </c>
      <c r="C72" s="1" t="n">
        <v>45852</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26926-2019</t>
        </is>
      </c>
      <c r="B73" s="1" t="n">
        <v>43613</v>
      </c>
      <c r="C73" s="1" t="n">
        <v>45852</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28134-2019</t>
        </is>
      </c>
      <c r="B74" s="1" t="n">
        <v>43621</v>
      </c>
      <c r="C74" s="1" t="n">
        <v>45852</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30036-2019</t>
        </is>
      </c>
      <c r="B75" s="1" t="n">
        <v>43633</v>
      </c>
      <c r="C75" s="1" t="n">
        <v>45852</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29979-2019</t>
        </is>
      </c>
      <c r="B76" s="1" t="n">
        <v>43633</v>
      </c>
      <c r="C76" s="1" t="n">
        <v>45852</v>
      </c>
      <c r="D76" t="inlineStr">
        <is>
          <t>UPPSALA LÄN</t>
        </is>
      </c>
      <c r="E76" t="inlineStr">
        <is>
          <t>ENKÖPING</t>
        </is>
      </c>
      <c r="G76" t="n">
        <v>2.3</v>
      </c>
      <c r="H76" t="n">
        <v>0</v>
      </c>
      <c r="I76" t="n">
        <v>0</v>
      </c>
      <c r="J76" t="n">
        <v>0</v>
      </c>
      <c r="K76" t="n">
        <v>0</v>
      </c>
      <c r="L76" t="n">
        <v>0</v>
      </c>
      <c r="M76" t="n">
        <v>0</v>
      </c>
      <c r="N76" t="n">
        <v>0</v>
      </c>
      <c r="O76" t="n">
        <v>0</v>
      </c>
      <c r="P76" t="n">
        <v>0</v>
      </c>
      <c r="Q76" t="n">
        <v>0</v>
      </c>
      <c r="R76" s="2" t="inlineStr"/>
    </row>
    <row r="77" ht="15" customHeight="1">
      <c r="A77" t="inlineStr">
        <is>
          <t>A 31081-2019</t>
        </is>
      </c>
      <c r="B77" s="1" t="n">
        <v>43640</v>
      </c>
      <c r="C77" s="1" t="n">
        <v>45852</v>
      </c>
      <c r="D77" t="inlineStr">
        <is>
          <t>UPPSALA LÄN</t>
        </is>
      </c>
      <c r="E77" t="inlineStr">
        <is>
          <t>ENKÖPING</t>
        </is>
      </c>
      <c r="G77" t="n">
        <v>3.1</v>
      </c>
      <c r="H77" t="n">
        <v>0</v>
      </c>
      <c r="I77" t="n">
        <v>0</v>
      </c>
      <c r="J77" t="n">
        <v>0</v>
      </c>
      <c r="K77" t="n">
        <v>0</v>
      </c>
      <c r="L77" t="n">
        <v>0</v>
      </c>
      <c r="M77" t="n">
        <v>0</v>
      </c>
      <c r="N77" t="n">
        <v>0</v>
      </c>
      <c r="O77" t="n">
        <v>0</v>
      </c>
      <c r="P77" t="n">
        <v>0</v>
      </c>
      <c r="Q77" t="n">
        <v>0</v>
      </c>
      <c r="R77" s="2" t="inlineStr"/>
    </row>
    <row r="78" ht="15" customHeight="1">
      <c r="A78" t="inlineStr">
        <is>
          <t>A 31074-2019</t>
        </is>
      </c>
      <c r="B78" s="1" t="n">
        <v>43640</v>
      </c>
      <c r="C78" s="1" t="n">
        <v>45852</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32310-2019</t>
        </is>
      </c>
      <c r="B79" s="1" t="n">
        <v>43644</v>
      </c>
      <c r="C79" s="1" t="n">
        <v>45852</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32640-2019</t>
        </is>
      </c>
      <c r="B80" s="1" t="n">
        <v>43647</v>
      </c>
      <c r="C80" s="1" t="n">
        <v>45852</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33339-2019</t>
        </is>
      </c>
      <c r="B81" s="1" t="n">
        <v>43650</v>
      </c>
      <c r="C81" s="1" t="n">
        <v>45852</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35752-2019</t>
        </is>
      </c>
      <c r="B82" s="1" t="n">
        <v>43665</v>
      </c>
      <c r="C82" s="1" t="n">
        <v>45852</v>
      </c>
      <c r="D82" t="inlineStr">
        <is>
          <t>UPPSALA LÄN</t>
        </is>
      </c>
      <c r="E82" t="inlineStr">
        <is>
          <t>ENKÖPING</t>
        </is>
      </c>
      <c r="G82" t="n">
        <v>2.9</v>
      </c>
      <c r="H82" t="n">
        <v>0</v>
      </c>
      <c r="I82" t="n">
        <v>0</v>
      </c>
      <c r="J82" t="n">
        <v>0</v>
      </c>
      <c r="K82" t="n">
        <v>0</v>
      </c>
      <c r="L82" t="n">
        <v>0</v>
      </c>
      <c r="M82" t="n">
        <v>0</v>
      </c>
      <c r="N82" t="n">
        <v>0</v>
      </c>
      <c r="O82" t="n">
        <v>0</v>
      </c>
      <c r="P82" t="n">
        <v>0</v>
      </c>
      <c r="Q82" t="n">
        <v>0</v>
      </c>
      <c r="R82" s="2" t="inlineStr"/>
    </row>
    <row r="83" ht="15" customHeight="1">
      <c r="A83" t="inlineStr">
        <is>
          <t>A 36370-2019</t>
        </is>
      </c>
      <c r="B83" s="1" t="n">
        <v>43670</v>
      </c>
      <c r="C83" s="1" t="n">
        <v>45852</v>
      </c>
      <c r="D83" t="inlineStr">
        <is>
          <t>UPPSALA LÄN</t>
        </is>
      </c>
      <c r="E83" t="inlineStr">
        <is>
          <t>ENKÖPING</t>
        </is>
      </c>
      <c r="G83" t="n">
        <v>26.9</v>
      </c>
      <c r="H83" t="n">
        <v>0</v>
      </c>
      <c r="I83" t="n">
        <v>0</v>
      </c>
      <c r="J83" t="n">
        <v>0</v>
      </c>
      <c r="K83" t="n">
        <v>0</v>
      </c>
      <c r="L83" t="n">
        <v>0</v>
      </c>
      <c r="M83" t="n">
        <v>0</v>
      </c>
      <c r="N83" t="n">
        <v>0</v>
      </c>
      <c r="O83" t="n">
        <v>0</v>
      </c>
      <c r="P83" t="n">
        <v>0</v>
      </c>
      <c r="Q83" t="n">
        <v>0</v>
      </c>
      <c r="R83" s="2" t="inlineStr"/>
    </row>
    <row r="84" ht="15" customHeight="1">
      <c r="A84" t="inlineStr">
        <is>
          <t>A 36733-2019</t>
        </is>
      </c>
      <c r="B84" s="1" t="n">
        <v>43672</v>
      </c>
      <c r="C84" s="1" t="n">
        <v>45852</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37519-2019</t>
        </is>
      </c>
      <c r="B85" s="1" t="n">
        <v>43679</v>
      </c>
      <c r="C85" s="1" t="n">
        <v>45852</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37702-2019</t>
        </is>
      </c>
      <c r="B86" s="1" t="n">
        <v>43682</v>
      </c>
      <c r="C86" s="1" t="n">
        <v>45852</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37700-2019</t>
        </is>
      </c>
      <c r="B87" s="1" t="n">
        <v>43682</v>
      </c>
      <c r="C87" s="1" t="n">
        <v>45852</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37936-2019</t>
        </is>
      </c>
      <c r="B88" s="1" t="n">
        <v>43683</v>
      </c>
      <c r="C88" s="1" t="n">
        <v>45852</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38204-2019</t>
        </is>
      </c>
      <c r="B89" s="1" t="n">
        <v>43683</v>
      </c>
      <c r="C89" s="1" t="n">
        <v>45852</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38189-2019</t>
        </is>
      </c>
      <c r="B90" s="1" t="n">
        <v>43684</v>
      </c>
      <c r="C90" s="1" t="n">
        <v>45852</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38205-2019</t>
        </is>
      </c>
      <c r="B91" s="1" t="n">
        <v>43684</v>
      </c>
      <c r="C91" s="1" t="n">
        <v>45852</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38475-2019</t>
        </is>
      </c>
      <c r="B92" s="1" t="n">
        <v>43685</v>
      </c>
      <c r="C92" s="1" t="n">
        <v>45852</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38896-2019</t>
        </is>
      </c>
      <c r="B93" s="1" t="n">
        <v>43689</v>
      </c>
      <c r="C93" s="1" t="n">
        <v>45852</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38899-2019</t>
        </is>
      </c>
      <c r="B94" s="1" t="n">
        <v>43689</v>
      </c>
      <c r="C94" s="1" t="n">
        <v>45852</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40247-2019</t>
        </is>
      </c>
      <c r="B95" s="1" t="n">
        <v>43695</v>
      </c>
      <c r="C95" s="1" t="n">
        <v>45852</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40839-2019</t>
        </is>
      </c>
      <c r="B96" s="1" t="n">
        <v>43697</v>
      </c>
      <c r="C96" s="1" t="n">
        <v>45852</v>
      </c>
      <c r="D96" t="inlineStr">
        <is>
          <t>UPPSALA LÄN</t>
        </is>
      </c>
      <c r="E96" t="inlineStr">
        <is>
          <t>ENKÖPING</t>
        </is>
      </c>
      <c r="G96" t="n">
        <v>1.9</v>
      </c>
      <c r="H96" t="n">
        <v>0</v>
      </c>
      <c r="I96" t="n">
        <v>0</v>
      </c>
      <c r="J96" t="n">
        <v>0</v>
      </c>
      <c r="K96" t="n">
        <v>0</v>
      </c>
      <c r="L96" t="n">
        <v>0</v>
      </c>
      <c r="M96" t="n">
        <v>0</v>
      </c>
      <c r="N96" t="n">
        <v>0</v>
      </c>
      <c r="O96" t="n">
        <v>0</v>
      </c>
      <c r="P96" t="n">
        <v>0</v>
      </c>
      <c r="Q96" t="n">
        <v>0</v>
      </c>
      <c r="R96" s="2" t="inlineStr"/>
    </row>
    <row r="97" ht="15" customHeight="1">
      <c r="A97" t="inlineStr">
        <is>
          <t>A 40843-2019</t>
        </is>
      </c>
      <c r="B97" s="1" t="n">
        <v>43697</v>
      </c>
      <c r="C97" s="1" t="n">
        <v>45852</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41512-2019</t>
        </is>
      </c>
      <c r="B98" s="1" t="n">
        <v>43699</v>
      </c>
      <c r="C98" s="1" t="n">
        <v>45852</v>
      </c>
      <c r="D98" t="inlineStr">
        <is>
          <t>UPPSALA LÄN</t>
        </is>
      </c>
      <c r="E98" t="inlineStr">
        <is>
          <t>ENKÖPING</t>
        </is>
      </c>
      <c r="G98" t="n">
        <v>5.8</v>
      </c>
      <c r="H98" t="n">
        <v>0</v>
      </c>
      <c r="I98" t="n">
        <v>0</v>
      </c>
      <c r="J98" t="n">
        <v>0</v>
      </c>
      <c r="K98" t="n">
        <v>0</v>
      </c>
      <c r="L98" t="n">
        <v>0</v>
      </c>
      <c r="M98" t="n">
        <v>0</v>
      </c>
      <c r="N98" t="n">
        <v>0</v>
      </c>
      <c r="O98" t="n">
        <v>0</v>
      </c>
      <c r="P98" t="n">
        <v>0</v>
      </c>
      <c r="Q98" t="n">
        <v>0</v>
      </c>
      <c r="R98" s="2" t="inlineStr"/>
    </row>
    <row r="99" ht="15" customHeight="1">
      <c r="A99" t="inlineStr">
        <is>
          <t>A 42350-2019</t>
        </is>
      </c>
      <c r="B99" s="1" t="n">
        <v>43703</v>
      </c>
      <c r="C99" s="1" t="n">
        <v>45852</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42624-2019</t>
        </is>
      </c>
      <c r="B100" s="1" t="n">
        <v>43704</v>
      </c>
      <c r="C100" s="1" t="n">
        <v>45852</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42829-2019</t>
        </is>
      </c>
      <c r="B101" s="1" t="n">
        <v>43705</v>
      </c>
      <c r="C101" s="1" t="n">
        <v>45852</v>
      </c>
      <c r="D101" t="inlineStr">
        <is>
          <t>UPPSALA LÄN</t>
        </is>
      </c>
      <c r="E101" t="inlineStr">
        <is>
          <t>ENKÖPING</t>
        </is>
      </c>
      <c r="G101" t="n">
        <v>6.7</v>
      </c>
      <c r="H101" t="n">
        <v>0</v>
      </c>
      <c r="I101" t="n">
        <v>0</v>
      </c>
      <c r="J101" t="n">
        <v>0</v>
      </c>
      <c r="K101" t="n">
        <v>0</v>
      </c>
      <c r="L101" t="n">
        <v>0</v>
      </c>
      <c r="M101" t="n">
        <v>0</v>
      </c>
      <c r="N101" t="n">
        <v>0</v>
      </c>
      <c r="O101" t="n">
        <v>0</v>
      </c>
      <c r="P101" t="n">
        <v>0</v>
      </c>
      <c r="Q101" t="n">
        <v>0</v>
      </c>
      <c r="R101" s="2" t="inlineStr"/>
    </row>
    <row r="102" ht="15" customHeight="1">
      <c r="A102" t="inlineStr">
        <is>
          <t>A 43308-2019</t>
        </is>
      </c>
      <c r="B102" s="1" t="n">
        <v>43706</v>
      </c>
      <c r="C102" s="1" t="n">
        <v>45852</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43998-2019</t>
        </is>
      </c>
      <c r="B103" s="1" t="n">
        <v>43709</v>
      </c>
      <c r="C103" s="1" t="n">
        <v>45852</v>
      </c>
      <c r="D103" t="inlineStr">
        <is>
          <t>UPPSALA LÄN</t>
        </is>
      </c>
      <c r="E103" t="inlineStr">
        <is>
          <t>ENKÖPING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43999-2019</t>
        </is>
      </c>
      <c r="B104" s="1" t="n">
        <v>43709</v>
      </c>
      <c r="C104" s="1" t="n">
        <v>45852</v>
      </c>
      <c r="D104" t="inlineStr">
        <is>
          <t>UPPSALA LÄN</t>
        </is>
      </c>
      <c r="E104" t="inlineStr">
        <is>
          <t>ENKÖPING</t>
        </is>
      </c>
      <c r="G104" t="n">
        <v>0.1</v>
      </c>
      <c r="H104" t="n">
        <v>0</v>
      </c>
      <c r="I104" t="n">
        <v>0</v>
      </c>
      <c r="J104" t="n">
        <v>0</v>
      </c>
      <c r="K104" t="n">
        <v>0</v>
      </c>
      <c r="L104" t="n">
        <v>0</v>
      </c>
      <c r="M104" t="n">
        <v>0</v>
      </c>
      <c r="N104" t="n">
        <v>0</v>
      </c>
      <c r="O104" t="n">
        <v>0</v>
      </c>
      <c r="P104" t="n">
        <v>0</v>
      </c>
      <c r="Q104" t="n">
        <v>0</v>
      </c>
      <c r="R104" s="2" t="inlineStr"/>
    </row>
    <row r="105" ht="15" customHeight="1">
      <c r="A105" t="inlineStr">
        <is>
          <t>A 44749-2019</t>
        </is>
      </c>
      <c r="B105" s="1" t="n">
        <v>43712</v>
      </c>
      <c r="C105" s="1" t="n">
        <v>45852</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45007-2019</t>
        </is>
      </c>
      <c r="B106" s="1" t="n">
        <v>43713</v>
      </c>
      <c r="C106" s="1" t="n">
        <v>45852</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45481-2019</t>
        </is>
      </c>
      <c r="B107" s="1" t="n">
        <v>43714</v>
      </c>
      <c r="C107" s="1" t="n">
        <v>45852</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45729-2019</t>
        </is>
      </c>
      <c r="B108" s="1" t="n">
        <v>43717</v>
      </c>
      <c r="C108" s="1" t="n">
        <v>45852</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45767-2019</t>
        </is>
      </c>
      <c r="B109" s="1" t="n">
        <v>43717</v>
      </c>
      <c r="C109" s="1" t="n">
        <v>45852</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45784-2019</t>
        </is>
      </c>
      <c r="B110" s="1" t="n">
        <v>43717</v>
      </c>
      <c r="C110" s="1" t="n">
        <v>45852</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46292-2019</t>
        </is>
      </c>
      <c r="B111" s="1" t="n">
        <v>43718</v>
      </c>
      <c r="C111" s="1" t="n">
        <v>45852</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46274-2019</t>
        </is>
      </c>
      <c r="B112" s="1" t="n">
        <v>43718</v>
      </c>
      <c r="C112" s="1" t="n">
        <v>45852</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46971-2019</t>
        </is>
      </c>
      <c r="B113" s="1" t="n">
        <v>43720</v>
      </c>
      <c r="C113" s="1" t="n">
        <v>45852</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47039-2019</t>
        </is>
      </c>
      <c r="B114" s="1" t="n">
        <v>43720</v>
      </c>
      <c r="C114" s="1" t="n">
        <v>45852</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47368-2019</t>
        </is>
      </c>
      <c r="B115" s="1" t="n">
        <v>43721</v>
      </c>
      <c r="C115" s="1" t="n">
        <v>45852</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47476-2019</t>
        </is>
      </c>
      <c r="B116" s="1" t="n">
        <v>43724</v>
      </c>
      <c r="C116" s="1" t="n">
        <v>45852</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48098-2019</t>
        </is>
      </c>
      <c r="B117" s="1" t="n">
        <v>43725</v>
      </c>
      <c r="C117" s="1" t="n">
        <v>45852</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48095-2019</t>
        </is>
      </c>
      <c r="B118" s="1" t="n">
        <v>43725</v>
      </c>
      <c r="C118" s="1" t="n">
        <v>45852</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48096-2019</t>
        </is>
      </c>
      <c r="B119" s="1" t="n">
        <v>43725</v>
      </c>
      <c r="C119" s="1" t="n">
        <v>45852</v>
      </c>
      <c r="D119" t="inlineStr">
        <is>
          <t>UPPSALA LÄN</t>
        </is>
      </c>
      <c r="E119" t="inlineStr">
        <is>
          <t>ENKÖPING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48515-2019</t>
        </is>
      </c>
      <c r="B120" s="1" t="n">
        <v>43727</v>
      </c>
      <c r="C120" s="1" t="n">
        <v>45852</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48511-2019</t>
        </is>
      </c>
      <c r="B121" s="1" t="n">
        <v>43727</v>
      </c>
      <c r="C121" s="1" t="n">
        <v>45852</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49856-2019</t>
        </is>
      </c>
      <c r="B122" s="1" t="n">
        <v>43733</v>
      </c>
      <c r="C122" s="1" t="n">
        <v>45852</v>
      </c>
      <c r="D122" t="inlineStr">
        <is>
          <t>UPPSALA LÄN</t>
        </is>
      </c>
      <c r="E122" t="inlineStr">
        <is>
          <t>ENKÖPING</t>
        </is>
      </c>
      <c r="G122" t="n">
        <v>9.9</v>
      </c>
      <c r="H122" t="n">
        <v>0</v>
      </c>
      <c r="I122" t="n">
        <v>0</v>
      </c>
      <c r="J122" t="n">
        <v>0</v>
      </c>
      <c r="K122" t="n">
        <v>0</v>
      </c>
      <c r="L122" t="n">
        <v>0</v>
      </c>
      <c r="M122" t="n">
        <v>0</v>
      </c>
      <c r="N122" t="n">
        <v>0</v>
      </c>
      <c r="O122" t="n">
        <v>0</v>
      </c>
      <c r="P122" t="n">
        <v>0</v>
      </c>
      <c r="Q122" t="n">
        <v>0</v>
      </c>
      <c r="R122" s="2" t="inlineStr"/>
    </row>
    <row r="123" ht="15" customHeight="1">
      <c r="A123" t="inlineStr">
        <is>
          <t>A 49941-2019</t>
        </is>
      </c>
      <c r="B123" s="1" t="n">
        <v>43733</v>
      </c>
      <c r="C123" s="1" t="n">
        <v>45852</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50893-2019</t>
        </is>
      </c>
      <c r="B124" s="1" t="n">
        <v>43738</v>
      </c>
      <c r="C124" s="1" t="n">
        <v>45852</v>
      </c>
      <c r="D124" t="inlineStr">
        <is>
          <t>UPPSALA LÄN</t>
        </is>
      </c>
      <c r="E124" t="inlineStr">
        <is>
          <t>ENKÖPING</t>
        </is>
      </c>
      <c r="G124" t="n">
        <v>4.3</v>
      </c>
      <c r="H124" t="n">
        <v>0</v>
      </c>
      <c r="I124" t="n">
        <v>0</v>
      </c>
      <c r="J124" t="n">
        <v>0</v>
      </c>
      <c r="K124" t="n">
        <v>0</v>
      </c>
      <c r="L124" t="n">
        <v>0</v>
      </c>
      <c r="M124" t="n">
        <v>0</v>
      </c>
      <c r="N124" t="n">
        <v>0</v>
      </c>
      <c r="O124" t="n">
        <v>0</v>
      </c>
      <c r="P124" t="n">
        <v>0</v>
      </c>
      <c r="Q124" t="n">
        <v>0</v>
      </c>
      <c r="R124" s="2" t="inlineStr"/>
    </row>
    <row r="125" ht="15" customHeight="1">
      <c r="A125" t="inlineStr">
        <is>
          <t>A 52516-2019</t>
        </is>
      </c>
      <c r="B125" s="1" t="n">
        <v>43738</v>
      </c>
      <c r="C125" s="1" t="n">
        <v>45852</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51782-2019</t>
        </is>
      </c>
      <c r="B126" s="1" t="n">
        <v>43741</v>
      </c>
      <c r="C126" s="1" t="n">
        <v>45852</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51802-2019</t>
        </is>
      </c>
      <c r="B127" s="1" t="n">
        <v>43741</v>
      </c>
      <c r="C127" s="1" t="n">
        <v>45852</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51836-2019</t>
        </is>
      </c>
      <c r="B128" s="1" t="n">
        <v>43741</v>
      </c>
      <c r="C128" s="1" t="n">
        <v>45852</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51805-2019</t>
        </is>
      </c>
      <c r="B129" s="1" t="n">
        <v>43741</v>
      </c>
      <c r="C129" s="1" t="n">
        <v>45852</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51905-2019</t>
        </is>
      </c>
      <c r="B130" s="1" t="n">
        <v>43741</v>
      </c>
      <c r="C130" s="1" t="n">
        <v>45852</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51912-2019</t>
        </is>
      </c>
      <c r="B131" s="1" t="n">
        <v>43741</v>
      </c>
      <c r="C131" s="1" t="n">
        <v>45852</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52524-2019</t>
        </is>
      </c>
      <c r="B132" s="1" t="n">
        <v>43745</v>
      </c>
      <c r="C132" s="1" t="n">
        <v>45852</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52394-2019</t>
        </is>
      </c>
      <c r="B133" s="1" t="n">
        <v>43745</v>
      </c>
      <c r="C133" s="1" t="n">
        <v>45852</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52726-2019</t>
        </is>
      </c>
      <c r="B134" s="1" t="n">
        <v>43746</v>
      </c>
      <c r="C134" s="1" t="n">
        <v>45852</v>
      </c>
      <c r="D134" t="inlineStr">
        <is>
          <t>UPPSALA LÄN</t>
        </is>
      </c>
      <c r="E134" t="inlineStr">
        <is>
          <t>ENKÖPING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53840-2019</t>
        </is>
      </c>
      <c r="B135" s="1" t="n">
        <v>43752</v>
      </c>
      <c r="C135" s="1" t="n">
        <v>45852</v>
      </c>
      <c r="D135" t="inlineStr">
        <is>
          <t>UPPSALA LÄN</t>
        </is>
      </c>
      <c r="E135" t="inlineStr">
        <is>
          <t>ENKÖPING</t>
        </is>
      </c>
      <c r="G135" t="n">
        <v>10.1</v>
      </c>
      <c r="H135" t="n">
        <v>0</v>
      </c>
      <c r="I135" t="n">
        <v>0</v>
      </c>
      <c r="J135" t="n">
        <v>0</v>
      </c>
      <c r="K135" t="n">
        <v>0</v>
      </c>
      <c r="L135" t="n">
        <v>0</v>
      </c>
      <c r="M135" t="n">
        <v>0</v>
      </c>
      <c r="N135" t="n">
        <v>0</v>
      </c>
      <c r="O135" t="n">
        <v>0</v>
      </c>
      <c r="P135" t="n">
        <v>0</v>
      </c>
      <c r="Q135" t="n">
        <v>0</v>
      </c>
      <c r="R135" s="2" t="inlineStr"/>
    </row>
    <row r="136" ht="15" customHeight="1">
      <c r="A136" t="inlineStr">
        <is>
          <t>A 56153-2019</t>
        </is>
      </c>
      <c r="B136" s="1" t="n">
        <v>43756</v>
      </c>
      <c r="C136" s="1" t="n">
        <v>45852</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55516-2019</t>
        </is>
      </c>
      <c r="B137" s="1" t="n">
        <v>43759</v>
      </c>
      <c r="C137" s="1" t="n">
        <v>45852</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55872-2019</t>
        </is>
      </c>
      <c r="B138" s="1" t="n">
        <v>43759</v>
      </c>
      <c r="C138" s="1" t="n">
        <v>45852</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55512-2019</t>
        </is>
      </c>
      <c r="B139" s="1" t="n">
        <v>43759</v>
      </c>
      <c r="C139" s="1" t="n">
        <v>45852</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56309-2019</t>
        </is>
      </c>
      <c r="B140" s="1" t="n">
        <v>43762</v>
      </c>
      <c r="C140" s="1" t="n">
        <v>45852</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56932-2019</t>
        </is>
      </c>
      <c r="B141" s="1" t="n">
        <v>43766</v>
      </c>
      <c r="C141" s="1" t="n">
        <v>45852</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56910-2019</t>
        </is>
      </c>
      <c r="B142" s="1" t="n">
        <v>43766</v>
      </c>
      <c r="C142" s="1" t="n">
        <v>45852</v>
      </c>
      <c r="D142" t="inlineStr">
        <is>
          <t>UPPSALA LÄN</t>
        </is>
      </c>
      <c r="E142" t="inlineStr">
        <is>
          <t>ENKÖPING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57066-2019</t>
        </is>
      </c>
      <c r="B143" s="1" t="n">
        <v>43766</v>
      </c>
      <c r="C143" s="1" t="n">
        <v>45852</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56897-2019</t>
        </is>
      </c>
      <c r="B144" s="1" t="n">
        <v>43766</v>
      </c>
      <c r="C144" s="1" t="n">
        <v>45852</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57126-2019</t>
        </is>
      </c>
      <c r="B145" s="1" t="n">
        <v>43766</v>
      </c>
      <c r="C145" s="1" t="n">
        <v>45852</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57813-2019</t>
        </is>
      </c>
      <c r="B146" s="1" t="n">
        <v>43768</v>
      </c>
      <c r="C146" s="1" t="n">
        <v>45852</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57821-2019</t>
        </is>
      </c>
      <c r="B147" s="1" t="n">
        <v>43768</v>
      </c>
      <c r="C147" s="1" t="n">
        <v>45852</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57820-2019</t>
        </is>
      </c>
      <c r="B148" s="1" t="n">
        <v>43768</v>
      </c>
      <c r="C148" s="1" t="n">
        <v>45852</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58491-2019</t>
        </is>
      </c>
      <c r="B149" s="1" t="n">
        <v>43773</v>
      </c>
      <c r="C149" s="1" t="n">
        <v>45852</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58558-2019</t>
        </is>
      </c>
      <c r="B150" s="1" t="n">
        <v>43773</v>
      </c>
      <c r="C150" s="1" t="n">
        <v>45852</v>
      </c>
      <c r="D150" t="inlineStr">
        <is>
          <t>UPPSALA LÄN</t>
        </is>
      </c>
      <c r="E150" t="inlineStr">
        <is>
          <t>ENKÖPING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60054-2019</t>
        </is>
      </c>
      <c r="B151" s="1" t="n">
        <v>43775</v>
      </c>
      <c r="C151" s="1" t="n">
        <v>45852</v>
      </c>
      <c r="D151" t="inlineStr">
        <is>
          <t>UPPSALA LÄN</t>
        </is>
      </c>
      <c r="E151" t="inlineStr">
        <is>
          <t>ENKÖPING</t>
        </is>
      </c>
      <c r="G151" t="n">
        <v>18.4</v>
      </c>
      <c r="H151" t="n">
        <v>0</v>
      </c>
      <c r="I151" t="n">
        <v>0</v>
      </c>
      <c r="J151" t="n">
        <v>0</v>
      </c>
      <c r="K151" t="n">
        <v>0</v>
      </c>
      <c r="L151" t="n">
        <v>0</v>
      </c>
      <c r="M151" t="n">
        <v>0</v>
      </c>
      <c r="N151" t="n">
        <v>0</v>
      </c>
      <c r="O151" t="n">
        <v>0</v>
      </c>
      <c r="P151" t="n">
        <v>0</v>
      </c>
      <c r="Q151" t="n">
        <v>0</v>
      </c>
      <c r="R151" s="2" t="inlineStr"/>
    </row>
    <row r="152" ht="15" customHeight="1">
      <c r="A152" t="inlineStr">
        <is>
          <t>A 59600-2019</t>
        </is>
      </c>
      <c r="B152" s="1" t="n">
        <v>43776</v>
      </c>
      <c r="C152" s="1" t="n">
        <v>45852</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60070-2019</t>
        </is>
      </c>
      <c r="B153" s="1" t="n">
        <v>43777</v>
      </c>
      <c r="C153" s="1" t="n">
        <v>45852</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60062-2019</t>
        </is>
      </c>
      <c r="B154" s="1" t="n">
        <v>43777</v>
      </c>
      <c r="C154" s="1" t="n">
        <v>45852</v>
      </c>
      <c r="D154" t="inlineStr">
        <is>
          <t>UPPSALA LÄN</t>
        </is>
      </c>
      <c r="E154" t="inlineStr">
        <is>
          <t>ENKÖPING</t>
        </is>
      </c>
      <c r="G154" t="n">
        <v>6.4</v>
      </c>
      <c r="H154" t="n">
        <v>0</v>
      </c>
      <c r="I154" t="n">
        <v>0</v>
      </c>
      <c r="J154" t="n">
        <v>0</v>
      </c>
      <c r="K154" t="n">
        <v>0</v>
      </c>
      <c r="L154" t="n">
        <v>0</v>
      </c>
      <c r="M154" t="n">
        <v>0</v>
      </c>
      <c r="N154" t="n">
        <v>0</v>
      </c>
      <c r="O154" t="n">
        <v>0</v>
      </c>
      <c r="P154" t="n">
        <v>0</v>
      </c>
      <c r="Q154" t="n">
        <v>0</v>
      </c>
      <c r="R154" s="2" t="inlineStr"/>
    </row>
    <row r="155" ht="15" customHeight="1">
      <c r="A155" t="inlineStr">
        <is>
          <t>A 61005-2019</t>
        </is>
      </c>
      <c r="B155" s="1" t="n">
        <v>43782</v>
      </c>
      <c r="C155" s="1" t="n">
        <v>45852</v>
      </c>
      <c r="D155" t="inlineStr">
        <is>
          <t>UPPSALA LÄN</t>
        </is>
      </c>
      <c r="E155" t="inlineStr">
        <is>
          <t>ENKÖPING</t>
        </is>
      </c>
      <c r="G155" t="n">
        <v>11.8</v>
      </c>
      <c r="H155" t="n">
        <v>0</v>
      </c>
      <c r="I155" t="n">
        <v>0</v>
      </c>
      <c r="J155" t="n">
        <v>0</v>
      </c>
      <c r="K155" t="n">
        <v>0</v>
      </c>
      <c r="L155" t="n">
        <v>0</v>
      </c>
      <c r="M155" t="n">
        <v>0</v>
      </c>
      <c r="N155" t="n">
        <v>0</v>
      </c>
      <c r="O155" t="n">
        <v>0</v>
      </c>
      <c r="P155" t="n">
        <v>0</v>
      </c>
      <c r="Q155" t="n">
        <v>0</v>
      </c>
      <c r="R155" s="2" t="inlineStr"/>
    </row>
    <row r="156" ht="15" customHeight="1">
      <c r="A156" t="inlineStr">
        <is>
          <t>A 62868-2019</t>
        </is>
      </c>
      <c r="B156" s="1" t="n">
        <v>43790</v>
      </c>
      <c r="C156" s="1" t="n">
        <v>45852</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65182-2019</t>
        </is>
      </c>
      <c r="B157" s="1" t="n">
        <v>43802</v>
      </c>
      <c r="C157" s="1" t="n">
        <v>45852</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66556-2019</t>
        </is>
      </c>
      <c r="B158" s="1" t="n">
        <v>43803</v>
      </c>
      <c r="C158" s="1" t="n">
        <v>45852</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66298-2019</t>
        </is>
      </c>
      <c r="B159" s="1" t="n">
        <v>43808</v>
      </c>
      <c r="C159" s="1" t="n">
        <v>45852</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67190-2019</t>
        </is>
      </c>
      <c r="B160" s="1" t="n">
        <v>43811</v>
      </c>
      <c r="C160" s="1" t="n">
        <v>45852</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67196-2019</t>
        </is>
      </c>
      <c r="B161" s="1" t="n">
        <v>43811</v>
      </c>
      <c r="C161" s="1" t="n">
        <v>45852</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67244-2019</t>
        </is>
      </c>
      <c r="B162" s="1" t="n">
        <v>43812</v>
      </c>
      <c r="C162" s="1" t="n">
        <v>45852</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67448-2019</t>
        </is>
      </c>
      <c r="B163" s="1" t="n">
        <v>43812</v>
      </c>
      <c r="C163" s="1" t="n">
        <v>45852</v>
      </c>
      <c r="D163" t="inlineStr">
        <is>
          <t>UPPSALA LÄN</t>
        </is>
      </c>
      <c r="E163" t="inlineStr">
        <is>
          <t>ENKÖPING</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68186-2019</t>
        </is>
      </c>
      <c r="B164" s="1" t="n">
        <v>43817</v>
      </c>
      <c r="C164" s="1" t="n">
        <v>45852</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68188-2019</t>
        </is>
      </c>
      <c r="B165" s="1" t="n">
        <v>43817</v>
      </c>
      <c r="C165" s="1" t="n">
        <v>45852</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69015-2019</t>
        </is>
      </c>
      <c r="B166" s="1" t="n">
        <v>43826</v>
      </c>
      <c r="C166" s="1" t="n">
        <v>45852</v>
      </c>
      <c r="D166" t="inlineStr">
        <is>
          <t>UPPSALA LÄN</t>
        </is>
      </c>
      <c r="E166" t="inlineStr">
        <is>
          <t>ENKÖPING</t>
        </is>
      </c>
      <c r="G166" t="n">
        <v>15.7</v>
      </c>
      <c r="H166" t="n">
        <v>0</v>
      </c>
      <c r="I166" t="n">
        <v>0</v>
      </c>
      <c r="J166" t="n">
        <v>0</v>
      </c>
      <c r="K166" t="n">
        <v>0</v>
      </c>
      <c r="L166" t="n">
        <v>0</v>
      </c>
      <c r="M166" t="n">
        <v>0</v>
      </c>
      <c r="N166" t="n">
        <v>0</v>
      </c>
      <c r="O166" t="n">
        <v>0</v>
      </c>
      <c r="P166" t="n">
        <v>0</v>
      </c>
      <c r="Q166" t="n">
        <v>0</v>
      </c>
      <c r="R166" s="2" t="inlineStr"/>
    </row>
    <row r="167" ht="15" customHeight="1">
      <c r="A167" t="inlineStr">
        <is>
          <t>A 69029-2019</t>
        </is>
      </c>
      <c r="B167" s="1" t="n">
        <v>43826</v>
      </c>
      <c r="C167" s="1" t="n">
        <v>45852</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69016-2019</t>
        </is>
      </c>
      <c r="B168" s="1" t="n">
        <v>43826</v>
      </c>
      <c r="C168" s="1" t="n">
        <v>45852</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69020-2019</t>
        </is>
      </c>
      <c r="B169" s="1" t="n">
        <v>43826</v>
      </c>
      <c r="C169" s="1" t="n">
        <v>45852</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38-2020</t>
        </is>
      </c>
      <c r="B170" s="1" t="n">
        <v>43832</v>
      </c>
      <c r="C170" s="1" t="n">
        <v>45852</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499-2020</t>
        </is>
      </c>
      <c r="B171" s="1" t="n">
        <v>43837</v>
      </c>
      <c r="C171" s="1" t="n">
        <v>45852</v>
      </c>
      <c r="D171" t="inlineStr">
        <is>
          <t>UPPSALA LÄN</t>
        </is>
      </c>
      <c r="E171" t="inlineStr">
        <is>
          <t>ENKÖPING</t>
        </is>
      </c>
      <c r="G171" t="n">
        <v>4.9</v>
      </c>
      <c r="H171" t="n">
        <v>0</v>
      </c>
      <c r="I171" t="n">
        <v>0</v>
      </c>
      <c r="J171" t="n">
        <v>0</v>
      </c>
      <c r="K171" t="n">
        <v>0</v>
      </c>
      <c r="L171" t="n">
        <v>0</v>
      </c>
      <c r="M171" t="n">
        <v>0</v>
      </c>
      <c r="N171" t="n">
        <v>0</v>
      </c>
      <c r="O171" t="n">
        <v>0</v>
      </c>
      <c r="P171" t="n">
        <v>0</v>
      </c>
      <c r="Q171" t="n">
        <v>0</v>
      </c>
      <c r="R171" s="2" t="inlineStr"/>
    </row>
    <row r="172" ht="15" customHeight="1">
      <c r="A172" t="inlineStr">
        <is>
          <t>A 724-2020</t>
        </is>
      </c>
      <c r="B172" s="1" t="n">
        <v>43838</v>
      </c>
      <c r="C172" s="1" t="n">
        <v>45852</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892-2020</t>
        </is>
      </c>
      <c r="B173" s="1" t="n">
        <v>43839</v>
      </c>
      <c r="C173" s="1" t="n">
        <v>45852</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1348-2020</t>
        </is>
      </c>
      <c r="B174" s="1" t="n">
        <v>43843</v>
      </c>
      <c r="C174" s="1" t="n">
        <v>45852</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2182-2020</t>
        </is>
      </c>
      <c r="B175" s="1" t="n">
        <v>43846</v>
      </c>
      <c r="C175" s="1" t="n">
        <v>45852</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2205-2020</t>
        </is>
      </c>
      <c r="B176" s="1" t="n">
        <v>43846</v>
      </c>
      <c r="C176" s="1" t="n">
        <v>45852</v>
      </c>
      <c r="D176" t="inlineStr">
        <is>
          <t>UPPSALA LÄN</t>
        </is>
      </c>
      <c r="E176" t="inlineStr">
        <is>
          <t>ENKÖPING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2177-2020</t>
        </is>
      </c>
      <c r="B177" s="1" t="n">
        <v>43846</v>
      </c>
      <c r="C177" s="1" t="n">
        <v>45852</v>
      </c>
      <c r="D177" t="inlineStr">
        <is>
          <t>UPPSALA LÄN</t>
        </is>
      </c>
      <c r="E177" t="inlineStr">
        <is>
          <t>ENKÖPING</t>
        </is>
      </c>
      <c r="F177" t="inlineStr">
        <is>
          <t>Övriga statliga verk och myndigheter</t>
        </is>
      </c>
      <c r="G177" t="n">
        <v>10.2</v>
      </c>
      <c r="H177" t="n">
        <v>0</v>
      </c>
      <c r="I177" t="n">
        <v>0</v>
      </c>
      <c r="J177" t="n">
        <v>0</v>
      </c>
      <c r="K177" t="n">
        <v>0</v>
      </c>
      <c r="L177" t="n">
        <v>0</v>
      </c>
      <c r="M177" t="n">
        <v>0</v>
      </c>
      <c r="N177" t="n">
        <v>0</v>
      </c>
      <c r="O177" t="n">
        <v>0</v>
      </c>
      <c r="P177" t="n">
        <v>0</v>
      </c>
      <c r="Q177" t="n">
        <v>0</v>
      </c>
      <c r="R177" s="2" t="inlineStr"/>
    </row>
    <row r="178" ht="15" customHeight="1">
      <c r="A178" t="inlineStr">
        <is>
          <t>A 2220-2020</t>
        </is>
      </c>
      <c r="B178" s="1" t="n">
        <v>43846</v>
      </c>
      <c r="C178" s="1" t="n">
        <v>45852</v>
      </c>
      <c r="D178" t="inlineStr">
        <is>
          <t>UPPSALA LÄN</t>
        </is>
      </c>
      <c r="E178" t="inlineStr">
        <is>
          <t>ENKÖPING</t>
        </is>
      </c>
      <c r="F178" t="inlineStr">
        <is>
          <t>Övriga statliga verk och myndigheter</t>
        </is>
      </c>
      <c r="G178" t="n">
        <v>11.8</v>
      </c>
      <c r="H178" t="n">
        <v>0</v>
      </c>
      <c r="I178" t="n">
        <v>0</v>
      </c>
      <c r="J178" t="n">
        <v>0</v>
      </c>
      <c r="K178" t="n">
        <v>0</v>
      </c>
      <c r="L178" t="n">
        <v>0</v>
      </c>
      <c r="M178" t="n">
        <v>0</v>
      </c>
      <c r="N178" t="n">
        <v>0</v>
      </c>
      <c r="O178" t="n">
        <v>0</v>
      </c>
      <c r="P178" t="n">
        <v>0</v>
      </c>
      <c r="Q178" t="n">
        <v>0</v>
      </c>
      <c r="R178" s="2" t="inlineStr"/>
    </row>
    <row r="179" ht="15" customHeight="1">
      <c r="A179" t="inlineStr">
        <is>
          <t>A 2186-2020</t>
        </is>
      </c>
      <c r="B179" s="1" t="n">
        <v>43846</v>
      </c>
      <c r="C179" s="1" t="n">
        <v>45852</v>
      </c>
      <c r="D179" t="inlineStr">
        <is>
          <t>UPPSALA LÄN</t>
        </is>
      </c>
      <c r="E179" t="inlineStr">
        <is>
          <t>ENKÖPING</t>
        </is>
      </c>
      <c r="F179" t="inlineStr">
        <is>
          <t>Övriga statliga verk och myndigheter</t>
        </is>
      </c>
      <c r="G179" t="n">
        <v>12.3</v>
      </c>
      <c r="H179" t="n">
        <v>0</v>
      </c>
      <c r="I179" t="n">
        <v>0</v>
      </c>
      <c r="J179" t="n">
        <v>0</v>
      </c>
      <c r="K179" t="n">
        <v>0</v>
      </c>
      <c r="L179" t="n">
        <v>0</v>
      </c>
      <c r="M179" t="n">
        <v>0</v>
      </c>
      <c r="N179" t="n">
        <v>0</v>
      </c>
      <c r="O179" t="n">
        <v>0</v>
      </c>
      <c r="P179" t="n">
        <v>0</v>
      </c>
      <c r="Q179" t="n">
        <v>0</v>
      </c>
      <c r="R179" s="2" t="inlineStr"/>
    </row>
    <row r="180" ht="15" customHeight="1">
      <c r="A180" t="inlineStr">
        <is>
          <t>A 2225-2020</t>
        </is>
      </c>
      <c r="B180" s="1" t="n">
        <v>43846</v>
      </c>
      <c r="C180" s="1" t="n">
        <v>45852</v>
      </c>
      <c r="D180" t="inlineStr">
        <is>
          <t>UPPSALA LÄN</t>
        </is>
      </c>
      <c r="E180" t="inlineStr">
        <is>
          <t>ENKÖPING</t>
        </is>
      </c>
      <c r="F180" t="inlineStr">
        <is>
          <t>Övriga statliga verk och myndigheter</t>
        </is>
      </c>
      <c r="G180" t="n">
        <v>5.2</v>
      </c>
      <c r="H180" t="n">
        <v>0</v>
      </c>
      <c r="I180" t="n">
        <v>0</v>
      </c>
      <c r="J180" t="n">
        <v>0</v>
      </c>
      <c r="K180" t="n">
        <v>0</v>
      </c>
      <c r="L180" t="n">
        <v>0</v>
      </c>
      <c r="M180" t="n">
        <v>0</v>
      </c>
      <c r="N180" t="n">
        <v>0</v>
      </c>
      <c r="O180" t="n">
        <v>0</v>
      </c>
      <c r="P180" t="n">
        <v>0</v>
      </c>
      <c r="Q180" t="n">
        <v>0</v>
      </c>
      <c r="R180" s="2" t="inlineStr"/>
    </row>
    <row r="181" ht="15" customHeight="1">
      <c r="A181" t="inlineStr">
        <is>
          <t>A 2217-2020</t>
        </is>
      </c>
      <c r="B181" s="1" t="n">
        <v>43846</v>
      </c>
      <c r="C181" s="1" t="n">
        <v>45852</v>
      </c>
      <c r="D181" t="inlineStr">
        <is>
          <t>UPPSALA LÄN</t>
        </is>
      </c>
      <c r="E181" t="inlineStr">
        <is>
          <t>ENKÖPING</t>
        </is>
      </c>
      <c r="F181" t="inlineStr">
        <is>
          <t>Övriga statliga verk och myndigheter</t>
        </is>
      </c>
      <c r="G181" t="n">
        <v>7.7</v>
      </c>
      <c r="H181" t="n">
        <v>0</v>
      </c>
      <c r="I181" t="n">
        <v>0</v>
      </c>
      <c r="J181" t="n">
        <v>0</v>
      </c>
      <c r="K181" t="n">
        <v>0</v>
      </c>
      <c r="L181" t="n">
        <v>0</v>
      </c>
      <c r="M181" t="n">
        <v>0</v>
      </c>
      <c r="N181" t="n">
        <v>0</v>
      </c>
      <c r="O181" t="n">
        <v>0</v>
      </c>
      <c r="P181" t="n">
        <v>0</v>
      </c>
      <c r="Q181" t="n">
        <v>0</v>
      </c>
      <c r="R181" s="2" t="inlineStr"/>
    </row>
    <row r="182" ht="15" customHeight="1">
      <c r="A182" t="inlineStr">
        <is>
          <t>A 2222-2020</t>
        </is>
      </c>
      <c r="B182" s="1" t="n">
        <v>43846</v>
      </c>
      <c r="C182" s="1" t="n">
        <v>45852</v>
      </c>
      <c r="D182" t="inlineStr">
        <is>
          <t>UPPSALA LÄN</t>
        </is>
      </c>
      <c r="E182" t="inlineStr">
        <is>
          <t>ENKÖPING</t>
        </is>
      </c>
      <c r="F182" t="inlineStr">
        <is>
          <t>Övriga statliga verk och myndigheter</t>
        </is>
      </c>
      <c r="G182" t="n">
        <v>3.3</v>
      </c>
      <c r="H182" t="n">
        <v>0</v>
      </c>
      <c r="I182" t="n">
        <v>0</v>
      </c>
      <c r="J182" t="n">
        <v>0</v>
      </c>
      <c r="K182" t="n">
        <v>0</v>
      </c>
      <c r="L182" t="n">
        <v>0</v>
      </c>
      <c r="M182" t="n">
        <v>0</v>
      </c>
      <c r="N182" t="n">
        <v>0</v>
      </c>
      <c r="O182" t="n">
        <v>0</v>
      </c>
      <c r="P182" t="n">
        <v>0</v>
      </c>
      <c r="Q182" t="n">
        <v>0</v>
      </c>
      <c r="R182" s="2" t="inlineStr"/>
    </row>
    <row r="183" ht="15" customHeight="1">
      <c r="A183" t="inlineStr">
        <is>
          <t>A 4073-2020</t>
        </is>
      </c>
      <c r="B183" s="1" t="n">
        <v>43857</v>
      </c>
      <c r="C183" s="1" t="n">
        <v>45852</v>
      </c>
      <c r="D183" t="inlineStr">
        <is>
          <t>UPPSALA LÄN</t>
        </is>
      </c>
      <c r="E183" t="inlineStr">
        <is>
          <t>ENKÖPING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5032-2020</t>
        </is>
      </c>
      <c r="B184" s="1" t="n">
        <v>43859</v>
      </c>
      <c r="C184" s="1" t="n">
        <v>45852</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5345-2020</t>
        </is>
      </c>
      <c r="B185" s="1" t="n">
        <v>43860</v>
      </c>
      <c r="C185" s="1" t="n">
        <v>45852</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5178-2020</t>
        </is>
      </c>
      <c r="B186" s="1" t="n">
        <v>43860</v>
      </c>
      <c r="C186" s="1" t="n">
        <v>45852</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6045-2020</t>
        </is>
      </c>
      <c r="B187" s="1" t="n">
        <v>43865</v>
      </c>
      <c r="C187" s="1" t="n">
        <v>45852</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6320-2020</t>
        </is>
      </c>
      <c r="B188" s="1" t="n">
        <v>43866</v>
      </c>
      <c r="C188" s="1" t="n">
        <v>45852</v>
      </c>
      <c r="D188" t="inlineStr">
        <is>
          <t>UPPSALA LÄN</t>
        </is>
      </c>
      <c r="E188" t="inlineStr">
        <is>
          <t>ENKÖPING</t>
        </is>
      </c>
      <c r="F188" t="inlineStr">
        <is>
          <t>Övriga statliga verk och myndigheter</t>
        </is>
      </c>
      <c r="G188" t="n">
        <v>1.6</v>
      </c>
      <c r="H188" t="n">
        <v>0</v>
      </c>
      <c r="I188" t="n">
        <v>0</v>
      </c>
      <c r="J188" t="n">
        <v>0</v>
      </c>
      <c r="K188" t="n">
        <v>0</v>
      </c>
      <c r="L188" t="n">
        <v>0</v>
      </c>
      <c r="M188" t="n">
        <v>0</v>
      </c>
      <c r="N188" t="n">
        <v>0</v>
      </c>
      <c r="O188" t="n">
        <v>0</v>
      </c>
      <c r="P188" t="n">
        <v>0</v>
      </c>
      <c r="Q188" t="n">
        <v>0</v>
      </c>
      <c r="R188" s="2" t="inlineStr"/>
    </row>
    <row r="189" ht="15" customHeight="1">
      <c r="A189" t="inlineStr">
        <is>
          <t>A 6345-2020</t>
        </is>
      </c>
      <c r="B189" s="1" t="n">
        <v>43866</v>
      </c>
      <c r="C189" s="1" t="n">
        <v>45852</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6700-2020</t>
        </is>
      </c>
      <c r="B190" s="1" t="n">
        <v>43866</v>
      </c>
      <c r="C190" s="1" t="n">
        <v>45852</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6434-2020</t>
        </is>
      </c>
      <c r="B191" s="1" t="n">
        <v>43866</v>
      </c>
      <c r="C191" s="1" t="n">
        <v>45852</v>
      </c>
      <c r="D191" t="inlineStr">
        <is>
          <t>UPPSALA LÄN</t>
        </is>
      </c>
      <c r="E191" t="inlineStr">
        <is>
          <t>ENKÖPING</t>
        </is>
      </c>
      <c r="G191" t="n">
        <v>8.4</v>
      </c>
      <c r="H191" t="n">
        <v>0</v>
      </c>
      <c r="I191" t="n">
        <v>0</v>
      </c>
      <c r="J191" t="n">
        <v>0</v>
      </c>
      <c r="K191" t="n">
        <v>0</v>
      </c>
      <c r="L191" t="n">
        <v>0</v>
      </c>
      <c r="M191" t="n">
        <v>0</v>
      </c>
      <c r="N191" t="n">
        <v>0</v>
      </c>
      <c r="O191" t="n">
        <v>0</v>
      </c>
      <c r="P191" t="n">
        <v>0</v>
      </c>
      <c r="Q191" t="n">
        <v>0</v>
      </c>
      <c r="R191" s="2" t="inlineStr"/>
    </row>
    <row r="192" ht="15" customHeight="1">
      <c r="A192" t="inlineStr">
        <is>
          <t>A 6990-2020</t>
        </is>
      </c>
      <c r="B192" s="1" t="n">
        <v>43868</v>
      </c>
      <c r="C192" s="1" t="n">
        <v>45852</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8185-2020</t>
        </is>
      </c>
      <c r="B193" s="1" t="n">
        <v>43874</v>
      </c>
      <c r="C193" s="1" t="n">
        <v>45852</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8320-2020</t>
        </is>
      </c>
      <c r="B194" s="1" t="n">
        <v>43875</v>
      </c>
      <c r="C194" s="1" t="n">
        <v>45852</v>
      </c>
      <c r="D194" t="inlineStr">
        <is>
          <t>UPPSALA LÄN</t>
        </is>
      </c>
      <c r="E194" t="inlineStr">
        <is>
          <t>ENKÖPING</t>
        </is>
      </c>
      <c r="G194" t="n">
        <v>6.1</v>
      </c>
      <c r="H194" t="n">
        <v>0</v>
      </c>
      <c r="I194" t="n">
        <v>0</v>
      </c>
      <c r="J194" t="n">
        <v>0</v>
      </c>
      <c r="K194" t="n">
        <v>0</v>
      </c>
      <c r="L194" t="n">
        <v>0</v>
      </c>
      <c r="M194" t="n">
        <v>0</v>
      </c>
      <c r="N194" t="n">
        <v>0</v>
      </c>
      <c r="O194" t="n">
        <v>0</v>
      </c>
      <c r="P194" t="n">
        <v>0</v>
      </c>
      <c r="Q194" t="n">
        <v>0</v>
      </c>
      <c r="R194" s="2" t="inlineStr"/>
    </row>
    <row r="195" ht="15" customHeight="1">
      <c r="A195" t="inlineStr">
        <is>
          <t>A 8344-2020</t>
        </is>
      </c>
      <c r="B195" s="1" t="n">
        <v>43875</v>
      </c>
      <c r="C195" s="1" t="n">
        <v>45852</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8692-2020</t>
        </is>
      </c>
      <c r="B196" s="1" t="n">
        <v>43878</v>
      </c>
      <c r="C196" s="1" t="n">
        <v>45852</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8700-2020</t>
        </is>
      </c>
      <c r="B197" s="1" t="n">
        <v>43878</v>
      </c>
      <c r="C197" s="1" t="n">
        <v>45852</v>
      </c>
      <c r="D197" t="inlineStr">
        <is>
          <t>UPPSALA LÄN</t>
        </is>
      </c>
      <c r="E197" t="inlineStr">
        <is>
          <t>ENKÖPING</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9122-2020</t>
        </is>
      </c>
      <c r="B198" s="1" t="n">
        <v>43879</v>
      </c>
      <c r="C198" s="1" t="n">
        <v>45852</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9351-2020</t>
        </is>
      </c>
      <c r="B199" s="1" t="n">
        <v>43880</v>
      </c>
      <c r="C199" s="1" t="n">
        <v>45852</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9380-2020</t>
        </is>
      </c>
      <c r="B200" s="1" t="n">
        <v>43880</v>
      </c>
      <c r="C200" s="1" t="n">
        <v>45852</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10795-2020</t>
        </is>
      </c>
      <c r="B201" s="1" t="n">
        <v>43888</v>
      </c>
      <c r="C201" s="1" t="n">
        <v>45852</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11060-2020</t>
        </is>
      </c>
      <c r="B202" s="1" t="n">
        <v>43889</v>
      </c>
      <c r="C202" s="1" t="n">
        <v>45852</v>
      </c>
      <c r="D202" t="inlineStr">
        <is>
          <t>UPPSALA LÄN</t>
        </is>
      </c>
      <c r="E202" t="inlineStr">
        <is>
          <t>ENKÖPING</t>
        </is>
      </c>
      <c r="G202" t="n">
        <v>22.7</v>
      </c>
      <c r="H202" t="n">
        <v>0</v>
      </c>
      <c r="I202" t="n">
        <v>0</v>
      </c>
      <c r="J202" t="n">
        <v>0</v>
      </c>
      <c r="K202" t="n">
        <v>0</v>
      </c>
      <c r="L202" t="n">
        <v>0</v>
      </c>
      <c r="M202" t="n">
        <v>0</v>
      </c>
      <c r="N202" t="n">
        <v>0</v>
      </c>
      <c r="O202" t="n">
        <v>0</v>
      </c>
      <c r="P202" t="n">
        <v>0</v>
      </c>
      <c r="Q202" t="n">
        <v>0</v>
      </c>
      <c r="R202" s="2" t="inlineStr"/>
    </row>
    <row r="203" ht="15" customHeight="1">
      <c r="A203" t="inlineStr">
        <is>
          <t>A 11228-2020</t>
        </is>
      </c>
      <c r="B203" s="1" t="n">
        <v>43892</v>
      </c>
      <c r="C203" s="1" t="n">
        <v>45852</v>
      </c>
      <c r="D203" t="inlineStr">
        <is>
          <t>UPPSALA LÄN</t>
        </is>
      </c>
      <c r="E203" t="inlineStr">
        <is>
          <t>ENKÖPING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12272-2020</t>
        </is>
      </c>
      <c r="B204" s="1" t="n">
        <v>43895</v>
      </c>
      <c r="C204" s="1" t="n">
        <v>45852</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16320-2020</t>
        </is>
      </c>
      <c r="B205" s="1" t="n">
        <v>43917</v>
      </c>
      <c r="C205" s="1" t="n">
        <v>45852</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17888-2020</t>
        </is>
      </c>
      <c r="B206" s="1" t="n">
        <v>43924</v>
      </c>
      <c r="C206" s="1" t="n">
        <v>45852</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18101-2020</t>
        </is>
      </c>
      <c r="B207" s="1" t="n">
        <v>43927</v>
      </c>
      <c r="C207" s="1" t="n">
        <v>45852</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18097-2020</t>
        </is>
      </c>
      <c r="B208" s="1" t="n">
        <v>43927</v>
      </c>
      <c r="C208" s="1" t="n">
        <v>45852</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18489-2020</t>
        </is>
      </c>
      <c r="B209" s="1" t="n">
        <v>43929</v>
      </c>
      <c r="C209" s="1" t="n">
        <v>45852</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18486-2020</t>
        </is>
      </c>
      <c r="B210" s="1" t="n">
        <v>43929</v>
      </c>
      <c r="C210" s="1" t="n">
        <v>45852</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19499-2020</t>
        </is>
      </c>
      <c r="B211" s="1" t="n">
        <v>43938</v>
      </c>
      <c r="C211" s="1" t="n">
        <v>45852</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19463-2020</t>
        </is>
      </c>
      <c r="B212" s="1" t="n">
        <v>43938</v>
      </c>
      <c r="C212" s="1" t="n">
        <v>45852</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20286-2020</t>
        </is>
      </c>
      <c r="B213" s="1" t="n">
        <v>43945</v>
      </c>
      <c r="C213" s="1" t="n">
        <v>45852</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20552-2020</t>
        </is>
      </c>
      <c r="B214" s="1" t="n">
        <v>43948</v>
      </c>
      <c r="C214" s="1" t="n">
        <v>45852</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21573-2020</t>
        </is>
      </c>
      <c r="B215" s="1" t="n">
        <v>43956</v>
      </c>
      <c r="C215" s="1" t="n">
        <v>45852</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21651-2020</t>
        </is>
      </c>
      <c r="B216" s="1" t="n">
        <v>43957</v>
      </c>
      <c r="C216" s="1" t="n">
        <v>45852</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21666-2020</t>
        </is>
      </c>
      <c r="B217" s="1" t="n">
        <v>43957</v>
      </c>
      <c r="C217" s="1" t="n">
        <v>45852</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21896-2020</t>
        </is>
      </c>
      <c r="B218" s="1" t="n">
        <v>43958</v>
      </c>
      <c r="C218" s="1" t="n">
        <v>45852</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22772-2020</t>
        </is>
      </c>
      <c r="B219" s="1" t="n">
        <v>43964</v>
      </c>
      <c r="C219" s="1" t="n">
        <v>45852</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22816-2020</t>
        </is>
      </c>
      <c r="B220" s="1" t="n">
        <v>43964</v>
      </c>
      <c r="C220" s="1" t="n">
        <v>45852</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22970-2020</t>
        </is>
      </c>
      <c r="B221" s="1" t="n">
        <v>43965</v>
      </c>
      <c r="C221" s="1" t="n">
        <v>45852</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23782-2020</t>
        </is>
      </c>
      <c r="B222" s="1" t="n">
        <v>43970</v>
      </c>
      <c r="C222" s="1" t="n">
        <v>45852</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23809-2020</t>
        </is>
      </c>
      <c r="B223" s="1" t="n">
        <v>43970</v>
      </c>
      <c r="C223" s="1" t="n">
        <v>45852</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23808-2020</t>
        </is>
      </c>
      <c r="B224" s="1" t="n">
        <v>43970</v>
      </c>
      <c r="C224" s="1" t="n">
        <v>45852</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24476-2020</t>
        </is>
      </c>
      <c r="B225" s="1" t="n">
        <v>43977</v>
      </c>
      <c r="C225" s="1" t="n">
        <v>45852</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24496-2020</t>
        </is>
      </c>
      <c r="B226" s="1" t="n">
        <v>43977</v>
      </c>
      <c r="C226" s="1" t="n">
        <v>45852</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25081-2020</t>
        </is>
      </c>
      <c r="B227" s="1" t="n">
        <v>43979</v>
      </c>
      <c r="C227" s="1" t="n">
        <v>45852</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25895-2020</t>
        </is>
      </c>
      <c r="B228" s="1" t="n">
        <v>43984</v>
      </c>
      <c r="C228" s="1" t="n">
        <v>45852</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26032-2020</t>
        </is>
      </c>
      <c r="B229" s="1" t="n">
        <v>43985</v>
      </c>
      <c r="C229" s="1" t="n">
        <v>45852</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26151-2020</t>
        </is>
      </c>
      <c r="B230" s="1" t="n">
        <v>43985</v>
      </c>
      <c r="C230" s="1" t="n">
        <v>45852</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26860-2020</t>
        </is>
      </c>
      <c r="B231" s="1" t="n">
        <v>43990</v>
      </c>
      <c r="C231" s="1" t="n">
        <v>45852</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28799-2020</t>
        </is>
      </c>
      <c r="B232" s="1" t="n">
        <v>44000</v>
      </c>
      <c r="C232" s="1" t="n">
        <v>45852</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28801-2020</t>
        </is>
      </c>
      <c r="B233" s="1" t="n">
        <v>44000</v>
      </c>
      <c r="C233" s="1" t="n">
        <v>45852</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29934-2020</t>
        </is>
      </c>
      <c r="B234" s="1" t="n">
        <v>44006</v>
      </c>
      <c r="C234" s="1" t="n">
        <v>45852</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29948-2020</t>
        </is>
      </c>
      <c r="B235" s="1" t="n">
        <v>44006</v>
      </c>
      <c r="C235" s="1" t="n">
        <v>45852</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30280-2020</t>
        </is>
      </c>
      <c r="B236" s="1" t="n">
        <v>44007</v>
      </c>
      <c r="C236" s="1" t="n">
        <v>45852</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30571-2020</t>
        </is>
      </c>
      <c r="B237" s="1" t="n">
        <v>44008</v>
      </c>
      <c r="C237" s="1" t="n">
        <v>45852</v>
      </c>
      <c r="D237" t="inlineStr">
        <is>
          <t>UPPSALA LÄN</t>
        </is>
      </c>
      <c r="E237" t="inlineStr">
        <is>
          <t>ENKÖPING</t>
        </is>
      </c>
      <c r="G237" t="n">
        <v>8.9</v>
      </c>
      <c r="H237" t="n">
        <v>0</v>
      </c>
      <c r="I237" t="n">
        <v>0</v>
      </c>
      <c r="J237" t="n">
        <v>0</v>
      </c>
      <c r="K237" t="n">
        <v>0</v>
      </c>
      <c r="L237" t="n">
        <v>0</v>
      </c>
      <c r="M237" t="n">
        <v>0</v>
      </c>
      <c r="N237" t="n">
        <v>0</v>
      </c>
      <c r="O237" t="n">
        <v>0</v>
      </c>
      <c r="P237" t="n">
        <v>0</v>
      </c>
      <c r="Q237" t="n">
        <v>0</v>
      </c>
      <c r="R237" s="2" t="inlineStr"/>
    </row>
    <row r="238" ht="15" customHeight="1">
      <c r="A238" t="inlineStr">
        <is>
          <t>A 31472-2020</t>
        </is>
      </c>
      <c r="B238" s="1" t="n">
        <v>44013</v>
      </c>
      <c r="C238" s="1" t="n">
        <v>45852</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31473-2020</t>
        </is>
      </c>
      <c r="B239" s="1" t="n">
        <v>44013</v>
      </c>
      <c r="C239" s="1" t="n">
        <v>45852</v>
      </c>
      <c r="D239" t="inlineStr">
        <is>
          <t>UPPSALA LÄN</t>
        </is>
      </c>
      <c r="E239" t="inlineStr">
        <is>
          <t>ENKÖPING</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32209-2020</t>
        </is>
      </c>
      <c r="B240" s="1" t="n">
        <v>44015</v>
      </c>
      <c r="C240" s="1" t="n">
        <v>45852</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32047-2020</t>
        </is>
      </c>
      <c r="B241" s="1" t="n">
        <v>44015</v>
      </c>
      <c r="C241" s="1" t="n">
        <v>45852</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32454-2020</t>
        </is>
      </c>
      <c r="B242" s="1" t="n">
        <v>44018</v>
      </c>
      <c r="C242" s="1" t="n">
        <v>45852</v>
      </c>
      <c r="D242" t="inlineStr">
        <is>
          <t>UPPSALA LÄN</t>
        </is>
      </c>
      <c r="E242" t="inlineStr">
        <is>
          <t>ENKÖPING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32497-2020</t>
        </is>
      </c>
      <c r="B243" s="1" t="n">
        <v>44018</v>
      </c>
      <c r="C243" s="1" t="n">
        <v>45852</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33585-2020</t>
        </is>
      </c>
      <c r="B244" s="1" t="n">
        <v>44022</v>
      </c>
      <c r="C244" s="1" t="n">
        <v>45852</v>
      </c>
      <c r="D244" t="inlineStr">
        <is>
          <t>UPPSALA LÄN</t>
        </is>
      </c>
      <c r="E244" t="inlineStr">
        <is>
          <t>ENKÖPING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37738-2020</t>
        </is>
      </c>
      <c r="B245" s="1" t="n">
        <v>44056</v>
      </c>
      <c r="C245" s="1" t="n">
        <v>45852</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39935-2020</t>
        </is>
      </c>
      <c r="B246" s="1" t="n">
        <v>44067</v>
      </c>
      <c r="C246" s="1" t="n">
        <v>45852</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45378-2020</t>
        </is>
      </c>
      <c r="B247" s="1" t="n">
        <v>44089</v>
      </c>
      <c r="C247" s="1" t="n">
        <v>45852</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46593-2020</t>
        </is>
      </c>
      <c r="B248" s="1" t="n">
        <v>44095</v>
      </c>
      <c r="C248" s="1" t="n">
        <v>45852</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48362-2020</t>
        </is>
      </c>
      <c r="B249" s="1" t="n">
        <v>44102</v>
      </c>
      <c r="C249" s="1" t="n">
        <v>45852</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48484-2020</t>
        </is>
      </c>
      <c r="B250" s="1" t="n">
        <v>44103</v>
      </c>
      <c r="C250" s="1" t="n">
        <v>45852</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51400-2020</t>
        </is>
      </c>
      <c r="B251" s="1" t="n">
        <v>44106</v>
      </c>
      <c r="C251" s="1" t="n">
        <v>45852</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45852</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51091-2020</t>
        </is>
      </c>
      <c r="B253" s="1" t="n">
        <v>44112</v>
      </c>
      <c r="C253" s="1" t="n">
        <v>45852</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52308-2020</t>
        </is>
      </c>
      <c r="B254" s="1" t="n">
        <v>44117</v>
      </c>
      <c r="C254" s="1" t="n">
        <v>45852</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52102-2020</t>
        </is>
      </c>
      <c r="B255" s="1" t="n">
        <v>44117</v>
      </c>
      <c r="C255" s="1" t="n">
        <v>45852</v>
      </c>
      <c r="D255" t="inlineStr">
        <is>
          <t>UPPSALA LÄN</t>
        </is>
      </c>
      <c r="E255" t="inlineStr">
        <is>
          <t>ENKÖPING</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52169-2020</t>
        </is>
      </c>
      <c r="B256" s="1" t="n">
        <v>44117</v>
      </c>
      <c r="C256" s="1" t="n">
        <v>45852</v>
      </c>
      <c r="D256" t="inlineStr">
        <is>
          <t>UPPSALA LÄN</t>
        </is>
      </c>
      <c r="E256" t="inlineStr">
        <is>
          <t>ENKÖPING</t>
        </is>
      </c>
      <c r="F256" t="inlineStr">
        <is>
          <t>Allmännings- och besparingsskogar</t>
        </is>
      </c>
      <c r="G256" t="n">
        <v>1.5</v>
      </c>
      <c r="H256" t="n">
        <v>0</v>
      </c>
      <c r="I256" t="n">
        <v>0</v>
      </c>
      <c r="J256" t="n">
        <v>0</v>
      </c>
      <c r="K256" t="n">
        <v>0</v>
      </c>
      <c r="L256" t="n">
        <v>0</v>
      </c>
      <c r="M256" t="n">
        <v>0</v>
      </c>
      <c r="N256" t="n">
        <v>0</v>
      </c>
      <c r="O256" t="n">
        <v>0</v>
      </c>
      <c r="P256" t="n">
        <v>0</v>
      </c>
      <c r="Q256" t="n">
        <v>0</v>
      </c>
      <c r="R256" s="2" t="inlineStr"/>
    </row>
    <row r="257" ht="15" customHeight="1">
      <c r="A257" t="inlineStr">
        <is>
          <t>A 52223-2020</t>
        </is>
      </c>
      <c r="B257" s="1" t="n">
        <v>44117</v>
      </c>
      <c r="C257" s="1" t="n">
        <v>45852</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52464-2020</t>
        </is>
      </c>
      <c r="B258" s="1" t="n">
        <v>44118</v>
      </c>
      <c r="C258" s="1" t="n">
        <v>45852</v>
      </c>
      <c r="D258" t="inlineStr">
        <is>
          <t>UPPSALA LÄN</t>
        </is>
      </c>
      <c r="E258" t="inlineStr">
        <is>
          <t>ENKÖPING</t>
        </is>
      </c>
      <c r="G258" t="n">
        <v>4.6</v>
      </c>
      <c r="H258" t="n">
        <v>0</v>
      </c>
      <c r="I258" t="n">
        <v>0</v>
      </c>
      <c r="J258" t="n">
        <v>0</v>
      </c>
      <c r="K258" t="n">
        <v>0</v>
      </c>
      <c r="L258" t="n">
        <v>0</v>
      </c>
      <c r="M258" t="n">
        <v>0</v>
      </c>
      <c r="N258" t="n">
        <v>0</v>
      </c>
      <c r="O258" t="n">
        <v>0</v>
      </c>
      <c r="P258" t="n">
        <v>0</v>
      </c>
      <c r="Q258" t="n">
        <v>0</v>
      </c>
      <c r="R258" s="2" t="inlineStr"/>
    </row>
    <row r="259" ht="15" customHeight="1">
      <c r="A259" t="inlineStr">
        <is>
          <t>A 53149-2020</t>
        </is>
      </c>
      <c r="B259" s="1" t="n">
        <v>44120</v>
      </c>
      <c r="C259" s="1" t="n">
        <v>45852</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53338-2020</t>
        </is>
      </c>
      <c r="B260" s="1" t="n">
        <v>44123</v>
      </c>
      <c r="C260" s="1" t="n">
        <v>45852</v>
      </c>
      <c r="D260" t="inlineStr">
        <is>
          <t>UPPSALA LÄN</t>
        </is>
      </c>
      <c r="E260" t="inlineStr">
        <is>
          <t>ENKÖPING</t>
        </is>
      </c>
      <c r="G260" t="n">
        <v>12.1</v>
      </c>
      <c r="H260" t="n">
        <v>0</v>
      </c>
      <c r="I260" t="n">
        <v>0</v>
      </c>
      <c r="J260" t="n">
        <v>0</v>
      </c>
      <c r="K260" t="n">
        <v>0</v>
      </c>
      <c r="L260" t="n">
        <v>0</v>
      </c>
      <c r="M260" t="n">
        <v>0</v>
      </c>
      <c r="N260" t="n">
        <v>0</v>
      </c>
      <c r="O260" t="n">
        <v>0</v>
      </c>
      <c r="P260" t="n">
        <v>0</v>
      </c>
      <c r="Q260" t="n">
        <v>0</v>
      </c>
      <c r="R260" s="2" t="inlineStr"/>
    </row>
    <row r="261" ht="15" customHeight="1">
      <c r="A261" t="inlineStr">
        <is>
          <t>A 53352-2020</t>
        </is>
      </c>
      <c r="B261" s="1" t="n">
        <v>44123</v>
      </c>
      <c r="C261" s="1" t="n">
        <v>45852</v>
      </c>
      <c r="D261" t="inlineStr">
        <is>
          <t>UPPSALA LÄN</t>
        </is>
      </c>
      <c r="E261" t="inlineStr">
        <is>
          <t>ENKÖPING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53343-2020</t>
        </is>
      </c>
      <c r="B262" s="1" t="n">
        <v>44123</v>
      </c>
      <c r="C262" s="1" t="n">
        <v>45852</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53337-2020</t>
        </is>
      </c>
      <c r="B263" s="1" t="n">
        <v>44123</v>
      </c>
      <c r="C263" s="1" t="n">
        <v>45852</v>
      </c>
      <c r="D263" t="inlineStr">
        <is>
          <t>UPPSALA LÄN</t>
        </is>
      </c>
      <c r="E263" t="inlineStr">
        <is>
          <t>ENKÖPING</t>
        </is>
      </c>
      <c r="G263" t="n">
        <v>6.4</v>
      </c>
      <c r="H263" t="n">
        <v>0</v>
      </c>
      <c r="I263" t="n">
        <v>0</v>
      </c>
      <c r="J263" t="n">
        <v>0</v>
      </c>
      <c r="K263" t="n">
        <v>0</v>
      </c>
      <c r="L263" t="n">
        <v>0</v>
      </c>
      <c r="M263" t="n">
        <v>0</v>
      </c>
      <c r="N263" t="n">
        <v>0</v>
      </c>
      <c r="O263" t="n">
        <v>0</v>
      </c>
      <c r="P263" t="n">
        <v>0</v>
      </c>
      <c r="Q263" t="n">
        <v>0</v>
      </c>
      <c r="R263" s="2" t="inlineStr"/>
    </row>
    <row r="264" ht="15" customHeight="1">
      <c r="A264" t="inlineStr">
        <is>
          <t>A 53344-2020</t>
        </is>
      </c>
      <c r="B264" s="1" t="n">
        <v>44123</v>
      </c>
      <c r="C264" s="1" t="n">
        <v>45852</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55051-2020</t>
        </is>
      </c>
      <c r="B265" s="1" t="n">
        <v>44130</v>
      </c>
      <c r="C265" s="1" t="n">
        <v>45852</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56919-2020</t>
        </is>
      </c>
      <c r="B266" s="1" t="n">
        <v>44138</v>
      </c>
      <c r="C266" s="1" t="n">
        <v>45852</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57802-2020</t>
        </is>
      </c>
      <c r="B267" s="1" t="n">
        <v>44141</v>
      </c>
      <c r="C267" s="1" t="n">
        <v>45852</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58062-2020</t>
        </is>
      </c>
      <c r="B268" s="1" t="n">
        <v>44144</v>
      </c>
      <c r="C268" s="1" t="n">
        <v>45852</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45852</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58798-2020</t>
        </is>
      </c>
      <c r="B270" s="1" t="n">
        <v>44146</v>
      </c>
      <c r="C270" s="1" t="n">
        <v>45852</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59132-2020</t>
        </is>
      </c>
      <c r="B271" s="1" t="n">
        <v>44147</v>
      </c>
      <c r="C271" s="1" t="n">
        <v>45852</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59441-2020</t>
        </is>
      </c>
      <c r="B272" s="1" t="n">
        <v>44148</v>
      </c>
      <c r="C272" s="1" t="n">
        <v>45852</v>
      </c>
      <c r="D272" t="inlineStr">
        <is>
          <t>UPPSALA LÄN</t>
        </is>
      </c>
      <c r="E272" t="inlineStr">
        <is>
          <t>ENKÖPING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59428-2020</t>
        </is>
      </c>
      <c r="B273" s="1" t="n">
        <v>44148</v>
      </c>
      <c r="C273" s="1" t="n">
        <v>45852</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60138-2020</t>
        </is>
      </c>
      <c r="B274" s="1" t="n">
        <v>44151</v>
      </c>
      <c r="C274" s="1" t="n">
        <v>45852</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61711-2020</t>
        </is>
      </c>
      <c r="B275" s="1" t="n">
        <v>44158</v>
      </c>
      <c r="C275" s="1" t="n">
        <v>45852</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63715-2020</t>
        </is>
      </c>
      <c r="B276" s="1" t="n">
        <v>44166</v>
      </c>
      <c r="C276" s="1" t="n">
        <v>45852</v>
      </c>
      <c r="D276" t="inlineStr">
        <is>
          <t>UPPSALA LÄN</t>
        </is>
      </c>
      <c r="E276" t="inlineStr">
        <is>
          <t>ENKÖPING</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66517-2020</t>
        </is>
      </c>
      <c r="B277" s="1" t="n">
        <v>44178</v>
      </c>
      <c r="C277" s="1" t="n">
        <v>45852</v>
      </c>
      <c r="D277" t="inlineStr">
        <is>
          <t>UPPSALA LÄN</t>
        </is>
      </c>
      <c r="E277" t="inlineStr">
        <is>
          <t>ENKÖPING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67765-2020</t>
        </is>
      </c>
      <c r="B278" s="1" t="n">
        <v>44182</v>
      </c>
      <c r="C278" s="1" t="n">
        <v>45852</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67713-2020</t>
        </is>
      </c>
      <c r="B279" s="1" t="n">
        <v>44182</v>
      </c>
      <c r="C279" s="1" t="n">
        <v>45852</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69567-2020</t>
        </is>
      </c>
      <c r="B280" s="1" t="n">
        <v>44194</v>
      </c>
      <c r="C280" s="1" t="n">
        <v>45852</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3903-2021</t>
        </is>
      </c>
      <c r="B281" s="1" t="n">
        <v>44217</v>
      </c>
      <c r="C281" s="1" t="n">
        <v>45852</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4203-2021</t>
        </is>
      </c>
      <c r="B282" s="1" t="n">
        <v>44223</v>
      </c>
      <c r="C282" s="1" t="n">
        <v>45852</v>
      </c>
      <c r="D282" t="inlineStr">
        <is>
          <t>UPPSALA LÄN</t>
        </is>
      </c>
      <c r="E282" t="inlineStr">
        <is>
          <t>ENKÖPING</t>
        </is>
      </c>
      <c r="G282" t="n">
        <v>11.6</v>
      </c>
      <c r="H282" t="n">
        <v>0</v>
      </c>
      <c r="I282" t="n">
        <v>0</v>
      </c>
      <c r="J282" t="n">
        <v>0</v>
      </c>
      <c r="K282" t="n">
        <v>0</v>
      </c>
      <c r="L282" t="n">
        <v>0</v>
      </c>
      <c r="M282" t="n">
        <v>0</v>
      </c>
      <c r="N282" t="n">
        <v>0</v>
      </c>
      <c r="O282" t="n">
        <v>0</v>
      </c>
      <c r="P282" t="n">
        <v>0</v>
      </c>
      <c r="Q282" t="n">
        <v>0</v>
      </c>
      <c r="R282" s="2" t="inlineStr"/>
    </row>
    <row r="283" ht="15" customHeight="1">
      <c r="A283" t="inlineStr">
        <is>
          <t>A 4775-2021</t>
        </is>
      </c>
      <c r="B283" s="1" t="n">
        <v>44225</v>
      </c>
      <c r="C283" s="1" t="n">
        <v>45852</v>
      </c>
      <c r="D283" t="inlineStr">
        <is>
          <t>UPPSALA LÄN</t>
        </is>
      </c>
      <c r="E283" t="inlineStr">
        <is>
          <t>ENKÖPING</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6157-2021</t>
        </is>
      </c>
      <c r="B284" s="1" t="n">
        <v>44232</v>
      </c>
      <c r="C284" s="1" t="n">
        <v>45852</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6147-2021</t>
        </is>
      </c>
      <c r="B285" s="1" t="n">
        <v>44232</v>
      </c>
      <c r="C285" s="1" t="n">
        <v>45852</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45852</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8306-2021</t>
        </is>
      </c>
      <c r="B287" s="1" t="n">
        <v>44244</v>
      </c>
      <c r="C287" s="1" t="n">
        <v>45852</v>
      </c>
      <c r="D287" t="inlineStr">
        <is>
          <t>UPPSALA LÄN</t>
        </is>
      </c>
      <c r="E287" t="inlineStr">
        <is>
          <t>ENKÖPING</t>
        </is>
      </c>
      <c r="G287" t="n">
        <v>14.9</v>
      </c>
      <c r="H287" t="n">
        <v>0</v>
      </c>
      <c r="I287" t="n">
        <v>0</v>
      </c>
      <c r="J287" t="n">
        <v>0</v>
      </c>
      <c r="K287" t="n">
        <v>0</v>
      </c>
      <c r="L287" t="n">
        <v>0</v>
      </c>
      <c r="M287" t="n">
        <v>0</v>
      </c>
      <c r="N287" t="n">
        <v>0</v>
      </c>
      <c r="O287" t="n">
        <v>0</v>
      </c>
      <c r="P287" t="n">
        <v>0</v>
      </c>
      <c r="Q287" t="n">
        <v>0</v>
      </c>
      <c r="R287" s="2" t="inlineStr"/>
    </row>
    <row r="288" ht="15" customHeight="1">
      <c r="A288" t="inlineStr">
        <is>
          <t>A 10989-2021</t>
        </is>
      </c>
      <c r="B288" s="1" t="n">
        <v>44260</v>
      </c>
      <c r="C288" s="1" t="n">
        <v>45852</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11688-2021</t>
        </is>
      </c>
      <c r="B289" s="1" t="n">
        <v>44264</v>
      </c>
      <c r="C289" s="1" t="n">
        <v>45852</v>
      </c>
      <c r="D289" t="inlineStr">
        <is>
          <t>UPPSALA LÄN</t>
        </is>
      </c>
      <c r="E289" t="inlineStr">
        <is>
          <t>ENKÖPING</t>
        </is>
      </c>
      <c r="G289" t="n">
        <v>4.7</v>
      </c>
      <c r="H289" t="n">
        <v>0</v>
      </c>
      <c r="I289" t="n">
        <v>0</v>
      </c>
      <c r="J289" t="n">
        <v>0</v>
      </c>
      <c r="K289" t="n">
        <v>0</v>
      </c>
      <c r="L289" t="n">
        <v>0</v>
      </c>
      <c r="M289" t="n">
        <v>0</v>
      </c>
      <c r="N289" t="n">
        <v>0</v>
      </c>
      <c r="O289" t="n">
        <v>0</v>
      </c>
      <c r="P289" t="n">
        <v>0</v>
      </c>
      <c r="Q289" t="n">
        <v>0</v>
      </c>
      <c r="R289" s="2" t="inlineStr"/>
    </row>
    <row r="290" ht="15" customHeight="1">
      <c r="A290" t="inlineStr">
        <is>
          <t>A 12434-2021</t>
        </is>
      </c>
      <c r="B290" s="1" t="n">
        <v>44267</v>
      </c>
      <c r="C290" s="1" t="n">
        <v>45852</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12538-2021</t>
        </is>
      </c>
      <c r="B291" s="1" t="n">
        <v>44269</v>
      </c>
      <c r="C291" s="1" t="n">
        <v>45852</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v>
      </c>
      <c r="C292" s="1" t="n">
        <v>45852</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12729-2021</t>
        </is>
      </c>
      <c r="B293" s="1" t="n">
        <v>44270</v>
      </c>
      <c r="C293" s="1" t="n">
        <v>45852</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12727-2021</t>
        </is>
      </c>
      <c r="B294" s="1" t="n">
        <v>44270</v>
      </c>
      <c r="C294" s="1" t="n">
        <v>45852</v>
      </c>
      <c r="D294" t="inlineStr">
        <is>
          <t>UPPSALA LÄN</t>
        </is>
      </c>
      <c r="E294" t="inlineStr">
        <is>
          <t>ENKÖPING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12732-2021</t>
        </is>
      </c>
      <c r="B295" s="1" t="n">
        <v>44270</v>
      </c>
      <c r="C295" s="1" t="n">
        <v>45852</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13201-2021</t>
        </is>
      </c>
      <c r="B296" s="1" t="n">
        <v>44272</v>
      </c>
      <c r="C296" s="1" t="n">
        <v>45852</v>
      </c>
      <c r="D296" t="inlineStr">
        <is>
          <t>UPPSALA LÄN</t>
        </is>
      </c>
      <c r="E296" t="inlineStr">
        <is>
          <t>ENKÖPING</t>
        </is>
      </c>
      <c r="G296" t="n">
        <v>0.1</v>
      </c>
      <c r="H296" t="n">
        <v>0</v>
      </c>
      <c r="I296" t="n">
        <v>0</v>
      </c>
      <c r="J296" t="n">
        <v>0</v>
      </c>
      <c r="K296" t="n">
        <v>0</v>
      </c>
      <c r="L296" t="n">
        <v>0</v>
      </c>
      <c r="M296" t="n">
        <v>0</v>
      </c>
      <c r="N296" t="n">
        <v>0</v>
      </c>
      <c r="O296" t="n">
        <v>0</v>
      </c>
      <c r="P296" t="n">
        <v>0</v>
      </c>
      <c r="Q296" t="n">
        <v>0</v>
      </c>
      <c r="R296" s="2" t="inlineStr"/>
    </row>
    <row r="297" ht="15" customHeight="1">
      <c r="A297" t="inlineStr">
        <is>
          <t>A 13813-2021</t>
        </is>
      </c>
      <c r="B297" s="1" t="n">
        <v>44276</v>
      </c>
      <c r="C297" s="1" t="n">
        <v>45852</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45852</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14840-2021</t>
        </is>
      </c>
      <c r="B299" s="1" t="n">
        <v>44280</v>
      </c>
      <c r="C299" s="1" t="n">
        <v>45852</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14841-2021</t>
        </is>
      </c>
      <c r="B300" s="1" t="n">
        <v>44280</v>
      </c>
      <c r="C300" s="1" t="n">
        <v>45852</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14839-2021</t>
        </is>
      </c>
      <c r="B301" s="1" t="n">
        <v>44280</v>
      </c>
      <c r="C301" s="1" t="n">
        <v>45852</v>
      </c>
      <c r="D301" t="inlineStr">
        <is>
          <t>UPPSALA LÄN</t>
        </is>
      </c>
      <c r="E301" t="inlineStr">
        <is>
          <t>ENKÖPING</t>
        </is>
      </c>
      <c r="G301" t="n">
        <v>11.4</v>
      </c>
      <c r="H301" t="n">
        <v>0</v>
      </c>
      <c r="I301" t="n">
        <v>0</v>
      </c>
      <c r="J301" t="n">
        <v>0</v>
      </c>
      <c r="K301" t="n">
        <v>0</v>
      </c>
      <c r="L301" t="n">
        <v>0</v>
      </c>
      <c r="M301" t="n">
        <v>0</v>
      </c>
      <c r="N301" t="n">
        <v>0</v>
      </c>
      <c r="O301" t="n">
        <v>0</v>
      </c>
      <c r="P301" t="n">
        <v>0</v>
      </c>
      <c r="Q301" t="n">
        <v>0</v>
      </c>
      <c r="R301" s="2" t="inlineStr"/>
    </row>
    <row r="302" ht="15" customHeight="1">
      <c r="A302" t="inlineStr">
        <is>
          <t>A 15298-2021</t>
        </is>
      </c>
      <c r="B302" s="1" t="n">
        <v>44284</v>
      </c>
      <c r="C302" s="1" t="n">
        <v>45852</v>
      </c>
      <c r="D302" t="inlineStr">
        <is>
          <t>UPPSALA LÄN</t>
        </is>
      </c>
      <c r="E302" t="inlineStr">
        <is>
          <t>ENKÖPING</t>
        </is>
      </c>
      <c r="G302" t="n">
        <v>6</v>
      </c>
      <c r="H302" t="n">
        <v>0</v>
      </c>
      <c r="I302" t="n">
        <v>0</v>
      </c>
      <c r="J302" t="n">
        <v>0</v>
      </c>
      <c r="K302" t="n">
        <v>0</v>
      </c>
      <c r="L302" t="n">
        <v>0</v>
      </c>
      <c r="M302" t="n">
        <v>0</v>
      </c>
      <c r="N302" t="n">
        <v>0</v>
      </c>
      <c r="O302" t="n">
        <v>0</v>
      </c>
      <c r="P302" t="n">
        <v>0</v>
      </c>
      <c r="Q302" t="n">
        <v>0</v>
      </c>
      <c r="R302" s="2" t="inlineStr"/>
    </row>
    <row r="303" ht="15" customHeight="1">
      <c r="A303" t="inlineStr">
        <is>
          <t>A 15997-2021</t>
        </is>
      </c>
      <c r="B303" s="1" t="n">
        <v>44287</v>
      </c>
      <c r="C303" s="1" t="n">
        <v>45852</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16309-2021</t>
        </is>
      </c>
      <c r="B304" s="1" t="n">
        <v>44292</v>
      </c>
      <c r="C304" s="1" t="n">
        <v>45852</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16498-2021</t>
        </is>
      </c>
      <c r="B305" s="1" t="n">
        <v>44293</v>
      </c>
      <c r="C305" s="1" t="n">
        <v>45852</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16683-2021</t>
        </is>
      </c>
      <c r="B306" s="1" t="n">
        <v>44294</v>
      </c>
      <c r="C306" s="1" t="n">
        <v>45852</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17264-2021</t>
        </is>
      </c>
      <c r="B307" s="1" t="n">
        <v>44298</v>
      </c>
      <c r="C307" s="1" t="n">
        <v>45852</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17268-2021</t>
        </is>
      </c>
      <c r="B308" s="1" t="n">
        <v>44298</v>
      </c>
      <c r="C308" s="1" t="n">
        <v>45852</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18328-2021</t>
        </is>
      </c>
      <c r="B309" s="1" t="n">
        <v>44305</v>
      </c>
      <c r="C309" s="1" t="n">
        <v>45852</v>
      </c>
      <c r="D309" t="inlineStr">
        <is>
          <t>UPPSALA LÄN</t>
        </is>
      </c>
      <c r="E309" t="inlineStr">
        <is>
          <t>ENKÖPING</t>
        </is>
      </c>
      <c r="G309" t="n">
        <v>9.4</v>
      </c>
      <c r="H309" t="n">
        <v>0</v>
      </c>
      <c r="I309" t="n">
        <v>0</v>
      </c>
      <c r="J309" t="n">
        <v>0</v>
      </c>
      <c r="K309" t="n">
        <v>0</v>
      </c>
      <c r="L309" t="n">
        <v>0</v>
      </c>
      <c r="M309" t="n">
        <v>0</v>
      </c>
      <c r="N309" t="n">
        <v>0</v>
      </c>
      <c r="O309" t="n">
        <v>0</v>
      </c>
      <c r="P309" t="n">
        <v>0</v>
      </c>
      <c r="Q309" t="n">
        <v>0</v>
      </c>
      <c r="R309" s="2" t="inlineStr"/>
    </row>
    <row r="310" ht="15" customHeight="1">
      <c r="A310" t="inlineStr">
        <is>
          <t>A 18584-2021</t>
        </is>
      </c>
      <c r="B310" s="1" t="n">
        <v>44306</v>
      </c>
      <c r="C310" s="1" t="n">
        <v>45852</v>
      </c>
      <c r="D310" t="inlineStr">
        <is>
          <t>UPPSALA LÄN</t>
        </is>
      </c>
      <c r="E310" t="inlineStr">
        <is>
          <t>ENKÖPING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45852</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45852</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19630-2021</t>
        </is>
      </c>
      <c r="B313" s="1" t="n">
        <v>44312</v>
      </c>
      <c r="C313" s="1" t="n">
        <v>45852</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20067-2021</t>
        </is>
      </c>
      <c r="B314" s="1" t="n">
        <v>44314</v>
      </c>
      <c r="C314" s="1" t="n">
        <v>45852</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22057-2021</t>
        </is>
      </c>
      <c r="B315" s="1" t="n">
        <v>44323</v>
      </c>
      <c r="C315" s="1" t="n">
        <v>45852</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22058-2021</t>
        </is>
      </c>
      <c r="B316" s="1" t="n">
        <v>44323</v>
      </c>
      <c r="C316" s="1" t="n">
        <v>45852</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24399-2021</t>
        </is>
      </c>
      <c r="B317" s="1" t="n">
        <v>44337</v>
      </c>
      <c r="C317" s="1" t="n">
        <v>45852</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v>
      </c>
      <c r="C318" s="1" t="n">
        <v>45852</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27676-2021</t>
        </is>
      </c>
      <c r="B319" s="1" t="n">
        <v>44353</v>
      </c>
      <c r="C319" s="1" t="n">
        <v>45852</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28368-2021</t>
        </is>
      </c>
      <c r="B320" s="1" t="n">
        <v>44356</v>
      </c>
      <c r="C320" s="1" t="n">
        <v>45852</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28795-2021</t>
        </is>
      </c>
      <c r="B321" s="1" t="n">
        <v>44357</v>
      </c>
      <c r="C321" s="1" t="n">
        <v>45852</v>
      </c>
      <c r="D321" t="inlineStr">
        <is>
          <t>UPPSALA LÄN</t>
        </is>
      </c>
      <c r="E321" t="inlineStr">
        <is>
          <t>ENKÖPING</t>
        </is>
      </c>
      <c r="F321" t="inlineStr">
        <is>
          <t>Allmännings- och besparingsskogar</t>
        </is>
      </c>
      <c r="G321" t="n">
        <v>2.8</v>
      </c>
      <c r="H321" t="n">
        <v>0</v>
      </c>
      <c r="I321" t="n">
        <v>0</v>
      </c>
      <c r="J321" t="n">
        <v>0</v>
      </c>
      <c r="K321" t="n">
        <v>0</v>
      </c>
      <c r="L321" t="n">
        <v>0</v>
      </c>
      <c r="M321" t="n">
        <v>0</v>
      </c>
      <c r="N321" t="n">
        <v>0</v>
      </c>
      <c r="O321" t="n">
        <v>0</v>
      </c>
      <c r="P321" t="n">
        <v>0</v>
      </c>
      <c r="Q321" t="n">
        <v>0</v>
      </c>
      <c r="R321" s="2" t="inlineStr"/>
    </row>
    <row r="322" ht="15" customHeight="1">
      <c r="A322" t="inlineStr">
        <is>
          <t>A 29983-2021</t>
        </is>
      </c>
      <c r="B322" s="1" t="n">
        <v>44363</v>
      </c>
      <c r="C322" s="1" t="n">
        <v>45852</v>
      </c>
      <c r="D322" t="inlineStr">
        <is>
          <t>UPPSALA LÄN</t>
        </is>
      </c>
      <c r="E322" t="inlineStr">
        <is>
          <t>ENKÖPING</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30514-2021</t>
        </is>
      </c>
      <c r="B323" s="1" t="n">
        <v>44364</v>
      </c>
      <c r="C323" s="1" t="n">
        <v>45852</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31112-2021</t>
        </is>
      </c>
      <c r="B324" s="1" t="n">
        <v>44368</v>
      </c>
      <c r="C324" s="1" t="n">
        <v>45852</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31965-2021</t>
        </is>
      </c>
      <c r="B325" s="1" t="n">
        <v>44370</v>
      </c>
      <c r="C325" s="1" t="n">
        <v>45852</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34124-2021</t>
        </is>
      </c>
      <c r="B326" s="1" t="n">
        <v>44379</v>
      </c>
      <c r="C326" s="1" t="n">
        <v>45852</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35645-2021</t>
        </is>
      </c>
      <c r="B327" s="1" t="n">
        <v>44386</v>
      </c>
      <c r="C327" s="1" t="n">
        <v>45852</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35643-2021</t>
        </is>
      </c>
      <c r="B328" s="1" t="n">
        <v>44386</v>
      </c>
      <c r="C328" s="1" t="n">
        <v>45852</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35638-2021</t>
        </is>
      </c>
      <c r="B329" s="1" t="n">
        <v>44386</v>
      </c>
      <c r="C329" s="1" t="n">
        <v>45852</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45852</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35641-2021</t>
        </is>
      </c>
      <c r="B331" s="1" t="n">
        <v>44386</v>
      </c>
      <c r="C331" s="1" t="n">
        <v>45852</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35632-2021</t>
        </is>
      </c>
      <c r="B332" s="1" t="n">
        <v>44386</v>
      </c>
      <c r="C332" s="1" t="n">
        <v>45852</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37170-2021</t>
        </is>
      </c>
      <c r="B333" s="1" t="n">
        <v>44395</v>
      </c>
      <c r="C333" s="1" t="n">
        <v>45852</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37563-2021</t>
        </is>
      </c>
      <c r="B334" s="1" t="n">
        <v>44399</v>
      </c>
      <c r="C334" s="1" t="n">
        <v>45852</v>
      </c>
      <c r="D334" t="inlineStr">
        <is>
          <t>UPPSALA LÄN</t>
        </is>
      </c>
      <c r="E334" t="inlineStr">
        <is>
          <t>ENKÖPING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37570-2021</t>
        </is>
      </c>
      <c r="B335" s="1" t="n">
        <v>44399</v>
      </c>
      <c r="C335" s="1" t="n">
        <v>45852</v>
      </c>
      <c r="D335" t="inlineStr">
        <is>
          <t>UPPSALA LÄN</t>
        </is>
      </c>
      <c r="E335" t="inlineStr">
        <is>
          <t>ENKÖPING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37573-2021</t>
        </is>
      </c>
      <c r="B336" s="1" t="n">
        <v>44399</v>
      </c>
      <c r="C336" s="1" t="n">
        <v>45852</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37568-2021</t>
        </is>
      </c>
      <c r="B337" s="1" t="n">
        <v>44399</v>
      </c>
      <c r="C337" s="1" t="n">
        <v>45852</v>
      </c>
      <c r="D337" t="inlineStr">
        <is>
          <t>UPPSALA LÄN</t>
        </is>
      </c>
      <c r="E337" t="inlineStr">
        <is>
          <t>ENKÖPING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37564-2021</t>
        </is>
      </c>
      <c r="B338" s="1" t="n">
        <v>44399</v>
      </c>
      <c r="C338" s="1" t="n">
        <v>45852</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37571-2021</t>
        </is>
      </c>
      <c r="B339" s="1" t="n">
        <v>44399</v>
      </c>
      <c r="C339" s="1" t="n">
        <v>45852</v>
      </c>
      <c r="D339" t="inlineStr">
        <is>
          <t>UPPSALA LÄN</t>
        </is>
      </c>
      <c r="E339" t="inlineStr">
        <is>
          <t>ENKÖPING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42021-2021</t>
        </is>
      </c>
      <c r="B340" s="1" t="n">
        <v>44426</v>
      </c>
      <c r="C340" s="1" t="n">
        <v>45852</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42029-2021</t>
        </is>
      </c>
      <c r="B341" s="1" t="n">
        <v>44426</v>
      </c>
      <c r="C341" s="1" t="n">
        <v>45852</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43016-2021</t>
        </is>
      </c>
      <c r="B342" s="1" t="n">
        <v>44431</v>
      </c>
      <c r="C342" s="1" t="n">
        <v>45852</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44727-2021</t>
        </is>
      </c>
      <c r="B343" s="1" t="n">
        <v>44438</v>
      </c>
      <c r="C343" s="1" t="n">
        <v>45852</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47106-2021</t>
        </is>
      </c>
      <c r="B344" s="1" t="n">
        <v>44446</v>
      </c>
      <c r="C344" s="1" t="n">
        <v>45852</v>
      </c>
      <c r="D344" t="inlineStr">
        <is>
          <t>UPPSALA LÄN</t>
        </is>
      </c>
      <c r="E344" t="inlineStr">
        <is>
          <t>ENKÖPING</t>
        </is>
      </c>
      <c r="G344" t="n">
        <v>7.6</v>
      </c>
      <c r="H344" t="n">
        <v>0</v>
      </c>
      <c r="I344" t="n">
        <v>0</v>
      </c>
      <c r="J344" t="n">
        <v>0</v>
      </c>
      <c r="K344" t="n">
        <v>0</v>
      </c>
      <c r="L344" t="n">
        <v>0</v>
      </c>
      <c r="M344" t="n">
        <v>0</v>
      </c>
      <c r="N344" t="n">
        <v>0</v>
      </c>
      <c r="O344" t="n">
        <v>0</v>
      </c>
      <c r="P344" t="n">
        <v>0</v>
      </c>
      <c r="Q344" t="n">
        <v>0</v>
      </c>
      <c r="R344" s="2" t="inlineStr"/>
    </row>
    <row r="345" ht="15" customHeight="1">
      <c r="A345" t="inlineStr">
        <is>
          <t>A 48981-2021</t>
        </is>
      </c>
      <c r="B345" s="1" t="n">
        <v>44453</v>
      </c>
      <c r="C345" s="1" t="n">
        <v>45852</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49375-2021</t>
        </is>
      </c>
      <c r="B346" s="1" t="n">
        <v>44454</v>
      </c>
      <c r="C346" s="1" t="n">
        <v>45852</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49525-2021</t>
        </is>
      </c>
      <c r="B347" s="1" t="n">
        <v>44455</v>
      </c>
      <c r="C347" s="1" t="n">
        <v>45852</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50893-2021</t>
        </is>
      </c>
      <c r="B348" s="1" t="n">
        <v>44460</v>
      </c>
      <c r="C348" s="1" t="n">
        <v>45852</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52014-2021</t>
        </is>
      </c>
      <c r="B349" s="1" t="n">
        <v>44463</v>
      </c>
      <c r="C349" s="1" t="n">
        <v>45852</v>
      </c>
      <c r="D349" t="inlineStr">
        <is>
          <t>UPPSALA LÄN</t>
        </is>
      </c>
      <c r="E349" t="inlineStr">
        <is>
          <t>ENKÖPING</t>
        </is>
      </c>
      <c r="G349" t="n">
        <v>5.8</v>
      </c>
      <c r="H349" t="n">
        <v>0</v>
      </c>
      <c r="I349" t="n">
        <v>0</v>
      </c>
      <c r="J349" t="n">
        <v>0</v>
      </c>
      <c r="K349" t="n">
        <v>0</v>
      </c>
      <c r="L349" t="n">
        <v>0</v>
      </c>
      <c r="M349" t="n">
        <v>0</v>
      </c>
      <c r="N349" t="n">
        <v>0</v>
      </c>
      <c r="O349" t="n">
        <v>0</v>
      </c>
      <c r="P349" t="n">
        <v>0</v>
      </c>
      <c r="Q349" t="n">
        <v>0</v>
      </c>
      <c r="R349" s="2" t="inlineStr"/>
    </row>
    <row r="350" ht="15" customHeight="1">
      <c r="A350" t="inlineStr">
        <is>
          <t>A 54433-2021</t>
        </is>
      </c>
      <c r="B350" s="1" t="n">
        <v>44473</v>
      </c>
      <c r="C350" s="1" t="n">
        <v>45852</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v>
      </c>
      <c r="C351" s="1" t="n">
        <v>45852</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55582-2021</t>
        </is>
      </c>
      <c r="B352" s="1" t="n">
        <v>44475</v>
      </c>
      <c r="C352" s="1" t="n">
        <v>45852</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45852</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56176-2021</t>
        </is>
      </c>
      <c r="B354" s="1" t="n">
        <v>44477</v>
      </c>
      <c r="C354" s="1" t="n">
        <v>45852</v>
      </c>
      <c r="D354" t="inlineStr">
        <is>
          <t>UPPSALA LÄN</t>
        </is>
      </c>
      <c r="E354" t="inlineStr">
        <is>
          <t>ENKÖPING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57043-2021</t>
        </is>
      </c>
      <c r="B355" s="1" t="n">
        <v>44482</v>
      </c>
      <c r="C355" s="1" t="n">
        <v>45852</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57055-2021</t>
        </is>
      </c>
      <c r="B356" s="1" t="n">
        <v>44482</v>
      </c>
      <c r="C356" s="1" t="n">
        <v>45852</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57066-2021</t>
        </is>
      </c>
      <c r="B357" s="1" t="n">
        <v>44482</v>
      </c>
      <c r="C357" s="1" t="n">
        <v>45852</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57078-2021</t>
        </is>
      </c>
      <c r="B358" s="1" t="n">
        <v>44482</v>
      </c>
      <c r="C358" s="1" t="n">
        <v>45852</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45852</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45852</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57147-2021</t>
        </is>
      </c>
      <c r="B361" s="1" t="n">
        <v>44482</v>
      </c>
      <c r="C361" s="1" t="n">
        <v>45852</v>
      </c>
      <c r="D361" t="inlineStr">
        <is>
          <t>UPPSALA LÄN</t>
        </is>
      </c>
      <c r="E361" t="inlineStr">
        <is>
          <t>ENKÖPING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57152-2021</t>
        </is>
      </c>
      <c r="B362" s="1" t="n">
        <v>44482</v>
      </c>
      <c r="C362" s="1" t="n">
        <v>45852</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59121-2021</t>
        </is>
      </c>
      <c r="B363" s="1" t="n">
        <v>44490</v>
      </c>
      <c r="C363" s="1" t="n">
        <v>45852</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60533-2021</t>
        </is>
      </c>
      <c r="B364" s="1" t="n">
        <v>44496</v>
      </c>
      <c r="C364" s="1" t="n">
        <v>45852</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60874-2021</t>
        </is>
      </c>
      <c r="B365" s="1" t="n">
        <v>44497</v>
      </c>
      <c r="C365" s="1" t="n">
        <v>45852</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61076-2021</t>
        </is>
      </c>
      <c r="B366" s="1" t="n">
        <v>44497</v>
      </c>
      <c r="C366" s="1" t="n">
        <v>45852</v>
      </c>
      <c r="D366" t="inlineStr">
        <is>
          <t>UPPSALA LÄN</t>
        </is>
      </c>
      <c r="E366" t="inlineStr">
        <is>
          <t>ENKÖPING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61553-2021</t>
        </is>
      </c>
      <c r="B367" s="1" t="n">
        <v>44501</v>
      </c>
      <c r="C367" s="1" t="n">
        <v>45852</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45852</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62046-2021</t>
        </is>
      </c>
      <c r="B369" s="1" t="n">
        <v>44502</v>
      </c>
      <c r="C369" s="1" t="n">
        <v>45852</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63310-2021</t>
        </is>
      </c>
      <c r="B370" s="1" t="n">
        <v>44508</v>
      </c>
      <c r="C370" s="1" t="n">
        <v>45852</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63400-2021</t>
        </is>
      </c>
      <c r="B371" s="1" t="n">
        <v>44508</v>
      </c>
      <c r="C371" s="1" t="n">
        <v>45852</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63405-2021</t>
        </is>
      </c>
      <c r="B372" s="1" t="n">
        <v>44508</v>
      </c>
      <c r="C372" s="1" t="n">
        <v>45852</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45852</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67984-2021</t>
        </is>
      </c>
      <c r="B374" s="1" t="n">
        <v>44525</v>
      </c>
      <c r="C374" s="1" t="n">
        <v>45852</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68118-2021</t>
        </is>
      </c>
      <c r="B375" s="1" t="n">
        <v>44526</v>
      </c>
      <c r="C375" s="1" t="n">
        <v>45852</v>
      </c>
      <c r="D375" t="inlineStr">
        <is>
          <t>UPPSALA LÄN</t>
        </is>
      </c>
      <c r="E375" t="inlineStr">
        <is>
          <t>ENKÖPING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68127-2021</t>
        </is>
      </c>
      <c r="B376" s="1" t="n">
        <v>44526</v>
      </c>
      <c r="C376" s="1" t="n">
        <v>45852</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68107-2021</t>
        </is>
      </c>
      <c r="B377" s="1" t="n">
        <v>44526</v>
      </c>
      <c r="C377" s="1" t="n">
        <v>45852</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68130-2021</t>
        </is>
      </c>
      <c r="B378" s="1" t="n">
        <v>44526</v>
      </c>
      <c r="C378" s="1" t="n">
        <v>45852</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68123-2021</t>
        </is>
      </c>
      <c r="B379" s="1" t="n">
        <v>44526</v>
      </c>
      <c r="C379" s="1" t="n">
        <v>45852</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69344-2021</t>
        </is>
      </c>
      <c r="B380" s="1" t="n">
        <v>44531</v>
      </c>
      <c r="C380" s="1" t="n">
        <v>45852</v>
      </c>
      <c r="D380" t="inlineStr">
        <is>
          <t>UPPSALA LÄN</t>
        </is>
      </c>
      <c r="E380" t="inlineStr">
        <is>
          <t>ENKÖPING</t>
        </is>
      </c>
      <c r="G380" t="n">
        <v>2.9</v>
      </c>
      <c r="H380" t="n">
        <v>0</v>
      </c>
      <c r="I380" t="n">
        <v>0</v>
      </c>
      <c r="J380" t="n">
        <v>0</v>
      </c>
      <c r="K380" t="n">
        <v>0</v>
      </c>
      <c r="L380" t="n">
        <v>0</v>
      </c>
      <c r="M380" t="n">
        <v>0</v>
      </c>
      <c r="N380" t="n">
        <v>0</v>
      </c>
      <c r="O380" t="n">
        <v>0</v>
      </c>
      <c r="P380" t="n">
        <v>0</v>
      </c>
      <c r="Q380" t="n">
        <v>0</v>
      </c>
      <c r="R380" s="2" t="inlineStr"/>
    </row>
    <row r="381" ht="15" customHeight="1">
      <c r="A381" t="inlineStr">
        <is>
          <t>A 69791-2021</t>
        </is>
      </c>
      <c r="B381" s="1" t="n">
        <v>44532</v>
      </c>
      <c r="C381" s="1" t="n">
        <v>45852</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69794-2021</t>
        </is>
      </c>
      <c r="B382" s="1" t="n">
        <v>44532</v>
      </c>
      <c r="C382" s="1" t="n">
        <v>45852</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45852</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71641-2021</t>
        </is>
      </c>
      <c r="B384" s="1" t="n">
        <v>44543</v>
      </c>
      <c r="C384" s="1" t="n">
        <v>45852</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72628-2021</t>
        </is>
      </c>
      <c r="B385" s="1" t="n">
        <v>44546</v>
      </c>
      <c r="C385" s="1" t="n">
        <v>45852</v>
      </c>
      <c r="D385" t="inlineStr">
        <is>
          <t>UPPSALA LÄN</t>
        </is>
      </c>
      <c r="E385" t="inlineStr">
        <is>
          <t>ENKÖPING</t>
        </is>
      </c>
      <c r="F385" t="inlineStr">
        <is>
          <t>Allmännings- och besparingsskogar</t>
        </is>
      </c>
      <c r="G385" t="n">
        <v>7.1</v>
      </c>
      <c r="H385" t="n">
        <v>0</v>
      </c>
      <c r="I385" t="n">
        <v>0</v>
      </c>
      <c r="J385" t="n">
        <v>0</v>
      </c>
      <c r="K385" t="n">
        <v>0</v>
      </c>
      <c r="L385" t="n">
        <v>0</v>
      </c>
      <c r="M385" t="n">
        <v>0</v>
      </c>
      <c r="N385" t="n">
        <v>0</v>
      </c>
      <c r="O385" t="n">
        <v>0</v>
      </c>
      <c r="P385" t="n">
        <v>0</v>
      </c>
      <c r="Q385" t="n">
        <v>0</v>
      </c>
      <c r="R385" s="2" t="inlineStr"/>
    </row>
    <row r="386" ht="15" customHeight="1">
      <c r="A386" t="inlineStr">
        <is>
          <t>A 72840-2021</t>
        </is>
      </c>
      <c r="B386" s="1" t="n">
        <v>44547</v>
      </c>
      <c r="C386" s="1" t="n">
        <v>45852</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74090-2021</t>
        </is>
      </c>
      <c r="B387" s="1" t="n">
        <v>44557</v>
      </c>
      <c r="C387" s="1" t="n">
        <v>45852</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498-2022</t>
        </is>
      </c>
      <c r="B388" s="1" t="n">
        <v>44566</v>
      </c>
      <c r="C388" s="1" t="n">
        <v>45852</v>
      </c>
      <c r="D388" t="inlineStr">
        <is>
          <t>UPPSALA LÄN</t>
        </is>
      </c>
      <c r="E388" t="inlineStr">
        <is>
          <t>ENKÖPING</t>
        </is>
      </c>
      <c r="F388" t="inlineStr">
        <is>
          <t>Övriga statliga verk och myndigheter</t>
        </is>
      </c>
      <c r="G388" t="n">
        <v>11.1</v>
      </c>
      <c r="H388" t="n">
        <v>0</v>
      </c>
      <c r="I388" t="n">
        <v>0</v>
      </c>
      <c r="J388" t="n">
        <v>0</v>
      </c>
      <c r="K388" t="n">
        <v>0</v>
      </c>
      <c r="L388" t="n">
        <v>0</v>
      </c>
      <c r="M388" t="n">
        <v>0</v>
      </c>
      <c r="N388" t="n">
        <v>0</v>
      </c>
      <c r="O388" t="n">
        <v>0</v>
      </c>
      <c r="P388" t="n">
        <v>0</v>
      </c>
      <c r="Q388" t="n">
        <v>0</v>
      </c>
      <c r="R388" s="2" t="inlineStr"/>
    </row>
    <row r="389" ht="15" customHeight="1">
      <c r="A389" t="inlineStr">
        <is>
          <t>A 671-2022</t>
        </is>
      </c>
      <c r="B389" s="1" t="n">
        <v>44568</v>
      </c>
      <c r="C389" s="1" t="n">
        <v>45852</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1971-2022</t>
        </is>
      </c>
      <c r="B390" s="1" t="n">
        <v>44575</v>
      </c>
      <c r="C390" s="1" t="n">
        <v>45852</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1962-2022</t>
        </is>
      </c>
      <c r="B391" s="1" t="n">
        <v>44575</v>
      </c>
      <c r="C391" s="1" t="n">
        <v>45852</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1979-2022</t>
        </is>
      </c>
      <c r="B392" s="1" t="n">
        <v>44575</v>
      </c>
      <c r="C392" s="1" t="n">
        <v>45852</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1992-2022</t>
        </is>
      </c>
      <c r="B393" s="1" t="n">
        <v>44575</v>
      </c>
      <c r="C393" s="1" t="n">
        <v>45852</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1960-2022</t>
        </is>
      </c>
      <c r="B394" s="1" t="n">
        <v>44575</v>
      </c>
      <c r="C394" s="1" t="n">
        <v>45852</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1965-2022</t>
        </is>
      </c>
      <c r="B395" s="1" t="n">
        <v>44575</v>
      </c>
      <c r="C395" s="1" t="n">
        <v>45852</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2680-2022</t>
        </is>
      </c>
      <c r="B396" s="1" t="n">
        <v>44580</v>
      </c>
      <c r="C396" s="1" t="n">
        <v>45852</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3861-2022</t>
        </is>
      </c>
      <c r="B397" s="1" t="n">
        <v>44587</v>
      </c>
      <c r="C397" s="1" t="n">
        <v>45852</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4170-2022</t>
        </is>
      </c>
      <c r="B398" s="1" t="n">
        <v>44588</v>
      </c>
      <c r="C398" s="1" t="n">
        <v>45852</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5188-2022</t>
        </is>
      </c>
      <c r="B399" s="1" t="n">
        <v>44594</v>
      </c>
      <c r="C399" s="1" t="n">
        <v>45852</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5526-2022</t>
        </is>
      </c>
      <c r="B400" s="1" t="n">
        <v>44595</v>
      </c>
      <c r="C400" s="1" t="n">
        <v>45852</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6356-2022</t>
        </is>
      </c>
      <c r="B401" s="1" t="n">
        <v>44600</v>
      </c>
      <c r="C401" s="1" t="n">
        <v>45852</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7090-2022</t>
        </is>
      </c>
      <c r="B402" s="1" t="n">
        <v>44603</v>
      </c>
      <c r="C402" s="1" t="n">
        <v>45852</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7284-2022</t>
        </is>
      </c>
      <c r="B403" s="1" t="n">
        <v>44606</v>
      </c>
      <c r="C403" s="1" t="n">
        <v>45852</v>
      </c>
      <c r="D403" t="inlineStr">
        <is>
          <t>UPPSALA LÄN</t>
        </is>
      </c>
      <c r="E403" t="inlineStr">
        <is>
          <t>ENKÖPING</t>
        </is>
      </c>
      <c r="G403" t="n">
        <v>6.4</v>
      </c>
      <c r="H403" t="n">
        <v>0</v>
      </c>
      <c r="I403" t="n">
        <v>0</v>
      </c>
      <c r="J403" t="n">
        <v>0</v>
      </c>
      <c r="K403" t="n">
        <v>0</v>
      </c>
      <c r="L403" t="n">
        <v>0</v>
      </c>
      <c r="M403" t="n">
        <v>0</v>
      </c>
      <c r="N403" t="n">
        <v>0</v>
      </c>
      <c r="O403" t="n">
        <v>0</v>
      </c>
      <c r="P403" t="n">
        <v>0</v>
      </c>
      <c r="Q403" t="n">
        <v>0</v>
      </c>
      <c r="R403" s="2" t="inlineStr"/>
    </row>
    <row r="404" ht="15" customHeight="1">
      <c r="A404" t="inlineStr">
        <is>
          <t>A 7463-2022</t>
        </is>
      </c>
      <c r="B404" s="1" t="n">
        <v>44607</v>
      </c>
      <c r="C404" s="1" t="n">
        <v>45852</v>
      </c>
      <c r="D404" t="inlineStr">
        <is>
          <t>UPPSALA LÄN</t>
        </is>
      </c>
      <c r="E404" t="inlineStr">
        <is>
          <t>ENKÖPING</t>
        </is>
      </c>
      <c r="F404" t="inlineStr">
        <is>
          <t>Övriga statliga verk och myndigheter</t>
        </is>
      </c>
      <c r="G404" t="n">
        <v>2.1</v>
      </c>
      <c r="H404" t="n">
        <v>0</v>
      </c>
      <c r="I404" t="n">
        <v>0</v>
      </c>
      <c r="J404" t="n">
        <v>0</v>
      </c>
      <c r="K404" t="n">
        <v>0</v>
      </c>
      <c r="L404" t="n">
        <v>0</v>
      </c>
      <c r="M404" t="n">
        <v>0</v>
      </c>
      <c r="N404" t="n">
        <v>0</v>
      </c>
      <c r="O404" t="n">
        <v>0</v>
      </c>
      <c r="P404" t="n">
        <v>0</v>
      </c>
      <c r="Q404" t="n">
        <v>0</v>
      </c>
      <c r="R404" s="2" t="inlineStr"/>
    </row>
    <row r="405" ht="15" customHeight="1">
      <c r="A405" t="inlineStr">
        <is>
          <t>A 8020-2022</t>
        </is>
      </c>
      <c r="B405" s="1" t="n">
        <v>44609</v>
      </c>
      <c r="C405" s="1" t="n">
        <v>45852</v>
      </c>
      <c r="D405" t="inlineStr">
        <is>
          <t>UPPSALA LÄN</t>
        </is>
      </c>
      <c r="E405" t="inlineStr">
        <is>
          <t>ENKÖPING</t>
        </is>
      </c>
      <c r="G405" t="n">
        <v>6</v>
      </c>
      <c r="H405" t="n">
        <v>0</v>
      </c>
      <c r="I405" t="n">
        <v>0</v>
      </c>
      <c r="J405" t="n">
        <v>0</v>
      </c>
      <c r="K405" t="n">
        <v>0</v>
      </c>
      <c r="L405" t="n">
        <v>0</v>
      </c>
      <c r="M405" t="n">
        <v>0</v>
      </c>
      <c r="N405" t="n">
        <v>0</v>
      </c>
      <c r="O405" t="n">
        <v>0</v>
      </c>
      <c r="P405" t="n">
        <v>0</v>
      </c>
      <c r="Q405" t="n">
        <v>0</v>
      </c>
      <c r="R405" s="2" t="inlineStr"/>
    </row>
    <row r="406" ht="15" customHeight="1">
      <c r="A406" t="inlineStr">
        <is>
          <t>A 8152-2022</t>
        </is>
      </c>
      <c r="B406" s="1" t="n">
        <v>44609</v>
      </c>
      <c r="C406" s="1" t="n">
        <v>45852</v>
      </c>
      <c r="D406" t="inlineStr">
        <is>
          <t>UPPSALA LÄN</t>
        </is>
      </c>
      <c r="E406" t="inlineStr">
        <is>
          <t>ENKÖPING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10202-2022</t>
        </is>
      </c>
      <c r="B407" s="1" t="n">
        <v>44622</v>
      </c>
      <c r="C407" s="1" t="n">
        <v>45852</v>
      </c>
      <c r="D407" t="inlineStr">
        <is>
          <t>UPPSALA LÄN</t>
        </is>
      </c>
      <c r="E407" t="inlineStr">
        <is>
          <t>ENKÖPING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10207-2022</t>
        </is>
      </c>
      <c r="B408" s="1" t="n">
        <v>44622</v>
      </c>
      <c r="C408" s="1" t="n">
        <v>45852</v>
      </c>
      <c r="D408" t="inlineStr">
        <is>
          <t>UPPSALA LÄN</t>
        </is>
      </c>
      <c r="E408" t="inlineStr">
        <is>
          <t>ENKÖPING</t>
        </is>
      </c>
      <c r="G408" t="n">
        <v>4.9</v>
      </c>
      <c r="H408" t="n">
        <v>0</v>
      </c>
      <c r="I408" t="n">
        <v>0</v>
      </c>
      <c r="J408" t="n">
        <v>0</v>
      </c>
      <c r="K408" t="n">
        <v>0</v>
      </c>
      <c r="L408" t="n">
        <v>0</v>
      </c>
      <c r="M408" t="n">
        <v>0</v>
      </c>
      <c r="N408" t="n">
        <v>0</v>
      </c>
      <c r="O408" t="n">
        <v>0</v>
      </c>
      <c r="P408" t="n">
        <v>0</v>
      </c>
      <c r="Q408" t="n">
        <v>0</v>
      </c>
      <c r="R408" s="2" t="inlineStr"/>
    </row>
    <row r="409" ht="15" customHeight="1">
      <c r="A409" t="inlineStr">
        <is>
          <t>A 10458-2022</t>
        </is>
      </c>
      <c r="B409" s="1" t="n">
        <v>44623</v>
      </c>
      <c r="C409" s="1" t="n">
        <v>45852</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10465-2022</t>
        </is>
      </c>
      <c r="B410" s="1" t="n">
        <v>44623</v>
      </c>
      <c r="C410" s="1" t="n">
        <v>45852</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14531-2022</t>
        </is>
      </c>
      <c r="B411" s="1" t="n">
        <v>44655</v>
      </c>
      <c r="C411" s="1" t="n">
        <v>45852</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15021-2022</t>
        </is>
      </c>
      <c r="B412" s="1" t="n">
        <v>44657</v>
      </c>
      <c r="C412" s="1" t="n">
        <v>45852</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15924-2022</t>
        </is>
      </c>
      <c r="B413" s="1" t="n">
        <v>44664</v>
      </c>
      <c r="C413" s="1" t="n">
        <v>45852</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15942-2022</t>
        </is>
      </c>
      <c r="B414" s="1" t="n">
        <v>44664</v>
      </c>
      <c r="C414" s="1" t="n">
        <v>45852</v>
      </c>
      <c r="D414" t="inlineStr">
        <is>
          <t>UPPSALA LÄN</t>
        </is>
      </c>
      <c r="E414" t="inlineStr">
        <is>
          <t>ENKÖPING</t>
        </is>
      </c>
      <c r="G414" t="n">
        <v>6.6</v>
      </c>
      <c r="H414" t="n">
        <v>0</v>
      </c>
      <c r="I414" t="n">
        <v>0</v>
      </c>
      <c r="J414" t="n">
        <v>0</v>
      </c>
      <c r="K414" t="n">
        <v>0</v>
      </c>
      <c r="L414" t="n">
        <v>0</v>
      </c>
      <c r="M414" t="n">
        <v>0</v>
      </c>
      <c r="N414" t="n">
        <v>0</v>
      </c>
      <c r="O414" t="n">
        <v>0</v>
      </c>
      <c r="P414" t="n">
        <v>0</v>
      </c>
      <c r="Q414" t="n">
        <v>0</v>
      </c>
      <c r="R414" s="2" t="inlineStr"/>
    </row>
    <row r="415" ht="15" customHeight="1">
      <c r="A415" t="inlineStr">
        <is>
          <t>A 15943-2022</t>
        </is>
      </c>
      <c r="B415" s="1" t="n">
        <v>44664</v>
      </c>
      <c r="C415" s="1" t="n">
        <v>45852</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15939-2022</t>
        </is>
      </c>
      <c r="B416" s="1" t="n">
        <v>44664</v>
      </c>
      <c r="C416" s="1" t="n">
        <v>45852</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16916-2022</t>
        </is>
      </c>
      <c r="B417" s="1" t="n">
        <v>44676</v>
      </c>
      <c r="C417" s="1" t="n">
        <v>45852</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16967-2022</t>
        </is>
      </c>
      <c r="B418" s="1" t="n">
        <v>44676</v>
      </c>
      <c r="C418" s="1" t="n">
        <v>45852</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17298-2022</t>
        </is>
      </c>
      <c r="B419" s="1" t="n">
        <v>44678</v>
      </c>
      <c r="C419" s="1" t="n">
        <v>45852</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17465-2022</t>
        </is>
      </c>
      <c r="B420" s="1" t="n">
        <v>44679</v>
      </c>
      <c r="C420" s="1" t="n">
        <v>45852</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17467-2022</t>
        </is>
      </c>
      <c r="B421" s="1" t="n">
        <v>44679</v>
      </c>
      <c r="C421" s="1" t="n">
        <v>45852</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17453-2022</t>
        </is>
      </c>
      <c r="B422" s="1" t="n">
        <v>44679</v>
      </c>
      <c r="C422" s="1" t="n">
        <v>45852</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17719-2022</t>
        </is>
      </c>
      <c r="B423" s="1" t="n">
        <v>44680</v>
      </c>
      <c r="C423" s="1" t="n">
        <v>45852</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17704-2022</t>
        </is>
      </c>
      <c r="B424" s="1" t="n">
        <v>44680</v>
      </c>
      <c r="C424" s="1" t="n">
        <v>45852</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18785-2022</t>
        </is>
      </c>
      <c r="B425" s="1" t="n">
        <v>44687</v>
      </c>
      <c r="C425" s="1" t="n">
        <v>45852</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19487-2022</t>
        </is>
      </c>
      <c r="B426" s="1" t="n">
        <v>44693</v>
      </c>
      <c r="C426" s="1" t="n">
        <v>45852</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45852</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19731-2022</t>
        </is>
      </c>
      <c r="B428" s="1" t="n">
        <v>44694</v>
      </c>
      <c r="C428" s="1" t="n">
        <v>45852</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19965-2022</t>
        </is>
      </c>
      <c r="B429" s="1" t="n">
        <v>44697</v>
      </c>
      <c r="C429" s="1" t="n">
        <v>45852</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20321-2022</t>
        </is>
      </c>
      <c r="B430" s="1" t="n">
        <v>44699</v>
      </c>
      <c r="C430" s="1" t="n">
        <v>45852</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23307-2022</t>
        </is>
      </c>
      <c r="B431" s="1" t="n">
        <v>44720</v>
      </c>
      <c r="C431" s="1" t="n">
        <v>45852</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24141-2022</t>
        </is>
      </c>
      <c r="B432" s="1" t="n">
        <v>44725</v>
      </c>
      <c r="C432" s="1" t="n">
        <v>45852</v>
      </c>
      <c r="D432" t="inlineStr">
        <is>
          <t>UPPSALA LÄN</t>
        </is>
      </c>
      <c r="E432" t="inlineStr">
        <is>
          <t>ENKÖPING</t>
        </is>
      </c>
      <c r="G432" t="n">
        <v>5.2</v>
      </c>
      <c r="H432" t="n">
        <v>0</v>
      </c>
      <c r="I432" t="n">
        <v>0</v>
      </c>
      <c r="J432" t="n">
        <v>0</v>
      </c>
      <c r="K432" t="n">
        <v>0</v>
      </c>
      <c r="L432" t="n">
        <v>0</v>
      </c>
      <c r="M432" t="n">
        <v>0</v>
      </c>
      <c r="N432" t="n">
        <v>0</v>
      </c>
      <c r="O432" t="n">
        <v>0</v>
      </c>
      <c r="P432" t="n">
        <v>0</v>
      </c>
      <c r="Q432" t="n">
        <v>0</v>
      </c>
      <c r="R432" s="2" t="inlineStr"/>
    </row>
    <row r="433" ht="15" customHeight="1">
      <c r="A433" t="inlineStr">
        <is>
          <t>A 24815-2022</t>
        </is>
      </c>
      <c r="B433" s="1" t="n">
        <v>44728</v>
      </c>
      <c r="C433" s="1" t="n">
        <v>45852</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24883-2022</t>
        </is>
      </c>
      <c r="B434" s="1" t="n">
        <v>44728</v>
      </c>
      <c r="C434" s="1" t="n">
        <v>45852</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45852</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26319-2022</t>
        </is>
      </c>
      <c r="B436" s="1" t="n">
        <v>44735</v>
      </c>
      <c r="C436" s="1" t="n">
        <v>45852</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29479-2022</t>
        </is>
      </c>
      <c r="B437" s="1" t="n">
        <v>44753</v>
      </c>
      <c r="C437" s="1" t="n">
        <v>45852</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29484-2022</t>
        </is>
      </c>
      <c r="B438" s="1" t="n">
        <v>44753</v>
      </c>
      <c r="C438" s="1" t="n">
        <v>45852</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29435-2022</t>
        </is>
      </c>
      <c r="B439" s="1" t="n">
        <v>44753</v>
      </c>
      <c r="C439" s="1" t="n">
        <v>45852</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29483-2022</t>
        </is>
      </c>
      <c r="B440" s="1" t="n">
        <v>44753</v>
      </c>
      <c r="C440" s="1" t="n">
        <v>45852</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29475-2022</t>
        </is>
      </c>
      <c r="B441" s="1" t="n">
        <v>44753</v>
      </c>
      <c r="C441" s="1" t="n">
        <v>45852</v>
      </c>
      <c r="D441" t="inlineStr">
        <is>
          <t>UPPSALA LÄN</t>
        </is>
      </c>
      <c r="E441" t="inlineStr">
        <is>
          <t>ENKÖPING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29425-2022</t>
        </is>
      </c>
      <c r="B442" s="1" t="n">
        <v>44753</v>
      </c>
      <c r="C442" s="1" t="n">
        <v>45852</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29433-2022</t>
        </is>
      </c>
      <c r="B443" s="1" t="n">
        <v>44753</v>
      </c>
      <c r="C443" s="1" t="n">
        <v>45852</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v>
      </c>
      <c r="C444" s="1" t="n">
        <v>45852</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45852</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30634-2022</t>
        </is>
      </c>
      <c r="B446" s="1" t="n">
        <v>44763</v>
      </c>
      <c r="C446" s="1" t="n">
        <v>45852</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31013-2022</t>
        </is>
      </c>
      <c r="B447" s="1" t="n">
        <v>44768</v>
      </c>
      <c r="C447" s="1" t="n">
        <v>45852</v>
      </c>
      <c r="D447" t="inlineStr">
        <is>
          <t>UPPSALA LÄN</t>
        </is>
      </c>
      <c r="E447" t="inlineStr">
        <is>
          <t>ENKÖPING</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45852</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33619-2022</t>
        </is>
      </c>
      <c r="B449" s="1" t="n">
        <v>44789</v>
      </c>
      <c r="C449" s="1" t="n">
        <v>45852</v>
      </c>
      <c r="D449" t="inlineStr">
        <is>
          <t>UPPSALA LÄN</t>
        </is>
      </c>
      <c r="E449" t="inlineStr">
        <is>
          <t>ENKÖPING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33821-2022</t>
        </is>
      </c>
      <c r="B450" s="1" t="n">
        <v>44790</v>
      </c>
      <c r="C450" s="1" t="n">
        <v>45852</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34617-2022</t>
        </is>
      </c>
      <c r="B451" s="1" t="n">
        <v>44795</v>
      </c>
      <c r="C451" s="1" t="n">
        <v>45852</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37410-2022</t>
        </is>
      </c>
      <c r="B452" s="1" t="n">
        <v>44809</v>
      </c>
      <c r="C452" s="1" t="n">
        <v>45852</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37414-2022</t>
        </is>
      </c>
      <c r="B453" s="1" t="n">
        <v>44809</v>
      </c>
      <c r="C453" s="1" t="n">
        <v>45852</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38005-2022</t>
        </is>
      </c>
      <c r="B454" s="1" t="n">
        <v>44810</v>
      </c>
      <c r="C454" s="1" t="n">
        <v>45852</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38775-2022</t>
        </is>
      </c>
      <c r="B455" s="1" t="n">
        <v>44816</v>
      </c>
      <c r="C455" s="1" t="n">
        <v>45852</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39751-2022</t>
        </is>
      </c>
      <c r="B456" s="1" t="n">
        <v>44819</v>
      </c>
      <c r="C456" s="1" t="n">
        <v>45852</v>
      </c>
      <c r="D456" t="inlineStr">
        <is>
          <t>UPPSALA LÄN</t>
        </is>
      </c>
      <c r="E456" t="inlineStr">
        <is>
          <t>ENKÖPING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39922-2022</t>
        </is>
      </c>
      <c r="B457" s="1" t="n">
        <v>44819</v>
      </c>
      <c r="C457" s="1" t="n">
        <v>45852</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40773-2022</t>
        </is>
      </c>
      <c r="B458" s="1" t="n">
        <v>44824</v>
      </c>
      <c r="C458" s="1" t="n">
        <v>45852</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40812-2022</t>
        </is>
      </c>
      <c r="B459" s="1" t="n">
        <v>44824</v>
      </c>
      <c r="C459" s="1" t="n">
        <v>45852</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41736-2022</t>
        </is>
      </c>
      <c r="B460" s="1" t="n">
        <v>44827</v>
      </c>
      <c r="C460" s="1" t="n">
        <v>45852</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41737-2022</t>
        </is>
      </c>
      <c r="B461" s="1" t="n">
        <v>44827</v>
      </c>
      <c r="C461" s="1" t="n">
        <v>45852</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41753-2022</t>
        </is>
      </c>
      <c r="B462" s="1" t="n">
        <v>44827</v>
      </c>
      <c r="C462" s="1" t="n">
        <v>45852</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42589-2022</t>
        </is>
      </c>
      <c r="B463" s="1" t="n">
        <v>44831</v>
      </c>
      <c r="C463" s="1" t="n">
        <v>45852</v>
      </c>
      <c r="D463" t="inlineStr">
        <is>
          <t>UPPSALA LÄN</t>
        </is>
      </c>
      <c r="E463" t="inlineStr">
        <is>
          <t>ENKÖPING</t>
        </is>
      </c>
      <c r="G463" t="n">
        <v>20</v>
      </c>
      <c r="H463" t="n">
        <v>0</v>
      </c>
      <c r="I463" t="n">
        <v>0</v>
      </c>
      <c r="J463" t="n">
        <v>0</v>
      </c>
      <c r="K463" t="n">
        <v>0</v>
      </c>
      <c r="L463" t="n">
        <v>0</v>
      </c>
      <c r="M463" t="n">
        <v>0</v>
      </c>
      <c r="N463" t="n">
        <v>0</v>
      </c>
      <c r="O463" t="n">
        <v>0</v>
      </c>
      <c r="P463" t="n">
        <v>0</v>
      </c>
      <c r="Q463" t="n">
        <v>0</v>
      </c>
      <c r="R463" s="2" t="inlineStr"/>
    </row>
    <row r="464" ht="15" customHeight="1">
      <c r="A464" t="inlineStr">
        <is>
          <t>A 42592-2022</t>
        </is>
      </c>
      <c r="B464" s="1" t="n">
        <v>44831</v>
      </c>
      <c r="C464" s="1" t="n">
        <v>45852</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43896-2022</t>
        </is>
      </c>
      <c r="B465" s="1" t="n">
        <v>44838</v>
      </c>
      <c r="C465" s="1" t="n">
        <v>45852</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45362-2022</t>
        </is>
      </c>
      <c r="B466" s="1" t="n">
        <v>44844</v>
      </c>
      <c r="C466" s="1" t="n">
        <v>45852</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45283-2022</t>
        </is>
      </c>
      <c r="B467" s="1" t="n">
        <v>44844</v>
      </c>
      <c r="C467" s="1" t="n">
        <v>45852</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45852-2022</t>
        </is>
      </c>
      <c r="B468" s="1" t="n">
        <v>44846</v>
      </c>
      <c r="C468" s="1" t="n">
        <v>45852</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46749-2022</t>
        </is>
      </c>
      <c r="B469" s="1" t="n">
        <v>44851</v>
      </c>
      <c r="C469" s="1" t="n">
        <v>45852</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47431-2022</t>
        </is>
      </c>
      <c r="B470" s="1" t="n">
        <v>44853</v>
      </c>
      <c r="C470" s="1" t="n">
        <v>45852</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47516-2022</t>
        </is>
      </c>
      <c r="B471" s="1" t="n">
        <v>44853</v>
      </c>
      <c r="C471" s="1" t="n">
        <v>45852</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48230-2022</t>
        </is>
      </c>
      <c r="B472" s="1" t="n">
        <v>44858</v>
      </c>
      <c r="C472" s="1" t="n">
        <v>45852</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48233-2022</t>
        </is>
      </c>
      <c r="B473" s="1" t="n">
        <v>44858</v>
      </c>
      <c r="C473" s="1" t="n">
        <v>45852</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45852</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49557-2022</t>
        </is>
      </c>
      <c r="B475" s="1" t="n">
        <v>44862</v>
      </c>
      <c r="C475" s="1" t="n">
        <v>45852</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49562-2022</t>
        </is>
      </c>
      <c r="B476" s="1" t="n">
        <v>44862</v>
      </c>
      <c r="C476" s="1" t="n">
        <v>45852</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49560-2022</t>
        </is>
      </c>
      <c r="B477" s="1" t="n">
        <v>44862</v>
      </c>
      <c r="C477" s="1" t="n">
        <v>45852</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49568-2022</t>
        </is>
      </c>
      <c r="B478" s="1" t="n">
        <v>44862</v>
      </c>
      <c r="C478" s="1" t="n">
        <v>45852</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50747-2022</t>
        </is>
      </c>
      <c r="B479" s="1" t="n">
        <v>44867</v>
      </c>
      <c r="C479" s="1" t="n">
        <v>45852</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45852</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51932-2022</t>
        </is>
      </c>
      <c r="B481" s="1" t="n">
        <v>44872</v>
      </c>
      <c r="C481" s="1" t="n">
        <v>45852</v>
      </c>
      <c r="D481" t="inlineStr">
        <is>
          <t>UPPSALA LÄN</t>
        </is>
      </c>
      <c r="E481" t="inlineStr">
        <is>
          <t>ENKÖPING</t>
        </is>
      </c>
      <c r="G481" t="n">
        <v>5.5</v>
      </c>
      <c r="H481" t="n">
        <v>0</v>
      </c>
      <c r="I481" t="n">
        <v>0</v>
      </c>
      <c r="J481" t="n">
        <v>0</v>
      </c>
      <c r="K481" t="n">
        <v>0</v>
      </c>
      <c r="L481" t="n">
        <v>0</v>
      </c>
      <c r="M481" t="n">
        <v>0</v>
      </c>
      <c r="N481" t="n">
        <v>0</v>
      </c>
      <c r="O481" t="n">
        <v>0</v>
      </c>
      <c r="P481" t="n">
        <v>0</v>
      </c>
      <c r="Q481" t="n">
        <v>0</v>
      </c>
      <c r="R481" s="2" t="inlineStr"/>
    </row>
    <row r="482" ht="15" customHeight="1">
      <c r="A482" t="inlineStr">
        <is>
          <t>A 52895-2022</t>
        </is>
      </c>
      <c r="B482" s="1" t="n">
        <v>44875</v>
      </c>
      <c r="C482" s="1" t="n">
        <v>45852</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52893-2022</t>
        </is>
      </c>
      <c r="B483" s="1" t="n">
        <v>44875</v>
      </c>
      <c r="C483" s="1" t="n">
        <v>45852</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45852</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52896-2022</t>
        </is>
      </c>
      <c r="B485" s="1" t="n">
        <v>44875</v>
      </c>
      <c r="C485" s="1" t="n">
        <v>45852</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53496-2022</t>
        </is>
      </c>
      <c r="B486" s="1" t="n">
        <v>44879</v>
      </c>
      <c r="C486" s="1" t="n">
        <v>45852</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56526-2022</t>
        </is>
      </c>
      <c r="B487" s="1" t="n">
        <v>44893</v>
      </c>
      <c r="C487" s="1" t="n">
        <v>45852</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57563-2022</t>
        </is>
      </c>
      <c r="B488" s="1" t="n">
        <v>44896</v>
      </c>
      <c r="C488" s="1" t="n">
        <v>45852</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57940-2022</t>
        </is>
      </c>
      <c r="B489" s="1" t="n">
        <v>44900</v>
      </c>
      <c r="C489" s="1" t="n">
        <v>45852</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58384-2022</t>
        </is>
      </c>
      <c r="B490" s="1" t="n">
        <v>44901</v>
      </c>
      <c r="C490" s="1" t="n">
        <v>45852</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59190-2022</t>
        </is>
      </c>
      <c r="B491" s="1" t="n">
        <v>44904</v>
      </c>
      <c r="C491" s="1" t="n">
        <v>45852</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59200-2022</t>
        </is>
      </c>
      <c r="B492" s="1" t="n">
        <v>44904</v>
      </c>
      <c r="C492" s="1" t="n">
        <v>45852</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59337-2022</t>
        </is>
      </c>
      <c r="B493" s="1" t="n">
        <v>44904</v>
      </c>
      <c r="C493" s="1" t="n">
        <v>45852</v>
      </c>
      <c r="D493" t="inlineStr">
        <is>
          <t>UPPSALA LÄN</t>
        </is>
      </c>
      <c r="E493" t="inlineStr">
        <is>
          <t>ENKÖPING</t>
        </is>
      </c>
      <c r="G493" t="n">
        <v>8.4</v>
      </c>
      <c r="H493" t="n">
        <v>0</v>
      </c>
      <c r="I493" t="n">
        <v>0</v>
      </c>
      <c r="J493" t="n">
        <v>0</v>
      </c>
      <c r="K493" t="n">
        <v>0</v>
      </c>
      <c r="L493" t="n">
        <v>0</v>
      </c>
      <c r="M493" t="n">
        <v>0</v>
      </c>
      <c r="N493" t="n">
        <v>0</v>
      </c>
      <c r="O493" t="n">
        <v>0</v>
      </c>
      <c r="P493" t="n">
        <v>0</v>
      </c>
      <c r="Q493" t="n">
        <v>0</v>
      </c>
      <c r="R493" s="2" t="inlineStr"/>
    </row>
    <row r="494" ht="15" customHeight="1">
      <c r="A494" t="inlineStr">
        <is>
          <t>A 59203-2022</t>
        </is>
      </c>
      <c r="B494" s="1" t="n">
        <v>44904</v>
      </c>
      <c r="C494" s="1" t="n">
        <v>45852</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59344-2022</t>
        </is>
      </c>
      <c r="B495" s="1" t="n">
        <v>44904</v>
      </c>
      <c r="C495" s="1" t="n">
        <v>45852</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59345-2022</t>
        </is>
      </c>
      <c r="B496" s="1" t="n">
        <v>44904</v>
      </c>
      <c r="C496" s="1" t="n">
        <v>45852</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59609-2022</t>
        </is>
      </c>
      <c r="B497" s="1" t="n">
        <v>44907</v>
      </c>
      <c r="C497" s="1" t="n">
        <v>45852</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59608-2022</t>
        </is>
      </c>
      <c r="B498" s="1" t="n">
        <v>44907</v>
      </c>
      <c r="C498" s="1" t="n">
        <v>45852</v>
      </c>
      <c r="D498" t="inlineStr">
        <is>
          <t>UPPSALA LÄN</t>
        </is>
      </c>
      <c r="E498" t="inlineStr">
        <is>
          <t>ENKÖPING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59602-2022</t>
        </is>
      </c>
      <c r="B499" s="1" t="n">
        <v>44907</v>
      </c>
      <c r="C499" s="1" t="n">
        <v>45852</v>
      </c>
      <c r="D499" t="inlineStr">
        <is>
          <t>UPPSALA LÄN</t>
        </is>
      </c>
      <c r="E499" t="inlineStr">
        <is>
          <t>ENKÖPING</t>
        </is>
      </c>
      <c r="G499" t="n">
        <v>14.2</v>
      </c>
      <c r="H499" t="n">
        <v>0</v>
      </c>
      <c r="I499" t="n">
        <v>0</v>
      </c>
      <c r="J499" t="n">
        <v>0</v>
      </c>
      <c r="K499" t="n">
        <v>0</v>
      </c>
      <c r="L499" t="n">
        <v>0</v>
      </c>
      <c r="M499" t="n">
        <v>0</v>
      </c>
      <c r="N499" t="n">
        <v>0</v>
      </c>
      <c r="O499" t="n">
        <v>0</v>
      </c>
      <c r="P499" t="n">
        <v>0</v>
      </c>
      <c r="Q499" t="n">
        <v>0</v>
      </c>
      <c r="R499" s="2" t="inlineStr"/>
    </row>
    <row r="500" ht="15" customHeight="1">
      <c r="A500" t="inlineStr">
        <is>
          <t>A 59610-2022</t>
        </is>
      </c>
      <c r="B500" s="1" t="n">
        <v>44907</v>
      </c>
      <c r="C500" s="1" t="n">
        <v>45852</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60132-2022</t>
        </is>
      </c>
      <c r="B501" s="1" t="n">
        <v>44909</v>
      </c>
      <c r="C501" s="1" t="n">
        <v>45852</v>
      </c>
      <c r="D501" t="inlineStr">
        <is>
          <t>UPPSALA LÄN</t>
        </is>
      </c>
      <c r="E501" t="inlineStr">
        <is>
          <t>ENKÖPING</t>
        </is>
      </c>
      <c r="F501" t="inlineStr">
        <is>
          <t>Allmännings- och besparingsskogar</t>
        </is>
      </c>
      <c r="G501" t="n">
        <v>5.4</v>
      </c>
      <c r="H501" t="n">
        <v>0</v>
      </c>
      <c r="I501" t="n">
        <v>0</v>
      </c>
      <c r="J501" t="n">
        <v>0</v>
      </c>
      <c r="K501" t="n">
        <v>0</v>
      </c>
      <c r="L501" t="n">
        <v>0</v>
      </c>
      <c r="M501" t="n">
        <v>0</v>
      </c>
      <c r="N501" t="n">
        <v>0</v>
      </c>
      <c r="O501" t="n">
        <v>0</v>
      </c>
      <c r="P501" t="n">
        <v>0</v>
      </c>
      <c r="Q501" t="n">
        <v>0</v>
      </c>
      <c r="R501" s="2" t="inlineStr"/>
    </row>
    <row r="502" ht="15" customHeight="1">
      <c r="A502" t="inlineStr">
        <is>
          <t>A 60289-2022</t>
        </is>
      </c>
      <c r="B502" s="1" t="n">
        <v>44910</v>
      </c>
      <c r="C502" s="1" t="n">
        <v>45852</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60350-2022</t>
        </is>
      </c>
      <c r="B503" s="1" t="n">
        <v>44910</v>
      </c>
      <c r="C503" s="1" t="n">
        <v>45852</v>
      </c>
      <c r="D503" t="inlineStr">
        <is>
          <t>UPPSALA LÄN</t>
        </is>
      </c>
      <c r="E503" t="inlineStr">
        <is>
          <t>ENKÖPING</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60478-2022</t>
        </is>
      </c>
      <c r="B504" s="1" t="n">
        <v>44911</v>
      </c>
      <c r="C504" s="1" t="n">
        <v>45852</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61125-2022</t>
        </is>
      </c>
      <c r="B505" s="1" t="n">
        <v>44915</v>
      </c>
      <c r="C505" s="1" t="n">
        <v>45852</v>
      </c>
      <c r="D505" t="inlineStr">
        <is>
          <t>UPPSALA LÄN</t>
        </is>
      </c>
      <c r="E505" t="inlineStr">
        <is>
          <t>ENKÖPING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61181-2022</t>
        </is>
      </c>
      <c r="B506" s="1" t="n">
        <v>44915</v>
      </c>
      <c r="C506" s="1" t="n">
        <v>45852</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61106-2022</t>
        </is>
      </c>
      <c r="B507" s="1" t="n">
        <v>44915</v>
      </c>
      <c r="C507" s="1" t="n">
        <v>45852</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61800-2022</t>
        </is>
      </c>
      <c r="B508" s="1" t="n">
        <v>44917</v>
      </c>
      <c r="C508" s="1" t="n">
        <v>45852</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62716-2022</t>
        </is>
      </c>
      <c r="B509" s="1" t="n">
        <v>44917</v>
      </c>
      <c r="C509" s="1" t="n">
        <v>45852</v>
      </c>
      <c r="D509" t="inlineStr">
        <is>
          <t>UPPSALA LÄN</t>
        </is>
      </c>
      <c r="E509" t="inlineStr">
        <is>
          <t>ENKÖPING</t>
        </is>
      </c>
      <c r="G509" t="n">
        <v>4.3</v>
      </c>
      <c r="H509" t="n">
        <v>0</v>
      </c>
      <c r="I509" t="n">
        <v>0</v>
      </c>
      <c r="J509" t="n">
        <v>0</v>
      </c>
      <c r="K509" t="n">
        <v>0</v>
      </c>
      <c r="L509" t="n">
        <v>0</v>
      </c>
      <c r="M509" t="n">
        <v>0</v>
      </c>
      <c r="N509" t="n">
        <v>0</v>
      </c>
      <c r="O509" t="n">
        <v>0</v>
      </c>
      <c r="P509" t="n">
        <v>0</v>
      </c>
      <c r="Q509" t="n">
        <v>0</v>
      </c>
      <c r="R509" s="2" t="inlineStr"/>
    </row>
    <row r="510" ht="15" customHeight="1">
      <c r="A510" t="inlineStr">
        <is>
          <t>A 62423-2022</t>
        </is>
      </c>
      <c r="B510" s="1" t="n">
        <v>44924</v>
      </c>
      <c r="C510" s="1" t="n">
        <v>45852</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62419-2022</t>
        </is>
      </c>
      <c r="B511" s="1" t="n">
        <v>44924</v>
      </c>
      <c r="C511" s="1" t="n">
        <v>45852</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799-2023</t>
        </is>
      </c>
      <c r="B512" s="1" t="n">
        <v>44931</v>
      </c>
      <c r="C512" s="1" t="n">
        <v>45852</v>
      </c>
      <c r="D512" t="inlineStr">
        <is>
          <t>UPPSALA LÄN</t>
        </is>
      </c>
      <c r="E512" t="inlineStr">
        <is>
          <t>ENKÖPING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1587-2023</t>
        </is>
      </c>
      <c r="B513" s="1" t="n">
        <v>44937</v>
      </c>
      <c r="C513" s="1" t="n">
        <v>45852</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1593-2023</t>
        </is>
      </c>
      <c r="B514" s="1" t="n">
        <v>44937</v>
      </c>
      <c r="C514" s="1" t="n">
        <v>45852</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2161-2023</t>
        </is>
      </c>
      <c r="B515" s="1" t="n">
        <v>44941</v>
      </c>
      <c r="C515" s="1" t="n">
        <v>45852</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2165-2023</t>
        </is>
      </c>
      <c r="B516" s="1" t="n">
        <v>44941</v>
      </c>
      <c r="C516" s="1" t="n">
        <v>45852</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2162-2023</t>
        </is>
      </c>
      <c r="B517" s="1" t="n">
        <v>44941</v>
      </c>
      <c r="C517" s="1" t="n">
        <v>45852</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2164-2023</t>
        </is>
      </c>
      <c r="B518" s="1" t="n">
        <v>44941</v>
      </c>
      <c r="C518" s="1" t="n">
        <v>45852</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3550-2023</t>
        </is>
      </c>
      <c r="B519" s="1" t="n">
        <v>44950</v>
      </c>
      <c r="C519" s="1" t="n">
        <v>45852</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4901-2023</t>
        </is>
      </c>
      <c r="B520" s="1" t="n">
        <v>44958</v>
      </c>
      <c r="C520" s="1" t="n">
        <v>45852</v>
      </c>
      <c r="D520" t="inlineStr">
        <is>
          <t>UPPSALA LÄN</t>
        </is>
      </c>
      <c r="E520" t="inlineStr">
        <is>
          <t>ENKÖPING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5892-2023</t>
        </is>
      </c>
      <c r="B521" s="1" t="n">
        <v>44963</v>
      </c>
      <c r="C521" s="1" t="n">
        <v>45852</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row r="522" ht="15" customHeight="1">
      <c r="A522" t="inlineStr">
        <is>
          <t>A 6172-2023</t>
        </is>
      </c>
      <c r="B522" s="1" t="n">
        <v>44964</v>
      </c>
      <c r="C522" s="1" t="n">
        <v>45852</v>
      </c>
      <c r="D522" t="inlineStr">
        <is>
          <t>UPPSALA LÄN</t>
        </is>
      </c>
      <c r="E522" t="inlineStr">
        <is>
          <t>ENKÖPING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6620-2023</t>
        </is>
      </c>
      <c r="B523" s="1" t="n">
        <v>44966</v>
      </c>
      <c r="C523" s="1" t="n">
        <v>45852</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6623-2023</t>
        </is>
      </c>
      <c r="B524" s="1" t="n">
        <v>44966</v>
      </c>
      <c r="C524" s="1" t="n">
        <v>45852</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6624-2023</t>
        </is>
      </c>
      <c r="B525" s="1" t="n">
        <v>44966</v>
      </c>
      <c r="C525" s="1" t="n">
        <v>45852</v>
      </c>
      <c r="D525" t="inlineStr">
        <is>
          <t>UPPSALA LÄN</t>
        </is>
      </c>
      <c r="E525" t="inlineStr">
        <is>
          <t>ENKÖPING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6626-2023</t>
        </is>
      </c>
      <c r="B526" s="1" t="n">
        <v>44966</v>
      </c>
      <c r="C526" s="1" t="n">
        <v>45852</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9957-2023</t>
        </is>
      </c>
      <c r="B527" s="1" t="n">
        <v>44978</v>
      </c>
      <c r="C527" s="1" t="n">
        <v>45852</v>
      </c>
      <c r="D527" t="inlineStr">
        <is>
          <t>UPPSALA LÄN</t>
        </is>
      </c>
      <c r="E527" t="inlineStr">
        <is>
          <t>ENKÖPING</t>
        </is>
      </c>
      <c r="G527" t="n">
        <v>5.9</v>
      </c>
      <c r="H527" t="n">
        <v>0</v>
      </c>
      <c r="I527" t="n">
        <v>0</v>
      </c>
      <c r="J527" t="n">
        <v>0</v>
      </c>
      <c r="K527" t="n">
        <v>0</v>
      </c>
      <c r="L527" t="n">
        <v>0</v>
      </c>
      <c r="M527" t="n">
        <v>0</v>
      </c>
      <c r="N527" t="n">
        <v>0</v>
      </c>
      <c r="O527" t="n">
        <v>0</v>
      </c>
      <c r="P527" t="n">
        <v>0</v>
      </c>
      <c r="Q527" t="n">
        <v>0</v>
      </c>
      <c r="R527" s="2" t="inlineStr"/>
    </row>
    <row r="528" ht="15" customHeight="1">
      <c r="A528" t="inlineStr">
        <is>
          <t>A 9958-2023</t>
        </is>
      </c>
      <c r="B528" s="1" t="n">
        <v>44978</v>
      </c>
      <c r="C528" s="1" t="n">
        <v>45852</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9041-2023</t>
        </is>
      </c>
      <c r="B529" s="1" t="n">
        <v>44979</v>
      </c>
      <c r="C529" s="1" t="n">
        <v>45852</v>
      </c>
      <c r="D529" t="inlineStr">
        <is>
          <t>UPPSALA LÄN</t>
        </is>
      </c>
      <c r="E529" t="inlineStr">
        <is>
          <t>ENKÖPING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9231-2023</t>
        </is>
      </c>
      <c r="B530" s="1" t="n">
        <v>44980</v>
      </c>
      <c r="C530" s="1" t="n">
        <v>45852</v>
      </c>
      <c r="D530" t="inlineStr">
        <is>
          <t>UPPSALA LÄN</t>
        </is>
      </c>
      <c r="E530" t="inlineStr">
        <is>
          <t>ENKÖPING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11005-2023</t>
        </is>
      </c>
      <c r="B531" s="1" t="n">
        <v>44991</v>
      </c>
      <c r="C531" s="1" t="n">
        <v>45852</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12360-2023</t>
        </is>
      </c>
      <c r="B532" s="1" t="n">
        <v>44999</v>
      </c>
      <c r="C532" s="1" t="n">
        <v>45852</v>
      </c>
      <c r="D532" t="inlineStr">
        <is>
          <t>UPPSALA LÄN</t>
        </is>
      </c>
      <c r="E532" t="inlineStr">
        <is>
          <t>ENKÖPING</t>
        </is>
      </c>
      <c r="G532" t="n">
        <v>6.3</v>
      </c>
      <c r="H532" t="n">
        <v>0</v>
      </c>
      <c r="I532" t="n">
        <v>0</v>
      </c>
      <c r="J532" t="n">
        <v>0</v>
      </c>
      <c r="K532" t="n">
        <v>0</v>
      </c>
      <c r="L532" t="n">
        <v>0</v>
      </c>
      <c r="M532" t="n">
        <v>0</v>
      </c>
      <c r="N532" t="n">
        <v>0</v>
      </c>
      <c r="O532" t="n">
        <v>0</v>
      </c>
      <c r="P532" t="n">
        <v>0</v>
      </c>
      <c r="Q532" t="n">
        <v>0</v>
      </c>
      <c r="R532" s="2" t="inlineStr"/>
    </row>
    <row r="533" ht="15" customHeight="1">
      <c r="A533" t="inlineStr">
        <is>
          <t>A 13140-2023</t>
        </is>
      </c>
      <c r="B533" s="1" t="n">
        <v>45001</v>
      </c>
      <c r="C533" s="1" t="n">
        <v>45852</v>
      </c>
      <c r="D533" t="inlineStr">
        <is>
          <t>UPPSALA LÄN</t>
        </is>
      </c>
      <c r="E533" t="inlineStr">
        <is>
          <t>ENKÖPING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13099-2023</t>
        </is>
      </c>
      <c r="B534" s="1" t="n">
        <v>45001</v>
      </c>
      <c r="C534" s="1" t="n">
        <v>45852</v>
      </c>
      <c r="D534" t="inlineStr">
        <is>
          <t>UPPSALA LÄN</t>
        </is>
      </c>
      <c r="E534" t="inlineStr">
        <is>
          <t>ENKÖPING</t>
        </is>
      </c>
      <c r="G534" t="n">
        <v>10.5</v>
      </c>
      <c r="H534" t="n">
        <v>0</v>
      </c>
      <c r="I534" t="n">
        <v>0</v>
      </c>
      <c r="J534" t="n">
        <v>0</v>
      </c>
      <c r="K534" t="n">
        <v>0</v>
      </c>
      <c r="L534" t="n">
        <v>0</v>
      </c>
      <c r="M534" t="n">
        <v>0</v>
      </c>
      <c r="N534" t="n">
        <v>0</v>
      </c>
      <c r="O534" t="n">
        <v>0</v>
      </c>
      <c r="P534" t="n">
        <v>0</v>
      </c>
      <c r="Q534" t="n">
        <v>0</v>
      </c>
      <c r="R534" s="2" t="inlineStr"/>
    </row>
    <row r="535" ht="15" customHeight="1">
      <c r="A535" t="inlineStr">
        <is>
          <t>A 13110-2023</t>
        </is>
      </c>
      <c r="B535" s="1" t="n">
        <v>45001</v>
      </c>
      <c r="C535" s="1" t="n">
        <v>45852</v>
      </c>
      <c r="D535" t="inlineStr">
        <is>
          <t>UPPSALA LÄN</t>
        </is>
      </c>
      <c r="E535" t="inlineStr">
        <is>
          <t>ENKÖPING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13836-2023</t>
        </is>
      </c>
      <c r="B536" s="1" t="n">
        <v>45007</v>
      </c>
      <c r="C536" s="1" t="n">
        <v>45852</v>
      </c>
      <c r="D536" t="inlineStr">
        <is>
          <t>UPPSALA LÄN</t>
        </is>
      </c>
      <c r="E536" t="inlineStr">
        <is>
          <t>ENKÖPING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13853-2023</t>
        </is>
      </c>
      <c r="B537" s="1" t="n">
        <v>45007</v>
      </c>
      <c r="C537" s="1" t="n">
        <v>45852</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13867-2023</t>
        </is>
      </c>
      <c r="B538" s="1" t="n">
        <v>45007</v>
      </c>
      <c r="C538" s="1" t="n">
        <v>45852</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14004-2023</t>
        </is>
      </c>
      <c r="B539" s="1" t="n">
        <v>45008</v>
      </c>
      <c r="C539" s="1" t="n">
        <v>45852</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14402-2023</t>
        </is>
      </c>
      <c r="B540" s="1" t="n">
        <v>45012</v>
      </c>
      <c r="C540" s="1" t="n">
        <v>45852</v>
      </c>
      <c r="D540" t="inlineStr">
        <is>
          <t>UPPSALA LÄN</t>
        </is>
      </c>
      <c r="E540" t="inlineStr">
        <is>
          <t>ENKÖPING</t>
        </is>
      </c>
      <c r="G540" t="n">
        <v>9.5</v>
      </c>
      <c r="H540" t="n">
        <v>0</v>
      </c>
      <c r="I540" t="n">
        <v>0</v>
      </c>
      <c r="J540" t="n">
        <v>0</v>
      </c>
      <c r="K540" t="n">
        <v>0</v>
      </c>
      <c r="L540" t="n">
        <v>0</v>
      </c>
      <c r="M540" t="n">
        <v>0</v>
      </c>
      <c r="N540" t="n">
        <v>0</v>
      </c>
      <c r="O540" t="n">
        <v>0</v>
      </c>
      <c r="P540" t="n">
        <v>0</v>
      </c>
      <c r="Q540" t="n">
        <v>0</v>
      </c>
      <c r="R540" s="2" t="inlineStr"/>
    </row>
    <row r="541" ht="15" customHeight="1">
      <c r="A541" t="inlineStr">
        <is>
          <t>A 15320-2023</t>
        </is>
      </c>
      <c r="B541" s="1" t="n">
        <v>45019</v>
      </c>
      <c r="C541" s="1" t="n">
        <v>45852</v>
      </c>
      <c r="D541" t="inlineStr">
        <is>
          <t>UPPSALA LÄN</t>
        </is>
      </c>
      <c r="E541" t="inlineStr">
        <is>
          <t>ENKÖPING</t>
        </is>
      </c>
      <c r="G541" t="n">
        <v>8</v>
      </c>
      <c r="H541" t="n">
        <v>0</v>
      </c>
      <c r="I541" t="n">
        <v>0</v>
      </c>
      <c r="J541" t="n">
        <v>0</v>
      </c>
      <c r="K541" t="n">
        <v>0</v>
      </c>
      <c r="L541" t="n">
        <v>0</v>
      </c>
      <c r="M541" t="n">
        <v>0</v>
      </c>
      <c r="N541" t="n">
        <v>0</v>
      </c>
      <c r="O541" t="n">
        <v>0</v>
      </c>
      <c r="P541" t="n">
        <v>0</v>
      </c>
      <c r="Q541" t="n">
        <v>0</v>
      </c>
      <c r="R541" s="2" t="inlineStr"/>
    </row>
    <row r="542" ht="15" customHeight="1">
      <c r="A542" t="inlineStr">
        <is>
          <t>A 15757-2023</t>
        </is>
      </c>
      <c r="B542" s="1" t="n">
        <v>45021</v>
      </c>
      <c r="C542" s="1" t="n">
        <v>45852</v>
      </c>
      <c r="D542" t="inlineStr">
        <is>
          <t>UPPSALA LÄN</t>
        </is>
      </c>
      <c r="E542" t="inlineStr">
        <is>
          <t>ENKÖPING</t>
        </is>
      </c>
      <c r="G542" t="n">
        <v>3</v>
      </c>
      <c r="H542" t="n">
        <v>0</v>
      </c>
      <c r="I542" t="n">
        <v>0</v>
      </c>
      <c r="J542" t="n">
        <v>0</v>
      </c>
      <c r="K542" t="n">
        <v>0</v>
      </c>
      <c r="L542" t="n">
        <v>0</v>
      </c>
      <c r="M542" t="n">
        <v>0</v>
      </c>
      <c r="N542" t="n">
        <v>0</v>
      </c>
      <c r="O542" t="n">
        <v>0</v>
      </c>
      <c r="P542" t="n">
        <v>0</v>
      </c>
      <c r="Q542" t="n">
        <v>0</v>
      </c>
      <c r="R542" s="2" t="inlineStr"/>
    </row>
    <row r="543" ht="15" customHeight="1">
      <c r="A543" t="inlineStr">
        <is>
          <t>A 16320-2023</t>
        </is>
      </c>
      <c r="B543" s="1" t="n">
        <v>45028</v>
      </c>
      <c r="C543" s="1" t="n">
        <v>45852</v>
      </c>
      <c r="D543" t="inlineStr">
        <is>
          <t>UPPSALA LÄN</t>
        </is>
      </c>
      <c r="E543" t="inlineStr">
        <is>
          <t>ENKÖPING</t>
        </is>
      </c>
      <c r="G543" t="n">
        <v>5.2</v>
      </c>
      <c r="H543" t="n">
        <v>0</v>
      </c>
      <c r="I543" t="n">
        <v>0</v>
      </c>
      <c r="J543" t="n">
        <v>0</v>
      </c>
      <c r="K543" t="n">
        <v>0</v>
      </c>
      <c r="L543" t="n">
        <v>0</v>
      </c>
      <c r="M543" t="n">
        <v>0</v>
      </c>
      <c r="N543" t="n">
        <v>0</v>
      </c>
      <c r="O543" t="n">
        <v>0</v>
      </c>
      <c r="P543" t="n">
        <v>0</v>
      </c>
      <c r="Q543" t="n">
        <v>0</v>
      </c>
      <c r="R543" s="2" t="inlineStr"/>
    </row>
    <row r="544" ht="15" customHeight="1">
      <c r="A544" t="inlineStr">
        <is>
          <t>A 16905-2023</t>
        </is>
      </c>
      <c r="B544" s="1" t="n">
        <v>45033</v>
      </c>
      <c r="C544" s="1" t="n">
        <v>45852</v>
      </c>
      <c r="D544" t="inlineStr">
        <is>
          <t>UPPSALA LÄN</t>
        </is>
      </c>
      <c r="E544" t="inlineStr">
        <is>
          <t>ENKÖPING</t>
        </is>
      </c>
      <c r="G544" t="n">
        <v>3.6</v>
      </c>
      <c r="H544" t="n">
        <v>0</v>
      </c>
      <c r="I544" t="n">
        <v>0</v>
      </c>
      <c r="J544" t="n">
        <v>0</v>
      </c>
      <c r="K544" t="n">
        <v>0</v>
      </c>
      <c r="L544" t="n">
        <v>0</v>
      </c>
      <c r="M544" t="n">
        <v>0</v>
      </c>
      <c r="N544" t="n">
        <v>0</v>
      </c>
      <c r="O544" t="n">
        <v>0</v>
      </c>
      <c r="P544" t="n">
        <v>0</v>
      </c>
      <c r="Q544" t="n">
        <v>0</v>
      </c>
      <c r="R544" s="2" t="inlineStr"/>
    </row>
    <row r="545" ht="15" customHeight="1">
      <c r="A545" t="inlineStr">
        <is>
          <t>A 16916-2023</t>
        </is>
      </c>
      <c r="B545" s="1" t="n">
        <v>45033</v>
      </c>
      <c r="C545" s="1" t="n">
        <v>45852</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16920-2023</t>
        </is>
      </c>
      <c r="B546" s="1" t="n">
        <v>45033</v>
      </c>
      <c r="C546" s="1" t="n">
        <v>45852</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17254-2023</t>
        </is>
      </c>
      <c r="B547" s="1" t="n">
        <v>45034</v>
      </c>
      <c r="C547" s="1" t="n">
        <v>45852</v>
      </c>
      <c r="D547" t="inlineStr">
        <is>
          <t>UPPSALA LÄN</t>
        </is>
      </c>
      <c r="E547" t="inlineStr">
        <is>
          <t>ENKÖPING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17511-2023</t>
        </is>
      </c>
      <c r="B548" s="1" t="n">
        <v>45034</v>
      </c>
      <c r="C548" s="1" t="n">
        <v>45852</v>
      </c>
      <c r="D548" t="inlineStr">
        <is>
          <t>UPPSALA LÄN</t>
        </is>
      </c>
      <c r="E548" t="inlineStr">
        <is>
          <t>ENKÖPING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17373-2023</t>
        </is>
      </c>
      <c r="B549" s="1" t="n">
        <v>45035</v>
      </c>
      <c r="C549" s="1" t="n">
        <v>45852</v>
      </c>
      <c r="D549" t="inlineStr">
        <is>
          <t>UPPSALA LÄN</t>
        </is>
      </c>
      <c r="E549" t="inlineStr">
        <is>
          <t>ENKÖPING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17729-2023</t>
        </is>
      </c>
      <c r="B550" s="1" t="n">
        <v>45037</v>
      </c>
      <c r="C550" s="1" t="n">
        <v>45852</v>
      </c>
      <c r="D550" t="inlineStr">
        <is>
          <t>UPPSALA LÄN</t>
        </is>
      </c>
      <c r="E550" t="inlineStr">
        <is>
          <t>ENKÖPING</t>
        </is>
      </c>
      <c r="G550" t="n">
        <v>10.2</v>
      </c>
      <c r="H550" t="n">
        <v>0</v>
      </c>
      <c r="I550" t="n">
        <v>0</v>
      </c>
      <c r="J550" t="n">
        <v>0</v>
      </c>
      <c r="K550" t="n">
        <v>0</v>
      </c>
      <c r="L550" t="n">
        <v>0</v>
      </c>
      <c r="M550" t="n">
        <v>0</v>
      </c>
      <c r="N550" t="n">
        <v>0</v>
      </c>
      <c r="O550" t="n">
        <v>0</v>
      </c>
      <c r="P550" t="n">
        <v>0</v>
      </c>
      <c r="Q550" t="n">
        <v>0</v>
      </c>
      <c r="R550" s="2" t="inlineStr"/>
    </row>
    <row r="551" ht="15" customHeight="1">
      <c r="A551" t="inlineStr">
        <is>
          <t>A 17813-2023</t>
        </is>
      </c>
      <c r="B551" s="1" t="n">
        <v>45037</v>
      </c>
      <c r="C551" s="1" t="n">
        <v>45852</v>
      </c>
      <c r="D551" t="inlineStr">
        <is>
          <t>UPPSALA LÄN</t>
        </is>
      </c>
      <c r="E551" t="inlineStr">
        <is>
          <t>ENKÖPING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18030-2023</t>
        </is>
      </c>
      <c r="B552" s="1" t="n">
        <v>45040</v>
      </c>
      <c r="C552" s="1" t="n">
        <v>45852</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18696-2023</t>
        </is>
      </c>
      <c r="B553" s="1" t="n">
        <v>45043</v>
      </c>
      <c r="C553" s="1" t="n">
        <v>45852</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18821-2023</t>
        </is>
      </c>
      <c r="B554" s="1" t="n">
        <v>45044</v>
      </c>
      <c r="C554" s="1" t="n">
        <v>45852</v>
      </c>
      <c r="D554" t="inlineStr">
        <is>
          <t>UPPSALA LÄN</t>
        </is>
      </c>
      <c r="E554" t="inlineStr">
        <is>
          <t>ENKÖPING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18831-2023</t>
        </is>
      </c>
      <c r="B555" s="1" t="n">
        <v>45044</v>
      </c>
      <c r="C555" s="1" t="n">
        <v>45852</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19298-2023</t>
        </is>
      </c>
      <c r="B556" s="1" t="n">
        <v>45048</v>
      </c>
      <c r="C556" s="1" t="n">
        <v>45852</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19301-2023</t>
        </is>
      </c>
      <c r="B557" s="1" t="n">
        <v>45048</v>
      </c>
      <c r="C557" s="1" t="n">
        <v>45852</v>
      </c>
      <c r="D557" t="inlineStr">
        <is>
          <t>UPPSALA LÄN</t>
        </is>
      </c>
      <c r="E557" t="inlineStr">
        <is>
          <t>ENKÖPING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19415-2023</t>
        </is>
      </c>
      <c r="B558" s="1" t="n">
        <v>45049</v>
      </c>
      <c r="C558" s="1" t="n">
        <v>45852</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20431-2023</t>
        </is>
      </c>
      <c r="B559" s="1" t="n">
        <v>45054</v>
      </c>
      <c r="C559" s="1" t="n">
        <v>45852</v>
      </c>
      <c r="D559" t="inlineStr">
        <is>
          <t>UPPSALA LÄN</t>
        </is>
      </c>
      <c r="E559" t="inlineStr">
        <is>
          <t>ENKÖPING</t>
        </is>
      </c>
      <c r="F559" t="inlineStr">
        <is>
          <t>Övriga statliga verk och myndigheter</t>
        </is>
      </c>
      <c r="G559" t="n">
        <v>3.3</v>
      </c>
      <c r="H559" t="n">
        <v>0</v>
      </c>
      <c r="I559" t="n">
        <v>0</v>
      </c>
      <c r="J559" t="n">
        <v>0</v>
      </c>
      <c r="K559" t="n">
        <v>0</v>
      </c>
      <c r="L559" t="n">
        <v>0</v>
      </c>
      <c r="M559" t="n">
        <v>0</v>
      </c>
      <c r="N559" t="n">
        <v>0</v>
      </c>
      <c r="O559" t="n">
        <v>0</v>
      </c>
      <c r="P559" t="n">
        <v>0</v>
      </c>
      <c r="Q559" t="n">
        <v>0</v>
      </c>
      <c r="R559" s="2" t="inlineStr"/>
    </row>
    <row r="560" ht="15" customHeight="1">
      <c r="A560" t="inlineStr">
        <is>
          <t>A 20179-2023</t>
        </is>
      </c>
      <c r="B560" s="1" t="n">
        <v>45055</v>
      </c>
      <c r="C560" s="1" t="n">
        <v>45852</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20184-2023</t>
        </is>
      </c>
      <c r="B561" s="1" t="n">
        <v>45055</v>
      </c>
      <c r="C561" s="1" t="n">
        <v>45852</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20188-2023</t>
        </is>
      </c>
      <c r="B562" s="1" t="n">
        <v>45055</v>
      </c>
      <c r="C562" s="1" t="n">
        <v>45852</v>
      </c>
      <c r="D562" t="inlineStr">
        <is>
          <t>UPPSALA LÄN</t>
        </is>
      </c>
      <c r="E562" t="inlineStr">
        <is>
          <t>ENKÖPING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20201-2023</t>
        </is>
      </c>
      <c r="B563" s="1" t="n">
        <v>45055</v>
      </c>
      <c r="C563" s="1" t="n">
        <v>45852</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20181-2023</t>
        </is>
      </c>
      <c r="B564" s="1" t="n">
        <v>45055</v>
      </c>
      <c r="C564" s="1" t="n">
        <v>45852</v>
      </c>
      <c r="D564" t="inlineStr">
        <is>
          <t>UPPSALA LÄN</t>
        </is>
      </c>
      <c r="E564" t="inlineStr">
        <is>
          <t>ENKÖPING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20186-2023</t>
        </is>
      </c>
      <c r="B565" s="1" t="n">
        <v>45055</v>
      </c>
      <c r="C565" s="1" t="n">
        <v>45852</v>
      </c>
      <c r="D565" t="inlineStr">
        <is>
          <t>UPPSALA LÄN</t>
        </is>
      </c>
      <c r="E565" t="inlineStr">
        <is>
          <t>ENKÖPING</t>
        </is>
      </c>
      <c r="G565" t="n">
        <v>4.3</v>
      </c>
      <c r="H565" t="n">
        <v>0</v>
      </c>
      <c r="I565" t="n">
        <v>0</v>
      </c>
      <c r="J565" t="n">
        <v>0</v>
      </c>
      <c r="K565" t="n">
        <v>0</v>
      </c>
      <c r="L565" t="n">
        <v>0</v>
      </c>
      <c r="M565" t="n">
        <v>0</v>
      </c>
      <c r="N565" t="n">
        <v>0</v>
      </c>
      <c r="O565" t="n">
        <v>0</v>
      </c>
      <c r="P565" t="n">
        <v>0</v>
      </c>
      <c r="Q565" t="n">
        <v>0</v>
      </c>
      <c r="R565" s="2" t="inlineStr"/>
    </row>
    <row r="566" ht="15" customHeight="1">
      <c r="A566" t="inlineStr">
        <is>
          <t>A 20199-2023</t>
        </is>
      </c>
      <c r="B566" s="1" t="n">
        <v>45055</v>
      </c>
      <c r="C566" s="1" t="n">
        <v>45852</v>
      </c>
      <c r="D566" t="inlineStr">
        <is>
          <t>UPPSALA LÄN</t>
        </is>
      </c>
      <c r="E566" t="inlineStr">
        <is>
          <t>ENKÖPING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20261-2023</t>
        </is>
      </c>
      <c r="B567" s="1" t="n">
        <v>45055</v>
      </c>
      <c r="C567" s="1" t="n">
        <v>45852</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20396-2023</t>
        </is>
      </c>
      <c r="B568" s="1" t="n">
        <v>45056</v>
      </c>
      <c r="C568" s="1" t="n">
        <v>45852</v>
      </c>
      <c r="D568" t="inlineStr">
        <is>
          <t>UPPSALA LÄN</t>
        </is>
      </c>
      <c r="E568" t="inlineStr">
        <is>
          <t>ENKÖPING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20845-2023</t>
        </is>
      </c>
      <c r="B569" s="1" t="n">
        <v>45056</v>
      </c>
      <c r="C569" s="1" t="n">
        <v>45852</v>
      </c>
      <c r="D569" t="inlineStr">
        <is>
          <t>UPPSALA LÄN</t>
        </is>
      </c>
      <c r="E569" t="inlineStr">
        <is>
          <t>ENKÖPING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20897-2023</t>
        </is>
      </c>
      <c r="B570" s="1" t="n">
        <v>45059</v>
      </c>
      <c r="C570" s="1" t="n">
        <v>45852</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21020-2023</t>
        </is>
      </c>
      <c r="B571" s="1" t="n">
        <v>45061</v>
      </c>
      <c r="C571" s="1" t="n">
        <v>45852</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21017-2023</t>
        </is>
      </c>
      <c r="B572" s="1" t="n">
        <v>45061</v>
      </c>
      <c r="C572" s="1" t="n">
        <v>45852</v>
      </c>
      <c r="D572" t="inlineStr">
        <is>
          <t>UPPSALA LÄN</t>
        </is>
      </c>
      <c r="E572" t="inlineStr">
        <is>
          <t>ENKÖPING</t>
        </is>
      </c>
      <c r="G572" t="n">
        <v>4.8</v>
      </c>
      <c r="H572" t="n">
        <v>0</v>
      </c>
      <c r="I572" t="n">
        <v>0</v>
      </c>
      <c r="J572" t="n">
        <v>0</v>
      </c>
      <c r="K572" t="n">
        <v>0</v>
      </c>
      <c r="L572" t="n">
        <v>0</v>
      </c>
      <c r="M572" t="n">
        <v>0</v>
      </c>
      <c r="N572" t="n">
        <v>0</v>
      </c>
      <c r="O572" t="n">
        <v>0</v>
      </c>
      <c r="P572" t="n">
        <v>0</v>
      </c>
      <c r="Q572" t="n">
        <v>0</v>
      </c>
      <c r="R572" s="2" t="inlineStr"/>
    </row>
    <row r="573" ht="15" customHeight="1">
      <c r="A573" t="inlineStr">
        <is>
          <t>A 21620-2023</t>
        </is>
      </c>
      <c r="B573" s="1" t="n">
        <v>45063</v>
      </c>
      <c r="C573" s="1" t="n">
        <v>45852</v>
      </c>
      <c r="D573" t="inlineStr">
        <is>
          <t>UPPSALA LÄN</t>
        </is>
      </c>
      <c r="E573" t="inlineStr">
        <is>
          <t>ENKÖPING</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21612-2023</t>
        </is>
      </c>
      <c r="B574" s="1" t="n">
        <v>45063</v>
      </c>
      <c r="C574" s="1" t="n">
        <v>45852</v>
      </c>
      <c r="D574" t="inlineStr">
        <is>
          <t>UPPSALA LÄN</t>
        </is>
      </c>
      <c r="E574" t="inlineStr">
        <is>
          <t>ENKÖPING</t>
        </is>
      </c>
      <c r="F574" t="inlineStr">
        <is>
          <t>Allmännings- och besparingsskogar</t>
        </is>
      </c>
      <c r="G574" t="n">
        <v>1</v>
      </c>
      <c r="H574" t="n">
        <v>0</v>
      </c>
      <c r="I574" t="n">
        <v>0</v>
      </c>
      <c r="J574" t="n">
        <v>0</v>
      </c>
      <c r="K574" t="n">
        <v>0</v>
      </c>
      <c r="L574" t="n">
        <v>0</v>
      </c>
      <c r="M574" t="n">
        <v>0</v>
      </c>
      <c r="N574" t="n">
        <v>0</v>
      </c>
      <c r="O574" t="n">
        <v>0</v>
      </c>
      <c r="P574" t="n">
        <v>0</v>
      </c>
      <c r="Q574" t="n">
        <v>0</v>
      </c>
      <c r="R574" s="2" t="inlineStr"/>
    </row>
    <row r="575" ht="15" customHeight="1">
      <c r="A575" t="inlineStr">
        <is>
          <t>A 22094-2023</t>
        </is>
      </c>
      <c r="B575" s="1" t="n">
        <v>45069</v>
      </c>
      <c r="C575" s="1" t="n">
        <v>45852</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25333-2023</t>
        </is>
      </c>
      <c r="B576" s="1" t="n">
        <v>45083</v>
      </c>
      <c r="C576" s="1" t="n">
        <v>45852</v>
      </c>
      <c r="D576" t="inlineStr">
        <is>
          <t>UPPSALA LÄN</t>
        </is>
      </c>
      <c r="E576" t="inlineStr">
        <is>
          <t>ENKÖPING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25334-2023</t>
        </is>
      </c>
      <c r="B577" s="1" t="n">
        <v>45083</v>
      </c>
      <c r="C577" s="1" t="n">
        <v>45852</v>
      </c>
      <c r="D577" t="inlineStr">
        <is>
          <t>UPPSALA LÄN</t>
        </is>
      </c>
      <c r="E577" t="inlineStr">
        <is>
          <t>ENKÖPING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24962-2023</t>
        </is>
      </c>
      <c r="B578" s="1" t="n">
        <v>45085</v>
      </c>
      <c r="C578" s="1" t="n">
        <v>45852</v>
      </c>
      <c r="D578" t="inlineStr">
        <is>
          <t>UPPSALA LÄN</t>
        </is>
      </c>
      <c r="E578" t="inlineStr">
        <is>
          <t>ENKÖPING</t>
        </is>
      </c>
      <c r="G578" t="n">
        <v>2.8</v>
      </c>
      <c r="H578" t="n">
        <v>0</v>
      </c>
      <c r="I578" t="n">
        <v>0</v>
      </c>
      <c r="J578" t="n">
        <v>0</v>
      </c>
      <c r="K578" t="n">
        <v>0</v>
      </c>
      <c r="L578" t="n">
        <v>0</v>
      </c>
      <c r="M578" t="n">
        <v>0</v>
      </c>
      <c r="N578" t="n">
        <v>0</v>
      </c>
      <c r="O578" t="n">
        <v>0</v>
      </c>
      <c r="P578" t="n">
        <v>0</v>
      </c>
      <c r="Q578" t="n">
        <v>0</v>
      </c>
      <c r="R578" s="2" t="inlineStr"/>
    </row>
    <row r="579" ht="15" customHeight="1">
      <c r="A579" t="inlineStr">
        <is>
          <t>A 24960-2023</t>
        </is>
      </c>
      <c r="B579" s="1" t="n">
        <v>45085</v>
      </c>
      <c r="C579" s="1" t="n">
        <v>45852</v>
      </c>
      <c r="D579" t="inlineStr">
        <is>
          <t>UPPSALA LÄN</t>
        </is>
      </c>
      <c r="E579" t="inlineStr">
        <is>
          <t>ENKÖPING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24974-2023</t>
        </is>
      </c>
      <c r="B580" s="1" t="n">
        <v>45085</v>
      </c>
      <c r="C580" s="1" t="n">
        <v>45852</v>
      </c>
      <c r="D580" t="inlineStr">
        <is>
          <t>UPPSALA LÄN</t>
        </is>
      </c>
      <c r="E580" t="inlineStr">
        <is>
          <t>ENKÖPING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24978-2023</t>
        </is>
      </c>
      <c r="B581" s="1" t="n">
        <v>45085</v>
      </c>
      <c r="C581" s="1" t="n">
        <v>45852</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26577-2023</t>
        </is>
      </c>
      <c r="B582" s="1" t="n">
        <v>45092</v>
      </c>
      <c r="C582" s="1" t="n">
        <v>45852</v>
      </c>
      <c r="D582" t="inlineStr">
        <is>
          <t>UPPSALA LÄN</t>
        </is>
      </c>
      <c r="E582" t="inlineStr">
        <is>
          <t>ENKÖPING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27178-2023</t>
        </is>
      </c>
      <c r="B583" s="1" t="n">
        <v>45096</v>
      </c>
      <c r="C583" s="1" t="n">
        <v>45852</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27538-2023</t>
        </is>
      </c>
      <c r="B584" s="1" t="n">
        <v>45097</v>
      </c>
      <c r="C584" s="1" t="n">
        <v>45852</v>
      </c>
      <c r="D584" t="inlineStr">
        <is>
          <t>UPPSALA LÄN</t>
        </is>
      </c>
      <c r="E584" t="inlineStr">
        <is>
          <t>ENKÖPING</t>
        </is>
      </c>
      <c r="G584" t="n">
        <v>5.8</v>
      </c>
      <c r="H584" t="n">
        <v>0</v>
      </c>
      <c r="I584" t="n">
        <v>0</v>
      </c>
      <c r="J584" t="n">
        <v>0</v>
      </c>
      <c r="K584" t="n">
        <v>0</v>
      </c>
      <c r="L584" t="n">
        <v>0</v>
      </c>
      <c r="M584" t="n">
        <v>0</v>
      </c>
      <c r="N584" t="n">
        <v>0</v>
      </c>
      <c r="O584" t="n">
        <v>0</v>
      </c>
      <c r="P584" t="n">
        <v>0</v>
      </c>
      <c r="Q584" t="n">
        <v>0</v>
      </c>
      <c r="R584" s="2" t="inlineStr"/>
    </row>
    <row r="585" ht="15" customHeight="1">
      <c r="A585" t="inlineStr">
        <is>
          <t>A 27730-2023</t>
        </is>
      </c>
      <c r="B585" s="1" t="n">
        <v>45097</v>
      </c>
      <c r="C585" s="1" t="n">
        <v>45852</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27805-2023</t>
        </is>
      </c>
      <c r="B586" s="1" t="n">
        <v>45098</v>
      </c>
      <c r="C586" s="1" t="n">
        <v>45852</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27839-2023</t>
        </is>
      </c>
      <c r="B587" s="1" t="n">
        <v>45098</v>
      </c>
      <c r="C587" s="1" t="n">
        <v>45852</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27786-2023</t>
        </is>
      </c>
      <c r="B588" s="1" t="n">
        <v>45098</v>
      </c>
      <c r="C588" s="1" t="n">
        <v>45852</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27855-2023</t>
        </is>
      </c>
      <c r="B589" s="1" t="n">
        <v>45098</v>
      </c>
      <c r="C589" s="1" t="n">
        <v>45852</v>
      </c>
      <c r="D589" t="inlineStr">
        <is>
          <t>UPPSALA LÄN</t>
        </is>
      </c>
      <c r="E589" t="inlineStr">
        <is>
          <t>ENKÖPING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27928-2023</t>
        </is>
      </c>
      <c r="B590" s="1" t="n">
        <v>45098</v>
      </c>
      <c r="C590" s="1" t="n">
        <v>45852</v>
      </c>
      <c r="D590" t="inlineStr">
        <is>
          <t>UPPSALA LÄN</t>
        </is>
      </c>
      <c r="E590" t="inlineStr">
        <is>
          <t>ENKÖPING</t>
        </is>
      </c>
      <c r="G590" t="n">
        <v>11.5</v>
      </c>
      <c r="H590" t="n">
        <v>0</v>
      </c>
      <c r="I590" t="n">
        <v>0</v>
      </c>
      <c r="J590" t="n">
        <v>0</v>
      </c>
      <c r="K590" t="n">
        <v>0</v>
      </c>
      <c r="L590" t="n">
        <v>0</v>
      </c>
      <c r="M590" t="n">
        <v>0</v>
      </c>
      <c r="N590" t="n">
        <v>0</v>
      </c>
      <c r="O590" t="n">
        <v>0</v>
      </c>
      <c r="P590" t="n">
        <v>0</v>
      </c>
      <c r="Q590" t="n">
        <v>0</v>
      </c>
      <c r="R590" s="2" t="inlineStr"/>
    </row>
    <row r="591" ht="15" customHeight="1">
      <c r="A591" t="inlineStr">
        <is>
          <t>A 28243-2023</t>
        </is>
      </c>
      <c r="B591" s="1" t="n">
        <v>45099</v>
      </c>
      <c r="C591" s="1" t="n">
        <v>45852</v>
      </c>
      <c r="D591" t="inlineStr">
        <is>
          <t>UPPSALA LÄN</t>
        </is>
      </c>
      <c r="E591" t="inlineStr">
        <is>
          <t>ENKÖPING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29917-2023</t>
        </is>
      </c>
      <c r="B592" s="1" t="n">
        <v>45099</v>
      </c>
      <c r="C592" s="1" t="n">
        <v>45852</v>
      </c>
      <c r="D592" t="inlineStr">
        <is>
          <t>UPPSALA LÄN</t>
        </is>
      </c>
      <c r="E592" t="inlineStr">
        <is>
          <t>ENKÖPING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29918-2023</t>
        </is>
      </c>
      <c r="B593" s="1" t="n">
        <v>45099</v>
      </c>
      <c r="C593" s="1" t="n">
        <v>45852</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31573-2023</t>
        </is>
      </c>
      <c r="B594" s="1" t="n">
        <v>45104</v>
      </c>
      <c r="C594" s="1" t="n">
        <v>45852</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30950-2023</t>
        </is>
      </c>
      <c r="B595" s="1" t="n">
        <v>45113</v>
      </c>
      <c r="C595" s="1" t="n">
        <v>45852</v>
      </c>
      <c r="D595" t="inlineStr">
        <is>
          <t>UPPSALA LÄN</t>
        </is>
      </c>
      <c r="E595" t="inlineStr">
        <is>
          <t>ENKÖPING</t>
        </is>
      </c>
      <c r="G595" t="n">
        <v>6.8</v>
      </c>
      <c r="H595" t="n">
        <v>0</v>
      </c>
      <c r="I595" t="n">
        <v>0</v>
      </c>
      <c r="J595" t="n">
        <v>0</v>
      </c>
      <c r="K595" t="n">
        <v>0</v>
      </c>
      <c r="L595" t="n">
        <v>0</v>
      </c>
      <c r="M595" t="n">
        <v>0</v>
      </c>
      <c r="N595" t="n">
        <v>0</v>
      </c>
      <c r="O595" t="n">
        <v>0</v>
      </c>
      <c r="P595" t="n">
        <v>0</v>
      </c>
      <c r="Q595" t="n">
        <v>0</v>
      </c>
      <c r="R595" s="2" t="inlineStr"/>
    </row>
    <row r="596" ht="15" customHeight="1">
      <c r="A596" t="inlineStr">
        <is>
          <t>A 31163-2023</t>
        </is>
      </c>
      <c r="B596" s="1" t="n">
        <v>45113</v>
      </c>
      <c r="C596" s="1" t="n">
        <v>45852</v>
      </c>
      <c r="D596" t="inlineStr">
        <is>
          <t>UPPSALA LÄN</t>
        </is>
      </c>
      <c r="E596" t="inlineStr">
        <is>
          <t>ENKÖPING</t>
        </is>
      </c>
      <c r="G596" t="n">
        <v>5.6</v>
      </c>
      <c r="H596" t="n">
        <v>0</v>
      </c>
      <c r="I596" t="n">
        <v>0</v>
      </c>
      <c r="J596" t="n">
        <v>0</v>
      </c>
      <c r="K596" t="n">
        <v>0</v>
      </c>
      <c r="L596" t="n">
        <v>0</v>
      </c>
      <c r="M596" t="n">
        <v>0</v>
      </c>
      <c r="N596" t="n">
        <v>0</v>
      </c>
      <c r="O596" t="n">
        <v>0</v>
      </c>
      <c r="P596" t="n">
        <v>0</v>
      </c>
      <c r="Q596" t="n">
        <v>0</v>
      </c>
      <c r="R596" s="2" t="inlineStr"/>
    </row>
    <row r="597" ht="15" customHeight="1">
      <c r="A597" t="inlineStr">
        <is>
          <t>A 31557-2023</t>
        </is>
      </c>
      <c r="B597" s="1" t="n">
        <v>45117</v>
      </c>
      <c r="C597" s="1" t="n">
        <v>45852</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31559-2023</t>
        </is>
      </c>
      <c r="B598" s="1" t="n">
        <v>45117</v>
      </c>
      <c r="C598" s="1" t="n">
        <v>45852</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31604-2023</t>
        </is>
      </c>
      <c r="B599" s="1" t="n">
        <v>45117</v>
      </c>
      <c r="C599" s="1" t="n">
        <v>45852</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31636-2023</t>
        </is>
      </c>
      <c r="B600" s="1" t="n">
        <v>45117</v>
      </c>
      <c r="C600" s="1" t="n">
        <v>45852</v>
      </c>
      <c r="D600" t="inlineStr">
        <is>
          <t>UPPSALA LÄN</t>
        </is>
      </c>
      <c r="E600" t="inlineStr">
        <is>
          <t>ENKÖPING</t>
        </is>
      </c>
      <c r="G600" t="n">
        <v>22.1</v>
      </c>
      <c r="H600" t="n">
        <v>0</v>
      </c>
      <c r="I600" t="n">
        <v>0</v>
      </c>
      <c r="J600" t="n">
        <v>0</v>
      </c>
      <c r="K600" t="n">
        <v>0</v>
      </c>
      <c r="L600" t="n">
        <v>0</v>
      </c>
      <c r="M600" t="n">
        <v>0</v>
      </c>
      <c r="N600" t="n">
        <v>0</v>
      </c>
      <c r="O600" t="n">
        <v>0</v>
      </c>
      <c r="P600" t="n">
        <v>0</v>
      </c>
      <c r="Q600" t="n">
        <v>0</v>
      </c>
      <c r="R600" s="2" t="inlineStr"/>
    </row>
    <row r="601" ht="15" customHeight="1">
      <c r="A601" t="inlineStr">
        <is>
          <t>A 31642-2023</t>
        </is>
      </c>
      <c r="B601" s="1" t="n">
        <v>45117</v>
      </c>
      <c r="C601" s="1" t="n">
        <v>45852</v>
      </c>
      <c r="D601" t="inlineStr">
        <is>
          <t>UPPSALA LÄN</t>
        </is>
      </c>
      <c r="E601" t="inlineStr">
        <is>
          <t>ENKÖPING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31648-2023</t>
        </is>
      </c>
      <c r="B602" s="1" t="n">
        <v>45117</v>
      </c>
      <c r="C602" s="1" t="n">
        <v>45852</v>
      </c>
      <c r="D602" t="inlineStr">
        <is>
          <t>UPPSALA LÄN</t>
        </is>
      </c>
      <c r="E602" t="inlineStr">
        <is>
          <t>ENKÖPING</t>
        </is>
      </c>
      <c r="G602" t="n">
        <v>12.9</v>
      </c>
      <c r="H602" t="n">
        <v>0</v>
      </c>
      <c r="I602" t="n">
        <v>0</v>
      </c>
      <c r="J602" t="n">
        <v>0</v>
      </c>
      <c r="K602" t="n">
        <v>0</v>
      </c>
      <c r="L602" t="n">
        <v>0</v>
      </c>
      <c r="M602" t="n">
        <v>0</v>
      </c>
      <c r="N602" t="n">
        <v>0</v>
      </c>
      <c r="O602" t="n">
        <v>0</v>
      </c>
      <c r="P602" t="n">
        <v>0</v>
      </c>
      <c r="Q602" t="n">
        <v>0</v>
      </c>
      <c r="R602" s="2" t="inlineStr"/>
    </row>
    <row r="603" ht="15" customHeight="1">
      <c r="A603" t="inlineStr">
        <is>
          <t>A 33581-2023</t>
        </is>
      </c>
      <c r="B603" s="1" t="n">
        <v>45131</v>
      </c>
      <c r="C603" s="1" t="n">
        <v>45852</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34735-2023</t>
        </is>
      </c>
      <c r="B604" s="1" t="n">
        <v>45139</v>
      </c>
      <c r="C604" s="1" t="n">
        <v>45852</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34743-2023</t>
        </is>
      </c>
      <c r="B605" s="1" t="n">
        <v>45141</v>
      </c>
      <c r="C605" s="1" t="n">
        <v>45852</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34961-2023</t>
        </is>
      </c>
      <c r="B606" s="1" t="n">
        <v>45142</v>
      </c>
      <c r="C606" s="1" t="n">
        <v>45852</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34960-2023</t>
        </is>
      </c>
      <c r="B607" s="1" t="n">
        <v>45142</v>
      </c>
      <c r="C607" s="1" t="n">
        <v>45852</v>
      </c>
      <c r="D607" t="inlineStr">
        <is>
          <t>UPPSALA LÄN</t>
        </is>
      </c>
      <c r="E607" t="inlineStr">
        <is>
          <t>ENKÖPING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35367-2023</t>
        </is>
      </c>
      <c r="B608" s="1" t="n">
        <v>45146</v>
      </c>
      <c r="C608" s="1" t="n">
        <v>45852</v>
      </c>
      <c r="D608" t="inlineStr">
        <is>
          <t>UPPSALA LÄN</t>
        </is>
      </c>
      <c r="E608" t="inlineStr">
        <is>
          <t>ENKÖPING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35684-2023</t>
        </is>
      </c>
      <c r="B609" s="1" t="n">
        <v>45147</v>
      </c>
      <c r="C609" s="1" t="n">
        <v>45852</v>
      </c>
      <c r="D609" t="inlineStr">
        <is>
          <t>UPPSALA LÄN</t>
        </is>
      </c>
      <c r="E609" t="inlineStr">
        <is>
          <t>ENKÖPING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37032-2023</t>
        </is>
      </c>
      <c r="B610" s="1" t="n">
        <v>45155</v>
      </c>
      <c r="C610" s="1" t="n">
        <v>45852</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37035-2023</t>
        </is>
      </c>
      <c r="B611" s="1" t="n">
        <v>45155</v>
      </c>
      <c r="C611" s="1" t="n">
        <v>45852</v>
      </c>
      <c r="D611" t="inlineStr">
        <is>
          <t>UPPSALA LÄN</t>
        </is>
      </c>
      <c r="E611" t="inlineStr">
        <is>
          <t>ENKÖPING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37350-2023</t>
        </is>
      </c>
      <c r="B612" s="1" t="n">
        <v>45156</v>
      </c>
      <c r="C612" s="1" t="n">
        <v>45852</v>
      </c>
      <c r="D612" t="inlineStr">
        <is>
          <t>UPPSALA LÄN</t>
        </is>
      </c>
      <c r="E612" t="inlineStr">
        <is>
          <t>ENKÖPING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37353-2023</t>
        </is>
      </c>
      <c r="B613" s="1" t="n">
        <v>45156</v>
      </c>
      <c r="C613" s="1" t="n">
        <v>45852</v>
      </c>
      <c r="D613" t="inlineStr">
        <is>
          <t>UPPSALA LÄN</t>
        </is>
      </c>
      <c r="E613" t="inlineStr">
        <is>
          <t>ENKÖPING</t>
        </is>
      </c>
      <c r="G613" t="n">
        <v>5.8</v>
      </c>
      <c r="H613" t="n">
        <v>0</v>
      </c>
      <c r="I613" t="n">
        <v>0</v>
      </c>
      <c r="J613" t="n">
        <v>0</v>
      </c>
      <c r="K613" t="n">
        <v>0</v>
      </c>
      <c r="L613" t="n">
        <v>0</v>
      </c>
      <c r="M613" t="n">
        <v>0</v>
      </c>
      <c r="N613" t="n">
        <v>0</v>
      </c>
      <c r="O613" t="n">
        <v>0</v>
      </c>
      <c r="P613" t="n">
        <v>0</v>
      </c>
      <c r="Q613" t="n">
        <v>0</v>
      </c>
      <c r="R613" s="2" t="inlineStr"/>
    </row>
    <row r="614" ht="15" customHeight="1">
      <c r="A614" t="inlineStr">
        <is>
          <t>A 37347-2023</t>
        </is>
      </c>
      <c r="B614" s="1" t="n">
        <v>45156</v>
      </c>
      <c r="C614" s="1" t="n">
        <v>45852</v>
      </c>
      <c r="D614" t="inlineStr">
        <is>
          <t>UPPSALA LÄN</t>
        </is>
      </c>
      <c r="E614" t="inlineStr">
        <is>
          <t>ENKÖPING</t>
        </is>
      </c>
      <c r="G614" t="n">
        <v>3.7</v>
      </c>
      <c r="H614" t="n">
        <v>0</v>
      </c>
      <c r="I614" t="n">
        <v>0</v>
      </c>
      <c r="J614" t="n">
        <v>0</v>
      </c>
      <c r="K614" t="n">
        <v>0</v>
      </c>
      <c r="L614" t="n">
        <v>0</v>
      </c>
      <c r="M614" t="n">
        <v>0</v>
      </c>
      <c r="N614" t="n">
        <v>0</v>
      </c>
      <c r="O614" t="n">
        <v>0</v>
      </c>
      <c r="P614" t="n">
        <v>0</v>
      </c>
      <c r="Q614" t="n">
        <v>0</v>
      </c>
      <c r="R614" s="2" t="inlineStr"/>
    </row>
    <row r="615" ht="15" customHeight="1">
      <c r="A615" t="inlineStr">
        <is>
          <t>A 37866-2023</t>
        </is>
      </c>
      <c r="B615" s="1" t="n">
        <v>45160</v>
      </c>
      <c r="C615" s="1" t="n">
        <v>45852</v>
      </c>
      <c r="D615" t="inlineStr">
        <is>
          <t>UPPSALA LÄN</t>
        </is>
      </c>
      <c r="E615" t="inlineStr">
        <is>
          <t>ENKÖPING</t>
        </is>
      </c>
      <c r="G615" t="n">
        <v>7.2</v>
      </c>
      <c r="H615" t="n">
        <v>0</v>
      </c>
      <c r="I615" t="n">
        <v>0</v>
      </c>
      <c r="J615" t="n">
        <v>0</v>
      </c>
      <c r="K615" t="n">
        <v>0</v>
      </c>
      <c r="L615" t="n">
        <v>0</v>
      </c>
      <c r="M615" t="n">
        <v>0</v>
      </c>
      <c r="N615" t="n">
        <v>0</v>
      </c>
      <c r="O615" t="n">
        <v>0</v>
      </c>
      <c r="P615" t="n">
        <v>0</v>
      </c>
      <c r="Q615" t="n">
        <v>0</v>
      </c>
      <c r="R615" s="2" t="inlineStr"/>
    </row>
    <row r="616" ht="15" customHeight="1">
      <c r="A616" t="inlineStr">
        <is>
          <t>A 37870-2023</t>
        </is>
      </c>
      <c r="B616" s="1" t="n">
        <v>45160</v>
      </c>
      <c r="C616" s="1" t="n">
        <v>45852</v>
      </c>
      <c r="D616" t="inlineStr">
        <is>
          <t>UPPSALA LÄN</t>
        </is>
      </c>
      <c r="E616" t="inlineStr">
        <is>
          <t>ENKÖPING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39624-2023</t>
        </is>
      </c>
      <c r="B617" s="1" t="n">
        <v>45164</v>
      </c>
      <c r="C617" s="1" t="n">
        <v>45852</v>
      </c>
      <c r="D617" t="inlineStr">
        <is>
          <t>UPPSALA LÄN</t>
        </is>
      </c>
      <c r="E617" t="inlineStr">
        <is>
          <t>ENKÖPING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40306-2023</t>
        </is>
      </c>
      <c r="B618" s="1" t="n">
        <v>45169</v>
      </c>
      <c r="C618" s="1" t="n">
        <v>45852</v>
      </c>
      <c r="D618" t="inlineStr">
        <is>
          <t>UPPSALA LÄN</t>
        </is>
      </c>
      <c r="E618" t="inlineStr">
        <is>
          <t>ENKÖPING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41478-2023</t>
        </is>
      </c>
      <c r="B619" s="1" t="n">
        <v>45173</v>
      </c>
      <c r="C619" s="1" t="n">
        <v>45852</v>
      </c>
      <c r="D619" t="inlineStr">
        <is>
          <t>UPPSALA LÄN</t>
        </is>
      </c>
      <c r="E619" t="inlineStr">
        <is>
          <t>ENKÖPING</t>
        </is>
      </c>
      <c r="G619" t="n">
        <v>3.3</v>
      </c>
      <c r="H619" t="n">
        <v>0</v>
      </c>
      <c r="I619" t="n">
        <v>0</v>
      </c>
      <c r="J619" t="n">
        <v>0</v>
      </c>
      <c r="K619" t="n">
        <v>0</v>
      </c>
      <c r="L619" t="n">
        <v>0</v>
      </c>
      <c r="M619" t="n">
        <v>0</v>
      </c>
      <c r="N619" t="n">
        <v>0</v>
      </c>
      <c r="O619" t="n">
        <v>0</v>
      </c>
      <c r="P619" t="n">
        <v>0</v>
      </c>
      <c r="Q619" t="n">
        <v>0</v>
      </c>
      <c r="R619" s="2" t="inlineStr"/>
    </row>
    <row r="620" ht="15" customHeight="1">
      <c r="A620" t="inlineStr">
        <is>
          <t>A 41549-2023</t>
        </is>
      </c>
      <c r="B620" s="1" t="n">
        <v>45173</v>
      </c>
      <c r="C620" s="1" t="n">
        <v>45852</v>
      </c>
      <c r="D620" t="inlineStr">
        <is>
          <t>UPPSALA LÄN</t>
        </is>
      </c>
      <c r="E620" t="inlineStr">
        <is>
          <t>ENKÖPING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41945-2023</t>
        </is>
      </c>
      <c r="B621" s="1" t="n">
        <v>45177</v>
      </c>
      <c r="C621" s="1" t="n">
        <v>45852</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43494-2023</t>
        </is>
      </c>
      <c r="B622" s="1" t="n">
        <v>45181</v>
      </c>
      <c r="C622" s="1" t="n">
        <v>45852</v>
      </c>
      <c r="D622" t="inlineStr">
        <is>
          <t>UPPSALA LÄN</t>
        </is>
      </c>
      <c r="E622" t="inlineStr">
        <is>
          <t>ENKÖPING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43510-2023</t>
        </is>
      </c>
      <c r="B623" s="1" t="n">
        <v>45181</v>
      </c>
      <c r="C623" s="1" t="n">
        <v>45852</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43506-2023</t>
        </is>
      </c>
      <c r="B624" s="1" t="n">
        <v>45181</v>
      </c>
      <c r="C624" s="1" t="n">
        <v>45852</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43488-2023</t>
        </is>
      </c>
      <c r="B625" s="1" t="n">
        <v>45181</v>
      </c>
      <c r="C625" s="1" t="n">
        <v>45852</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43492-2023</t>
        </is>
      </c>
      <c r="B626" s="1" t="n">
        <v>45181</v>
      </c>
      <c r="C626" s="1" t="n">
        <v>45852</v>
      </c>
      <c r="D626" t="inlineStr">
        <is>
          <t>UPPSALA LÄN</t>
        </is>
      </c>
      <c r="E626" t="inlineStr">
        <is>
          <t>ENKÖPING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43499-2023</t>
        </is>
      </c>
      <c r="B627" s="1" t="n">
        <v>45181</v>
      </c>
      <c r="C627" s="1" t="n">
        <v>45852</v>
      </c>
      <c r="D627" t="inlineStr">
        <is>
          <t>UPPSALA LÄN</t>
        </is>
      </c>
      <c r="E627" t="inlineStr">
        <is>
          <t>ENKÖPING</t>
        </is>
      </c>
      <c r="G627" t="n">
        <v>7.3</v>
      </c>
      <c r="H627" t="n">
        <v>0</v>
      </c>
      <c r="I627" t="n">
        <v>0</v>
      </c>
      <c r="J627" t="n">
        <v>0</v>
      </c>
      <c r="K627" t="n">
        <v>0</v>
      </c>
      <c r="L627" t="n">
        <v>0</v>
      </c>
      <c r="M627" t="n">
        <v>0</v>
      </c>
      <c r="N627" t="n">
        <v>0</v>
      </c>
      <c r="O627" t="n">
        <v>0</v>
      </c>
      <c r="P627" t="n">
        <v>0</v>
      </c>
      <c r="Q627" t="n">
        <v>0</v>
      </c>
      <c r="R627" s="2" t="inlineStr"/>
    </row>
    <row r="628" ht="15" customHeight="1">
      <c r="A628" t="inlineStr">
        <is>
          <t>A 43230-2023</t>
        </is>
      </c>
      <c r="B628" s="1" t="n">
        <v>45183</v>
      </c>
      <c r="C628" s="1" t="n">
        <v>45852</v>
      </c>
      <c r="D628" t="inlineStr">
        <is>
          <t>UPPSALA LÄN</t>
        </is>
      </c>
      <c r="E628" t="inlineStr">
        <is>
          <t>ENKÖPING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44131-2023</t>
        </is>
      </c>
      <c r="B629" s="1" t="n">
        <v>45188</v>
      </c>
      <c r="C629" s="1" t="n">
        <v>45852</v>
      </c>
      <c r="D629" t="inlineStr">
        <is>
          <t>UPPSALA LÄN</t>
        </is>
      </c>
      <c r="E629" t="inlineStr">
        <is>
          <t>ENKÖPING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44326-2023</t>
        </is>
      </c>
      <c r="B630" s="1" t="n">
        <v>45188</v>
      </c>
      <c r="C630" s="1" t="n">
        <v>45852</v>
      </c>
      <c r="D630" t="inlineStr">
        <is>
          <t>UPPSALA LÄN</t>
        </is>
      </c>
      <c r="E630" t="inlineStr">
        <is>
          <t>ENKÖPING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46103-2023</t>
        </is>
      </c>
      <c r="B631" s="1" t="n">
        <v>45190</v>
      </c>
      <c r="C631" s="1" t="n">
        <v>45852</v>
      </c>
      <c r="D631" t="inlineStr">
        <is>
          <t>UPPSALA LÄN</t>
        </is>
      </c>
      <c r="E631" t="inlineStr">
        <is>
          <t>ENKÖPING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45058-2023</t>
        </is>
      </c>
      <c r="B632" s="1" t="n">
        <v>45191</v>
      </c>
      <c r="C632" s="1" t="n">
        <v>45852</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45142-2023</t>
        </is>
      </c>
      <c r="B633" s="1" t="n">
        <v>45191</v>
      </c>
      <c r="C633" s="1" t="n">
        <v>45852</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45095-2023</t>
        </is>
      </c>
      <c r="B634" s="1" t="n">
        <v>45191</v>
      </c>
      <c r="C634" s="1" t="n">
        <v>45852</v>
      </c>
      <c r="D634" t="inlineStr">
        <is>
          <t>UPPSALA LÄN</t>
        </is>
      </c>
      <c r="E634" t="inlineStr">
        <is>
          <t>ENKÖPING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45208-2023</t>
        </is>
      </c>
      <c r="B635" s="1" t="n">
        <v>45191</v>
      </c>
      <c r="C635" s="1" t="n">
        <v>45852</v>
      </c>
      <c r="D635" t="inlineStr">
        <is>
          <t>UPPSALA LÄN</t>
        </is>
      </c>
      <c r="E635" t="inlineStr">
        <is>
          <t>ENKÖPING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46186-2023</t>
        </is>
      </c>
      <c r="B636" s="1" t="n">
        <v>45196</v>
      </c>
      <c r="C636" s="1" t="n">
        <v>45852</v>
      </c>
      <c r="D636" t="inlineStr">
        <is>
          <t>UPPSALA LÄN</t>
        </is>
      </c>
      <c r="E636" t="inlineStr">
        <is>
          <t>ENKÖPING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47428-2023</t>
        </is>
      </c>
      <c r="B637" s="1" t="n">
        <v>45202</v>
      </c>
      <c r="C637" s="1" t="n">
        <v>45852</v>
      </c>
      <c r="D637" t="inlineStr">
        <is>
          <t>UPPSALA LÄN</t>
        </is>
      </c>
      <c r="E637" t="inlineStr">
        <is>
          <t>ENKÖPING</t>
        </is>
      </c>
      <c r="G637" t="n">
        <v>3</v>
      </c>
      <c r="H637" t="n">
        <v>0</v>
      </c>
      <c r="I637" t="n">
        <v>0</v>
      </c>
      <c r="J637" t="n">
        <v>0</v>
      </c>
      <c r="K637" t="n">
        <v>0</v>
      </c>
      <c r="L637" t="n">
        <v>0</v>
      </c>
      <c r="M637" t="n">
        <v>0</v>
      </c>
      <c r="N637" t="n">
        <v>0</v>
      </c>
      <c r="O637" t="n">
        <v>0</v>
      </c>
      <c r="P637" t="n">
        <v>0</v>
      </c>
      <c r="Q637" t="n">
        <v>0</v>
      </c>
      <c r="R637" s="2" t="inlineStr"/>
    </row>
    <row r="638" ht="15" customHeight="1">
      <c r="A638" t="inlineStr">
        <is>
          <t>A 47553-2023</t>
        </is>
      </c>
      <c r="B638" s="1" t="n">
        <v>45203</v>
      </c>
      <c r="C638" s="1" t="n">
        <v>45852</v>
      </c>
      <c r="D638" t="inlineStr">
        <is>
          <t>UPPSALA LÄN</t>
        </is>
      </c>
      <c r="E638" t="inlineStr">
        <is>
          <t>ENKÖPING</t>
        </is>
      </c>
      <c r="G638" t="n">
        <v>13.3</v>
      </c>
      <c r="H638" t="n">
        <v>0</v>
      </c>
      <c r="I638" t="n">
        <v>0</v>
      </c>
      <c r="J638" t="n">
        <v>0</v>
      </c>
      <c r="K638" t="n">
        <v>0</v>
      </c>
      <c r="L638" t="n">
        <v>0</v>
      </c>
      <c r="M638" t="n">
        <v>0</v>
      </c>
      <c r="N638" t="n">
        <v>0</v>
      </c>
      <c r="O638" t="n">
        <v>0</v>
      </c>
      <c r="P638" t="n">
        <v>0</v>
      </c>
      <c r="Q638" t="n">
        <v>0</v>
      </c>
      <c r="R638" s="2" t="inlineStr"/>
    </row>
    <row r="639" ht="15" customHeight="1">
      <c r="A639" t="inlineStr">
        <is>
          <t>A 48843-2023</t>
        </is>
      </c>
      <c r="B639" s="1" t="n">
        <v>45209</v>
      </c>
      <c r="C639" s="1" t="n">
        <v>45852</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50006-2023</t>
        </is>
      </c>
      <c r="B640" s="1" t="n">
        <v>45215</v>
      </c>
      <c r="C640" s="1" t="n">
        <v>45852</v>
      </c>
      <c r="D640" t="inlineStr">
        <is>
          <t>UPPSALA LÄN</t>
        </is>
      </c>
      <c r="E640" t="inlineStr">
        <is>
          <t>ENKÖPING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50419-2023</t>
        </is>
      </c>
      <c r="B641" s="1" t="n">
        <v>45216</v>
      </c>
      <c r="C641" s="1" t="n">
        <v>45852</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51120-2023</t>
        </is>
      </c>
      <c r="B642" s="1" t="n">
        <v>45219</v>
      </c>
      <c r="C642" s="1" t="n">
        <v>45852</v>
      </c>
      <c r="D642" t="inlineStr">
        <is>
          <t>UPPSALA LÄN</t>
        </is>
      </c>
      <c r="E642" t="inlineStr">
        <is>
          <t>ENKÖPING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51313-2023</t>
        </is>
      </c>
      <c r="B643" s="1" t="n">
        <v>45219</v>
      </c>
      <c r="C643" s="1" t="n">
        <v>45852</v>
      </c>
      <c r="D643" t="inlineStr">
        <is>
          <t>UPPSALA LÄN</t>
        </is>
      </c>
      <c r="E643" t="inlineStr">
        <is>
          <t>ENKÖPING</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51688-2023</t>
        </is>
      </c>
      <c r="B644" s="1" t="n">
        <v>45222</v>
      </c>
      <c r="C644" s="1" t="n">
        <v>45852</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51835-2023</t>
        </is>
      </c>
      <c r="B645" s="1" t="n">
        <v>45223</v>
      </c>
      <c r="C645" s="1" t="n">
        <v>45852</v>
      </c>
      <c r="D645" t="inlineStr">
        <is>
          <t>UPPSALA LÄN</t>
        </is>
      </c>
      <c r="E645" t="inlineStr">
        <is>
          <t>ENKÖPING</t>
        </is>
      </c>
      <c r="G645" t="n">
        <v>4.7</v>
      </c>
      <c r="H645" t="n">
        <v>0</v>
      </c>
      <c r="I645" t="n">
        <v>0</v>
      </c>
      <c r="J645" t="n">
        <v>0</v>
      </c>
      <c r="K645" t="n">
        <v>0</v>
      </c>
      <c r="L645" t="n">
        <v>0</v>
      </c>
      <c r="M645" t="n">
        <v>0</v>
      </c>
      <c r="N645" t="n">
        <v>0</v>
      </c>
      <c r="O645" t="n">
        <v>0</v>
      </c>
      <c r="P645" t="n">
        <v>0</v>
      </c>
      <c r="Q645" t="n">
        <v>0</v>
      </c>
      <c r="R645" s="2" t="inlineStr"/>
    </row>
    <row r="646" ht="15" customHeight="1">
      <c r="A646" t="inlineStr">
        <is>
          <t>A 53595-2023</t>
        </is>
      </c>
      <c r="B646" s="1" t="n">
        <v>45223</v>
      </c>
      <c r="C646" s="1" t="n">
        <v>45852</v>
      </c>
      <c r="D646" t="inlineStr">
        <is>
          <t>UPPSALA LÄN</t>
        </is>
      </c>
      <c r="E646" t="inlineStr">
        <is>
          <t>ENKÖPING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52299-2023</t>
        </is>
      </c>
      <c r="B647" s="1" t="n">
        <v>45224</v>
      </c>
      <c r="C647" s="1" t="n">
        <v>45852</v>
      </c>
      <c r="D647" t="inlineStr">
        <is>
          <t>UPPSALA LÄN</t>
        </is>
      </c>
      <c r="E647" t="inlineStr">
        <is>
          <t>ENKÖPING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52366-2023</t>
        </is>
      </c>
      <c r="B648" s="1" t="n">
        <v>45224</v>
      </c>
      <c r="C648" s="1" t="n">
        <v>45852</v>
      </c>
      <c r="D648" t="inlineStr">
        <is>
          <t>UPPSALA LÄN</t>
        </is>
      </c>
      <c r="E648" t="inlineStr">
        <is>
          <t>ENKÖPING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54356-2023</t>
        </is>
      </c>
      <c r="B649" s="1" t="n">
        <v>45225</v>
      </c>
      <c r="C649" s="1" t="n">
        <v>45852</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54357-2023</t>
        </is>
      </c>
      <c r="B650" s="1" t="n">
        <v>45225</v>
      </c>
      <c r="C650" s="1" t="n">
        <v>45852</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53208-2023</t>
        </is>
      </c>
      <c r="B651" s="1" t="n">
        <v>45226</v>
      </c>
      <c r="C651" s="1" t="n">
        <v>45852</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53333-2023</t>
        </is>
      </c>
      <c r="B652" s="1" t="n">
        <v>45229</v>
      </c>
      <c r="C652" s="1" t="n">
        <v>45852</v>
      </c>
      <c r="D652" t="inlineStr">
        <is>
          <t>UPPSALA LÄN</t>
        </is>
      </c>
      <c r="E652" t="inlineStr">
        <is>
          <t>ENKÖPING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53338-2023</t>
        </is>
      </c>
      <c r="B653" s="1" t="n">
        <v>45229</v>
      </c>
      <c r="C653" s="1" t="n">
        <v>45852</v>
      </c>
      <c r="D653" t="inlineStr">
        <is>
          <t>UPPSALA LÄN</t>
        </is>
      </c>
      <c r="E653" t="inlineStr">
        <is>
          <t>ENKÖPING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53607-2023</t>
        </is>
      </c>
      <c r="B654" s="1" t="n">
        <v>45230</v>
      </c>
      <c r="C654" s="1" t="n">
        <v>45852</v>
      </c>
      <c r="D654" t="inlineStr">
        <is>
          <t>UPPSALA LÄN</t>
        </is>
      </c>
      <c r="E654" t="inlineStr">
        <is>
          <t>ENKÖPING</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54208-2023</t>
        </is>
      </c>
      <c r="B655" s="1" t="n">
        <v>45232</v>
      </c>
      <c r="C655" s="1" t="n">
        <v>45852</v>
      </c>
      <c r="D655" t="inlineStr">
        <is>
          <t>UPPSALA LÄN</t>
        </is>
      </c>
      <c r="E655" t="inlineStr">
        <is>
          <t>ENKÖPING</t>
        </is>
      </c>
      <c r="G655" t="n">
        <v>4.3</v>
      </c>
      <c r="H655" t="n">
        <v>0</v>
      </c>
      <c r="I655" t="n">
        <v>0</v>
      </c>
      <c r="J655" t="n">
        <v>0</v>
      </c>
      <c r="K655" t="n">
        <v>0</v>
      </c>
      <c r="L655" t="n">
        <v>0</v>
      </c>
      <c r="M655" t="n">
        <v>0</v>
      </c>
      <c r="N655" t="n">
        <v>0</v>
      </c>
      <c r="O655" t="n">
        <v>0</v>
      </c>
      <c r="P655" t="n">
        <v>0</v>
      </c>
      <c r="Q655" t="n">
        <v>0</v>
      </c>
      <c r="R655" s="2" t="inlineStr"/>
    </row>
    <row r="656" ht="15" customHeight="1">
      <c r="A656" t="inlineStr">
        <is>
          <t>A 54224-2023</t>
        </is>
      </c>
      <c r="B656" s="1" t="n">
        <v>45232</v>
      </c>
      <c r="C656" s="1" t="n">
        <v>45852</v>
      </c>
      <c r="D656" t="inlineStr">
        <is>
          <t>UPPSALA LÄN</t>
        </is>
      </c>
      <c r="E656" t="inlineStr">
        <is>
          <t>ENKÖPING</t>
        </is>
      </c>
      <c r="G656" t="n">
        <v>5.4</v>
      </c>
      <c r="H656" t="n">
        <v>0</v>
      </c>
      <c r="I656" t="n">
        <v>0</v>
      </c>
      <c r="J656" t="n">
        <v>0</v>
      </c>
      <c r="K656" t="n">
        <v>0</v>
      </c>
      <c r="L656" t="n">
        <v>0</v>
      </c>
      <c r="M656" t="n">
        <v>0</v>
      </c>
      <c r="N656" t="n">
        <v>0</v>
      </c>
      <c r="O656" t="n">
        <v>0</v>
      </c>
      <c r="P656" t="n">
        <v>0</v>
      </c>
      <c r="Q656" t="n">
        <v>0</v>
      </c>
      <c r="R656" s="2" t="inlineStr"/>
    </row>
    <row r="657" ht="15" customHeight="1">
      <c r="A657" t="inlineStr">
        <is>
          <t>A 55609-2023</t>
        </is>
      </c>
      <c r="B657" s="1" t="n">
        <v>45238</v>
      </c>
      <c r="C657" s="1" t="n">
        <v>45852</v>
      </c>
      <c r="D657" t="inlineStr">
        <is>
          <t>UPPSALA LÄN</t>
        </is>
      </c>
      <c r="E657" t="inlineStr">
        <is>
          <t>ENKÖPING</t>
        </is>
      </c>
      <c r="F657" t="inlineStr">
        <is>
          <t>Allmännings- och besparingsskogar</t>
        </is>
      </c>
      <c r="G657" t="n">
        <v>13.3</v>
      </c>
      <c r="H657" t="n">
        <v>0</v>
      </c>
      <c r="I657" t="n">
        <v>0</v>
      </c>
      <c r="J657" t="n">
        <v>0</v>
      </c>
      <c r="K657" t="n">
        <v>0</v>
      </c>
      <c r="L657" t="n">
        <v>0</v>
      </c>
      <c r="M657" t="n">
        <v>0</v>
      </c>
      <c r="N657" t="n">
        <v>0</v>
      </c>
      <c r="O657" t="n">
        <v>0</v>
      </c>
      <c r="P657" t="n">
        <v>0</v>
      </c>
      <c r="Q657" t="n">
        <v>0</v>
      </c>
      <c r="R657" s="2" t="inlineStr"/>
    </row>
    <row r="658" ht="15" customHeight="1">
      <c r="A658" t="inlineStr">
        <is>
          <t>A 56886-2023</t>
        </is>
      </c>
      <c r="B658" s="1" t="n">
        <v>45239</v>
      </c>
      <c r="C658" s="1" t="n">
        <v>45852</v>
      </c>
      <c r="D658" t="inlineStr">
        <is>
          <t>UPPSALA LÄN</t>
        </is>
      </c>
      <c r="E658" t="inlineStr">
        <is>
          <t>ENKÖPING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57018-2023</t>
        </is>
      </c>
      <c r="B659" s="1" t="n">
        <v>45244</v>
      </c>
      <c r="C659" s="1" t="n">
        <v>45852</v>
      </c>
      <c r="D659" t="inlineStr">
        <is>
          <t>UPPSALA LÄN</t>
        </is>
      </c>
      <c r="E659" t="inlineStr">
        <is>
          <t>ENKÖPING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57662-2023</t>
        </is>
      </c>
      <c r="B660" s="1" t="n">
        <v>45246</v>
      </c>
      <c r="C660" s="1" t="n">
        <v>45852</v>
      </c>
      <c r="D660" t="inlineStr">
        <is>
          <t>UPPSALA LÄN</t>
        </is>
      </c>
      <c r="E660" t="inlineStr">
        <is>
          <t>ENKÖPING</t>
        </is>
      </c>
      <c r="G660" t="n">
        <v>10.9</v>
      </c>
      <c r="H660" t="n">
        <v>0</v>
      </c>
      <c r="I660" t="n">
        <v>0</v>
      </c>
      <c r="J660" t="n">
        <v>0</v>
      </c>
      <c r="K660" t="n">
        <v>0</v>
      </c>
      <c r="L660" t="n">
        <v>0</v>
      </c>
      <c r="M660" t="n">
        <v>0</v>
      </c>
      <c r="N660" t="n">
        <v>0</v>
      </c>
      <c r="O660" t="n">
        <v>0</v>
      </c>
      <c r="P660" t="n">
        <v>0</v>
      </c>
      <c r="Q660" t="n">
        <v>0</v>
      </c>
      <c r="R660" s="2" t="inlineStr"/>
    </row>
    <row r="661" ht="15" customHeight="1">
      <c r="A661" t="inlineStr">
        <is>
          <t>A 58114-2023</t>
        </is>
      </c>
      <c r="B661" s="1" t="n">
        <v>45249</v>
      </c>
      <c r="C661" s="1" t="n">
        <v>45852</v>
      </c>
      <c r="D661" t="inlineStr">
        <is>
          <t>UPPSALA LÄN</t>
        </is>
      </c>
      <c r="E661" t="inlineStr">
        <is>
          <t>ENKÖPING</t>
        </is>
      </c>
      <c r="G661" t="n">
        <v>15.4</v>
      </c>
      <c r="H661" t="n">
        <v>0</v>
      </c>
      <c r="I661" t="n">
        <v>0</v>
      </c>
      <c r="J661" t="n">
        <v>0</v>
      </c>
      <c r="K661" t="n">
        <v>0</v>
      </c>
      <c r="L661" t="n">
        <v>0</v>
      </c>
      <c r="M661" t="n">
        <v>0</v>
      </c>
      <c r="N661" t="n">
        <v>0</v>
      </c>
      <c r="O661" t="n">
        <v>0</v>
      </c>
      <c r="P661" t="n">
        <v>0</v>
      </c>
      <c r="Q661" t="n">
        <v>0</v>
      </c>
      <c r="R661" s="2" t="inlineStr"/>
    </row>
    <row r="662" ht="15" customHeight="1">
      <c r="A662" t="inlineStr">
        <is>
          <t>A 59866-2023</t>
        </is>
      </c>
      <c r="B662" s="1" t="n">
        <v>45257</v>
      </c>
      <c r="C662" s="1" t="n">
        <v>45852</v>
      </c>
      <c r="D662" t="inlineStr">
        <is>
          <t>UPPSALA LÄN</t>
        </is>
      </c>
      <c r="E662" t="inlineStr">
        <is>
          <t>ENKÖPING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60200-2023</t>
        </is>
      </c>
      <c r="B663" s="1" t="n">
        <v>45258</v>
      </c>
      <c r="C663" s="1" t="n">
        <v>45852</v>
      </c>
      <c r="D663" t="inlineStr">
        <is>
          <t>UPPSALA LÄN</t>
        </is>
      </c>
      <c r="E663" t="inlineStr">
        <is>
          <t>ENKÖPING</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60641-2023</t>
        </is>
      </c>
      <c r="B664" s="1" t="n">
        <v>45260</v>
      </c>
      <c r="C664" s="1" t="n">
        <v>45852</v>
      </c>
      <c r="D664" t="inlineStr">
        <is>
          <t>UPPSALA LÄN</t>
        </is>
      </c>
      <c r="E664" t="inlineStr">
        <is>
          <t>ENKÖPING</t>
        </is>
      </c>
      <c r="G664" t="n">
        <v>13.1</v>
      </c>
      <c r="H664" t="n">
        <v>0</v>
      </c>
      <c r="I664" t="n">
        <v>0</v>
      </c>
      <c r="J664" t="n">
        <v>0</v>
      </c>
      <c r="K664" t="n">
        <v>0</v>
      </c>
      <c r="L664" t="n">
        <v>0</v>
      </c>
      <c r="M664" t="n">
        <v>0</v>
      </c>
      <c r="N664" t="n">
        <v>0</v>
      </c>
      <c r="O664" t="n">
        <v>0</v>
      </c>
      <c r="P664" t="n">
        <v>0</v>
      </c>
      <c r="Q664" t="n">
        <v>0</v>
      </c>
      <c r="R664" s="2" t="inlineStr"/>
    </row>
    <row r="665" ht="15" customHeight="1">
      <c r="A665" t="inlineStr">
        <is>
          <t>A 61040-2023</t>
        </is>
      </c>
      <c r="B665" s="1" t="n">
        <v>45260</v>
      </c>
      <c r="C665" s="1" t="n">
        <v>45852</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60874-2023</t>
        </is>
      </c>
      <c r="B666" s="1" t="n">
        <v>45261</v>
      </c>
      <c r="C666" s="1" t="n">
        <v>45852</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61207-2023</t>
        </is>
      </c>
      <c r="B667" s="1" t="n">
        <v>45264</v>
      </c>
      <c r="C667" s="1" t="n">
        <v>45852</v>
      </c>
      <c r="D667" t="inlineStr">
        <is>
          <t>UPPSALA LÄN</t>
        </is>
      </c>
      <c r="E667" t="inlineStr">
        <is>
          <t>ENKÖPING</t>
        </is>
      </c>
      <c r="G667" t="n">
        <v>10.8</v>
      </c>
      <c r="H667" t="n">
        <v>0</v>
      </c>
      <c r="I667" t="n">
        <v>0</v>
      </c>
      <c r="J667" t="n">
        <v>0</v>
      </c>
      <c r="K667" t="n">
        <v>0</v>
      </c>
      <c r="L667" t="n">
        <v>0</v>
      </c>
      <c r="M667" t="n">
        <v>0</v>
      </c>
      <c r="N667" t="n">
        <v>0</v>
      </c>
      <c r="O667" t="n">
        <v>0</v>
      </c>
      <c r="P667" t="n">
        <v>0</v>
      </c>
      <c r="Q667" t="n">
        <v>0</v>
      </c>
      <c r="R667" s="2" t="inlineStr"/>
    </row>
    <row r="668" ht="15" customHeight="1">
      <c r="A668" t="inlineStr">
        <is>
          <t>A 61710-2023</t>
        </is>
      </c>
      <c r="B668" s="1" t="n">
        <v>45265</v>
      </c>
      <c r="C668" s="1" t="n">
        <v>45852</v>
      </c>
      <c r="D668" t="inlineStr">
        <is>
          <t>UPPSALA LÄN</t>
        </is>
      </c>
      <c r="E668" t="inlineStr">
        <is>
          <t>ENKÖPING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62158-2023</t>
        </is>
      </c>
      <c r="B669" s="1" t="n">
        <v>45267</v>
      </c>
      <c r="C669" s="1" t="n">
        <v>45852</v>
      </c>
      <c r="D669" t="inlineStr">
        <is>
          <t>UPPSALA LÄN</t>
        </is>
      </c>
      <c r="E669" t="inlineStr">
        <is>
          <t>ENKÖPING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62265-2023</t>
        </is>
      </c>
      <c r="B670" s="1" t="n">
        <v>45267</v>
      </c>
      <c r="C670" s="1" t="n">
        <v>45852</v>
      </c>
      <c r="D670" t="inlineStr">
        <is>
          <t>UPPSALA LÄN</t>
        </is>
      </c>
      <c r="E670" t="inlineStr">
        <is>
          <t>ENKÖPING</t>
        </is>
      </c>
      <c r="G670" t="n">
        <v>4.5</v>
      </c>
      <c r="H670" t="n">
        <v>0</v>
      </c>
      <c r="I670" t="n">
        <v>0</v>
      </c>
      <c r="J670" t="n">
        <v>0</v>
      </c>
      <c r="K670" t="n">
        <v>0</v>
      </c>
      <c r="L670" t="n">
        <v>0</v>
      </c>
      <c r="M670" t="n">
        <v>0</v>
      </c>
      <c r="N670" t="n">
        <v>0</v>
      </c>
      <c r="O670" t="n">
        <v>0</v>
      </c>
      <c r="P670" t="n">
        <v>0</v>
      </c>
      <c r="Q670" t="n">
        <v>0</v>
      </c>
      <c r="R670" s="2" t="inlineStr"/>
    </row>
    <row r="671" ht="15" customHeight="1">
      <c r="A671" t="inlineStr">
        <is>
          <t>A 63431-2023</t>
        </is>
      </c>
      <c r="B671" s="1" t="n">
        <v>45274</v>
      </c>
      <c r="C671" s="1" t="n">
        <v>45852</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63404-2023</t>
        </is>
      </c>
      <c r="B672" s="1" t="n">
        <v>45274</v>
      </c>
      <c r="C672" s="1" t="n">
        <v>45852</v>
      </c>
      <c r="D672" t="inlineStr">
        <is>
          <t>UPPSALA LÄN</t>
        </is>
      </c>
      <c r="E672" t="inlineStr">
        <is>
          <t>ENKÖPING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63402-2023</t>
        </is>
      </c>
      <c r="B673" s="1" t="n">
        <v>45274</v>
      </c>
      <c r="C673" s="1" t="n">
        <v>45852</v>
      </c>
      <c r="D673" t="inlineStr">
        <is>
          <t>UPPSALA LÄN</t>
        </is>
      </c>
      <c r="E673" t="inlineStr">
        <is>
          <t>ENKÖPING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63406-2023</t>
        </is>
      </c>
      <c r="B674" s="1" t="n">
        <v>45274</v>
      </c>
      <c r="C674" s="1" t="n">
        <v>45852</v>
      </c>
      <c r="D674" t="inlineStr">
        <is>
          <t>UPPSALA LÄN</t>
        </is>
      </c>
      <c r="E674" t="inlineStr">
        <is>
          <t>ENKÖPING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64800-2023</t>
        </is>
      </c>
      <c r="B675" s="1" t="n">
        <v>45282</v>
      </c>
      <c r="C675" s="1" t="n">
        <v>45852</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351-2024</t>
        </is>
      </c>
      <c r="B676" s="1" t="n">
        <v>45295</v>
      </c>
      <c r="C676" s="1" t="n">
        <v>45852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352-2024</t>
        </is>
      </c>
      <c r="B677" s="1" t="n">
        <v>45295</v>
      </c>
      <c r="C677" s="1" t="n">
        <v>45852</v>
      </c>
      <c r="D677" t="inlineStr">
        <is>
          <t>UPPSALA LÄN</t>
        </is>
      </c>
      <c r="E677" t="inlineStr">
        <is>
          <t>ENKÖPING</t>
        </is>
      </c>
      <c r="G677" t="n">
        <v>3.9</v>
      </c>
      <c r="H677" t="n">
        <v>0</v>
      </c>
      <c r="I677" t="n">
        <v>0</v>
      </c>
      <c r="J677" t="n">
        <v>0</v>
      </c>
      <c r="K677" t="n">
        <v>0</v>
      </c>
      <c r="L677" t="n">
        <v>0</v>
      </c>
      <c r="M677" t="n">
        <v>0</v>
      </c>
      <c r="N677" t="n">
        <v>0</v>
      </c>
      <c r="O677" t="n">
        <v>0</v>
      </c>
      <c r="P677" t="n">
        <v>0</v>
      </c>
      <c r="Q677" t="n">
        <v>0</v>
      </c>
      <c r="R677" s="2" t="inlineStr"/>
    </row>
    <row r="678" ht="15" customHeight="1">
      <c r="A678" t="inlineStr">
        <is>
          <t>A 353-2024</t>
        </is>
      </c>
      <c r="B678" s="1" t="n">
        <v>45295</v>
      </c>
      <c r="C678" s="1" t="n">
        <v>45852</v>
      </c>
      <c r="D678" t="inlineStr">
        <is>
          <t>UPPSALA LÄN</t>
        </is>
      </c>
      <c r="E678" t="inlineStr">
        <is>
          <t>ENKÖPING</t>
        </is>
      </c>
      <c r="G678" t="n">
        <v>4.3</v>
      </c>
      <c r="H678" t="n">
        <v>0</v>
      </c>
      <c r="I678" t="n">
        <v>0</v>
      </c>
      <c r="J678" t="n">
        <v>0</v>
      </c>
      <c r="K678" t="n">
        <v>0</v>
      </c>
      <c r="L678" t="n">
        <v>0</v>
      </c>
      <c r="M678" t="n">
        <v>0</v>
      </c>
      <c r="N678" t="n">
        <v>0</v>
      </c>
      <c r="O678" t="n">
        <v>0</v>
      </c>
      <c r="P678" t="n">
        <v>0</v>
      </c>
      <c r="Q678" t="n">
        <v>0</v>
      </c>
      <c r="R678" s="2" t="inlineStr"/>
    </row>
    <row r="679" ht="15" customHeight="1">
      <c r="A679" t="inlineStr">
        <is>
          <t>A 422-2024</t>
        </is>
      </c>
      <c r="B679" s="1" t="n">
        <v>45296</v>
      </c>
      <c r="C679" s="1" t="n">
        <v>45852</v>
      </c>
      <c r="D679" t="inlineStr">
        <is>
          <t>UPPSALA LÄN</t>
        </is>
      </c>
      <c r="E679" t="inlineStr">
        <is>
          <t>ENKÖPING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420-2024</t>
        </is>
      </c>
      <c r="B680" s="1" t="n">
        <v>45296</v>
      </c>
      <c r="C680" s="1" t="n">
        <v>45852</v>
      </c>
      <c r="D680" t="inlineStr">
        <is>
          <t>UPPSALA LÄN</t>
        </is>
      </c>
      <c r="E680" t="inlineStr">
        <is>
          <t>ENKÖPING</t>
        </is>
      </c>
      <c r="G680" t="n">
        <v>2.8</v>
      </c>
      <c r="H680" t="n">
        <v>0</v>
      </c>
      <c r="I680" t="n">
        <v>0</v>
      </c>
      <c r="J680" t="n">
        <v>0</v>
      </c>
      <c r="K680" t="n">
        <v>0</v>
      </c>
      <c r="L680" t="n">
        <v>0</v>
      </c>
      <c r="M680" t="n">
        <v>0</v>
      </c>
      <c r="N680" t="n">
        <v>0</v>
      </c>
      <c r="O680" t="n">
        <v>0</v>
      </c>
      <c r="P680" t="n">
        <v>0</v>
      </c>
      <c r="Q680" t="n">
        <v>0</v>
      </c>
      <c r="R680" s="2" t="inlineStr"/>
    </row>
    <row r="681" ht="15" customHeight="1">
      <c r="A681" t="inlineStr">
        <is>
          <t>A 582-2024</t>
        </is>
      </c>
      <c r="B681" s="1" t="n">
        <v>45299</v>
      </c>
      <c r="C681" s="1" t="n">
        <v>45852</v>
      </c>
      <c r="D681" t="inlineStr">
        <is>
          <t>UPPSALA LÄN</t>
        </is>
      </c>
      <c r="E681" t="inlineStr">
        <is>
          <t>ENKÖPING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580-2024</t>
        </is>
      </c>
      <c r="B682" s="1" t="n">
        <v>45299</v>
      </c>
      <c r="C682" s="1" t="n">
        <v>45852</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1536-2024</t>
        </is>
      </c>
      <c r="B683" s="1" t="n">
        <v>45306</v>
      </c>
      <c r="C683" s="1" t="n">
        <v>45852</v>
      </c>
      <c r="D683" t="inlineStr">
        <is>
          <t>UPPSALA LÄN</t>
        </is>
      </c>
      <c r="E683" t="inlineStr">
        <is>
          <t>ENKÖPING</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1651-2024</t>
        </is>
      </c>
      <c r="B684" s="1" t="n">
        <v>45306</v>
      </c>
      <c r="C684" s="1" t="n">
        <v>45852</v>
      </c>
      <c r="D684" t="inlineStr">
        <is>
          <t>UPPSALA LÄN</t>
        </is>
      </c>
      <c r="E684" t="inlineStr">
        <is>
          <t>ENKÖPING</t>
        </is>
      </c>
      <c r="G684" t="n">
        <v>10.2</v>
      </c>
      <c r="H684" t="n">
        <v>0</v>
      </c>
      <c r="I684" t="n">
        <v>0</v>
      </c>
      <c r="J684" t="n">
        <v>0</v>
      </c>
      <c r="K684" t="n">
        <v>0</v>
      </c>
      <c r="L684" t="n">
        <v>0</v>
      </c>
      <c r="M684" t="n">
        <v>0</v>
      </c>
      <c r="N684" t="n">
        <v>0</v>
      </c>
      <c r="O684" t="n">
        <v>0</v>
      </c>
      <c r="P684" t="n">
        <v>0</v>
      </c>
      <c r="Q684" t="n">
        <v>0</v>
      </c>
      <c r="R684" s="2" t="inlineStr"/>
    </row>
    <row r="685" ht="15" customHeight="1">
      <c r="A685" t="inlineStr">
        <is>
          <t>A 2221-2024</t>
        </is>
      </c>
      <c r="B685" s="1" t="n">
        <v>45309</v>
      </c>
      <c r="C685" s="1" t="n">
        <v>45852</v>
      </c>
      <c r="D685" t="inlineStr">
        <is>
          <t>UPPSALA LÄN</t>
        </is>
      </c>
      <c r="E685" t="inlineStr">
        <is>
          <t>ENKÖPING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2322-2024</t>
        </is>
      </c>
      <c r="B686" s="1" t="n">
        <v>45309</v>
      </c>
      <c r="C686" s="1" t="n">
        <v>45852</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2456-2024</t>
        </is>
      </c>
      <c r="B687" s="1" t="n">
        <v>45312</v>
      </c>
      <c r="C687" s="1" t="n">
        <v>45852</v>
      </c>
      <c r="D687" t="inlineStr">
        <is>
          <t>UPPSALA LÄN</t>
        </is>
      </c>
      <c r="E687" t="inlineStr">
        <is>
          <t>ENKÖPING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2983-2024</t>
        </is>
      </c>
      <c r="B688" s="1" t="n">
        <v>45315</v>
      </c>
      <c r="C688" s="1" t="n">
        <v>45852</v>
      </c>
      <c r="D688" t="inlineStr">
        <is>
          <t>UPPSALA LÄN</t>
        </is>
      </c>
      <c r="E688" t="inlineStr">
        <is>
          <t>ENKÖPING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3051-2024</t>
        </is>
      </c>
      <c r="B689" s="1" t="n">
        <v>45316</v>
      </c>
      <c r="C689" s="1" t="n">
        <v>45852</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3130-2024</t>
        </is>
      </c>
      <c r="B690" s="1" t="n">
        <v>45316</v>
      </c>
      <c r="C690" s="1" t="n">
        <v>45852</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3977-2024</t>
        </is>
      </c>
      <c r="B691" s="1" t="n">
        <v>45322</v>
      </c>
      <c r="C691" s="1" t="n">
        <v>45852</v>
      </c>
      <c r="D691" t="inlineStr">
        <is>
          <t>UPPSALA LÄN</t>
        </is>
      </c>
      <c r="E691" t="inlineStr">
        <is>
          <t>ENKÖPING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4044-2024</t>
        </is>
      </c>
      <c r="B692" s="1" t="n">
        <v>45323</v>
      </c>
      <c r="C692" s="1" t="n">
        <v>45852</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5211-2024</t>
        </is>
      </c>
      <c r="B693" s="1" t="n">
        <v>45330</v>
      </c>
      <c r="C693" s="1" t="n">
        <v>45852</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5521-2024</t>
        </is>
      </c>
      <c r="B694" s="1" t="n">
        <v>45334</v>
      </c>
      <c r="C694" s="1" t="n">
        <v>45852</v>
      </c>
      <c r="D694" t="inlineStr">
        <is>
          <t>UPPSALA LÄN</t>
        </is>
      </c>
      <c r="E694" t="inlineStr">
        <is>
          <t>ENKÖPING</t>
        </is>
      </c>
      <c r="G694" t="n">
        <v>8.4</v>
      </c>
      <c r="H694" t="n">
        <v>0</v>
      </c>
      <c r="I694" t="n">
        <v>0</v>
      </c>
      <c r="J694" t="n">
        <v>0</v>
      </c>
      <c r="K694" t="n">
        <v>0</v>
      </c>
      <c r="L694" t="n">
        <v>0</v>
      </c>
      <c r="M694" t="n">
        <v>0</v>
      </c>
      <c r="N694" t="n">
        <v>0</v>
      </c>
      <c r="O694" t="n">
        <v>0</v>
      </c>
      <c r="P694" t="n">
        <v>0</v>
      </c>
      <c r="Q694" t="n">
        <v>0</v>
      </c>
      <c r="R694" s="2" t="inlineStr"/>
    </row>
    <row r="695" ht="15" customHeight="1">
      <c r="A695" t="inlineStr">
        <is>
          <t>A 6247-2024</t>
        </is>
      </c>
      <c r="B695" s="1" t="n">
        <v>45337</v>
      </c>
      <c r="C695" s="1" t="n">
        <v>45852</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6144-2024</t>
        </is>
      </c>
      <c r="B696" s="1" t="n">
        <v>45337</v>
      </c>
      <c r="C696" s="1" t="n">
        <v>45852</v>
      </c>
      <c r="D696" t="inlineStr">
        <is>
          <t>UPPSALA LÄN</t>
        </is>
      </c>
      <c r="E696" t="inlineStr">
        <is>
          <t>ENKÖPING</t>
        </is>
      </c>
      <c r="G696" t="n">
        <v>13.8</v>
      </c>
      <c r="H696" t="n">
        <v>0</v>
      </c>
      <c r="I696" t="n">
        <v>0</v>
      </c>
      <c r="J696" t="n">
        <v>0</v>
      </c>
      <c r="K696" t="n">
        <v>0</v>
      </c>
      <c r="L696" t="n">
        <v>0</v>
      </c>
      <c r="M696" t="n">
        <v>0</v>
      </c>
      <c r="N696" t="n">
        <v>0</v>
      </c>
      <c r="O696" t="n">
        <v>0</v>
      </c>
      <c r="P696" t="n">
        <v>0</v>
      </c>
      <c r="Q696" t="n">
        <v>0</v>
      </c>
      <c r="R696" s="2" t="inlineStr"/>
    </row>
    <row r="697" ht="15" customHeight="1">
      <c r="A697" t="inlineStr">
        <is>
          <t>A 7868-2024</t>
        </is>
      </c>
      <c r="B697" s="1" t="n">
        <v>45350</v>
      </c>
      <c r="C697" s="1" t="n">
        <v>45852</v>
      </c>
      <c r="D697" t="inlineStr">
        <is>
          <t>UPPSALA LÄN</t>
        </is>
      </c>
      <c r="E697" t="inlineStr">
        <is>
          <t>ENKÖPING</t>
        </is>
      </c>
      <c r="G697" t="n">
        <v>0.3</v>
      </c>
      <c r="H697" t="n">
        <v>0</v>
      </c>
      <c r="I697" t="n">
        <v>0</v>
      </c>
      <c r="J697" t="n">
        <v>0</v>
      </c>
      <c r="K697" t="n">
        <v>0</v>
      </c>
      <c r="L697" t="n">
        <v>0</v>
      </c>
      <c r="M697" t="n">
        <v>0</v>
      </c>
      <c r="N697" t="n">
        <v>0</v>
      </c>
      <c r="O697" t="n">
        <v>0</v>
      </c>
      <c r="P697" t="n">
        <v>0</v>
      </c>
      <c r="Q697" t="n">
        <v>0</v>
      </c>
      <c r="R697" s="2" t="inlineStr"/>
    </row>
    <row r="698" ht="15" customHeight="1">
      <c r="A698" t="inlineStr">
        <is>
          <t>A 7866-2024</t>
        </is>
      </c>
      <c r="B698" s="1" t="n">
        <v>45350</v>
      </c>
      <c r="C698" s="1" t="n">
        <v>45852</v>
      </c>
      <c r="D698" t="inlineStr">
        <is>
          <t>UPPSALA LÄN</t>
        </is>
      </c>
      <c r="E698" t="inlineStr">
        <is>
          <t>ENKÖPING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7870-2024</t>
        </is>
      </c>
      <c r="B699" s="1" t="n">
        <v>45350</v>
      </c>
      <c r="C699" s="1" t="n">
        <v>45852</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8103-2024</t>
        </is>
      </c>
      <c r="B700" s="1" t="n">
        <v>45351</v>
      </c>
      <c r="C700" s="1" t="n">
        <v>45852</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8217-2024</t>
        </is>
      </c>
      <c r="B701" s="1" t="n">
        <v>45351</v>
      </c>
      <c r="C701" s="1" t="n">
        <v>45852</v>
      </c>
      <c r="D701" t="inlineStr">
        <is>
          <t>UPPSALA LÄN</t>
        </is>
      </c>
      <c r="E701" t="inlineStr">
        <is>
          <t>ENKÖPING</t>
        </is>
      </c>
      <c r="G701" t="n">
        <v>3.1</v>
      </c>
      <c r="H701" t="n">
        <v>0</v>
      </c>
      <c r="I701" t="n">
        <v>0</v>
      </c>
      <c r="J701" t="n">
        <v>0</v>
      </c>
      <c r="K701" t="n">
        <v>0</v>
      </c>
      <c r="L701" t="n">
        <v>0</v>
      </c>
      <c r="M701" t="n">
        <v>0</v>
      </c>
      <c r="N701" t="n">
        <v>0</v>
      </c>
      <c r="O701" t="n">
        <v>0</v>
      </c>
      <c r="P701" t="n">
        <v>0</v>
      </c>
      <c r="Q701" t="n">
        <v>0</v>
      </c>
      <c r="R701" s="2" t="inlineStr"/>
    </row>
    <row r="702" ht="15" customHeight="1">
      <c r="A702" t="inlineStr">
        <is>
          <t>A 9185-2024</t>
        </is>
      </c>
      <c r="B702" s="1" t="n">
        <v>45358</v>
      </c>
      <c r="C702" s="1" t="n">
        <v>45852</v>
      </c>
      <c r="D702" t="inlineStr">
        <is>
          <t>UPPSALA LÄN</t>
        </is>
      </c>
      <c r="E702" t="inlineStr">
        <is>
          <t>ENKÖPING</t>
        </is>
      </c>
      <c r="G702" t="n">
        <v>4.4</v>
      </c>
      <c r="H702" t="n">
        <v>0</v>
      </c>
      <c r="I702" t="n">
        <v>0</v>
      </c>
      <c r="J702" t="n">
        <v>0</v>
      </c>
      <c r="K702" t="n">
        <v>0</v>
      </c>
      <c r="L702" t="n">
        <v>0</v>
      </c>
      <c r="M702" t="n">
        <v>0</v>
      </c>
      <c r="N702" t="n">
        <v>0</v>
      </c>
      <c r="O702" t="n">
        <v>0</v>
      </c>
      <c r="P702" t="n">
        <v>0</v>
      </c>
      <c r="Q702" t="n">
        <v>0</v>
      </c>
      <c r="R702" s="2" t="inlineStr"/>
    </row>
    <row r="703" ht="15" customHeight="1">
      <c r="A703" t="inlineStr">
        <is>
          <t>A 9174-2024</t>
        </is>
      </c>
      <c r="B703" s="1" t="n">
        <v>45358</v>
      </c>
      <c r="C703" s="1" t="n">
        <v>45852</v>
      </c>
      <c r="D703" t="inlineStr">
        <is>
          <t>UPPSALA LÄN</t>
        </is>
      </c>
      <c r="E703" t="inlineStr">
        <is>
          <t>ENKÖPING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9171-2024</t>
        </is>
      </c>
      <c r="B704" s="1" t="n">
        <v>45358</v>
      </c>
      <c r="C704" s="1" t="n">
        <v>45852</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9175-2024</t>
        </is>
      </c>
      <c r="B705" s="1" t="n">
        <v>45358</v>
      </c>
      <c r="C705" s="1" t="n">
        <v>45852</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9192-2024</t>
        </is>
      </c>
      <c r="B706" s="1" t="n">
        <v>45358</v>
      </c>
      <c r="C706" s="1" t="n">
        <v>45852</v>
      </c>
      <c r="D706" t="inlineStr">
        <is>
          <t>UPPSALA LÄN</t>
        </is>
      </c>
      <c r="E706" t="inlineStr">
        <is>
          <t>ENKÖPING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9667-2024</t>
        </is>
      </c>
      <c r="B707" s="1" t="n">
        <v>45362</v>
      </c>
      <c r="C707" s="1" t="n">
        <v>45852</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10829-2024</t>
        </is>
      </c>
      <c r="B708" s="1" t="n">
        <v>45369</v>
      </c>
      <c r="C708" s="1" t="n">
        <v>45852</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10756-2024</t>
        </is>
      </c>
      <c r="B709" s="1" t="n">
        <v>45369</v>
      </c>
      <c r="C709" s="1" t="n">
        <v>45852</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10752-2024</t>
        </is>
      </c>
      <c r="B710" s="1" t="n">
        <v>45369</v>
      </c>
      <c r="C710" s="1" t="n">
        <v>45852</v>
      </c>
      <c r="D710" t="inlineStr">
        <is>
          <t>UPPSALA LÄN</t>
        </is>
      </c>
      <c r="E710" t="inlineStr">
        <is>
          <t>ENKÖPING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10832-2024</t>
        </is>
      </c>
      <c r="B711" s="1" t="n">
        <v>45369</v>
      </c>
      <c r="C711" s="1" t="n">
        <v>45852</v>
      </c>
      <c r="D711" t="inlineStr">
        <is>
          <t>UPPSALA LÄN</t>
        </is>
      </c>
      <c r="E711" t="inlineStr">
        <is>
          <t>ENKÖPING</t>
        </is>
      </c>
      <c r="G711" t="n">
        <v>7.3</v>
      </c>
      <c r="H711" t="n">
        <v>0</v>
      </c>
      <c r="I711" t="n">
        <v>0</v>
      </c>
      <c r="J711" t="n">
        <v>0</v>
      </c>
      <c r="K711" t="n">
        <v>0</v>
      </c>
      <c r="L711" t="n">
        <v>0</v>
      </c>
      <c r="M711" t="n">
        <v>0</v>
      </c>
      <c r="N711" t="n">
        <v>0</v>
      </c>
      <c r="O711" t="n">
        <v>0</v>
      </c>
      <c r="P711" t="n">
        <v>0</v>
      </c>
      <c r="Q711" t="n">
        <v>0</v>
      </c>
      <c r="R711" s="2" t="inlineStr"/>
    </row>
    <row r="712" ht="15" customHeight="1">
      <c r="A712" t="inlineStr">
        <is>
          <t>A 10831-2024</t>
        </is>
      </c>
      <c r="B712" s="1" t="n">
        <v>45369</v>
      </c>
      <c r="C712" s="1" t="n">
        <v>45852</v>
      </c>
      <c r="D712" t="inlineStr">
        <is>
          <t>UPPSALA LÄN</t>
        </is>
      </c>
      <c r="E712" t="inlineStr">
        <is>
          <t>ENKÖPING</t>
        </is>
      </c>
      <c r="G712" t="n">
        <v>2.9</v>
      </c>
      <c r="H712" t="n">
        <v>0</v>
      </c>
      <c r="I712" t="n">
        <v>0</v>
      </c>
      <c r="J712" t="n">
        <v>0</v>
      </c>
      <c r="K712" t="n">
        <v>0</v>
      </c>
      <c r="L712" t="n">
        <v>0</v>
      </c>
      <c r="M712" t="n">
        <v>0</v>
      </c>
      <c r="N712" t="n">
        <v>0</v>
      </c>
      <c r="O712" t="n">
        <v>0</v>
      </c>
      <c r="P712" t="n">
        <v>0</v>
      </c>
      <c r="Q712" t="n">
        <v>0</v>
      </c>
      <c r="R712" s="2" t="inlineStr"/>
    </row>
    <row r="713" ht="15" customHeight="1">
      <c r="A713" t="inlineStr">
        <is>
          <t>A 11503-2024</t>
        </is>
      </c>
      <c r="B713" s="1" t="n">
        <v>45372</v>
      </c>
      <c r="C713" s="1" t="n">
        <v>45852</v>
      </c>
      <c r="D713" t="inlineStr">
        <is>
          <t>UPPSALA LÄN</t>
        </is>
      </c>
      <c r="E713" t="inlineStr">
        <is>
          <t>ENKÖPING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11908-2024</t>
        </is>
      </c>
      <c r="B714" s="1" t="n">
        <v>45376</v>
      </c>
      <c r="C714" s="1" t="n">
        <v>45852</v>
      </c>
      <c r="D714" t="inlineStr">
        <is>
          <t>UPPSALA LÄN</t>
        </is>
      </c>
      <c r="E714" t="inlineStr">
        <is>
          <t>ENKÖPING</t>
        </is>
      </c>
      <c r="G714" t="n">
        <v>7.9</v>
      </c>
      <c r="H714" t="n">
        <v>0</v>
      </c>
      <c r="I714" t="n">
        <v>0</v>
      </c>
      <c r="J714" t="n">
        <v>0</v>
      </c>
      <c r="K714" t="n">
        <v>0</v>
      </c>
      <c r="L714" t="n">
        <v>0</v>
      </c>
      <c r="M714" t="n">
        <v>0</v>
      </c>
      <c r="N714" t="n">
        <v>0</v>
      </c>
      <c r="O714" t="n">
        <v>0</v>
      </c>
      <c r="P714" t="n">
        <v>0</v>
      </c>
      <c r="Q714" t="n">
        <v>0</v>
      </c>
      <c r="R714" s="2" t="inlineStr"/>
    </row>
    <row r="715" ht="15" customHeight="1">
      <c r="A715" t="inlineStr">
        <is>
          <t>A 12020-2024</t>
        </is>
      </c>
      <c r="B715" s="1" t="n">
        <v>45377</v>
      </c>
      <c r="C715" s="1" t="n">
        <v>45852</v>
      </c>
      <c r="D715" t="inlineStr">
        <is>
          <t>UPPSALA LÄN</t>
        </is>
      </c>
      <c r="E715" t="inlineStr">
        <is>
          <t>ENKÖPING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12102-2024</t>
        </is>
      </c>
      <c r="B716" s="1" t="n">
        <v>45377</v>
      </c>
      <c r="C716" s="1" t="n">
        <v>45852</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12751-2024</t>
        </is>
      </c>
      <c r="B717" s="1" t="n">
        <v>45384</v>
      </c>
      <c r="C717" s="1" t="n">
        <v>45852</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12958-2024</t>
        </is>
      </c>
      <c r="B718" s="1" t="n">
        <v>45385</v>
      </c>
      <c r="C718" s="1" t="n">
        <v>45852</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13247-2024</t>
        </is>
      </c>
      <c r="B719" s="1" t="n">
        <v>45386</v>
      </c>
      <c r="C719" s="1" t="n">
        <v>45852</v>
      </c>
      <c r="D719" t="inlineStr">
        <is>
          <t>UPPSALA LÄN</t>
        </is>
      </c>
      <c r="E719" t="inlineStr">
        <is>
          <t>ENKÖPING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13168-2024</t>
        </is>
      </c>
      <c r="B720" s="1" t="n">
        <v>45386</v>
      </c>
      <c r="C720" s="1" t="n">
        <v>45852</v>
      </c>
      <c r="D720" t="inlineStr">
        <is>
          <t>UPPSALA LÄN</t>
        </is>
      </c>
      <c r="E720" t="inlineStr">
        <is>
          <t>ENKÖPING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13530-2024</t>
        </is>
      </c>
      <c r="B721" s="1" t="n">
        <v>45387</v>
      </c>
      <c r="C721" s="1" t="n">
        <v>45852</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13528-2024</t>
        </is>
      </c>
      <c r="B722" s="1" t="n">
        <v>45387</v>
      </c>
      <c r="C722" s="1" t="n">
        <v>45852</v>
      </c>
      <c r="D722" t="inlineStr">
        <is>
          <t>UPPSALA LÄN</t>
        </is>
      </c>
      <c r="E722" t="inlineStr">
        <is>
          <t>ENKÖPING</t>
        </is>
      </c>
      <c r="G722" t="n">
        <v>5.7</v>
      </c>
      <c r="H722" t="n">
        <v>0</v>
      </c>
      <c r="I722" t="n">
        <v>0</v>
      </c>
      <c r="J722" t="n">
        <v>0</v>
      </c>
      <c r="K722" t="n">
        <v>0</v>
      </c>
      <c r="L722" t="n">
        <v>0</v>
      </c>
      <c r="M722" t="n">
        <v>0</v>
      </c>
      <c r="N722" t="n">
        <v>0</v>
      </c>
      <c r="O722" t="n">
        <v>0</v>
      </c>
      <c r="P722" t="n">
        <v>0</v>
      </c>
      <c r="Q722" t="n">
        <v>0</v>
      </c>
      <c r="R722" s="2" t="inlineStr"/>
    </row>
    <row r="723" ht="15" customHeight="1">
      <c r="A723" t="inlineStr">
        <is>
          <t>A 14334-2024</t>
        </is>
      </c>
      <c r="B723" s="1" t="n">
        <v>45393</v>
      </c>
      <c r="C723" s="1" t="n">
        <v>45852</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14332-2024</t>
        </is>
      </c>
      <c r="B724" s="1" t="n">
        <v>45393</v>
      </c>
      <c r="C724" s="1" t="n">
        <v>45852</v>
      </c>
      <c r="D724" t="inlineStr">
        <is>
          <t>UPPSALA LÄN</t>
        </is>
      </c>
      <c r="E724" t="inlineStr">
        <is>
          <t>ENKÖPING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15823-2024</t>
        </is>
      </c>
      <c r="B725" s="1" t="n">
        <v>45404</v>
      </c>
      <c r="C725" s="1" t="n">
        <v>45852</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15816-2024</t>
        </is>
      </c>
      <c r="B726" s="1" t="n">
        <v>45404</v>
      </c>
      <c r="C726" s="1" t="n">
        <v>45852</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15824-2024</t>
        </is>
      </c>
      <c r="B727" s="1" t="n">
        <v>45404</v>
      </c>
      <c r="C727" s="1" t="n">
        <v>45852</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15814-2024</t>
        </is>
      </c>
      <c r="B728" s="1" t="n">
        <v>45404</v>
      </c>
      <c r="C728" s="1" t="n">
        <v>45852</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15826-2024</t>
        </is>
      </c>
      <c r="B729" s="1" t="n">
        <v>45404</v>
      </c>
      <c r="C729" s="1" t="n">
        <v>45852</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15813-2024</t>
        </is>
      </c>
      <c r="B730" s="1" t="n">
        <v>45404</v>
      </c>
      <c r="C730" s="1" t="n">
        <v>45852</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15878-2024</t>
        </is>
      </c>
      <c r="B731" s="1" t="n">
        <v>45405</v>
      </c>
      <c r="C731" s="1" t="n">
        <v>45852</v>
      </c>
      <c r="D731" t="inlineStr">
        <is>
          <t>UPPSALA LÄN</t>
        </is>
      </c>
      <c r="E731" t="inlineStr">
        <is>
          <t>ENKÖPING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15893-2024</t>
        </is>
      </c>
      <c r="B732" s="1" t="n">
        <v>45405</v>
      </c>
      <c r="C732" s="1" t="n">
        <v>45852</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19147-2024</t>
        </is>
      </c>
      <c r="B733" s="1" t="n">
        <v>45428</v>
      </c>
      <c r="C733" s="1" t="n">
        <v>45852</v>
      </c>
      <c r="D733" t="inlineStr">
        <is>
          <t>UPPSALA LÄN</t>
        </is>
      </c>
      <c r="E733" t="inlineStr">
        <is>
          <t>ENKÖPING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19378-2024</t>
        </is>
      </c>
      <c r="B734" s="1" t="n">
        <v>45429</v>
      </c>
      <c r="C734" s="1" t="n">
        <v>45852</v>
      </c>
      <c r="D734" t="inlineStr">
        <is>
          <t>UPPSALA LÄN</t>
        </is>
      </c>
      <c r="E734" t="inlineStr">
        <is>
          <t>ENKÖPING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19376-2024</t>
        </is>
      </c>
      <c r="B735" s="1" t="n">
        <v>45429</v>
      </c>
      <c r="C735" s="1" t="n">
        <v>45852</v>
      </c>
      <c r="D735" t="inlineStr">
        <is>
          <t>UPPSALA LÄN</t>
        </is>
      </c>
      <c r="E735" t="inlineStr">
        <is>
          <t>ENKÖPING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20112-2024</t>
        </is>
      </c>
      <c r="B736" s="1" t="n">
        <v>45434</v>
      </c>
      <c r="C736" s="1" t="n">
        <v>45852</v>
      </c>
      <c r="D736" t="inlineStr">
        <is>
          <t>UPPSALA LÄN</t>
        </is>
      </c>
      <c r="E736" t="inlineStr">
        <is>
          <t>ENKÖPING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20105-2024</t>
        </is>
      </c>
      <c r="B737" s="1" t="n">
        <v>45434</v>
      </c>
      <c r="C737" s="1" t="n">
        <v>45852</v>
      </c>
      <c r="D737" t="inlineStr">
        <is>
          <t>UPPSALA LÄN</t>
        </is>
      </c>
      <c r="E737" t="inlineStr">
        <is>
          <t>ENKÖPING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21435-2024</t>
        </is>
      </c>
      <c r="B738" s="1" t="n">
        <v>45441</v>
      </c>
      <c r="C738" s="1" t="n">
        <v>45852</v>
      </c>
      <c r="D738" t="inlineStr">
        <is>
          <t>UPPSALA LÄN</t>
        </is>
      </c>
      <c r="E738" t="inlineStr">
        <is>
          <t>ENKÖPING</t>
        </is>
      </c>
      <c r="G738" t="n">
        <v>2.6</v>
      </c>
      <c r="H738" t="n">
        <v>0</v>
      </c>
      <c r="I738" t="n">
        <v>0</v>
      </c>
      <c r="J738" t="n">
        <v>0</v>
      </c>
      <c r="K738" t="n">
        <v>0</v>
      </c>
      <c r="L738" t="n">
        <v>0</v>
      </c>
      <c r="M738" t="n">
        <v>0</v>
      </c>
      <c r="N738" t="n">
        <v>0</v>
      </c>
      <c r="O738" t="n">
        <v>0</v>
      </c>
      <c r="P738" t="n">
        <v>0</v>
      </c>
      <c r="Q738" t="n">
        <v>0</v>
      </c>
      <c r="R738" s="2" t="inlineStr"/>
    </row>
    <row r="739" ht="15" customHeight="1">
      <c r="A739" t="inlineStr">
        <is>
          <t>A 22912-2024</t>
        </is>
      </c>
      <c r="B739" s="1" t="n">
        <v>45448</v>
      </c>
      <c r="C739" s="1" t="n">
        <v>45852</v>
      </c>
      <c r="D739" t="inlineStr">
        <is>
          <t>UPPSALA LÄN</t>
        </is>
      </c>
      <c r="E739" t="inlineStr">
        <is>
          <t>ENKÖPING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23301-2024</t>
        </is>
      </c>
      <c r="B740" s="1" t="n">
        <v>45453</v>
      </c>
      <c r="C740" s="1" t="n">
        <v>45852</v>
      </c>
      <c r="D740" t="inlineStr">
        <is>
          <t>UPPSALA LÄN</t>
        </is>
      </c>
      <c r="E740" t="inlineStr">
        <is>
          <t>ENKÖPING</t>
        </is>
      </c>
      <c r="G740" t="n">
        <v>4.3</v>
      </c>
      <c r="H740" t="n">
        <v>0</v>
      </c>
      <c r="I740" t="n">
        <v>0</v>
      </c>
      <c r="J740" t="n">
        <v>0</v>
      </c>
      <c r="K740" t="n">
        <v>0</v>
      </c>
      <c r="L740" t="n">
        <v>0</v>
      </c>
      <c r="M740" t="n">
        <v>0</v>
      </c>
      <c r="N740" t="n">
        <v>0</v>
      </c>
      <c r="O740" t="n">
        <v>0</v>
      </c>
      <c r="P740" t="n">
        <v>0</v>
      </c>
      <c r="Q740" t="n">
        <v>0</v>
      </c>
      <c r="R740" s="2" t="inlineStr"/>
    </row>
    <row r="741" ht="15" customHeight="1">
      <c r="A741" t="inlineStr">
        <is>
          <t>A 23264-2024</t>
        </is>
      </c>
      <c r="B741" s="1" t="n">
        <v>45453</v>
      </c>
      <c r="C741" s="1" t="n">
        <v>45852</v>
      </c>
      <c r="D741" t="inlineStr">
        <is>
          <t>UPPSALA LÄN</t>
        </is>
      </c>
      <c r="E741" t="inlineStr">
        <is>
          <t>ENKÖPING</t>
        </is>
      </c>
      <c r="G741" t="n">
        <v>9.4</v>
      </c>
      <c r="H741" t="n">
        <v>0</v>
      </c>
      <c r="I741" t="n">
        <v>0</v>
      </c>
      <c r="J741" t="n">
        <v>0</v>
      </c>
      <c r="K741" t="n">
        <v>0</v>
      </c>
      <c r="L741" t="n">
        <v>0</v>
      </c>
      <c r="M741" t="n">
        <v>0</v>
      </c>
      <c r="N741" t="n">
        <v>0</v>
      </c>
      <c r="O741" t="n">
        <v>0</v>
      </c>
      <c r="P741" t="n">
        <v>0</v>
      </c>
      <c r="Q741" t="n">
        <v>0</v>
      </c>
      <c r="R741" s="2" t="inlineStr"/>
    </row>
    <row r="742" ht="15" customHeight="1">
      <c r="A742" t="inlineStr">
        <is>
          <t>A 24306-2024</t>
        </is>
      </c>
      <c r="B742" s="1" t="n">
        <v>45457</v>
      </c>
      <c r="C742" s="1" t="n">
        <v>45852</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24259-2024</t>
        </is>
      </c>
      <c r="B743" s="1" t="n">
        <v>45457</v>
      </c>
      <c r="C743" s="1" t="n">
        <v>45852</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24291-2024</t>
        </is>
      </c>
      <c r="B744" s="1" t="n">
        <v>45457</v>
      </c>
      <c r="C744" s="1" t="n">
        <v>45852</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24411-2024</t>
        </is>
      </c>
      <c r="B745" s="1" t="n">
        <v>45457</v>
      </c>
      <c r="C745" s="1" t="n">
        <v>45852</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25607-2024</t>
        </is>
      </c>
      <c r="B746" s="1" t="n">
        <v>45463</v>
      </c>
      <c r="C746" s="1" t="n">
        <v>45852</v>
      </c>
      <c r="D746" t="inlineStr">
        <is>
          <t>UPPSALA LÄN</t>
        </is>
      </c>
      <c r="E746" t="inlineStr">
        <is>
          <t>ENKÖPING</t>
        </is>
      </c>
      <c r="G746" t="n">
        <v>6.3</v>
      </c>
      <c r="H746" t="n">
        <v>0</v>
      </c>
      <c r="I746" t="n">
        <v>0</v>
      </c>
      <c r="J746" t="n">
        <v>0</v>
      </c>
      <c r="K746" t="n">
        <v>0</v>
      </c>
      <c r="L746" t="n">
        <v>0</v>
      </c>
      <c r="M746" t="n">
        <v>0</v>
      </c>
      <c r="N746" t="n">
        <v>0</v>
      </c>
      <c r="O746" t="n">
        <v>0</v>
      </c>
      <c r="P746" t="n">
        <v>0</v>
      </c>
      <c r="Q746" t="n">
        <v>0</v>
      </c>
      <c r="R746" s="2" t="inlineStr"/>
    </row>
    <row r="747" ht="15" customHeight="1">
      <c r="A747" t="inlineStr">
        <is>
          <t>A 25595-2024</t>
        </is>
      </c>
      <c r="B747" s="1" t="n">
        <v>45463</v>
      </c>
      <c r="C747" s="1" t="n">
        <v>45852</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25601-2024</t>
        </is>
      </c>
      <c r="B748" s="1" t="n">
        <v>45463</v>
      </c>
      <c r="C748" s="1" t="n">
        <v>45852</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25930-2024</t>
        </is>
      </c>
      <c r="B749" s="1" t="n">
        <v>45467</v>
      </c>
      <c r="C749" s="1" t="n">
        <v>45852</v>
      </c>
      <c r="D749" t="inlineStr">
        <is>
          <t>UPPSALA LÄN</t>
        </is>
      </c>
      <c r="E749" t="inlineStr">
        <is>
          <t>ENKÖPING</t>
        </is>
      </c>
      <c r="G749" t="n">
        <v>5.7</v>
      </c>
      <c r="H749" t="n">
        <v>0</v>
      </c>
      <c r="I749" t="n">
        <v>0</v>
      </c>
      <c r="J749" t="n">
        <v>0</v>
      </c>
      <c r="K749" t="n">
        <v>0</v>
      </c>
      <c r="L749" t="n">
        <v>0</v>
      </c>
      <c r="M749" t="n">
        <v>0</v>
      </c>
      <c r="N749" t="n">
        <v>0</v>
      </c>
      <c r="O749" t="n">
        <v>0</v>
      </c>
      <c r="P749" t="n">
        <v>0</v>
      </c>
      <c r="Q749" t="n">
        <v>0</v>
      </c>
      <c r="R749" s="2" t="inlineStr"/>
    </row>
    <row r="750" ht="15" customHeight="1">
      <c r="A750" t="inlineStr">
        <is>
          <t>A 27172-2024</t>
        </is>
      </c>
      <c r="B750" s="1" t="n">
        <v>45471</v>
      </c>
      <c r="C750" s="1" t="n">
        <v>45852</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27998-2024</t>
        </is>
      </c>
      <c r="B751" s="1" t="n">
        <v>45476</v>
      </c>
      <c r="C751" s="1" t="n">
        <v>45852</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27983-2024</t>
        </is>
      </c>
      <c r="B752" s="1" t="n">
        <v>45476</v>
      </c>
      <c r="C752" s="1" t="n">
        <v>45852</v>
      </c>
      <c r="D752" t="inlineStr">
        <is>
          <t>UPPSALA LÄN</t>
        </is>
      </c>
      <c r="E752" t="inlineStr">
        <is>
          <t>ENKÖPING</t>
        </is>
      </c>
      <c r="G752" t="n">
        <v>3.2</v>
      </c>
      <c r="H752" t="n">
        <v>0</v>
      </c>
      <c r="I752" t="n">
        <v>0</v>
      </c>
      <c r="J752" t="n">
        <v>0</v>
      </c>
      <c r="K752" t="n">
        <v>0</v>
      </c>
      <c r="L752" t="n">
        <v>0</v>
      </c>
      <c r="M752" t="n">
        <v>0</v>
      </c>
      <c r="N752" t="n">
        <v>0</v>
      </c>
      <c r="O752" t="n">
        <v>0</v>
      </c>
      <c r="P752" t="n">
        <v>0</v>
      </c>
      <c r="Q752" t="n">
        <v>0</v>
      </c>
      <c r="R752" s="2" t="inlineStr"/>
    </row>
    <row r="753" ht="15" customHeight="1">
      <c r="A753" t="inlineStr">
        <is>
          <t>A 27993-2024</t>
        </is>
      </c>
      <c r="B753" s="1" t="n">
        <v>45476</v>
      </c>
      <c r="C753" s="1" t="n">
        <v>45852</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28325-2024</t>
        </is>
      </c>
      <c r="B754" s="1" t="n">
        <v>45477</v>
      </c>
      <c r="C754" s="1" t="n">
        <v>45852</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28518-2024</t>
        </is>
      </c>
      <c r="B755" s="1" t="n">
        <v>45477</v>
      </c>
      <c r="C755" s="1" t="n">
        <v>45852</v>
      </c>
      <c r="D755" t="inlineStr">
        <is>
          <t>UPPSALA LÄN</t>
        </is>
      </c>
      <c r="E755" t="inlineStr">
        <is>
          <t>ENKÖPING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28318-2024</t>
        </is>
      </c>
      <c r="B756" s="1" t="n">
        <v>45477</v>
      </c>
      <c r="C756" s="1" t="n">
        <v>45852</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28515-2024</t>
        </is>
      </c>
      <c r="B757" s="1" t="n">
        <v>45477</v>
      </c>
      <c r="C757" s="1" t="n">
        <v>45852</v>
      </c>
      <c r="D757" t="inlineStr">
        <is>
          <t>UPPSALA LÄN</t>
        </is>
      </c>
      <c r="E757" t="inlineStr">
        <is>
          <t>ENKÖPING</t>
        </is>
      </c>
      <c r="G757" t="n">
        <v>5.9</v>
      </c>
      <c r="H757" t="n">
        <v>0</v>
      </c>
      <c r="I757" t="n">
        <v>0</v>
      </c>
      <c r="J757" t="n">
        <v>0</v>
      </c>
      <c r="K757" t="n">
        <v>0</v>
      </c>
      <c r="L757" t="n">
        <v>0</v>
      </c>
      <c r="M757" t="n">
        <v>0</v>
      </c>
      <c r="N757" t="n">
        <v>0</v>
      </c>
      <c r="O757" t="n">
        <v>0</v>
      </c>
      <c r="P757" t="n">
        <v>0</v>
      </c>
      <c r="Q757" t="n">
        <v>0</v>
      </c>
      <c r="R757" s="2" t="inlineStr"/>
    </row>
    <row r="758" ht="15" customHeight="1">
      <c r="A758" t="inlineStr">
        <is>
          <t>A 28848-2024</t>
        </is>
      </c>
      <c r="B758" s="1" t="n">
        <v>45478</v>
      </c>
      <c r="C758" s="1" t="n">
        <v>45852</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30092-2024</t>
        </is>
      </c>
      <c r="B759" s="1" t="n">
        <v>45489</v>
      </c>
      <c r="C759" s="1" t="n">
        <v>45852</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30109-2024</t>
        </is>
      </c>
      <c r="B760" s="1" t="n">
        <v>45489</v>
      </c>
      <c r="C760" s="1" t="n">
        <v>45852</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30098-2024</t>
        </is>
      </c>
      <c r="B761" s="1" t="n">
        <v>45489</v>
      </c>
      <c r="C761" s="1" t="n">
        <v>45852</v>
      </c>
      <c r="D761" t="inlineStr">
        <is>
          <t>UPPSALA LÄN</t>
        </is>
      </c>
      <c r="E761" t="inlineStr">
        <is>
          <t>ENKÖPING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30087-2024</t>
        </is>
      </c>
      <c r="B762" s="1" t="n">
        <v>45489</v>
      </c>
      <c r="C762" s="1" t="n">
        <v>45852</v>
      </c>
      <c r="D762" t="inlineStr">
        <is>
          <t>UPPSALA LÄN</t>
        </is>
      </c>
      <c r="E762" t="inlineStr">
        <is>
          <t>ENKÖPING</t>
        </is>
      </c>
      <c r="G762" t="n">
        <v>1.4</v>
      </c>
      <c r="H762" t="n">
        <v>0</v>
      </c>
      <c r="I762" t="n">
        <v>0</v>
      </c>
      <c r="J762" t="n">
        <v>0</v>
      </c>
      <c r="K762" t="n">
        <v>0</v>
      </c>
      <c r="L762" t="n">
        <v>0</v>
      </c>
      <c r="M762" t="n">
        <v>0</v>
      </c>
      <c r="N762" t="n">
        <v>0</v>
      </c>
      <c r="O762" t="n">
        <v>0</v>
      </c>
      <c r="P762" t="n">
        <v>0</v>
      </c>
      <c r="Q762" t="n">
        <v>0</v>
      </c>
      <c r="R762" s="2" t="inlineStr"/>
    </row>
    <row r="763" ht="15" customHeight="1">
      <c r="A763" t="inlineStr">
        <is>
          <t>A 30394-2024</t>
        </is>
      </c>
      <c r="B763" s="1" t="n">
        <v>45491</v>
      </c>
      <c r="C763" s="1" t="n">
        <v>45852</v>
      </c>
      <c r="D763" t="inlineStr">
        <is>
          <t>UPPSALA LÄN</t>
        </is>
      </c>
      <c r="E763" t="inlineStr">
        <is>
          <t>ENKÖPING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31241-2024</t>
        </is>
      </c>
      <c r="B764" s="1" t="n">
        <v>45503</v>
      </c>
      <c r="C764" s="1" t="n">
        <v>45852</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31252-2024</t>
        </is>
      </c>
      <c r="B765" s="1" t="n">
        <v>45503</v>
      </c>
      <c r="C765" s="1" t="n">
        <v>45852</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31240-2024</t>
        </is>
      </c>
      <c r="B766" s="1" t="n">
        <v>45503</v>
      </c>
      <c r="C766" s="1" t="n">
        <v>45852</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31253-2024</t>
        </is>
      </c>
      <c r="B767" s="1" t="n">
        <v>45503</v>
      </c>
      <c r="C767" s="1" t="n">
        <v>45852</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32028-2024</t>
        </is>
      </c>
      <c r="B768" s="1" t="n">
        <v>45510</v>
      </c>
      <c r="C768" s="1" t="n">
        <v>45852</v>
      </c>
      <c r="D768" t="inlineStr">
        <is>
          <t>UPPSALA LÄN</t>
        </is>
      </c>
      <c r="E768" t="inlineStr">
        <is>
          <t>ENKÖPING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32083-2024</t>
        </is>
      </c>
      <c r="B769" s="1" t="n">
        <v>45511</v>
      </c>
      <c r="C769" s="1" t="n">
        <v>45852</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32086-2024</t>
        </is>
      </c>
      <c r="B770" s="1" t="n">
        <v>45511</v>
      </c>
      <c r="C770" s="1" t="n">
        <v>45852</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32080-2024</t>
        </is>
      </c>
      <c r="B771" s="1" t="n">
        <v>45511</v>
      </c>
      <c r="C771" s="1" t="n">
        <v>45852</v>
      </c>
      <c r="D771" t="inlineStr">
        <is>
          <t>UPPSALA LÄN</t>
        </is>
      </c>
      <c r="E771" t="inlineStr">
        <is>
          <t>ENKÖPING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32085-2024</t>
        </is>
      </c>
      <c r="B772" s="1" t="n">
        <v>45511</v>
      </c>
      <c r="C772" s="1" t="n">
        <v>45852</v>
      </c>
      <c r="D772" t="inlineStr">
        <is>
          <t>UPPSALA LÄN</t>
        </is>
      </c>
      <c r="E772" t="inlineStr">
        <is>
          <t>ENKÖPING</t>
        </is>
      </c>
      <c r="G772" t="n">
        <v>7.1</v>
      </c>
      <c r="H772" t="n">
        <v>0</v>
      </c>
      <c r="I772" t="n">
        <v>0</v>
      </c>
      <c r="J772" t="n">
        <v>0</v>
      </c>
      <c r="K772" t="n">
        <v>0</v>
      </c>
      <c r="L772" t="n">
        <v>0</v>
      </c>
      <c r="M772" t="n">
        <v>0</v>
      </c>
      <c r="N772" t="n">
        <v>0</v>
      </c>
      <c r="O772" t="n">
        <v>0</v>
      </c>
      <c r="P772" t="n">
        <v>0</v>
      </c>
      <c r="Q772" t="n">
        <v>0</v>
      </c>
      <c r="R772" s="2" t="inlineStr"/>
    </row>
    <row r="773" ht="15" customHeight="1">
      <c r="A773" t="inlineStr">
        <is>
          <t>A 32081-2024</t>
        </is>
      </c>
      <c r="B773" s="1" t="n">
        <v>45511</v>
      </c>
      <c r="C773" s="1" t="n">
        <v>45852</v>
      </c>
      <c r="D773" t="inlineStr">
        <is>
          <t>UPPSALA LÄN</t>
        </is>
      </c>
      <c r="E773" t="inlineStr">
        <is>
          <t>ENKÖPING</t>
        </is>
      </c>
      <c r="G773" t="n">
        <v>5.4</v>
      </c>
      <c r="H773" t="n">
        <v>0</v>
      </c>
      <c r="I773" t="n">
        <v>0</v>
      </c>
      <c r="J773" t="n">
        <v>0</v>
      </c>
      <c r="K773" t="n">
        <v>0</v>
      </c>
      <c r="L773" t="n">
        <v>0</v>
      </c>
      <c r="M773" t="n">
        <v>0</v>
      </c>
      <c r="N773" t="n">
        <v>0</v>
      </c>
      <c r="O773" t="n">
        <v>0</v>
      </c>
      <c r="P773" t="n">
        <v>0</v>
      </c>
      <c r="Q773" t="n">
        <v>0</v>
      </c>
      <c r="R773" s="2" t="inlineStr"/>
    </row>
    <row r="774" ht="15" customHeight="1">
      <c r="A774" t="inlineStr">
        <is>
          <t>A 33349-2024</t>
        </is>
      </c>
      <c r="B774" s="1" t="n">
        <v>45519</v>
      </c>
      <c r="C774" s="1" t="n">
        <v>45852</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33343-2024</t>
        </is>
      </c>
      <c r="B775" s="1" t="n">
        <v>45519</v>
      </c>
      <c r="C775" s="1" t="n">
        <v>45852</v>
      </c>
      <c r="D775" t="inlineStr">
        <is>
          <t>UPPSALA LÄN</t>
        </is>
      </c>
      <c r="E775" t="inlineStr">
        <is>
          <t>ENKÖPING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33448-2024</t>
        </is>
      </c>
      <c r="B776" s="1" t="n">
        <v>45519</v>
      </c>
      <c r="C776" s="1" t="n">
        <v>45852</v>
      </c>
      <c r="D776" t="inlineStr">
        <is>
          <t>UPPSALA LÄN</t>
        </is>
      </c>
      <c r="E776" t="inlineStr">
        <is>
          <t>ENKÖPING</t>
        </is>
      </c>
      <c r="G776" t="n">
        <v>6.1</v>
      </c>
      <c r="H776" t="n">
        <v>0</v>
      </c>
      <c r="I776" t="n">
        <v>0</v>
      </c>
      <c r="J776" t="n">
        <v>0</v>
      </c>
      <c r="K776" t="n">
        <v>0</v>
      </c>
      <c r="L776" t="n">
        <v>0</v>
      </c>
      <c r="M776" t="n">
        <v>0</v>
      </c>
      <c r="N776" t="n">
        <v>0</v>
      </c>
      <c r="O776" t="n">
        <v>0</v>
      </c>
      <c r="P776" t="n">
        <v>0</v>
      </c>
      <c r="Q776" t="n">
        <v>0</v>
      </c>
      <c r="R776" s="2" t="inlineStr"/>
    </row>
    <row r="777" ht="15" customHeight="1">
      <c r="A777" t="inlineStr">
        <is>
          <t>A 33665-2024</t>
        </is>
      </c>
      <c r="B777" s="1" t="n">
        <v>45520</v>
      </c>
      <c r="C777" s="1" t="n">
        <v>45852</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33669-2024</t>
        </is>
      </c>
      <c r="B778" s="1" t="n">
        <v>45520</v>
      </c>
      <c r="C778" s="1" t="n">
        <v>45852</v>
      </c>
      <c r="D778" t="inlineStr">
        <is>
          <t>UPPSALA LÄN</t>
        </is>
      </c>
      <c r="E778" t="inlineStr">
        <is>
          <t>ENKÖPING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33663-2024</t>
        </is>
      </c>
      <c r="B779" s="1" t="n">
        <v>45520</v>
      </c>
      <c r="C779" s="1" t="n">
        <v>45852</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33670-2024</t>
        </is>
      </c>
      <c r="B780" s="1" t="n">
        <v>45520</v>
      </c>
      <c r="C780" s="1" t="n">
        <v>45852</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33956-2024</t>
        </is>
      </c>
      <c r="B781" s="1" t="n">
        <v>45523</v>
      </c>
      <c r="C781" s="1" t="n">
        <v>45852</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33951-2024</t>
        </is>
      </c>
      <c r="B782" s="1" t="n">
        <v>45523</v>
      </c>
      <c r="C782" s="1" t="n">
        <v>45852</v>
      </c>
      <c r="D782" t="inlineStr">
        <is>
          <t>UPPSALA LÄN</t>
        </is>
      </c>
      <c r="E782" t="inlineStr">
        <is>
          <t>ENKÖPING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33955-2024</t>
        </is>
      </c>
      <c r="B783" s="1" t="n">
        <v>45523</v>
      </c>
      <c r="C783" s="1" t="n">
        <v>45852</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34060-2024</t>
        </is>
      </c>
      <c r="B784" s="1" t="n">
        <v>45523</v>
      </c>
      <c r="C784" s="1" t="n">
        <v>45852</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34805-2024</t>
        </is>
      </c>
      <c r="B785" s="1" t="n">
        <v>45526</v>
      </c>
      <c r="C785" s="1" t="n">
        <v>45852</v>
      </c>
      <c r="D785" t="inlineStr">
        <is>
          <t>UPPSALA LÄN</t>
        </is>
      </c>
      <c r="E785" t="inlineStr">
        <is>
          <t>ENKÖPING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35052-2024</t>
        </is>
      </c>
      <c r="B786" s="1" t="n">
        <v>45527</v>
      </c>
      <c r="C786" s="1" t="n">
        <v>45852</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35056-2024</t>
        </is>
      </c>
      <c r="B787" s="1" t="n">
        <v>45527</v>
      </c>
      <c r="C787" s="1" t="n">
        <v>45852</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35064-2024</t>
        </is>
      </c>
      <c r="B788" s="1" t="n">
        <v>45527</v>
      </c>
      <c r="C788" s="1" t="n">
        <v>45852</v>
      </c>
      <c r="D788" t="inlineStr">
        <is>
          <t>UPPSALA LÄN</t>
        </is>
      </c>
      <c r="E788" t="inlineStr">
        <is>
          <t>ENKÖPING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35072-2024</t>
        </is>
      </c>
      <c r="B789" s="1" t="n">
        <v>45527</v>
      </c>
      <c r="C789" s="1" t="n">
        <v>45852</v>
      </c>
      <c r="D789" t="inlineStr">
        <is>
          <t>UPPSALA LÄN</t>
        </is>
      </c>
      <c r="E789" t="inlineStr">
        <is>
          <t>ENKÖPING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35067-2024</t>
        </is>
      </c>
      <c r="B790" s="1" t="n">
        <v>45527</v>
      </c>
      <c r="C790" s="1" t="n">
        <v>45852</v>
      </c>
      <c r="D790" t="inlineStr">
        <is>
          <t>UPPSALA LÄN</t>
        </is>
      </c>
      <c r="E790" t="inlineStr">
        <is>
          <t>ENKÖPING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35079-2024</t>
        </is>
      </c>
      <c r="B791" s="1" t="n">
        <v>45527</v>
      </c>
      <c r="C791" s="1" t="n">
        <v>45852</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35680-2024</t>
        </is>
      </c>
      <c r="B792" s="1" t="n">
        <v>45532</v>
      </c>
      <c r="C792" s="1" t="n">
        <v>45852</v>
      </c>
      <c r="D792" t="inlineStr">
        <is>
          <t>UPPSALA LÄN</t>
        </is>
      </c>
      <c r="E792" t="inlineStr">
        <is>
          <t>ENKÖPING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36007-2024</t>
        </is>
      </c>
      <c r="B793" s="1" t="n">
        <v>45533</v>
      </c>
      <c r="C793" s="1" t="n">
        <v>45852</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37115-2024</t>
        </is>
      </c>
      <c r="B794" s="1" t="n">
        <v>45539</v>
      </c>
      <c r="C794" s="1" t="n">
        <v>45852</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37465-2024</t>
        </is>
      </c>
      <c r="B795" s="1" t="n">
        <v>45540</v>
      </c>
      <c r="C795" s="1" t="n">
        <v>45852</v>
      </c>
      <c r="D795" t="inlineStr">
        <is>
          <t>UPPSALA LÄN</t>
        </is>
      </c>
      <c r="E795" t="inlineStr">
        <is>
          <t>ENKÖPING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37466-2024</t>
        </is>
      </c>
      <c r="B796" s="1" t="n">
        <v>45540</v>
      </c>
      <c r="C796" s="1" t="n">
        <v>45852</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37704-2024</t>
        </is>
      </c>
      <c r="B797" s="1" t="n">
        <v>45541</v>
      </c>
      <c r="C797" s="1" t="n">
        <v>45852</v>
      </c>
      <c r="D797" t="inlineStr">
        <is>
          <t>UPPSALA LÄN</t>
        </is>
      </c>
      <c r="E797" t="inlineStr">
        <is>
          <t>ENKÖPING</t>
        </is>
      </c>
      <c r="G797" t="n">
        <v>4.7</v>
      </c>
      <c r="H797" t="n">
        <v>0</v>
      </c>
      <c r="I797" t="n">
        <v>0</v>
      </c>
      <c r="J797" t="n">
        <v>0</v>
      </c>
      <c r="K797" t="n">
        <v>0</v>
      </c>
      <c r="L797" t="n">
        <v>0</v>
      </c>
      <c r="M797" t="n">
        <v>0</v>
      </c>
      <c r="N797" t="n">
        <v>0</v>
      </c>
      <c r="O797" t="n">
        <v>0</v>
      </c>
      <c r="P797" t="n">
        <v>0</v>
      </c>
      <c r="Q797" t="n">
        <v>0</v>
      </c>
      <c r="R797" s="2" t="inlineStr"/>
    </row>
    <row r="798" ht="15" customHeight="1">
      <c r="A798" t="inlineStr">
        <is>
          <t>A 39009-2024</t>
        </is>
      </c>
      <c r="B798" s="1" t="n">
        <v>45548</v>
      </c>
      <c r="C798" s="1" t="n">
        <v>45852</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39115-2024</t>
        </is>
      </c>
      <c r="B799" s="1" t="n">
        <v>45548</v>
      </c>
      <c r="C799" s="1" t="n">
        <v>45852</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39858-2024</t>
        </is>
      </c>
      <c r="B800" s="1" t="n">
        <v>45553</v>
      </c>
      <c r="C800" s="1" t="n">
        <v>45852</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40217-2024</t>
        </is>
      </c>
      <c r="B801" s="1" t="n">
        <v>45554</v>
      </c>
      <c r="C801" s="1" t="n">
        <v>45852</v>
      </c>
      <c r="D801" t="inlineStr">
        <is>
          <t>UPPSALA LÄN</t>
        </is>
      </c>
      <c r="E801" t="inlineStr">
        <is>
          <t>ENKÖPING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40223-2024</t>
        </is>
      </c>
      <c r="B802" s="1" t="n">
        <v>45554</v>
      </c>
      <c r="C802" s="1" t="n">
        <v>45852</v>
      </c>
      <c r="D802" t="inlineStr">
        <is>
          <t>UPPSALA LÄN</t>
        </is>
      </c>
      <c r="E802" t="inlineStr">
        <is>
          <t>ENKÖPING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40202-2024</t>
        </is>
      </c>
      <c r="B803" s="1" t="n">
        <v>45554</v>
      </c>
      <c r="C803" s="1" t="n">
        <v>45852</v>
      </c>
      <c r="D803" t="inlineStr">
        <is>
          <t>UPPSALA LÄN</t>
        </is>
      </c>
      <c r="E803" t="inlineStr">
        <is>
          <t>ENKÖPING</t>
        </is>
      </c>
      <c r="G803" t="n">
        <v>6.2</v>
      </c>
      <c r="H803" t="n">
        <v>0</v>
      </c>
      <c r="I803" t="n">
        <v>0</v>
      </c>
      <c r="J803" t="n">
        <v>0</v>
      </c>
      <c r="K803" t="n">
        <v>0</v>
      </c>
      <c r="L803" t="n">
        <v>0</v>
      </c>
      <c r="M803" t="n">
        <v>0</v>
      </c>
      <c r="N803" t="n">
        <v>0</v>
      </c>
      <c r="O803" t="n">
        <v>0</v>
      </c>
      <c r="P803" t="n">
        <v>0</v>
      </c>
      <c r="Q803" t="n">
        <v>0</v>
      </c>
      <c r="R803" s="2" t="inlineStr"/>
    </row>
    <row r="804" ht="15" customHeight="1">
      <c r="A804" t="inlineStr">
        <is>
          <t>A 41828-2024</t>
        </is>
      </c>
      <c r="B804" s="1" t="n">
        <v>45561</v>
      </c>
      <c r="C804" s="1" t="n">
        <v>45852</v>
      </c>
      <c r="D804" t="inlineStr">
        <is>
          <t>UPPSALA LÄN</t>
        </is>
      </c>
      <c r="E804" t="inlineStr">
        <is>
          <t>ENKÖPING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41856-2024</t>
        </is>
      </c>
      <c r="B805" s="1" t="n">
        <v>45561</v>
      </c>
      <c r="C805" s="1" t="n">
        <v>45852</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41826-2024</t>
        </is>
      </c>
      <c r="B806" s="1" t="n">
        <v>45561</v>
      </c>
      <c r="C806" s="1" t="n">
        <v>45852</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41850-2024</t>
        </is>
      </c>
      <c r="B807" s="1" t="n">
        <v>45561</v>
      </c>
      <c r="C807" s="1" t="n">
        <v>45852</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42564-2024</t>
        </is>
      </c>
      <c r="B808" s="1" t="n">
        <v>45565</v>
      </c>
      <c r="C808" s="1" t="n">
        <v>45852</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42459-2024</t>
        </is>
      </c>
      <c r="B809" s="1" t="n">
        <v>45565</v>
      </c>
      <c r="C809" s="1" t="n">
        <v>45852</v>
      </c>
      <c r="D809" t="inlineStr">
        <is>
          <t>UPPSALA LÄN</t>
        </is>
      </c>
      <c r="E809" t="inlineStr">
        <is>
          <t>ENKÖPING</t>
        </is>
      </c>
      <c r="G809" t="n">
        <v>3.6</v>
      </c>
      <c r="H809" t="n">
        <v>0</v>
      </c>
      <c r="I809" t="n">
        <v>0</v>
      </c>
      <c r="J809" t="n">
        <v>0</v>
      </c>
      <c r="K809" t="n">
        <v>0</v>
      </c>
      <c r="L809" t="n">
        <v>0</v>
      </c>
      <c r="M809" t="n">
        <v>0</v>
      </c>
      <c r="N809" t="n">
        <v>0</v>
      </c>
      <c r="O809" t="n">
        <v>0</v>
      </c>
      <c r="P809" t="n">
        <v>0</v>
      </c>
      <c r="Q809" t="n">
        <v>0</v>
      </c>
      <c r="R809" s="2" t="inlineStr"/>
    </row>
    <row r="810" ht="15" customHeight="1">
      <c r="A810" t="inlineStr">
        <is>
          <t>A 43205-2024</t>
        </is>
      </c>
      <c r="B810" s="1" t="n">
        <v>45567</v>
      </c>
      <c r="C810" s="1" t="n">
        <v>45852</v>
      </c>
      <c r="D810" t="inlineStr">
        <is>
          <t>UPPSALA LÄN</t>
        </is>
      </c>
      <c r="E810" t="inlineStr">
        <is>
          <t>ENKÖPING</t>
        </is>
      </c>
      <c r="G810" t="n">
        <v>4.8</v>
      </c>
      <c r="H810" t="n">
        <v>0</v>
      </c>
      <c r="I810" t="n">
        <v>0</v>
      </c>
      <c r="J810" t="n">
        <v>0</v>
      </c>
      <c r="K810" t="n">
        <v>0</v>
      </c>
      <c r="L810" t="n">
        <v>0</v>
      </c>
      <c r="M810" t="n">
        <v>0</v>
      </c>
      <c r="N810" t="n">
        <v>0</v>
      </c>
      <c r="O810" t="n">
        <v>0</v>
      </c>
      <c r="P810" t="n">
        <v>0</v>
      </c>
      <c r="Q810" t="n">
        <v>0</v>
      </c>
      <c r="R810" s="2" t="inlineStr"/>
    </row>
    <row r="811" ht="15" customHeight="1">
      <c r="A811" t="inlineStr">
        <is>
          <t>A 43697-2024</t>
        </is>
      </c>
      <c r="B811" s="1" t="n">
        <v>45569</v>
      </c>
      <c r="C811" s="1" t="n">
        <v>45852</v>
      </c>
      <c r="D811" t="inlineStr">
        <is>
          <t>UPPSALA LÄN</t>
        </is>
      </c>
      <c r="E811" t="inlineStr">
        <is>
          <t>ENKÖPING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43691-2024</t>
        </is>
      </c>
      <c r="B812" s="1" t="n">
        <v>45569</v>
      </c>
      <c r="C812" s="1" t="n">
        <v>45852</v>
      </c>
      <c r="D812" t="inlineStr">
        <is>
          <t>UPPSALA LÄN</t>
        </is>
      </c>
      <c r="E812" t="inlineStr">
        <is>
          <t>ENKÖPING</t>
        </is>
      </c>
      <c r="G812" t="n">
        <v>1.8</v>
      </c>
      <c r="H812" t="n">
        <v>0</v>
      </c>
      <c r="I812" t="n">
        <v>0</v>
      </c>
      <c r="J812" t="n">
        <v>0</v>
      </c>
      <c r="K812" t="n">
        <v>0</v>
      </c>
      <c r="L812" t="n">
        <v>0</v>
      </c>
      <c r="M812" t="n">
        <v>0</v>
      </c>
      <c r="N812" t="n">
        <v>0</v>
      </c>
      <c r="O812" t="n">
        <v>0</v>
      </c>
      <c r="P812" t="n">
        <v>0</v>
      </c>
      <c r="Q812" t="n">
        <v>0</v>
      </c>
      <c r="R812" s="2" t="inlineStr"/>
    </row>
    <row r="813" ht="15" customHeight="1">
      <c r="A813" t="inlineStr">
        <is>
          <t>A 44024-2024</t>
        </is>
      </c>
      <c r="B813" s="1" t="n">
        <v>45572</v>
      </c>
      <c r="C813" s="1" t="n">
        <v>45852</v>
      </c>
      <c r="D813" t="inlineStr">
        <is>
          <t>UPPSALA LÄN</t>
        </is>
      </c>
      <c r="E813" t="inlineStr">
        <is>
          <t>ENKÖPING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44074-2024</t>
        </is>
      </c>
      <c r="B814" s="1" t="n">
        <v>45572</v>
      </c>
      <c r="C814" s="1" t="n">
        <v>45852</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44115-2024</t>
        </is>
      </c>
      <c r="B815" s="1" t="n">
        <v>45572</v>
      </c>
      <c r="C815" s="1" t="n">
        <v>45852</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44055-2024</t>
        </is>
      </c>
      <c r="B816" s="1" t="n">
        <v>45572</v>
      </c>
      <c r="C816" s="1" t="n">
        <v>45852</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44067-2024</t>
        </is>
      </c>
      <c r="B817" s="1" t="n">
        <v>45572</v>
      </c>
      <c r="C817" s="1" t="n">
        <v>45852</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44084-2024</t>
        </is>
      </c>
      <c r="B818" s="1" t="n">
        <v>45572</v>
      </c>
      <c r="C818" s="1" t="n">
        <v>45852</v>
      </c>
      <c r="D818" t="inlineStr">
        <is>
          <t>UPPSALA LÄN</t>
        </is>
      </c>
      <c r="E818" t="inlineStr">
        <is>
          <t>ENKÖPING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45155-2024</t>
        </is>
      </c>
      <c r="B819" s="1" t="n">
        <v>45575</v>
      </c>
      <c r="C819" s="1" t="n">
        <v>45852</v>
      </c>
      <c r="D819" t="inlineStr">
        <is>
          <t>UPPSALA LÄN</t>
        </is>
      </c>
      <c r="E819" t="inlineStr">
        <is>
          <t>ENKÖPING</t>
        </is>
      </c>
      <c r="G819" t="n">
        <v>3.9</v>
      </c>
      <c r="H819" t="n">
        <v>0</v>
      </c>
      <c r="I819" t="n">
        <v>0</v>
      </c>
      <c r="J819" t="n">
        <v>0</v>
      </c>
      <c r="K819" t="n">
        <v>0</v>
      </c>
      <c r="L819" t="n">
        <v>0</v>
      </c>
      <c r="M819" t="n">
        <v>0</v>
      </c>
      <c r="N819" t="n">
        <v>0</v>
      </c>
      <c r="O819" t="n">
        <v>0</v>
      </c>
      <c r="P819" t="n">
        <v>0</v>
      </c>
      <c r="Q819" t="n">
        <v>0</v>
      </c>
      <c r="R819" s="2" t="inlineStr"/>
    </row>
    <row r="820" ht="15" customHeight="1">
      <c r="A820" t="inlineStr">
        <is>
          <t>A 45064-2024</t>
        </is>
      </c>
      <c r="B820" s="1" t="n">
        <v>45575</v>
      </c>
      <c r="C820" s="1" t="n">
        <v>45852</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45615-2024</t>
        </is>
      </c>
      <c r="B821" s="1" t="n">
        <v>45579</v>
      </c>
      <c r="C821" s="1" t="n">
        <v>45852</v>
      </c>
      <c r="D821" t="inlineStr">
        <is>
          <t>UPPSALA LÄN</t>
        </is>
      </c>
      <c r="E821" t="inlineStr">
        <is>
          <t>ENKÖPING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45996-2024</t>
        </is>
      </c>
      <c r="B822" s="1" t="n">
        <v>45580</v>
      </c>
      <c r="C822" s="1" t="n">
        <v>45852</v>
      </c>
      <c r="D822" t="inlineStr">
        <is>
          <t>UPPSALA LÄN</t>
        </is>
      </c>
      <c r="E822" t="inlineStr">
        <is>
          <t>ENKÖPING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45956-2024</t>
        </is>
      </c>
      <c r="B823" s="1" t="n">
        <v>45580</v>
      </c>
      <c r="C823" s="1" t="n">
        <v>45852</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47101-2024</t>
        </is>
      </c>
      <c r="B824" s="1" t="n">
        <v>45586</v>
      </c>
      <c r="C824" s="1" t="n">
        <v>45852</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47681-2024</t>
        </is>
      </c>
      <c r="B825" s="1" t="n">
        <v>45588</v>
      </c>
      <c r="C825" s="1" t="n">
        <v>45852</v>
      </c>
      <c r="D825" t="inlineStr">
        <is>
          <t>UPPSALA LÄN</t>
        </is>
      </c>
      <c r="E825" t="inlineStr">
        <is>
          <t>ENKÖPING</t>
        </is>
      </c>
      <c r="G825" t="n">
        <v>4.2</v>
      </c>
      <c r="H825" t="n">
        <v>0</v>
      </c>
      <c r="I825" t="n">
        <v>0</v>
      </c>
      <c r="J825" t="n">
        <v>0</v>
      </c>
      <c r="K825" t="n">
        <v>0</v>
      </c>
      <c r="L825" t="n">
        <v>0</v>
      </c>
      <c r="M825" t="n">
        <v>0</v>
      </c>
      <c r="N825" t="n">
        <v>0</v>
      </c>
      <c r="O825" t="n">
        <v>0</v>
      </c>
      <c r="P825" t="n">
        <v>0</v>
      </c>
      <c r="Q825" t="n">
        <v>0</v>
      </c>
      <c r="R825" s="2" t="inlineStr"/>
    </row>
    <row r="826" ht="15" customHeight="1">
      <c r="A826" t="inlineStr">
        <is>
          <t>A 48060-2024</t>
        </is>
      </c>
      <c r="B826" s="1" t="n">
        <v>45589</v>
      </c>
      <c r="C826" s="1" t="n">
        <v>45852</v>
      </c>
      <c r="D826" t="inlineStr">
        <is>
          <t>UPPSALA LÄN</t>
        </is>
      </c>
      <c r="E826" t="inlineStr">
        <is>
          <t>ENKÖPING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47909-2024</t>
        </is>
      </c>
      <c r="B827" s="1" t="n">
        <v>45589</v>
      </c>
      <c r="C827" s="1" t="n">
        <v>45852</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48450-2024</t>
        </is>
      </c>
      <c r="B828" s="1" t="n">
        <v>45590</v>
      </c>
      <c r="C828" s="1" t="n">
        <v>45852</v>
      </c>
      <c r="D828" t="inlineStr">
        <is>
          <t>UPPSALA LÄN</t>
        </is>
      </c>
      <c r="E828" t="inlineStr">
        <is>
          <t>ENKÖPING</t>
        </is>
      </c>
      <c r="F828" t="inlineStr">
        <is>
          <t>Allmännings- och besparingsskogar</t>
        </is>
      </c>
      <c r="G828" t="n">
        <v>7.8</v>
      </c>
      <c r="H828" t="n">
        <v>0</v>
      </c>
      <c r="I828" t="n">
        <v>0</v>
      </c>
      <c r="J828" t="n">
        <v>0</v>
      </c>
      <c r="K828" t="n">
        <v>0</v>
      </c>
      <c r="L828" t="n">
        <v>0</v>
      </c>
      <c r="M828" t="n">
        <v>0</v>
      </c>
      <c r="N828" t="n">
        <v>0</v>
      </c>
      <c r="O828" t="n">
        <v>0</v>
      </c>
      <c r="P828" t="n">
        <v>0</v>
      </c>
      <c r="Q828" t="n">
        <v>0</v>
      </c>
      <c r="R828" s="2" t="inlineStr"/>
    </row>
    <row r="829" ht="15" customHeight="1">
      <c r="A829" t="inlineStr">
        <is>
          <t>A 48447-2024</t>
        </is>
      </c>
      <c r="B829" s="1" t="n">
        <v>45590</v>
      </c>
      <c r="C829" s="1" t="n">
        <v>45852</v>
      </c>
      <c r="D829" t="inlineStr">
        <is>
          <t>UPPSALA LÄN</t>
        </is>
      </c>
      <c r="E829" t="inlineStr">
        <is>
          <t>ENKÖPING</t>
        </is>
      </c>
      <c r="F829" t="inlineStr">
        <is>
          <t>Allmännings- och besparingsskogar</t>
        </is>
      </c>
      <c r="G829" t="n">
        <v>3.7</v>
      </c>
      <c r="H829" t="n">
        <v>0</v>
      </c>
      <c r="I829" t="n">
        <v>0</v>
      </c>
      <c r="J829" t="n">
        <v>0</v>
      </c>
      <c r="K829" t="n">
        <v>0</v>
      </c>
      <c r="L829" t="n">
        <v>0</v>
      </c>
      <c r="M829" t="n">
        <v>0</v>
      </c>
      <c r="N829" t="n">
        <v>0</v>
      </c>
      <c r="O829" t="n">
        <v>0</v>
      </c>
      <c r="P829" t="n">
        <v>0</v>
      </c>
      <c r="Q829" t="n">
        <v>0</v>
      </c>
      <c r="R829" s="2" t="inlineStr"/>
    </row>
    <row r="830" ht="15" customHeight="1">
      <c r="A830" t="inlineStr">
        <is>
          <t>A 49063-2024</t>
        </is>
      </c>
      <c r="B830" s="1" t="n">
        <v>45594</v>
      </c>
      <c r="C830" s="1" t="n">
        <v>45852</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49340-2024</t>
        </is>
      </c>
      <c r="B831" s="1" t="n">
        <v>45595</v>
      </c>
      <c r="C831" s="1" t="n">
        <v>45852</v>
      </c>
      <c r="D831" t="inlineStr">
        <is>
          <t>UPPSALA LÄN</t>
        </is>
      </c>
      <c r="E831" t="inlineStr">
        <is>
          <t>ENKÖPING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49601-2024</t>
        </is>
      </c>
      <c r="B832" s="1" t="n">
        <v>45596</v>
      </c>
      <c r="C832" s="1" t="n">
        <v>45852</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49614-2024</t>
        </is>
      </c>
      <c r="B833" s="1" t="n">
        <v>45596</v>
      </c>
      <c r="C833" s="1" t="n">
        <v>45852</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49623-2024</t>
        </is>
      </c>
      <c r="B834" s="1" t="n">
        <v>45596</v>
      </c>
      <c r="C834" s="1" t="n">
        <v>45852</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49627-2024</t>
        </is>
      </c>
      <c r="B835" s="1" t="n">
        <v>45596</v>
      </c>
      <c r="C835" s="1" t="n">
        <v>45852</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49632-2024</t>
        </is>
      </c>
      <c r="B836" s="1" t="n">
        <v>45596</v>
      </c>
      <c r="C836" s="1" t="n">
        <v>45852</v>
      </c>
      <c r="D836" t="inlineStr">
        <is>
          <t>UPPSALA LÄN</t>
        </is>
      </c>
      <c r="E836" t="inlineStr">
        <is>
          <t>ENKÖPING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49597-2024</t>
        </is>
      </c>
      <c r="B837" s="1" t="n">
        <v>45596</v>
      </c>
      <c r="C837" s="1" t="n">
        <v>45852</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49613-2024</t>
        </is>
      </c>
      <c r="B838" s="1" t="n">
        <v>45596</v>
      </c>
      <c r="C838" s="1" t="n">
        <v>45852</v>
      </c>
      <c r="D838" t="inlineStr">
        <is>
          <t>UPPSALA LÄN</t>
        </is>
      </c>
      <c r="E838" t="inlineStr">
        <is>
          <t>ENKÖPING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49622-2024</t>
        </is>
      </c>
      <c r="B839" s="1" t="n">
        <v>45596</v>
      </c>
      <c r="C839" s="1" t="n">
        <v>45852</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49617-2024</t>
        </is>
      </c>
      <c r="B840" s="1" t="n">
        <v>45596</v>
      </c>
      <c r="C840" s="1" t="n">
        <v>45852</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49625-2024</t>
        </is>
      </c>
      <c r="B841" s="1" t="n">
        <v>45596</v>
      </c>
      <c r="C841" s="1" t="n">
        <v>45852</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49637-2024</t>
        </is>
      </c>
      <c r="B842" s="1" t="n">
        <v>45596</v>
      </c>
      <c r="C842" s="1" t="n">
        <v>45852</v>
      </c>
      <c r="D842" t="inlineStr">
        <is>
          <t>UPPSALA LÄN</t>
        </is>
      </c>
      <c r="E842" t="inlineStr">
        <is>
          <t>ENKÖPING</t>
        </is>
      </c>
      <c r="G842" t="n">
        <v>4.9</v>
      </c>
      <c r="H842" t="n">
        <v>0</v>
      </c>
      <c r="I842" t="n">
        <v>0</v>
      </c>
      <c r="J842" t="n">
        <v>0</v>
      </c>
      <c r="K842" t="n">
        <v>0</v>
      </c>
      <c r="L842" t="n">
        <v>0</v>
      </c>
      <c r="M842" t="n">
        <v>0</v>
      </c>
      <c r="N842" t="n">
        <v>0</v>
      </c>
      <c r="O842" t="n">
        <v>0</v>
      </c>
      <c r="P842" t="n">
        <v>0</v>
      </c>
      <c r="Q842" t="n">
        <v>0</v>
      </c>
      <c r="R842" s="2" t="inlineStr"/>
    </row>
    <row r="843" ht="15" customHeight="1">
      <c r="A843" t="inlineStr">
        <is>
          <t>A 50394-2024</t>
        </is>
      </c>
      <c r="B843" s="1" t="n">
        <v>45600</v>
      </c>
      <c r="C843" s="1" t="n">
        <v>45852</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50248-2024</t>
        </is>
      </c>
      <c r="B844" s="1" t="n">
        <v>45600</v>
      </c>
      <c r="C844" s="1" t="n">
        <v>45852</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50247-2024</t>
        </is>
      </c>
      <c r="B845" s="1" t="n">
        <v>45600</v>
      </c>
      <c r="C845" s="1" t="n">
        <v>45852</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51010-2024</t>
        </is>
      </c>
      <c r="B846" s="1" t="n">
        <v>45603</v>
      </c>
      <c r="C846" s="1" t="n">
        <v>45852</v>
      </c>
      <c r="D846" t="inlineStr">
        <is>
          <t>UPPSALA LÄN</t>
        </is>
      </c>
      <c r="E846" t="inlineStr">
        <is>
          <t>ENKÖPING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51030-2024</t>
        </is>
      </c>
      <c r="B847" s="1" t="n">
        <v>45603</v>
      </c>
      <c r="C847" s="1" t="n">
        <v>45852</v>
      </c>
      <c r="D847" t="inlineStr">
        <is>
          <t>UPPSALA LÄN</t>
        </is>
      </c>
      <c r="E847" t="inlineStr">
        <is>
          <t>ENKÖPING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51034-2024</t>
        </is>
      </c>
      <c r="B848" s="1" t="n">
        <v>45603</v>
      </c>
      <c r="C848" s="1" t="n">
        <v>45852</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51042-2024</t>
        </is>
      </c>
      <c r="B849" s="1" t="n">
        <v>45603</v>
      </c>
      <c r="C849" s="1" t="n">
        <v>45852</v>
      </c>
      <c r="D849" t="inlineStr">
        <is>
          <t>UPPSALA LÄN</t>
        </is>
      </c>
      <c r="E849" t="inlineStr">
        <is>
          <t>ENKÖPING</t>
        </is>
      </c>
      <c r="G849" t="n">
        <v>4.6</v>
      </c>
      <c r="H849" t="n">
        <v>0</v>
      </c>
      <c r="I849" t="n">
        <v>0</v>
      </c>
      <c r="J849" t="n">
        <v>0</v>
      </c>
      <c r="K849" t="n">
        <v>0</v>
      </c>
      <c r="L849" t="n">
        <v>0</v>
      </c>
      <c r="M849" t="n">
        <v>0</v>
      </c>
      <c r="N849" t="n">
        <v>0</v>
      </c>
      <c r="O849" t="n">
        <v>0</v>
      </c>
      <c r="P849" t="n">
        <v>0</v>
      </c>
      <c r="Q849" t="n">
        <v>0</v>
      </c>
      <c r="R849" s="2" t="inlineStr"/>
    </row>
    <row r="850" ht="15" customHeight="1">
      <c r="A850" t="inlineStr">
        <is>
          <t>A 51011-2024</t>
        </is>
      </c>
      <c r="B850" s="1" t="n">
        <v>45603</v>
      </c>
      <c r="C850" s="1" t="n">
        <v>45852</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51027-2024</t>
        </is>
      </c>
      <c r="B851" s="1" t="n">
        <v>45603</v>
      </c>
      <c r="C851" s="1" t="n">
        <v>45852</v>
      </c>
      <c r="D851" t="inlineStr">
        <is>
          <t>UPPSALA LÄN</t>
        </is>
      </c>
      <c r="E851" t="inlineStr">
        <is>
          <t>ENKÖPING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51008-2024</t>
        </is>
      </c>
      <c r="B852" s="1" t="n">
        <v>45603</v>
      </c>
      <c r="C852" s="1" t="n">
        <v>45852</v>
      </c>
      <c r="D852" t="inlineStr">
        <is>
          <t>UPPSALA LÄN</t>
        </is>
      </c>
      <c r="E852" t="inlineStr">
        <is>
          <t>ENKÖPING</t>
        </is>
      </c>
      <c r="G852" t="n">
        <v>2.4</v>
      </c>
      <c r="H852" t="n">
        <v>0</v>
      </c>
      <c r="I852" t="n">
        <v>0</v>
      </c>
      <c r="J852" t="n">
        <v>0</v>
      </c>
      <c r="K852" t="n">
        <v>0</v>
      </c>
      <c r="L852" t="n">
        <v>0</v>
      </c>
      <c r="M852" t="n">
        <v>0</v>
      </c>
      <c r="N852" t="n">
        <v>0</v>
      </c>
      <c r="O852" t="n">
        <v>0</v>
      </c>
      <c r="P852" t="n">
        <v>0</v>
      </c>
      <c r="Q852" t="n">
        <v>0</v>
      </c>
      <c r="R852" s="2" t="inlineStr"/>
    </row>
    <row r="853" ht="15" customHeight="1">
      <c r="A853" t="inlineStr">
        <is>
          <t>A 51012-2024</t>
        </is>
      </c>
      <c r="B853" s="1" t="n">
        <v>45603</v>
      </c>
      <c r="C853" s="1" t="n">
        <v>45852</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51036-2024</t>
        </is>
      </c>
      <c r="B854" s="1" t="n">
        <v>45603</v>
      </c>
      <c r="C854" s="1" t="n">
        <v>45852</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51037-2024</t>
        </is>
      </c>
      <c r="B855" s="1" t="n">
        <v>45603</v>
      </c>
      <c r="C855" s="1" t="n">
        <v>45852</v>
      </c>
      <c r="D855" t="inlineStr">
        <is>
          <t>UPPSALA LÄN</t>
        </is>
      </c>
      <c r="E855" t="inlineStr">
        <is>
          <t>ENKÖPING</t>
        </is>
      </c>
      <c r="G855" t="n">
        <v>5.7</v>
      </c>
      <c r="H855" t="n">
        <v>0</v>
      </c>
      <c r="I855" t="n">
        <v>0</v>
      </c>
      <c r="J855" t="n">
        <v>0</v>
      </c>
      <c r="K855" t="n">
        <v>0</v>
      </c>
      <c r="L855" t="n">
        <v>0</v>
      </c>
      <c r="M855" t="n">
        <v>0</v>
      </c>
      <c r="N855" t="n">
        <v>0</v>
      </c>
      <c r="O855" t="n">
        <v>0</v>
      </c>
      <c r="P855" t="n">
        <v>0</v>
      </c>
      <c r="Q855" t="n">
        <v>0</v>
      </c>
      <c r="R855" s="2" t="inlineStr"/>
    </row>
    <row r="856" ht="15" customHeight="1">
      <c r="A856" t="inlineStr">
        <is>
          <t>A 52005-2024</t>
        </is>
      </c>
      <c r="B856" s="1" t="n">
        <v>45607</v>
      </c>
      <c r="C856" s="1" t="n">
        <v>45852</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52219-2024</t>
        </is>
      </c>
      <c r="B857" s="1" t="n">
        <v>45608</v>
      </c>
      <c r="C857" s="1" t="n">
        <v>45852</v>
      </c>
      <c r="D857" t="inlineStr">
        <is>
          <t>UPPSALA LÄN</t>
        </is>
      </c>
      <c r="E857" t="inlineStr">
        <is>
          <t>ENKÖPING</t>
        </is>
      </c>
      <c r="G857" t="n">
        <v>2.1</v>
      </c>
      <c r="H857" t="n">
        <v>0</v>
      </c>
      <c r="I857" t="n">
        <v>0</v>
      </c>
      <c r="J857" t="n">
        <v>0</v>
      </c>
      <c r="K857" t="n">
        <v>0</v>
      </c>
      <c r="L857" t="n">
        <v>0</v>
      </c>
      <c r="M857" t="n">
        <v>0</v>
      </c>
      <c r="N857" t="n">
        <v>0</v>
      </c>
      <c r="O857" t="n">
        <v>0</v>
      </c>
      <c r="P857" t="n">
        <v>0</v>
      </c>
      <c r="Q857" t="n">
        <v>0</v>
      </c>
      <c r="R857" s="2" t="inlineStr"/>
    </row>
    <row r="858" ht="15" customHeight="1">
      <c r="A858" t="inlineStr">
        <is>
          <t>A 52388-2024</t>
        </is>
      </c>
      <c r="B858" s="1" t="n">
        <v>45609</v>
      </c>
      <c r="C858" s="1" t="n">
        <v>45852</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52380-2024</t>
        </is>
      </c>
      <c r="B859" s="1" t="n">
        <v>45609</v>
      </c>
      <c r="C859" s="1" t="n">
        <v>45852</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53587-2024</t>
        </is>
      </c>
      <c r="B860" s="1" t="n">
        <v>45614</v>
      </c>
      <c r="C860" s="1" t="n">
        <v>45852</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53586-2024</t>
        </is>
      </c>
      <c r="B861" s="1" t="n">
        <v>45614</v>
      </c>
      <c r="C861" s="1" t="n">
        <v>45852</v>
      </c>
      <c r="D861" t="inlineStr">
        <is>
          <t>UPPSALA LÄN</t>
        </is>
      </c>
      <c r="E861" t="inlineStr">
        <is>
          <t>ENKÖPING</t>
        </is>
      </c>
      <c r="G861" t="n">
        <v>6.6</v>
      </c>
      <c r="H861" t="n">
        <v>0</v>
      </c>
      <c r="I861" t="n">
        <v>0</v>
      </c>
      <c r="J861" t="n">
        <v>0</v>
      </c>
      <c r="K861" t="n">
        <v>0</v>
      </c>
      <c r="L861" t="n">
        <v>0</v>
      </c>
      <c r="M861" t="n">
        <v>0</v>
      </c>
      <c r="N861" t="n">
        <v>0</v>
      </c>
      <c r="O861" t="n">
        <v>0</v>
      </c>
      <c r="P861" t="n">
        <v>0</v>
      </c>
      <c r="Q861" t="n">
        <v>0</v>
      </c>
      <c r="R861" s="2" t="inlineStr"/>
    </row>
    <row r="862" ht="15" customHeight="1">
      <c r="A862" t="inlineStr">
        <is>
          <t>A 53557-2024</t>
        </is>
      </c>
      <c r="B862" s="1" t="n">
        <v>45614</v>
      </c>
      <c r="C862" s="1" t="n">
        <v>45852</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53348-2024</t>
        </is>
      </c>
      <c r="B863" s="1" t="n">
        <v>45614</v>
      </c>
      <c r="C863" s="1" t="n">
        <v>45852</v>
      </c>
      <c r="D863" t="inlineStr">
        <is>
          <t>UPPSALA LÄN</t>
        </is>
      </c>
      <c r="E863" t="inlineStr">
        <is>
          <t>ENKÖPING</t>
        </is>
      </c>
      <c r="G863" t="n">
        <v>6.2</v>
      </c>
      <c r="H863" t="n">
        <v>0</v>
      </c>
      <c r="I863" t="n">
        <v>0</v>
      </c>
      <c r="J863" t="n">
        <v>0</v>
      </c>
      <c r="K863" t="n">
        <v>0</v>
      </c>
      <c r="L863" t="n">
        <v>0</v>
      </c>
      <c r="M863" t="n">
        <v>0</v>
      </c>
      <c r="N863" t="n">
        <v>0</v>
      </c>
      <c r="O863" t="n">
        <v>0</v>
      </c>
      <c r="P863" t="n">
        <v>0</v>
      </c>
      <c r="Q863" t="n">
        <v>0</v>
      </c>
      <c r="R863" s="2" t="inlineStr"/>
    </row>
    <row r="864" ht="15" customHeight="1">
      <c r="A864" t="inlineStr">
        <is>
          <t>A 54010-2024</t>
        </is>
      </c>
      <c r="B864" s="1" t="n">
        <v>45616</v>
      </c>
      <c r="C864" s="1" t="n">
        <v>45852</v>
      </c>
      <c r="D864" t="inlineStr">
        <is>
          <t>UPPSALA LÄN</t>
        </is>
      </c>
      <c r="E864" t="inlineStr">
        <is>
          <t>ENKÖPING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54588-2024</t>
        </is>
      </c>
      <c r="B865" s="1" t="n">
        <v>45617</v>
      </c>
      <c r="C865" s="1" t="n">
        <v>45852</v>
      </c>
      <c r="D865" t="inlineStr">
        <is>
          <t>UPPSALA LÄN</t>
        </is>
      </c>
      <c r="E865" t="inlineStr">
        <is>
          <t>ENKÖPING</t>
        </is>
      </c>
      <c r="G865" t="n">
        <v>3.7</v>
      </c>
      <c r="H865" t="n">
        <v>0</v>
      </c>
      <c r="I865" t="n">
        <v>0</v>
      </c>
      <c r="J865" t="n">
        <v>0</v>
      </c>
      <c r="K865" t="n">
        <v>0</v>
      </c>
      <c r="L865" t="n">
        <v>0</v>
      </c>
      <c r="M865" t="n">
        <v>0</v>
      </c>
      <c r="N865" t="n">
        <v>0</v>
      </c>
      <c r="O865" t="n">
        <v>0</v>
      </c>
      <c r="P865" t="n">
        <v>0</v>
      </c>
      <c r="Q865" t="n">
        <v>0</v>
      </c>
      <c r="R865" s="2" t="inlineStr"/>
    </row>
    <row r="866" ht="15" customHeight="1">
      <c r="A866" t="inlineStr">
        <is>
          <t>A 54776-2024</t>
        </is>
      </c>
      <c r="B866" s="1" t="n">
        <v>45618</v>
      </c>
      <c r="C866" s="1" t="n">
        <v>45852</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55863-2024</t>
        </is>
      </c>
      <c r="B867" s="1" t="n">
        <v>45623</v>
      </c>
      <c r="C867" s="1" t="n">
        <v>45852</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55876-2024</t>
        </is>
      </c>
      <c r="B868" s="1" t="n">
        <v>45623</v>
      </c>
      <c r="C868" s="1" t="n">
        <v>45852</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55862-2024</t>
        </is>
      </c>
      <c r="B869" s="1" t="n">
        <v>45623</v>
      </c>
      <c r="C869" s="1" t="n">
        <v>45852</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56225-2024</t>
        </is>
      </c>
      <c r="B870" s="1" t="n">
        <v>45624</v>
      </c>
      <c r="C870" s="1" t="n">
        <v>45852</v>
      </c>
      <c r="D870" t="inlineStr">
        <is>
          <t>UPPSALA LÄN</t>
        </is>
      </c>
      <c r="E870" t="inlineStr">
        <is>
          <t>ENKÖPING</t>
        </is>
      </c>
      <c r="G870" t="n">
        <v>11.7</v>
      </c>
      <c r="H870" t="n">
        <v>0</v>
      </c>
      <c r="I870" t="n">
        <v>0</v>
      </c>
      <c r="J870" t="n">
        <v>0</v>
      </c>
      <c r="K870" t="n">
        <v>0</v>
      </c>
      <c r="L870" t="n">
        <v>0</v>
      </c>
      <c r="M870" t="n">
        <v>0</v>
      </c>
      <c r="N870" t="n">
        <v>0</v>
      </c>
      <c r="O870" t="n">
        <v>0</v>
      </c>
      <c r="P870" t="n">
        <v>0</v>
      </c>
      <c r="Q870" t="n">
        <v>0</v>
      </c>
      <c r="R870" s="2" t="inlineStr"/>
    </row>
    <row r="871" ht="15" customHeight="1">
      <c r="A871" t="inlineStr">
        <is>
          <t>A 56837-2024</t>
        </is>
      </c>
      <c r="B871" s="1" t="n">
        <v>45628</v>
      </c>
      <c r="C871" s="1" t="n">
        <v>45852</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56713-2024</t>
        </is>
      </c>
      <c r="B872" s="1" t="n">
        <v>45628</v>
      </c>
      <c r="C872" s="1" t="n">
        <v>45852</v>
      </c>
      <c r="D872" t="inlineStr">
        <is>
          <t>UPPSALA LÄN</t>
        </is>
      </c>
      <c r="E872" t="inlineStr">
        <is>
          <t>ENKÖPING</t>
        </is>
      </c>
      <c r="G872" t="n">
        <v>1.7</v>
      </c>
      <c r="H872" t="n">
        <v>0</v>
      </c>
      <c r="I872" t="n">
        <v>0</v>
      </c>
      <c r="J872" t="n">
        <v>0</v>
      </c>
      <c r="K872" t="n">
        <v>0</v>
      </c>
      <c r="L872" t="n">
        <v>0</v>
      </c>
      <c r="M872" t="n">
        <v>0</v>
      </c>
      <c r="N872" t="n">
        <v>0</v>
      </c>
      <c r="O872" t="n">
        <v>0</v>
      </c>
      <c r="P872" t="n">
        <v>0</v>
      </c>
      <c r="Q872" t="n">
        <v>0</v>
      </c>
      <c r="R872" s="2" t="inlineStr"/>
    </row>
    <row r="873" ht="15" customHeight="1">
      <c r="A873" t="inlineStr">
        <is>
          <t>A 57209-2024</t>
        </is>
      </c>
      <c r="B873" s="1" t="n">
        <v>45629</v>
      </c>
      <c r="C873" s="1" t="n">
        <v>45852</v>
      </c>
      <c r="D873" t="inlineStr">
        <is>
          <t>UPPSALA LÄN</t>
        </is>
      </c>
      <c r="E873" t="inlineStr">
        <is>
          <t>ENKÖPING</t>
        </is>
      </c>
      <c r="G873" t="n">
        <v>3.2</v>
      </c>
      <c r="H873" t="n">
        <v>0</v>
      </c>
      <c r="I873" t="n">
        <v>0</v>
      </c>
      <c r="J873" t="n">
        <v>0</v>
      </c>
      <c r="K873" t="n">
        <v>0</v>
      </c>
      <c r="L873" t="n">
        <v>0</v>
      </c>
      <c r="M873" t="n">
        <v>0</v>
      </c>
      <c r="N873" t="n">
        <v>0</v>
      </c>
      <c r="O873" t="n">
        <v>0</v>
      </c>
      <c r="P873" t="n">
        <v>0</v>
      </c>
      <c r="Q873" t="n">
        <v>0</v>
      </c>
      <c r="R873" s="2" t="inlineStr"/>
    </row>
    <row r="874" ht="15" customHeight="1">
      <c r="A874" t="inlineStr">
        <is>
          <t>A 57215-2024</t>
        </is>
      </c>
      <c r="B874" s="1" t="n">
        <v>45629</v>
      </c>
      <c r="C874" s="1" t="n">
        <v>45852</v>
      </c>
      <c r="D874" t="inlineStr">
        <is>
          <t>UPPSALA LÄN</t>
        </is>
      </c>
      <c r="E874" t="inlineStr">
        <is>
          <t>ENKÖPING</t>
        </is>
      </c>
      <c r="G874" t="n">
        <v>2.4</v>
      </c>
      <c r="H874" t="n">
        <v>0</v>
      </c>
      <c r="I874" t="n">
        <v>0</v>
      </c>
      <c r="J874" t="n">
        <v>0</v>
      </c>
      <c r="K874" t="n">
        <v>0</v>
      </c>
      <c r="L874" t="n">
        <v>0</v>
      </c>
      <c r="M874" t="n">
        <v>0</v>
      </c>
      <c r="N874" t="n">
        <v>0</v>
      </c>
      <c r="O874" t="n">
        <v>0</v>
      </c>
      <c r="P874" t="n">
        <v>0</v>
      </c>
      <c r="Q874" t="n">
        <v>0</v>
      </c>
      <c r="R874" s="2" t="inlineStr"/>
    </row>
    <row r="875" ht="15" customHeight="1">
      <c r="A875" t="inlineStr">
        <is>
          <t>A 57335-2024</t>
        </is>
      </c>
      <c r="B875" s="1" t="n">
        <v>45629</v>
      </c>
      <c r="C875" s="1" t="n">
        <v>45852</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57214-2024</t>
        </is>
      </c>
      <c r="B876" s="1" t="n">
        <v>45629</v>
      </c>
      <c r="C876" s="1" t="n">
        <v>45852</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57218-2024</t>
        </is>
      </c>
      <c r="B877" s="1" t="n">
        <v>45629</v>
      </c>
      <c r="C877" s="1" t="n">
        <v>45852</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57415-2024</t>
        </is>
      </c>
      <c r="B878" s="1" t="n">
        <v>45629</v>
      </c>
      <c r="C878" s="1" t="n">
        <v>45852</v>
      </c>
      <c r="D878" t="inlineStr">
        <is>
          <t>UPPSALA LÄN</t>
        </is>
      </c>
      <c r="E878" t="inlineStr">
        <is>
          <t>ENKÖPING</t>
        </is>
      </c>
      <c r="F878" t="inlineStr">
        <is>
          <t>Allmännings- och besparingsskogar</t>
        </is>
      </c>
      <c r="G878" t="n">
        <v>11.8</v>
      </c>
      <c r="H878" t="n">
        <v>0</v>
      </c>
      <c r="I878" t="n">
        <v>0</v>
      </c>
      <c r="J878" t="n">
        <v>0</v>
      </c>
      <c r="K878" t="n">
        <v>0</v>
      </c>
      <c r="L878" t="n">
        <v>0</v>
      </c>
      <c r="M878" t="n">
        <v>0</v>
      </c>
      <c r="N878" t="n">
        <v>0</v>
      </c>
      <c r="O878" t="n">
        <v>0</v>
      </c>
      <c r="P878" t="n">
        <v>0</v>
      </c>
      <c r="Q878" t="n">
        <v>0</v>
      </c>
      <c r="R878" s="2" t="inlineStr"/>
    </row>
    <row r="879" ht="15" customHeight="1">
      <c r="A879" t="inlineStr">
        <is>
          <t>A 57328-2024</t>
        </is>
      </c>
      <c r="B879" s="1" t="n">
        <v>45629</v>
      </c>
      <c r="C879" s="1" t="n">
        <v>45852</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57833-2024</t>
        </is>
      </c>
      <c r="B880" s="1" t="n">
        <v>45631</v>
      </c>
      <c r="C880" s="1" t="n">
        <v>45852</v>
      </c>
      <c r="D880" t="inlineStr">
        <is>
          <t>UPPSALA LÄN</t>
        </is>
      </c>
      <c r="E880" t="inlineStr">
        <is>
          <t>ENKÖPING</t>
        </is>
      </c>
      <c r="G880" t="n">
        <v>2.8</v>
      </c>
      <c r="H880" t="n">
        <v>0</v>
      </c>
      <c r="I880" t="n">
        <v>0</v>
      </c>
      <c r="J880" t="n">
        <v>0</v>
      </c>
      <c r="K880" t="n">
        <v>0</v>
      </c>
      <c r="L880" t="n">
        <v>0</v>
      </c>
      <c r="M880" t="n">
        <v>0</v>
      </c>
      <c r="N880" t="n">
        <v>0</v>
      </c>
      <c r="O880" t="n">
        <v>0</v>
      </c>
      <c r="P880" t="n">
        <v>0</v>
      </c>
      <c r="Q880" t="n">
        <v>0</v>
      </c>
      <c r="R880" s="2" t="inlineStr"/>
    </row>
    <row r="881" ht="15" customHeight="1">
      <c r="A881" t="inlineStr">
        <is>
          <t>A 57831-2024</t>
        </is>
      </c>
      <c r="B881" s="1" t="n">
        <v>45631</v>
      </c>
      <c r="C881" s="1" t="n">
        <v>45852</v>
      </c>
      <c r="D881" t="inlineStr">
        <is>
          <t>UPPSALA LÄN</t>
        </is>
      </c>
      <c r="E881" t="inlineStr">
        <is>
          <t>ENKÖPING</t>
        </is>
      </c>
      <c r="G881" t="n">
        <v>7.2</v>
      </c>
      <c r="H881" t="n">
        <v>0</v>
      </c>
      <c r="I881" t="n">
        <v>0</v>
      </c>
      <c r="J881" t="n">
        <v>0</v>
      </c>
      <c r="K881" t="n">
        <v>0</v>
      </c>
      <c r="L881" t="n">
        <v>0</v>
      </c>
      <c r="M881" t="n">
        <v>0</v>
      </c>
      <c r="N881" t="n">
        <v>0</v>
      </c>
      <c r="O881" t="n">
        <v>0</v>
      </c>
      <c r="P881" t="n">
        <v>0</v>
      </c>
      <c r="Q881" t="n">
        <v>0</v>
      </c>
      <c r="R881" s="2" t="inlineStr"/>
    </row>
    <row r="882" ht="15" customHeight="1">
      <c r="A882" t="inlineStr">
        <is>
          <t>A 57835-2024</t>
        </is>
      </c>
      <c r="B882" s="1" t="n">
        <v>45631</v>
      </c>
      <c r="C882" s="1" t="n">
        <v>45852</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57848-2024</t>
        </is>
      </c>
      <c r="B883" s="1" t="n">
        <v>45631</v>
      </c>
      <c r="C883" s="1" t="n">
        <v>45852</v>
      </c>
      <c r="D883" t="inlineStr">
        <is>
          <t>UPPSALA LÄN</t>
        </is>
      </c>
      <c r="E883" t="inlineStr">
        <is>
          <t>ENKÖPING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57937-2024</t>
        </is>
      </c>
      <c r="B884" s="1" t="n">
        <v>45631</v>
      </c>
      <c r="C884" s="1" t="n">
        <v>45852</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57841-2024</t>
        </is>
      </c>
      <c r="B885" s="1" t="n">
        <v>45631</v>
      </c>
      <c r="C885" s="1" t="n">
        <v>45852</v>
      </c>
      <c r="D885" t="inlineStr">
        <is>
          <t>UPPSALA LÄN</t>
        </is>
      </c>
      <c r="E885" t="inlineStr">
        <is>
          <t>ENKÖPING</t>
        </is>
      </c>
      <c r="G885" t="n">
        <v>3.4</v>
      </c>
      <c r="H885" t="n">
        <v>0</v>
      </c>
      <c r="I885" t="n">
        <v>0</v>
      </c>
      <c r="J885" t="n">
        <v>0</v>
      </c>
      <c r="K885" t="n">
        <v>0</v>
      </c>
      <c r="L885" t="n">
        <v>0</v>
      </c>
      <c r="M885" t="n">
        <v>0</v>
      </c>
      <c r="N885" t="n">
        <v>0</v>
      </c>
      <c r="O885" t="n">
        <v>0</v>
      </c>
      <c r="P885" t="n">
        <v>0</v>
      </c>
      <c r="Q885" t="n">
        <v>0</v>
      </c>
      <c r="R885" s="2" t="inlineStr"/>
    </row>
    <row r="886" ht="15" customHeight="1">
      <c r="A886" t="inlineStr">
        <is>
          <t>A 57998-2024</t>
        </is>
      </c>
      <c r="B886" s="1" t="n">
        <v>45631</v>
      </c>
      <c r="C886" s="1" t="n">
        <v>45852</v>
      </c>
      <c r="D886" t="inlineStr">
        <is>
          <t>UPPSALA LÄN</t>
        </is>
      </c>
      <c r="E886" t="inlineStr">
        <is>
          <t>ENKÖPING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58092-2024</t>
        </is>
      </c>
      <c r="B887" s="1" t="n">
        <v>45632</v>
      </c>
      <c r="C887" s="1" t="n">
        <v>45852</v>
      </c>
      <c r="D887" t="inlineStr">
        <is>
          <t>UPPSALA LÄN</t>
        </is>
      </c>
      <c r="E887" t="inlineStr">
        <is>
          <t>ENKÖPING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58147-2024</t>
        </is>
      </c>
      <c r="B888" s="1" t="n">
        <v>45632</v>
      </c>
      <c r="C888" s="1" t="n">
        <v>45852</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58961-2024</t>
        </is>
      </c>
      <c r="B889" s="1" t="n">
        <v>45636</v>
      </c>
      <c r="C889" s="1" t="n">
        <v>45852</v>
      </c>
      <c r="D889" t="inlineStr">
        <is>
          <t>UPPSALA LÄN</t>
        </is>
      </c>
      <c r="E889" t="inlineStr">
        <is>
          <t>ENKÖPING</t>
        </is>
      </c>
      <c r="G889" t="n">
        <v>4</v>
      </c>
      <c r="H889" t="n">
        <v>0</v>
      </c>
      <c r="I889" t="n">
        <v>0</v>
      </c>
      <c r="J889" t="n">
        <v>0</v>
      </c>
      <c r="K889" t="n">
        <v>0</v>
      </c>
      <c r="L889" t="n">
        <v>0</v>
      </c>
      <c r="M889" t="n">
        <v>0</v>
      </c>
      <c r="N889" t="n">
        <v>0</v>
      </c>
      <c r="O889" t="n">
        <v>0</v>
      </c>
      <c r="P889" t="n">
        <v>0</v>
      </c>
      <c r="Q889" t="n">
        <v>0</v>
      </c>
      <c r="R889" s="2" t="inlineStr"/>
    </row>
    <row r="890" ht="15" customHeight="1">
      <c r="A890" t="inlineStr">
        <is>
          <t>A 59027-2024</t>
        </is>
      </c>
      <c r="B890" s="1" t="n">
        <v>45636</v>
      </c>
      <c r="C890" s="1" t="n">
        <v>45852</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59570-2024</t>
        </is>
      </c>
      <c r="B891" s="1" t="n">
        <v>45638</v>
      </c>
      <c r="C891" s="1" t="n">
        <v>45852</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59602-2024</t>
        </is>
      </c>
      <c r="B892" s="1" t="n">
        <v>45638</v>
      </c>
      <c r="C892" s="1" t="n">
        <v>45852</v>
      </c>
      <c r="D892" t="inlineStr">
        <is>
          <t>UPPSALA LÄN</t>
        </is>
      </c>
      <c r="E892" t="inlineStr">
        <is>
          <t>ENKÖPING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60125-2024</t>
        </is>
      </c>
      <c r="B893" s="1" t="n">
        <v>45642</v>
      </c>
      <c r="C893" s="1" t="n">
        <v>45852</v>
      </c>
      <c r="D893" t="inlineStr">
        <is>
          <t>UPPSALA LÄN</t>
        </is>
      </c>
      <c r="E893" t="inlineStr">
        <is>
          <t>ENKÖPING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60538-2024</t>
        </is>
      </c>
      <c r="B894" s="1" t="n">
        <v>45643</v>
      </c>
      <c r="C894" s="1" t="n">
        <v>45852</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60519-2024</t>
        </is>
      </c>
      <c r="B895" s="1" t="n">
        <v>45643</v>
      </c>
      <c r="C895" s="1" t="n">
        <v>45852</v>
      </c>
      <c r="D895" t="inlineStr">
        <is>
          <t>UPPSALA LÄN</t>
        </is>
      </c>
      <c r="E895" t="inlineStr">
        <is>
          <t>ENKÖPING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60539-2024</t>
        </is>
      </c>
      <c r="B896" s="1" t="n">
        <v>45643</v>
      </c>
      <c r="C896" s="1" t="n">
        <v>45852</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192-2025</t>
        </is>
      </c>
      <c r="B897" s="1" t="n">
        <v>45649</v>
      </c>
      <c r="C897" s="1" t="n">
        <v>45852</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314-2025</t>
        </is>
      </c>
      <c r="B898" s="1" t="n">
        <v>45656</v>
      </c>
      <c r="C898" s="1" t="n">
        <v>45852</v>
      </c>
      <c r="D898" t="inlineStr">
        <is>
          <t>UPPSALA LÄN</t>
        </is>
      </c>
      <c r="E898" t="inlineStr">
        <is>
          <t>ENKÖPING</t>
        </is>
      </c>
      <c r="G898" t="n">
        <v>9</v>
      </c>
      <c r="H898" t="n">
        <v>0</v>
      </c>
      <c r="I898" t="n">
        <v>0</v>
      </c>
      <c r="J898" t="n">
        <v>0</v>
      </c>
      <c r="K898" t="n">
        <v>0</v>
      </c>
      <c r="L898" t="n">
        <v>0</v>
      </c>
      <c r="M898" t="n">
        <v>0</v>
      </c>
      <c r="N898" t="n">
        <v>0</v>
      </c>
      <c r="O898" t="n">
        <v>0</v>
      </c>
      <c r="P898" t="n">
        <v>0</v>
      </c>
      <c r="Q898" t="n">
        <v>0</v>
      </c>
      <c r="R898" s="2" t="inlineStr"/>
    </row>
    <row r="899" ht="15" customHeight="1">
      <c r="A899" t="inlineStr">
        <is>
          <t>A 819-2025</t>
        </is>
      </c>
      <c r="B899" s="1" t="n">
        <v>45665</v>
      </c>
      <c r="C899" s="1" t="n">
        <v>45852</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845-2025</t>
        </is>
      </c>
      <c r="B900" s="1" t="n">
        <v>45665</v>
      </c>
      <c r="C900" s="1" t="n">
        <v>45852</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849-2025</t>
        </is>
      </c>
      <c r="B901" s="1" t="n">
        <v>45665</v>
      </c>
      <c r="C901" s="1" t="n">
        <v>45852</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840-2025</t>
        </is>
      </c>
      <c r="B902" s="1" t="n">
        <v>45665</v>
      </c>
      <c r="C902" s="1" t="n">
        <v>45852</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1695-2025</t>
        </is>
      </c>
      <c r="B903" s="1" t="n">
        <v>45670</v>
      </c>
      <c r="C903" s="1" t="n">
        <v>45852</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1656-2025</t>
        </is>
      </c>
      <c r="B904" s="1" t="n">
        <v>45670</v>
      </c>
      <c r="C904" s="1" t="n">
        <v>45852</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2850-2025</t>
        </is>
      </c>
      <c r="B905" s="1" t="n">
        <v>45677</v>
      </c>
      <c r="C905" s="1" t="n">
        <v>45852</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2833-2025</t>
        </is>
      </c>
      <c r="B906" s="1" t="n">
        <v>45677</v>
      </c>
      <c r="C906" s="1" t="n">
        <v>45852</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2974-2025</t>
        </is>
      </c>
      <c r="B907" s="1" t="n">
        <v>45678</v>
      </c>
      <c r="C907" s="1" t="n">
        <v>45852</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2968-2025</t>
        </is>
      </c>
      <c r="B908" s="1" t="n">
        <v>45678</v>
      </c>
      <c r="C908" s="1" t="n">
        <v>45852</v>
      </c>
      <c r="D908" t="inlineStr">
        <is>
          <t>UPPSALA LÄN</t>
        </is>
      </c>
      <c r="E908" t="inlineStr">
        <is>
          <t>ENKÖPING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3301-2025</t>
        </is>
      </c>
      <c r="B909" s="1" t="n">
        <v>45679</v>
      </c>
      <c r="C909" s="1" t="n">
        <v>45852</v>
      </c>
      <c r="D909" t="inlineStr">
        <is>
          <t>UPPSALA LÄN</t>
        </is>
      </c>
      <c r="E909" t="inlineStr">
        <is>
          <t>ENKÖPING</t>
        </is>
      </c>
      <c r="G909" t="n">
        <v>20.9</v>
      </c>
      <c r="H909" t="n">
        <v>0</v>
      </c>
      <c r="I909" t="n">
        <v>0</v>
      </c>
      <c r="J909" t="n">
        <v>0</v>
      </c>
      <c r="K909" t="n">
        <v>0</v>
      </c>
      <c r="L909" t="n">
        <v>0</v>
      </c>
      <c r="M909" t="n">
        <v>0</v>
      </c>
      <c r="N909" t="n">
        <v>0</v>
      </c>
      <c r="O909" t="n">
        <v>0</v>
      </c>
      <c r="P909" t="n">
        <v>0</v>
      </c>
      <c r="Q909" t="n">
        <v>0</v>
      </c>
      <c r="R909" s="2" t="inlineStr"/>
    </row>
    <row r="910" ht="15" customHeight="1">
      <c r="A910" t="inlineStr">
        <is>
          <t>A 3235-2025</t>
        </is>
      </c>
      <c r="B910" s="1" t="n">
        <v>45679</v>
      </c>
      <c r="C910" s="1" t="n">
        <v>45852</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3197-2025</t>
        </is>
      </c>
      <c r="B911" s="1" t="n">
        <v>45679</v>
      </c>
      <c r="C911" s="1" t="n">
        <v>45852</v>
      </c>
      <c r="D911" t="inlineStr">
        <is>
          <t>UPPSALA LÄN</t>
        </is>
      </c>
      <c r="E911" t="inlineStr">
        <is>
          <t>ENKÖPING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3300-2025</t>
        </is>
      </c>
      <c r="B912" s="1" t="n">
        <v>45679</v>
      </c>
      <c r="C912" s="1" t="n">
        <v>45852</v>
      </c>
      <c r="D912" t="inlineStr">
        <is>
          <t>UPPSALA LÄN</t>
        </is>
      </c>
      <c r="E912" t="inlineStr">
        <is>
          <t>ENKÖPING</t>
        </is>
      </c>
      <c r="G912" t="n">
        <v>8.9</v>
      </c>
      <c r="H912" t="n">
        <v>0</v>
      </c>
      <c r="I912" t="n">
        <v>0</v>
      </c>
      <c r="J912" t="n">
        <v>0</v>
      </c>
      <c r="K912" t="n">
        <v>0</v>
      </c>
      <c r="L912" t="n">
        <v>0</v>
      </c>
      <c r="M912" t="n">
        <v>0</v>
      </c>
      <c r="N912" t="n">
        <v>0</v>
      </c>
      <c r="O912" t="n">
        <v>0</v>
      </c>
      <c r="P912" t="n">
        <v>0</v>
      </c>
      <c r="Q912" t="n">
        <v>0</v>
      </c>
      <c r="R912" s="2" t="inlineStr"/>
    </row>
    <row r="913" ht="15" customHeight="1">
      <c r="A913" t="inlineStr">
        <is>
          <t>A 3499-2025</t>
        </is>
      </c>
      <c r="B913" s="1" t="n">
        <v>45680</v>
      </c>
      <c r="C913" s="1" t="n">
        <v>45852</v>
      </c>
      <c r="D913" t="inlineStr">
        <is>
          <t>UPPSALA LÄN</t>
        </is>
      </c>
      <c r="E913" t="inlineStr">
        <is>
          <t>ENKÖPING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3400-2025</t>
        </is>
      </c>
      <c r="B914" s="1" t="n">
        <v>45680</v>
      </c>
      <c r="C914" s="1" t="n">
        <v>45852</v>
      </c>
      <c r="D914" t="inlineStr">
        <is>
          <t>UPPSALA LÄN</t>
        </is>
      </c>
      <c r="E914" t="inlineStr">
        <is>
          <t>ENKÖPING</t>
        </is>
      </c>
      <c r="G914" t="n">
        <v>5.3</v>
      </c>
      <c r="H914" t="n">
        <v>0</v>
      </c>
      <c r="I914" t="n">
        <v>0</v>
      </c>
      <c r="J914" t="n">
        <v>0</v>
      </c>
      <c r="K914" t="n">
        <v>0</v>
      </c>
      <c r="L914" t="n">
        <v>0</v>
      </c>
      <c r="M914" t="n">
        <v>0</v>
      </c>
      <c r="N914" t="n">
        <v>0</v>
      </c>
      <c r="O914" t="n">
        <v>0</v>
      </c>
      <c r="P914" t="n">
        <v>0</v>
      </c>
      <c r="Q914" t="n">
        <v>0</v>
      </c>
      <c r="R914" s="2" t="inlineStr"/>
    </row>
    <row r="915" ht="15" customHeight="1">
      <c r="A915" t="inlineStr">
        <is>
          <t>A 4562-2025</t>
        </is>
      </c>
      <c r="B915" s="1" t="n">
        <v>45687</v>
      </c>
      <c r="C915" s="1" t="n">
        <v>45852</v>
      </c>
      <c r="D915" t="inlineStr">
        <is>
          <t>UPPSALA LÄN</t>
        </is>
      </c>
      <c r="E915" t="inlineStr">
        <is>
          <t>ENKÖPING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5013-2025</t>
        </is>
      </c>
      <c r="B916" s="1" t="n">
        <v>45691</v>
      </c>
      <c r="C916" s="1" t="n">
        <v>45852</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5712-2025</t>
        </is>
      </c>
      <c r="B917" s="1" t="n">
        <v>45694</v>
      </c>
      <c r="C917" s="1" t="n">
        <v>45852</v>
      </c>
      <c r="D917" t="inlineStr">
        <is>
          <t>UPPSALA LÄN</t>
        </is>
      </c>
      <c r="E917" t="inlineStr">
        <is>
          <t>ENKÖPING</t>
        </is>
      </c>
      <c r="G917" t="n">
        <v>5.1</v>
      </c>
      <c r="H917" t="n">
        <v>0</v>
      </c>
      <c r="I917" t="n">
        <v>0</v>
      </c>
      <c r="J917" t="n">
        <v>0</v>
      </c>
      <c r="K917" t="n">
        <v>0</v>
      </c>
      <c r="L917" t="n">
        <v>0</v>
      </c>
      <c r="M917" t="n">
        <v>0</v>
      </c>
      <c r="N917" t="n">
        <v>0</v>
      </c>
      <c r="O917" t="n">
        <v>0</v>
      </c>
      <c r="P917" t="n">
        <v>0</v>
      </c>
      <c r="Q917" t="n">
        <v>0</v>
      </c>
      <c r="R917" s="2" t="inlineStr"/>
    </row>
    <row r="918" ht="15" customHeight="1">
      <c r="A918" t="inlineStr">
        <is>
          <t>A 5749-2025</t>
        </is>
      </c>
      <c r="B918" s="1" t="n">
        <v>45694</v>
      </c>
      <c r="C918" s="1" t="n">
        <v>45852</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5699-2025</t>
        </is>
      </c>
      <c r="B919" s="1" t="n">
        <v>45694</v>
      </c>
      <c r="C919" s="1" t="n">
        <v>45852</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6242-2025</t>
        </is>
      </c>
      <c r="B920" s="1" t="n">
        <v>45697</v>
      </c>
      <c r="C920" s="1" t="n">
        <v>45852</v>
      </c>
      <c r="D920" t="inlineStr">
        <is>
          <t>UPPSALA LÄN</t>
        </is>
      </c>
      <c r="E920" t="inlineStr">
        <is>
          <t>ENKÖPING</t>
        </is>
      </c>
      <c r="G920" t="n">
        <v>17.9</v>
      </c>
      <c r="H920" t="n">
        <v>0</v>
      </c>
      <c r="I920" t="n">
        <v>0</v>
      </c>
      <c r="J920" t="n">
        <v>0</v>
      </c>
      <c r="K920" t="n">
        <v>0</v>
      </c>
      <c r="L920" t="n">
        <v>0</v>
      </c>
      <c r="M920" t="n">
        <v>0</v>
      </c>
      <c r="N920" t="n">
        <v>0</v>
      </c>
      <c r="O920" t="n">
        <v>0</v>
      </c>
      <c r="P920" t="n">
        <v>0</v>
      </c>
      <c r="Q920" t="n">
        <v>0</v>
      </c>
      <c r="R920" s="2" t="inlineStr"/>
    </row>
    <row r="921" ht="15" customHeight="1">
      <c r="A921" t="inlineStr">
        <is>
          <t>A 6959-2025</t>
        </is>
      </c>
      <c r="B921" s="1" t="n">
        <v>45701</v>
      </c>
      <c r="C921" s="1" t="n">
        <v>45852</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6981-2025</t>
        </is>
      </c>
      <c r="B922" s="1" t="n">
        <v>45701</v>
      </c>
      <c r="C922" s="1" t="n">
        <v>45852</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8137-2025</t>
        </is>
      </c>
      <c r="B923" s="1" t="n">
        <v>45707</v>
      </c>
      <c r="C923" s="1" t="n">
        <v>45852</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8136-2025</t>
        </is>
      </c>
      <c r="B924" s="1" t="n">
        <v>45707</v>
      </c>
      <c r="C924" s="1" t="n">
        <v>45852</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8537-2025</t>
        </is>
      </c>
      <c r="B925" s="1" t="n">
        <v>45709</v>
      </c>
      <c r="C925" s="1" t="n">
        <v>45852</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9487-2025</t>
        </is>
      </c>
      <c r="B926" s="1" t="n">
        <v>45715</v>
      </c>
      <c r="C926" s="1" t="n">
        <v>45852</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9493-2025</t>
        </is>
      </c>
      <c r="B927" s="1" t="n">
        <v>45715</v>
      </c>
      <c r="C927" s="1" t="n">
        <v>45852</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9490-2025</t>
        </is>
      </c>
      <c r="B928" s="1" t="n">
        <v>45715</v>
      </c>
      <c r="C928" s="1" t="n">
        <v>45852</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9660-2025</t>
        </is>
      </c>
      <c r="B929" s="1" t="n">
        <v>45716</v>
      </c>
      <c r="C929" s="1" t="n">
        <v>45852</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9656-2025</t>
        </is>
      </c>
      <c r="B930" s="1" t="n">
        <v>45716</v>
      </c>
      <c r="C930" s="1" t="n">
        <v>45852</v>
      </c>
      <c r="D930" t="inlineStr">
        <is>
          <t>UPPSALA LÄN</t>
        </is>
      </c>
      <c r="E930" t="inlineStr">
        <is>
          <t>ENKÖPING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9662-2025</t>
        </is>
      </c>
      <c r="B931" s="1" t="n">
        <v>45716</v>
      </c>
      <c r="C931" s="1" t="n">
        <v>45852</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9658-2025</t>
        </is>
      </c>
      <c r="B932" s="1" t="n">
        <v>45716</v>
      </c>
      <c r="C932" s="1" t="n">
        <v>45852</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10212-2025</t>
        </is>
      </c>
      <c r="B933" s="1" t="n">
        <v>45719</v>
      </c>
      <c r="C933" s="1" t="n">
        <v>45852</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45852</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10409-2025</t>
        </is>
      </c>
      <c r="B935" s="1" t="n">
        <v>45720</v>
      </c>
      <c r="C935" s="1" t="n">
        <v>45852</v>
      </c>
      <c r="D935" t="inlineStr">
        <is>
          <t>UPPSALA LÄN</t>
        </is>
      </c>
      <c r="E935" t="inlineStr">
        <is>
          <t>ENKÖPING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10670-2025</t>
        </is>
      </c>
      <c r="B936" s="1" t="n">
        <v>45721</v>
      </c>
      <c r="C936" s="1" t="n">
        <v>45852</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11380-2025</t>
        </is>
      </c>
      <c r="B937" s="1" t="n">
        <v>45726</v>
      </c>
      <c r="C937" s="1" t="n">
        <v>45852</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11604-2025</t>
        </is>
      </c>
      <c r="B938" s="1" t="n">
        <v>45727</v>
      </c>
      <c r="C938" s="1" t="n">
        <v>45852</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11627-2025</t>
        </is>
      </c>
      <c r="B939" s="1" t="n">
        <v>45727</v>
      </c>
      <c r="C939" s="1" t="n">
        <v>45852</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11918-2025</t>
        </is>
      </c>
      <c r="B940" s="1" t="n">
        <v>45728</v>
      </c>
      <c r="C940" s="1" t="n">
        <v>45852</v>
      </c>
      <c r="D940" t="inlineStr">
        <is>
          <t>UPPSALA LÄN</t>
        </is>
      </c>
      <c r="E940" t="inlineStr">
        <is>
          <t>ENKÖPING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12755-2025</t>
        </is>
      </c>
      <c r="B941" s="1" t="n">
        <v>45733</v>
      </c>
      <c r="C941" s="1" t="n">
        <v>45852</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12754-2025</t>
        </is>
      </c>
      <c r="B942" s="1" t="n">
        <v>45733</v>
      </c>
      <c r="C942" s="1" t="n">
        <v>45852</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12878-2025</t>
        </is>
      </c>
      <c r="B943" s="1" t="n">
        <v>45733</v>
      </c>
      <c r="C943" s="1" t="n">
        <v>45852</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14243-2025</t>
        </is>
      </c>
      <c r="B944" s="1" t="n">
        <v>45740</v>
      </c>
      <c r="C944" s="1" t="n">
        <v>45852</v>
      </c>
      <c r="D944" t="inlineStr">
        <is>
          <t>UPPSALA LÄN</t>
        </is>
      </c>
      <c r="E944" t="inlineStr">
        <is>
          <t>ENKÖPING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14083-2025</t>
        </is>
      </c>
      <c r="B945" s="1" t="n">
        <v>45740</v>
      </c>
      <c r="C945" s="1" t="n">
        <v>45852</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14104-2025</t>
        </is>
      </c>
      <c r="B946" s="1" t="n">
        <v>45740</v>
      </c>
      <c r="C946" s="1" t="n">
        <v>45852</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14517-2025</t>
        </is>
      </c>
      <c r="B947" s="1" t="n">
        <v>45741</v>
      </c>
      <c r="C947" s="1" t="n">
        <v>45852</v>
      </c>
      <c r="D947" t="inlineStr">
        <is>
          <t>UPPSALA LÄN</t>
        </is>
      </c>
      <c r="E947" t="inlineStr">
        <is>
          <t>ENKÖPING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14518-2025</t>
        </is>
      </c>
      <c r="B948" s="1" t="n">
        <v>45741</v>
      </c>
      <c r="C948" s="1" t="n">
        <v>45852</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14519-2025</t>
        </is>
      </c>
      <c r="B949" s="1" t="n">
        <v>45741</v>
      </c>
      <c r="C949" s="1" t="n">
        <v>45852</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15162-2025</t>
        </is>
      </c>
      <c r="B950" s="1" t="n">
        <v>45744</v>
      </c>
      <c r="C950" s="1" t="n">
        <v>45852</v>
      </c>
      <c r="D950" t="inlineStr">
        <is>
          <t>UPPSALA LÄN</t>
        </is>
      </c>
      <c r="E950" t="inlineStr">
        <is>
          <t>ENKÖPING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15409-2025</t>
        </is>
      </c>
      <c r="B951" s="1" t="n">
        <v>45747</v>
      </c>
      <c r="C951" s="1" t="n">
        <v>45852</v>
      </c>
      <c r="D951" t="inlineStr">
        <is>
          <t>UPPSALA LÄN</t>
        </is>
      </c>
      <c r="E951" t="inlineStr">
        <is>
          <t>ENKÖPING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15405-2025</t>
        </is>
      </c>
      <c r="B952" s="1" t="n">
        <v>45747</v>
      </c>
      <c r="C952" s="1" t="n">
        <v>45852</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15764-2025</t>
        </is>
      </c>
      <c r="B953" s="1" t="n">
        <v>45748</v>
      </c>
      <c r="C953" s="1" t="n">
        <v>45852</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15711-2025</t>
        </is>
      </c>
      <c r="B954" s="1" t="n">
        <v>45748</v>
      </c>
      <c r="C954" s="1" t="n">
        <v>45852</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15740-2025</t>
        </is>
      </c>
      <c r="B955" s="1" t="n">
        <v>45748</v>
      </c>
      <c r="C955" s="1" t="n">
        <v>45852</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16176-2025</t>
        </is>
      </c>
      <c r="B956" s="1" t="n">
        <v>45750</v>
      </c>
      <c r="C956" s="1" t="n">
        <v>45852</v>
      </c>
      <c r="D956" t="inlineStr">
        <is>
          <t>UPPSALA LÄN</t>
        </is>
      </c>
      <c r="E956" t="inlineStr">
        <is>
          <t>ENKÖPING</t>
        </is>
      </c>
      <c r="G956" t="n">
        <v>3.9</v>
      </c>
      <c r="H956" t="n">
        <v>0</v>
      </c>
      <c r="I956" t="n">
        <v>0</v>
      </c>
      <c r="J956" t="n">
        <v>0</v>
      </c>
      <c r="K956" t="n">
        <v>0</v>
      </c>
      <c r="L956" t="n">
        <v>0</v>
      </c>
      <c r="M956" t="n">
        <v>0</v>
      </c>
      <c r="N956" t="n">
        <v>0</v>
      </c>
      <c r="O956" t="n">
        <v>0</v>
      </c>
      <c r="P956" t="n">
        <v>0</v>
      </c>
      <c r="Q956" t="n">
        <v>0</v>
      </c>
      <c r="R956" s="2" t="inlineStr"/>
    </row>
    <row r="957" ht="15" customHeight="1">
      <c r="A957" t="inlineStr">
        <is>
          <t>A 16521-2025</t>
        </is>
      </c>
      <c r="B957" s="1" t="n">
        <v>45751</v>
      </c>
      <c r="C957" s="1" t="n">
        <v>45852</v>
      </c>
      <c r="D957" t="inlineStr">
        <is>
          <t>UPPSALA LÄN</t>
        </is>
      </c>
      <c r="E957" t="inlineStr">
        <is>
          <t>ENKÖPING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17029-2025</t>
        </is>
      </c>
      <c r="B958" s="1" t="n">
        <v>45755</v>
      </c>
      <c r="C958" s="1" t="n">
        <v>45852</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17038-2025</t>
        </is>
      </c>
      <c r="B959" s="1" t="n">
        <v>45755</v>
      </c>
      <c r="C959" s="1" t="n">
        <v>45852</v>
      </c>
      <c r="D959" t="inlineStr">
        <is>
          <t>UPPSALA LÄN</t>
        </is>
      </c>
      <c r="E959" t="inlineStr">
        <is>
          <t>ENKÖPING</t>
        </is>
      </c>
      <c r="G959" t="n">
        <v>4.8</v>
      </c>
      <c r="H959" t="n">
        <v>0</v>
      </c>
      <c r="I959" t="n">
        <v>0</v>
      </c>
      <c r="J959" t="n">
        <v>0</v>
      </c>
      <c r="K959" t="n">
        <v>0</v>
      </c>
      <c r="L959" t="n">
        <v>0</v>
      </c>
      <c r="M959" t="n">
        <v>0</v>
      </c>
      <c r="N959" t="n">
        <v>0</v>
      </c>
      <c r="O959" t="n">
        <v>0</v>
      </c>
      <c r="P959" t="n">
        <v>0</v>
      </c>
      <c r="Q959" t="n">
        <v>0</v>
      </c>
      <c r="R959" s="2" t="inlineStr"/>
    </row>
    <row r="960" ht="15" customHeight="1">
      <c r="A960" t="inlineStr">
        <is>
          <t>A 17165-2025</t>
        </is>
      </c>
      <c r="B960" s="1" t="n">
        <v>45756</v>
      </c>
      <c r="C960" s="1" t="n">
        <v>45852</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17844-2025</t>
        </is>
      </c>
      <c r="B961" s="1" t="n">
        <v>45758</v>
      </c>
      <c r="C961" s="1" t="n">
        <v>45852</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v>
      </c>
      <c r="C962" s="1" t="n">
        <v>45852</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18038-2025</t>
        </is>
      </c>
      <c r="B963" s="1" t="n">
        <v>45761</v>
      </c>
      <c r="C963" s="1" t="n">
        <v>45852</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17979-2025</t>
        </is>
      </c>
      <c r="B964" s="1" t="n">
        <v>45761</v>
      </c>
      <c r="C964" s="1" t="n">
        <v>45852</v>
      </c>
      <c r="D964" t="inlineStr">
        <is>
          <t>UPPSALA LÄN</t>
        </is>
      </c>
      <c r="E964" t="inlineStr">
        <is>
          <t>ENKÖPING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18299-2025</t>
        </is>
      </c>
      <c r="B965" s="1" t="n">
        <v>45762</v>
      </c>
      <c r="C965" s="1" t="n">
        <v>45852</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18259-2025</t>
        </is>
      </c>
      <c r="B966" s="1" t="n">
        <v>45762</v>
      </c>
      <c r="C966" s="1" t="n">
        <v>45852</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18302-2025</t>
        </is>
      </c>
      <c r="B967" s="1" t="n">
        <v>45762</v>
      </c>
      <c r="C967" s="1" t="n">
        <v>45852</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18986-2025</t>
        </is>
      </c>
      <c r="B968" s="1" t="n">
        <v>45764</v>
      </c>
      <c r="C968" s="1" t="n">
        <v>45852</v>
      </c>
      <c r="D968" t="inlineStr">
        <is>
          <t>UPPSALA LÄN</t>
        </is>
      </c>
      <c r="E968" t="inlineStr">
        <is>
          <t>ENKÖPING</t>
        </is>
      </c>
      <c r="G968" t="n">
        <v>6.9</v>
      </c>
      <c r="H968" t="n">
        <v>0</v>
      </c>
      <c r="I968" t="n">
        <v>0</v>
      </c>
      <c r="J968" t="n">
        <v>0</v>
      </c>
      <c r="K968" t="n">
        <v>0</v>
      </c>
      <c r="L968" t="n">
        <v>0</v>
      </c>
      <c r="M968" t="n">
        <v>0</v>
      </c>
      <c r="N968" t="n">
        <v>0</v>
      </c>
      <c r="O968" t="n">
        <v>0</v>
      </c>
      <c r="P968" t="n">
        <v>0</v>
      </c>
      <c r="Q968" t="n">
        <v>0</v>
      </c>
      <c r="R968" s="2" t="inlineStr"/>
    </row>
    <row r="969" ht="15" customHeight="1">
      <c r="A969" t="inlineStr">
        <is>
          <t>A 18994-2025</t>
        </is>
      </c>
      <c r="B969" s="1" t="n">
        <v>45764</v>
      </c>
      <c r="C969" s="1" t="n">
        <v>45852</v>
      </c>
      <c r="D969" t="inlineStr">
        <is>
          <t>UPPSALA LÄN</t>
        </is>
      </c>
      <c r="E969" t="inlineStr">
        <is>
          <t>ENKÖPING</t>
        </is>
      </c>
      <c r="G969" t="n">
        <v>3.8</v>
      </c>
      <c r="H969" t="n">
        <v>0</v>
      </c>
      <c r="I969" t="n">
        <v>0</v>
      </c>
      <c r="J969" t="n">
        <v>0</v>
      </c>
      <c r="K969" t="n">
        <v>0</v>
      </c>
      <c r="L969" t="n">
        <v>0</v>
      </c>
      <c r="M969" t="n">
        <v>0</v>
      </c>
      <c r="N969" t="n">
        <v>0</v>
      </c>
      <c r="O969" t="n">
        <v>0</v>
      </c>
      <c r="P969" t="n">
        <v>0</v>
      </c>
      <c r="Q969" t="n">
        <v>0</v>
      </c>
      <c r="R969" s="2" t="inlineStr"/>
    </row>
    <row r="970" ht="15" customHeight="1">
      <c r="A970" t="inlineStr">
        <is>
          <t>A 19014-2025</t>
        </is>
      </c>
      <c r="B970" s="1" t="n">
        <v>45764</v>
      </c>
      <c r="C970" s="1" t="n">
        <v>45852</v>
      </c>
      <c r="D970" t="inlineStr">
        <is>
          <t>UPPSALA LÄN</t>
        </is>
      </c>
      <c r="E970" t="inlineStr">
        <is>
          <t>ENKÖPING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19013-2025</t>
        </is>
      </c>
      <c r="B971" s="1" t="n">
        <v>45764</v>
      </c>
      <c r="C971" s="1" t="n">
        <v>45852</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20440-2025</t>
        </is>
      </c>
      <c r="B972" s="1" t="n">
        <v>45775</v>
      </c>
      <c r="C972" s="1" t="n">
        <v>45852</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21501-2025</t>
        </is>
      </c>
      <c r="B973" s="1" t="n">
        <v>45782</v>
      </c>
      <c r="C973" s="1" t="n">
        <v>45852</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45852</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45852</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45852</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45852</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45852</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45852</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45852</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45852</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45852</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45852</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45852</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45852</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45852</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45852</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45852</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45852</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45852</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45852</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45852</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45852</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45852</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45852</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45852</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45852</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45852</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45852</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45852</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45852</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45852</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45852</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45852</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45852</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45852</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45852</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45852</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45852</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45852</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45852</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45852</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45852</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45852</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45852</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45852</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45852</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32477-2025</t>
        </is>
      </c>
      <c r="B1018" s="1" t="n">
        <v>45838</v>
      </c>
      <c r="C1018" s="1" t="n">
        <v>45852</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row r="1019">
      <c r="A1019" t="inlineStr">
        <is>
          <t>A 34990-2025</t>
        </is>
      </c>
      <c r="B1019" s="1" t="n">
        <v>45849</v>
      </c>
      <c r="C1019" s="1" t="n">
        <v>45852</v>
      </c>
      <c r="D1019" t="inlineStr">
        <is>
          <t>UPPSALA LÄN</t>
        </is>
      </c>
      <c r="E1019" t="inlineStr">
        <is>
          <t>ENKÖPING</t>
        </is>
      </c>
      <c r="G1019" t="n">
        <v>1.3</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2025-07-14T19:45:12Z</dcterms:created>
  <dcterms:modified xmlns:dcterms="http://purl.org/dc/terms/" xmlns:xsi="http://www.w3.org/2001/XMLSchema-instance" xsi:type="dcterms:W3CDTF">2025-07-14T19:45:12Z</dcterms:modified>
</cp:coreProperties>
</file>