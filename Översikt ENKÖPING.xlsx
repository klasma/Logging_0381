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45925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45925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45925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45925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45925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45925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45925</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45925</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45925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45925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45925</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45925</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45925</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45925</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45925</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45925</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45925</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45925</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23961-2022</t>
        </is>
      </c>
      <c r="B23" s="1" t="n">
        <v>44722</v>
      </c>
      <c r="C23" s="1" t="n">
        <v>45925</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45925</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45925</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45925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46749-2024</t>
        </is>
      </c>
      <c r="B27" s="1" t="n">
        <v>45583.48347222222</v>
      </c>
      <c r="C27" s="1" t="n">
        <v>45925</v>
      </c>
      <c r="D27" t="inlineStr">
        <is>
          <t>UPPSALA LÄN</t>
        </is>
      </c>
      <c r="E27" t="inlineStr">
        <is>
          <t>ENKÖPING</t>
        </is>
      </c>
      <c r="G27" t="n">
        <v>8.5</v>
      </c>
      <c r="H27" t="n">
        <v>0</v>
      </c>
      <c r="I27" t="n">
        <v>0</v>
      </c>
      <c r="J27" t="n">
        <v>1</v>
      </c>
      <c r="K27" t="n">
        <v>0</v>
      </c>
      <c r="L27" t="n">
        <v>0</v>
      </c>
      <c r="M27" t="n">
        <v>0</v>
      </c>
      <c r="N27" t="n">
        <v>0</v>
      </c>
      <c r="O27" t="n">
        <v>1</v>
      </c>
      <c r="P27" t="n">
        <v>0</v>
      </c>
      <c r="Q27" t="n">
        <v>1</v>
      </c>
      <c r="R27" s="2" t="inlineStr">
        <is>
          <t>Leptoporus erubescens</t>
        </is>
      </c>
      <c r="S27">
        <f>HYPERLINK("https://klasma.github.io/Logging_0381/artfynd/A 46749-2024 artfynd.xlsx", "A 46749-2024")</f>
        <v/>
      </c>
      <c r="T27">
        <f>HYPERLINK("https://klasma.github.io/Logging_0381/kartor/A 46749-2024 karta.png", "A 46749-2024")</f>
        <v/>
      </c>
      <c r="V27">
        <f>HYPERLINK("https://klasma.github.io/Logging_0381/klagomål/A 46749-2024 FSC-klagomål.docx", "A 46749-2024")</f>
        <v/>
      </c>
      <c r="W27">
        <f>HYPERLINK("https://klasma.github.io/Logging_0381/klagomålsmail/A 46749-2024 FSC-klagomål mail.docx", "A 46749-2024")</f>
        <v/>
      </c>
      <c r="X27">
        <f>HYPERLINK("https://klasma.github.io/Logging_0381/tillsyn/A 46749-2024 tillsynsbegäran.docx", "A 46749-2024")</f>
        <v/>
      </c>
      <c r="Y27">
        <f>HYPERLINK("https://klasma.github.io/Logging_0381/tillsynsmail/A 46749-2024 tillsynsbegäran mail.docx", "A 46749-2024")</f>
        <v/>
      </c>
    </row>
    <row r="28" ht="15" customHeight="1">
      <c r="A28" t="inlineStr">
        <is>
          <t>A 33339-2024</t>
        </is>
      </c>
      <c r="B28" s="1" t="n">
        <v>45519</v>
      </c>
      <c r="C28" s="1" t="n">
        <v>45925</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26347-2025</t>
        </is>
      </c>
      <c r="B29" s="1" t="n">
        <v>45805.7403125</v>
      </c>
      <c r="C29" s="1" t="n">
        <v>45925</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45925</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45116-2023</t>
        </is>
      </c>
      <c r="B31" s="1" t="n">
        <v>45191</v>
      </c>
      <c r="C31" s="1" t="n">
        <v>45925</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16683-2021</t>
        </is>
      </c>
      <c r="B32" s="1" t="n">
        <v>44294.58495370371</v>
      </c>
      <c r="C32" s="1" t="n">
        <v>45925</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45925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45925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45925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45925</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45925</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45925</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45925</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45925</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45925</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45925</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45925</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45925</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45925</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45925</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45925</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45925</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45925</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45925</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45925</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45925</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45925</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45925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45925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45925</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45925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45925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45925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45925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45925</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45925</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45925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45925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45925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45925</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45925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45925</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45925</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45925</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45925</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45925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45925</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45925</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45925</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45925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45925</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45925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45925</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45925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45925</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45925</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45925</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45925</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45925</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45925</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45925</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45925</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14839-2021</t>
        </is>
      </c>
      <c r="B89" s="1" t="n">
        <v>44280</v>
      </c>
      <c r="C89" s="1" t="n">
        <v>45925</v>
      </c>
      <c r="D89" t="inlineStr">
        <is>
          <t>UPPSALA LÄN</t>
        </is>
      </c>
      <c r="E89" t="inlineStr">
        <is>
          <t>ENKÖPING</t>
        </is>
      </c>
      <c r="G89" t="n">
        <v>11.4</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45925</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45925</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68107-2021</t>
        </is>
      </c>
      <c r="B92" s="1" t="n">
        <v>44526</v>
      </c>
      <c r="C92" s="1" t="n">
        <v>45925</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45925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45925</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57055-2021</t>
        </is>
      </c>
      <c r="B95" s="1" t="n">
        <v>44482.55201388889</v>
      </c>
      <c r="C95" s="1" t="n">
        <v>45925</v>
      </c>
      <c r="D95" t="inlineStr">
        <is>
          <t>UPPSALA LÄN</t>
        </is>
      </c>
      <c r="E95" t="inlineStr">
        <is>
          <t>ENKÖPING</t>
        </is>
      </c>
      <c r="G95" t="n">
        <v>3.3</v>
      </c>
      <c r="H95" t="n">
        <v>0</v>
      </c>
      <c r="I95" t="n">
        <v>0</v>
      </c>
      <c r="J95" t="n">
        <v>0</v>
      </c>
      <c r="K95" t="n">
        <v>0</v>
      </c>
      <c r="L95" t="n">
        <v>0</v>
      </c>
      <c r="M95" t="n">
        <v>0</v>
      </c>
      <c r="N95" t="n">
        <v>0</v>
      </c>
      <c r="O95" t="n">
        <v>0</v>
      </c>
      <c r="P95" t="n">
        <v>0</v>
      </c>
      <c r="Q95" t="n">
        <v>0</v>
      </c>
      <c r="R95" s="2" t="inlineStr"/>
    </row>
    <row r="96" ht="15" customHeight="1">
      <c r="A96" t="inlineStr">
        <is>
          <t>A 60874-2021</t>
        </is>
      </c>
      <c r="B96" s="1" t="n">
        <v>44497</v>
      </c>
      <c r="C96" s="1" t="n">
        <v>45925</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57043-2021</t>
        </is>
      </c>
      <c r="B97" s="1" t="n">
        <v>44482.53399305556</v>
      </c>
      <c r="C97" s="1" t="n">
        <v>45925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47516-2022</t>
        </is>
      </c>
      <c r="B98" s="1" t="n">
        <v>44853.68895833333</v>
      </c>
      <c r="C98" s="1" t="n">
        <v>45925</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15021-2022</t>
        </is>
      </c>
      <c r="B99" s="1" t="n">
        <v>44657</v>
      </c>
      <c r="C99" s="1" t="n">
        <v>45925</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57802-2020</t>
        </is>
      </c>
      <c r="B100" s="1" t="n">
        <v>44141</v>
      </c>
      <c r="C100" s="1" t="n">
        <v>45925</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58798-2020</t>
        </is>
      </c>
      <c r="B101" s="1" t="n">
        <v>44146</v>
      </c>
      <c r="C101" s="1" t="n">
        <v>45925</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42021-2021</t>
        </is>
      </c>
      <c r="B102" s="1" t="n">
        <v>44426</v>
      </c>
      <c r="C102" s="1" t="n">
        <v>45925</v>
      </c>
      <c r="D102" t="inlineStr">
        <is>
          <t>UPPSALA LÄN</t>
        </is>
      </c>
      <c r="E102" t="inlineStr">
        <is>
          <t>ENKÖPING</t>
        </is>
      </c>
      <c r="G102" t="n">
        <v>2.2</v>
      </c>
      <c r="H102" t="n">
        <v>0</v>
      </c>
      <c r="I102" t="n">
        <v>0</v>
      </c>
      <c r="J102" t="n">
        <v>0</v>
      </c>
      <c r="K102" t="n">
        <v>0</v>
      </c>
      <c r="L102" t="n">
        <v>0</v>
      </c>
      <c r="M102" t="n">
        <v>0</v>
      </c>
      <c r="N102" t="n">
        <v>0</v>
      </c>
      <c r="O102" t="n">
        <v>0</v>
      </c>
      <c r="P102" t="n">
        <v>0</v>
      </c>
      <c r="Q102" t="n">
        <v>0</v>
      </c>
      <c r="R102" s="2" t="inlineStr"/>
    </row>
    <row r="103" ht="15" customHeight="1">
      <c r="A103" t="inlineStr">
        <is>
          <t>A 17467-2022</t>
        </is>
      </c>
      <c r="B103" s="1" t="n">
        <v>44679</v>
      </c>
      <c r="C103" s="1" t="n">
        <v>45925</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52464-2020</t>
        </is>
      </c>
      <c r="B104" s="1" t="n">
        <v>44118</v>
      </c>
      <c r="C104" s="1" t="n">
        <v>45925</v>
      </c>
      <c r="D104" t="inlineStr">
        <is>
          <t>UPPSALA LÄN</t>
        </is>
      </c>
      <c r="E104" t="inlineStr">
        <is>
          <t>ENKÖPING</t>
        </is>
      </c>
      <c r="G104" t="n">
        <v>4.6</v>
      </c>
      <c r="H104" t="n">
        <v>0</v>
      </c>
      <c r="I104" t="n">
        <v>0</v>
      </c>
      <c r="J104" t="n">
        <v>0</v>
      </c>
      <c r="K104" t="n">
        <v>0</v>
      </c>
      <c r="L104" t="n">
        <v>0</v>
      </c>
      <c r="M104" t="n">
        <v>0</v>
      </c>
      <c r="N104" t="n">
        <v>0</v>
      </c>
      <c r="O104" t="n">
        <v>0</v>
      </c>
      <c r="P104" t="n">
        <v>0</v>
      </c>
      <c r="Q104" t="n">
        <v>0</v>
      </c>
      <c r="R104" s="2" t="inlineStr"/>
    </row>
    <row r="105" ht="15" customHeight="1">
      <c r="A105" t="inlineStr">
        <is>
          <t>A 29983-2021</t>
        </is>
      </c>
      <c r="B105" s="1" t="n">
        <v>44363</v>
      </c>
      <c r="C105" s="1" t="n">
        <v>45925</v>
      </c>
      <c r="D105" t="inlineStr">
        <is>
          <t>UPPSALA LÄN</t>
        </is>
      </c>
      <c r="E105" t="inlineStr">
        <is>
          <t>ENKÖPING</t>
        </is>
      </c>
      <c r="F105" t="inlineStr">
        <is>
          <t>Kommuner</t>
        </is>
      </c>
      <c r="G105" t="n">
        <v>3.1</v>
      </c>
      <c r="H105" t="n">
        <v>0</v>
      </c>
      <c r="I105" t="n">
        <v>0</v>
      </c>
      <c r="J105" t="n">
        <v>0</v>
      </c>
      <c r="K105" t="n">
        <v>0</v>
      </c>
      <c r="L105" t="n">
        <v>0</v>
      </c>
      <c r="M105" t="n">
        <v>0</v>
      </c>
      <c r="N105" t="n">
        <v>0</v>
      </c>
      <c r="O105" t="n">
        <v>0</v>
      </c>
      <c r="P105" t="n">
        <v>0</v>
      </c>
      <c r="Q105" t="n">
        <v>0</v>
      </c>
      <c r="R105" s="2" t="inlineStr"/>
    </row>
    <row r="106" ht="15" customHeight="1">
      <c r="A106" t="inlineStr">
        <is>
          <t>A 31013-2022</t>
        </is>
      </c>
      <c r="B106" s="1" t="n">
        <v>44768</v>
      </c>
      <c r="C106" s="1" t="n">
        <v>45925</v>
      </c>
      <c r="D106" t="inlineStr">
        <is>
          <t>UPPSALA LÄN</t>
        </is>
      </c>
      <c r="E106" t="inlineStr">
        <is>
          <t>ENKÖPING</t>
        </is>
      </c>
      <c r="F106" t="inlineStr">
        <is>
          <t>Allmännings- och besparingsskogar</t>
        </is>
      </c>
      <c r="G106" t="n">
        <v>0.5</v>
      </c>
      <c r="H106" t="n">
        <v>0</v>
      </c>
      <c r="I106" t="n">
        <v>0</v>
      </c>
      <c r="J106" t="n">
        <v>0</v>
      </c>
      <c r="K106" t="n">
        <v>0</v>
      </c>
      <c r="L106" t="n">
        <v>0</v>
      </c>
      <c r="M106" t="n">
        <v>0</v>
      </c>
      <c r="N106" t="n">
        <v>0</v>
      </c>
      <c r="O106" t="n">
        <v>0</v>
      </c>
      <c r="P106" t="n">
        <v>0</v>
      </c>
      <c r="Q106" t="n">
        <v>0</v>
      </c>
      <c r="R106" s="2" t="inlineStr"/>
    </row>
    <row r="107" ht="15" customHeight="1">
      <c r="A107" t="inlineStr">
        <is>
          <t>A 42029-2021</t>
        </is>
      </c>
      <c r="B107" s="1" t="n">
        <v>44426</v>
      </c>
      <c r="C107" s="1" t="n">
        <v>45925</v>
      </c>
      <c r="D107" t="inlineStr">
        <is>
          <t>UPPSALA LÄN</t>
        </is>
      </c>
      <c r="E107" t="inlineStr">
        <is>
          <t>ENKÖPING</t>
        </is>
      </c>
      <c r="G107" t="n">
        <v>5.3</v>
      </c>
      <c r="H107" t="n">
        <v>0</v>
      </c>
      <c r="I107" t="n">
        <v>0</v>
      </c>
      <c r="J107" t="n">
        <v>0</v>
      </c>
      <c r="K107" t="n">
        <v>0</v>
      </c>
      <c r="L107" t="n">
        <v>0</v>
      </c>
      <c r="M107" t="n">
        <v>0</v>
      </c>
      <c r="N107" t="n">
        <v>0</v>
      </c>
      <c r="O107" t="n">
        <v>0</v>
      </c>
      <c r="P107" t="n">
        <v>0</v>
      </c>
      <c r="Q107" t="n">
        <v>0</v>
      </c>
      <c r="R107" s="2" t="inlineStr"/>
    </row>
    <row r="108" ht="15" customHeight="1">
      <c r="A108" t="inlineStr">
        <is>
          <t>A 24883-2022</t>
        </is>
      </c>
      <c r="B108" s="1" t="n">
        <v>44728</v>
      </c>
      <c r="C108" s="1" t="n">
        <v>45925</v>
      </c>
      <c r="D108" t="inlineStr">
        <is>
          <t>UPPSALA LÄN</t>
        </is>
      </c>
      <c r="E108" t="inlineStr">
        <is>
          <t>ENKÖPING</t>
        </is>
      </c>
      <c r="G108" t="n">
        <v>2.5</v>
      </c>
      <c r="H108" t="n">
        <v>0</v>
      </c>
      <c r="I108" t="n">
        <v>0</v>
      </c>
      <c r="J108" t="n">
        <v>0</v>
      </c>
      <c r="K108" t="n">
        <v>0</v>
      </c>
      <c r="L108" t="n">
        <v>0</v>
      </c>
      <c r="M108" t="n">
        <v>0</v>
      </c>
      <c r="N108" t="n">
        <v>0</v>
      </c>
      <c r="O108" t="n">
        <v>0</v>
      </c>
      <c r="P108" t="n">
        <v>0</v>
      </c>
      <c r="Q108" t="n">
        <v>0</v>
      </c>
      <c r="R108" s="2" t="inlineStr"/>
    </row>
    <row r="109" ht="15" customHeight="1">
      <c r="A109" t="inlineStr">
        <is>
          <t>A 31965-2021</t>
        </is>
      </c>
      <c r="B109" s="1" t="n">
        <v>44370.56901620371</v>
      </c>
      <c r="C109" s="1" t="n">
        <v>45925</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10468-2025</t>
        </is>
      </c>
      <c r="B110" s="1" t="n">
        <v>45720</v>
      </c>
      <c r="C110" s="1" t="n">
        <v>45925</v>
      </c>
      <c r="D110" t="inlineStr">
        <is>
          <t>UPPSALA LÄN</t>
        </is>
      </c>
      <c r="E110" t="inlineStr">
        <is>
          <t>ENKÖPING</t>
        </is>
      </c>
      <c r="G110" t="n">
        <v>1.6</v>
      </c>
      <c r="H110" t="n">
        <v>0</v>
      </c>
      <c r="I110" t="n">
        <v>0</v>
      </c>
      <c r="J110" t="n">
        <v>0</v>
      </c>
      <c r="K110" t="n">
        <v>0</v>
      </c>
      <c r="L110" t="n">
        <v>0</v>
      </c>
      <c r="M110" t="n">
        <v>0</v>
      </c>
      <c r="N110" t="n">
        <v>0</v>
      </c>
      <c r="O110" t="n">
        <v>0</v>
      </c>
      <c r="P110" t="n">
        <v>0</v>
      </c>
      <c r="Q110" t="n">
        <v>0</v>
      </c>
      <c r="R110" s="2" t="inlineStr"/>
    </row>
    <row r="111" ht="15" customHeight="1">
      <c r="A111" t="inlineStr">
        <is>
          <t>A 19630-2021</t>
        </is>
      </c>
      <c r="B111" s="1" t="n">
        <v>44312.61876157407</v>
      </c>
      <c r="C111" s="1" t="n">
        <v>45925</v>
      </c>
      <c r="D111" t="inlineStr">
        <is>
          <t>UPPSALA LÄN</t>
        </is>
      </c>
      <c r="E111" t="inlineStr">
        <is>
          <t>ENKÖPING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43488-2023</t>
        </is>
      </c>
      <c r="B112" s="1" t="n">
        <v>45181</v>
      </c>
      <c r="C112" s="1" t="n">
        <v>45925</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12755-2025</t>
        </is>
      </c>
      <c r="B113" s="1" t="n">
        <v>45733.56541666666</v>
      </c>
      <c r="C113" s="1" t="n">
        <v>45925</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1971-2022</t>
        </is>
      </c>
      <c r="B114" s="1" t="n">
        <v>44575</v>
      </c>
      <c r="C114" s="1" t="n">
        <v>45925</v>
      </c>
      <c r="D114" t="inlineStr">
        <is>
          <t>UPPSALA LÄN</t>
        </is>
      </c>
      <c r="E114" t="inlineStr">
        <is>
          <t>ENKÖPING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59121-2021</t>
        </is>
      </c>
      <c r="B115" s="1" t="n">
        <v>44490</v>
      </c>
      <c r="C115" s="1" t="n">
        <v>45925</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20067-2021</t>
        </is>
      </c>
      <c r="B116" s="1" t="n">
        <v>44314</v>
      </c>
      <c r="C116" s="1" t="n">
        <v>45925</v>
      </c>
      <c r="D116" t="inlineStr">
        <is>
          <t>UPPSALA LÄN</t>
        </is>
      </c>
      <c r="E116" t="inlineStr">
        <is>
          <t>ENKÖPING</t>
        </is>
      </c>
      <c r="G116" t="n">
        <v>0.9</v>
      </c>
      <c r="H116" t="n">
        <v>0</v>
      </c>
      <c r="I116" t="n">
        <v>0</v>
      </c>
      <c r="J116" t="n">
        <v>0</v>
      </c>
      <c r="K116" t="n">
        <v>0</v>
      </c>
      <c r="L116" t="n">
        <v>0</v>
      </c>
      <c r="M116" t="n">
        <v>0</v>
      </c>
      <c r="N116" t="n">
        <v>0</v>
      </c>
      <c r="O116" t="n">
        <v>0</v>
      </c>
      <c r="P116" t="n">
        <v>0</v>
      </c>
      <c r="Q116" t="n">
        <v>0</v>
      </c>
      <c r="R116" s="2" t="inlineStr"/>
    </row>
    <row r="117" ht="15" customHeight="1">
      <c r="A117" t="inlineStr">
        <is>
          <t>A 4044-2024</t>
        </is>
      </c>
      <c r="B117" s="1" t="n">
        <v>45323.45954861111</v>
      </c>
      <c r="C117" s="1" t="n">
        <v>45925</v>
      </c>
      <c r="D117" t="inlineStr">
        <is>
          <t>UPPSALA LÄN</t>
        </is>
      </c>
      <c r="E117" t="inlineStr">
        <is>
          <t>ENKÖPING</t>
        </is>
      </c>
      <c r="G117" t="n">
        <v>2.1</v>
      </c>
      <c r="H117" t="n">
        <v>0</v>
      </c>
      <c r="I117" t="n">
        <v>0</v>
      </c>
      <c r="J117" t="n">
        <v>0</v>
      </c>
      <c r="K117" t="n">
        <v>0</v>
      </c>
      <c r="L117" t="n">
        <v>0</v>
      </c>
      <c r="M117" t="n">
        <v>0</v>
      </c>
      <c r="N117" t="n">
        <v>0</v>
      </c>
      <c r="O117" t="n">
        <v>0</v>
      </c>
      <c r="P117" t="n">
        <v>0</v>
      </c>
      <c r="Q117" t="n">
        <v>0</v>
      </c>
      <c r="R117" s="2" t="inlineStr"/>
    </row>
    <row r="118" ht="15" customHeight="1">
      <c r="A118" t="inlineStr">
        <is>
          <t>A 5211-2024</t>
        </is>
      </c>
      <c r="B118" s="1" t="n">
        <v>45330</v>
      </c>
      <c r="C118" s="1" t="n">
        <v>45925</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46103-2023</t>
        </is>
      </c>
      <c r="B119" s="1" t="n">
        <v>45190</v>
      </c>
      <c r="C119" s="1" t="n">
        <v>45925</v>
      </c>
      <c r="D119" t="inlineStr">
        <is>
          <t>UPPSALA LÄN</t>
        </is>
      </c>
      <c r="E119" t="inlineStr">
        <is>
          <t>ENKÖPING</t>
        </is>
      </c>
      <c r="G119" t="n">
        <v>4.6</v>
      </c>
      <c r="H119" t="n">
        <v>0</v>
      </c>
      <c r="I119" t="n">
        <v>0</v>
      </c>
      <c r="J119" t="n">
        <v>0</v>
      </c>
      <c r="K119" t="n">
        <v>0</v>
      </c>
      <c r="L119" t="n">
        <v>0</v>
      </c>
      <c r="M119" t="n">
        <v>0</v>
      </c>
      <c r="N119" t="n">
        <v>0</v>
      </c>
      <c r="O119" t="n">
        <v>0</v>
      </c>
      <c r="P119" t="n">
        <v>0</v>
      </c>
      <c r="Q119" t="n">
        <v>0</v>
      </c>
      <c r="R119" s="2" t="inlineStr"/>
    </row>
    <row r="120" ht="15" customHeight="1">
      <c r="A120" t="inlineStr">
        <is>
          <t>A 15924-2022</t>
        </is>
      </c>
      <c r="B120" s="1" t="n">
        <v>44664</v>
      </c>
      <c r="C120" s="1" t="n">
        <v>45925</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15943-2022</t>
        </is>
      </c>
      <c r="B121" s="1" t="n">
        <v>44664.66428240741</v>
      </c>
      <c r="C121" s="1" t="n">
        <v>45925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47106-2021</t>
        </is>
      </c>
      <c r="B122" s="1" t="n">
        <v>44446</v>
      </c>
      <c r="C122" s="1" t="n">
        <v>45925</v>
      </c>
      <c r="D122" t="inlineStr">
        <is>
          <t>UPPSALA LÄN</t>
        </is>
      </c>
      <c r="E122" t="inlineStr">
        <is>
          <t>ENKÖPING</t>
        </is>
      </c>
      <c r="G122" t="n">
        <v>7.6</v>
      </c>
      <c r="H122" t="n">
        <v>0</v>
      </c>
      <c r="I122" t="n">
        <v>0</v>
      </c>
      <c r="J122" t="n">
        <v>0</v>
      </c>
      <c r="K122" t="n">
        <v>0</v>
      </c>
      <c r="L122" t="n">
        <v>0</v>
      </c>
      <c r="M122" t="n">
        <v>0</v>
      </c>
      <c r="N122" t="n">
        <v>0</v>
      </c>
      <c r="O122" t="n">
        <v>0</v>
      </c>
      <c r="P122" t="n">
        <v>0</v>
      </c>
      <c r="Q122" t="n">
        <v>0</v>
      </c>
      <c r="R122" s="2" t="inlineStr"/>
    </row>
    <row r="123" ht="15" customHeight="1">
      <c r="A123" t="inlineStr">
        <is>
          <t>A 19731-2022</t>
        </is>
      </c>
      <c r="B123" s="1" t="n">
        <v>44694</v>
      </c>
      <c r="C123" s="1" t="n">
        <v>45925</v>
      </c>
      <c r="D123" t="inlineStr">
        <is>
          <t>UPPSALA LÄN</t>
        </is>
      </c>
      <c r="E123" t="inlineStr">
        <is>
          <t>ENKÖPING</t>
        </is>
      </c>
      <c r="G123" t="n">
        <v>0.7</v>
      </c>
      <c r="H123" t="n">
        <v>0</v>
      </c>
      <c r="I123" t="n">
        <v>0</v>
      </c>
      <c r="J123" t="n">
        <v>0</v>
      </c>
      <c r="K123" t="n">
        <v>0</v>
      </c>
      <c r="L123" t="n">
        <v>0</v>
      </c>
      <c r="M123" t="n">
        <v>0</v>
      </c>
      <c r="N123" t="n">
        <v>0</v>
      </c>
      <c r="O123" t="n">
        <v>0</v>
      </c>
      <c r="P123" t="n">
        <v>0</v>
      </c>
      <c r="Q123" t="n">
        <v>0</v>
      </c>
      <c r="R123" s="2" t="inlineStr"/>
    </row>
    <row r="124" ht="15" customHeight="1">
      <c r="A124" t="inlineStr">
        <is>
          <t>A 68127-2021</t>
        </is>
      </c>
      <c r="B124" s="1" t="n">
        <v>44526.39513888889</v>
      </c>
      <c r="C124" s="1" t="n">
        <v>45925</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24815-2022</t>
        </is>
      </c>
      <c r="B125" s="1" t="n">
        <v>44728</v>
      </c>
      <c r="C125" s="1" t="n">
        <v>45925</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57078-2021</t>
        </is>
      </c>
      <c r="B126" s="1" t="n">
        <v>44482.57855324074</v>
      </c>
      <c r="C126" s="1" t="n">
        <v>45925</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25333-2023</t>
        </is>
      </c>
      <c r="B127" s="1" t="n">
        <v>45083</v>
      </c>
      <c r="C127" s="1" t="n">
        <v>45925</v>
      </c>
      <c r="D127" t="inlineStr">
        <is>
          <t>UPPSALA LÄN</t>
        </is>
      </c>
      <c r="E127" t="inlineStr">
        <is>
          <t>ENKÖPING</t>
        </is>
      </c>
      <c r="G127" t="n">
        <v>2.7</v>
      </c>
      <c r="H127" t="n">
        <v>0</v>
      </c>
      <c r="I127" t="n">
        <v>0</v>
      </c>
      <c r="J127" t="n">
        <v>0</v>
      </c>
      <c r="K127" t="n">
        <v>0</v>
      </c>
      <c r="L127" t="n">
        <v>0</v>
      </c>
      <c r="M127" t="n">
        <v>0</v>
      </c>
      <c r="N127" t="n">
        <v>0</v>
      </c>
      <c r="O127" t="n">
        <v>0</v>
      </c>
      <c r="P127" t="n">
        <v>0</v>
      </c>
      <c r="Q127" t="n">
        <v>0</v>
      </c>
      <c r="R127" s="2" t="inlineStr"/>
    </row>
    <row r="128" ht="15" customHeight="1">
      <c r="A128" t="inlineStr">
        <is>
          <t>A 10458-2022</t>
        </is>
      </c>
      <c r="B128" s="1" t="n">
        <v>44623.56711805556</v>
      </c>
      <c r="C128" s="1" t="n">
        <v>45925</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2164-2023</t>
        </is>
      </c>
      <c r="B129" s="1" t="n">
        <v>44941</v>
      </c>
      <c r="C129" s="1" t="n">
        <v>45925</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39439-2025</t>
        </is>
      </c>
      <c r="B130" s="1" t="n">
        <v>45889</v>
      </c>
      <c r="C130" s="1" t="n">
        <v>45925</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45142-2023</t>
        </is>
      </c>
      <c r="B131" s="1" t="n">
        <v>45191.4702662037</v>
      </c>
      <c r="C131" s="1" t="n">
        <v>45925</v>
      </c>
      <c r="D131" t="inlineStr">
        <is>
          <t>UPPSALA LÄN</t>
        </is>
      </c>
      <c r="E131" t="inlineStr">
        <is>
          <t>ENKÖPING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34990-2025</t>
        </is>
      </c>
      <c r="B132" s="1" t="n">
        <v>45849.78916666667</v>
      </c>
      <c r="C132" s="1" t="n">
        <v>45925</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50747-2022</t>
        </is>
      </c>
      <c r="B133" s="1" t="n">
        <v>44867.40162037037</v>
      </c>
      <c r="C133" s="1" t="n">
        <v>45925</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57998-2024</t>
        </is>
      </c>
      <c r="B134" s="1" t="n">
        <v>45631</v>
      </c>
      <c r="C134" s="1" t="n">
        <v>45925</v>
      </c>
      <c r="D134" t="inlineStr">
        <is>
          <t>UPPSALA LÄN</t>
        </is>
      </c>
      <c r="E134" t="inlineStr">
        <is>
          <t>ENKÖPING</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57152-2021</t>
        </is>
      </c>
      <c r="B135" s="1" t="n">
        <v>44482</v>
      </c>
      <c r="C135" s="1" t="n">
        <v>45925</v>
      </c>
      <c r="D135" t="inlineStr">
        <is>
          <t>UPPSALA LÄN</t>
        </is>
      </c>
      <c r="E135" t="inlineStr">
        <is>
          <t>ENKÖPING</t>
        </is>
      </c>
      <c r="G135" t="n">
        <v>1.4</v>
      </c>
      <c r="H135" t="n">
        <v>0</v>
      </c>
      <c r="I135" t="n">
        <v>0</v>
      </c>
      <c r="J135" t="n">
        <v>0</v>
      </c>
      <c r="K135" t="n">
        <v>0</v>
      </c>
      <c r="L135" t="n">
        <v>0</v>
      </c>
      <c r="M135" t="n">
        <v>0</v>
      </c>
      <c r="N135" t="n">
        <v>0</v>
      </c>
      <c r="O135" t="n">
        <v>0</v>
      </c>
      <c r="P135" t="n">
        <v>0</v>
      </c>
      <c r="Q135" t="n">
        <v>0</v>
      </c>
      <c r="R135" s="2" t="inlineStr"/>
    </row>
    <row r="136" ht="15" customHeight="1">
      <c r="A136" t="inlineStr">
        <is>
          <t>A 30437-2022</t>
        </is>
      </c>
      <c r="B136" s="1" t="n">
        <v>44761</v>
      </c>
      <c r="C136" s="1" t="n">
        <v>45925</v>
      </c>
      <c r="D136" t="inlineStr">
        <is>
          <t>UPPSALA LÄN</t>
        </is>
      </c>
      <c r="E136" t="inlineStr">
        <is>
          <t>ENKÖPING</t>
        </is>
      </c>
      <c r="G136" t="n">
        <v>3.4</v>
      </c>
      <c r="H136" t="n">
        <v>0</v>
      </c>
      <c r="I136" t="n">
        <v>0</v>
      </c>
      <c r="J136" t="n">
        <v>0</v>
      </c>
      <c r="K136" t="n">
        <v>0</v>
      </c>
      <c r="L136" t="n">
        <v>0</v>
      </c>
      <c r="M136" t="n">
        <v>0</v>
      </c>
      <c r="N136" t="n">
        <v>0</v>
      </c>
      <c r="O136" t="n">
        <v>0</v>
      </c>
      <c r="P136" t="n">
        <v>0</v>
      </c>
      <c r="Q136" t="n">
        <v>0</v>
      </c>
      <c r="R136" s="2" t="inlineStr"/>
    </row>
    <row r="137" ht="15" customHeight="1">
      <c r="A137" t="inlineStr">
        <is>
          <t>A 14332-2024</t>
        </is>
      </c>
      <c r="B137" s="1" t="n">
        <v>45393</v>
      </c>
      <c r="C137" s="1" t="n">
        <v>45925</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12572-2021</t>
        </is>
      </c>
      <c r="B138" s="1" t="n">
        <v>44270.36438657407</v>
      </c>
      <c r="C138" s="1" t="n">
        <v>45925</v>
      </c>
      <c r="D138" t="inlineStr">
        <is>
          <t>UPPSALA LÄN</t>
        </is>
      </c>
      <c r="E138" t="inlineStr">
        <is>
          <t>ENKÖPING</t>
        </is>
      </c>
      <c r="G138" t="n">
        <v>3.3</v>
      </c>
      <c r="H138" t="n">
        <v>0</v>
      </c>
      <c r="I138" t="n">
        <v>0</v>
      </c>
      <c r="J138" t="n">
        <v>0</v>
      </c>
      <c r="K138" t="n">
        <v>0</v>
      </c>
      <c r="L138" t="n">
        <v>0</v>
      </c>
      <c r="M138" t="n">
        <v>0</v>
      </c>
      <c r="N138" t="n">
        <v>0</v>
      </c>
      <c r="O138" t="n">
        <v>0</v>
      </c>
      <c r="P138" t="n">
        <v>0</v>
      </c>
      <c r="Q138" t="n">
        <v>0</v>
      </c>
      <c r="R138" s="2" t="inlineStr"/>
    </row>
    <row r="139" ht="15" customHeight="1">
      <c r="A139" t="inlineStr">
        <is>
          <t>A 18831-2023</t>
        </is>
      </c>
      <c r="B139" s="1" t="n">
        <v>45044.40798611111</v>
      </c>
      <c r="C139" s="1" t="n">
        <v>45925</v>
      </c>
      <c r="D139" t="inlineStr">
        <is>
          <t>UPPSALA LÄN</t>
        </is>
      </c>
      <c r="E139" t="inlineStr">
        <is>
          <t>ENKÖPING</t>
        </is>
      </c>
      <c r="G139" t="n">
        <v>4.3</v>
      </c>
      <c r="H139" t="n">
        <v>0</v>
      </c>
      <c r="I139" t="n">
        <v>0</v>
      </c>
      <c r="J139" t="n">
        <v>0</v>
      </c>
      <c r="K139" t="n">
        <v>0</v>
      </c>
      <c r="L139" t="n">
        <v>0</v>
      </c>
      <c r="M139" t="n">
        <v>0</v>
      </c>
      <c r="N139" t="n">
        <v>0</v>
      </c>
      <c r="O139" t="n">
        <v>0</v>
      </c>
      <c r="P139" t="n">
        <v>0</v>
      </c>
      <c r="Q139" t="n">
        <v>0</v>
      </c>
      <c r="R139" s="2" t="inlineStr"/>
    </row>
    <row r="140" ht="15" customHeight="1">
      <c r="A140" t="inlineStr">
        <is>
          <t>A 33955-2024</t>
        </is>
      </c>
      <c r="B140" s="1" t="n">
        <v>45523.46952546296</v>
      </c>
      <c r="C140" s="1" t="n">
        <v>45925</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6172-2023</t>
        </is>
      </c>
      <c r="B141" s="1" t="n">
        <v>44964.68663194445</v>
      </c>
      <c r="C141" s="1" t="n">
        <v>45925</v>
      </c>
      <c r="D141" t="inlineStr">
        <is>
          <t>UPPSALA LÄN</t>
        </is>
      </c>
      <c r="E141" t="inlineStr">
        <is>
          <t>ENKÖPING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10409-2025</t>
        </is>
      </c>
      <c r="B142" s="1" t="n">
        <v>45720.631875</v>
      </c>
      <c r="C142" s="1" t="n">
        <v>45925</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20112-2024</t>
        </is>
      </c>
      <c r="B143" s="1" t="n">
        <v>45434</v>
      </c>
      <c r="C143" s="1" t="n">
        <v>45925</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17844-2025</t>
        </is>
      </c>
      <c r="B144" s="1" t="n">
        <v>45758.59920138889</v>
      </c>
      <c r="C144" s="1" t="n">
        <v>45925</v>
      </c>
      <c r="D144" t="inlineStr">
        <is>
          <t>UPPSALA LÄN</t>
        </is>
      </c>
      <c r="E144" t="inlineStr">
        <is>
          <t>ENKÖPING</t>
        </is>
      </c>
      <c r="G144" t="n">
        <v>1.4</v>
      </c>
      <c r="H144" t="n">
        <v>0</v>
      </c>
      <c r="I144" t="n">
        <v>0</v>
      </c>
      <c r="J144" t="n">
        <v>0</v>
      </c>
      <c r="K144" t="n">
        <v>0</v>
      </c>
      <c r="L144" t="n">
        <v>0</v>
      </c>
      <c r="M144" t="n">
        <v>0</v>
      </c>
      <c r="N144" t="n">
        <v>0</v>
      </c>
      <c r="O144" t="n">
        <v>0</v>
      </c>
      <c r="P144" t="n">
        <v>0</v>
      </c>
      <c r="Q144" t="n">
        <v>0</v>
      </c>
      <c r="R144" s="2" t="inlineStr"/>
    </row>
    <row r="145" ht="15" customHeight="1">
      <c r="A145" t="inlineStr">
        <is>
          <t>A 51932-2022</t>
        </is>
      </c>
      <c r="B145" s="1" t="n">
        <v>44872</v>
      </c>
      <c r="C145" s="1" t="n">
        <v>45925</v>
      </c>
      <c r="D145" t="inlineStr">
        <is>
          <t>UPPSALA LÄN</t>
        </is>
      </c>
      <c r="E145" t="inlineStr">
        <is>
          <t>ENKÖPING</t>
        </is>
      </c>
      <c r="G145" t="n">
        <v>5.5</v>
      </c>
      <c r="H145" t="n">
        <v>0</v>
      </c>
      <c r="I145" t="n">
        <v>0</v>
      </c>
      <c r="J145" t="n">
        <v>0</v>
      </c>
      <c r="K145" t="n">
        <v>0</v>
      </c>
      <c r="L145" t="n">
        <v>0</v>
      </c>
      <c r="M145" t="n">
        <v>0</v>
      </c>
      <c r="N145" t="n">
        <v>0</v>
      </c>
      <c r="O145" t="n">
        <v>0</v>
      </c>
      <c r="P145" t="n">
        <v>0</v>
      </c>
      <c r="Q145" t="n">
        <v>0</v>
      </c>
      <c r="R145" s="2" t="inlineStr"/>
    </row>
    <row r="146" ht="15" customHeight="1">
      <c r="A146" t="inlineStr">
        <is>
          <t>A 12958-2024</t>
        </is>
      </c>
      <c r="B146" s="1" t="n">
        <v>45385</v>
      </c>
      <c r="C146" s="1" t="n">
        <v>45925</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69567-2020</t>
        </is>
      </c>
      <c r="B147" s="1" t="n">
        <v>44194</v>
      </c>
      <c r="C147" s="1" t="n">
        <v>45925</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33581-2023</t>
        </is>
      </c>
      <c r="B148" s="1" t="n">
        <v>45131</v>
      </c>
      <c r="C148" s="1" t="n">
        <v>45925</v>
      </c>
      <c r="D148" t="inlineStr">
        <is>
          <t>UPPSALA LÄN</t>
        </is>
      </c>
      <c r="E148" t="inlineStr">
        <is>
          <t>ENKÖPING</t>
        </is>
      </c>
      <c r="G148" t="n">
        <v>3.5</v>
      </c>
      <c r="H148" t="n">
        <v>0</v>
      </c>
      <c r="I148" t="n">
        <v>0</v>
      </c>
      <c r="J148" t="n">
        <v>0</v>
      </c>
      <c r="K148" t="n">
        <v>0</v>
      </c>
      <c r="L148" t="n">
        <v>0</v>
      </c>
      <c r="M148" t="n">
        <v>0</v>
      </c>
      <c r="N148" t="n">
        <v>0</v>
      </c>
      <c r="O148" t="n">
        <v>0</v>
      </c>
      <c r="P148" t="n">
        <v>0</v>
      </c>
      <c r="Q148" t="n">
        <v>0</v>
      </c>
      <c r="R148" s="2" t="inlineStr"/>
    </row>
    <row r="149" ht="15" customHeight="1">
      <c r="A149" t="inlineStr">
        <is>
          <t>A 27837-2025</t>
        </is>
      </c>
      <c r="B149" s="1" t="n">
        <v>45817.37207175926</v>
      </c>
      <c r="C149" s="1" t="n">
        <v>45925</v>
      </c>
      <c r="D149" t="inlineStr">
        <is>
          <t>UPPSALA LÄN</t>
        </is>
      </c>
      <c r="E149" t="inlineStr">
        <is>
          <t>ENKÖPING</t>
        </is>
      </c>
      <c r="G149" t="n">
        <v>7.3</v>
      </c>
      <c r="H149" t="n">
        <v>0</v>
      </c>
      <c r="I149" t="n">
        <v>0</v>
      </c>
      <c r="J149" t="n">
        <v>0</v>
      </c>
      <c r="K149" t="n">
        <v>0</v>
      </c>
      <c r="L149" t="n">
        <v>0</v>
      </c>
      <c r="M149" t="n">
        <v>0</v>
      </c>
      <c r="N149" t="n">
        <v>0</v>
      </c>
      <c r="O149" t="n">
        <v>0</v>
      </c>
      <c r="P149" t="n">
        <v>0</v>
      </c>
      <c r="Q149" t="n">
        <v>0</v>
      </c>
      <c r="R149" s="2" t="inlineStr"/>
    </row>
    <row r="150" ht="15" customHeight="1">
      <c r="A150" t="inlineStr">
        <is>
          <t>A 21686-2022</t>
        </is>
      </c>
      <c r="B150" s="1" t="n">
        <v>44707</v>
      </c>
      <c r="C150" s="1" t="n">
        <v>45925</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29479-2022</t>
        </is>
      </c>
      <c r="B151" s="1" t="n">
        <v>44753.57265046296</v>
      </c>
      <c r="C151" s="1" t="n">
        <v>45925</v>
      </c>
      <c r="D151" t="inlineStr">
        <is>
          <t>UPPSALA LÄN</t>
        </is>
      </c>
      <c r="E151" t="inlineStr">
        <is>
          <t>ENKÖPING</t>
        </is>
      </c>
      <c r="G151" t="n">
        <v>0.9</v>
      </c>
      <c r="H151" t="n">
        <v>0</v>
      </c>
      <c r="I151" t="n">
        <v>0</v>
      </c>
      <c r="J151" t="n">
        <v>0</v>
      </c>
      <c r="K151" t="n">
        <v>0</v>
      </c>
      <c r="L151" t="n">
        <v>0</v>
      </c>
      <c r="M151" t="n">
        <v>0</v>
      </c>
      <c r="N151" t="n">
        <v>0</v>
      </c>
      <c r="O151" t="n">
        <v>0</v>
      </c>
      <c r="P151" t="n">
        <v>0</v>
      </c>
      <c r="Q151" t="n">
        <v>0</v>
      </c>
      <c r="R151" s="2" t="inlineStr"/>
    </row>
    <row r="152" ht="15" customHeight="1">
      <c r="A152" t="inlineStr">
        <is>
          <t>A 39746-2025</t>
        </is>
      </c>
      <c r="B152" s="1" t="n">
        <v>45891</v>
      </c>
      <c r="C152" s="1" t="n">
        <v>45925</v>
      </c>
      <c r="D152" t="inlineStr">
        <is>
          <t>UPPSALA LÄN</t>
        </is>
      </c>
      <c r="E152" t="inlineStr">
        <is>
          <t>ENKÖPING</t>
        </is>
      </c>
      <c r="G152" t="n">
        <v>7.4</v>
      </c>
      <c r="H152" t="n">
        <v>0</v>
      </c>
      <c r="I152" t="n">
        <v>0</v>
      </c>
      <c r="J152" t="n">
        <v>0</v>
      </c>
      <c r="K152" t="n">
        <v>0</v>
      </c>
      <c r="L152" t="n">
        <v>0</v>
      </c>
      <c r="M152" t="n">
        <v>0</v>
      </c>
      <c r="N152" t="n">
        <v>0</v>
      </c>
      <c r="O152" t="n">
        <v>0</v>
      </c>
      <c r="P152" t="n">
        <v>0</v>
      </c>
      <c r="Q152" t="n">
        <v>0</v>
      </c>
      <c r="R152" s="2" t="inlineStr"/>
    </row>
    <row r="153" ht="15" customHeight="1">
      <c r="A153" t="inlineStr">
        <is>
          <t>A 29513-2025</t>
        </is>
      </c>
      <c r="B153" s="1" t="n">
        <v>45825</v>
      </c>
      <c r="C153" s="1" t="n">
        <v>45925</v>
      </c>
      <c r="D153" t="inlineStr">
        <is>
          <t>UPPSALA LÄN</t>
        </is>
      </c>
      <c r="E153" t="inlineStr">
        <is>
          <t>ENKÖPING</t>
        </is>
      </c>
      <c r="G153" t="n">
        <v>2.6</v>
      </c>
      <c r="H153" t="n">
        <v>0</v>
      </c>
      <c r="I153" t="n">
        <v>0</v>
      </c>
      <c r="J153" t="n">
        <v>0</v>
      </c>
      <c r="K153" t="n">
        <v>0</v>
      </c>
      <c r="L153" t="n">
        <v>0</v>
      </c>
      <c r="M153" t="n">
        <v>0</v>
      </c>
      <c r="N153" t="n">
        <v>0</v>
      </c>
      <c r="O153" t="n">
        <v>0</v>
      </c>
      <c r="P153" t="n">
        <v>0</v>
      </c>
      <c r="Q153" t="n">
        <v>0</v>
      </c>
      <c r="R153" s="2" t="inlineStr"/>
    </row>
    <row r="154" ht="15" customHeight="1">
      <c r="A154" t="inlineStr">
        <is>
          <t>A 58896-2020</t>
        </is>
      </c>
      <c r="B154" s="1" t="n">
        <v>44146</v>
      </c>
      <c r="C154" s="1" t="n">
        <v>45925</v>
      </c>
      <c r="D154" t="inlineStr">
        <is>
          <t>UPPSALA LÄN</t>
        </is>
      </c>
      <c r="E154" t="inlineStr">
        <is>
          <t>ENKÖPING</t>
        </is>
      </c>
      <c r="G154" t="n">
        <v>2.5</v>
      </c>
      <c r="H154" t="n">
        <v>0</v>
      </c>
      <c r="I154" t="n">
        <v>0</v>
      </c>
      <c r="J154" t="n">
        <v>0</v>
      </c>
      <c r="K154" t="n">
        <v>0</v>
      </c>
      <c r="L154" t="n">
        <v>0</v>
      </c>
      <c r="M154" t="n">
        <v>0</v>
      </c>
      <c r="N154" t="n">
        <v>0</v>
      </c>
      <c r="O154" t="n">
        <v>0</v>
      </c>
      <c r="P154" t="n">
        <v>0</v>
      </c>
      <c r="Q154" t="n">
        <v>0</v>
      </c>
      <c r="R154" s="2" t="inlineStr"/>
    </row>
    <row r="155" ht="15" customHeight="1">
      <c r="A155" t="inlineStr">
        <is>
          <t>A 49525-2021</t>
        </is>
      </c>
      <c r="B155" s="1" t="n">
        <v>44455</v>
      </c>
      <c r="C155" s="1" t="n">
        <v>45925</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37115-2024</t>
        </is>
      </c>
      <c r="B156" s="1" t="n">
        <v>45539</v>
      </c>
      <c r="C156" s="1" t="n">
        <v>45925</v>
      </c>
      <c r="D156" t="inlineStr">
        <is>
          <t>UPPSALA LÄN</t>
        </is>
      </c>
      <c r="E156" t="inlineStr">
        <is>
          <t>ENKÖPING</t>
        </is>
      </c>
      <c r="G156" t="n">
        <v>1.8</v>
      </c>
      <c r="H156" t="n">
        <v>0</v>
      </c>
      <c r="I156" t="n">
        <v>0</v>
      </c>
      <c r="J156" t="n">
        <v>0</v>
      </c>
      <c r="K156" t="n">
        <v>0</v>
      </c>
      <c r="L156" t="n">
        <v>0</v>
      </c>
      <c r="M156" t="n">
        <v>0</v>
      </c>
      <c r="N156" t="n">
        <v>0</v>
      </c>
      <c r="O156" t="n">
        <v>0</v>
      </c>
      <c r="P156" t="n">
        <v>0</v>
      </c>
      <c r="Q156" t="n">
        <v>0</v>
      </c>
      <c r="R156" s="2" t="inlineStr"/>
    </row>
    <row r="157" ht="15" customHeight="1">
      <c r="A157" t="inlineStr">
        <is>
          <t>A 6298-2021</t>
        </is>
      </c>
      <c r="B157" s="1" t="n">
        <v>44235</v>
      </c>
      <c r="C157" s="1" t="n">
        <v>45925</v>
      </c>
      <c r="D157" t="inlineStr">
        <is>
          <t>UPPSALA LÄN</t>
        </is>
      </c>
      <c r="E157" t="inlineStr">
        <is>
          <t>ENKÖPING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40812-2022</t>
        </is>
      </c>
      <c r="B158" s="1" t="n">
        <v>44824.68791666667</v>
      </c>
      <c r="C158" s="1" t="n">
        <v>45925</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24291-2024</t>
        </is>
      </c>
      <c r="B159" s="1" t="n">
        <v>45457.4584837963</v>
      </c>
      <c r="C159" s="1" t="n">
        <v>45925</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21017-2023</t>
        </is>
      </c>
      <c r="B160" s="1" t="n">
        <v>45061</v>
      </c>
      <c r="C160" s="1" t="n">
        <v>45925</v>
      </c>
      <c r="D160" t="inlineStr">
        <is>
          <t>UPPSALA LÄN</t>
        </is>
      </c>
      <c r="E160" t="inlineStr">
        <is>
          <t>ENKÖPING</t>
        </is>
      </c>
      <c r="G160" t="n">
        <v>4.8</v>
      </c>
      <c r="H160" t="n">
        <v>0</v>
      </c>
      <c r="I160" t="n">
        <v>0</v>
      </c>
      <c r="J160" t="n">
        <v>0</v>
      </c>
      <c r="K160" t="n">
        <v>0</v>
      </c>
      <c r="L160" t="n">
        <v>0</v>
      </c>
      <c r="M160" t="n">
        <v>0</v>
      </c>
      <c r="N160" t="n">
        <v>0</v>
      </c>
      <c r="O160" t="n">
        <v>0</v>
      </c>
      <c r="P160" t="n">
        <v>0</v>
      </c>
      <c r="Q160" t="n">
        <v>0</v>
      </c>
      <c r="R160" s="2" t="inlineStr"/>
    </row>
    <row r="161" ht="15" customHeight="1">
      <c r="A161" t="inlineStr">
        <is>
          <t>A 58062-2020</t>
        </is>
      </c>
      <c r="B161" s="1" t="n">
        <v>44144</v>
      </c>
      <c r="C161" s="1" t="n">
        <v>45925</v>
      </c>
      <c r="D161" t="inlineStr">
        <is>
          <t>UPPSALA LÄN</t>
        </is>
      </c>
      <c r="E161" t="inlineStr">
        <is>
          <t>ENKÖPING</t>
        </is>
      </c>
      <c r="G161" t="n">
        <v>2.3</v>
      </c>
      <c r="H161" t="n">
        <v>0</v>
      </c>
      <c r="I161" t="n">
        <v>0</v>
      </c>
      <c r="J161" t="n">
        <v>0</v>
      </c>
      <c r="K161" t="n">
        <v>0</v>
      </c>
      <c r="L161" t="n">
        <v>0</v>
      </c>
      <c r="M161" t="n">
        <v>0</v>
      </c>
      <c r="N161" t="n">
        <v>0</v>
      </c>
      <c r="O161" t="n">
        <v>0</v>
      </c>
      <c r="P161" t="n">
        <v>0</v>
      </c>
      <c r="Q161" t="n">
        <v>0</v>
      </c>
      <c r="R161" s="2" t="inlineStr"/>
    </row>
    <row r="162" ht="15" customHeight="1">
      <c r="A162" t="inlineStr">
        <is>
          <t>A 44232-2022</t>
        </is>
      </c>
      <c r="B162" s="1" t="n">
        <v>44839</v>
      </c>
      <c r="C162" s="1" t="n">
        <v>45925</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47428-2023</t>
        </is>
      </c>
      <c r="B163" s="1" t="n">
        <v>45202.66664351852</v>
      </c>
      <c r="C163" s="1" t="n">
        <v>45925</v>
      </c>
      <c r="D163" t="inlineStr">
        <is>
          <t>UPPSALA LÄN</t>
        </is>
      </c>
      <c r="E163" t="inlineStr">
        <is>
          <t>ENKÖPING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6147-2021</t>
        </is>
      </c>
      <c r="B164" s="1" t="n">
        <v>44232</v>
      </c>
      <c r="C164" s="1" t="n">
        <v>45925</v>
      </c>
      <c r="D164" t="inlineStr">
        <is>
          <t>UPPSALA LÄN</t>
        </is>
      </c>
      <c r="E164" t="inlineStr">
        <is>
          <t>ENKÖPING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1960-2022</t>
        </is>
      </c>
      <c r="B165" s="1" t="n">
        <v>44575</v>
      </c>
      <c r="C165" s="1" t="n">
        <v>45925</v>
      </c>
      <c r="D165" t="inlineStr">
        <is>
          <t>UPPSALA LÄN</t>
        </is>
      </c>
      <c r="E165" t="inlineStr">
        <is>
          <t>ENKÖPING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59441-2020</t>
        </is>
      </c>
      <c r="B166" s="1" t="n">
        <v>44148</v>
      </c>
      <c r="C166" s="1" t="n">
        <v>45925</v>
      </c>
      <c r="D166" t="inlineStr">
        <is>
          <t>UPPSALA LÄN</t>
        </is>
      </c>
      <c r="E166" t="inlineStr">
        <is>
          <t>ENKÖPING</t>
        </is>
      </c>
      <c r="G166" t="n">
        <v>4.8</v>
      </c>
      <c r="H166" t="n">
        <v>0</v>
      </c>
      <c r="I166" t="n">
        <v>0</v>
      </c>
      <c r="J166" t="n">
        <v>0</v>
      </c>
      <c r="K166" t="n">
        <v>0</v>
      </c>
      <c r="L166" t="n">
        <v>0</v>
      </c>
      <c r="M166" t="n">
        <v>0</v>
      </c>
      <c r="N166" t="n">
        <v>0</v>
      </c>
      <c r="O166" t="n">
        <v>0</v>
      </c>
      <c r="P166" t="n">
        <v>0</v>
      </c>
      <c r="Q166" t="n">
        <v>0</v>
      </c>
      <c r="R166" s="2" t="inlineStr"/>
    </row>
    <row r="167" ht="15" customHeight="1">
      <c r="A167" t="inlineStr">
        <is>
          <t>A 18028-2023</t>
        </is>
      </c>
      <c r="B167" s="1" t="n">
        <v>45040</v>
      </c>
      <c r="C167" s="1" t="n">
        <v>45925</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45362-2022</t>
        </is>
      </c>
      <c r="B168" s="1" t="n">
        <v>44844.62366898148</v>
      </c>
      <c r="C168" s="1" t="n">
        <v>45925</v>
      </c>
      <c r="D168" t="inlineStr">
        <is>
          <t>UPPSALA LÄN</t>
        </is>
      </c>
      <c r="E168" t="inlineStr">
        <is>
          <t>ENKÖPING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56526-2022</t>
        </is>
      </c>
      <c r="B169" s="1" t="n">
        <v>44893</v>
      </c>
      <c r="C169" s="1" t="n">
        <v>45925</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57328-2024</t>
        </is>
      </c>
      <c r="B170" s="1" t="n">
        <v>45629.62798611111</v>
      </c>
      <c r="C170" s="1" t="n">
        <v>45925</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60350-2022</t>
        </is>
      </c>
      <c r="B171" s="1" t="n">
        <v>44910</v>
      </c>
      <c r="C171" s="1" t="n">
        <v>45925</v>
      </c>
      <c r="D171" t="inlineStr">
        <is>
          <t>UPPSALA LÄN</t>
        </is>
      </c>
      <c r="E171" t="inlineStr">
        <is>
          <t>ENKÖPING</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28518-2024</t>
        </is>
      </c>
      <c r="B172" s="1" t="n">
        <v>45477</v>
      </c>
      <c r="C172" s="1" t="n">
        <v>45925</v>
      </c>
      <c r="D172" t="inlineStr">
        <is>
          <t>UPPSALA LÄN</t>
        </is>
      </c>
      <c r="E172" t="inlineStr">
        <is>
          <t>ENKÖPING</t>
        </is>
      </c>
      <c r="G172" t="n">
        <v>3.4</v>
      </c>
      <c r="H172" t="n">
        <v>0</v>
      </c>
      <c r="I172" t="n">
        <v>0</v>
      </c>
      <c r="J172" t="n">
        <v>0</v>
      </c>
      <c r="K172" t="n">
        <v>0</v>
      </c>
      <c r="L172" t="n">
        <v>0</v>
      </c>
      <c r="M172" t="n">
        <v>0</v>
      </c>
      <c r="N172" t="n">
        <v>0</v>
      </c>
      <c r="O172" t="n">
        <v>0</v>
      </c>
      <c r="P172" t="n">
        <v>0</v>
      </c>
      <c r="Q172" t="n">
        <v>0</v>
      </c>
      <c r="R172" s="2" t="inlineStr"/>
    </row>
    <row r="173" ht="15" customHeight="1">
      <c r="A173" t="inlineStr">
        <is>
          <t>A 41637-2025</t>
        </is>
      </c>
      <c r="B173" s="1" t="n">
        <v>45901</v>
      </c>
      <c r="C173" s="1" t="n">
        <v>45925</v>
      </c>
      <c r="D173" t="inlineStr">
        <is>
          <t>UPPSALA LÄN</t>
        </is>
      </c>
      <c r="E173" t="inlineStr">
        <is>
          <t>ENKÖPING</t>
        </is>
      </c>
      <c r="F173" t="inlineStr">
        <is>
          <t>Allmännings- och besparingsskogar</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49568-2022</t>
        </is>
      </c>
      <c r="B174" s="1" t="n">
        <v>44862.32791666667</v>
      </c>
      <c r="C174" s="1" t="n">
        <v>45925</v>
      </c>
      <c r="D174" t="inlineStr">
        <is>
          <t>UPPSALA LÄN</t>
        </is>
      </c>
      <c r="E174" t="inlineStr">
        <is>
          <t>ENKÖPING</t>
        </is>
      </c>
      <c r="G174" t="n">
        <v>0.9</v>
      </c>
      <c r="H174" t="n">
        <v>0</v>
      </c>
      <c r="I174" t="n">
        <v>0</v>
      </c>
      <c r="J174" t="n">
        <v>0</v>
      </c>
      <c r="K174" t="n">
        <v>0</v>
      </c>
      <c r="L174" t="n">
        <v>0</v>
      </c>
      <c r="M174" t="n">
        <v>0</v>
      </c>
      <c r="N174" t="n">
        <v>0</v>
      </c>
      <c r="O174" t="n">
        <v>0</v>
      </c>
      <c r="P174" t="n">
        <v>0</v>
      </c>
      <c r="Q174" t="n">
        <v>0</v>
      </c>
      <c r="R174" s="2" t="inlineStr"/>
    </row>
    <row r="175" ht="15" customHeight="1">
      <c r="A175" t="inlineStr">
        <is>
          <t>A 42459-2024</t>
        </is>
      </c>
      <c r="B175" s="1" t="n">
        <v>45565</v>
      </c>
      <c r="C175" s="1" t="n">
        <v>45925</v>
      </c>
      <c r="D175" t="inlineStr">
        <is>
          <t>UPPSALA LÄN</t>
        </is>
      </c>
      <c r="E175" t="inlineStr">
        <is>
          <t>ENKÖPING</t>
        </is>
      </c>
      <c r="G175" t="n">
        <v>3.6</v>
      </c>
      <c r="H175" t="n">
        <v>0</v>
      </c>
      <c r="I175" t="n">
        <v>0</v>
      </c>
      <c r="J175" t="n">
        <v>0</v>
      </c>
      <c r="K175" t="n">
        <v>0</v>
      </c>
      <c r="L175" t="n">
        <v>0</v>
      </c>
      <c r="M175" t="n">
        <v>0</v>
      </c>
      <c r="N175" t="n">
        <v>0</v>
      </c>
      <c r="O175" t="n">
        <v>0</v>
      </c>
      <c r="P175" t="n">
        <v>0</v>
      </c>
      <c r="Q175" t="n">
        <v>0</v>
      </c>
      <c r="R175" s="2" t="inlineStr"/>
    </row>
    <row r="176" ht="15" customHeight="1">
      <c r="A176" t="inlineStr">
        <is>
          <t>A 41618-2025</t>
        </is>
      </c>
      <c r="B176" s="1" t="n">
        <v>45901.70085648148</v>
      </c>
      <c r="C176" s="1" t="n">
        <v>45925</v>
      </c>
      <c r="D176" t="inlineStr">
        <is>
          <t>UPPSALA LÄN</t>
        </is>
      </c>
      <c r="E176" t="inlineStr">
        <is>
          <t>ENKÖPING</t>
        </is>
      </c>
      <c r="F176" t="inlineStr">
        <is>
          <t>Allmännings- och besparingsskogar</t>
        </is>
      </c>
      <c r="G176" t="n">
        <v>5.3</v>
      </c>
      <c r="H176" t="n">
        <v>0</v>
      </c>
      <c r="I176" t="n">
        <v>0</v>
      </c>
      <c r="J176" t="n">
        <v>0</v>
      </c>
      <c r="K176" t="n">
        <v>0</v>
      </c>
      <c r="L176" t="n">
        <v>0</v>
      </c>
      <c r="M176" t="n">
        <v>0</v>
      </c>
      <c r="N176" t="n">
        <v>0</v>
      </c>
      <c r="O176" t="n">
        <v>0</v>
      </c>
      <c r="P176" t="n">
        <v>0</v>
      </c>
      <c r="Q176" t="n">
        <v>0</v>
      </c>
      <c r="R176" s="2" t="inlineStr"/>
    </row>
    <row r="177" ht="15" customHeight="1">
      <c r="A177" t="inlineStr">
        <is>
          <t>A 48864-2022</t>
        </is>
      </c>
      <c r="B177" s="1" t="n">
        <v>44859</v>
      </c>
      <c r="C177" s="1" t="n">
        <v>45925</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31622-2022</t>
        </is>
      </c>
      <c r="B178" s="1" t="n">
        <v>44775</v>
      </c>
      <c r="C178" s="1" t="n">
        <v>45925</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30098-2024</t>
        </is>
      </c>
      <c r="B179" s="1" t="n">
        <v>45489.41609953704</v>
      </c>
      <c r="C179" s="1" t="n">
        <v>45925</v>
      </c>
      <c r="D179" t="inlineStr">
        <is>
          <t>UPPSALA LÄN</t>
        </is>
      </c>
      <c r="E179" t="inlineStr">
        <is>
          <t>ENKÖPING</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41616-2025</t>
        </is>
      </c>
      <c r="B180" s="1" t="n">
        <v>45901.69684027778</v>
      </c>
      <c r="C180" s="1" t="n">
        <v>45925</v>
      </c>
      <c r="D180" t="inlineStr">
        <is>
          <t>UPPSALA LÄN</t>
        </is>
      </c>
      <c r="E180" t="inlineStr">
        <is>
          <t>ENKÖPING</t>
        </is>
      </c>
      <c r="F180" t="inlineStr">
        <is>
          <t>Allmännings- och besparingsskogar</t>
        </is>
      </c>
      <c r="G180" t="n">
        <v>17.3</v>
      </c>
      <c r="H180" t="n">
        <v>0</v>
      </c>
      <c r="I180" t="n">
        <v>0</v>
      </c>
      <c r="J180" t="n">
        <v>0</v>
      </c>
      <c r="K180" t="n">
        <v>0</v>
      </c>
      <c r="L180" t="n">
        <v>0</v>
      </c>
      <c r="M180" t="n">
        <v>0</v>
      </c>
      <c r="N180" t="n">
        <v>0</v>
      </c>
      <c r="O180" t="n">
        <v>0</v>
      </c>
      <c r="P180" t="n">
        <v>0</v>
      </c>
      <c r="Q180" t="n">
        <v>0</v>
      </c>
      <c r="R180" s="2" t="inlineStr"/>
    </row>
    <row r="181" ht="15" customHeight="1">
      <c r="A181" t="inlineStr">
        <is>
          <t>A 56837-2024</t>
        </is>
      </c>
      <c r="B181" s="1" t="n">
        <v>45628</v>
      </c>
      <c r="C181" s="1" t="n">
        <v>45925</v>
      </c>
      <c r="D181" t="inlineStr">
        <is>
          <t>UPPSALA LÄN</t>
        </is>
      </c>
      <c r="E181" t="inlineStr">
        <is>
          <t>ENKÖPING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21501-2025</t>
        </is>
      </c>
      <c r="B182" s="1" t="n">
        <v>45782</v>
      </c>
      <c r="C182" s="1" t="n">
        <v>45925</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1651-2024</t>
        </is>
      </c>
      <c r="B183" s="1" t="n">
        <v>45306.73770833333</v>
      </c>
      <c r="C183" s="1" t="n">
        <v>45925</v>
      </c>
      <c r="D183" t="inlineStr">
        <is>
          <t>UPPSALA LÄN</t>
        </is>
      </c>
      <c r="E183" t="inlineStr">
        <is>
          <t>ENKÖPING</t>
        </is>
      </c>
      <c r="G183" t="n">
        <v>10.2</v>
      </c>
      <c r="H183" t="n">
        <v>0</v>
      </c>
      <c r="I183" t="n">
        <v>0</v>
      </c>
      <c r="J183" t="n">
        <v>0</v>
      </c>
      <c r="K183" t="n">
        <v>0</v>
      </c>
      <c r="L183" t="n">
        <v>0</v>
      </c>
      <c r="M183" t="n">
        <v>0</v>
      </c>
      <c r="N183" t="n">
        <v>0</v>
      </c>
      <c r="O183" t="n">
        <v>0</v>
      </c>
      <c r="P183" t="n">
        <v>0</v>
      </c>
      <c r="Q183" t="n">
        <v>0</v>
      </c>
      <c r="R183" s="2" t="inlineStr"/>
    </row>
    <row r="184" ht="15" customHeight="1">
      <c r="A184" t="inlineStr">
        <is>
          <t>A 60289-2022</t>
        </is>
      </c>
      <c r="B184" s="1" t="n">
        <v>44910.53026620371</v>
      </c>
      <c r="C184" s="1" t="n">
        <v>45925</v>
      </c>
      <c r="D184" t="inlineStr">
        <is>
          <t>UPPSALA LÄN</t>
        </is>
      </c>
      <c r="E184" t="inlineStr">
        <is>
          <t>ENKÖPING</t>
        </is>
      </c>
      <c r="G184" t="n">
        <v>3.2</v>
      </c>
      <c r="H184" t="n">
        <v>0</v>
      </c>
      <c r="I184" t="n">
        <v>0</v>
      </c>
      <c r="J184" t="n">
        <v>0</v>
      </c>
      <c r="K184" t="n">
        <v>0</v>
      </c>
      <c r="L184" t="n">
        <v>0</v>
      </c>
      <c r="M184" t="n">
        <v>0</v>
      </c>
      <c r="N184" t="n">
        <v>0</v>
      </c>
      <c r="O184" t="n">
        <v>0</v>
      </c>
      <c r="P184" t="n">
        <v>0</v>
      </c>
      <c r="Q184" t="n">
        <v>0</v>
      </c>
      <c r="R184" s="2" t="inlineStr"/>
    </row>
    <row r="185" ht="15" customHeight="1">
      <c r="A185" t="inlineStr">
        <is>
          <t>A 66517-2020</t>
        </is>
      </c>
      <c r="B185" s="1" t="n">
        <v>44178</v>
      </c>
      <c r="C185" s="1" t="n">
        <v>45925</v>
      </c>
      <c r="D185" t="inlineStr">
        <is>
          <t>UPPSALA LÄN</t>
        </is>
      </c>
      <c r="E185" t="inlineStr">
        <is>
          <t>ENKÖPING</t>
        </is>
      </c>
      <c r="G185" t="n">
        <v>4</v>
      </c>
      <c r="H185" t="n">
        <v>0</v>
      </c>
      <c r="I185" t="n">
        <v>0</v>
      </c>
      <c r="J185" t="n">
        <v>0</v>
      </c>
      <c r="K185" t="n">
        <v>0</v>
      </c>
      <c r="L185" t="n">
        <v>0</v>
      </c>
      <c r="M185" t="n">
        <v>0</v>
      </c>
      <c r="N185" t="n">
        <v>0</v>
      </c>
      <c r="O185" t="n">
        <v>0</v>
      </c>
      <c r="P185" t="n">
        <v>0</v>
      </c>
      <c r="Q185" t="n">
        <v>0</v>
      </c>
      <c r="R185" s="2" t="inlineStr"/>
    </row>
    <row r="186" ht="15" customHeight="1">
      <c r="A186" t="inlineStr">
        <is>
          <t>A 55876-2024</t>
        </is>
      </c>
      <c r="B186" s="1" t="n">
        <v>45623.5546412037</v>
      </c>
      <c r="C186" s="1" t="n">
        <v>45925</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25334-2023</t>
        </is>
      </c>
      <c r="B187" s="1" t="n">
        <v>45083</v>
      </c>
      <c r="C187" s="1" t="n">
        <v>45925</v>
      </c>
      <c r="D187" t="inlineStr">
        <is>
          <t>UPPSALA LÄN</t>
        </is>
      </c>
      <c r="E187" t="inlineStr">
        <is>
          <t>ENKÖPING</t>
        </is>
      </c>
      <c r="G187" t="n">
        <v>0.2</v>
      </c>
      <c r="H187" t="n">
        <v>0</v>
      </c>
      <c r="I187" t="n">
        <v>0</v>
      </c>
      <c r="J187" t="n">
        <v>0</v>
      </c>
      <c r="K187" t="n">
        <v>0</v>
      </c>
      <c r="L187" t="n">
        <v>0</v>
      </c>
      <c r="M187" t="n">
        <v>0</v>
      </c>
      <c r="N187" t="n">
        <v>0</v>
      </c>
      <c r="O187" t="n">
        <v>0</v>
      </c>
      <c r="P187" t="n">
        <v>0</v>
      </c>
      <c r="Q187" t="n">
        <v>0</v>
      </c>
      <c r="R187" s="2" t="inlineStr"/>
    </row>
    <row r="188" ht="15" customHeight="1">
      <c r="A188" t="inlineStr">
        <is>
          <t>A 42029-2025</t>
        </is>
      </c>
      <c r="B188" s="1" t="n">
        <v>45903</v>
      </c>
      <c r="C188" s="1" t="n">
        <v>45925</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6356-2022</t>
        </is>
      </c>
      <c r="B189" s="1" t="n">
        <v>44600</v>
      </c>
      <c r="C189" s="1" t="n">
        <v>45925</v>
      </c>
      <c r="D189" t="inlineStr">
        <is>
          <t>UPPSALA LÄN</t>
        </is>
      </c>
      <c r="E189" t="inlineStr">
        <is>
          <t>ENKÖPING</t>
        </is>
      </c>
      <c r="G189" t="n">
        <v>1.2</v>
      </c>
      <c r="H189" t="n">
        <v>0</v>
      </c>
      <c r="I189" t="n">
        <v>0</v>
      </c>
      <c r="J189" t="n">
        <v>0</v>
      </c>
      <c r="K189" t="n">
        <v>0</v>
      </c>
      <c r="L189" t="n">
        <v>0</v>
      </c>
      <c r="M189" t="n">
        <v>0</v>
      </c>
      <c r="N189" t="n">
        <v>0</v>
      </c>
      <c r="O189" t="n">
        <v>0</v>
      </c>
      <c r="P189" t="n">
        <v>0</v>
      </c>
      <c r="Q189" t="n">
        <v>0</v>
      </c>
      <c r="R189" s="2" t="inlineStr"/>
    </row>
    <row r="190" ht="15" customHeight="1">
      <c r="A190" t="inlineStr">
        <is>
          <t>A 34987-2025</t>
        </is>
      </c>
      <c r="B190" s="1" t="n">
        <v>45849</v>
      </c>
      <c r="C190" s="1" t="n">
        <v>45925</v>
      </c>
      <c r="D190" t="inlineStr">
        <is>
          <t>UPPSALA LÄN</t>
        </is>
      </c>
      <c r="E190" t="inlineStr">
        <is>
          <t>ENKÖPING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57147-2021</t>
        </is>
      </c>
      <c r="B191" s="1" t="n">
        <v>44482</v>
      </c>
      <c r="C191" s="1" t="n">
        <v>45925</v>
      </c>
      <c r="D191" t="inlineStr">
        <is>
          <t>UPPSALA LÄN</t>
        </is>
      </c>
      <c r="E191" t="inlineStr">
        <is>
          <t>ENKÖPING</t>
        </is>
      </c>
      <c r="G191" t="n">
        <v>5.7</v>
      </c>
      <c r="H191" t="n">
        <v>0</v>
      </c>
      <c r="I191" t="n">
        <v>0</v>
      </c>
      <c r="J191" t="n">
        <v>0</v>
      </c>
      <c r="K191" t="n">
        <v>0</v>
      </c>
      <c r="L191" t="n">
        <v>0</v>
      </c>
      <c r="M191" t="n">
        <v>0</v>
      </c>
      <c r="N191" t="n">
        <v>0</v>
      </c>
      <c r="O191" t="n">
        <v>0</v>
      </c>
      <c r="P191" t="n">
        <v>0</v>
      </c>
      <c r="Q191" t="n">
        <v>0</v>
      </c>
      <c r="R191" s="2" t="inlineStr"/>
    </row>
    <row r="192" ht="15" customHeight="1">
      <c r="A192" t="inlineStr">
        <is>
          <t>A 31242-2024</t>
        </is>
      </c>
      <c r="B192" s="1" t="n">
        <v>45503</v>
      </c>
      <c r="C192" s="1" t="n">
        <v>45925</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61711-2020</t>
        </is>
      </c>
      <c r="B193" s="1" t="n">
        <v>44158</v>
      </c>
      <c r="C193" s="1" t="n">
        <v>45925</v>
      </c>
      <c r="D193" t="inlineStr">
        <is>
          <t>UPPSALA LÄN</t>
        </is>
      </c>
      <c r="E193" t="inlineStr">
        <is>
          <t>ENKÖPING</t>
        </is>
      </c>
      <c r="G193" t="n">
        <v>1.1</v>
      </c>
      <c r="H193" t="n">
        <v>0</v>
      </c>
      <c r="I193" t="n">
        <v>0</v>
      </c>
      <c r="J193" t="n">
        <v>0</v>
      </c>
      <c r="K193" t="n">
        <v>0</v>
      </c>
      <c r="L193" t="n">
        <v>0</v>
      </c>
      <c r="M193" t="n">
        <v>0</v>
      </c>
      <c r="N193" t="n">
        <v>0</v>
      </c>
      <c r="O193" t="n">
        <v>0</v>
      </c>
      <c r="P193" t="n">
        <v>0</v>
      </c>
      <c r="Q193" t="n">
        <v>0</v>
      </c>
      <c r="R193" s="2" t="inlineStr"/>
    </row>
    <row r="194" ht="15" customHeight="1">
      <c r="A194" t="inlineStr">
        <is>
          <t>A 34988-2025</t>
        </is>
      </c>
      <c r="B194" s="1" t="n">
        <v>45849</v>
      </c>
      <c r="C194" s="1" t="n">
        <v>45925</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38941-2025</t>
        </is>
      </c>
      <c r="B195" s="1" t="n">
        <v>45887</v>
      </c>
      <c r="C195" s="1" t="n">
        <v>45925</v>
      </c>
      <c r="D195" t="inlineStr">
        <is>
          <t>UPPSALA LÄN</t>
        </is>
      </c>
      <c r="E195" t="inlineStr">
        <is>
          <t>ENKÖPING</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2162-2023</t>
        </is>
      </c>
      <c r="B196" s="1" t="n">
        <v>44941</v>
      </c>
      <c r="C196" s="1" t="n">
        <v>45925</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33349-2024</t>
        </is>
      </c>
      <c r="B197" s="1" t="n">
        <v>45519</v>
      </c>
      <c r="C197" s="1" t="n">
        <v>45925</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47909-2024</t>
        </is>
      </c>
      <c r="B198" s="1" t="n">
        <v>45589.31866898148</v>
      </c>
      <c r="C198" s="1" t="n">
        <v>45925</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56163-2021</t>
        </is>
      </c>
      <c r="B199" s="1" t="n">
        <v>44477</v>
      </c>
      <c r="C199" s="1" t="n">
        <v>45925</v>
      </c>
      <c r="D199" t="inlineStr">
        <is>
          <t>UPPSALA LÄN</t>
        </is>
      </c>
      <c r="E199" t="inlineStr">
        <is>
          <t>ENKÖPING</t>
        </is>
      </c>
      <c r="F199" t="inlineStr">
        <is>
          <t>Allmännings- och besparingsskogar</t>
        </is>
      </c>
      <c r="G199" t="n">
        <v>0.6</v>
      </c>
      <c r="H199" t="n">
        <v>0</v>
      </c>
      <c r="I199" t="n">
        <v>0</v>
      </c>
      <c r="J199" t="n">
        <v>0</v>
      </c>
      <c r="K199" t="n">
        <v>0</v>
      </c>
      <c r="L199" t="n">
        <v>0</v>
      </c>
      <c r="M199" t="n">
        <v>0</v>
      </c>
      <c r="N199" t="n">
        <v>0</v>
      </c>
      <c r="O199" t="n">
        <v>0</v>
      </c>
      <c r="P199" t="n">
        <v>0</v>
      </c>
      <c r="Q199" t="n">
        <v>0</v>
      </c>
      <c r="R199" s="2" t="inlineStr"/>
    </row>
    <row r="200" ht="15" customHeight="1">
      <c r="A200" t="inlineStr">
        <is>
          <t>A 34989-2025</t>
        </is>
      </c>
      <c r="B200" s="1" t="n">
        <v>45849</v>
      </c>
      <c r="C200" s="1" t="n">
        <v>45925</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41764-2025</t>
        </is>
      </c>
      <c r="B201" s="1" t="n">
        <v>45902</v>
      </c>
      <c r="C201" s="1" t="n">
        <v>45925</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6157-2021</t>
        </is>
      </c>
      <c r="B202" s="1" t="n">
        <v>44232</v>
      </c>
      <c r="C202" s="1" t="n">
        <v>45925</v>
      </c>
      <c r="D202" t="inlineStr">
        <is>
          <t>UPPSALA LÄN</t>
        </is>
      </c>
      <c r="E202" t="inlineStr">
        <is>
          <t>ENKÖPING</t>
        </is>
      </c>
      <c r="G202" t="n">
        <v>3.9</v>
      </c>
      <c r="H202" t="n">
        <v>0</v>
      </c>
      <c r="I202" t="n">
        <v>0</v>
      </c>
      <c r="J202" t="n">
        <v>0</v>
      </c>
      <c r="K202" t="n">
        <v>0</v>
      </c>
      <c r="L202" t="n">
        <v>0</v>
      </c>
      <c r="M202" t="n">
        <v>0</v>
      </c>
      <c r="N202" t="n">
        <v>0</v>
      </c>
      <c r="O202" t="n">
        <v>0</v>
      </c>
      <c r="P202" t="n">
        <v>0</v>
      </c>
      <c r="Q202" t="n">
        <v>0</v>
      </c>
      <c r="R202" s="2" t="inlineStr"/>
    </row>
    <row r="203" ht="15" customHeight="1">
      <c r="A203" t="inlineStr">
        <is>
          <t>A 52005-2024</t>
        </is>
      </c>
      <c r="B203" s="1" t="n">
        <v>45607.7627662037</v>
      </c>
      <c r="C203" s="1" t="n">
        <v>45925</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28318-2024</t>
        </is>
      </c>
      <c r="B204" s="1" t="n">
        <v>45477</v>
      </c>
      <c r="C204" s="1" t="n">
        <v>45925</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53587-2024</t>
        </is>
      </c>
      <c r="B205" s="1" t="n">
        <v>45614.66953703704</v>
      </c>
      <c r="C205" s="1" t="n">
        <v>45925</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14402-2023</t>
        </is>
      </c>
      <c r="B206" s="1" t="n">
        <v>45012</v>
      </c>
      <c r="C206" s="1" t="n">
        <v>45925</v>
      </c>
      <c r="D206" t="inlineStr">
        <is>
          <t>UPPSALA LÄN</t>
        </is>
      </c>
      <c r="E206" t="inlineStr">
        <is>
          <t>ENKÖPING</t>
        </is>
      </c>
      <c r="G206" t="n">
        <v>9.5</v>
      </c>
      <c r="H206" t="n">
        <v>0</v>
      </c>
      <c r="I206" t="n">
        <v>0</v>
      </c>
      <c r="J206" t="n">
        <v>0</v>
      </c>
      <c r="K206" t="n">
        <v>0</v>
      </c>
      <c r="L206" t="n">
        <v>0</v>
      </c>
      <c r="M206" t="n">
        <v>0</v>
      </c>
      <c r="N206" t="n">
        <v>0</v>
      </c>
      <c r="O206" t="n">
        <v>0</v>
      </c>
      <c r="P206" t="n">
        <v>0</v>
      </c>
      <c r="Q206" t="n">
        <v>0</v>
      </c>
      <c r="R206" s="2" t="inlineStr"/>
    </row>
    <row r="207" ht="15" customHeight="1">
      <c r="A207" t="inlineStr">
        <is>
          <t>A 39115-2024</t>
        </is>
      </c>
      <c r="B207" s="1" t="n">
        <v>45548</v>
      </c>
      <c r="C207" s="1" t="n">
        <v>45925</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12020-2024</t>
        </is>
      </c>
      <c r="B208" s="1" t="n">
        <v>45377</v>
      </c>
      <c r="C208" s="1" t="n">
        <v>45925</v>
      </c>
      <c r="D208" t="inlineStr">
        <is>
          <t>UPPSALA LÄN</t>
        </is>
      </c>
      <c r="E208" t="inlineStr">
        <is>
          <t>ENKÖPING</t>
        </is>
      </c>
      <c r="G208" t="n">
        <v>2</v>
      </c>
      <c r="H208" t="n">
        <v>0</v>
      </c>
      <c r="I208" t="n">
        <v>0</v>
      </c>
      <c r="J208" t="n">
        <v>0</v>
      </c>
      <c r="K208" t="n">
        <v>0</v>
      </c>
      <c r="L208" t="n">
        <v>0</v>
      </c>
      <c r="M208" t="n">
        <v>0</v>
      </c>
      <c r="N208" t="n">
        <v>0</v>
      </c>
      <c r="O208" t="n">
        <v>0</v>
      </c>
      <c r="P208" t="n">
        <v>0</v>
      </c>
      <c r="Q208" t="n">
        <v>0</v>
      </c>
      <c r="R208" s="2" t="inlineStr"/>
    </row>
    <row r="209" ht="15" customHeight="1">
      <c r="A209" t="inlineStr">
        <is>
          <t>A 18583-2021</t>
        </is>
      </c>
      <c r="B209" s="1" t="n">
        <v>44306</v>
      </c>
      <c r="C209" s="1" t="n">
        <v>45925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53586-2024</t>
        </is>
      </c>
      <c r="B210" s="1" t="n">
        <v>45614</v>
      </c>
      <c r="C210" s="1" t="n">
        <v>45925</v>
      </c>
      <c r="D210" t="inlineStr">
        <is>
          <t>UPPSALA LÄN</t>
        </is>
      </c>
      <c r="E210" t="inlineStr">
        <is>
          <t>ENKÖPING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60125-2024</t>
        </is>
      </c>
      <c r="B211" s="1" t="n">
        <v>45642</v>
      </c>
      <c r="C211" s="1" t="n">
        <v>45925</v>
      </c>
      <c r="D211" t="inlineStr">
        <is>
          <t>UPPSALA LÄN</t>
        </is>
      </c>
      <c r="E211" t="inlineStr">
        <is>
          <t>ENKÖPING</t>
        </is>
      </c>
      <c r="G211" t="n">
        <v>2.1</v>
      </c>
      <c r="H211" t="n">
        <v>0</v>
      </c>
      <c r="I211" t="n">
        <v>0</v>
      </c>
      <c r="J211" t="n">
        <v>0</v>
      </c>
      <c r="K211" t="n">
        <v>0</v>
      </c>
      <c r="L211" t="n">
        <v>0</v>
      </c>
      <c r="M211" t="n">
        <v>0</v>
      </c>
      <c r="N211" t="n">
        <v>0</v>
      </c>
      <c r="O211" t="n">
        <v>0</v>
      </c>
      <c r="P211" t="n">
        <v>0</v>
      </c>
      <c r="Q211" t="n">
        <v>0</v>
      </c>
      <c r="R211" s="2" t="inlineStr"/>
    </row>
    <row r="212" ht="15" customHeight="1">
      <c r="A212" t="inlineStr">
        <is>
          <t>A 51034-2024</t>
        </is>
      </c>
      <c r="B212" s="1" t="n">
        <v>45603.4262037037</v>
      </c>
      <c r="C212" s="1" t="n">
        <v>45925</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51036-2024</t>
        </is>
      </c>
      <c r="B213" s="1" t="n">
        <v>45603.42839120371</v>
      </c>
      <c r="C213" s="1" t="n">
        <v>45925</v>
      </c>
      <c r="D213" t="inlineStr">
        <is>
          <t>UPPSALA LÄN</t>
        </is>
      </c>
      <c r="E213" t="inlineStr">
        <is>
          <t>ENKÖPING</t>
        </is>
      </c>
      <c r="G213" t="n">
        <v>2.6</v>
      </c>
      <c r="H213" t="n">
        <v>0</v>
      </c>
      <c r="I213" t="n">
        <v>0</v>
      </c>
      <c r="J213" t="n">
        <v>0</v>
      </c>
      <c r="K213" t="n">
        <v>0</v>
      </c>
      <c r="L213" t="n">
        <v>0</v>
      </c>
      <c r="M213" t="n">
        <v>0</v>
      </c>
      <c r="N213" t="n">
        <v>0</v>
      </c>
      <c r="O213" t="n">
        <v>0</v>
      </c>
      <c r="P213" t="n">
        <v>0</v>
      </c>
      <c r="Q213" t="n">
        <v>0</v>
      </c>
      <c r="R213" s="2" t="inlineStr"/>
    </row>
    <row r="214" ht="15" customHeight="1">
      <c r="A214" t="inlineStr">
        <is>
          <t>A 43492-2023</t>
        </is>
      </c>
      <c r="B214" s="1" t="n">
        <v>45181</v>
      </c>
      <c r="C214" s="1" t="n">
        <v>45925</v>
      </c>
      <c r="D214" t="inlineStr">
        <is>
          <t>UPPSALA LÄN</t>
        </is>
      </c>
      <c r="E214" t="inlineStr">
        <is>
          <t>ENKÖPING</t>
        </is>
      </c>
      <c r="G214" t="n">
        <v>1.6</v>
      </c>
      <c r="H214" t="n">
        <v>0</v>
      </c>
      <c r="I214" t="n">
        <v>0</v>
      </c>
      <c r="J214" t="n">
        <v>0</v>
      </c>
      <c r="K214" t="n">
        <v>0</v>
      </c>
      <c r="L214" t="n">
        <v>0</v>
      </c>
      <c r="M214" t="n">
        <v>0</v>
      </c>
      <c r="N214" t="n">
        <v>0</v>
      </c>
      <c r="O214" t="n">
        <v>0</v>
      </c>
      <c r="P214" t="n">
        <v>0</v>
      </c>
      <c r="Q214" t="n">
        <v>0</v>
      </c>
      <c r="R214" s="2" t="inlineStr"/>
    </row>
    <row r="215" ht="15" customHeight="1">
      <c r="A215" t="inlineStr">
        <is>
          <t>A 51092-2020</t>
        </is>
      </c>
      <c r="B215" s="1" t="n">
        <v>44112</v>
      </c>
      <c r="C215" s="1" t="n">
        <v>45925</v>
      </c>
      <c r="D215" t="inlineStr">
        <is>
          <t>UPPSALA LÄN</t>
        </is>
      </c>
      <c r="E215" t="inlineStr">
        <is>
          <t>ENKÖPING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36350-2025</t>
        </is>
      </c>
      <c r="B216" s="1" t="n">
        <v>45868</v>
      </c>
      <c r="C216" s="1" t="n">
        <v>45925</v>
      </c>
      <c r="D216" t="inlineStr">
        <is>
          <t>UPPSALA LÄN</t>
        </is>
      </c>
      <c r="E216" t="inlineStr">
        <is>
          <t>ENKÖPING</t>
        </is>
      </c>
      <c r="G216" t="n">
        <v>1.9</v>
      </c>
      <c r="H216" t="n">
        <v>0</v>
      </c>
      <c r="I216" t="n">
        <v>0</v>
      </c>
      <c r="J216" t="n">
        <v>0</v>
      </c>
      <c r="K216" t="n">
        <v>0</v>
      </c>
      <c r="L216" t="n">
        <v>0</v>
      </c>
      <c r="M216" t="n">
        <v>0</v>
      </c>
      <c r="N216" t="n">
        <v>0</v>
      </c>
      <c r="O216" t="n">
        <v>0</v>
      </c>
      <c r="P216" t="n">
        <v>0</v>
      </c>
      <c r="Q216" t="n">
        <v>0</v>
      </c>
      <c r="R216" s="2" t="inlineStr"/>
    </row>
    <row r="217" ht="15" customHeight="1">
      <c r="A217" t="inlineStr">
        <is>
          <t>A 69344-2021</t>
        </is>
      </c>
      <c r="B217" s="1" t="n">
        <v>44531</v>
      </c>
      <c r="C217" s="1" t="n">
        <v>45925</v>
      </c>
      <c r="D217" t="inlineStr">
        <is>
          <t>UPPSALA LÄN</t>
        </is>
      </c>
      <c r="E217" t="inlineStr">
        <is>
          <t>ENKÖPING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1536-2024</t>
        </is>
      </c>
      <c r="B218" s="1" t="n">
        <v>45306</v>
      </c>
      <c r="C218" s="1" t="n">
        <v>45925</v>
      </c>
      <c r="D218" t="inlineStr">
        <is>
          <t>UPPSALA LÄN</t>
        </is>
      </c>
      <c r="E218" t="inlineStr">
        <is>
          <t>ENKÖPING</t>
        </is>
      </c>
      <c r="F218" t="inlineStr">
        <is>
          <t>Kyrkan</t>
        </is>
      </c>
      <c r="G218" t="n">
        <v>5.6</v>
      </c>
      <c r="H218" t="n">
        <v>0</v>
      </c>
      <c r="I218" t="n">
        <v>0</v>
      </c>
      <c r="J218" t="n">
        <v>0</v>
      </c>
      <c r="K218" t="n">
        <v>0</v>
      </c>
      <c r="L218" t="n">
        <v>0</v>
      </c>
      <c r="M218" t="n">
        <v>0</v>
      </c>
      <c r="N218" t="n">
        <v>0</v>
      </c>
      <c r="O218" t="n">
        <v>0</v>
      </c>
      <c r="P218" t="n">
        <v>0</v>
      </c>
      <c r="Q218" t="n">
        <v>0</v>
      </c>
      <c r="R218" s="2" t="inlineStr"/>
    </row>
    <row r="219" ht="15" customHeight="1">
      <c r="A219" t="inlineStr">
        <is>
          <t>A 1695-2025</t>
        </is>
      </c>
      <c r="B219" s="1" t="n">
        <v>45670</v>
      </c>
      <c r="C219" s="1" t="n">
        <v>45925</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59027-2024</t>
        </is>
      </c>
      <c r="B220" s="1" t="n">
        <v>45636.68755787037</v>
      </c>
      <c r="C220" s="1" t="n">
        <v>45925</v>
      </c>
      <c r="D220" t="inlineStr">
        <is>
          <t>UPPSALA LÄN</t>
        </is>
      </c>
      <c r="E220" t="inlineStr">
        <is>
          <t>ENKÖPING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43103-2025</t>
        </is>
      </c>
      <c r="B221" s="1" t="n">
        <v>45909</v>
      </c>
      <c r="C221" s="1" t="n">
        <v>45925</v>
      </c>
      <c r="D221" t="inlineStr">
        <is>
          <t>UPPSALA LÄN</t>
        </is>
      </c>
      <c r="E221" t="inlineStr">
        <is>
          <t>ENKÖPING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42564-2024</t>
        </is>
      </c>
      <c r="B222" s="1" t="n">
        <v>45565.63358796296</v>
      </c>
      <c r="C222" s="1" t="n">
        <v>45925</v>
      </c>
      <c r="D222" t="inlineStr">
        <is>
          <t>UPPSALA LÄN</t>
        </is>
      </c>
      <c r="E222" t="inlineStr">
        <is>
          <t>ENKÖPING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34124-2021</t>
        </is>
      </c>
      <c r="B223" s="1" t="n">
        <v>44379</v>
      </c>
      <c r="C223" s="1" t="n">
        <v>45925</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43697-2024</t>
        </is>
      </c>
      <c r="B224" s="1" t="n">
        <v>45569</v>
      </c>
      <c r="C224" s="1" t="n">
        <v>45925</v>
      </c>
      <c r="D224" t="inlineStr">
        <is>
          <t>UPPSALA LÄN</t>
        </is>
      </c>
      <c r="E224" t="inlineStr">
        <is>
          <t>ENKÖPING</t>
        </is>
      </c>
      <c r="G224" t="n">
        <v>2.1</v>
      </c>
      <c r="H224" t="n">
        <v>0</v>
      </c>
      <c r="I224" t="n">
        <v>0</v>
      </c>
      <c r="J224" t="n">
        <v>0</v>
      </c>
      <c r="K224" t="n">
        <v>0</v>
      </c>
      <c r="L224" t="n">
        <v>0</v>
      </c>
      <c r="M224" t="n">
        <v>0</v>
      </c>
      <c r="N224" t="n">
        <v>0</v>
      </c>
      <c r="O224" t="n">
        <v>0</v>
      </c>
      <c r="P224" t="n">
        <v>0</v>
      </c>
      <c r="Q224" t="n">
        <v>0</v>
      </c>
      <c r="R224" s="2" t="inlineStr"/>
    </row>
    <row r="225" ht="15" customHeight="1">
      <c r="A225" t="inlineStr">
        <is>
          <t>A 2974-2025</t>
        </is>
      </c>
      <c r="B225" s="1" t="n">
        <v>45678.47168981482</v>
      </c>
      <c r="C225" s="1" t="n">
        <v>45925</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16916-2023</t>
        </is>
      </c>
      <c r="B226" s="1" t="n">
        <v>45033.58347222222</v>
      </c>
      <c r="C226" s="1" t="n">
        <v>45925</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3235-2025</t>
        </is>
      </c>
      <c r="B227" s="1" t="n">
        <v>45679</v>
      </c>
      <c r="C227" s="1" t="n">
        <v>45925</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27983-2024</t>
        </is>
      </c>
      <c r="B228" s="1" t="n">
        <v>45476</v>
      </c>
      <c r="C228" s="1" t="n">
        <v>45925</v>
      </c>
      <c r="D228" t="inlineStr">
        <is>
          <t>UPPSALA LÄN</t>
        </is>
      </c>
      <c r="E228" t="inlineStr">
        <is>
          <t>ENKÖPING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25989-2025</t>
        </is>
      </c>
      <c r="B229" s="1" t="n">
        <v>45804.65050925926</v>
      </c>
      <c r="C229" s="1" t="n">
        <v>45925</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16920-2023</t>
        </is>
      </c>
      <c r="B230" s="1" t="n">
        <v>45033.59030092593</v>
      </c>
      <c r="C230" s="1" t="n">
        <v>45925</v>
      </c>
      <c r="D230" t="inlineStr">
        <is>
          <t>UPPSALA LÄN</t>
        </is>
      </c>
      <c r="E230" t="inlineStr">
        <is>
          <t>ENKÖPING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51010-2024</t>
        </is>
      </c>
      <c r="B231" s="1" t="n">
        <v>45603.39285879629</v>
      </c>
      <c r="C231" s="1" t="n">
        <v>45925</v>
      </c>
      <c r="D231" t="inlineStr">
        <is>
          <t>UPPSALA LÄN</t>
        </is>
      </c>
      <c r="E231" t="inlineStr">
        <is>
          <t>ENKÖPING</t>
        </is>
      </c>
      <c r="G231" t="n">
        <v>1.7</v>
      </c>
      <c r="H231" t="n">
        <v>0</v>
      </c>
      <c r="I231" t="n">
        <v>0</v>
      </c>
      <c r="J231" t="n">
        <v>0</v>
      </c>
      <c r="K231" t="n">
        <v>0</v>
      </c>
      <c r="L231" t="n">
        <v>0</v>
      </c>
      <c r="M231" t="n">
        <v>0</v>
      </c>
      <c r="N231" t="n">
        <v>0</v>
      </c>
      <c r="O231" t="n">
        <v>0</v>
      </c>
      <c r="P231" t="n">
        <v>0</v>
      </c>
      <c r="Q231" t="n">
        <v>0</v>
      </c>
      <c r="R231" s="2" t="inlineStr"/>
    </row>
    <row r="232" ht="15" customHeight="1">
      <c r="A232" t="inlineStr">
        <is>
          <t>A 51042-2024</t>
        </is>
      </c>
      <c r="B232" s="1" t="n">
        <v>45603.4342824074</v>
      </c>
      <c r="C232" s="1" t="n">
        <v>45925</v>
      </c>
      <c r="D232" t="inlineStr">
        <is>
          <t>UPPSALA LÄN</t>
        </is>
      </c>
      <c r="E232" t="inlineStr">
        <is>
          <t>ENKÖPING</t>
        </is>
      </c>
      <c r="G232" t="n">
        <v>4.6</v>
      </c>
      <c r="H232" t="n">
        <v>0</v>
      </c>
      <c r="I232" t="n">
        <v>0</v>
      </c>
      <c r="J232" t="n">
        <v>0</v>
      </c>
      <c r="K232" t="n">
        <v>0</v>
      </c>
      <c r="L232" t="n">
        <v>0</v>
      </c>
      <c r="M232" t="n">
        <v>0</v>
      </c>
      <c r="N232" t="n">
        <v>0</v>
      </c>
      <c r="O232" t="n">
        <v>0</v>
      </c>
      <c r="P232" t="n">
        <v>0</v>
      </c>
      <c r="Q232" t="n">
        <v>0</v>
      </c>
      <c r="R232" s="2" t="inlineStr"/>
    </row>
    <row r="233" ht="15" customHeight="1">
      <c r="A233" t="inlineStr">
        <is>
          <t>A 15711-2025</t>
        </is>
      </c>
      <c r="B233" s="1" t="n">
        <v>45748</v>
      </c>
      <c r="C233" s="1" t="n">
        <v>45925</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36599-2025</t>
        </is>
      </c>
      <c r="B234" s="1" t="n">
        <v>45870.51723379629</v>
      </c>
      <c r="C234" s="1" t="n">
        <v>45925</v>
      </c>
      <c r="D234" t="inlineStr">
        <is>
          <t>UPPSALA LÄN</t>
        </is>
      </c>
      <c r="E234" t="inlineStr">
        <is>
          <t>ENKÖPING</t>
        </is>
      </c>
      <c r="G234" t="n">
        <v>5.9</v>
      </c>
      <c r="H234" t="n">
        <v>0</v>
      </c>
      <c r="I234" t="n">
        <v>0</v>
      </c>
      <c r="J234" t="n">
        <v>0</v>
      </c>
      <c r="K234" t="n">
        <v>0</v>
      </c>
      <c r="L234" t="n">
        <v>0</v>
      </c>
      <c r="M234" t="n">
        <v>0</v>
      </c>
      <c r="N234" t="n">
        <v>0</v>
      </c>
      <c r="O234" t="n">
        <v>0</v>
      </c>
      <c r="P234" t="n">
        <v>0</v>
      </c>
      <c r="Q234" t="n">
        <v>0</v>
      </c>
      <c r="R234" s="2" t="inlineStr"/>
    </row>
    <row r="235" ht="15" customHeight="1">
      <c r="A235" t="inlineStr">
        <is>
          <t>A 52388-2024</t>
        </is>
      </c>
      <c r="B235" s="1" t="n">
        <v>45609.42939814815</v>
      </c>
      <c r="C235" s="1" t="n">
        <v>45925</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12434-2021</t>
        </is>
      </c>
      <c r="B236" s="1" t="n">
        <v>44267</v>
      </c>
      <c r="C236" s="1" t="n">
        <v>45925</v>
      </c>
      <c r="D236" t="inlineStr">
        <is>
          <t>UPPSALA LÄN</t>
        </is>
      </c>
      <c r="E236" t="inlineStr">
        <is>
          <t>ENKÖPING</t>
        </is>
      </c>
      <c r="G236" t="n">
        <v>5.3</v>
      </c>
      <c r="H236" t="n">
        <v>0</v>
      </c>
      <c r="I236" t="n">
        <v>0</v>
      </c>
      <c r="J236" t="n">
        <v>0</v>
      </c>
      <c r="K236" t="n">
        <v>0</v>
      </c>
      <c r="L236" t="n">
        <v>0</v>
      </c>
      <c r="M236" t="n">
        <v>0</v>
      </c>
      <c r="N236" t="n">
        <v>0</v>
      </c>
      <c r="O236" t="n">
        <v>0</v>
      </c>
      <c r="P236" t="n">
        <v>0</v>
      </c>
      <c r="Q236" t="n">
        <v>0</v>
      </c>
      <c r="R236" s="2" t="inlineStr"/>
    </row>
    <row r="237" ht="15" customHeight="1">
      <c r="A237" t="inlineStr">
        <is>
          <t>A 36492-2025</t>
        </is>
      </c>
      <c r="B237" s="1" t="n">
        <v>45869</v>
      </c>
      <c r="C237" s="1" t="n">
        <v>45925</v>
      </c>
      <c r="D237" t="inlineStr">
        <is>
          <t>UPPSALA LÄN</t>
        </is>
      </c>
      <c r="E237" t="inlineStr">
        <is>
          <t>ENKÖPING</t>
        </is>
      </c>
      <c r="G237" t="n">
        <v>6.3</v>
      </c>
      <c r="H237" t="n">
        <v>0</v>
      </c>
      <c r="I237" t="n">
        <v>0</v>
      </c>
      <c r="J237" t="n">
        <v>0</v>
      </c>
      <c r="K237" t="n">
        <v>0</v>
      </c>
      <c r="L237" t="n">
        <v>0</v>
      </c>
      <c r="M237" t="n">
        <v>0</v>
      </c>
      <c r="N237" t="n">
        <v>0</v>
      </c>
      <c r="O237" t="n">
        <v>0</v>
      </c>
      <c r="P237" t="n">
        <v>0</v>
      </c>
      <c r="Q237" t="n">
        <v>0</v>
      </c>
      <c r="R237" s="2" t="inlineStr"/>
    </row>
    <row r="238" ht="15" customHeight="1">
      <c r="A238" t="inlineStr">
        <is>
          <t>A 4562-2025</t>
        </is>
      </c>
      <c r="B238" s="1" t="n">
        <v>45687</v>
      </c>
      <c r="C238" s="1" t="n">
        <v>45925</v>
      </c>
      <c r="D238" t="inlineStr">
        <is>
          <t>UPPSALA LÄN</t>
        </is>
      </c>
      <c r="E238" t="inlineStr">
        <is>
          <t>ENKÖPING</t>
        </is>
      </c>
      <c r="G238" t="n">
        <v>2.5</v>
      </c>
      <c r="H238" t="n">
        <v>0</v>
      </c>
      <c r="I238" t="n">
        <v>0</v>
      </c>
      <c r="J238" t="n">
        <v>0</v>
      </c>
      <c r="K238" t="n">
        <v>0</v>
      </c>
      <c r="L238" t="n">
        <v>0</v>
      </c>
      <c r="M238" t="n">
        <v>0</v>
      </c>
      <c r="N238" t="n">
        <v>0</v>
      </c>
      <c r="O238" t="n">
        <v>0</v>
      </c>
      <c r="P238" t="n">
        <v>0</v>
      </c>
      <c r="Q238" t="n">
        <v>0</v>
      </c>
      <c r="R238" s="2" t="inlineStr"/>
    </row>
    <row r="239" ht="15" customHeight="1">
      <c r="A239" t="inlineStr">
        <is>
          <t>A 6959-2025</t>
        </is>
      </c>
      <c r="B239" s="1" t="n">
        <v>45701.49315972222</v>
      </c>
      <c r="C239" s="1" t="n">
        <v>45925</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22912-2024</t>
        </is>
      </c>
      <c r="B240" s="1" t="n">
        <v>45448.73118055556</v>
      </c>
      <c r="C240" s="1" t="n">
        <v>45925</v>
      </c>
      <c r="D240" t="inlineStr">
        <is>
          <t>UPPSALA LÄN</t>
        </is>
      </c>
      <c r="E240" t="inlineStr">
        <is>
          <t>ENKÖPING</t>
        </is>
      </c>
      <c r="G240" t="n">
        <v>2.8</v>
      </c>
      <c r="H240" t="n">
        <v>0</v>
      </c>
      <c r="I240" t="n">
        <v>0</v>
      </c>
      <c r="J240" t="n">
        <v>0</v>
      </c>
      <c r="K240" t="n">
        <v>0</v>
      </c>
      <c r="L240" t="n">
        <v>0</v>
      </c>
      <c r="M240" t="n">
        <v>0</v>
      </c>
      <c r="N240" t="n">
        <v>0</v>
      </c>
      <c r="O240" t="n">
        <v>0</v>
      </c>
      <c r="P240" t="n">
        <v>0</v>
      </c>
      <c r="Q240" t="n">
        <v>0</v>
      </c>
      <c r="R240" s="2" t="inlineStr"/>
    </row>
    <row r="241" ht="15" customHeight="1">
      <c r="A241" t="inlineStr">
        <is>
          <t>A 67765-2020</t>
        </is>
      </c>
      <c r="B241" s="1" t="n">
        <v>44182</v>
      </c>
      <c r="C241" s="1" t="n">
        <v>45925</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42756-2025</t>
        </is>
      </c>
      <c r="B242" s="1" t="n">
        <v>45908</v>
      </c>
      <c r="C242" s="1" t="n">
        <v>45925</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45925</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1992-2022</t>
        </is>
      </c>
      <c r="B244" s="1" t="n">
        <v>44575.56153935185</v>
      </c>
      <c r="C244" s="1" t="n">
        <v>45925</v>
      </c>
      <c r="D244" t="inlineStr">
        <is>
          <t>UPPSALA LÄN</t>
        </is>
      </c>
      <c r="E244" t="inlineStr">
        <is>
          <t>ENKÖPING</t>
        </is>
      </c>
      <c r="G244" t="n">
        <v>2.8</v>
      </c>
      <c r="H244" t="n">
        <v>0</v>
      </c>
      <c r="I244" t="n">
        <v>0</v>
      </c>
      <c r="J244" t="n">
        <v>0</v>
      </c>
      <c r="K244" t="n">
        <v>0</v>
      </c>
      <c r="L244" t="n">
        <v>0</v>
      </c>
      <c r="M244" t="n">
        <v>0</v>
      </c>
      <c r="N244" t="n">
        <v>0</v>
      </c>
      <c r="O244" t="n">
        <v>0</v>
      </c>
      <c r="P244" t="n">
        <v>0</v>
      </c>
      <c r="Q244" t="n">
        <v>0</v>
      </c>
      <c r="R244" s="2" t="inlineStr"/>
    </row>
    <row r="245" ht="15" customHeight="1">
      <c r="A245" t="inlineStr">
        <is>
          <t>A 6626-2023</t>
        </is>
      </c>
      <c r="B245" s="1" t="n">
        <v>44966.55946759259</v>
      </c>
      <c r="C245" s="1" t="n">
        <v>45925</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9667-2024</t>
        </is>
      </c>
      <c r="B246" s="1" t="n">
        <v>45362.45130787037</v>
      </c>
      <c r="C246" s="1" t="n">
        <v>45925</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17165-2025</t>
        </is>
      </c>
      <c r="B247" s="1" t="n">
        <v>45756</v>
      </c>
      <c r="C247" s="1" t="n">
        <v>45925</v>
      </c>
      <c r="D247" t="inlineStr">
        <is>
          <t>UPPSALA LÄN</t>
        </is>
      </c>
      <c r="E247" t="inlineStr">
        <is>
          <t>ENKÖPING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48843-2023</t>
        </is>
      </c>
      <c r="B248" s="1" t="n">
        <v>45209</v>
      </c>
      <c r="C248" s="1" t="n">
        <v>45925</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57940-2022</t>
        </is>
      </c>
      <c r="B249" s="1" t="n">
        <v>44900</v>
      </c>
      <c r="C249" s="1" t="n">
        <v>45925</v>
      </c>
      <c r="D249" t="inlineStr">
        <is>
          <t>UPPSALA LÄN</t>
        </is>
      </c>
      <c r="E249" t="inlineStr">
        <is>
          <t>ENKÖPING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35079-2024</t>
        </is>
      </c>
      <c r="B250" s="1" t="n">
        <v>45527.66770833333</v>
      </c>
      <c r="C250" s="1" t="n">
        <v>45925</v>
      </c>
      <c r="D250" t="inlineStr">
        <is>
          <t>UPPSALA LÄN</t>
        </is>
      </c>
      <c r="E250" t="inlineStr">
        <is>
          <t>ENKÖPING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53595-2023</t>
        </is>
      </c>
      <c r="B251" s="1" t="n">
        <v>45223</v>
      </c>
      <c r="C251" s="1" t="n">
        <v>45925</v>
      </c>
      <c r="D251" t="inlineStr">
        <is>
          <t>UPPSALA LÄN</t>
        </is>
      </c>
      <c r="E251" t="inlineStr">
        <is>
          <t>ENKÖPING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43506-2023</t>
        </is>
      </c>
      <c r="B252" s="1" t="n">
        <v>45181</v>
      </c>
      <c r="C252" s="1" t="n">
        <v>45925</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14004-2023</t>
        </is>
      </c>
      <c r="B253" s="1" t="n">
        <v>45008</v>
      </c>
      <c r="C253" s="1" t="n">
        <v>45925</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52299-2023</t>
        </is>
      </c>
      <c r="B254" s="1" t="n">
        <v>45224.61636574074</v>
      </c>
      <c r="C254" s="1" t="n">
        <v>45925</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25598-2021</t>
        </is>
      </c>
      <c r="B255" s="1" t="n">
        <v>44343.4558912037</v>
      </c>
      <c r="C255" s="1" t="n">
        <v>45925</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51012-2024</t>
        </is>
      </c>
      <c r="B256" s="1" t="n">
        <v>45603.39686342593</v>
      </c>
      <c r="C256" s="1" t="n">
        <v>45925</v>
      </c>
      <c r="D256" t="inlineStr">
        <is>
          <t>UPPSALA LÄN</t>
        </is>
      </c>
      <c r="E256" t="inlineStr">
        <is>
          <t>ENKÖPING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51037-2024</t>
        </is>
      </c>
      <c r="B257" s="1" t="n">
        <v>45603.43005787037</v>
      </c>
      <c r="C257" s="1" t="n">
        <v>45925</v>
      </c>
      <c r="D257" t="inlineStr">
        <is>
          <t>UPPSALA LÄN</t>
        </is>
      </c>
      <c r="E257" t="inlineStr">
        <is>
          <t>ENKÖPING</t>
        </is>
      </c>
      <c r="G257" t="n">
        <v>5.7</v>
      </c>
      <c r="H257" t="n">
        <v>0</v>
      </c>
      <c r="I257" t="n">
        <v>0</v>
      </c>
      <c r="J257" t="n">
        <v>0</v>
      </c>
      <c r="K257" t="n">
        <v>0</v>
      </c>
      <c r="L257" t="n">
        <v>0</v>
      </c>
      <c r="M257" t="n">
        <v>0</v>
      </c>
      <c r="N257" t="n">
        <v>0</v>
      </c>
      <c r="O257" t="n">
        <v>0</v>
      </c>
      <c r="P257" t="n">
        <v>0</v>
      </c>
      <c r="Q257" t="n">
        <v>0</v>
      </c>
      <c r="R257" s="2" t="inlineStr"/>
    </row>
    <row r="258" ht="15" customHeight="1">
      <c r="A258" t="inlineStr">
        <is>
          <t>A 32081-2024</t>
        </is>
      </c>
      <c r="B258" s="1" t="n">
        <v>45511.34605324074</v>
      </c>
      <c r="C258" s="1" t="n">
        <v>45925</v>
      </c>
      <c r="D258" t="inlineStr">
        <is>
          <t>UPPSALA LÄN</t>
        </is>
      </c>
      <c r="E258" t="inlineStr">
        <is>
          <t>ENKÖPING</t>
        </is>
      </c>
      <c r="G258" t="n">
        <v>5.4</v>
      </c>
      <c r="H258" t="n">
        <v>0</v>
      </c>
      <c r="I258" t="n">
        <v>0</v>
      </c>
      <c r="J258" t="n">
        <v>0</v>
      </c>
      <c r="K258" t="n">
        <v>0</v>
      </c>
      <c r="L258" t="n">
        <v>0</v>
      </c>
      <c r="M258" t="n">
        <v>0</v>
      </c>
      <c r="N258" t="n">
        <v>0</v>
      </c>
      <c r="O258" t="n">
        <v>0</v>
      </c>
      <c r="P258" t="n">
        <v>0</v>
      </c>
      <c r="Q258" t="n">
        <v>0</v>
      </c>
      <c r="R258" s="2" t="inlineStr"/>
    </row>
    <row r="259" ht="15" customHeight="1">
      <c r="A259" t="inlineStr">
        <is>
          <t>A 60533-2021</t>
        </is>
      </c>
      <c r="B259" s="1" t="n">
        <v>44496</v>
      </c>
      <c r="C259" s="1" t="n">
        <v>45925</v>
      </c>
      <c r="D259" t="inlineStr">
        <is>
          <t>UPPSALA LÄN</t>
        </is>
      </c>
      <c r="E259" t="inlineStr">
        <is>
          <t>ENKÖPING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15757-2023</t>
        </is>
      </c>
      <c r="B260" s="1" t="n">
        <v>45021</v>
      </c>
      <c r="C260" s="1" t="n">
        <v>45925</v>
      </c>
      <c r="D260" t="inlineStr">
        <is>
          <t>UPPSALA LÄN</t>
        </is>
      </c>
      <c r="E260" t="inlineStr">
        <is>
          <t>ENKÖPING</t>
        </is>
      </c>
      <c r="G260" t="n">
        <v>3</v>
      </c>
      <c r="H260" t="n">
        <v>0</v>
      </c>
      <c r="I260" t="n">
        <v>0</v>
      </c>
      <c r="J260" t="n">
        <v>0</v>
      </c>
      <c r="K260" t="n">
        <v>0</v>
      </c>
      <c r="L260" t="n">
        <v>0</v>
      </c>
      <c r="M260" t="n">
        <v>0</v>
      </c>
      <c r="N260" t="n">
        <v>0</v>
      </c>
      <c r="O260" t="n">
        <v>0</v>
      </c>
      <c r="P260" t="n">
        <v>0</v>
      </c>
      <c r="Q260" t="n">
        <v>0</v>
      </c>
      <c r="R260" s="2" t="inlineStr"/>
    </row>
    <row r="261" ht="15" customHeight="1">
      <c r="A261" t="inlineStr">
        <is>
          <t>A 43230-2023</t>
        </is>
      </c>
      <c r="B261" s="1" t="n">
        <v>45183</v>
      </c>
      <c r="C261" s="1" t="n">
        <v>45925</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56886-2023</t>
        </is>
      </c>
      <c r="B262" s="1" t="n">
        <v>45239</v>
      </c>
      <c r="C262" s="1" t="n">
        <v>45925</v>
      </c>
      <c r="D262" t="inlineStr">
        <is>
          <t>UPPSALA LÄN</t>
        </is>
      </c>
      <c r="E262" t="inlineStr">
        <is>
          <t>ENKÖPING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44419-2025</t>
        </is>
      </c>
      <c r="B263" s="1" t="n">
        <v>45916.54671296296</v>
      </c>
      <c r="C263" s="1" t="n">
        <v>45925</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43999-2025</t>
        </is>
      </c>
      <c r="B264" s="1" t="n">
        <v>45915.45158564814</v>
      </c>
      <c r="C264" s="1" t="n">
        <v>45925</v>
      </c>
      <c r="D264" t="inlineStr">
        <is>
          <t>UPPSALA LÄN</t>
        </is>
      </c>
      <c r="E264" t="inlineStr">
        <is>
          <t>ENKÖPING</t>
        </is>
      </c>
      <c r="G264" t="n">
        <v>4.1</v>
      </c>
      <c r="H264" t="n">
        <v>0</v>
      </c>
      <c r="I264" t="n">
        <v>0</v>
      </c>
      <c r="J264" t="n">
        <v>0</v>
      </c>
      <c r="K264" t="n">
        <v>0</v>
      </c>
      <c r="L264" t="n">
        <v>0</v>
      </c>
      <c r="M264" t="n">
        <v>0</v>
      </c>
      <c r="N264" t="n">
        <v>0</v>
      </c>
      <c r="O264" t="n">
        <v>0</v>
      </c>
      <c r="P264" t="n">
        <v>0</v>
      </c>
      <c r="Q264" t="n">
        <v>0</v>
      </c>
      <c r="R264" s="2" t="inlineStr"/>
    </row>
    <row r="265" ht="15" customHeight="1">
      <c r="A265" t="inlineStr">
        <is>
          <t>A 41828-2024</t>
        </is>
      </c>
      <c r="B265" s="1" t="n">
        <v>45561</v>
      </c>
      <c r="C265" s="1" t="n">
        <v>45925</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51011-2024</t>
        </is>
      </c>
      <c r="B266" s="1" t="n">
        <v>45603.39427083333</v>
      </c>
      <c r="C266" s="1" t="n">
        <v>45925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20184-2023</t>
        </is>
      </c>
      <c r="B267" s="1" t="n">
        <v>45055.5670949074</v>
      </c>
      <c r="C267" s="1" t="n">
        <v>45925</v>
      </c>
      <c r="D267" t="inlineStr">
        <is>
          <t>UPPSALA LÄN</t>
        </is>
      </c>
      <c r="E267" t="inlineStr">
        <is>
          <t>ENKÖPING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37319-2025</t>
        </is>
      </c>
      <c r="B268" s="1" t="n">
        <v>45876</v>
      </c>
      <c r="C268" s="1" t="n">
        <v>45925</v>
      </c>
      <c r="D268" t="inlineStr">
        <is>
          <t>UPPSALA LÄN</t>
        </is>
      </c>
      <c r="E268" t="inlineStr">
        <is>
          <t>ENKÖPING</t>
        </is>
      </c>
      <c r="G268" t="n">
        <v>9.5</v>
      </c>
      <c r="H268" t="n">
        <v>0</v>
      </c>
      <c r="I268" t="n">
        <v>0</v>
      </c>
      <c r="J268" t="n">
        <v>0</v>
      </c>
      <c r="K268" t="n">
        <v>0</v>
      </c>
      <c r="L268" t="n">
        <v>0</v>
      </c>
      <c r="M268" t="n">
        <v>0</v>
      </c>
      <c r="N268" t="n">
        <v>0</v>
      </c>
      <c r="O268" t="n">
        <v>0</v>
      </c>
      <c r="P268" t="n">
        <v>0</v>
      </c>
      <c r="Q268" t="n">
        <v>0</v>
      </c>
      <c r="R268" s="2" t="inlineStr"/>
    </row>
    <row r="269" ht="15" customHeight="1">
      <c r="A269" t="inlineStr">
        <is>
          <t>A 37296-2025</t>
        </is>
      </c>
      <c r="B269" s="1" t="n">
        <v>45876</v>
      </c>
      <c r="C269" s="1" t="n">
        <v>45925</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61952-2021</t>
        </is>
      </c>
      <c r="B270" s="1" t="n">
        <v>44502</v>
      </c>
      <c r="C270" s="1" t="n">
        <v>45925</v>
      </c>
      <c r="D270" t="inlineStr">
        <is>
          <t>UPPSALA LÄN</t>
        </is>
      </c>
      <c r="E270" t="inlineStr">
        <is>
          <t>ENKÖPING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10465-2022</t>
        </is>
      </c>
      <c r="B271" s="1" t="n">
        <v>44623</v>
      </c>
      <c r="C271" s="1" t="n">
        <v>45925</v>
      </c>
      <c r="D271" t="inlineStr">
        <is>
          <t>UPPSALA LÄN</t>
        </is>
      </c>
      <c r="E271" t="inlineStr">
        <is>
          <t>ENKÖPING</t>
        </is>
      </c>
      <c r="G271" t="n">
        <v>1.7</v>
      </c>
      <c r="H271" t="n">
        <v>0</v>
      </c>
      <c r="I271" t="n">
        <v>0</v>
      </c>
      <c r="J271" t="n">
        <v>0</v>
      </c>
      <c r="K271" t="n">
        <v>0</v>
      </c>
      <c r="L271" t="n">
        <v>0</v>
      </c>
      <c r="M271" t="n">
        <v>0</v>
      </c>
      <c r="N271" t="n">
        <v>0</v>
      </c>
      <c r="O271" t="n">
        <v>0</v>
      </c>
      <c r="P271" t="n">
        <v>0</v>
      </c>
      <c r="Q271" t="n">
        <v>0</v>
      </c>
      <c r="R271" s="2" t="inlineStr"/>
    </row>
    <row r="272" ht="15" customHeight="1">
      <c r="A272" t="inlineStr">
        <is>
          <t>A 12102-2024</t>
        </is>
      </c>
      <c r="B272" s="1" t="n">
        <v>45377</v>
      </c>
      <c r="C272" s="1" t="n">
        <v>45925</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58961-2024</t>
        </is>
      </c>
      <c r="B273" s="1" t="n">
        <v>45636.585</v>
      </c>
      <c r="C273" s="1" t="n">
        <v>45925</v>
      </c>
      <c r="D273" t="inlineStr">
        <is>
          <t>UPPSALA LÄN</t>
        </is>
      </c>
      <c r="E273" t="inlineStr">
        <is>
          <t>ENKÖPING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41765-2025</t>
        </is>
      </c>
      <c r="B274" s="1" t="n">
        <v>45902</v>
      </c>
      <c r="C274" s="1" t="n">
        <v>45925</v>
      </c>
      <c r="D274" t="inlineStr">
        <is>
          <t>UPPSALA LÄN</t>
        </is>
      </c>
      <c r="E274" t="inlineStr">
        <is>
          <t>ENKÖPING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45283-2022</t>
        </is>
      </c>
      <c r="B275" s="1" t="n">
        <v>44844</v>
      </c>
      <c r="C275" s="1" t="n">
        <v>45925</v>
      </c>
      <c r="D275" t="inlineStr">
        <is>
          <t>UPPSALA LÄN</t>
        </is>
      </c>
      <c r="E275" t="inlineStr">
        <is>
          <t>ENKÖPING</t>
        </is>
      </c>
      <c r="G275" t="n">
        <v>5.9</v>
      </c>
      <c r="H275" t="n">
        <v>0</v>
      </c>
      <c r="I275" t="n">
        <v>0</v>
      </c>
      <c r="J275" t="n">
        <v>0</v>
      </c>
      <c r="K275" t="n">
        <v>0</v>
      </c>
      <c r="L275" t="n">
        <v>0</v>
      </c>
      <c r="M275" t="n">
        <v>0</v>
      </c>
      <c r="N275" t="n">
        <v>0</v>
      </c>
      <c r="O275" t="n">
        <v>0</v>
      </c>
      <c r="P275" t="n">
        <v>0</v>
      </c>
      <c r="Q275" t="n">
        <v>0</v>
      </c>
      <c r="R275" s="2" t="inlineStr"/>
    </row>
    <row r="276" ht="15" customHeight="1">
      <c r="A276" t="inlineStr">
        <is>
          <t>A 845-2025</t>
        </is>
      </c>
      <c r="B276" s="1" t="n">
        <v>45665</v>
      </c>
      <c r="C276" s="1" t="n">
        <v>45925</v>
      </c>
      <c r="D276" t="inlineStr">
        <is>
          <t>UPPSALA LÄN</t>
        </is>
      </c>
      <c r="E276" t="inlineStr">
        <is>
          <t>ENKÖPING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849-2025</t>
        </is>
      </c>
      <c r="B277" s="1" t="n">
        <v>45665</v>
      </c>
      <c r="C277" s="1" t="n">
        <v>45925</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59602-2022</t>
        </is>
      </c>
      <c r="B278" s="1" t="n">
        <v>44907.72241898148</v>
      </c>
      <c r="C278" s="1" t="n">
        <v>45925</v>
      </c>
      <c r="D278" t="inlineStr">
        <is>
          <t>UPPSALA LÄN</t>
        </is>
      </c>
      <c r="E278" t="inlineStr">
        <is>
          <t>ENKÖPING</t>
        </is>
      </c>
      <c r="G278" t="n">
        <v>14.2</v>
      </c>
      <c r="H278" t="n">
        <v>0</v>
      </c>
      <c r="I278" t="n">
        <v>0</v>
      </c>
      <c r="J278" t="n">
        <v>0</v>
      </c>
      <c r="K278" t="n">
        <v>0</v>
      </c>
      <c r="L278" t="n">
        <v>0</v>
      </c>
      <c r="M278" t="n">
        <v>0</v>
      </c>
      <c r="N278" t="n">
        <v>0</v>
      </c>
      <c r="O278" t="n">
        <v>0</v>
      </c>
      <c r="P278" t="n">
        <v>0</v>
      </c>
      <c r="Q278" t="n">
        <v>0</v>
      </c>
      <c r="R278" s="2" t="inlineStr"/>
    </row>
    <row r="279" ht="15" customHeight="1">
      <c r="A279" t="inlineStr">
        <is>
          <t>A 42589-2022</t>
        </is>
      </c>
      <c r="B279" s="1" t="n">
        <v>44831</v>
      </c>
      <c r="C279" s="1" t="n">
        <v>45925</v>
      </c>
      <c r="D279" t="inlineStr">
        <is>
          <t>UPPSALA LÄN</t>
        </is>
      </c>
      <c r="E279" t="inlineStr">
        <is>
          <t>ENKÖPING</t>
        </is>
      </c>
      <c r="G279" t="n">
        <v>20</v>
      </c>
      <c r="H279" t="n">
        <v>0</v>
      </c>
      <c r="I279" t="n">
        <v>0</v>
      </c>
      <c r="J279" t="n">
        <v>0</v>
      </c>
      <c r="K279" t="n">
        <v>0</v>
      </c>
      <c r="L279" t="n">
        <v>0</v>
      </c>
      <c r="M279" t="n">
        <v>0</v>
      </c>
      <c r="N279" t="n">
        <v>0</v>
      </c>
      <c r="O279" t="n">
        <v>0</v>
      </c>
      <c r="P279" t="n">
        <v>0</v>
      </c>
      <c r="Q279" t="n">
        <v>0</v>
      </c>
      <c r="R279" s="2" t="inlineStr"/>
    </row>
    <row r="280" ht="15" customHeight="1">
      <c r="A280" t="inlineStr">
        <is>
          <t>A 35645-2021</t>
        </is>
      </c>
      <c r="B280" s="1" t="n">
        <v>44386.42</v>
      </c>
      <c r="C280" s="1" t="n">
        <v>45925</v>
      </c>
      <c r="D280" t="inlineStr">
        <is>
          <t>UPPSALA LÄN</t>
        </is>
      </c>
      <c r="E280" t="inlineStr">
        <is>
          <t>ENKÖPING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37498-2025</t>
        </is>
      </c>
      <c r="B281" s="1" t="n">
        <v>45877</v>
      </c>
      <c r="C281" s="1" t="n">
        <v>45925</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2968-2025</t>
        </is>
      </c>
      <c r="B282" s="1" t="n">
        <v>45678</v>
      </c>
      <c r="C282" s="1" t="n">
        <v>45925</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45925</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11503-2024</t>
        </is>
      </c>
      <c r="B284" s="1" t="n">
        <v>45372.68020833333</v>
      </c>
      <c r="C284" s="1" t="n">
        <v>45925</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9487-2025</t>
        </is>
      </c>
      <c r="B285" s="1" t="n">
        <v>45715.49331018519</v>
      </c>
      <c r="C285" s="1" t="n">
        <v>45925</v>
      </c>
      <c r="D285" t="inlineStr">
        <is>
          <t>UPPSALA LÄN</t>
        </is>
      </c>
      <c r="E285" t="inlineStr">
        <is>
          <t>ENKÖPING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49622-2024</t>
        </is>
      </c>
      <c r="B286" s="1" t="n">
        <v>45596.58372685185</v>
      </c>
      <c r="C286" s="1" t="n">
        <v>45925</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58147-2024</t>
        </is>
      </c>
      <c r="B287" s="1" t="n">
        <v>45632.4334375</v>
      </c>
      <c r="C287" s="1" t="n">
        <v>45925</v>
      </c>
      <c r="D287" t="inlineStr">
        <is>
          <t>UPPSALA LÄN</t>
        </is>
      </c>
      <c r="E287" t="inlineStr">
        <is>
          <t>ENKÖPING</t>
        </is>
      </c>
      <c r="G287" t="n">
        <v>3</v>
      </c>
      <c r="H287" t="n">
        <v>0</v>
      </c>
      <c r="I287" t="n">
        <v>0</v>
      </c>
      <c r="J287" t="n">
        <v>0</v>
      </c>
      <c r="K287" t="n">
        <v>0</v>
      </c>
      <c r="L287" t="n">
        <v>0</v>
      </c>
      <c r="M287" t="n">
        <v>0</v>
      </c>
      <c r="N287" t="n">
        <v>0</v>
      </c>
      <c r="O287" t="n">
        <v>0</v>
      </c>
      <c r="P287" t="n">
        <v>0</v>
      </c>
      <c r="Q287" t="n">
        <v>0</v>
      </c>
      <c r="R287" s="2" t="inlineStr"/>
    </row>
    <row r="288" ht="15" customHeight="1">
      <c r="A288" t="inlineStr">
        <is>
          <t>A 16176-2025</t>
        </is>
      </c>
      <c r="B288" s="1" t="n">
        <v>45750</v>
      </c>
      <c r="C288" s="1" t="n">
        <v>45925</v>
      </c>
      <c r="D288" t="inlineStr">
        <is>
          <t>UPPSALA LÄN</t>
        </is>
      </c>
      <c r="E288" t="inlineStr">
        <is>
          <t>ENKÖPING</t>
        </is>
      </c>
      <c r="G288" t="n">
        <v>3.9</v>
      </c>
      <c r="H288" t="n">
        <v>0</v>
      </c>
      <c r="I288" t="n">
        <v>0</v>
      </c>
      <c r="J288" t="n">
        <v>0</v>
      </c>
      <c r="K288" t="n">
        <v>0</v>
      </c>
      <c r="L288" t="n">
        <v>0</v>
      </c>
      <c r="M288" t="n">
        <v>0</v>
      </c>
      <c r="N288" t="n">
        <v>0</v>
      </c>
      <c r="O288" t="n">
        <v>0</v>
      </c>
      <c r="P288" t="n">
        <v>0</v>
      </c>
      <c r="Q288" t="n">
        <v>0</v>
      </c>
      <c r="R288" s="2" t="inlineStr"/>
    </row>
    <row r="289" ht="15" customHeight="1">
      <c r="A289" t="inlineStr">
        <is>
          <t>A 37035-2023</t>
        </is>
      </c>
      <c r="B289" s="1" t="n">
        <v>45155</v>
      </c>
      <c r="C289" s="1" t="n">
        <v>45925</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46186-2023</t>
        </is>
      </c>
      <c r="B290" s="1" t="n">
        <v>45196</v>
      </c>
      <c r="C290" s="1" t="n">
        <v>45925</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15162-2025</t>
        </is>
      </c>
      <c r="B291" s="1" t="n">
        <v>45744</v>
      </c>
      <c r="C291" s="1" t="n">
        <v>45925</v>
      </c>
      <c r="D291" t="inlineStr">
        <is>
          <t>UPPSALA LÄN</t>
        </is>
      </c>
      <c r="E291" t="inlineStr">
        <is>
          <t>ENKÖPING</t>
        </is>
      </c>
      <c r="G291" t="n">
        <v>4.2</v>
      </c>
      <c r="H291" t="n">
        <v>0</v>
      </c>
      <c r="I291" t="n">
        <v>0</v>
      </c>
      <c r="J291" t="n">
        <v>0</v>
      </c>
      <c r="K291" t="n">
        <v>0</v>
      </c>
      <c r="L291" t="n">
        <v>0</v>
      </c>
      <c r="M291" t="n">
        <v>0</v>
      </c>
      <c r="N291" t="n">
        <v>0</v>
      </c>
      <c r="O291" t="n">
        <v>0</v>
      </c>
      <c r="P291" t="n">
        <v>0</v>
      </c>
      <c r="Q291" t="n">
        <v>0</v>
      </c>
      <c r="R291" s="2" t="inlineStr"/>
    </row>
    <row r="292" ht="15" customHeight="1">
      <c r="A292" t="inlineStr">
        <is>
          <t>A 18302-2025</t>
        </is>
      </c>
      <c r="B292" s="1" t="n">
        <v>45762</v>
      </c>
      <c r="C292" s="1" t="n">
        <v>45925</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34735-2023</t>
        </is>
      </c>
      <c r="B293" s="1" t="n">
        <v>45139</v>
      </c>
      <c r="C293" s="1" t="n">
        <v>45925</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18299-2025</t>
        </is>
      </c>
      <c r="B294" s="1" t="n">
        <v>45762</v>
      </c>
      <c r="C294" s="1" t="n">
        <v>45925</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30514-2021</t>
        </is>
      </c>
      <c r="B295" s="1" t="n">
        <v>44364</v>
      </c>
      <c r="C295" s="1" t="n">
        <v>45925</v>
      </c>
      <c r="D295" t="inlineStr">
        <is>
          <t>UPPSALA LÄN</t>
        </is>
      </c>
      <c r="E295" t="inlineStr">
        <is>
          <t>ENKÖPING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6242-2025</t>
        </is>
      </c>
      <c r="B296" s="1" t="n">
        <v>45697</v>
      </c>
      <c r="C296" s="1" t="n">
        <v>45925</v>
      </c>
      <c r="D296" t="inlineStr">
        <is>
          <t>UPPSALA LÄN</t>
        </is>
      </c>
      <c r="E296" t="inlineStr">
        <is>
          <t>ENKÖPING</t>
        </is>
      </c>
      <c r="G296" t="n">
        <v>17.9</v>
      </c>
      <c r="H296" t="n">
        <v>0</v>
      </c>
      <c r="I296" t="n">
        <v>0</v>
      </c>
      <c r="J296" t="n">
        <v>0</v>
      </c>
      <c r="K296" t="n">
        <v>0</v>
      </c>
      <c r="L296" t="n">
        <v>0</v>
      </c>
      <c r="M296" t="n">
        <v>0</v>
      </c>
      <c r="N296" t="n">
        <v>0</v>
      </c>
      <c r="O296" t="n">
        <v>0</v>
      </c>
      <c r="P296" t="n">
        <v>0</v>
      </c>
      <c r="Q296" t="n">
        <v>0</v>
      </c>
      <c r="R296" s="2" t="inlineStr"/>
    </row>
    <row r="297" ht="15" customHeight="1">
      <c r="A297" t="inlineStr">
        <is>
          <t>A 6144-2024</t>
        </is>
      </c>
      <c r="B297" s="1" t="n">
        <v>45337.4684837963</v>
      </c>
      <c r="C297" s="1" t="n">
        <v>45925</v>
      </c>
      <c r="D297" t="inlineStr">
        <is>
          <t>UPPSALA LÄN</t>
        </is>
      </c>
      <c r="E297" t="inlineStr">
        <is>
          <t>ENKÖPING</t>
        </is>
      </c>
      <c r="G297" t="n">
        <v>13.8</v>
      </c>
      <c r="H297" t="n">
        <v>0</v>
      </c>
      <c r="I297" t="n">
        <v>0</v>
      </c>
      <c r="J297" t="n">
        <v>0</v>
      </c>
      <c r="K297" t="n">
        <v>0</v>
      </c>
      <c r="L297" t="n">
        <v>0</v>
      </c>
      <c r="M297" t="n">
        <v>0</v>
      </c>
      <c r="N297" t="n">
        <v>0</v>
      </c>
      <c r="O297" t="n">
        <v>0</v>
      </c>
      <c r="P297" t="n">
        <v>0</v>
      </c>
      <c r="Q297" t="n">
        <v>0</v>
      </c>
      <c r="R297" s="2" t="inlineStr"/>
    </row>
    <row r="298" ht="15" customHeight="1">
      <c r="A298" t="inlineStr">
        <is>
          <t>A 67984-2021</t>
        </is>
      </c>
      <c r="B298" s="1" t="n">
        <v>44525.70237268518</v>
      </c>
      <c r="C298" s="1" t="n">
        <v>45925</v>
      </c>
      <c r="D298" t="inlineStr">
        <is>
          <t>UPPSALA LÄN</t>
        </is>
      </c>
      <c r="E298" t="inlineStr">
        <is>
          <t>ENKÖPING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45925</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11918-2025</t>
        </is>
      </c>
      <c r="B300" s="1" t="n">
        <v>45728.49331018519</v>
      </c>
      <c r="C300" s="1" t="n">
        <v>45925</v>
      </c>
      <c r="D300" t="inlineStr">
        <is>
          <t>UPPSALA LÄN</t>
        </is>
      </c>
      <c r="E300" t="inlineStr">
        <is>
          <t>ENKÖPING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52169-2020</t>
        </is>
      </c>
      <c r="B301" s="1" t="n">
        <v>44117</v>
      </c>
      <c r="C301" s="1" t="n">
        <v>45925</v>
      </c>
      <c r="D301" t="inlineStr">
        <is>
          <t>UPPSALA LÄN</t>
        </is>
      </c>
      <c r="E301" t="inlineStr">
        <is>
          <t>ENKÖPING</t>
        </is>
      </c>
      <c r="F301" t="inlineStr">
        <is>
          <t>Allmännings- och besparingsskogar</t>
        </is>
      </c>
      <c r="G301" t="n">
        <v>1.5</v>
      </c>
      <c r="H301" t="n">
        <v>0</v>
      </c>
      <c r="I301" t="n">
        <v>0</v>
      </c>
      <c r="J301" t="n">
        <v>0</v>
      </c>
      <c r="K301" t="n">
        <v>0</v>
      </c>
      <c r="L301" t="n">
        <v>0</v>
      </c>
      <c r="M301" t="n">
        <v>0</v>
      </c>
      <c r="N301" t="n">
        <v>0</v>
      </c>
      <c r="O301" t="n">
        <v>0</v>
      </c>
      <c r="P301" t="n">
        <v>0</v>
      </c>
      <c r="Q301" t="n">
        <v>0</v>
      </c>
      <c r="R301" s="2" t="inlineStr"/>
    </row>
    <row r="302" ht="15" customHeight="1">
      <c r="A302" t="inlineStr">
        <is>
          <t>A 45755-2025</t>
        </is>
      </c>
      <c r="B302" s="1" t="n">
        <v>45923.50240740741</v>
      </c>
      <c r="C302" s="1" t="n">
        <v>45925</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57209-2024</t>
        </is>
      </c>
      <c r="B303" s="1" t="n">
        <v>45629.49311342592</v>
      </c>
      <c r="C303" s="1" t="n">
        <v>45925</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13110-2023</t>
        </is>
      </c>
      <c r="B304" s="1" t="n">
        <v>45001</v>
      </c>
      <c r="C304" s="1" t="n">
        <v>45925</v>
      </c>
      <c r="D304" t="inlineStr">
        <is>
          <t>UPPSALA LÄN</t>
        </is>
      </c>
      <c r="E304" t="inlineStr">
        <is>
          <t>ENKÖPING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49627-2024</t>
        </is>
      </c>
      <c r="B305" s="1" t="n">
        <v>45596.59140046296</v>
      </c>
      <c r="C305" s="1" t="n">
        <v>45925</v>
      </c>
      <c r="D305" t="inlineStr">
        <is>
          <t>UPPSALA LÄN</t>
        </is>
      </c>
      <c r="E305" t="inlineStr">
        <is>
          <t>ENKÖPING</t>
        </is>
      </c>
      <c r="G305" t="n">
        <v>0.4</v>
      </c>
      <c r="H305" t="n">
        <v>0</v>
      </c>
      <c r="I305" t="n">
        <v>0</v>
      </c>
      <c r="J305" t="n">
        <v>0</v>
      </c>
      <c r="K305" t="n">
        <v>0</v>
      </c>
      <c r="L305" t="n">
        <v>0</v>
      </c>
      <c r="M305" t="n">
        <v>0</v>
      </c>
      <c r="N305" t="n">
        <v>0</v>
      </c>
      <c r="O305" t="n">
        <v>0</v>
      </c>
      <c r="P305" t="n">
        <v>0</v>
      </c>
      <c r="Q305" t="n">
        <v>0</v>
      </c>
      <c r="R305" s="2" t="inlineStr"/>
    </row>
    <row r="306" ht="15" customHeight="1">
      <c r="A306" t="inlineStr">
        <is>
          <t>A 43896-2022</t>
        </is>
      </c>
      <c r="B306" s="1" t="n">
        <v>44838</v>
      </c>
      <c r="C306" s="1" t="n">
        <v>45925</v>
      </c>
      <c r="D306" t="inlineStr">
        <is>
          <t>UPPSALA LÄN</t>
        </is>
      </c>
      <c r="E306" t="inlineStr">
        <is>
          <t>ENKÖPING</t>
        </is>
      </c>
      <c r="G306" t="n">
        <v>5.3</v>
      </c>
      <c r="H306" t="n">
        <v>0</v>
      </c>
      <c r="I306" t="n">
        <v>0</v>
      </c>
      <c r="J306" t="n">
        <v>0</v>
      </c>
      <c r="K306" t="n">
        <v>0</v>
      </c>
      <c r="L306" t="n">
        <v>0</v>
      </c>
      <c r="M306" t="n">
        <v>0</v>
      </c>
      <c r="N306" t="n">
        <v>0</v>
      </c>
      <c r="O306" t="n">
        <v>0</v>
      </c>
      <c r="P306" t="n">
        <v>0</v>
      </c>
      <c r="Q306" t="n">
        <v>0</v>
      </c>
      <c r="R306" s="2" t="inlineStr"/>
    </row>
    <row r="307" ht="15" customHeight="1">
      <c r="A307" t="inlineStr">
        <is>
          <t>A 9231-2023</t>
        </is>
      </c>
      <c r="B307" s="1" t="n">
        <v>44980</v>
      </c>
      <c r="C307" s="1" t="n">
        <v>45925</v>
      </c>
      <c r="D307" t="inlineStr">
        <is>
          <t>UPPSALA LÄN</t>
        </is>
      </c>
      <c r="E307" t="inlineStr">
        <is>
          <t>ENKÖPING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27538-2023</t>
        </is>
      </c>
      <c r="B308" s="1" t="n">
        <v>45097</v>
      </c>
      <c r="C308" s="1" t="n">
        <v>45925</v>
      </c>
      <c r="D308" t="inlineStr">
        <is>
          <t>UPPSALA LÄN</t>
        </is>
      </c>
      <c r="E308" t="inlineStr">
        <is>
          <t>ENKÖPING</t>
        </is>
      </c>
      <c r="G308" t="n">
        <v>5.8</v>
      </c>
      <c r="H308" t="n">
        <v>0</v>
      </c>
      <c r="I308" t="n">
        <v>0</v>
      </c>
      <c r="J308" t="n">
        <v>0</v>
      </c>
      <c r="K308" t="n">
        <v>0</v>
      </c>
      <c r="L308" t="n">
        <v>0</v>
      </c>
      <c r="M308" t="n">
        <v>0</v>
      </c>
      <c r="N308" t="n">
        <v>0</v>
      </c>
      <c r="O308" t="n">
        <v>0</v>
      </c>
      <c r="P308" t="n">
        <v>0</v>
      </c>
      <c r="Q308" t="n">
        <v>0</v>
      </c>
      <c r="R308" s="2" t="inlineStr"/>
    </row>
    <row r="309" ht="15" customHeight="1">
      <c r="A309" t="inlineStr">
        <is>
          <t>A 18821-2023</t>
        </is>
      </c>
      <c r="B309" s="1" t="n">
        <v>45044.3782175926</v>
      </c>
      <c r="C309" s="1" t="n">
        <v>45925</v>
      </c>
      <c r="D309" t="inlineStr">
        <is>
          <t>UPPSALA LÄN</t>
        </is>
      </c>
      <c r="E309" t="inlineStr">
        <is>
          <t>ENKÖPING</t>
        </is>
      </c>
      <c r="G309" t="n">
        <v>6</v>
      </c>
      <c r="H309" t="n">
        <v>0</v>
      </c>
      <c r="I309" t="n">
        <v>0</v>
      </c>
      <c r="J309" t="n">
        <v>0</v>
      </c>
      <c r="K309" t="n">
        <v>0</v>
      </c>
      <c r="L309" t="n">
        <v>0</v>
      </c>
      <c r="M309" t="n">
        <v>0</v>
      </c>
      <c r="N309" t="n">
        <v>0</v>
      </c>
      <c r="O309" t="n">
        <v>0</v>
      </c>
      <c r="P309" t="n">
        <v>0</v>
      </c>
      <c r="Q309" t="n">
        <v>0</v>
      </c>
      <c r="R309" s="2" t="inlineStr"/>
    </row>
    <row r="310" ht="15" customHeight="1">
      <c r="A310" t="inlineStr">
        <is>
          <t>A 20440-2025</t>
        </is>
      </c>
      <c r="B310" s="1" t="n">
        <v>45775</v>
      </c>
      <c r="C310" s="1" t="n">
        <v>45925</v>
      </c>
      <c r="D310" t="inlineStr">
        <is>
          <t>UPPSALA LÄN</t>
        </is>
      </c>
      <c r="E310" t="inlineStr">
        <is>
          <t>ENKÖPING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52380-2024</t>
        </is>
      </c>
      <c r="B311" s="1" t="n">
        <v>45609</v>
      </c>
      <c r="C311" s="1" t="n">
        <v>45925</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9041-2023</t>
        </is>
      </c>
      <c r="B312" s="1" t="n">
        <v>44979</v>
      </c>
      <c r="C312" s="1" t="n">
        <v>45925</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27786-2023</t>
        </is>
      </c>
      <c r="B313" s="1" t="n">
        <v>45098</v>
      </c>
      <c r="C313" s="1" t="n">
        <v>45925</v>
      </c>
      <c r="D313" t="inlineStr">
        <is>
          <t>UPPSALA LÄN</t>
        </is>
      </c>
      <c r="E313" t="inlineStr">
        <is>
          <t>ENKÖPING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41737-2022</t>
        </is>
      </c>
      <c r="B314" s="1" t="n">
        <v>44827.63826388889</v>
      </c>
      <c r="C314" s="1" t="n">
        <v>45925</v>
      </c>
      <c r="D314" t="inlineStr">
        <is>
          <t>UPPSALA LÄN</t>
        </is>
      </c>
      <c r="E314" t="inlineStr">
        <is>
          <t>ENKÖPING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54595-2021</t>
        </is>
      </c>
      <c r="B315" s="1" t="n">
        <v>44473.58824074074</v>
      </c>
      <c r="C315" s="1" t="n">
        <v>45925</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22094-2023</t>
        </is>
      </c>
      <c r="B316" s="1" t="n">
        <v>45069</v>
      </c>
      <c r="C316" s="1" t="n">
        <v>45925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15942-2022</t>
        </is>
      </c>
      <c r="B317" s="1" t="n">
        <v>44664</v>
      </c>
      <c r="C317" s="1" t="n">
        <v>45925</v>
      </c>
      <c r="D317" t="inlineStr">
        <is>
          <t>UPPSALA LÄN</t>
        </is>
      </c>
      <c r="E317" t="inlineStr">
        <is>
          <t>ENKÖPING</t>
        </is>
      </c>
      <c r="G317" t="n">
        <v>6.6</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45925</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50006-2023</t>
        </is>
      </c>
      <c r="B319" s="1" t="n">
        <v>45215</v>
      </c>
      <c r="C319" s="1" t="n">
        <v>45925</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24962-2023</t>
        </is>
      </c>
      <c r="B320" s="1" t="n">
        <v>45085.60123842592</v>
      </c>
      <c r="C320" s="1" t="n">
        <v>45925</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44131-2023</t>
        </is>
      </c>
      <c r="B321" s="1" t="n">
        <v>45188</v>
      </c>
      <c r="C321" s="1" t="n">
        <v>45925</v>
      </c>
      <c r="D321" t="inlineStr">
        <is>
          <t>UPPSALA LÄN</t>
        </is>
      </c>
      <c r="E321" t="inlineStr">
        <is>
          <t>ENKÖPING</t>
        </is>
      </c>
      <c r="G321" t="n">
        <v>0.3</v>
      </c>
      <c r="H321" t="n">
        <v>0</v>
      </c>
      <c r="I321" t="n">
        <v>0</v>
      </c>
      <c r="J321" t="n">
        <v>0</v>
      </c>
      <c r="K321" t="n">
        <v>0</v>
      </c>
      <c r="L321" t="n">
        <v>0</v>
      </c>
      <c r="M321" t="n">
        <v>0</v>
      </c>
      <c r="N321" t="n">
        <v>0</v>
      </c>
      <c r="O321" t="n">
        <v>0</v>
      </c>
      <c r="P321" t="n">
        <v>0</v>
      </c>
      <c r="Q321" t="n">
        <v>0</v>
      </c>
      <c r="R321" s="2" t="inlineStr"/>
    </row>
    <row r="322" ht="15" customHeight="1">
      <c r="A322" t="inlineStr">
        <is>
          <t>A 29482-2022</t>
        </is>
      </c>
      <c r="B322" s="1" t="n">
        <v>44753.57703703704</v>
      </c>
      <c r="C322" s="1" t="n">
        <v>45925</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29483-2022</t>
        </is>
      </c>
      <c r="B323" s="1" t="n">
        <v>44753.57829861111</v>
      </c>
      <c r="C323" s="1" t="n">
        <v>45925</v>
      </c>
      <c r="D323" t="inlineStr">
        <is>
          <t>UPPSALA LÄN</t>
        </is>
      </c>
      <c r="E323" t="inlineStr">
        <is>
          <t>ENKÖPING</t>
        </is>
      </c>
      <c r="G323" t="n">
        <v>3.6</v>
      </c>
      <c r="H323" t="n">
        <v>0</v>
      </c>
      <c r="I323" t="n">
        <v>0</v>
      </c>
      <c r="J323" t="n">
        <v>0</v>
      </c>
      <c r="K323" t="n">
        <v>0</v>
      </c>
      <c r="L323" t="n">
        <v>0</v>
      </c>
      <c r="M323" t="n">
        <v>0</v>
      </c>
      <c r="N323" t="n">
        <v>0</v>
      </c>
      <c r="O323" t="n">
        <v>0</v>
      </c>
      <c r="P323" t="n">
        <v>0</v>
      </c>
      <c r="Q323" t="n">
        <v>0</v>
      </c>
      <c r="R323" s="2" t="inlineStr"/>
    </row>
    <row r="324" ht="15" customHeight="1">
      <c r="A324" t="inlineStr">
        <is>
          <t>A 37170-2021</t>
        </is>
      </c>
      <c r="B324" s="1" t="n">
        <v>44395</v>
      </c>
      <c r="C324" s="1" t="n">
        <v>45925</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53607-2023</t>
        </is>
      </c>
      <c r="B325" s="1" t="n">
        <v>45230</v>
      </c>
      <c r="C325" s="1" t="n">
        <v>45925</v>
      </c>
      <c r="D325" t="inlineStr">
        <is>
          <t>UPPSALA LÄN</t>
        </is>
      </c>
      <c r="E325" t="inlineStr">
        <is>
          <t>ENKÖPING</t>
        </is>
      </c>
      <c r="F325" t="inlineStr">
        <is>
          <t>Allmännings- och besparingsskogar</t>
        </is>
      </c>
      <c r="G325" t="n">
        <v>6.3</v>
      </c>
      <c r="H325" t="n">
        <v>0</v>
      </c>
      <c r="I325" t="n">
        <v>0</v>
      </c>
      <c r="J325" t="n">
        <v>0</v>
      </c>
      <c r="K325" t="n">
        <v>0</v>
      </c>
      <c r="L325" t="n">
        <v>0</v>
      </c>
      <c r="M325" t="n">
        <v>0</v>
      </c>
      <c r="N325" t="n">
        <v>0</v>
      </c>
      <c r="O325" t="n">
        <v>0</v>
      </c>
      <c r="P325" t="n">
        <v>0</v>
      </c>
      <c r="Q325" t="n">
        <v>0</v>
      </c>
      <c r="R325" s="2" t="inlineStr"/>
    </row>
    <row r="326" ht="15" customHeight="1">
      <c r="A326" t="inlineStr">
        <is>
          <t>A 59497-2022</t>
        </is>
      </c>
      <c r="B326" s="1" t="n">
        <v>44907.48258101852</v>
      </c>
      <c r="C326" s="1" t="n">
        <v>45925</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53343-2020</t>
        </is>
      </c>
      <c r="B327" s="1" t="n">
        <v>44123.53505787037</v>
      </c>
      <c r="C327" s="1" t="n">
        <v>45925</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53496-2022</t>
        </is>
      </c>
      <c r="B328" s="1" t="n">
        <v>44879.57217592592</v>
      </c>
      <c r="C328" s="1" t="n">
        <v>45925</v>
      </c>
      <c r="D328" t="inlineStr">
        <is>
          <t>UPPSALA LÄN</t>
        </is>
      </c>
      <c r="E328" t="inlineStr">
        <is>
          <t>ENKÖPING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7870-2024</t>
        </is>
      </c>
      <c r="B329" s="1" t="n">
        <v>45350.33349537037</v>
      </c>
      <c r="C329" s="1" t="n">
        <v>45925</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28243-2023</t>
        </is>
      </c>
      <c r="B330" s="1" t="n">
        <v>45099.58885416666</v>
      </c>
      <c r="C330" s="1" t="n">
        <v>45925</v>
      </c>
      <c r="D330" t="inlineStr">
        <is>
          <t>UPPSALA LÄN</t>
        </is>
      </c>
      <c r="E330" t="inlineStr">
        <is>
          <t>ENKÖPING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10829-2024</t>
        </is>
      </c>
      <c r="B331" s="1" t="n">
        <v>45369</v>
      </c>
      <c r="C331" s="1" t="n">
        <v>45925</v>
      </c>
      <c r="D331" t="inlineStr">
        <is>
          <t>UPPSALA LÄN</t>
        </is>
      </c>
      <c r="E331" t="inlineStr">
        <is>
          <t>ENKÖPING</t>
        </is>
      </c>
      <c r="G331" t="n">
        <v>2.1</v>
      </c>
      <c r="H331" t="n">
        <v>0</v>
      </c>
      <c r="I331" t="n">
        <v>0</v>
      </c>
      <c r="J331" t="n">
        <v>0</v>
      </c>
      <c r="K331" t="n">
        <v>0</v>
      </c>
      <c r="L331" t="n">
        <v>0</v>
      </c>
      <c r="M331" t="n">
        <v>0</v>
      </c>
      <c r="N331" t="n">
        <v>0</v>
      </c>
      <c r="O331" t="n">
        <v>0</v>
      </c>
      <c r="P331" t="n">
        <v>0</v>
      </c>
      <c r="Q331" t="n">
        <v>0</v>
      </c>
      <c r="R331" s="2" t="inlineStr"/>
    </row>
    <row r="332" ht="15" customHeight="1">
      <c r="A332" t="inlineStr">
        <is>
          <t>A 2161-2023</t>
        </is>
      </c>
      <c r="B332" s="1" t="n">
        <v>44941</v>
      </c>
      <c r="C332" s="1" t="n">
        <v>45925</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2165-2023</t>
        </is>
      </c>
      <c r="B333" s="1" t="n">
        <v>44941</v>
      </c>
      <c r="C333" s="1" t="n">
        <v>45925</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8306-2021</t>
        </is>
      </c>
      <c r="B334" s="1" t="n">
        <v>44244</v>
      </c>
      <c r="C334" s="1" t="n">
        <v>45925</v>
      </c>
      <c r="D334" t="inlineStr">
        <is>
          <t>UPPSALA LÄN</t>
        </is>
      </c>
      <c r="E334" t="inlineStr">
        <is>
          <t>ENKÖPING</t>
        </is>
      </c>
      <c r="G334" t="n">
        <v>14.9</v>
      </c>
      <c r="H334" t="n">
        <v>0</v>
      </c>
      <c r="I334" t="n">
        <v>0</v>
      </c>
      <c r="J334" t="n">
        <v>0</v>
      </c>
      <c r="K334" t="n">
        <v>0</v>
      </c>
      <c r="L334" t="n">
        <v>0</v>
      </c>
      <c r="M334" t="n">
        <v>0</v>
      </c>
      <c r="N334" t="n">
        <v>0</v>
      </c>
      <c r="O334" t="n">
        <v>0</v>
      </c>
      <c r="P334" t="n">
        <v>0</v>
      </c>
      <c r="Q334" t="n">
        <v>0</v>
      </c>
      <c r="R334" s="2" t="inlineStr"/>
    </row>
    <row r="335" ht="15" customHeight="1">
      <c r="A335" t="inlineStr">
        <is>
          <t>A 49614-2024</t>
        </is>
      </c>
      <c r="B335" s="1" t="n">
        <v>45596.57716435185</v>
      </c>
      <c r="C335" s="1" t="n">
        <v>45925</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49632-2024</t>
        </is>
      </c>
      <c r="B336" s="1" t="n">
        <v>45596</v>
      </c>
      <c r="C336" s="1" t="n">
        <v>45925</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51027-2024</t>
        </is>
      </c>
      <c r="B337" s="1" t="n">
        <v>45603</v>
      </c>
      <c r="C337" s="1" t="n">
        <v>45925</v>
      </c>
      <c r="D337" t="inlineStr">
        <is>
          <t>UPPSALA LÄN</t>
        </is>
      </c>
      <c r="E337" t="inlineStr">
        <is>
          <t>ENKÖPING</t>
        </is>
      </c>
      <c r="G337" t="n">
        <v>3.5</v>
      </c>
      <c r="H337" t="n">
        <v>0</v>
      </c>
      <c r="I337" t="n">
        <v>0</v>
      </c>
      <c r="J337" t="n">
        <v>0</v>
      </c>
      <c r="K337" t="n">
        <v>0</v>
      </c>
      <c r="L337" t="n">
        <v>0</v>
      </c>
      <c r="M337" t="n">
        <v>0</v>
      </c>
      <c r="N337" t="n">
        <v>0</v>
      </c>
      <c r="O337" t="n">
        <v>0</v>
      </c>
      <c r="P337" t="n">
        <v>0</v>
      </c>
      <c r="Q337" t="n">
        <v>0</v>
      </c>
      <c r="R337" s="2" t="inlineStr"/>
    </row>
    <row r="338" ht="15" customHeight="1">
      <c r="A338" t="inlineStr">
        <is>
          <t>A 51030-2024</t>
        </is>
      </c>
      <c r="B338" s="1" t="n">
        <v>45603</v>
      </c>
      <c r="C338" s="1" t="n">
        <v>45925</v>
      </c>
      <c r="D338" t="inlineStr">
        <is>
          <t>UPPSALA LÄN</t>
        </is>
      </c>
      <c r="E338" t="inlineStr">
        <is>
          <t>ENKÖPING</t>
        </is>
      </c>
      <c r="G338" t="n">
        <v>2</v>
      </c>
      <c r="H338" t="n">
        <v>0</v>
      </c>
      <c r="I338" t="n">
        <v>0</v>
      </c>
      <c r="J338" t="n">
        <v>0</v>
      </c>
      <c r="K338" t="n">
        <v>0</v>
      </c>
      <c r="L338" t="n">
        <v>0</v>
      </c>
      <c r="M338" t="n">
        <v>0</v>
      </c>
      <c r="N338" t="n">
        <v>0</v>
      </c>
      <c r="O338" t="n">
        <v>0</v>
      </c>
      <c r="P338" t="n">
        <v>0</v>
      </c>
      <c r="Q338" t="n">
        <v>0</v>
      </c>
      <c r="R338" s="2" t="inlineStr"/>
    </row>
    <row r="339" ht="15" customHeight="1">
      <c r="A339" t="inlineStr">
        <is>
          <t>A 15405-2025</t>
        </is>
      </c>
      <c r="B339" s="1" t="n">
        <v>45747.44670138889</v>
      </c>
      <c r="C339" s="1" t="n">
        <v>45925</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12878-2025</t>
        </is>
      </c>
      <c r="B340" s="1" t="n">
        <v>45733.68571759259</v>
      </c>
      <c r="C340" s="1" t="n">
        <v>45925</v>
      </c>
      <c r="D340" t="inlineStr">
        <is>
          <t>UPPSALA LÄN</t>
        </is>
      </c>
      <c r="E340" t="inlineStr">
        <is>
          <t>ENKÖPING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2850-2025</t>
        </is>
      </c>
      <c r="B341" s="1" t="n">
        <v>45677</v>
      </c>
      <c r="C341" s="1" t="n">
        <v>45925</v>
      </c>
      <c r="D341" t="inlineStr">
        <is>
          <t>UPPSALA LÄN</t>
        </is>
      </c>
      <c r="E341" t="inlineStr">
        <is>
          <t>ENKÖPING</t>
        </is>
      </c>
      <c r="G341" t="n">
        <v>0.3</v>
      </c>
      <c r="H341" t="n">
        <v>0</v>
      </c>
      <c r="I341" t="n">
        <v>0</v>
      </c>
      <c r="J341" t="n">
        <v>0</v>
      </c>
      <c r="K341" t="n">
        <v>0</v>
      </c>
      <c r="L341" t="n">
        <v>0</v>
      </c>
      <c r="M341" t="n">
        <v>0</v>
      </c>
      <c r="N341" t="n">
        <v>0</v>
      </c>
      <c r="O341" t="n">
        <v>0</v>
      </c>
      <c r="P341" t="n">
        <v>0</v>
      </c>
      <c r="Q341" t="n">
        <v>0</v>
      </c>
      <c r="R341" s="2" t="inlineStr"/>
    </row>
    <row r="342" ht="15" customHeight="1">
      <c r="A342" t="inlineStr">
        <is>
          <t>A 52889-2022</t>
        </is>
      </c>
      <c r="B342" s="1" t="n">
        <v>44875</v>
      </c>
      <c r="C342" s="1" t="n">
        <v>45925</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47681-2024</t>
        </is>
      </c>
      <c r="B343" s="1" t="n">
        <v>45588</v>
      </c>
      <c r="C343" s="1" t="n">
        <v>45925</v>
      </c>
      <c r="D343" t="inlineStr">
        <is>
          <t>UPPSALA LÄN</t>
        </is>
      </c>
      <c r="E343" t="inlineStr">
        <is>
          <t>ENKÖPING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13853-2023</t>
        </is>
      </c>
      <c r="B344" s="1" t="n">
        <v>45007</v>
      </c>
      <c r="C344" s="1" t="n">
        <v>45925</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12754-2025</t>
        </is>
      </c>
      <c r="B345" s="1" t="n">
        <v>45733.56331018519</v>
      </c>
      <c r="C345" s="1" t="n">
        <v>45925</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54588-2024</t>
        </is>
      </c>
      <c r="B346" s="1" t="n">
        <v>45617</v>
      </c>
      <c r="C346" s="1" t="n">
        <v>45925</v>
      </c>
      <c r="D346" t="inlineStr">
        <is>
          <t>UPPSALA LÄN</t>
        </is>
      </c>
      <c r="E346" t="inlineStr">
        <is>
          <t>ENKÖPING</t>
        </is>
      </c>
      <c r="G346" t="n">
        <v>3.7</v>
      </c>
      <c r="H346" t="n">
        <v>0</v>
      </c>
      <c r="I346" t="n">
        <v>0</v>
      </c>
      <c r="J346" t="n">
        <v>0</v>
      </c>
      <c r="K346" t="n">
        <v>0</v>
      </c>
      <c r="L346" t="n">
        <v>0</v>
      </c>
      <c r="M346" t="n">
        <v>0</v>
      </c>
      <c r="N346" t="n">
        <v>0</v>
      </c>
      <c r="O346" t="n">
        <v>0</v>
      </c>
      <c r="P346" t="n">
        <v>0</v>
      </c>
      <c r="Q346" t="n">
        <v>0</v>
      </c>
      <c r="R346" s="2" t="inlineStr"/>
    </row>
    <row r="347" ht="15" customHeight="1">
      <c r="A347" t="inlineStr">
        <is>
          <t>A 56713-2024</t>
        </is>
      </c>
      <c r="B347" s="1" t="n">
        <v>45628</v>
      </c>
      <c r="C347" s="1" t="n">
        <v>45925</v>
      </c>
      <c r="D347" t="inlineStr">
        <is>
          <t>UPPSALA LÄN</t>
        </is>
      </c>
      <c r="E347" t="inlineStr">
        <is>
          <t>ENKÖPING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51524-2022</t>
        </is>
      </c>
      <c r="B348" s="1" t="n">
        <v>44869</v>
      </c>
      <c r="C348" s="1" t="n">
        <v>45925</v>
      </c>
      <c r="D348" t="inlineStr">
        <is>
          <t>UPPSALA LÄN</t>
        </is>
      </c>
      <c r="E348" t="inlineStr">
        <is>
          <t>ENKÖPING</t>
        </is>
      </c>
      <c r="G348" t="n">
        <v>6.6</v>
      </c>
      <c r="H348" t="n">
        <v>0</v>
      </c>
      <c r="I348" t="n">
        <v>0</v>
      </c>
      <c r="J348" t="n">
        <v>0</v>
      </c>
      <c r="K348" t="n">
        <v>0</v>
      </c>
      <c r="L348" t="n">
        <v>0</v>
      </c>
      <c r="M348" t="n">
        <v>0</v>
      </c>
      <c r="N348" t="n">
        <v>0</v>
      </c>
      <c r="O348" t="n">
        <v>0</v>
      </c>
      <c r="P348" t="n">
        <v>0</v>
      </c>
      <c r="Q348" t="n">
        <v>0</v>
      </c>
      <c r="R348" s="2" t="inlineStr"/>
    </row>
    <row r="349" ht="15" customHeight="1">
      <c r="A349" t="inlineStr">
        <is>
          <t>A 8137-2025</t>
        </is>
      </c>
      <c r="B349" s="1" t="n">
        <v>45707.8561574074</v>
      </c>
      <c r="C349" s="1" t="n">
        <v>45925</v>
      </c>
      <c r="D349" t="inlineStr">
        <is>
          <t>UPPSALA LÄN</t>
        </is>
      </c>
      <c r="E349" t="inlineStr">
        <is>
          <t>ENKÖPING</t>
        </is>
      </c>
      <c r="G349" t="n">
        <v>0.4</v>
      </c>
      <c r="H349" t="n">
        <v>0</v>
      </c>
      <c r="I349" t="n">
        <v>0</v>
      </c>
      <c r="J349" t="n">
        <v>0</v>
      </c>
      <c r="K349" t="n">
        <v>0</v>
      </c>
      <c r="L349" t="n">
        <v>0</v>
      </c>
      <c r="M349" t="n">
        <v>0</v>
      </c>
      <c r="N349" t="n">
        <v>0</v>
      </c>
      <c r="O349" t="n">
        <v>0</v>
      </c>
      <c r="P349" t="n">
        <v>0</v>
      </c>
      <c r="Q349" t="n">
        <v>0</v>
      </c>
      <c r="R349" s="2" t="inlineStr"/>
    </row>
    <row r="350" ht="15" customHeight="1">
      <c r="A350" t="inlineStr">
        <is>
          <t>A 7868-2024</t>
        </is>
      </c>
      <c r="B350" s="1" t="n">
        <v>45350.33020833333</v>
      </c>
      <c r="C350" s="1" t="n">
        <v>45925</v>
      </c>
      <c r="D350" t="inlineStr">
        <is>
          <t>UPPSALA LÄN</t>
        </is>
      </c>
      <c r="E350" t="inlineStr">
        <is>
          <t>ENKÖPING</t>
        </is>
      </c>
      <c r="G350" t="n">
        <v>0.3</v>
      </c>
      <c r="H350" t="n">
        <v>0</v>
      </c>
      <c r="I350" t="n">
        <v>0</v>
      </c>
      <c r="J350" t="n">
        <v>0</v>
      </c>
      <c r="K350" t="n">
        <v>0</v>
      </c>
      <c r="L350" t="n">
        <v>0</v>
      </c>
      <c r="M350" t="n">
        <v>0</v>
      </c>
      <c r="N350" t="n">
        <v>0</v>
      </c>
      <c r="O350" t="n">
        <v>0</v>
      </c>
      <c r="P350" t="n">
        <v>0</v>
      </c>
      <c r="Q350" t="n">
        <v>0</v>
      </c>
      <c r="R350" s="2" t="inlineStr"/>
    </row>
    <row r="351" ht="15" customHeight="1">
      <c r="A351" t="inlineStr">
        <is>
          <t>A 63310-2021</t>
        </is>
      </c>
      <c r="B351" s="1" t="n">
        <v>44508</v>
      </c>
      <c r="C351" s="1" t="n">
        <v>45925</v>
      </c>
      <c r="D351" t="inlineStr">
        <is>
          <t>UPPSALA LÄN</t>
        </is>
      </c>
      <c r="E351" t="inlineStr">
        <is>
          <t>ENKÖPING</t>
        </is>
      </c>
      <c r="G351" t="n">
        <v>3.5</v>
      </c>
      <c r="H351" t="n">
        <v>0</v>
      </c>
      <c r="I351" t="n">
        <v>0</v>
      </c>
      <c r="J351" t="n">
        <v>0</v>
      </c>
      <c r="K351" t="n">
        <v>0</v>
      </c>
      <c r="L351" t="n">
        <v>0</v>
      </c>
      <c r="M351" t="n">
        <v>0</v>
      </c>
      <c r="N351" t="n">
        <v>0</v>
      </c>
      <c r="O351" t="n">
        <v>0</v>
      </c>
      <c r="P351" t="n">
        <v>0</v>
      </c>
      <c r="Q351" t="n">
        <v>0</v>
      </c>
      <c r="R351" s="2" t="inlineStr"/>
    </row>
    <row r="352" ht="15" customHeight="1">
      <c r="A352" t="inlineStr">
        <is>
          <t>A 61106-2022</t>
        </is>
      </c>
      <c r="B352" s="1" t="n">
        <v>44915.4128587963</v>
      </c>
      <c r="C352" s="1" t="n">
        <v>45925</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51008-2024</t>
        </is>
      </c>
      <c r="B353" s="1" t="n">
        <v>45603.39041666667</v>
      </c>
      <c r="C353" s="1" t="n">
        <v>45925</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9171-2024</t>
        </is>
      </c>
      <c r="B354" s="1" t="n">
        <v>45358</v>
      </c>
      <c r="C354" s="1" t="n">
        <v>45925</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35052-2024</t>
        </is>
      </c>
      <c r="B355" s="1" t="n">
        <v>45527.6516087963</v>
      </c>
      <c r="C355" s="1" t="n">
        <v>45925</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671-2022</t>
        </is>
      </c>
      <c r="B356" s="1" t="n">
        <v>44568</v>
      </c>
      <c r="C356" s="1" t="n">
        <v>45925</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11005-2023</t>
        </is>
      </c>
      <c r="B357" s="1" t="n">
        <v>44991</v>
      </c>
      <c r="C357" s="1" t="n">
        <v>45925</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29918-2023</t>
        </is>
      </c>
      <c r="B358" s="1" t="n">
        <v>45099</v>
      </c>
      <c r="C358" s="1" t="n">
        <v>45925</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58384-2022</t>
        </is>
      </c>
      <c r="B359" s="1" t="n">
        <v>44901</v>
      </c>
      <c r="C359" s="1" t="n">
        <v>45925</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43016-2021</t>
        </is>
      </c>
      <c r="B360" s="1" t="n">
        <v>44431</v>
      </c>
      <c r="C360" s="1" t="n">
        <v>45925</v>
      </c>
      <c r="D360" t="inlineStr">
        <is>
          <t>UPPSALA LÄN</t>
        </is>
      </c>
      <c r="E360" t="inlineStr">
        <is>
          <t>ENKÖPING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15893-2024</t>
        </is>
      </c>
      <c r="B361" s="1" t="n">
        <v>45405</v>
      </c>
      <c r="C361" s="1" t="n">
        <v>45925</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33343-2024</t>
        </is>
      </c>
      <c r="B362" s="1" t="n">
        <v>45519</v>
      </c>
      <c r="C362" s="1" t="n">
        <v>45925</v>
      </c>
      <c r="D362" t="inlineStr">
        <is>
          <t>UPPSALA LÄN</t>
        </is>
      </c>
      <c r="E362" t="inlineStr">
        <is>
          <t>ENKÖPING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57142-2021</t>
        </is>
      </c>
      <c r="B363" s="1" t="n">
        <v>44482</v>
      </c>
      <c r="C363" s="1" t="n">
        <v>45925</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57153-2021</t>
        </is>
      </c>
      <c r="B364" s="1" t="n">
        <v>44482</v>
      </c>
      <c r="C364" s="1" t="n">
        <v>45925</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14518-2025</t>
        </is>
      </c>
      <c r="B365" s="1" t="n">
        <v>45741</v>
      </c>
      <c r="C365" s="1" t="n">
        <v>45925</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5188-2022</t>
        </is>
      </c>
      <c r="B366" s="1" t="n">
        <v>44594.4471412037</v>
      </c>
      <c r="C366" s="1" t="n">
        <v>45925</v>
      </c>
      <c r="D366" t="inlineStr">
        <is>
          <t>UPPSALA LÄN</t>
        </is>
      </c>
      <c r="E366" t="inlineStr">
        <is>
          <t>ENKÖPING</t>
        </is>
      </c>
      <c r="G366" t="n">
        <v>1.6</v>
      </c>
      <c r="H366" t="n">
        <v>0</v>
      </c>
      <c r="I366" t="n">
        <v>0</v>
      </c>
      <c r="J366" t="n">
        <v>0</v>
      </c>
      <c r="K366" t="n">
        <v>0</v>
      </c>
      <c r="L366" t="n">
        <v>0</v>
      </c>
      <c r="M366" t="n">
        <v>0</v>
      </c>
      <c r="N366" t="n">
        <v>0</v>
      </c>
      <c r="O366" t="n">
        <v>0</v>
      </c>
      <c r="P366" t="n">
        <v>0</v>
      </c>
      <c r="Q366" t="n">
        <v>0</v>
      </c>
      <c r="R366" s="2" t="inlineStr"/>
    </row>
    <row r="367" ht="15" customHeight="1">
      <c r="A367" t="inlineStr">
        <is>
          <t>A 54776-2024</t>
        </is>
      </c>
      <c r="B367" s="1" t="n">
        <v>45618</v>
      </c>
      <c r="C367" s="1" t="n">
        <v>45925</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19014-2025</t>
        </is>
      </c>
      <c r="B368" s="1" t="n">
        <v>45764.59631944444</v>
      </c>
      <c r="C368" s="1" t="n">
        <v>45925</v>
      </c>
      <c r="D368" t="inlineStr">
        <is>
          <t>UPPSALA LÄN</t>
        </is>
      </c>
      <c r="E368" t="inlineStr">
        <is>
          <t>ENKÖPING</t>
        </is>
      </c>
      <c r="G368" t="n">
        <v>0.2</v>
      </c>
      <c r="H368" t="n">
        <v>0</v>
      </c>
      <c r="I368" t="n">
        <v>0</v>
      </c>
      <c r="J368" t="n">
        <v>0</v>
      </c>
      <c r="K368" t="n">
        <v>0</v>
      </c>
      <c r="L368" t="n">
        <v>0</v>
      </c>
      <c r="M368" t="n">
        <v>0</v>
      </c>
      <c r="N368" t="n">
        <v>0</v>
      </c>
      <c r="O368" t="n">
        <v>0</v>
      </c>
      <c r="P368" t="n">
        <v>0</v>
      </c>
      <c r="Q368" t="n">
        <v>0</v>
      </c>
      <c r="R368" s="2" t="inlineStr"/>
    </row>
    <row r="369" ht="15" customHeight="1">
      <c r="A369" t="inlineStr">
        <is>
          <t>A 43691-2024</t>
        </is>
      </c>
      <c r="B369" s="1" t="n">
        <v>45569</v>
      </c>
      <c r="C369" s="1" t="n">
        <v>45925</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22150-2025</t>
        </is>
      </c>
      <c r="B370" s="1" t="n">
        <v>45785.56398148148</v>
      </c>
      <c r="C370" s="1" t="n">
        <v>45925</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22156-2025</t>
        </is>
      </c>
      <c r="B371" s="1" t="n">
        <v>45785.57512731481</v>
      </c>
      <c r="C371" s="1" t="n">
        <v>45925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30087-2024</t>
        </is>
      </c>
      <c r="B372" s="1" t="n">
        <v>45489.39447916667</v>
      </c>
      <c r="C372" s="1" t="n">
        <v>45925</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19376-2024</t>
        </is>
      </c>
      <c r="B373" s="1" t="n">
        <v>45429</v>
      </c>
      <c r="C373" s="1" t="n">
        <v>45925</v>
      </c>
      <c r="D373" t="inlineStr">
        <is>
          <t>UPPSALA LÄN</t>
        </is>
      </c>
      <c r="E373" t="inlineStr">
        <is>
          <t>ENKÖPING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22632-2025</t>
        </is>
      </c>
      <c r="B374" s="1" t="n">
        <v>45789.44361111111</v>
      </c>
      <c r="C374" s="1" t="n">
        <v>45925</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22677-2025</t>
        </is>
      </c>
      <c r="B375" s="1" t="n">
        <v>45789.49515046296</v>
      </c>
      <c r="C375" s="1" t="n">
        <v>45925</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22679-2025</t>
        </is>
      </c>
      <c r="B376" s="1" t="n">
        <v>45789.49747685185</v>
      </c>
      <c r="C376" s="1" t="n">
        <v>45925</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22729-2025</t>
        </is>
      </c>
      <c r="B377" s="1" t="n">
        <v>45789.57790509259</v>
      </c>
      <c r="C377" s="1" t="n">
        <v>45925</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22786-2025</t>
        </is>
      </c>
      <c r="B378" s="1" t="n">
        <v>45789.64643518518</v>
      </c>
      <c r="C378" s="1" t="n">
        <v>45925</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22795-2025</t>
        </is>
      </c>
      <c r="B379" s="1" t="n">
        <v>45789.65944444444</v>
      </c>
      <c r="C379" s="1" t="n">
        <v>45925</v>
      </c>
      <c r="D379" t="inlineStr">
        <is>
          <t>UPPSALA LÄN</t>
        </is>
      </c>
      <c r="E379" t="inlineStr">
        <is>
          <t>ENKÖPING</t>
        </is>
      </c>
      <c r="G379" t="n">
        <v>10.4</v>
      </c>
      <c r="H379" t="n">
        <v>0</v>
      </c>
      <c r="I379" t="n">
        <v>0</v>
      </c>
      <c r="J379" t="n">
        <v>0</v>
      </c>
      <c r="K379" t="n">
        <v>0</v>
      </c>
      <c r="L379" t="n">
        <v>0</v>
      </c>
      <c r="M379" t="n">
        <v>0</v>
      </c>
      <c r="N379" t="n">
        <v>0</v>
      </c>
      <c r="O379" t="n">
        <v>0</v>
      </c>
      <c r="P379" t="n">
        <v>0</v>
      </c>
      <c r="Q379" t="n">
        <v>0</v>
      </c>
      <c r="R379" s="2" t="inlineStr"/>
    </row>
    <row r="380" ht="15" customHeight="1">
      <c r="A380" t="inlineStr">
        <is>
          <t>A 22802-2025</t>
        </is>
      </c>
      <c r="B380" s="1" t="n">
        <v>45789.6686574074</v>
      </c>
      <c r="C380" s="1" t="n">
        <v>45925</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33670-2024</t>
        </is>
      </c>
      <c r="B381" s="1" t="n">
        <v>45520</v>
      </c>
      <c r="C381" s="1" t="n">
        <v>45925</v>
      </c>
      <c r="D381" t="inlineStr">
        <is>
          <t>UPPSALA LÄN</t>
        </is>
      </c>
      <c r="E381" t="inlineStr">
        <is>
          <t>ENKÖPING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22680-2025</t>
        </is>
      </c>
      <c r="B382" s="1" t="n">
        <v>45789.5005787037</v>
      </c>
      <c r="C382" s="1" t="n">
        <v>45925</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19147-2024</t>
        </is>
      </c>
      <c r="B383" s="1" t="n">
        <v>45428</v>
      </c>
      <c r="C383" s="1" t="n">
        <v>45925</v>
      </c>
      <c r="D383" t="inlineStr">
        <is>
          <t>UPPSALA LÄN</t>
        </is>
      </c>
      <c r="E383" t="inlineStr">
        <is>
          <t>ENKÖPING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6981-2025</t>
        </is>
      </c>
      <c r="B384" s="1" t="n">
        <v>45701</v>
      </c>
      <c r="C384" s="1" t="n">
        <v>45925</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22770-2025</t>
        </is>
      </c>
      <c r="B385" s="1" t="n">
        <v>45789.63454861111</v>
      </c>
      <c r="C385" s="1" t="n">
        <v>45925</v>
      </c>
      <c r="D385" t="inlineStr">
        <is>
          <t>UPPSALA LÄN</t>
        </is>
      </c>
      <c r="E385" t="inlineStr">
        <is>
          <t>ENKÖPING</t>
        </is>
      </c>
      <c r="G385" t="n">
        <v>4.5</v>
      </c>
      <c r="H385" t="n">
        <v>0</v>
      </c>
      <c r="I385" t="n">
        <v>0</v>
      </c>
      <c r="J385" t="n">
        <v>0</v>
      </c>
      <c r="K385" t="n">
        <v>0</v>
      </c>
      <c r="L385" t="n">
        <v>0</v>
      </c>
      <c r="M385" t="n">
        <v>0</v>
      </c>
      <c r="N385" t="n">
        <v>0</v>
      </c>
      <c r="O385" t="n">
        <v>0</v>
      </c>
      <c r="P385" t="n">
        <v>0</v>
      </c>
      <c r="Q385" t="n">
        <v>0</v>
      </c>
      <c r="R385" s="2" t="inlineStr"/>
    </row>
    <row r="386" ht="15" customHeight="1">
      <c r="A386" t="inlineStr">
        <is>
          <t>A 22725-2025</t>
        </is>
      </c>
      <c r="B386" s="1" t="n">
        <v>45789.57371527778</v>
      </c>
      <c r="C386" s="1" t="n">
        <v>45925</v>
      </c>
      <c r="D386" t="inlineStr">
        <is>
          <t>UPPSALA LÄN</t>
        </is>
      </c>
      <c r="E386" t="inlineStr">
        <is>
          <t>ENKÖPING</t>
        </is>
      </c>
      <c r="G386" t="n">
        <v>4.8</v>
      </c>
      <c r="H386" t="n">
        <v>0</v>
      </c>
      <c r="I386" t="n">
        <v>0</v>
      </c>
      <c r="J386" t="n">
        <v>0</v>
      </c>
      <c r="K386" t="n">
        <v>0</v>
      </c>
      <c r="L386" t="n">
        <v>0</v>
      </c>
      <c r="M386" t="n">
        <v>0</v>
      </c>
      <c r="N386" t="n">
        <v>0</v>
      </c>
      <c r="O386" t="n">
        <v>0</v>
      </c>
      <c r="P386" t="n">
        <v>0</v>
      </c>
      <c r="Q386" t="n">
        <v>0</v>
      </c>
      <c r="R386" s="2" t="inlineStr"/>
    </row>
    <row r="387" ht="15" customHeight="1">
      <c r="A387" t="inlineStr">
        <is>
          <t>A 22981-2025</t>
        </is>
      </c>
      <c r="B387" s="1" t="n">
        <v>45790.56964120371</v>
      </c>
      <c r="C387" s="1" t="n">
        <v>45925</v>
      </c>
      <c r="D387" t="inlineStr">
        <is>
          <t>UPPSALA LÄN</t>
        </is>
      </c>
      <c r="E387" t="inlineStr">
        <is>
          <t>ENKÖPING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68123-2021</t>
        </is>
      </c>
      <c r="B388" s="1" t="n">
        <v>44526.39126157408</v>
      </c>
      <c r="C388" s="1" t="n">
        <v>45925</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22793-2025</t>
        </is>
      </c>
      <c r="B389" s="1" t="n">
        <v>45789.65693287037</v>
      </c>
      <c r="C389" s="1" t="n">
        <v>45925</v>
      </c>
      <c r="D389" t="inlineStr">
        <is>
          <t>UPPSALA LÄN</t>
        </is>
      </c>
      <c r="E389" t="inlineStr">
        <is>
          <t>ENKÖPING</t>
        </is>
      </c>
      <c r="G389" t="n">
        <v>3.2</v>
      </c>
      <c r="H389" t="n">
        <v>0</v>
      </c>
      <c r="I389" t="n">
        <v>0</v>
      </c>
      <c r="J389" t="n">
        <v>0</v>
      </c>
      <c r="K389" t="n">
        <v>0</v>
      </c>
      <c r="L389" t="n">
        <v>0</v>
      </c>
      <c r="M389" t="n">
        <v>0</v>
      </c>
      <c r="N389" t="n">
        <v>0</v>
      </c>
      <c r="O389" t="n">
        <v>0</v>
      </c>
      <c r="P389" t="n">
        <v>0</v>
      </c>
      <c r="Q389" t="n">
        <v>0</v>
      </c>
      <c r="R389" s="2" t="inlineStr"/>
    </row>
    <row r="390" ht="15" customHeight="1">
      <c r="A390" t="inlineStr">
        <is>
          <t>A 22800-2025</t>
        </is>
      </c>
      <c r="B390" s="1" t="n">
        <v>45789.6669212963</v>
      </c>
      <c r="C390" s="1" t="n">
        <v>45925</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17729-2023</t>
        </is>
      </c>
      <c r="B391" s="1" t="n">
        <v>45037</v>
      </c>
      <c r="C391" s="1" t="n">
        <v>45925</v>
      </c>
      <c r="D391" t="inlineStr">
        <is>
          <t>UPPSALA LÄN</t>
        </is>
      </c>
      <c r="E391" t="inlineStr">
        <is>
          <t>ENKÖPING</t>
        </is>
      </c>
      <c r="G391" t="n">
        <v>10.2</v>
      </c>
      <c r="H391" t="n">
        <v>0</v>
      </c>
      <c r="I391" t="n">
        <v>0</v>
      </c>
      <c r="J391" t="n">
        <v>0</v>
      </c>
      <c r="K391" t="n">
        <v>0</v>
      </c>
      <c r="L391" t="n">
        <v>0</v>
      </c>
      <c r="M391" t="n">
        <v>0</v>
      </c>
      <c r="N391" t="n">
        <v>0</v>
      </c>
      <c r="O391" t="n">
        <v>0</v>
      </c>
      <c r="P391" t="n">
        <v>0</v>
      </c>
      <c r="Q391" t="n">
        <v>0</v>
      </c>
      <c r="R391" s="2" t="inlineStr"/>
    </row>
    <row r="392" ht="15" customHeight="1">
      <c r="A392" t="inlineStr">
        <is>
          <t>A 5749-2025</t>
        </is>
      </c>
      <c r="B392" s="1" t="n">
        <v>45694</v>
      </c>
      <c r="C392" s="1" t="n">
        <v>45925</v>
      </c>
      <c r="D392" t="inlineStr">
        <is>
          <t>UPPSALA LÄN</t>
        </is>
      </c>
      <c r="E392" t="inlineStr">
        <is>
          <t>ENKÖPING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67982-2021</t>
        </is>
      </c>
      <c r="B393" s="1" t="n">
        <v>44525</v>
      </c>
      <c r="C393" s="1" t="n">
        <v>45925</v>
      </c>
      <c r="D393" t="inlineStr">
        <is>
          <t>UPPSALA LÄN</t>
        </is>
      </c>
      <c r="E393" t="inlineStr">
        <is>
          <t>ENKÖPING</t>
        </is>
      </c>
      <c r="G393" t="n">
        <v>1.7</v>
      </c>
      <c r="H393" t="n">
        <v>0</v>
      </c>
      <c r="I393" t="n">
        <v>0</v>
      </c>
      <c r="J393" t="n">
        <v>0</v>
      </c>
      <c r="K393" t="n">
        <v>0</v>
      </c>
      <c r="L393" t="n">
        <v>0</v>
      </c>
      <c r="M393" t="n">
        <v>0</v>
      </c>
      <c r="N393" t="n">
        <v>0</v>
      </c>
      <c r="O393" t="n">
        <v>0</v>
      </c>
      <c r="P393" t="n">
        <v>0</v>
      </c>
      <c r="Q393" t="n">
        <v>0</v>
      </c>
      <c r="R393" s="2" t="inlineStr"/>
    </row>
    <row r="394" ht="15" customHeight="1">
      <c r="A394" t="inlineStr">
        <is>
          <t>A 8020-2022</t>
        </is>
      </c>
      <c r="B394" s="1" t="n">
        <v>44609</v>
      </c>
      <c r="C394" s="1" t="n">
        <v>45925</v>
      </c>
      <c r="D394" t="inlineStr">
        <is>
          <t>UPPSALA LÄN</t>
        </is>
      </c>
      <c r="E394" t="inlineStr">
        <is>
          <t>ENKÖPING</t>
        </is>
      </c>
      <c r="G394" t="n">
        <v>6</v>
      </c>
      <c r="H394" t="n">
        <v>0</v>
      </c>
      <c r="I394" t="n">
        <v>0</v>
      </c>
      <c r="J394" t="n">
        <v>0</v>
      </c>
      <c r="K394" t="n">
        <v>0</v>
      </c>
      <c r="L394" t="n">
        <v>0</v>
      </c>
      <c r="M394" t="n">
        <v>0</v>
      </c>
      <c r="N394" t="n">
        <v>0</v>
      </c>
      <c r="O394" t="n">
        <v>0</v>
      </c>
      <c r="P394" t="n">
        <v>0</v>
      </c>
      <c r="Q394" t="n">
        <v>0</v>
      </c>
      <c r="R394" s="2" t="inlineStr"/>
    </row>
    <row r="395" ht="15" customHeight="1">
      <c r="A395" t="inlineStr">
        <is>
          <t>A 34805-2024</t>
        </is>
      </c>
      <c r="B395" s="1" t="n">
        <v>45526</v>
      </c>
      <c r="C395" s="1" t="n">
        <v>45925</v>
      </c>
      <c r="D395" t="inlineStr">
        <is>
          <t>UPPSALA LÄN</t>
        </is>
      </c>
      <c r="E395" t="inlineStr">
        <is>
          <t>ENKÖPING</t>
        </is>
      </c>
      <c r="G395" t="n">
        <v>3.6</v>
      </c>
      <c r="H395" t="n">
        <v>0</v>
      </c>
      <c r="I395" t="n">
        <v>0</v>
      </c>
      <c r="J395" t="n">
        <v>0</v>
      </c>
      <c r="K395" t="n">
        <v>0</v>
      </c>
      <c r="L395" t="n">
        <v>0</v>
      </c>
      <c r="M395" t="n">
        <v>0</v>
      </c>
      <c r="N395" t="n">
        <v>0</v>
      </c>
      <c r="O395" t="n">
        <v>0</v>
      </c>
      <c r="P395" t="n">
        <v>0</v>
      </c>
      <c r="Q395" t="n">
        <v>0</v>
      </c>
      <c r="R395" s="2" t="inlineStr"/>
    </row>
    <row r="396" ht="15" customHeight="1">
      <c r="A396" t="inlineStr">
        <is>
          <t>A 57835-2024</t>
        </is>
      </c>
      <c r="B396" s="1" t="n">
        <v>45631.39947916667</v>
      </c>
      <c r="C396" s="1" t="n">
        <v>45925</v>
      </c>
      <c r="D396" t="inlineStr">
        <is>
          <t>UPPSALA LÄN</t>
        </is>
      </c>
      <c r="E396" t="inlineStr">
        <is>
          <t>ENKÖPING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314-2025</t>
        </is>
      </c>
      <c r="B397" s="1" t="n">
        <v>45656</v>
      </c>
      <c r="C397" s="1" t="n">
        <v>45925</v>
      </c>
      <c r="D397" t="inlineStr">
        <is>
          <t>UPPSALA LÄN</t>
        </is>
      </c>
      <c r="E397" t="inlineStr">
        <is>
          <t>ENKÖPING</t>
        </is>
      </c>
      <c r="G397" t="n">
        <v>9</v>
      </c>
      <c r="H397" t="n">
        <v>0</v>
      </c>
      <c r="I397" t="n">
        <v>0</v>
      </c>
      <c r="J397" t="n">
        <v>0</v>
      </c>
      <c r="K397" t="n">
        <v>0</v>
      </c>
      <c r="L397" t="n">
        <v>0</v>
      </c>
      <c r="M397" t="n">
        <v>0</v>
      </c>
      <c r="N397" t="n">
        <v>0</v>
      </c>
      <c r="O397" t="n">
        <v>0</v>
      </c>
      <c r="P397" t="n">
        <v>0</v>
      </c>
      <c r="Q397" t="n">
        <v>0</v>
      </c>
      <c r="R397" s="2" t="inlineStr"/>
    </row>
    <row r="398" ht="15" customHeight="1">
      <c r="A398" t="inlineStr">
        <is>
          <t>A 10831-2024</t>
        </is>
      </c>
      <c r="B398" s="1" t="n">
        <v>45369</v>
      </c>
      <c r="C398" s="1" t="n">
        <v>45925</v>
      </c>
      <c r="D398" t="inlineStr">
        <is>
          <t>UPPSALA LÄN</t>
        </is>
      </c>
      <c r="E398" t="inlineStr">
        <is>
          <t>ENKÖPING</t>
        </is>
      </c>
      <c r="G398" t="n">
        <v>2.9</v>
      </c>
      <c r="H398" t="n">
        <v>0</v>
      </c>
      <c r="I398" t="n">
        <v>0</v>
      </c>
      <c r="J398" t="n">
        <v>0</v>
      </c>
      <c r="K398" t="n">
        <v>0</v>
      </c>
      <c r="L398" t="n">
        <v>0</v>
      </c>
      <c r="M398" t="n">
        <v>0</v>
      </c>
      <c r="N398" t="n">
        <v>0</v>
      </c>
      <c r="O398" t="n">
        <v>0</v>
      </c>
      <c r="P398" t="n">
        <v>0</v>
      </c>
      <c r="Q398" t="n">
        <v>0</v>
      </c>
      <c r="R398" s="2" t="inlineStr"/>
    </row>
    <row r="399" ht="15" customHeight="1">
      <c r="A399" t="inlineStr">
        <is>
          <t>A 21612-2023</t>
        </is>
      </c>
      <c r="B399" s="1" t="n">
        <v>45063</v>
      </c>
      <c r="C399" s="1" t="n">
        <v>45925</v>
      </c>
      <c r="D399" t="inlineStr">
        <is>
          <t>UPPSALA LÄN</t>
        </is>
      </c>
      <c r="E399" t="inlineStr">
        <is>
          <t>ENKÖPING</t>
        </is>
      </c>
      <c r="F399" t="inlineStr">
        <is>
          <t>Allmännings- och besparingsskogar</t>
        </is>
      </c>
      <c r="G399" t="n">
        <v>1</v>
      </c>
      <c r="H399" t="n">
        <v>0</v>
      </c>
      <c r="I399" t="n">
        <v>0</v>
      </c>
      <c r="J399" t="n">
        <v>0</v>
      </c>
      <c r="K399" t="n">
        <v>0</v>
      </c>
      <c r="L399" t="n">
        <v>0</v>
      </c>
      <c r="M399" t="n">
        <v>0</v>
      </c>
      <c r="N399" t="n">
        <v>0</v>
      </c>
      <c r="O399" t="n">
        <v>0</v>
      </c>
      <c r="P399" t="n">
        <v>0</v>
      </c>
      <c r="Q399" t="n">
        <v>0</v>
      </c>
      <c r="R399" s="2" t="inlineStr"/>
    </row>
    <row r="400" ht="15" customHeight="1">
      <c r="A400" t="inlineStr">
        <is>
          <t>A 39624-2023</t>
        </is>
      </c>
      <c r="B400" s="1" t="n">
        <v>45164</v>
      </c>
      <c r="C400" s="1" t="n">
        <v>45925</v>
      </c>
      <c r="D400" t="inlineStr">
        <is>
          <t>UPPSALA LÄN</t>
        </is>
      </c>
      <c r="E400" t="inlineStr">
        <is>
          <t>ENKÖPING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5892-2023</t>
        </is>
      </c>
      <c r="B401" s="1" t="n">
        <v>44963.64883101852</v>
      </c>
      <c r="C401" s="1" t="n">
        <v>45925</v>
      </c>
      <c r="D401" t="inlineStr">
        <is>
          <t>UPPSALA LÄN</t>
        </is>
      </c>
      <c r="E401" t="inlineStr">
        <is>
          <t>ENKÖPING</t>
        </is>
      </c>
      <c r="G401" t="n">
        <v>5.5</v>
      </c>
      <c r="H401" t="n">
        <v>0</v>
      </c>
      <c r="I401" t="n">
        <v>0</v>
      </c>
      <c r="J401" t="n">
        <v>0</v>
      </c>
      <c r="K401" t="n">
        <v>0</v>
      </c>
      <c r="L401" t="n">
        <v>0</v>
      </c>
      <c r="M401" t="n">
        <v>0</v>
      </c>
      <c r="N401" t="n">
        <v>0</v>
      </c>
      <c r="O401" t="n">
        <v>0</v>
      </c>
      <c r="P401" t="n">
        <v>0</v>
      </c>
      <c r="Q401" t="n">
        <v>0</v>
      </c>
      <c r="R401" s="2" t="inlineStr"/>
    </row>
    <row r="402" ht="15" customHeight="1">
      <c r="A402" t="inlineStr">
        <is>
          <t>A 5712-2025</t>
        </is>
      </c>
      <c r="B402" s="1" t="n">
        <v>45694</v>
      </c>
      <c r="C402" s="1" t="n">
        <v>45925</v>
      </c>
      <c r="D402" t="inlineStr">
        <is>
          <t>UPPSALA LÄN</t>
        </is>
      </c>
      <c r="E402" t="inlineStr">
        <is>
          <t>ENKÖPING</t>
        </is>
      </c>
      <c r="G402" t="n">
        <v>5.1</v>
      </c>
      <c r="H402" t="n">
        <v>0</v>
      </c>
      <c r="I402" t="n">
        <v>0</v>
      </c>
      <c r="J402" t="n">
        <v>0</v>
      </c>
      <c r="K402" t="n">
        <v>0</v>
      </c>
      <c r="L402" t="n">
        <v>0</v>
      </c>
      <c r="M402" t="n">
        <v>0</v>
      </c>
      <c r="N402" t="n">
        <v>0</v>
      </c>
      <c r="O402" t="n">
        <v>0</v>
      </c>
      <c r="P402" t="n">
        <v>0</v>
      </c>
      <c r="Q402" t="n">
        <v>0</v>
      </c>
      <c r="R402" s="2" t="inlineStr"/>
    </row>
    <row r="403" ht="15" customHeight="1">
      <c r="A403" t="inlineStr">
        <is>
          <t>A 39858-2024</t>
        </is>
      </c>
      <c r="B403" s="1" t="n">
        <v>45553</v>
      </c>
      <c r="C403" s="1" t="n">
        <v>45925</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45956-2024</t>
        </is>
      </c>
      <c r="B404" s="1" t="n">
        <v>45580</v>
      </c>
      <c r="C404" s="1" t="n">
        <v>45925</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11627-2025</t>
        </is>
      </c>
      <c r="B405" s="1" t="n">
        <v>45727</v>
      </c>
      <c r="C405" s="1" t="n">
        <v>45925</v>
      </c>
      <c r="D405" t="inlineStr">
        <is>
          <t>UPPSALA LÄN</t>
        </is>
      </c>
      <c r="E405" t="inlineStr">
        <is>
          <t>ENKÖPING</t>
        </is>
      </c>
      <c r="G405" t="n">
        <v>5.5</v>
      </c>
      <c r="H405" t="n">
        <v>0</v>
      </c>
      <c r="I405" t="n">
        <v>0</v>
      </c>
      <c r="J405" t="n">
        <v>0</v>
      </c>
      <c r="K405" t="n">
        <v>0</v>
      </c>
      <c r="L405" t="n">
        <v>0</v>
      </c>
      <c r="M405" t="n">
        <v>0</v>
      </c>
      <c r="N405" t="n">
        <v>0</v>
      </c>
      <c r="O405" t="n">
        <v>0</v>
      </c>
      <c r="P405" t="n">
        <v>0</v>
      </c>
      <c r="Q405" t="n">
        <v>0</v>
      </c>
      <c r="R405" s="2" t="inlineStr"/>
    </row>
    <row r="406" ht="15" customHeight="1">
      <c r="A406" t="inlineStr">
        <is>
          <t>A 74090-2021</t>
        </is>
      </c>
      <c r="B406" s="1" t="n">
        <v>44557</v>
      </c>
      <c r="C406" s="1" t="n">
        <v>45925</v>
      </c>
      <c r="D406" t="inlineStr">
        <is>
          <t>UPPSALA LÄN</t>
        </is>
      </c>
      <c r="E406" t="inlineStr">
        <is>
          <t>ENKÖPING</t>
        </is>
      </c>
      <c r="G406" t="n">
        <v>2.1</v>
      </c>
      <c r="H406" t="n">
        <v>0</v>
      </c>
      <c r="I406" t="n">
        <v>0</v>
      </c>
      <c r="J406" t="n">
        <v>0</v>
      </c>
      <c r="K406" t="n">
        <v>0</v>
      </c>
      <c r="L406" t="n">
        <v>0</v>
      </c>
      <c r="M406" t="n">
        <v>0</v>
      </c>
      <c r="N406" t="n">
        <v>0</v>
      </c>
      <c r="O406" t="n">
        <v>0</v>
      </c>
      <c r="P406" t="n">
        <v>0</v>
      </c>
      <c r="Q406" t="n">
        <v>0</v>
      </c>
      <c r="R406" s="2" t="inlineStr"/>
    </row>
    <row r="407" ht="15" customHeight="1">
      <c r="A407" t="inlineStr">
        <is>
          <t>A 9957-2023</t>
        </is>
      </c>
      <c r="B407" s="1" t="n">
        <v>44978</v>
      </c>
      <c r="C407" s="1" t="n">
        <v>45925</v>
      </c>
      <c r="D407" t="inlineStr">
        <is>
          <t>UPPSALA LÄN</t>
        </is>
      </c>
      <c r="E407" t="inlineStr">
        <is>
          <t>ENKÖPING</t>
        </is>
      </c>
      <c r="G407" t="n">
        <v>5.9</v>
      </c>
      <c r="H407" t="n">
        <v>0</v>
      </c>
      <c r="I407" t="n">
        <v>0</v>
      </c>
      <c r="J407" t="n">
        <v>0</v>
      </c>
      <c r="K407" t="n">
        <v>0</v>
      </c>
      <c r="L407" t="n">
        <v>0</v>
      </c>
      <c r="M407" t="n">
        <v>0</v>
      </c>
      <c r="N407" t="n">
        <v>0</v>
      </c>
      <c r="O407" t="n">
        <v>0</v>
      </c>
      <c r="P407" t="n">
        <v>0</v>
      </c>
      <c r="Q407" t="n">
        <v>0</v>
      </c>
      <c r="R407" s="2" t="inlineStr"/>
    </row>
    <row r="408" ht="15" customHeight="1">
      <c r="A408" t="inlineStr">
        <is>
          <t>A 58092-2024</t>
        </is>
      </c>
      <c r="B408" s="1" t="n">
        <v>45632</v>
      </c>
      <c r="C408" s="1" t="n">
        <v>45925</v>
      </c>
      <c r="D408" t="inlineStr">
        <is>
          <t>UPPSALA LÄN</t>
        </is>
      </c>
      <c r="E408" t="inlineStr">
        <is>
          <t>ENKÖPING</t>
        </is>
      </c>
      <c r="G408" t="n">
        <v>4.8</v>
      </c>
      <c r="H408" t="n">
        <v>0</v>
      </c>
      <c r="I408" t="n">
        <v>0</v>
      </c>
      <c r="J408" t="n">
        <v>0</v>
      </c>
      <c r="K408" t="n">
        <v>0</v>
      </c>
      <c r="L408" t="n">
        <v>0</v>
      </c>
      <c r="M408" t="n">
        <v>0</v>
      </c>
      <c r="N408" t="n">
        <v>0</v>
      </c>
      <c r="O408" t="n">
        <v>0</v>
      </c>
      <c r="P408" t="n">
        <v>0</v>
      </c>
      <c r="Q408" t="n">
        <v>0</v>
      </c>
      <c r="R408" s="2" t="inlineStr"/>
    </row>
    <row r="409" ht="15" customHeight="1">
      <c r="A409" t="inlineStr">
        <is>
          <t>A 8152-2022</t>
        </is>
      </c>
      <c r="B409" s="1" t="n">
        <v>44609</v>
      </c>
      <c r="C409" s="1" t="n">
        <v>45925</v>
      </c>
      <c r="D409" t="inlineStr">
        <is>
          <t>UPPSALA LÄN</t>
        </is>
      </c>
      <c r="E409" t="inlineStr">
        <is>
          <t>ENKÖPING</t>
        </is>
      </c>
      <c r="F409" t="inlineStr">
        <is>
          <t>Kyrkan</t>
        </is>
      </c>
      <c r="G409" t="n">
        <v>1.3</v>
      </c>
      <c r="H409" t="n">
        <v>0</v>
      </c>
      <c r="I409" t="n">
        <v>0</v>
      </c>
      <c r="J409" t="n">
        <v>0</v>
      </c>
      <c r="K409" t="n">
        <v>0</v>
      </c>
      <c r="L409" t="n">
        <v>0</v>
      </c>
      <c r="M409" t="n">
        <v>0</v>
      </c>
      <c r="N409" t="n">
        <v>0</v>
      </c>
      <c r="O409" t="n">
        <v>0</v>
      </c>
      <c r="P409" t="n">
        <v>0</v>
      </c>
      <c r="Q409" t="n">
        <v>0</v>
      </c>
      <c r="R409" s="2" t="inlineStr"/>
    </row>
    <row r="410" ht="15" customHeight="1">
      <c r="A410" t="inlineStr">
        <is>
          <t>A 24411-2024</t>
        </is>
      </c>
      <c r="B410" s="1" t="n">
        <v>45457</v>
      </c>
      <c r="C410" s="1" t="n">
        <v>45925</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25988-2025</t>
        </is>
      </c>
      <c r="B411" s="1" t="n">
        <v>45804.64814814815</v>
      </c>
      <c r="C411" s="1" t="n">
        <v>45925</v>
      </c>
      <c r="D411" t="inlineStr">
        <is>
          <t>UPPSALA LÄN</t>
        </is>
      </c>
      <c r="E411" t="inlineStr">
        <is>
          <t>ENKÖPING</t>
        </is>
      </c>
      <c r="G411" t="n">
        <v>4.7</v>
      </c>
      <c r="H411" t="n">
        <v>0</v>
      </c>
      <c r="I411" t="n">
        <v>0</v>
      </c>
      <c r="J411" t="n">
        <v>0</v>
      </c>
      <c r="K411" t="n">
        <v>0</v>
      </c>
      <c r="L411" t="n">
        <v>0</v>
      </c>
      <c r="M411" t="n">
        <v>0</v>
      </c>
      <c r="N411" t="n">
        <v>0</v>
      </c>
      <c r="O411" t="n">
        <v>0</v>
      </c>
      <c r="P411" t="n">
        <v>0</v>
      </c>
      <c r="Q411" t="n">
        <v>0</v>
      </c>
      <c r="R411" s="2" t="inlineStr"/>
    </row>
    <row r="412" ht="15" customHeight="1">
      <c r="A412" t="inlineStr">
        <is>
          <t>A 17657-2025</t>
        </is>
      </c>
      <c r="B412" s="1" t="n">
        <v>45758.35006944444</v>
      </c>
      <c r="C412" s="1" t="n">
        <v>45925</v>
      </c>
      <c r="D412" t="inlineStr">
        <is>
          <t>UPPSALA LÄN</t>
        </is>
      </c>
      <c r="E412" t="inlineStr">
        <is>
          <t>ENKÖPING</t>
        </is>
      </c>
      <c r="G412" t="n">
        <v>3</v>
      </c>
      <c r="H412" t="n">
        <v>0</v>
      </c>
      <c r="I412" t="n">
        <v>0</v>
      </c>
      <c r="J412" t="n">
        <v>0</v>
      </c>
      <c r="K412" t="n">
        <v>0</v>
      </c>
      <c r="L412" t="n">
        <v>0</v>
      </c>
      <c r="M412" t="n">
        <v>0</v>
      </c>
      <c r="N412" t="n">
        <v>0</v>
      </c>
      <c r="O412" t="n">
        <v>0</v>
      </c>
      <c r="P412" t="n">
        <v>0</v>
      </c>
      <c r="Q412" t="n">
        <v>0</v>
      </c>
      <c r="R412" s="2" t="inlineStr"/>
    </row>
    <row r="413" ht="15" customHeight="1">
      <c r="A413" t="inlineStr">
        <is>
          <t>A 26017-2025</t>
        </is>
      </c>
      <c r="B413" s="1" t="n">
        <v>45804</v>
      </c>
      <c r="C413" s="1" t="n">
        <v>45925</v>
      </c>
      <c r="D413" t="inlineStr">
        <is>
          <t>UPPSALA LÄN</t>
        </is>
      </c>
      <c r="E413" t="inlineStr">
        <is>
          <t>ENKÖPING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26024-2025</t>
        </is>
      </c>
      <c r="B414" s="1" t="n">
        <v>45804.6831712963</v>
      </c>
      <c r="C414" s="1" t="n">
        <v>45925</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26042-2025</t>
        </is>
      </c>
      <c r="B415" s="1" t="n">
        <v>45804.70018518518</v>
      </c>
      <c r="C415" s="1" t="n">
        <v>45925</v>
      </c>
      <c r="D415" t="inlineStr">
        <is>
          <t>UPPSALA LÄN</t>
        </is>
      </c>
      <c r="E415" t="inlineStr">
        <is>
          <t>ENKÖPING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25990-2025</t>
        </is>
      </c>
      <c r="B416" s="1" t="n">
        <v>45804.65229166667</v>
      </c>
      <c r="C416" s="1" t="n">
        <v>45925</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26030-2025</t>
        </is>
      </c>
      <c r="B417" s="1" t="n">
        <v>45804.68815972222</v>
      </c>
      <c r="C417" s="1" t="n">
        <v>45925</v>
      </c>
      <c r="D417" t="inlineStr">
        <is>
          <t>UPPSALA LÄN</t>
        </is>
      </c>
      <c r="E417" t="inlineStr">
        <is>
          <t>ENKÖPING</t>
        </is>
      </c>
      <c r="G417" t="n">
        <v>0.3</v>
      </c>
      <c r="H417" t="n">
        <v>0</v>
      </c>
      <c r="I417" t="n">
        <v>0</v>
      </c>
      <c r="J417" t="n">
        <v>0</v>
      </c>
      <c r="K417" t="n">
        <v>0</v>
      </c>
      <c r="L417" t="n">
        <v>0</v>
      </c>
      <c r="M417" t="n">
        <v>0</v>
      </c>
      <c r="N417" t="n">
        <v>0</v>
      </c>
      <c r="O417" t="n">
        <v>0</v>
      </c>
      <c r="P417" t="n">
        <v>0</v>
      </c>
      <c r="Q417" t="n">
        <v>0</v>
      </c>
      <c r="R417" s="2" t="inlineStr"/>
    </row>
    <row r="418" ht="15" customHeight="1">
      <c r="A418" t="inlineStr">
        <is>
          <t>A 26026-2025</t>
        </is>
      </c>
      <c r="B418" s="1" t="n">
        <v>45804.68510416667</v>
      </c>
      <c r="C418" s="1" t="n">
        <v>45925</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26047-2025</t>
        </is>
      </c>
      <c r="B419" s="1" t="n">
        <v>45804.70835648148</v>
      </c>
      <c r="C419" s="1" t="n">
        <v>45925</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25847-2025</t>
        </is>
      </c>
      <c r="B420" s="1" t="n">
        <v>45804</v>
      </c>
      <c r="C420" s="1" t="n">
        <v>45925</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26005-2025</t>
        </is>
      </c>
      <c r="B421" s="1" t="n">
        <v>45804.67055555555</v>
      </c>
      <c r="C421" s="1" t="n">
        <v>45925</v>
      </c>
      <c r="D421" t="inlineStr">
        <is>
          <t>UPPSALA LÄN</t>
        </is>
      </c>
      <c r="E421" t="inlineStr">
        <is>
          <t>ENKÖPING</t>
        </is>
      </c>
      <c r="G421" t="n">
        <v>0.3</v>
      </c>
      <c r="H421" t="n">
        <v>0</v>
      </c>
      <c r="I421" t="n">
        <v>0</v>
      </c>
      <c r="J421" t="n">
        <v>0</v>
      </c>
      <c r="K421" t="n">
        <v>0</v>
      </c>
      <c r="L421" t="n">
        <v>0</v>
      </c>
      <c r="M421" t="n">
        <v>0</v>
      </c>
      <c r="N421" t="n">
        <v>0</v>
      </c>
      <c r="O421" t="n">
        <v>0</v>
      </c>
      <c r="P421" t="n">
        <v>0</v>
      </c>
      <c r="Q421" t="n">
        <v>0</v>
      </c>
      <c r="R421" s="2" t="inlineStr"/>
    </row>
    <row r="422" ht="15" customHeight="1">
      <c r="A422" t="inlineStr">
        <is>
          <t>A 26031-2025</t>
        </is>
      </c>
      <c r="B422" s="1" t="n">
        <v>45804.69050925926</v>
      </c>
      <c r="C422" s="1" t="n">
        <v>45925</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26041-2025</t>
        </is>
      </c>
      <c r="B423" s="1" t="n">
        <v>45804.69883101852</v>
      </c>
      <c r="C423" s="1" t="n">
        <v>45925</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26022-2025</t>
        </is>
      </c>
      <c r="B424" s="1" t="n">
        <v>45804.68006944445</v>
      </c>
      <c r="C424" s="1" t="n">
        <v>45925</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26011-2025</t>
        </is>
      </c>
      <c r="B425" s="1" t="n">
        <v>45804.67412037037</v>
      </c>
      <c r="C425" s="1" t="n">
        <v>45925</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15939-2022</t>
        </is>
      </c>
      <c r="B426" s="1" t="n">
        <v>44664</v>
      </c>
      <c r="C426" s="1" t="n">
        <v>45925</v>
      </c>
      <c r="D426" t="inlineStr">
        <is>
          <t>UPPSALA LÄN</t>
        </is>
      </c>
      <c r="E426" t="inlineStr">
        <is>
          <t>ENKÖPING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50394-2024</t>
        </is>
      </c>
      <c r="B427" s="1" t="n">
        <v>45600</v>
      </c>
      <c r="C427" s="1" t="n">
        <v>45925</v>
      </c>
      <c r="D427" t="inlineStr">
        <is>
          <t>UPPSALA LÄN</t>
        </is>
      </c>
      <c r="E427" t="inlineStr">
        <is>
          <t>ENKÖPING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72840-2021</t>
        </is>
      </c>
      <c r="B428" s="1" t="n">
        <v>44547</v>
      </c>
      <c r="C428" s="1" t="n">
        <v>45925</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35067-2024</t>
        </is>
      </c>
      <c r="B429" s="1" t="n">
        <v>45527.66153935185</v>
      </c>
      <c r="C429" s="1" t="n">
        <v>45925</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37870-2023</t>
        </is>
      </c>
      <c r="B430" s="1" t="n">
        <v>45160.41996527778</v>
      </c>
      <c r="C430" s="1" t="n">
        <v>45925</v>
      </c>
      <c r="D430" t="inlineStr">
        <is>
          <t>UPPSALA LÄN</t>
        </is>
      </c>
      <c r="E430" t="inlineStr">
        <is>
          <t>ENKÖPING</t>
        </is>
      </c>
      <c r="G430" t="n">
        <v>3.5</v>
      </c>
      <c r="H430" t="n">
        <v>0</v>
      </c>
      <c r="I430" t="n">
        <v>0</v>
      </c>
      <c r="J430" t="n">
        <v>0</v>
      </c>
      <c r="K430" t="n">
        <v>0</v>
      </c>
      <c r="L430" t="n">
        <v>0</v>
      </c>
      <c r="M430" t="n">
        <v>0</v>
      </c>
      <c r="N430" t="n">
        <v>0</v>
      </c>
      <c r="O430" t="n">
        <v>0</v>
      </c>
      <c r="P430" t="n">
        <v>0</v>
      </c>
      <c r="Q430" t="n">
        <v>0</v>
      </c>
      <c r="R430" s="2" t="inlineStr"/>
    </row>
    <row r="431" ht="15" customHeight="1">
      <c r="A431" t="inlineStr">
        <is>
          <t>A 7090-2022</t>
        </is>
      </c>
      <c r="B431" s="1" t="n">
        <v>44603.59520833333</v>
      </c>
      <c r="C431" s="1" t="n">
        <v>45925</v>
      </c>
      <c r="D431" t="inlineStr">
        <is>
          <t>UPPSALA LÄN</t>
        </is>
      </c>
      <c r="E431" t="inlineStr">
        <is>
          <t>ENKÖPING</t>
        </is>
      </c>
      <c r="G431" t="n">
        <v>2.8</v>
      </c>
      <c r="H431" t="n">
        <v>0</v>
      </c>
      <c r="I431" t="n">
        <v>0</v>
      </c>
      <c r="J431" t="n">
        <v>0</v>
      </c>
      <c r="K431" t="n">
        <v>0</v>
      </c>
      <c r="L431" t="n">
        <v>0</v>
      </c>
      <c r="M431" t="n">
        <v>0</v>
      </c>
      <c r="N431" t="n">
        <v>0</v>
      </c>
      <c r="O431" t="n">
        <v>0</v>
      </c>
      <c r="P431" t="n">
        <v>0</v>
      </c>
      <c r="Q431" t="n">
        <v>0</v>
      </c>
      <c r="R431" s="2" t="inlineStr"/>
    </row>
    <row r="432" ht="15" customHeight="1">
      <c r="A432" t="inlineStr">
        <is>
          <t>A 49063-2024</t>
        </is>
      </c>
      <c r="B432" s="1" t="n">
        <v>45594.59869212963</v>
      </c>
      <c r="C432" s="1" t="n">
        <v>45925</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14083-2025</t>
        </is>
      </c>
      <c r="B433" s="1" t="n">
        <v>45740</v>
      </c>
      <c r="C433" s="1" t="n">
        <v>45925</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19298-2023</t>
        </is>
      </c>
      <c r="B434" s="1" t="n">
        <v>45048</v>
      </c>
      <c r="C434" s="1" t="n">
        <v>45925</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15409-2025</t>
        </is>
      </c>
      <c r="B435" s="1" t="n">
        <v>45747</v>
      </c>
      <c r="C435" s="1" t="n">
        <v>45925</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27829-2025</t>
        </is>
      </c>
      <c r="B436" s="1" t="n">
        <v>45817</v>
      </c>
      <c r="C436" s="1" t="n">
        <v>45925</v>
      </c>
      <c r="D436" t="inlineStr">
        <is>
          <t>UPPSALA LÄN</t>
        </is>
      </c>
      <c r="E436" t="inlineStr">
        <is>
          <t>ENKÖPING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34617-2022</t>
        </is>
      </c>
      <c r="B437" s="1" t="n">
        <v>44795</v>
      </c>
      <c r="C437" s="1" t="n">
        <v>45925</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40202-2024</t>
        </is>
      </c>
      <c r="B438" s="1" t="n">
        <v>45554</v>
      </c>
      <c r="C438" s="1" t="n">
        <v>45925</v>
      </c>
      <c r="D438" t="inlineStr">
        <is>
          <t>UPPSALA LÄN</t>
        </is>
      </c>
      <c r="E438" t="inlineStr">
        <is>
          <t>ENKÖPING</t>
        </is>
      </c>
      <c r="G438" t="n">
        <v>6.2</v>
      </c>
      <c r="H438" t="n">
        <v>0</v>
      </c>
      <c r="I438" t="n">
        <v>0</v>
      </c>
      <c r="J438" t="n">
        <v>0</v>
      </c>
      <c r="K438" t="n">
        <v>0</v>
      </c>
      <c r="L438" t="n">
        <v>0</v>
      </c>
      <c r="M438" t="n">
        <v>0</v>
      </c>
      <c r="N438" t="n">
        <v>0</v>
      </c>
      <c r="O438" t="n">
        <v>0</v>
      </c>
      <c r="P438" t="n">
        <v>0</v>
      </c>
      <c r="Q438" t="n">
        <v>0</v>
      </c>
      <c r="R438" s="2" t="inlineStr"/>
    </row>
    <row r="439" ht="15" customHeight="1">
      <c r="A439" t="inlineStr">
        <is>
          <t>A 40223-2024</t>
        </is>
      </c>
      <c r="B439" s="1" t="n">
        <v>45554</v>
      </c>
      <c r="C439" s="1" t="n">
        <v>45925</v>
      </c>
      <c r="D439" t="inlineStr">
        <is>
          <t>UPPSALA LÄN</t>
        </is>
      </c>
      <c r="E439" t="inlineStr">
        <is>
          <t>ENKÖPING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28855-2025</t>
        </is>
      </c>
      <c r="B440" s="1" t="n">
        <v>45820.58274305556</v>
      </c>
      <c r="C440" s="1" t="n">
        <v>45925</v>
      </c>
      <c r="D440" t="inlineStr">
        <is>
          <t>UPPSALA LÄN</t>
        </is>
      </c>
      <c r="E440" t="inlineStr">
        <is>
          <t>ENKÖPING</t>
        </is>
      </c>
      <c r="G440" t="n">
        <v>2.4</v>
      </c>
      <c r="H440" t="n">
        <v>0</v>
      </c>
      <c r="I440" t="n">
        <v>0</v>
      </c>
      <c r="J440" t="n">
        <v>0</v>
      </c>
      <c r="K440" t="n">
        <v>0</v>
      </c>
      <c r="L440" t="n">
        <v>0</v>
      </c>
      <c r="M440" t="n">
        <v>0</v>
      </c>
      <c r="N440" t="n">
        <v>0</v>
      </c>
      <c r="O440" t="n">
        <v>0</v>
      </c>
      <c r="P440" t="n">
        <v>0</v>
      </c>
      <c r="Q440" t="n">
        <v>0</v>
      </c>
      <c r="R440" s="2" t="inlineStr"/>
    </row>
    <row r="441" ht="15" customHeight="1">
      <c r="A441" t="inlineStr">
        <is>
          <t>A 28758-2025</t>
        </is>
      </c>
      <c r="B441" s="1" t="n">
        <v>45820.41212962963</v>
      </c>
      <c r="C441" s="1" t="n">
        <v>45925</v>
      </c>
      <c r="D441" t="inlineStr">
        <is>
          <t>UPPSALA LÄN</t>
        </is>
      </c>
      <c r="E441" t="inlineStr">
        <is>
          <t>ENKÖPING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39009-2024</t>
        </is>
      </c>
      <c r="B442" s="1" t="n">
        <v>45548</v>
      </c>
      <c r="C442" s="1" t="n">
        <v>45925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8537-2025</t>
        </is>
      </c>
      <c r="B443" s="1" t="n">
        <v>45709</v>
      </c>
      <c r="C443" s="1" t="n">
        <v>45925</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69879-2021</t>
        </is>
      </c>
      <c r="B444" s="1" t="n">
        <v>44532</v>
      </c>
      <c r="C444" s="1" t="n">
        <v>45925</v>
      </c>
      <c r="D444" t="inlineStr">
        <is>
          <t>UPPSALA LÄN</t>
        </is>
      </c>
      <c r="E444" t="inlineStr">
        <is>
          <t>ENKÖPING</t>
        </is>
      </c>
      <c r="G444" t="n">
        <v>4.2</v>
      </c>
      <c r="H444" t="n">
        <v>0</v>
      </c>
      <c r="I444" t="n">
        <v>0</v>
      </c>
      <c r="J444" t="n">
        <v>0</v>
      </c>
      <c r="K444" t="n">
        <v>0</v>
      </c>
      <c r="L444" t="n">
        <v>0</v>
      </c>
      <c r="M444" t="n">
        <v>0</v>
      </c>
      <c r="N444" t="n">
        <v>0</v>
      </c>
      <c r="O444" t="n">
        <v>0</v>
      </c>
      <c r="P444" t="n">
        <v>0</v>
      </c>
      <c r="Q444" t="n">
        <v>0</v>
      </c>
      <c r="R444" s="2" t="inlineStr"/>
    </row>
    <row r="445" ht="15" customHeight="1">
      <c r="A445" t="inlineStr">
        <is>
          <t>A 28862-2025</t>
        </is>
      </c>
      <c r="B445" s="1" t="n">
        <v>45820.59189814814</v>
      </c>
      <c r="C445" s="1" t="n">
        <v>45925</v>
      </c>
      <c r="D445" t="inlineStr">
        <is>
          <t>UPPSALA LÄN</t>
        </is>
      </c>
      <c r="E445" t="inlineStr">
        <is>
          <t>ENKÖPING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19013-2025</t>
        </is>
      </c>
      <c r="B446" s="1" t="n">
        <v>45764.59533564815</v>
      </c>
      <c r="C446" s="1" t="n">
        <v>45925</v>
      </c>
      <c r="D446" t="inlineStr">
        <is>
          <t>UPPSALA LÄN</t>
        </is>
      </c>
      <c r="E446" t="inlineStr">
        <is>
          <t>ENKÖPING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57335-2024</t>
        </is>
      </c>
      <c r="B447" s="1" t="n">
        <v>45629.63302083333</v>
      </c>
      <c r="C447" s="1" t="n">
        <v>45925</v>
      </c>
      <c r="D447" t="inlineStr">
        <is>
          <t>UPPSALA LÄN</t>
        </is>
      </c>
      <c r="E447" t="inlineStr">
        <is>
          <t>ENKÖPING</t>
        </is>
      </c>
      <c r="G447" t="n">
        <v>2.1</v>
      </c>
      <c r="H447" t="n">
        <v>0</v>
      </c>
      <c r="I447" t="n">
        <v>0</v>
      </c>
      <c r="J447" t="n">
        <v>0</v>
      </c>
      <c r="K447" t="n">
        <v>0</v>
      </c>
      <c r="L447" t="n">
        <v>0</v>
      </c>
      <c r="M447" t="n">
        <v>0</v>
      </c>
      <c r="N447" t="n">
        <v>0</v>
      </c>
      <c r="O447" t="n">
        <v>0</v>
      </c>
      <c r="P447" t="n">
        <v>0</v>
      </c>
      <c r="Q447" t="n">
        <v>0</v>
      </c>
      <c r="R447" s="2" t="inlineStr"/>
    </row>
    <row r="448" ht="15" customHeight="1">
      <c r="A448" t="inlineStr">
        <is>
          <t>A 23301-2024</t>
        </is>
      </c>
      <c r="B448" s="1" t="n">
        <v>45453.4396412037</v>
      </c>
      <c r="C448" s="1" t="n">
        <v>45925</v>
      </c>
      <c r="D448" t="inlineStr">
        <is>
          <t>UPPSALA LÄN</t>
        </is>
      </c>
      <c r="E448" t="inlineStr">
        <is>
          <t>ENKÖPING</t>
        </is>
      </c>
      <c r="G448" t="n">
        <v>4.3</v>
      </c>
      <c r="H448" t="n">
        <v>0</v>
      </c>
      <c r="I448" t="n">
        <v>0</v>
      </c>
      <c r="J448" t="n">
        <v>0</v>
      </c>
      <c r="K448" t="n">
        <v>0</v>
      </c>
      <c r="L448" t="n">
        <v>0</v>
      </c>
      <c r="M448" t="n">
        <v>0</v>
      </c>
      <c r="N448" t="n">
        <v>0</v>
      </c>
      <c r="O448" t="n">
        <v>0</v>
      </c>
      <c r="P448" t="n">
        <v>0</v>
      </c>
      <c r="Q448" t="n">
        <v>0</v>
      </c>
      <c r="R448" s="2" t="inlineStr"/>
    </row>
    <row r="449" ht="15" customHeight="1">
      <c r="A449" t="inlineStr">
        <is>
          <t>A 29093-2025</t>
        </is>
      </c>
      <c r="B449" s="1" t="n">
        <v>45821.55743055556</v>
      </c>
      <c r="C449" s="1" t="n">
        <v>45925</v>
      </c>
      <c r="D449" t="inlineStr">
        <is>
          <t>UPPSALA LÄN</t>
        </is>
      </c>
      <c r="E449" t="inlineStr">
        <is>
          <t>ENKÖPING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2833-2025</t>
        </is>
      </c>
      <c r="B450" s="1" t="n">
        <v>45677.63206018518</v>
      </c>
      <c r="C450" s="1" t="n">
        <v>45925</v>
      </c>
      <c r="D450" t="inlineStr">
        <is>
          <t>UPPSALA LÄN</t>
        </is>
      </c>
      <c r="E450" t="inlineStr">
        <is>
          <t>ENKÖPING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29477-2025</t>
        </is>
      </c>
      <c r="B451" s="1" t="n">
        <v>45824.71537037037</v>
      </c>
      <c r="C451" s="1" t="n">
        <v>45925</v>
      </c>
      <c r="D451" t="inlineStr">
        <is>
          <t>UPPSALA LÄN</t>
        </is>
      </c>
      <c r="E451" t="inlineStr">
        <is>
          <t>ENKÖPING</t>
        </is>
      </c>
      <c r="G451" t="n">
        <v>13.4</v>
      </c>
      <c r="H451" t="n">
        <v>0</v>
      </c>
      <c r="I451" t="n">
        <v>0</v>
      </c>
      <c r="J451" t="n">
        <v>0</v>
      </c>
      <c r="K451" t="n">
        <v>0</v>
      </c>
      <c r="L451" t="n">
        <v>0</v>
      </c>
      <c r="M451" t="n">
        <v>0</v>
      </c>
      <c r="N451" t="n">
        <v>0</v>
      </c>
      <c r="O451" t="n">
        <v>0</v>
      </c>
      <c r="P451" t="n">
        <v>0</v>
      </c>
      <c r="Q451" t="n">
        <v>0</v>
      </c>
      <c r="R451" s="2" t="inlineStr"/>
    </row>
    <row r="452" ht="15" customHeight="1">
      <c r="A452" t="inlineStr">
        <is>
          <t>A 33619-2022</t>
        </is>
      </c>
      <c r="B452" s="1" t="n">
        <v>44789</v>
      </c>
      <c r="C452" s="1" t="n">
        <v>45925</v>
      </c>
      <c r="D452" t="inlineStr">
        <is>
          <t>UPPSALA LÄN</t>
        </is>
      </c>
      <c r="E452" t="inlineStr">
        <is>
          <t>ENKÖPING</t>
        </is>
      </c>
      <c r="F452" t="inlineStr">
        <is>
          <t>Allmännings- och besparingsskogar</t>
        </is>
      </c>
      <c r="G452" t="n">
        <v>4.5</v>
      </c>
      <c r="H452" t="n">
        <v>0</v>
      </c>
      <c r="I452" t="n">
        <v>0</v>
      </c>
      <c r="J452" t="n">
        <v>0</v>
      </c>
      <c r="K452" t="n">
        <v>0</v>
      </c>
      <c r="L452" t="n">
        <v>0</v>
      </c>
      <c r="M452" t="n">
        <v>0</v>
      </c>
      <c r="N452" t="n">
        <v>0</v>
      </c>
      <c r="O452" t="n">
        <v>0</v>
      </c>
      <c r="P452" t="n">
        <v>0</v>
      </c>
      <c r="Q452" t="n">
        <v>0</v>
      </c>
      <c r="R452" s="2" t="inlineStr"/>
    </row>
    <row r="453" ht="15" customHeight="1">
      <c r="A453" t="inlineStr">
        <is>
          <t>A 31604-2023</t>
        </is>
      </c>
      <c r="B453" s="1" t="n">
        <v>45117.50368055556</v>
      </c>
      <c r="C453" s="1" t="n">
        <v>45925</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59602-2024</t>
        </is>
      </c>
      <c r="B454" s="1" t="n">
        <v>45638</v>
      </c>
      <c r="C454" s="1" t="n">
        <v>45925</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14243-2025</t>
        </is>
      </c>
      <c r="B455" s="1" t="n">
        <v>45740.61288194444</v>
      </c>
      <c r="C455" s="1" t="n">
        <v>45925</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19488-2022</t>
        </is>
      </c>
      <c r="B456" s="1" t="n">
        <v>44693</v>
      </c>
      <c r="C456" s="1" t="n">
        <v>45925</v>
      </c>
      <c r="D456" t="inlineStr">
        <is>
          <t>UPPSALA LÄN</t>
        </is>
      </c>
      <c r="E456" t="inlineStr">
        <is>
          <t>ENKÖPING</t>
        </is>
      </c>
      <c r="G456" t="n">
        <v>7.8</v>
      </c>
      <c r="H456" t="n">
        <v>0</v>
      </c>
      <c r="I456" t="n">
        <v>0</v>
      </c>
      <c r="J456" t="n">
        <v>0</v>
      </c>
      <c r="K456" t="n">
        <v>0</v>
      </c>
      <c r="L456" t="n">
        <v>0</v>
      </c>
      <c r="M456" t="n">
        <v>0</v>
      </c>
      <c r="N456" t="n">
        <v>0</v>
      </c>
      <c r="O456" t="n">
        <v>0</v>
      </c>
      <c r="P456" t="n">
        <v>0</v>
      </c>
      <c r="Q456" t="n">
        <v>0</v>
      </c>
      <c r="R456" s="2" t="inlineStr"/>
    </row>
    <row r="457" ht="15" customHeight="1">
      <c r="A457" t="inlineStr">
        <is>
          <t>A 30837-2025</t>
        </is>
      </c>
      <c r="B457" s="1" t="n">
        <v>45831.7063425926</v>
      </c>
      <c r="C457" s="1" t="n">
        <v>45925</v>
      </c>
      <c r="D457" t="inlineStr">
        <is>
          <t>UPPSALA LÄN</t>
        </is>
      </c>
      <c r="E457" t="inlineStr">
        <is>
          <t>ENKÖPING</t>
        </is>
      </c>
      <c r="G457" t="n">
        <v>3.8</v>
      </c>
      <c r="H457" t="n">
        <v>0</v>
      </c>
      <c r="I457" t="n">
        <v>0</v>
      </c>
      <c r="J457" t="n">
        <v>0</v>
      </c>
      <c r="K457" t="n">
        <v>0</v>
      </c>
      <c r="L457" t="n">
        <v>0</v>
      </c>
      <c r="M457" t="n">
        <v>0</v>
      </c>
      <c r="N457" t="n">
        <v>0</v>
      </c>
      <c r="O457" t="n">
        <v>0</v>
      </c>
      <c r="P457" t="n">
        <v>0</v>
      </c>
      <c r="Q457" t="n">
        <v>0</v>
      </c>
      <c r="R457" s="2" t="inlineStr"/>
    </row>
    <row r="458" ht="15" customHeight="1">
      <c r="A458" t="inlineStr">
        <is>
          <t>A 41826-2024</t>
        </is>
      </c>
      <c r="B458" s="1" t="n">
        <v>45561</v>
      </c>
      <c r="C458" s="1" t="n">
        <v>45925</v>
      </c>
      <c r="D458" t="inlineStr">
        <is>
          <t>UPPSALA LÄN</t>
        </is>
      </c>
      <c r="E458" t="inlineStr">
        <is>
          <t>ENKÖPING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16916-2022</t>
        </is>
      </c>
      <c r="B459" s="1" t="n">
        <v>44676</v>
      </c>
      <c r="C459" s="1" t="n">
        <v>45925</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44115-2024</t>
        </is>
      </c>
      <c r="B460" s="1" t="n">
        <v>45572</v>
      </c>
      <c r="C460" s="1" t="n">
        <v>45925</v>
      </c>
      <c r="D460" t="inlineStr">
        <is>
          <t>UPPSALA LÄN</t>
        </is>
      </c>
      <c r="E460" t="inlineStr">
        <is>
          <t>ENKÖPING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32477-2025</t>
        </is>
      </c>
      <c r="B461" s="1" t="n">
        <v>45838.43098379629</v>
      </c>
      <c r="C461" s="1" t="n">
        <v>45925</v>
      </c>
      <c r="D461" t="inlineStr">
        <is>
          <t>UPPSALA LÄN</t>
        </is>
      </c>
      <c r="E461" t="inlineStr">
        <is>
          <t>ENKÖPING</t>
        </is>
      </c>
      <c r="G461" t="n">
        <v>2.7</v>
      </c>
      <c r="H461" t="n">
        <v>0</v>
      </c>
      <c r="I461" t="n">
        <v>0</v>
      </c>
      <c r="J461" t="n">
        <v>0</v>
      </c>
      <c r="K461" t="n">
        <v>0</v>
      </c>
      <c r="L461" t="n">
        <v>0</v>
      </c>
      <c r="M461" t="n">
        <v>0</v>
      </c>
      <c r="N461" t="n">
        <v>0</v>
      </c>
      <c r="O461" t="n">
        <v>0</v>
      </c>
      <c r="P461" t="n">
        <v>0</v>
      </c>
      <c r="Q461" t="n">
        <v>0</v>
      </c>
      <c r="R461" s="2" t="inlineStr"/>
    </row>
    <row r="462" ht="15" customHeight="1">
      <c r="A462" t="inlineStr">
        <is>
          <t>A 32031-2025</t>
        </is>
      </c>
      <c r="B462" s="1" t="n">
        <v>45835.41712962963</v>
      </c>
      <c r="C462" s="1" t="n">
        <v>45925</v>
      </c>
      <c r="D462" t="inlineStr">
        <is>
          <t>UPPSALA LÄN</t>
        </is>
      </c>
      <c r="E462" t="inlineStr">
        <is>
          <t>ENKÖPING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32111-2025</t>
        </is>
      </c>
      <c r="B463" s="1" t="n">
        <v>45835</v>
      </c>
      <c r="C463" s="1" t="n">
        <v>45925</v>
      </c>
      <c r="D463" t="inlineStr">
        <is>
          <t>UPPSALA LÄN</t>
        </is>
      </c>
      <c r="E463" t="inlineStr">
        <is>
          <t>ENKÖPING</t>
        </is>
      </c>
      <c r="G463" t="n">
        <v>1.7</v>
      </c>
      <c r="H463" t="n">
        <v>0</v>
      </c>
      <c r="I463" t="n">
        <v>0</v>
      </c>
      <c r="J463" t="n">
        <v>0</v>
      </c>
      <c r="K463" t="n">
        <v>0</v>
      </c>
      <c r="L463" t="n">
        <v>0</v>
      </c>
      <c r="M463" t="n">
        <v>0</v>
      </c>
      <c r="N463" t="n">
        <v>0</v>
      </c>
      <c r="O463" t="n">
        <v>0</v>
      </c>
      <c r="P463" t="n">
        <v>0</v>
      </c>
      <c r="Q463" t="n">
        <v>0</v>
      </c>
      <c r="R463" s="2" t="inlineStr"/>
    </row>
    <row r="464" ht="15" customHeight="1">
      <c r="A464" t="inlineStr">
        <is>
          <t>A 30634-2022</t>
        </is>
      </c>
      <c r="B464" s="1" t="n">
        <v>44763.45711805556</v>
      </c>
      <c r="C464" s="1" t="n">
        <v>45925</v>
      </c>
      <c r="D464" t="inlineStr">
        <is>
          <t>UPPSALA LÄN</t>
        </is>
      </c>
      <c r="E464" t="inlineStr">
        <is>
          <t>ENKÖPING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3300-2025</t>
        </is>
      </c>
      <c r="B465" s="1" t="n">
        <v>45679</v>
      </c>
      <c r="C465" s="1" t="n">
        <v>45925</v>
      </c>
      <c r="D465" t="inlineStr">
        <is>
          <t>UPPSALA LÄN</t>
        </is>
      </c>
      <c r="E465" t="inlineStr">
        <is>
          <t>ENKÖPING</t>
        </is>
      </c>
      <c r="G465" t="n">
        <v>8.9</v>
      </c>
      <c r="H465" t="n">
        <v>0</v>
      </c>
      <c r="I465" t="n">
        <v>0</v>
      </c>
      <c r="J465" t="n">
        <v>0</v>
      </c>
      <c r="K465" t="n">
        <v>0</v>
      </c>
      <c r="L465" t="n">
        <v>0</v>
      </c>
      <c r="M465" t="n">
        <v>0</v>
      </c>
      <c r="N465" t="n">
        <v>0</v>
      </c>
      <c r="O465" t="n">
        <v>0</v>
      </c>
      <c r="P465" t="n">
        <v>0</v>
      </c>
      <c r="Q465" t="n">
        <v>0</v>
      </c>
      <c r="R465" s="2" t="inlineStr"/>
    </row>
    <row r="466" ht="15" customHeight="1">
      <c r="A466" t="inlineStr">
        <is>
          <t>A 15740-2025</t>
        </is>
      </c>
      <c r="B466" s="1" t="n">
        <v>45748</v>
      </c>
      <c r="C466" s="1" t="n">
        <v>45925</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51120-2023</t>
        </is>
      </c>
      <c r="B467" s="1" t="n">
        <v>45219.3088425926</v>
      </c>
      <c r="C467" s="1" t="n">
        <v>45925</v>
      </c>
      <c r="D467" t="inlineStr">
        <is>
          <t>UPPSALA LÄN</t>
        </is>
      </c>
      <c r="E467" t="inlineStr">
        <is>
          <t>ENKÖPING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26319-2022</t>
        </is>
      </c>
      <c r="B468" s="1" t="n">
        <v>44735</v>
      </c>
      <c r="C468" s="1" t="n">
        <v>45925</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54357-2023</t>
        </is>
      </c>
      <c r="B469" s="1" t="n">
        <v>45225</v>
      </c>
      <c r="C469" s="1" t="n">
        <v>45925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4203-2021</t>
        </is>
      </c>
      <c r="B470" s="1" t="n">
        <v>44223</v>
      </c>
      <c r="C470" s="1" t="n">
        <v>45925</v>
      </c>
      <c r="D470" t="inlineStr">
        <is>
          <t>UPPSALA LÄN</t>
        </is>
      </c>
      <c r="E470" t="inlineStr">
        <is>
          <t>ENKÖPING</t>
        </is>
      </c>
      <c r="G470" t="n">
        <v>11.6</v>
      </c>
      <c r="H470" t="n">
        <v>0</v>
      </c>
      <c r="I470" t="n">
        <v>0</v>
      </c>
      <c r="J470" t="n">
        <v>0</v>
      </c>
      <c r="K470" t="n">
        <v>0</v>
      </c>
      <c r="L470" t="n">
        <v>0</v>
      </c>
      <c r="M470" t="n">
        <v>0</v>
      </c>
      <c r="N470" t="n">
        <v>0</v>
      </c>
      <c r="O470" t="n">
        <v>0</v>
      </c>
      <c r="P470" t="n">
        <v>0</v>
      </c>
      <c r="Q470" t="n">
        <v>0</v>
      </c>
      <c r="R470" s="2" t="inlineStr"/>
    </row>
    <row r="471" ht="15" customHeight="1">
      <c r="A471" t="inlineStr">
        <is>
          <t>A 13816-2021</t>
        </is>
      </c>
      <c r="B471" s="1" t="n">
        <v>44276</v>
      </c>
      <c r="C471" s="1" t="n">
        <v>45925</v>
      </c>
      <c r="D471" t="inlineStr">
        <is>
          <t>UPPSALA LÄN</t>
        </is>
      </c>
      <c r="E471" t="inlineStr">
        <is>
          <t>ENKÖPING</t>
        </is>
      </c>
      <c r="G471" t="n">
        <v>0.4</v>
      </c>
      <c r="H471" t="n">
        <v>0</v>
      </c>
      <c r="I471" t="n">
        <v>0</v>
      </c>
      <c r="J471" t="n">
        <v>0</v>
      </c>
      <c r="K471" t="n">
        <v>0</v>
      </c>
      <c r="L471" t="n">
        <v>0</v>
      </c>
      <c r="M471" t="n">
        <v>0</v>
      </c>
      <c r="N471" t="n">
        <v>0</v>
      </c>
      <c r="O471" t="n">
        <v>0</v>
      </c>
      <c r="P471" t="n">
        <v>0</v>
      </c>
      <c r="Q471" t="n">
        <v>0</v>
      </c>
      <c r="R471" s="2" t="inlineStr"/>
    </row>
    <row r="472" ht="15" customHeight="1">
      <c r="A472" t="inlineStr">
        <is>
          <t>A 57848-2024</t>
        </is>
      </c>
      <c r="B472" s="1" t="n">
        <v>45631.40947916666</v>
      </c>
      <c r="C472" s="1" t="n">
        <v>45925</v>
      </c>
      <c r="D472" t="inlineStr">
        <is>
          <t>UPPSALA LÄN</t>
        </is>
      </c>
      <c r="E472" t="inlineStr">
        <is>
          <t>ENKÖPING</t>
        </is>
      </c>
      <c r="G472" t="n">
        <v>1.2</v>
      </c>
      <c r="H472" t="n">
        <v>0</v>
      </c>
      <c r="I472" t="n">
        <v>0</v>
      </c>
      <c r="J472" t="n">
        <v>0</v>
      </c>
      <c r="K472" t="n">
        <v>0</v>
      </c>
      <c r="L472" t="n">
        <v>0</v>
      </c>
      <c r="M472" t="n">
        <v>0</v>
      </c>
      <c r="N472" t="n">
        <v>0</v>
      </c>
      <c r="O472" t="n">
        <v>0</v>
      </c>
      <c r="P472" t="n">
        <v>0</v>
      </c>
      <c r="Q472" t="n">
        <v>0</v>
      </c>
      <c r="R472" s="2" t="inlineStr"/>
    </row>
    <row r="473" ht="15" customHeight="1">
      <c r="A473" t="inlineStr">
        <is>
          <t>A 18994-2025</t>
        </is>
      </c>
      <c r="B473" s="1" t="n">
        <v>45764.57350694444</v>
      </c>
      <c r="C473" s="1" t="n">
        <v>45925</v>
      </c>
      <c r="D473" t="inlineStr">
        <is>
          <t>UPPSALA LÄN</t>
        </is>
      </c>
      <c r="E473" t="inlineStr">
        <is>
          <t>ENKÖPING</t>
        </is>
      </c>
      <c r="G473" t="n">
        <v>3.8</v>
      </c>
      <c r="H473" t="n">
        <v>0</v>
      </c>
      <c r="I473" t="n">
        <v>0</v>
      </c>
      <c r="J473" t="n">
        <v>0</v>
      </c>
      <c r="K473" t="n">
        <v>0</v>
      </c>
      <c r="L473" t="n">
        <v>0</v>
      </c>
      <c r="M473" t="n">
        <v>0</v>
      </c>
      <c r="N473" t="n">
        <v>0</v>
      </c>
      <c r="O473" t="n">
        <v>0</v>
      </c>
      <c r="P473" t="n">
        <v>0</v>
      </c>
      <c r="Q473" t="n">
        <v>0</v>
      </c>
      <c r="R473" s="2" t="inlineStr"/>
    </row>
    <row r="474" ht="15" customHeight="1">
      <c r="A474" t="inlineStr">
        <is>
          <t>A 49601-2024</t>
        </is>
      </c>
      <c r="B474" s="1" t="n">
        <v>45596.56288194445</v>
      </c>
      <c r="C474" s="1" t="n">
        <v>45925</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63402-2023</t>
        </is>
      </c>
      <c r="B475" s="1" t="n">
        <v>45274.50646990741</v>
      </c>
      <c r="C475" s="1" t="n">
        <v>45925</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53208-2023</t>
        </is>
      </c>
      <c r="B476" s="1" t="n">
        <v>45226</v>
      </c>
      <c r="C476" s="1" t="n">
        <v>45925</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18259-2025</t>
        </is>
      </c>
      <c r="B477" s="1" t="n">
        <v>45762</v>
      </c>
      <c r="C477" s="1" t="n">
        <v>45925</v>
      </c>
      <c r="D477" t="inlineStr">
        <is>
          <t>UPPSALA LÄN</t>
        </is>
      </c>
      <c r="E477" t="inlineStr">
        <is>
          <t>ENKÖPING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62158-2023</t>
        </is>
      </c>
      <c r="B478" s="1" t="n">
        <v>45267</v>
      </c>
      <c r="C478" s="1" t="n">
        <v>45925</v>
      </c>
      <c r="D478" t="inlineStr">
        <is>
          <t>UPPSALA LÄN</t>
        </is>
      </c>
      <c r="E478" t="inlineStr">
        <is>
          <t>ENKÖPING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60874-2023</t>
        </is>
      </c>
      <c r="B479" s="1" t="n">
        <v>45261.06280092592</v>
      </c>
      <c r="C479" s="1" t="n">
        <v>45925</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3550-2023</t>
        </is>
      </c>
      <c r="B480" s="1" t="n">
        <v>44950</v>
      </c>
      <c r="C480" s="1" t="n">
        <v>45925</v>
      </c>
      <c r="D480" t="inlineStr">
        <is>
          <t>UPPSALA LÄN</t>
        </is>
      </c>
      <c r="E480" t="inlineStr">
        <is>
          <t>ENKÖPING</t>
        </is>
      </c>
      <c r="G480" t="n">
        <v>0.9</v>
      </c>
      <c r="H480" t="n">
        <v>0</v>
      </c>
      <c r="I480" t="n">
        <v>0</v>
      </c>
      <c r="J480" t="n">
        <v>0</v>
      </c>
      <c r="K480" t="n">
        <v>0</v>
      </c>
      <c r="L480" t="n">
        <v>0</v>
      </c>
      <c r="M480" t="n">
        <v>0</v>
      </c>
      <c r="N480" t="n">
        <v>0</v>
      </c>
      <c r="O480" t="n">
        <v>0</v>
      </c>
      <c r="P480" t="n">
        <v>0</v>
      </c>
      <c r="Q480" t="n">
        <v>0</v>
      </c>
      <c r="R480" s="2" t="inlineStr"/>
    </row>
    <row r="481" ht="15" customHeight="1">
      <c r="A481" t="inlineStr">
        <is>
          <t>A 26292-2022</t>
        </is>
      </c>
      <c r="B481" s="1" t="n">
        <v>44735</v>
      </c>
      <c r="C481" s="1" t="n">
        <v>45925</v>
      </c>
      <c r="D481" t="inlineStr">
        <is>
          <t>UPPSALA LÄN</t>
        </is>
      </c>
      <c r="E481" t="inlineStr">
        <is>
          <t>ENKÖPING</t>
        </is>
      </c>
      <c r="F481" t="inlineStr">
        <is>
          <t>Kyrkan</t>
        </is>
      </c>
      <c r="G481" t="n">
        <v>4.6</v>
      </c>
      <c r="H481" t="n">
        <v>0</v>
      </c>
      <c r="I481" t="n">
        <v>0</v>
      </c>
      <c r="J481" t="n">
        <v>0</v>
      </c>
      <c r="K481" t="n">
        <v>0</v>
      </c>
      <c r="L481" t="n">
        <v>0</v>
      </c>
      <c r="M481" t="n">
        <v>0</v>
      </c>
      <c r="N481" t="n">
        <v>0</v>
      </c>
      <c r="O481" t="n">
        <v>0</v>
      </c>
      <c r="P481" t="n">
        <v>0</v>
      </c>
      <c r="Q481" t="n">
        <v>0</v>
      </c>
      <c r="R481" s="2" t="inlineStr"/>
    </row>
    <row r="482" ht="15" customHeight="1">
      <c r="A482" t="inlineStr">
        <is>
          <t>A 61207-2023</t>
        </is>
      </c>
      <c r="B482" s="1" t="n">
        <v>45264.39444444444</v>
      </c>
      <c r="C482" s="1" t="n">
        <v>45925</v>
      </c>
      <c r="D482" t="inlineStr">
        <is>
          <t>UPPSALA LÄN</t>
        </is>
      </c>
      <c r="E482" t="inlineStr">
        <is>
          <t>ENKÖPING</t>
        </is>
      </c>
      <c r="G482" t="n">
        <v>10.8</v>
      </c>
      <c r="H482" t="n">
        <v>0</v>
      </c>
      <c r="I482" t="n">
        <v>0</v>
      </c>
      <c r="J482" t="n">
        <v>0</v>
      </c>
      <c r="K482" t="n">
        <v>0</v>
      </c>
      <c r="L482" t="n">
        <v>0</v>
      </c>
      <c r="M482" t="n">
        <v>0</v>
      </c>
      <c r="N482" t="n">
        <v>0</v>
      </c>
      <c r="O482" t="n">
        <v>0</v>
      </c>
      <c r="P482" t="n">
        <v>0</v>
      </c>
      <c r="Q482" t="n">
        <v>0</v>
      </c>
      <c r="R482" s="2" t="inlineStr"/>
    </row>
    <row r="483">
      <c r="A483" t="inlineStr">
        <is>
          <t>A 840-2025</t>
        </is>
      </c>
      <c r="B483" s="1" t="n">
        <v>45665</v>
      </c>
      <c r="C483" s="1" t="n">
        <v>45925</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2025-09-25T10:41:16Z</dcterms:created>
  <dcterms:modified xmlns:dcterms="http://purl.org/dc/terms/" xmlns:xsi="http://www.w3.org/2001/XMLSchema-instance" xsi:type="dcterms:W3CDTF">2025-09-25T10:41:16Z</dcterms:modified>
</cp:coreProperties>
</file>