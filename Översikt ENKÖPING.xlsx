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46066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46066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46066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46066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46066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46066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46066</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46066</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46066</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46066</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46066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46066</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46066</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46066</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46066</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46066</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46066</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46066</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46066</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46066</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4166-2026</t>
        </is>
      </c>
      <c r="B31" s="1" t="n">
        <v>46044.66402777778</v>
      </c>
      <c r="C31" s="1" t="n">
        <v>46066</v>
      </c>
      <c r="D31" t="inlineStr">
        <is>
          <t>UPPSALA LÄN</t>
        </is>
      </c>
      <c r="E31" t="inlineStr">
        <is>
          <t>ENKÖPING</t>
        </is>
      </c>
      <c r="G31" t="n">
        <v>1.7</v>
      </c>
      <c r="H31" t="n">
        <v>1</v>
      </c>
      <c r="I31" t="n">
        <v>0</v>
      </c>
      <c r="J31" t="n">
        <v>1</v>
      </c>
      <c r="K31" t="n">
        <v>0</v>
      </c>
      <c r="L31" t="n">
        <v>0</v>
      </c>
      <c r="M31" t="n">
        <v>0</v>
      </c>
      <c r="N31" t="n">
        <v>0</v>
      </c>
      <c r="O31" t="n">
        <v>1</v>
      </c>
      <c r="P31" t="n">
        <v>0</v>
      </c>
      <c r="Q31" t="n">
        <v>1</v>
      </c>
      <c r="R31" s="2" t="inlineStr">
        <is>
          <t>Gulsparv</t>
        </is>
      </c>
      <c r="S31">
        <f>HYPERLINK("https://klasma.github.io/Logging_0381/artfynd/A 4166-2026 artfynd.xlsx", "A 4166-2026")</f>
        <v/>
      </c>
      <c r="T31">
        <f>HYPERLINK("https://klasma.github.io/Logging_0381/kartor/A 4166-2026 karta.png", "A 4166-2026")</f>
        <v/>
      </c>
      <c r="V31">
        <f>HYPERLINK("https://klasma.github.io/Logging_0381/klagomål/A 4166-2026 FSC-klagomål.docx", "A 4166-2026")</f>
        <v/>
      </c>
      <c r="W31">
        <f>HYPERLINK("https://klasma.github.io/Logging_0381/klagomålsmail/A 4166-2026 FSC-klagomål mail.docx", "A 4166-2026")</f>
        <v/>
      </c>
      <c r="X31">
        <f>HYPERLINK("https://klasma.github.io/Logging_0381/tillsyn/A 4166-2026 tillsynsbegäran.docx", "A 4166-2026")</f>
        <v/>
      </c>
      <c r="Y31">
        <f>HYPERLINK("https://klasma.github.io/Logging_0381/tillsynsmail/A 4166-2026 tillsynsbegäran mail.docx", "A 4166-2026")</f>
        <v/>
      </c>
      <c r="Z31">
        <f>HYPERLINK("https://klasma.github.io/Logging_0381/fåglar/A 4166-2026 prioriterade fågelarter.docx", "A 4166-2026")</f>
        <v/>
      </c>
    </row>
    <row r="32" ht="15" customHeight="1">
      <c r="A32" t="inlineStr">
        <is>
          <t>A 23961-2022</t>
        </is>
      </c>
      <c r="B32" s="1" t="n">
        <v>44722</v>
      </c>
      <c r="C32" s="1" t="n">
        <v>46066</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46066</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46066</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46066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46066</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46066</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46066</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46066</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46066</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46066</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46066</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46066</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46066</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46066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57066-2021</t>
        </is>
      </c>
      <c r="B46" s="1" t="n">
        <v>44482.5663425926</v>
      </c>
      <c r="C46" s="1" t="n">
        <v>46066</v>
      </c>
      <c r="D46" t="inlineStr">
        <is>
          <t>UPPSALA LÄN</t>
        </is>
      </c>
      <c r="E46" t="inlineStr">
        <is>
          <t>ENKÖPING</t>
        </is>
      </c>
      <c r="G46" t="n">
        <v>1.5</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46066</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46066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46066</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46066</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46066</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46066</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46066</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46066</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46066</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46066</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46066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46066</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46066</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46066</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46066</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46066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46066</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46066</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46066</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46066</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46066</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46066</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46066</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46066</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46066</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46066</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46066</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46066</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46066</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46066</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46066</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46066</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46066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46066</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46066</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46066</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46066</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46066</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46066</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46066</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46066</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46066</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46066</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46066</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46066</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46066</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46066</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46066</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46066</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46066</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46066</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46066</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46066</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46066</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46066</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46066</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13853-2023</t>
        </is>
      </c>
      <c r="B110" s="1" t="n">
        <v>45007</v>
      </c>
      <c r="C110" s="1" t="n">
        <v>46066</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50747-2022</t>
        </is>
      </c>
      <c r="B111" s="1" t="n">
        <v>44867.40162037037</v>
      </c>
      <c r="C111" s="1" t="n">
        <v>46066</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46066</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47681-2024</t>
        </is>
      </c>
      <c r="B113" s="1" t="n">
        <v>45588</v>
      </c>
      <c r="C113" s="1" t="n">
        <v>46066</v>
      </c>
      <c r="D113" t="inlineStr">
        <is>
          <t>UPPSALA LÄN</t>
        </is>
      </c>
      <c r="E113" t="inlineStr">
        <is>
          <t>ENKÖPING</t>
        </is>
      </c>
      <c r="G113" t="n">
        <v>4.2</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46066</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27786-2023</t>
        </is>
      </c>
      <c r="B115" s="1" t="n">
        <v>45098</v>
      </c>
      <c r="C115" s="1" t="n">
        <v>46066</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46066</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46066</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48864-2022</t>
        </is>
      </c>
      <c r="B118" s="1" t="n">
        <v>44859</v>
      </c>
      <c r="C118" s="1" t="n">
        <v>46066</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53496-2022</t>
        </is>
      </c>
      <c r="B119" s="1" t="n">
        <v>44879.57217592592</v>
      </c>
      <c r="C119" s="1" t="n">
        <v>46066</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46066</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5211-2024</t>
        </is>
      </c>
      <c r="B121" s="1" t="n">
        <v>45330</v>
      </c>
      <c r="C121" s="1" t="n">
        <v>46066</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46066</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46066</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42459-2024</t>
        </is>
      </c>
      <c r="B124" s="1" t="n">
        <v>45565</v>
      </c>
      <c r="C124" s="1" t="n">
        <v>46066</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10409-2025</t>
        </is>
      </c>
      <c r="B125" s="1" t="n">
        <v>45720.631875</v>
      </c>
      <c r="C125" s="1" t="n">
        <v>46066</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18299-2025</t>
        </is>
      </c>
      <c r="B126" s="1" t="n">
        <v>45762</v>
      </c>
      <c r="C126" s="1" t="n">
        <v>46066</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21686-2022</t>
        </is>
      </c>
      <c r="B127" s="1" t="n">
        <v>44707</v>
      </c>
      <c r="C127" s="1" t="n">
        <v>46066</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18831-2023</t>
        </is>
      </c>
      <c r="B128" s="1" t="n">
        <v>45044.40798611111</v>
      </c>
      <c r="C128" s="1" t="n">
        <v>46066</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6172-2023</t>
        </is>
      </c>
      <c r="B129" s="1" t="n">
        <v>44964.68663194445</v>
      </c>
      <c r="C129" s="1" t="n">
        <v>46066</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14402-2023</t>
        </is>
      </c>
      <c r="B130" s="1" t="n">
        <v>45012</v>
      </c>
      <c r="C130" s="1" t="n">
        <v>46066</v>
      </c>
      <c r="D130" t="inlineStr">
        <is>
          <t>UPPSALA LÄN</t>
        </is>
      </c>
      <c r="E130" t="inlineStr">
        <is>
          <t>ENKÖPING</t>
        </is>
      </c>
      <c r="G130" t="n">
        <v>9.5</v>
      </c>
      <c r="H130" t="n">
        <v>0</v>
      </c>
      <c r="I130" t="n">
        <v>0</v>
      </c>
      <c r="J130" t="n">
        <v>0</v>
      </c>
      <c r="K130" t="n">
        <v>0</v>
      </c>
      <c r="L130" t="n">
        <v>0</v>
      </c>
      <c r="M130" t="n">
        <v>0</v>
      </c>
      <c r="N130" t="n">
        <v>0</v>
      </c>
      <c r="O130" t="n">
        <v>0</v>
      </c>
      <c r="P130" t="n">
        <v>0</v>
      </c>
      <c r="Q130" t="n">
        <v>0</v>
      </c>
      <c r="R130" s="2" t="inlineStr"/>
    </row>
    <row r="131" ht="15" customHeight="1">
      <c r="A131" t="inlineStr">
        <is>
          <t>A 27983-2024</t>
        </is>
      </c>
      <c r="B131" s="1" t="n">
        <v>45476</v>
      </c>
      <c r="C131" s="1" t="n">
        <v>46066</v>
      </c>
      <c r="D131" t="inlineStr">
        <is>
          <t>UPPSALA LÄN</t>
        </is>
      </c>
      <c r="E131" t="inlineStr">
        <is>
          <t>ENKÖPING</t>
        </is>
      </c>
      <c r="G131" t="n">
        <v>3.2</v>
      </c>
      <c r="H131" t="n">
        <v>0</v>
      </c>
      <c r="I131" t="n">
        <v>0</v>
      </c>
      <c r="J131" t="n">
        <v>0</v>
      </c>
      <c r="K131" t="n">
        <v>0</v>
      </c>
      <c r="L131" t="n">
        <v>0</v>
      </c>
      <c r="M131" t="n">
        <v>0</v>
      </c>
      <c r="N131" t="n">
        <v>0</v>
      </c>
      <c r="O131" t="n">
        <v>0</v>
      </c>
      <c r="P131" t="n">
        <v>0</v>
      </c>
      <c r="Q131" t="n">
        <v>0</v>
      </c>
      <c r="R131" s="2" t="inlineStr"/>
    </row>
    <row r="132" ht="15" customHeight="1">
      <c r="A132" t="inlineStr">
        <is>
          <t>A 19298-2023</t>
        </is>
      </c>
      <c r="B132" s="1" t="n">
        <v>45048</v>
      </c>
      <c r="C132" s="1" t="n">
        <v>46066</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43697-2024</t>
        </is>
      </c>
      <c r="B133" s="1" t="n">
        <v>45569</v>
      </c>
      <c r="C133" s="1" t="n">
        <v>46066</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15939-2022</t>
        </is>
      </c>
      <c r="B134" s="1" t="n">
        <v>44664</v>
      </c>
      <c r="C134" s="1" t="n">
        <v>46066</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46066</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57153-2021</t>
        </is>
      </c>
      <c r="B136" s="1" t="n">
        <v>44482</v>
      </c>
      <c r="C136" s="1" t="n">
        <v>46066</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45283-2022</t>
        </is>
      </c>
      <c r="B137" s="1" t="n">
        <v>44844</v>
      </c>
      <c r="C137" s="1" t="n">
        <v>46066</v>
      </c>
      <c r="D137" t="inlineStr">
        <is>
          <t>UPPSALA LÄN</t>
        </is>
      </c>
      <c r="E137" t="inlineStr">
        <is>
          <t>ENKÖPING</t>
        </is>
      </c>
      <c r="G137" t="n">
        <v>5.9</v>
      </c>
      <c r="H137" t="n">
        <v>0</v>
      </c>
      <c r="I137" t="n">
        <v>0</v>
      </c>
      <c r="J137" t="n">
        <v>0</v>
      </c>
      <c r="K137" t="n">
        <v>0</v>
      </c>
      <c r="L137" t="n">
        <v>0</v>
      </c>
      <c r="M137" t="n">
        <v>0</v>
      </c>
      <c r="N137" t="n">
        <v>0</v>
      </c>
      <c r="O137" t="n">
        <v>0</v>
      </c>
      <c r="P137" t="n">
        <v>0</v>
      </c>
      <c r="Q137" t="n">
        <v>0</v>
      </c>
      <c r="R137" s="2" t="inlineStr"/>
    </row>
    <row r="138" ht="15" customHeight="1">
      <c r="A138" t="inlineStr">
        <is>
          <t>A 42589-2022</t>
        </is>
      </c>
      <c r="B138" s="1" t="n">
        <v>44831</v>
      </c>
      <c r="C138" s="1" t="n">
        <v>46066</v>
      </c>
      <c r="D138" t="inlineStr">
        <is>
          <t>UPPSALA LÄN</t>
        </is>
      </c>
      <c r="E138" t="inlineStr">
        <is>
          <t>ENKÖPING</t>
        </is>
      </c>
      <c r="G138" t="n">
        <v>20</v>
      </c>
      <c r="H138" t="n">
        <v>0</v>
      </c>
      <c r="I138" t="n">
        <v>0</v>
      </c>
      <c r="J138" t="n">
        <v>0</v>
      </c>
      <c r="K138" t="n">
        <v>0</v>
      </c>
      <c r="L138" t="n">
        <v>0</v>
      </c>
      <c r="M138" t="n">
        <v>0</v>
      </c>
      <c r="N138" t="n">
        <v>0</v>
      </c>
      <c r="O138" t="n">
        <v>0</v>
      </c>
      <c r="P138" t="n">
        <v>0</v>
      </c>
      <c r="Q138" t="n">
        <v>0</v>
      </c>
      <c r="R138" s="2" t="inlineStr"/>
    </row>
    <row r="139" ht="15" customHeight="1">
      <c r="A139" t="inlineStr">
        <is>
          <t>A 840-2025</t>
        </is>
      </c>
      <c r="B139" s="1" t="n">
        <v>45665</v>
      </c>
      <c r="C139" s="1" t="n">
        <v>46066</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45142-2023</t>
        </is>
      </c>
      <c r="B140" s="1" t="n">
        <v>45191.4702662037</v>
      </c>
      <c r="C140" s="1" t="n">
        <v>46066</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11918-2025</t>
        </is>
      </c>
      <c r="B141" s="1" t="n">
        <v>45728.49331018519</v>
      </c>
      <c r="C141" s="1" t="n">
        <v>46066</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37115-2024</t>
        </is>
      </c>
      <c r="B142" s="1" t="n">
        <v>45539</v>
      </c>
      <c r="C142" s="1" t="n">
        <v>46066</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46066</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45956-2024</t>
        </is>
      </c>
      <c r="B144" s="1" t="n">
        <v>45580</v>
      </c>
      <c r="C144" s="1" t="n">
        <v>46066</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10831-2024</t>
        </is>
      </c>
      <c r="B145" s="1" t="n">
        <v>45369</v>
      </c>
      <c r="C145" s="1" t="n">
        <v>46066</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8020-2022</t>
        </is>
      </c>
      <c r="B146" s="1" t="n">
        <v>44609</v>
      </c>
      <c r="C146" s="1" t="n">
        <v>46066</v>
      </c>
      <c r="D146" t="inlineStr">
        <is>
          <t>UPPSALA LÄN</t>
        </is>
      </c>
      <c r="E146" t="inlineStr">
        <is>
          <t>ENKÖPING</t>
        </is>
      </c>
      <c r="G146" t="n">
        <v>6</v>
      </c>
      <c r="H146" t="n">
        <v>0</v>
      </c>
      <c r="I146" t="n">
        <v>0</v>
      </c>
      <c r="J146" t="n">
        <v>0</v>
      </c>
      <c r="K146" t="n">
        <v>0</v>
      </c>
      <c r="L146" t="n">
        <v>0</v>
      </c>
      <c r="M146" t="n">
        <v>0</v>
      </c>
      <c r="N146" t="n">
        <v>0</v>
      </c>
      <c r="O146" t="n">
        <v>0</v>
      </c>
      <c r="P146" t="n">
        <v>0</v>
      </c>
      <c r="Q146" t="n">
        <v>0</v>
      </c>
      <c r="R146" s="2" t="inlineStr"/>
    </row>
    <row r="147" ht="15" customHeight="1">
      <c r="A147" t="inlineStr">
        <is>
          <t>A 74090-2021</t>
        </is>
      </c>
      <c r="B147" s="1" t="n">
        <v>44557</v>
      </c>
      <c r="C147" s="1" t="n">
        <v>46066</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845-2025</t>
        </is>
      </c>
      <c r="B148" s="1" t="n">
        <v>45665</v>
      </c>
      <c r="C148" s="1" t="n">
        <v>46066</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849-2025</t>
        </is>
      </c>
      <c r="B149" s="1" t="n">
        <v>45665</v>
      </c>
      <c r="C149" s="1" t="n">
        <v>46066</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34805-2024</t>
        </is>
      </c>
      <c r="B150" s="1" t="n">
        <v>45526</v>
      </c>
      <c r="C150" s="1" t="n">
        <v>46066</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17729-2023</t>
        </is>
      </c>
      <c r="B151" s="1" t="n">
        <v>45037</v>
      </c>
      <c r="C151" s="1" t="n">
        <v>46066</v>
      </c>
      <c r="D151" t="inlineStr">
        <is>
          <t>UPPSALA LÄN</t>
        </is>
      </c>
      <c r="E151" t="inlineStr">
        <is>
          <t>ENKÖPING</t>
        </is>
      </c>
      <c r="G151" t="n">
        <v>10.2</v>
      </c>
      <c r="H151" t="n">
        <v>0</v>
      </c>
      <c r="I151" t="n">
        <v>0</v>
      </c>
      <c r="J151" t="n">
        <v>0</v>
      </c>
      <c r="K151" t="n">
        <v>0</v>
      </c>
      <c r="L151" t="n">
        <v>0</v>
      </c>
      <c r="M151" t="n">
        <v>0</v>
      </c>
      <c r="N151" t="n">
        <v>0</v>
      </c>
      <c r="O151" t="n">
        <v>0</v>
      </c>
      <c r="P151" t="n">
        <v>0</v>
      </c>
      <c r="Q151" t="n">
        <v>0</v>
      </c>
      <c r="R151" s="2" t="inlineStr"/>
    </row>
    <row r="152" ht="15" customHeight="1">
      <c r="A152" t="inlineStr">
        <is>
          <t>A 7167-2026</t>
        </is>
      </c>
      <c r="B152" s="1" t="n">
        <v>46058.45677083333</v>
      </c>
      <c r="C152" s="1" t="n">
        <v>46066</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5712-2025</t>
        </is>
      </c>
      <c r="B153" s="1" t="n">
        <v>45694</v>
      </c>
      <c r="C153" s="1" t="n">
        <v>46066</v>
      </c>
      <c r="D153" t="inlineStr">
        <is>
          <t>UPPSALA LÄN</t>
        </is>
      </c>
      <c r="E153" t="inlineStr">
        <is>
          <t>ENKÖPING</t>
        </is>
      </c>
      <c r="G153" t="n">
        <v>5.1</v>
      </c>
      <c r="H153" t="n">
        <v>0</v>
      </c>
      <c r="I153" t="n">
        <v>0</v>
      </c>
      <c r="J153" t="n">
        <v>0</v>
      </c>
      <c r="K153" t="n">
        <v>0</v>
      </c>
      <c r="L153" t="n">
        <v>0</v>
      </c>
      <c r="M153" t="n">
        <v>0</v>
      </c>
      <c r="N153" t="n">
        <v>0</v>
      </c>
      <c r="O153" t="n">
        <v>0</v>
      </c>
      <c r="P153" t="n">
        <v>0</v>
      </c>
      <c r="Q153" t="n">
        <v>0</v>
      </c>
      <c r="R153" s="2" t="inlineStr"/>
    </row>
    <row r="154" ht="15" customHeight="1">
      <c r="A154" t="inlineStr">
        <is>
          <t>A 5749-2025</t>
        </is>
      </c>
      <c r="B154" s="1" t="n">
        <v>45694</v>
      </c>
      <c r="C154" s="1" t="n">
        <v>46066</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7168-2026</t>
        </is>
      </c>
      <c r="B155" s="1" t="n">
        <v>46058.45831018518</v>
      </c>
      <c r="C155" s="1" t="n">
        <v>46066</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7175-2026</t>
        </is>
      </c>
      <c r="B156" s="1" t="n">
        <v>46058.46399305556</v>
      </c>
      <c r="C156" s="1" t="n">
        <v>46066</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314-2025</t>
        </is>
      </c>
      <c r="B157" s="1" t="n">
        <v>45656</v>
      </c>
      <c r="C157" s="1" t="n">
        <v>46066</v>
      </c>
      <c r="D157" t="inlineStr">
        <is>
          <t>UPPSALA LÄN</t>
        </is>
      </c>
      <c r="E157" t="inlineStr">
        <is>
          <t>ENKÖPING</t>
        </is>
      </c>
      <c r="G157" t="n">
        <v>9</v>
      </c>
      <c r="H157" t="n">
        <v>0</v>
      </c>
      <c r="I157" t="n">
        <v>0</v>
      </c>
      <c r="J157" t="n">
        <v>0</v>
      </c>
      <c r="K157" t="n">
        <v>0</v>
      </c>
      <c r="L157" t="n">
        <v>0</v>
      </c>
      <c r="M157" t="n">
        <v>0</v>
      </c>
      <c r="N157" t="n">
        <v>0</v>
      </c>
      <c r="O157" t="n">
        <v>0</v>
      </c>
      <c r="P157" t="n">
        <v>0</v>
      </c>
      <c r="Q157" t="n">
        <v>0</v>
      </c>
      <c r="R157" s="2" t="inlineStr"/>
    </row>
    <row r="158" ht="15" customHeight="1">
      <c r="A158" t="inlineStr">
        <is>
          <t>A 11627-2025</t>
        </is>
      </c>
      <c r="B158" s="1" t="n">
        <v>45727</v>
      </c>
      <c r="C158" s="1" t="n">
        <v>46066</v>
      </c>
      <c r="D158" t="inlineStr">
        <is>
          <t>UPPSALA LÄN</t>
        </is>
      </c>
      <c r="E158" t="inlineStr">
        <is>
          <t>ENKÖPING</t>
        </is>
      </c>
      <c r="G158" t="n">
        <v>5.5</v>
      </c>
      <c r="H158" t="n">
        <v>0</v>
      </c>
      <c r="I158" t="n">
        <v>0</v>
      </c>
      <c r="J158" t="n">
        <v>0</v>
      </c>
      <c r="K158" t="n">
        <v>0</v>
      </c>
      <c r="L158" t="n">
        <v>0</v>
      </c>
      <c r="M158" t="n">
        <v>0</v>
      </c>
      <c r="N158" t="n">
        <v>0</v>
      </c>
      <c r="O158" t="n">
        <v>0</v>
      </c>
      <c r="P158" t="n">
        <v>0</v>
      </c>
      <c r="Q158" t="n">
        <v>0</v>
      </c>
      <c r="R158" s="2" t="inlineStr"/>
    </row>
    <row r="159" ht="15" customHeight="1">
      <c r="A159" t="inlineStr">
        <is>
          <t>A 62158-2023</t>
        </is>
      </c>
      <c r="B159" s="1" t="n">
        <v>45267</v>
      </c>
      <c r="C159" s="1" t="n">
        <v>46066</v>
      </c>
      <c r="D159" t="inlineStr">
        <is>
          <t>UPPSALA LÄN</t>
        </is>
      </c>
      <c r="E159" t="inlineStr">
        <is>
          <t>ENKÖPING</t>
        </is>
      </c>
      <c r="G159" t="n">
        <v>1.4</v>
      </c>
      <c r="H159" t="n">
        <v>0</v>
      </c>
      <c r="I159" t="n">
        <v>0</v>
      </c>
      <c r="J159" t="n">
        <v>0</v>
      </c>
      <c r="K159" t="n">
        <v>0</v>
      </c>
      <c r="L159" t="n">
        <v>0</v>
      </c>
      <c r="M159" t="n">
        <v>0</v>
      </c>
      <c r="N159" t="n">
        <v>0</v>
      </c>
      <c r="O159" t="n">
        <v>0</v>
      </c>
      <c r="P159" t="n">
        <v>0</v>
      </c>
      <c r="Q159" t="n">
        <v>0</v>
      </c>
      <c r="R159" s="2" t="inlineStr"/>
    </row>
    <row r="160" ht="15" customHeight="1">
      <c r="A160" t="inlineStr">
        <is>
          <t>A 24411-2024</t>
        </is>
      </c>
      <c r="B160" s="1" t="n">
        <v>45457</v>
      </c>
      <c r="C160" s="1" t="n">
        <v>46066</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60350-2022</t>
        </is>
      </c>
      <c r="B161" s="1" t="n">
        <v>44910</v>
      </c>
      <c r="C161" s="1" t="n">
        <v>46066</v>
      </c>
      <c r="D161" t="inlineStr">
        <is>
          <t>UPPSALA LÄN</t>
        </is>
      </c>
      <c r="E161" t="inlineStr">
        <is>
          <t>ENKÖPING</t>
        </is>
      </c>
      <c r="F161" t="inlineStr">
        <is>
          <t>Allmännings- och besparingsskogar</t>
        </is>
      </c>
      <c r="G161" t="n">
        <v>3.5</v>
      </c>
      <c r="H161" t="n">
        <v>0</v>
      </c>
      <c r="I161" t="n">
        <v>0</v>
      </c>
      <c r="J161" t="n">
        <v>0</v>
      </c>
      <c r="K161" t="n">
        <v>0</v>
      </c>
      <c r="L161" t="n">
        <v>0</v>
      </c>
      <c r="M161" t="n">
        <v>0</v>
      </c>
      <c r="N161" t="n">
        <v>0</v>
      </c>
      <c r="O161" t="n">
        <v>0</v>
      </c>
      <c r="P161" t="n">
        <v>0</v>
      </c>
      <c r="Q161" t="n">
        <v>0</v>
      </c>
      <c r="R161" s="2" t="inlineStr"/>
    </row>
    <row r="162" ht="15" customHeight="1">
      <c r="A162" t="inlineStr">
        <is>
          <t>A 7172-2026</t>
        </is>
      </c>
      <c r="B162" s="1" t="n">
        <v>46058.46113425926</v>
      </c>
      <c r="C162" s="1" t="n">
        <v>46066</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35647-2021</t>
        </is>
      </c>
      <c r="B163" s="1" t="n">
        <v>44386</v>
      </c>
      <c r="C163" s="1" t="n">
        <v>46066</v>
      </c>
      <c r="D163" t="inlineStr">
        <is>
          <t>UPPSALA LÄN</t>
        </is>
      </c>
      <c r="E163" t="inlineStr">
        <is>
          <t>ENKÖPING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56176-2021</t>
        </is>
      </c>
      <c r="B164" s="1" t="n">
        <v>44477</v>
      </c>
      <c r="C164" s="1" t="n">
        <v>46066</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58092-2024</t>
        </is>
      </c>
      <c r="B165" s="1" t="n">
        <v>45632</v>
      </c>
      <c r="C165" s="1" t="n">
        <v>46066</v>
      </c>
      <c r="D165" t="inlineStr">
        <is>
          <t>UPPSALA LÄN</t>
        </is>
      </c>
      <c r="E165" t="inlineStr">
        <is>
          <t>ENKÖPING</t>
        </is>
      </c>
      <c r="G165" t="n">
        <v>4.8</v>
      </c>
      <c r="H165" t="n">
        <v>0</v>
      </c>
      <c r="I165" t="n">
        <v>0</v>
      </c>
      <c r="J165" t="n">
        <v>0</v>
      </c>
      <c r="K165" t="n">
        <v>0</v>
      </c>
      <c r="L165" t="n">
        <v>0</v>
      </c>
      <c r="M165" t="n">
        <v>0</v>
      </c>
      <c r="N165" t="n">
        <v>0</v>
      </c>
      <c r="O165" t="n">
        <v>0</v>
      </c>
      <c r="P165" t="n">
        <v>0</v>
      </c>
      <c r="Q165" t="n">
        <v>0</v>
      </c>
      <c r="R165" s="2" t="inlineStr"/>
    </row>
    <row r="166" ht="15" customHeight="1">
      <c r="A166" t="inlineStr">
        <is>
          <t>A 60848-2025</t>
        </is>
      </c>
      <c r="B166" s="1" t="n">
        <v>45999</v>
      </c>
      <c r="C166" s="1" t="n">
        <v>46066</v>
      </c>
      <c r="D166" t="inlineStr">
        <is>
          <t>UPPSALA LÄN</t>
        </is>
      </c>
      <c r="E166" t="inlineStr">
        <is>
          <t>ENKÖPING</t>
        </is>
      </c>
      <c r="G166" t="n">
        <v>2.5</v>
      </c>
      <c r="H166" t="n">
        <v>0</v>
      </c>
      <c r="I166" t="n">
        <v>0</v>
      </c>
      <c r="J166" t="n">
        <v>0</v>
      </c>
      <c r="K166" t="n">
        <v>0</v>
      </c>
      <c r="L166" t="n">
        <v>0</v>
      </c>
      <c r="M166" t="n">
        <v>0</v>
      </c>
      <c r="N166" t="n">
        <v>0</v>
      </c>
      <c r="O166" t="n">
        <v>0</v>
      </c>
      <c r="P166" t="n">
        <v>0</v>
      </c>
      <c r="Q166" t="n">
        <v>0</v>
      </c>
      <c r="R166" s="2" t="inlineStr"/>
    </row>
    <row r="167" ht="15" customHeight="1">
      <c r="A167" t="inlineStr">
        <is>
          <t>A 26024-2025</t>
        </is>
      </c>
      <c r="B167" s="1" t="n">
        <v>45804.6831712963</v>
      </c>
      <c r="C167" s="1" t="n">
        <v>46066</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26042-2025</t>
        </is>
      </c>
      <c r="B168" s="1" t="n">
        <v>45804.70018518518</v>
      </c>
      <c r="C168" s="1" t="n">
        <v>46066</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26005-2025</t>
        </is>
      </c>
      <c r="B169" s="1" t="n">
        <v>45804.67055555555</v>
      </c>
      <c r="C169" s="1" t="n">
        <v>46066</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26026-2025</t>
        </is>
      </c>
      <c r="B170" s="1" t="n">
        <v>45804.68510416667</v>
      </c>
      <c r="C170" s="1" t="n">
        <v>46066</v>
      </c>
      <c r="D170" t="inlineStr">
        <is>
          <t>UPPSALA LÄN</t>
        </is>
      </c>
      <c r="E170" t="inlineStr">
        <is>
          <t>ENKÖPING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26030-2025</t>
        </is>
      </c>
      <c r="B171" s="1" t="n">
        <v>45804.68815972222</v>
      </c>
      <c r="C171" s="1" t="n">
        <v>46066</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10458-2022</t>
        </is>
      </c>
      <c r="B172" s="1" t="n">
        <v>44623.56711805556</v>
      </c>
      <c r="C172" s="1" t="n">
        <v>46066</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26022-2025</t>
        </is>
      </c>
      <c r="B173" s="1" t="n">
        <v>45804.68006944445</v>
      </c>
      <c r="C173" s="1" t="n">
        <v>46066</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25988-2025</t>
        </is>
      </c>
      <c r="B174" s="1" t="n">
        <v>45804.64814814815</v>
      </c>
      <c r="C174" s="1" t="n">
        <v>46066</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26031-2025</t>
        </is>
      </c>
      <c r="B175" s="1" t="n">
        <v>45804.69050925926</v>
      </c>
      <c r="C175" s="1" t="n">
        <v>46066</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69344-2021</t>
        </is>
      </c>
      <c r="B176" s="1" t="n">
        <v>44531</v>
      </c>
      <c r="C176" s="1" t="n">
        <v>46066</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44115-2024</t>
        </is>
      </c>
      <c r="B177" s="1" t="n">
        <v>45572</v>
      </c>
      <c r="C177" s="1" t="n">
        <v>46066</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2258-2026</t>
        </is>
      </c>
      <c r="B178" s="1" t="n">
        <v>46036</v>
      </c>
      <c r="C178" s="1" t="n">
        <v>46066</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26041-2025</t>
        </is>
      </c>
      <c r="B179" s="1" t="n">
        <v>45804.69883101852</v>
      </c>
      <c r="C179" s="1" t="n">
        <v>46066</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25990-2025</t>
        </is>
      </c>
      <c r="B180" s="1" t="n">
        <v>45804.65229166667</v>
      </c>
      <c r="C180" s="1" t="n">
        <v>46066</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25847-2025</t>
        </is>
      </c>
      <c r="B181" s="1" t="n">
        <v>45804</v>
      </c>
      <c r="C181" s="1" t="n">
        <v>46066</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9957-2023</t>
        </is>
      </c>
      <c r="B182" s="1" t="n">
        <v>44978</v>
      </c>
      <c r="C182" s="1" t="n">
        <v>46066</v>
      </c>
      <c r="D182" t="inlineStr">
        <is>
          <t>UPPSALA LÄN</t>
        </is>
      </c>
      <c r="E182" t="inlineStr">
        <is>
          <t>ENKÖPING</t>
        </is>
      </c>
      <c r="G182" t="n">
        <v>5.9</v>
      </c>
      <c r="H182" t="n">
        <v>0</v>
      </c>
      <c r="I182" t="n">
        <v>0</v>
      </c>
      <c r="J182" t="n">
        <v>0</v>
      </c>
      <c r="K182" t="n">
        <v>0</v>
      </c>
      <c r="L182" t="n">
        <v>0</v>
      </c>
      <c r="M182" t="n">
        <v>0</v>
      </c>
      <c r="N182" t="n">
        <v>0</v>
      </c>
      <c r="O182" t="n">
        <v>0</v>
      </c>
      <c r="P182" t="n">
        <v>0</v>
      </c>
      <c r="Q182" t="n">
        <v>0</v>
      </c>
      <c r="R182" s="2" t="inlineStr"/>
    </row>
    <row r="183" ht="15" customHeight="1">
      <c r="A183" t="inlineStr">
        <is>
          <t>A 26047-2025</t>
        </is>
      </c>
      <c r="B183" s="1" t="n">
        <v>45804.70835648148</v>
      </c>
      <c r="C183" s="1" t="n">
        <v>46066</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63402-2023</t>
        </is>
      </c>
      <c r="B184" s="1" t="n">
        <v>45274.50646990741</v>
      </c>
      <c r="C184" s="1" t="n">
        <v>46066</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8309-2026</t>
        </is>
      </c>
      <c r="B185" s="1" t="n">
        <v>46064.59081018518</v>
      </c>
      <c r="C185" s="1" t="n">
        <v>46066</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35067-2024</t>
        </is>
      </c>
      <c r="B186" s="1" t="n">
        <v>45527.66153935185</v>
      </c>
      <c r="C186" s="1" t="n">
        <v>46066</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16916-2023</t>
        </is>
      </c>
      <c r="B187" s="1" t="n">
        <v>45033.58347222222</v>
      </c>
      <c r="C187" s="1" t="n">
        <v>46066</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56886-2023</t>
        </is>
      </c>
      <c r="B188" s="1" t="n">
        <v>45239</v>
      </c>
      <c r="C188" s="1" t="n">
        <v>46066</v>
      </c>
      <c r="D188" t="inlineStr">
        <is>
          <t>UPPSALA LÄN</t>
        </is>
      </c>
      <c r="E188" t="inlineStr">
        <is>
          <t>ENKÖPING</t>
        </is>
      </c>
      <c r="G188" t="n">
        <v>2</v>
      </c>
      <c r="H188" t="n">
        <v>0</v>
      </c>
      <c r="I188" t="n">
        <v>0</v>
      </c>
      <c r="J188" t="n">
        <v>0</v>
      </c>
      <c r="K188" t="n">
        <v>0</v>
      </c>
      <c r="L188" t="n">
        <v>0</v>
      </c>
      <c r="M188" t="n">
        <v>0</v>
      </c>
      <c r="N188" t="n">
        <v>0</v>
      </c>
      <c r="O188" t="n">
        <v>0</v>
      </c>
      <c r="P188" t="n">
        <v>0</v>
      </c>
      <c r="Q188" t="n">
        <v>0</v>
      </c>
      <c r="R188" s="2" t="inlineStr"/>
    </row>
    <row r="189" ht="15" customHeight="1">
      <c r="A189" t="inlineStr">
        <is>
          <t>A 192-2026</t>
        </is>
      </c>
      <c r="B189" s="1" t="n">
        <v>46025</v>
      </c>
      <c r="C189" s="1" t="n">
        <v>46066</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18592-2021</t>
        </is>
      </c>
      <c r="B190" s="1" t="n">
        <v>44306</v>
      </c>
      <c r="C190" s="1" t="n">
        <v>46066</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27829-2025</t>
        </is>
      </c>
      <c r="B191" s="1" t="n">
        <v>45817</v>
      </c>
      <c r="C191" s="1" t="n">
        <v>46066</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6356-2022</t>
        </is>
      </c>
      <c r="B192" s="1" t="n">
        <v>44600</v>
      </c>
      <c r="C192" s="1" t="n">
        <v>46066</v>
      </c>
      <c r="D192" t="inlineStr">
        <is>
          <t>UPPSALA LÄN</t>
        </is>
      </c>
      <c r="E192" t="inlineStr">
        <is>
          <t>ENKÖPING</t>
        </is>
      </c>
      <c r="G192" t="n">
        <v>1.2</v>
      </c>
      <c r="H192" t="n">
        <v>0</v>
      </c>
      <c r="I192" t="n">
        <v>0</v>
      </c>
      <c r="J192" t="n">
        <v>0</v>
      </c>
      <c r="K192" t="n">
        <v>0</v>
      </c>
      <c r="L192" t="n">
        <v>0</v>
      </c>
      <c r="M192" t="n">
        <v>0</v>
      </c>
      <c r="N192" t="n">
        <v>0</v>
      </c>
      <c r="O192" t="n">
        <v>0</v>
      </c>
      <c r="P192" t="n">
        <v>0</v>
      </c>
      <c r="Q192" t="n">
        <v>0</v>
      </c>
      <c r="R192" s="2" t="inlineStr"/>
    </row>
    <row r="193" ht="15" customHeight="1">
      <c r="A193" t="inlineStr">
        <is>
          <t>A 39009-2024</t>
        </is>
      </c>
      <c r="B193" s="1" t="n">
        <v>45548</v>
      </c>
      <c r="C193" s="1" t="n">
        <v>46066</v>
      </c>
      <c r="D193" t="inlineStr">
        <is>
          <t>UPPSALA LÄN</t>
        </is>
      </c>
      <c r="E193" t="inlineStr">
        <is>
          <t>ENKÖPING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8537-2025</t>
        </is>
      </c>
      <c r="B194" s="1" t="n">
        <v>45709</v>
      </c>
      <c r="C194" s="1" t="n">
        <v>46066</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13816-2021</t>
        </is>
      </c>
      <c r="B195" s="1" t="n">
        <v>44276</v>
      </c>
      <c r="C195" s="1" t="n">
        <v>46066</v>
      </c>
      <c r="D195" t="inlineStr">
        <is>
          <t>UPPSALA LÄN</t>
        </is>
      </c>
      <c r="E195" t="inlineStr">
        <is>
          <t>ENKÖPING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28758-2025</t>
        </is>
      </c>
      <c r="B196" s="1" t="n">
        <v>45820.41212962963</v>
      </c>
      <c r="C196" s="1" t="n">
        <v>46066</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28862-2025</t>
        </is>
      </c>
      <c r="B197" s="1" t="n">
        <v>45820.59189814814</v>
      </c>
      <c r="C197" s="1" t="n">
        <v>46066</v>
      </c>
      <c r="D197" t="inlineStr">
        <is>
          <t>UPPSALA LÄN</t>
        </is>
      </c>
      <c r="E197" t="inlineStr">
        <is>
          <t>ENKÖPING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28855-2025</t>
        </is>
      </c>
      <c r="B198" s="1" t="n">
        <v>45820.58274305556</v>
      </c>
      <c r="C198" s="1" t="n">
        <v>46066</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29093-2025</t>
        </is>
      </c>
      <c r="B199" s="1" t="n">
        <v>45821.55743055556</v>
      </c>
      <c r="C199" s="1" t="n">
        <v>46066</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12434-2021</t>
        </is>
      </c>
      <c r="B200" s="1" t="n">
        <v>44267</v>
      </c>
      <c r="C200" s="1" t="n">
        <v>46066</v>
      </c>
      <c r="D200" t="inlineStr">
        <is>
          <t>UPPSALA LÄN</t>
        </is>
      </c>
      <c r="E200" t="inlineStr">
        <is>
          <t>ENKÖPING</t>
        </is>
      </c>
      <c r="G200" t="n">
        <v>5.3</v>
      </c>
      <c r="H200" t="n">
        <v>0</v>
      </c>
      <c r="I200" t="n">
        <v>0</v>
      </c>
      <c r="J200" t="n">
        <v>0</v>
      </c>
      <c r="K200" t="n">
        <v>0</v>
      </c>
      <c r="L200" t="n">
        <v>0</v>
      </c>
      <c r="M200" t="n">
        <v>0</v>
      </c>
      <c r="N200" t="n">
        <v>0</v>
      </c>
      <c r="O200" t="n">
        <v>0</v>
      </c>
      <c r="P200" t="n">
        <v>0</v>
      </c>
      <c r="Q200" t="n">
        <v>0</v>
      </c>
      <c r="R200" s="2" t="inlineStr"/>
    </row>
    <row r="201" ht="15" customHeight="1">
      <c r="A201" t="inlineStr">
        <is>
          <t>A 49614-2024</t>
        </is>
      </c>
      <c r="B201" s="1" t="n">
        <v>45596.57716435185</v>
      </c>
      <c r="C201" s="1" t="n">
        <v>46066</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49632-2024</t>
        </is>
      </c>
      <c r="B202" s="1" t="n">
        <v>45596</v>
      </c>
      <c r="C202" s="1" t="n">
        <v>46066</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29479-2022</t>
        </is>
      </c>
      <c r="B203" s="1" t="n">
        <v>44753.57265046296</v>
      </c>
      <c r="C203" s="1" t="n">
        <v>46066</v>
      </c>
      <c r="D203" t="inlineStr">
        <is>
          <t>UPPSALA LÄN</t>
        </is>
      </c>
      <c r="E203" t="inlineStr">
        <is>
          <t>ENKÖPING</t>
        </is>
      </c>
      <c r="G203" t="n">
        <v>0.9</v>
      </c>
      <c r="H203" t="n">
        <v>0</v>
      </c>
      <c r="I203" t="n">
        <v>0</v>
      </c>
      <c r="J203" t="n">
        <v>0</v>
      </c>
      <c r="K203" t="n">
        <v>0</v>
      </c>
      <c r="L203" t="n">
        <v>0</v>
      </c>
      <c r="M203" t="n">
        <v>0</v>
      </c>
      <c r="N203" t="n">
        <v>0</v>
      </c>
      <c r="O203" t="n">
        <v>0</v>
      </c>
      <c r="P203" t="n">
        <v>0</v>
      </c>
      <c r="Q203" t="n">
        <v>0</v>
      </c>
      <c r="R203" s="2" t="inlineStr"/>
    </row>
    <row r="204" ht="15" customHeight="1">
      <c r="A204" t="inlineStr">
        <is>
          <t>A 30837-2025</t>
        </is>
      </c>
      <c r="B204" s="1" t="n">
        <v>45831.7063425926</v>
      </c>
      <c r="C204" s="1" t="n">
        <v>46066</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39746-2025</t>
        </is>
      </c>
      <c r="B205" s="1" t="n">
        <v>45891</v>
      </c>
      <c r="C205" s="1" t="n">
        <v>46066</v>
      </c>
      <c r="D205" t="inlineStr">
        <is>
          <t>UPPSALA LÄN</t>
        </is>
      </c>
      <c r="E205" t="inlineStr">
        <is>
          <t>ENKÖPING</t>
        </is>
      </c>
      <c r="G205" t="n">
        <v>7.4</v>
      </c>
      <c r="H205" t="n">
        <v>0</v>
      </c>
      <c r="I205" t="n">
        <v>0</v>
      </c>
      <c r="J205" t="n">
        <v>0</v>
      </c>
      <c r="K205" t="n">
        <v>0</v>
      </c>
      <c r="L205" t="n">
        <v>0</v>
      </c>
      <c r="M205" t="n">
        <v>0</v>
      </c>
      <c r="N205" t="n">
        <v>0</v>
      </c>
      <c r="O205" t="n">
        <v>0</v>
      </c>
      <c r="P205" t="n">
        <v>0</v>
      </c>
      <c r="Q205" t="n">
        <v>0</v>
      </c>
      <c r="R205" s="2" t="inlineStr"/>
    </row>
    <row r="206" ht="15" customHeight="1">
      <c r="A206" t="inlineStr">
        <is>
          <t>A 27538-2023</t>
        </is>
      </c>
      <c r="B206" s="1" t="n">
        <v>45097</v>
      </c>
      <c r="C206" s="1" t="n">
        <v>46066</v>
      </c>
      <c r="D206" t="inlineStr">
        <is>
          <t>UPPSALA LÄN</t>
        </is>
      </c>
      <c r="E206" t="inlineStr">
        <is>
          <t>ENKÖPING</t>
        </is>
      </c>
      <c r="G206" t="n">
        <v>5.8</v>
      </c>
      <c r="H206" t="n">
        <v>0</v>
      </c>
      <c r="I206" t="n">
        <v>0</v>
      </c>
      <c r="J206" t="n">
        <v>0</v>
      </c>
      <c r="K206" t="n">
        <v>0</v>
      </c>
      <c r="L206" t="n">
        <v>0</v>
      </c>
      <c r="M206" t="n">
        <v>0</v>
      </c>
      <c r="N206" t="n">
        <v>0</v>
      </c>
      <c r="O206" t="n">
        <v>0</v>
      </c>
      <c r="P206" t="n">
        <v>0</v>
      </c>
      <c r="Q206" t="n">
        <v>0</v>
      </c>
      <c r="R206" s="2" t="inlineStr"/>
    </row>
    <row r="207" ht="15" customHeight="1">
      <c r="A207" t="inlineStr">
        <is>
          <t>A 15409-2025</t>
        </is>
      </c>
      <c r="B207" s="1" t="n">
        <v>45747</v>
      </c>
      <c r="C207" s="1" t="n">
        <v>46066</v>
      </c>
      <c r="D207" t="inlineStr">
        <is>
          <t>UPPSALA LÄN</t>
        </is>
      </c>
      <c r="E207" t="inlineStr">
        <is>
          <t>ENKÖPING</t>
        </is>
      </c>
      <c r="G207" t="n">
        <v>2.5</v>
      </c>
      <c r="H207" t="n">
        <v>0</v>
      </c>
      <c r="I207" t="n">
        <v>0</v>
      </c>
      <c r="J207" t="n">
        <v>0</v>
      </c>
      <c r="K207" t="n">
        <v>0</v>
      </c>
      <c r="L207" t="n">
        <v>0</v>
      </c>
      <c r="M207" t="n">
        <v>0</v>
      </c>
      <c r="N207" t="n">
        <v>0</v>
      </c>
      <c r="O207" t="n">
        <v>0</v>
      </c>
      <c r="P207" t="n">
        <v>0</v>
      </c>
      <c r="Q207" t="n">
        <v>0</v>
      </c>
      <c r="R207" s="2" t="inlineStr"/>
    </row>
    <row r="208" ht="15" customHeight="1">
      <c r="A208" t="inlineStr">
        <is>
          <t>A 60874-2023</t>
        </is>
      </c>
      <c r="B208" s="1" t="n">
        <v>45261.06280092592</v>
      </c>
      <c r="C208" s="1" t="n">
        <v>46066</v>
      </c>
      <c r="D208" t="inlineStr">
        <is>
          <t>UPPSALA LÄN</t>
        </is>
      </c>
      <c r="E208" t="inlineStr">
        <is>
          <t>ENKÖPING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50394-2024</t>
        </is>
      </c>
      <c r="B209" s="1" t="n">
        <v>45600</v>
      </c>
      <c r="C209" s="1" t="n">
        <v>46066</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51010-2024</t>
        </is>
      </c>
      <c r="B210" s="1" t="n">
        <v>45603.39285879629</v>
      </c>
      <c r="C210" s="1" t="n">
        <v>46066</v>
      </c>
      <c r="D210" t="inlineStr">
        <is>
          <t>UPPSALA LÄN</t>
        </is>
      </c>
      <c r="E210" t="inlineStr">
        <is>
          <t>ENKÖPING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32111-2025</t>
        </is>
      </c>
      <c r="B211" s="1" t="n">
        <v>45835</v>
      </c>
      <c r="C211" s="1" t="n">
        <v>46066</v>
      </c>
      <c r="D211" t="inlineStr">
        <is>
          <t>UPPSALA LÄN</t>
        </is>
      </c>
      <c r="E211" t="inlineStr">
        <is>
          <t>ENKÖPING</t>
        </is>
      </c>
      <c r="G211" t="n">
        <v>1.7</v>
      </c>
      <c r="H211" t="n">
        <v>0</v>
      </c>
      <c r="I211" t="n">
        <v>0</v>
      </c>
      <c r="J211" t="n">
        <v>0</v>
      </c>
      <c r="K211" t="n">
        <v>0</v>
      </c>
      <c r="L211" t="n">
        <v>0</v>
      </c>
      <c r="M211" t="n">
        <v>0</v>
      </c>
      <c r="N211" t="n">
        <v>0</v>
      </c>
      <c r="O211" t="n">
        <v>0</v>
      </c>
      <c r="P211" t="n">
        <v>0</v>
      </c>
      <c r="Q211" t="n">
        <v>0</v>
      </c>
      <c r="R211" s="2" t="inlineStr"/>
    </row>
    <row r="212" ht="15" customHeight="1">
      <c r="A212" t="inlineStr">
        <is>
          <t>A 32031-2025</t>
        </is>
      </c>
      <c r="B212" s="1" t="n">
        <v>45835.41712962963</v>
      </c>
      <c r="C212" s="1" t="n">
        <v>46066</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43016-2021</t>
        </is>
      </c>
      <c r="B213" s="1" t="n">
        <v>44431</v>
      </c>
      <c r="C213" s="1" t="n">
        <v>46066</v>
      </c>
      <c r="D213" t="inlineStr">
        <is>
          <t>UPPSALA LÄN</t>
        </is>
      </c>
      <c r="E213" t="inlineStr">
        <is>
          <t>ENKÖPING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19147-2024</t>
        </is>
      </c>
      <c r="B214" s="1" t="n">
        <v>45428</v>
      </c>
      <c r="C214" s="1" t="n">
        <v>46066</v>
      </c>
      <c r="D214" t="inlineStr">
        <is>
          <t>UPPSALA LÄN</t>
        </is>
      </c>
      <c r="E214" t="inlineStr">
        <is>
          <t>ENKÖPING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57209-2024</t>
        </is>
      </c>
      <c r="B215" s="1" t="n">
        <v>45629.49311342592</v>
      </c>
      <c r="C215" s="1" t="n">
        <v>46066</v>
      </c>
      <c r="D215" t="inlineStr">
        <is>
          <t>UPPSALA LÄN</t>
        </is>
      </c>
      <c r="E215" t="inlineStr">
        <is>
          <t>ENKÖPING</t>
        </is>
      </c>
      <c r="G215" t="n">
        <v>3.2</v>
      </c>
      <c r="H215" t="n">
        <v>0</v>
      </c>
      <c r="I215" t="n">
        <v>0</v>
      </c>
      <c r="J215" t="n">
        <v>0</v>
      </c>
      <c r="K215" t="n">
        <v>0</v>
      </c>
      <c r="L215" t="n">
        <v>0</v>
      </c>
      <c r="M215" t="n">
        <v>0</v>
      </c>
      <c r="N215" t="n">
        <v>0</v>
      </c>
      <c r="O215" t="n">
        <v>0</v>
      </c>
      <c r="P215" t="n">
        <v>0</v>
      </c>
      <c r="Q215" t="n">
        <v>0</v>
      </c>
      <c r="R215" s="2" t="inlineStr"/>
    </row>
    <row r="216" ht="15" customHeight="1">
      <c r="A216" t="inlineStr">
        <is>
          <t>A 51120-2023</t>
        </is>
      </c>
      <c r="B216" s="1" t="n">
        <v>45219.3088425926</v>
      </c>
      <c r="C216" s="1" t="n">
        <v>46066</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12878-2025</t>
        </is>
      </c>
      <c r="B217" s="1" t="n">
        <v>45733.68571759259</v>
      </c>
      <c r="C217" s="1" t="n">
        <v>46066</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15740-2025</t>
        </is>
      </c>
      <c r="B218" s="1" t="n">
        <v>45748</v>
      </c>
      <c r="C218" s="1" t="n">
        <v>46066</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43896-2022</t>
        </is>
      </c>
      <c r="B219" s="1" t="n">
        <v>44838</v>
      </c>
      <c r="C219" s="1" t="n">
        <v>46066</v>
      </c>
      <c r="D219" t="inlineStr">
        <is>
          <t>UPPSALA LÄN</t>
        </is>
      </c>
      <c r="E219" t="inlineStr">
        <is>
          <t>ENKÖPING</t>
        </is>
      </c>
      <c r="G219" t="n">
        <v>5.3</v>
      </c>
      <c r="H219" t="n">
        <v>0</v>
      </c>
      <c r="I219" t="n">
        <v>0</v>
      </c>
      <c r="J219" t="n">
        <v>0</v>
      </c>
      <c r="K219" t="n">
        <v>0</v>
      </c>
      <c r="L219" t="n">
        <v>0</v>
      </c>
      <c r="M219" t="n">
        <v>0</v>
      </c>
      <c r="N219" t="n">
        <v>0</v>
      </c>
      <c r="O219" t="n">
        <v>0</v>
      </c>
      <c r="P219" t="n">
        <v>0</v>
      </c>
      <c r="Q219" t="n">
        <v>0</v>
      </c>
      <c r="R219" s="2" t="inlineStr"/>
    </row>
    <row r="220" ht="15" customHeight="1">
      <c r="A220" t="inlineStr">
        <is>
          <t>A 41616-2025</t>
        </is>
      </c>
      <c r="B220" s="1" t="n">
        <v>45901.69684027778</v>
      </c>
      <c r="C220" s="1" t="n">
        <v>46066</v>
      </c>
      <c r="D220" t="inlineStr">
        <is>
          <t>UPPSALA LÄN</t>
        </is>
      </c>
      <c r="E220" t="inlineStr">
        <is>
          <t>ENKÖPING</t>
        </is>
      </c>
      <c r="F220" t="inlineStr">
        <is>
          <t>Allmännings- och besparingsskogar</t>
        </is>
      </c>
      <c r="G220" t="n">
        <v>17.3</v>
      </c>
      <c r="H220" t="n">
        <v>0</v>
      </c>
      <c r="I220" t="n">
        <v>0</v>
      </c>
      <c r="J220" t="n">
        <v>0</v>
      </c>
      <c r="K220" t="n">
        <v>0</v>
      </c>
      <c r="L220" t="n">
        <v>0</v>
      </c>
      <c r="M220" t="n">
        <v>0</v>
      </c>
      <c r="N220" t="n">
        <v>0</v>
      </c>
      <c r="O220" t="n">
        <v>0</v>
      </c>
      <c r="P220" t="n">
        <v>0</v>
      </c>
      <c r="Q220" t="n">
        <v>0</v>
      </c>
      <c r="R220" s="2" t="inlineStr"/>
    </row>
    <row r="221" ht="15" customHeight="1">
      <c r="A221" t="inlineStr">
        <is>
          <t>A 18994-2025</t>
        </is>
      </c>
      <c r="B221" s="1" t="n">
        <v>45764.57350694444</v>
      </c>
      <c r="C221" s="1" t="n">
        <v>46066</v>
      </c>
      <c r="D221" t="inlineStr">
        <is>
          <t>UPPSALA LÄN</t>
        </is>
      </c>
      <c r="E221" t="inlineStr">
        <is>
          <t>ENKÖPING</t>
        </is>
      </c>
      <c r="G221" t="n">
        <v>3.8</v>
      </c>
      <c r="H221" t="n">
        <v>0</v>
      </c>
      <c r="I221" t="n">
        <v>0</v>
      </c>
      <c r="J221" t="n">
        <v>0</v>
      </c>
      <c r="K221" t="n">
        <v>0</v>
      </c>
      <c r="L221" t="n">
        <v>0</v>
      </c>
      <c r="M221" t="n">
        <v>0</v>
      </c>
      <c r="N221" t="n">
        <v>0</v>
      </c>
      <c r="O221" t="n">
        <v>0</v>
      </c>
      <c r="P221" t="n">
        <v>0</v>
      </c>
      <c r="Q221" t="n">
        <v>0</v>
      </c>
      <c r="R221" s="2" t="inlineStr"/>
    </row>
    <row r="222" ht="15" customHeight="1">
      <c r="A222" t="inlineStr">
        <is>
          <t>A 7090-2022</t>
        </is>
      </c>
      <c r="B222" s="1" t="n">
        <v>44603.59520833333</v>
      </c>
      <c r="C222" s="1" t="n">
        <v>46066</v>
      </c>
      <c r="D222" t="inlineStr">
        <is>
          <t>UPPSALA LÄN</t>
        </is>
      </c>
      <c r="E222" t="inlineStr">
        <is>
          <t>ENKÖPING</t>
        </is>
      </c>
      <c r="G222" t="n">
        <v>2.8</v>
      </c>
      <c r="H222" t="n">
        <v>0</v>
      </c>
      <c r="I222" t="n">
        <v>0</v>
      </c>
      <c r="J222" t="n">
        <v>0</v>
      </c>
      <c r="K222" t="n">
        <v>0</v>
      </c>
      <c r="L222" t="n">
        <v>0</v>
      </c>
      <c r="M222" t="n">
        <v>0</v>
      </c>
      <c r="N222" t="n">
        <v>0</v>
      </c>
      <c r="O222" t="n">
        <v>0</v>
      </c>
      <c r="P222" t="n">
        <v>0</v>
      </c>
      <c r="Q222" t="n">
        <v>0</v>
      </c>
      <c r="R222" s="2" t="inlineStr"/>
    </row>
    <row r="223" ht="15" customHeight="1">
      <c r="A223" t="inlineStr">
        <is>
          <t>A 9487-2025</t>
        </is>
      </c>
      <c r="B223" s="1" t="n">
        <v>45715.49331018519</v>
      </c>
      <c r="C223" s="1" t="n">
        <v>46066</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6144-2024</t>
        </is>
      </c>
      <c r="B224" s="1" t="n">
        <v>45337.4684837963</v>
      </c>
      <c r="C224" s="1" t="n">
        <v>46066</v>
      </c>
      <c r="D224" t="inlineStr">
        <is>
          <t>UPPSALA LÄN</t>
        </is>
      </c>
      <c r="E224" t="inlineStr">
        <is>
          <t>ENKÖPING</t>
        </is>
      </c>
      <c r="G224" t="n">
        <v>13.8</v>
      </c>
      <c r="H224" t="n">
        <v>0</v>
      </c>
      <c r="I224" t="n">
        <v>0</v>
      </c>
      <c r="J224" t="n">
        <v>0</v>
      </c>
      <c r="K224" t="n">
        <v>0</v>
      </c>
      <c r="L224" t="n">
        <v>0</v>
      </c>
      <c r="M224" t="n">
        <v>0</v>
      </c>
      <c r="N224" t="n">
        <v>0</v>
      </c>
      <c r="O224" t="n">
        <v>0</v>
      </c>
      <c r="P224" t="n">
        <v>0</v>
      </c>
      <c r="Q224" t="n">
        <v>0</v>
      </c>
      <c r="R224" s="2" t="inlineStr"/>
    </row>
    <row r="225" ht="15" customHeight="1">
      <c r="A225" t="inlineStr">
        <is>
          <t>A 57848-2024</t>
        </is>
      </c>
      <c r="B225" s="1" t="n">
        <v>45631.40947916666</v>
      </c>
      <c r="C225" s="1" t="n">
        <v>46066</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49601-2024</t>
        </is>
      </c>
      <c r="B226" s="1" t="n">
        <v>45596.56288194445</v>
      </c>
      <c r="C226" s="1" t="n">
        <v>46066</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33955-2024</t>
        </is>
      </c>
      <c r="B227" s="1" t="n">
        <v>45523.46952546296</v>
      </c>
      <c r="C227" s="1" t="n">
        <v>46066</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41637-2025</t>
        </is>
      </c>
      <c r="B228" s="1" t="n">
        <v>45901</v>
      </c>
      <c r="C228" s="1" t="n">
        <v>46066</v>
      </c>
      <c r="D228" t="inlineStr">
        <is>
          <t>UPPSALA LÄN</t>
        </is>
      </c>
      <c r="E228" t="inlineStr">
        <is>
          <t>ENKÖPING</t>
        </is>
      </c>
      <c r="F228" t="inlineStr">
        <is>
          <t>Allmännings- och besparingsskogar</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41618-2025</t>
        </is>
      </c>
      <c r="B229" s="1" t="n">
        <v>45901.70085648148</v>
      </c>
      <c r="C229" s="1" t="n">
        <v>46066</v>
      </c>
      <c r="D229" t="inlineStr">
        <is>
          <t>UPPSALA LÄN</t>
        </is>
      </c>
      <c r="E229" t="inlineStr">
        <is>
          <t>ENKÖPING</t>
        </is>
      </c>
      <c r="F229" t="inlineStr">
        <is>
          <t>Allmännings- och besparingsskogar</t>
        </is>
      </c>
      <c r="G229" t="n">
        <v>5.3</v>
      </c>
      <c r="H229" t="n">
        <v>0</v>
      </c>
      <c r="I229" t="n">
        <v>0</v>
      </c>
      <c r="J229" t="n">
        <v>0</v>
      </c>
      <c r="K229" t="n">
        <v>0</v>
      </c>
      <c r="L229" t="n">
        <v>0</v>
      </c>
      <c r="M229" t="n">
        <v>0</v>
      </c>
      <c r="N229" t="n">
        <v>0</v>
      </c>
      <c r="O229" t="n">
        <v>0</v>
      </c>
      <c r="P229" t="n">
        <v>0</v>
      </c>
      <c r="Q229" t="n">
        <v>0</v>
      </c>
      <c r="R229" s="2" t="inlineStr"/>
    </row>
    <row r="230" ht="15" customHeight="1">
      <c r="A230" t="inlineStr">
        <is>
          <t>A 29513-2025</t>
        </is>
      </c>
      <c r="B230" s="1" t="n">
        <v>45825</v>
      </c>
      <c r="C230" s="1" t="n">
        <v>46066</v>
      </c>
      <c r="D230" t="inlineStr">
        <is>
          <t>UPPSALA LÄN</t>
        </is>
      </c>
      <c r="E230" t="inlineStr">
        <is>
          <t>ENKÖPING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17844-2025</t>
        </is>
      </c>
      <c r="B231" s="1" t="n">
        <v>45758.59920138889</v>
      </c>
      <c r="C231" s="1" t="n">
        <v>46066</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27837-2025</t>
        </is>
      </c>
      <c r="B232" s="1" t="n">
        <v>45817.37207175926</v>
      </c>
      <c r="C232" s="1" t="n">
        <v>46066</v>
      </c>
      <c r="D232" t="inlineStr">
        <is>
          <t>UPPSALA LÄN</t>
        </is>
      </c>
      <c r="E232" t="inlineStr">
        <is>
          <t>ENKÖPING</t>
        </is>
      </c>
      <c r="G232" t="n">
        <v>7.3</v>
      </c>
      <c r="H232" t="n">
        <v>0</v>
      </c>
      <c r="I232" t="n">
        <v>0</v>
      </c>
      <c r="J232" t="n">
        <v>0</v>
      </c>
      <c r="K232" t="n">
        <v>0</v>
      </c>
      <c r="L232" t="n">
        <v>0</v>
      </c>
      <c r="M232" t="n">
        <v>0</v>
      </c>
      <c r="N232" t="n">
        <v>0</v>
      </c>
      <c r="O232" t="n">
        <v>0</v>
      </c>
      <c r="P232" t="n">
        <v>0</v>
      </c>
      <c r="Q232" t="n">
        <v>0</v>
      </c>
      <c r="R232" s="2" t="inlineStr"/>
    </row>
    <row r="233" ht="15" customHeight="1">
      <c r="A233" t="inlineStr">
        <is>
          <t>A 16920-2023</t>
        </is>
      </c>
      <c r="B233" s="1" t="n">
        <v>45033.59030092593</v>
      </c>
      <c r="C233" s="1" t="n">
        <v>46066</v>
      </c>
      <c r="D233" t="inlineStr">
        <is>
          <t>UPPSALA LÄN</t>
        </is>
      </c>
      <c r="E233" t="inlineStr">
        <is>
          <t>ENKÖPING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42029-2025</t>
        </is>
      </c>
      <c r="B234" s="1" t="n">
        <v>45903</v>
      </c>
      <c r="C234" s="1" t="n">
        <v>46066</v>
      </c>
      <c r="D234" t="inlineStr">
        <is>
          <t>UPPSALA LÄN</t>
        </is>
      </c>
      <c r="E234" t="inlineStr">
        <is>
          <t>ENKÖPING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41765-2025</t>
        </is>
      </c>
      <c r="B235" s="1" t="n">
        <v>45902</v>
      </c>
      <c r="C235" s="1" t="n">
        <v>46066</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53586-2024</t>
        </is>
      </c>
      <c r="B236" s="1" t="n">
        <v>45614</v>
      </c>
      <c r="C236" s="1" t="n">
        <v>46066</v>
      </c>
      <c r="D236" t="inlineStr">
        <is>
          <t>UPPSALA LÄN</t>
        </is>
      </c>
      <c r="E236" t="inlineStr">
        <is>
          <t>ENKÖPING</t>
        </is>
      </c>
      <c r="G236" t="n">
        <v>6.6</v>
      </c>
      <c r="H236" t="n">
        <v>0</v>
      </c>
      <c r="I236" t="n">
        <v>0</v>
      </c>
      <c r="J236" t="n">
        <v>0</v>
      </c>
      <c r="K236" t="n">
        <v>0</v>
      </c>
      <c r="L236" t="n">
        <v>0</v>
      </c>
      <c r="M236" t="n">
        <v>0</v>
      </c>
      <c r="N236" t="n">
        <v>0</v>
      </c>
      <c r="O236" t="n">
        <v>0</v>
      </c>
      <c r="P236" t="n">
        <v>0</v>
      </c>
      <c r="Q236" t="n">
        <v>0</v>
      </c>
      <c r="R236" s="2" t="inlineStr"/>
    </row>
    <row r="237" ht="15" customHeight="1">
      <c r="A237" t="inlineStr">
        <is>
          <t>A 47516-2022</t>
        </is>
      </c>
      <c r="B237" s="1" t="n">
        <v>44853.68895833333</v>
      </c>
      <c r="C237" s="1" t="n">
        <v>46066</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21501-2025</t>
        </is>
      </c>
      <c r="B238" s="1" t="n">
        <v>45782</v>
      </c>
      <c r="C238" s="1" t="n">
        <v>46066</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34988-2025</t>
        </is>
      </c>
      <c r="B239" s="1" t="n">
        <v>45849</v>
      </c>
      <c r="C239" s="1" t="n">
        <v>46066</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34987-2025</t>
        </is>
      </c>
      <c r="B240" s="1" t="n">
        <v>45849</v>
      </c>
      <c r="C240" s="1" t="n">
        <v>46066</v>
      </c>
      <c r="D240" t="inlineStr">
        <is>
          <t>UPPSALA LÄN</t>
        </is>
      </c>
      <c r="E240" t="inlineStr">
        <is>
          <t>ENKÖPING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43506-2023</t>
        </is>
      </c>
      <c r="B241" s="1" t="n">
        <v>45181</v>
      </c>
      <c r="C241" s="1" t="n">
        <v>46066</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46186-2023</t>
        </is>
      </c>
      <c r="B242" s="1" t="n">
        <v>45196</v>
      </c>
      <c r="C242" s="1" t="n">
        <v>46066</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54595-2021</t>
        </is>
      </c>
      <c r="B243" s="1" t="n">
        <v>44473.58824074074</v>
      </c>
      <c r="C243" s="1" t="n">
        <v>46066</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41764-2025</t>
        </is>
      </c>
      <c r="B244" s="1" t="n">
        <v>45902</v>
      </c>
      <c r="C244" s="1" t="n">
        <v>46066</v>
      </c>
      <c r="D244" t="inlineStr">
        <is>
          <t>UPPSALA LÄN</t>
        </is>
      </c>
      <c r="E244" t="inlineStr">
        <is>
          <t>ENKÖPING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54588-2024</t>
        </is>
      </c>
      <c r="B245" s="1" t="n">
        <v>45617</v>
      </c>
      <c r="C245" s="1" t="n">
        <v>46066</v>
      </c>
      <c r="D245" t="inlineStr">
        <is>
          <t>UPPSALA LÄN</t>
        </is>
      </c>
      <c r="E245" t="inlineStr">
        <is>
          <t>ENKÖPING</t>
        </is>
      </c>
      <c r="G245" t="n">
        <v>3.7</v>
      </c>
      <c r="H245" t="n">
        <v>0</v>
      </c>
      <c r="I245" t="n">
        <v>0</v>
      </c>
      <c r="J245" t="n">
        <v>0</v>
      </c>
      <c r="K245" t="n">
        <v>0</v>
      </c>
      <c r="L245" t="n">
        <v>0</v>
      </c>
      <c r="M245" t="n">
        <v>0</v>
      </c>
      <c r="N245" t="n">
        <v>0</v>
      </c>
      <c r="O245" t="n">
        <v>0</v>
      </c>
      <c r="P245" t="n">
        <v>0</v>
      </c>
      <c r="Q245" t="n">
        <v>0</v>
      </c>
      <c r="R245" s="2" t="inlineStr"/>
    </row>
    <row r="246" ht="15" customHeight="1">
      <c r="A246" t="inlineStr">
        <is>
          <t>A 36492-2025</t>
        </is>
      </c>
      <c r="B246" s="1" t="n">
        <v>45869</v>
      </c>
      <c r="C246" s="1" t="n">
        <v>46066</v>
      </c>
      <c r="D246" t="inlineStr">
        <is>
          <t>UPPSALA LÄN</t>
        </is>
      </c>
      <c r="E246" t="inlineStr">
        <is>
          <t>ENKÖPING</t>
        </is>
      </c>
      <c r="G246" t="n">
        <v>6.3</v>
      </c>
      <c r="H246" t="n">
        <v>0</v>
      </c>
      <c r="I246" t="n">
        <v>0</v>
      </c>
      <c r="J246" t="n">
        <v>0</v>
      </c>
      <c r="K246" t="n">
        <v>0</v>
      </c>
      <c r="L246" t="n">
        <v>0</v>
      </c>
      <c r="M246" t="n">
        <v>0</v>
      </c>
      <c r="N246" t="n">
        <v>0</v>
      </c>
      <c r="O246" t="n">
        <v>0</v>
      </c>
      <c r="P246" t="n">
        <v>0</v>
      </c>
      <c r="Q246" t="n">
        <v>0</v>
      </c>
      <c r="R246" s="2" t="inlineStr"/>
    </row>
    <row r="247" ht="15" customHeight="1">
      <c r="A247" t="inlineStr">
        <is>
          <t>A 47428-2023</t>
        </is>
      </c>
      <c r="B247" s="1" t="n">
        <v>45202.66664351852</v>
      </c>
      <c r="C247" s="1" t="n">
        <v>46066</v>
      </c>
      <c r="D247" t="inlineStr">
        <is>
          <t>UPPSALA LÄN</t>
        </is>
      </c>
      <c r="E247" t="inlineStr">
        <is>
          <t>ENKÖPING</t>
        </is>
      </c>
      <c r="G247" t="n">
        <v>3</v>
      </c>
      <c r="H247" t="n">
        <v>0</v>
      </c>
      <c r="I247" t="n">
        <v>0</v>
      </c>
      <c r="J247" t="n">
        <v>0</v>
      </c>
      <c r="K247" t="n">
        <v>0</v>
      </c>
      <c r="L247" t="n">
        <v>0</v>
      </c>
      <c r="M247" t="n">
        <v>0</v>
      </c>
      <c r="N247" t="n">
        <v>0</v>
      </c>
      <c r="O247" t="n">
        <v>0</v>
      </c>
      <c r="P247" t="n">
        <v>0</v>
      </c>
      <c r="Q247" t="n">
        <v>0</v>
      </c>
      <c r="R247" s="2" t="inlineStr"/>
    </row>
    <row r="248" ht="15" customHeight="1">
      <c r="A248" t="inlineStr">
        <is>
          <t>A 51042-2024</t>
        </is>
      </c>
      <c r="B248" s="1" t="n">
        <v>45603.4342824074</v>
      </c>
      <c r="C248" s="1" t="n">
        <v>46066</v>
      </c>
      <c r="D248" t="inlineStr">
        <is>
          <t>UPPSALA LÄN</t>
        </is>
      </c>
      <c r="E248" t="inlineStr">
        <is>
          <t>ENKÖPING</t>
        </is>
      </c>
      <c r="G248" t="n">
        <v>4.6</v>
      </c>
      <c r="H248" t="n">
        <v>0</v>
      </c>
      <c r="I248" t="n">
        <v>0</v>
      </c>
      <c r="J248" t="n">
        <v>0</v>
      </c>
      <c r="K248" t="n">
        <v>0</v>
      </c>
      <c r="L248" t="n">
        <v>0</v>
      </c>
      <c r="M248" t="n">
        <v>0</v>
      </c>
      <c r="N248" t="n">
        <v>0</v>
      </c>
      <c r="O248" t="n">
        <v>0</v>
      </c>
      <c r="P248" t="n">
        <v>0</v>
      </c>
      <c r="Q248" t="n">
        <v>0</v>
      </c>
      <c r="R248" s="2" t="inlineStr"/>
    </row>
    <row r="249" ht="15" customHeight="1">
      <c r="A249" t="inlineStr">
        <is>
          <t>A 51037-2024</t>
        </is>
      </c>
      <c r="B249" s="1" t="n">
        <v>45603.43005787037</v>
      </c>
      <c r="C249" s="1" t="n">
        <v>46066</v>
      </c>
      <c r="D249" t="inlineStr">
        <is>
          <t>UPPSALA LÄN</t>
        </is>
      </c>
      <c r="E249" t="inlineStr">
        <is>
          <t>ENKÖPING</t>
        </is>
      </c>
      <c r="G249" t="n">
        <v>5.7</v>
      </c>
      <c r="H249" t="n">
        <v>0</v>
      </c>
      <c r="I249" t="n">
        <v>0</v>
      </c>
      <c r="J249" t="n">
        <v>0</v>
      </c>
      <c r="K249" t="n">
        <v>0</v>
      </c>
      <c r="L249" t="n">
        <v>0</v>
      </c>
      <c r="M249" t="n">
        <v>0</v>
      </c>
      <c r="N249" t="n">
        <v>0</v>
      </c>
      <c r="O249" t="n">
        <v>0</v>
      </c>
      <c r="P249" t="n">
        <v>0</v>
      </c>
      <c r="Q249" t="n">
        <v>0</v>
      </c>
      <c r="R249" s="2" t="inlineStr"/>
    </row>
    <row r="250" ht="15" customHeight="1">
      <c r="A250" t="inlineStr">
        <is>
          <t>A 42756-2025</t>
        </is>
      </c>
      <c r="B250" s="1" t="n">
        <v>45908</v>
      </c>
      <c r="C250" s="1" t="n">
        <v>46066</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36350-2025</t>
        </is>
      </c>
      <c r="B251" s="1" t="n">
        <v>45868</v>
      </c>
      <c r="C251" s="1" t="n">
        <v>46066</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5892-2023</t>
        </is>
      </c>
      <c r="B252" s="1" t="n">
        <v>44963.64883101852</v>
      </c>
      <c r="C252" s="1" t="n">
        <v>46066</v>
      </c>
      <c r="D252" t="inlineStr">
        <is>
          <t>UPPSALA LÄN</t>
        </is>
      </c>
      <c r="E252" t="inlineStr">
        <is>
          <t>ENKÖPING</t>
        </is>
      </c>
      <c r="G252" t="n">
        <v>5.5</v>
      </c>
      <c r="H252" t="n">
        <v>0</v>
      </c>
      <c r="I252" t="n">
        <v>0</v>
      </c>
      <c r="J252" t="n">
        <v>0</v>
      </c>
      <c r="K252" t="n">
        <v>0</v>
      </c>
      <c r="L252" t="n">
        <v>0</v>
      </c>
      <c r="M252" t="n">
        <v>0</v>
      </c>
      <c r="N252" t="n">
        <v>0</v>
      </c>
      <c r="O252" t="n">
        <v>0</v>
      </c>
      <c r="P252" t="n">
        <v>0</v>
      </c>
      <c r="Q252" t="n">
        <v>0</v>
      </c>
      <c r="R252" s="2" t="inlineStr"/>
    </row>
    <row r="253" ht="15" customHeight="1">
      <c r="A253" t="inlineStr">
        <is>
          <t>A 12572-2021</t>
        </is>
      </c>
      <c r="B253" s="1" t="n">
        <v>44270.36438657407</v>
      </c>
      <c r="C253" s="1" t="n">
        <v>46066</v>
      </c>
      <c r="D253" t="inlineStr">
        <is>
          <t>UPPSALA LÄN</t>
        </is>
      </c>
      <c r="E253" t="inlineStr">
        <is>
          <t>ENKÖPING</t>
        </is>
      </c>
      <c r="G253" t="n">
        <v>3.3</v>
      </c>
      <c r="H253" t="n">
        <v>0</v>
      </c>
      <c r="I253" t="n">
        <v>0</v>
      </c>
      <c r="J253" t="n">
        <v>0</v>
      </c>
      <c r="K253" t="n">
        <v>0</v>
      </c>
      <c r="L253" t="n">
        <v>0</v>
      </c>
      <c r="M253" t="n">
        <v>0</v>
      </c>
      <c r="N253" t="n">
        <v>0</v>
      </c>
      <c r="O253" t="n">
        <v>0</v>
      </c>
      <c r="P253" t="n">
        <v>0</v>
      </c>
      <c r="Q253" t="n">
        <v>0</v>
      </c>
      <c r="R253" s="2" t="inlineStr"/>
    </row>
    <row r="254" ht="15" customHeight="1">
      <c r="A254" t="inlineStr">
        <is>
          <t>A 22632-2025</t>
        </is>
      </c>
      <c r="B254" s="1" t="n">
        <v>45789.44361111111</v>
      </c>
      <c r="C254" s="1" t="n">
        <v>46066</v>
      </c>
      <c r="D254" t="inlineStr">
        <is>
          <t>UPPSALA LÄN</t>
        </is>
      </c>
      <c r="E254" t="inlineStr">
        <is>
          <t>ENKÖPING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671-2022</t>
        </is>
      </c>
      <c r="B255" s="1" t="n">
        <v>44568</v>
      </c>
      <c r="C255" s="1" t="n">
        <v>46066</v>
      </c>
      <c r="D255" t="inlineStr">
        <is>
          <t>UPPSALA LÄN</t>
        </is>
      </c>
      <c r="E255" t="inlineStr">
        <is>
          <t>ENKÖPING</t>
        </is>
      </c>
      <c r="G255" t="n">
        <v>3.5</v>
      </c>
      <c r="H255" t="n">
        <v>0</v>
      </c>
      <c r="I255" t="n">
        <v>0</v>
      </c>
      <c r="J255" t="n">
        <v>0</v>
      </c>
      <c r="K255" t="n">
        <v>0</v>
      </c>
      <c r="L255" t="n">
        <v>0</v>
      </c>
      <c r="M255" t="n">
        <v>0</v>
      </c>
      <c r="N255" t="n">
        <v>0</v>
      </c>
      <c r="O255" t="n">
        <v>0</v>
      </c>
      <c r="P255" t="n">
        <v>0</v>
      </c>
      <c r="Q255" t="n">
        <v>0</v>
      </c>
      <c r="R255" s="2" t="inlineStr"/>
    </row>
    <row r="256" ht="15" customHeight="1">
      <c r="A256" t="inlineStr">
        <is>
          <t>A 25989-2025</t>
        </is>
      </c>
      <c r="B256" s="1" t="n">
        <v>45804.65050925926</v>
      </c>
      <c r="C256" s="1" t="n">
        <v>46066</v>
      </c>
      <c r="D256" t="inlineStr">
        <is>
          <t>UPPSALA LÄN</t>
        </is>
      </c>
      <c r="E256" t="inlineStr">
        <is>
          <t>ENKÖPING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43488-2023</t>
        </is>
      </c>
      <c r="B257" s="1" t="n">
        <v>45181</v>
      </c>
      <c r="C257" s="1" t="n">
        <v>46066</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36599-2025</t>
        </is>
      </c>
      <c r="B258" s="1" t="n">
        <v>45870.51723379629</v>
      </c>
      <c r="C258" s="1" t="n">
        <v>46066</v>
      </c>
      <c r="D258" t="inlineStr">
        <is>
          <t>UPPSALA LÄN</t>
        </is>
      </c>
      <c r="E258" t="inlineStr">
        <is>
          <t>ENKÖPING</t>
        </is>
      </c>
      <c r="G258" t="n">
        <v>5.9</v>
      </c>
      <c r="H258" t="n">
        <v>0</v>
      </c>
      <c r="I258" t="n">
        <v>0</v>
      </c>
      <c r="J258" t="n">
        <v>0</v>
      </c>
      <c r="K258" t="n">
        <v>0</v>
      </c>
      <c r="L258" t="n">
        <v>0</v>
      </c>
      <c r="M258" t="n">
        <v>0</v>
      </c>
      <c r="N258" t="n">
        <v>0</v>
      </c>
      <c r="O258" t="n">
        <v>0</v>
      </c>
      <c r="P258" t="n">
        <v>0</v>
      </c>
      <c r="Q258" t="n">
        <v>0</v>
      </c>
      <c r="R258" s="2" t="inlineStr"/>
    </row>
    <row r="259" ht="15" customHeight="1">
      <c r="A259" t="inlineStr">
        <is>
          <t>A 9171-2024</t>
        </is>
      </c>
      <c r="B259" s="1" t="n">
        <v>45358</v>
      </c>
      <c r="C259" s="1" t="n">
        <v>46066</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43230-2023</t>
        </is>
      </c>
      <c r="B260" s="1" t="n">
        <v>45183</v>
      </c>
      <c r="C260" s="1" t="n">
        <v>46066</v>
      </c>
      <c r="D260" t="inlineStr">
        <is>
          <t>UPPSALA LÄN</t>
        </is>
      </c>
      <c r="E260" t="inlineStr">
        <is>
          <t>ENKÖPING</t>
        </is>
      </c>
      <c r="G260" t="n">
        <v>2.1</v>
      </c>
      <c r="H260" t="n">
        <v>0</v>
      </c>
      <c r="I260" t="n">
        <v>0</v>
      </c>
      <c r="J260" t="n">
        <v>0</v>
      </c>
      <c r="K260" t="n">
        <v>0</v>
      </c>
      <c r="L260" t="n">
        <v>0</v>
      </c>
      <c r="M260" t="n">
        <v>0</v>
      </c>
      <c r="N260" t="n">
        <v>0</v>
      </c>
      <c r="O260" t="n">
        <v>0</v>
      </c>
      <c r="P260" t="n">
        <v>0</v>
      </c>
      <c r="Q260" t="n">
        <v>0</v>
      </c>
      <c r="R260" s="2" t="inlineStr"/>
    </row>
    <row r="261" ht="15" customHeight="1">
      <c r="A261" t="inlineStr">
        <is>
          <t>A 45362-2022</t>
        </is>
      </c>
      <c r="B261" s="1" t="n">
        <v>44844.62366898148</v>
      </c>
      <c r="C261" s="1" t="n">
        <v>46066</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72840-2021</t>
        </is>
      </c>
      <c r="B262" s="1" t="n">
        <v>44547</v>
      </c>
      <c r="C262" s="1" t="n">
        <v>46066</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37498-2025</t>
        </is>
      </c>
      <c r="B263" s="1" t="n">
        <v>45877</v>
      </c>
      <c r="C263" s="1" t="n">
        <v>46066</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37296-2025</t>
        </is>
      </c>
      <c r="B264" s="1" t="n">
        <v>45876</v>
      </c>
      <c r="C264" s="1" t="n">
        <v>46066</v>
      </c>
      <c r="D264" t="inlineStr">
        <is>
          <t>UPPSALA LÄN</t>
        </is>
      </c>
      <c r="E264" t="inlineStr">
        <is>
          <t>ENKÖPING</t>
        </is>
      </c>
      <c r="G264" t="n">
        <v>9.5</v>
      </c>
      <c r="H264" t="n">
        <v>0</v>
      </c>
      <c r="I264" t="n">
        <v>0</v>
      </c>
      <c r="J264" t="n">
        <v>0</v>
      </c>
      <c r="K264" t="n">
        <v>0</v>
      </c>
      <c r="L264" t="n">
        <v>0</v>
      </c>
      <c r="M264" t="n">
        <v>0</v>
      </c>
      <c r="N264" t="n">
        <v>0</v>
      </c>
      <c r="O264" t="n">
        <v>0</v>
      </c>
      <c r="P264" t="n">
        <v>0</v>
      </c>
      <c r="Q264" t="n">
        <v>0</v>
      </c>
      <c r="R264" s="2" t="inlineStr"/>
    </row>
    <row r="265" ht="15" customHeight="1">
      <c r="A265" t="inlineStr">
        <is>
          <t>A 37319-2025</t>
        </is>
      </c>
      <c r="B265" s="1" t="n">
        <v>45876</v>
      </c>
      <c r="C265" s="1" t="n">
        <v>46066</v>
      </c>
      <c r="D265" t="inlineStr">
        <is>
          <t>UPPSALA LÄN</t>
        </is>
      </c>
      <c r="E265" t="inlineStr">
        <is>
          <t>ENKÖPING</t>
        </is>
      </c>
      <c r="G265" t="n">
        <v>9.5</v>
      </c>
      <c r="H265" t="n">
        <v>0</v>
      </c>
      <c r="I265" t="n">
        <v>0</v>
      </c>
      <c r="J265" t="n">
        <v>0</v>
      </c>
      <c r="K265" t="n">
        <v>0</v>
      </c>
      <c r="L265" t="n">
        <v>0</v>
      </c>
      <c r="M265" t="n">
        <v>0</v>
      </c>
      <c r="N265" t="n">
        <v>0</v>
      </c>
      <c r="O265" t="n">
        <v>0</v>
      </c>
      <c r="P265" t="n">
        <v>0</v>
      </c>
      <c r="Q265" t="n">
        <v>0</v>
      </c>
      <c r="R265" s="2" t="inlineStr"/>
    </row>
    <row r="266" ht="15" customHeight="1">
      <c r="A266" t="inlineStr">
        <is>
          <t>A 51027-2024</t>
        </is>
      </c>
      <c r="B266" s="1" t="n">
        <v>45603</v>
      </c>
      <c r="C266" s="1" t="n">
        <v>46066</v>
      </c>
      <c r="D266" t="inlineStr">
        <is>
          <t>UPPSALA LÄN</t>
        </is>
      </c>
      <c r="E266" t="inlineStr">
        <is>
          <t>ENKÖPING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49622-2024</t>
        </is>
      </c>
      <c r="B267" s="1" t="n">
        <v>45596.58372685185</v>
      </c>
      <c r="C267" s="1" t="n">
        <v>46066</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34617-2022</t>
        </is>
      </c>
      <c r="B268" s="1" t="n">
        <v>44795</v>
      </c>
      <c r="C268" s="1" t="n">
        <v>46066</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1992-2022</t>
        </is>
      </c>
      <c r="B269" s="1" t="n">
        <v>44575.56153935185</v>
      </c>
      <c r="C269" s="1" t="n">
        <v>46066</v>
      </c>
      <c r="D269" t="inlineStr">
        <is>
          <t>UPPSALA LÄN</t>
        </is>
      </c>
      <c r="E269" t="inlineStr">
        <is>
          <t>ENKÖPING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18583-2021</t>
        </is>
      </c>
      <c r="B270" s="1" t="n">
        <v>44306</v>
      </c>
      <c r="C270" s="1" t="n">
        <v>46066</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1695-2025</t>
        </is>
      </c>
      <c r="B271" s="1" t="n">
        <v>45670</v>
      </c>
      <c r="C271" s="1" t="n">
        <v>46066</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54357-2023</t>
        </is>
      </c>
      <c r="B272" s="1" t="n">
        <v>45225</v>
      </c>
      <c r="C272" s="1" t="n">
        <v>46066</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24962-2023</t>
        </is>
      </c>
      <c r="B273" s="1" t="n">
        <v>45085.60123842592</v>
      </c>
      <c r="C273" s="1" t="n">
        <v>46066</v>
      </c>
      <c r="D273" t="inlineStr">
        <is>
          <t>UPPSALA LÄN</t>
        </is>
      </c>
      <c r="E273" t="inlineStr">
        <is>
          <t>ENKÖPING</t>
        </is>
      </c>
      <c r="G273" t="n">
        <v>2.8</v>
      </c>
      <c r="H273" t="n">
        <v>0</v>
      </c>
      <c r="I273" t="n">
        <v>0</v>
      </c>
      <c r="J273" t="n">
        <v>0</v>
      </c>
      <c r="K273" t="n">
        <v>0</v>
      </c>
      <c r="L273" t="n">
        <v>0</v>
      </c>
      <c r="M273" t="n">
        <v>0</v>
      </c>
      <c r="N273" t="n">
        <v>0</v>
      </c>
      <c r="O273" t="n">
        <v>0</v>
      </c>
      <c r="P273" t="n">
        <v>0</v>
      </c>
      <c r="Q273" t="n">
        <v>0</v>
      </c>
      <c r="R273" s="2" t="inlineStr"/>
    </row>
    <row r="274" ht="15" customHeight="1">
      <c r="A274" t="inlineStr">
        <is>
          <t>A 43999-2025</t>
        </is>
      </c>
      <c r="B274" s="1" t="n">
        <v>45915.45158564814</v>
      </c>
      <c r="C274" s="1" t="n">
        <v>46066</v>
      </c>
      <c r="D274" t="inlineStr">
        <is>
          <t>UPPSALA LÄN</t>
        </is>
      </c>
      <c r="E274" t="inlineStr">
        <is>
          <t>ENKÖPING</t>
        </is>
      </c>
      <c r="G274" t="n">
        <v>4.1</v>
      </c>
      <c r="H274" t="n">
        <v>0</v>
      </c>
      <c r="I274" t="n">
        <v>0</v>
      </c>
      <c r="J274" t="n">
        <v>0</v>
      </c>
      <c r="K274" t="n">
        <v>0</v>
      </c>
      <c r="L274" t="n">
        <v>0</v>
      </c>
      <c r="M274" t="n">
        <v>0</v>
      </c>
      <c r="N274" t="n">
        <v>0</v>
      </c>
      <c r="O274" t="n">
        <v>0</v>
      </c>
      <c r="P274" t="n">
        <v>0</v>
      </c>
      <c r="Q274" t="n">
        <v>0</v>
      </c>
      <c r="R274" s="2" t="inlineStr"/>
    </row>
    <row r="275" ht="15" customHeight="1">
      <c r="A275" t="inlineStr">
        <is>
          <t>A 58961-2024</t>
        </is>
      </c>
      <c r="B275" s="1" t="n">
        <v>45636.585</v>
      </c>
      <c r="C275" s="1" t="n">
        <v>46066</v>
      </c>
      <c r="D275" t="inlineStr">
        <is>
          <t>UPPSALA LÄN</t>
        </is>
      </c>
      <c r="E275" t="inlineStr">
        <is>
          <t>ENKÖPING</t>
        </is>
      </c>
      <c r="G275" t="n">
        <v>4</v>
      </c>
      <c r="H275" t="n">
        <v>0</v>
      </c>
      <c r="I275" t="n">
        <v>0</v>
      </c>
      <c r="J275" t="n">
        <v>0</v>
      </c>
      <c r="K275" t="n">
        <v>0</v>
      </c>
      <c r="L275" t="n">
        <v>0</v>
      </c>
      <c r="M275" t="n">
        <v>0</v>
      </c>
      <c r="N275" t="n">
        <v>0</v>
      </c>
      <c r="O275" t="n">
        <v>0</v>
      </c>
      <c r="P275" t="n">
        <v>0</v>
      </c>
      <c r="Q275" t="n">
        <v>0</v>
      </c>
      <c r="R275" s="2" t="inlineStr"/>
    </row>
    <row r="276" ht="15" customHeight="1">
      <c r="A276" t="inlineStr">
        <is>
          <t>A 44419-2025</t>
        </is>
      </c>
      <c r="B276" s="1" t="n">
        <v>45916.54671296296</v>
      </c>
      <c r="C276" s="1" t="n">
        <v>46066</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53595-2023</t>
        </is>
      </c>
      <c r="B277" s="1" t="n">
        <v>45223</v>
      </c>
      <c r="C277" s="1" t="n">
        <v>46066</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32477-2025</t>
        </is>
      </c>
      <c r="B278" s="1" t="n">
        <v>45838.43098379629</v>
      </c>
      <c r="C278" s="1" t="n">
        <v>46066</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15893-2024</t>
        </is>
      </c>
      <c r="B279" s="1" t="n">
        <v>45405</v>
      </c>
      <c r="C279" s="1" t="n">
        <v>46066</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18028-2023</t>
        </is>
      </c>
      <c r="B280" s="1" t="n">
        <v>45040</v>
      </c>
      <c r="C280" s="1" t="n">
        <v>46066</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21017-2023</t>
        </is>
      </c>
      <c r="B281" s="1" t="n">
        <v>45061</v>
      </c>
      <c r="C281" s="1" t="n">
        <v>46066</v>
      </c>
      <c r="D281" t="inlineStr">
        <is>
          <t>UPPSALA LÄN</t>
        </is>
      </c>
      <c r="E281" t="inlineStr">
        <is>
          <t>ENKÖPING</t>
        </is>
      </c>
      <c r="G281" t="n">
        <v>4.8</v>
      </c>
      <c r="H281" t="n">
        <v>0</v>
      </c>
      <c r="I281" t="n">
        <v>0</v>
      </c>
      <c r="J281" t="n">
        <v>0</v>
      </c>
      <c r="K281" t="n">
        <v>0</v>
      </c>
      <c r="L281" t="n">
        <v>0</v>
      </c>
      <c r="M281" t="n">
        <v>0</v>
      </c>
      <c r="N281" t="n">
        <v>0</v>
      </c>
      <c r="O281" t="n">
        <v>0</v>
      </c>
      <c r="P281" t="n">
        <v>0</v>
      </c>
      <c r="Q281" t="n">
        <v>0</v>
      </c>
      <c r="R281" s="2" t="inlineStr"/>
    </row>
    <row r="282" ht="15" customHeight="1">
      <c r="A282" t="inlineStr">
        <is>
          <t>A 48843-2023</t>
        </is>
      </c>
      <c r="B282" s="1" t="n">
        <v>45209</v>
      </c>
      <c r="C282" s="1" t="n">
        <v>46066</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33670-2024</t>
        </is>
      </c>
      <c r="B283" s="1" t="n">
        <v>45520</v>
      </c>
      <c r="C283" s="1" t="n">
        <v>46066</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45755-2025</t>
        </is>
      </c>
      <c r="B284" s="1" t="n">
        <v>45923.50240740741</v>
      </c>
      <c r="C284" s="1" t="n">
        <v>46066</v>
      </c>
      <c r="D284" t="inlineStr">
        <is>
          <t>UPPSALA LÄN</t>
        </is>
      </c>
      <c r="E284" t="inlineStr">
        <is>
          <t>ENKÖPING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34989-2025</t>
        </is>
      </c>
      <c r="B285" s="1" t="n">
        <v>45849</v>
      </c>
      <c r="C285" s="1" t="n">
        <v>46066</v>
      </c>
      <c r="D285" t="inlineStr">
        <is>
          <t>UPPSALA LÄN</t>
        </is>
      </c>
      <c r="E285" t="inlineStr">
        <is>
          <t>ENKÖPING</t>
        </is>
      </c>
      <c r="G285" t="n">
        <v>2.4</v>
      </c>
      <c r="H285" t="n">
        <v>0</v>
      </c>
      <c r="I285" t="n">
        <v>0</v>
      </c>
      <c r="J285" t="n">
        <v>0</v>
      </c>
      <c r="K285" t="n">
        <v>0</v>
      </c>
      <c r="L285" t="n">
        <v>0</v>
      </c>
      <c r="M285" t="n">
        <v>0</v>
      </c>
      <c r="N285" t="n">
        <v>0</v>
      </c>
      <c r="O285" t="n">
        <v>0</v>
      </c>
      <c r="P285" t="n">
        <v>0</v>
      </c>
      <c r="Q285" t="n">
        <v>0</v>
      </c>
      <c r="R285" s="2" t="inlineStr"/>
    </row>
    <row r="286" ht="15" customHeight="1">
      <c r="A286" t="inlineStr">
        <is>
          <t>A 34990-2025</t>
        </is>
      </c>
      <c r="B286" s="1" t="n">
        <v>45849.78916666667</v>
      </c>
      <c r="C286" s="1" t="n">
        <v>46066</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19376-2024</t>
        </is>
      </c>
      <c r="B287" s="1" t="n">
        <v>45429</v>
      </c>
      <c r="C287" s="1" t="n">
        <v>46066</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46940-2025</t>
        </is>
      </c>
      <c r="B288" s="1" t="n">
        <v>45929.45483796296</v>
      </c>
      <c r="C288" s="1" t="n">
        <v>46066</v>
      </c>
      <c r="D288" t="inlineStr">
        <is>
          <t>UPPSALA LÄN</t>
        </is>
      </c>
      <c r="E288" t="inlineStr">
        <is>
          <t>ENKÖPING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46590-2025</t>
        </is>
      </c>
      <c r="B289" s="1" t="n">
        <v>45926.39542824074</v>
      </c>
      <c r="C289" s="1" t="n">
        <v>46066</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12020-2024</t>
        </is>
      </c>
      <c r="B290" s="1" t="n">
        <v>45377</v>
      </c>
      <c r="C290" s="1" t="n">
        <v>46066</v>
      </c>
      <c r="D290" t="inlineStr">
        <is>
          <t>UPPSALA LÄN</t>
        </is>
      </c>
      <c r="E290" t="inlineStr">
        <is>
          <t>ENKÖPING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47441-2025</t>
        </is>
      </c>
      <c r="B291" s="1" t="n">
        <v>45930.63986111111</v>
      </c>
      <c r="C291" s="1" t="n">
        <v>46066</v>
      </c>
      <c r="D291" t="inlineStr">
        <is>
          <t>UPPSALA LÄN</t>
        </is>
      </c>
      <c r="E291" t="inlineStr">
        <is>
          <t>ENKÖPING</t>
        </is>
      </c>
      <c r="F291" t="inlineStr">
        <is>
          <t>Allmännings- och besparingsskogar</t>
        </is>
      </c>
      <c r="G291" t="n">
        <v>11.5</v>
      </c>
      <c r="H291" t="n">
        <v>0</v>
      </c>
      <c r="I291" t="n">
        <v>0</v>
      </c>
      <c r="J291" t="n">
        <v>0</v>
      </c>
      <c r="K291" t="n">
        <v>0</v>
      </c>
      <c r="L291" t="n">
        <v>0</v>
      </c>
      <c r="M291" t="n">
        <v>0</v>
      </c>
      <c r="N291" t="n">
        <v>0</v>
      </c>
      <c r="O291" t="n">
        <v>0</v>
      </c>
      <c r="P291" t="n">
        <v>0</v>
      </c>
      <c r="Q291" t="n">
        <v>0</v>
      </c>
      <c r="R291" s="2" t="inlineStr"/>
    </row>
    <row r="292" ht="15" customHeight="1">
      <c r="A292" t="inlineStr">
        <is>
          <t>A 10465-2022</t>
        </is>
      </c>
      <c r="B292" s="1" t="n">
        <v>44623</v>
      </c>
      <c r="C292" s="1" t="n">
        <v>46066</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14332-2024</t>
        </is>
      </c>
      <c r="B293" s="1" t="n">
        <v>45393</v>
      </c>
      <c r="C293" s="1" t="n">
        <v>46066</v>
      </c>
      <c r="D293" t="inlineStr">
        <is>
          <t>UPPSALA LÄN</t>
        </is>
      </c>
      <c r="E293" t="inlineStr">
        <is>
          <t>ENKÖPING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61207-2023</t>
        </is>
      </c>
      <c r="B294" s="1" t="n">
        <v>45264.39444444444</v>
      </c>
      <c r="C294" s="1" t="n">
        <v>46066</v>
      </c>
      <c r="D294" t="inlineStr">
        <is>
          <t>UPPSALA LÄN</t>
        </is>
      </c>
      <c r="E294" t="inlineStr">
        <is>
          <t>ENKÖPING</t>
        </is>
      </c>
      <c r="G294" t="n">
        <v>10.8</v>
      </c>
      <c r="H294" t="n">
        <v>0</v>
      </c>
      <c r="I294" t="n">
        <v>0</v>
      </c>
      <c r="J294" t="n">
        <v>0</v>
      </c>
      <c r="K294" t="n">
        <v>0</v>
      </c>
      <c r="L294" t="n">
        <v>0</v>
      </c>
      <c r="M294" t="n">
        <v>0</v>
      </c>
      <c r="N294" t="n">
        <v>0</v>
      </c>
      <c r="O294" t="n">
        <v>0</v>
      </c>
      <c r="P294" t="n">
        <v>0</v>
      </c>
      <c r="Q294" t="n">
        <v>0</v>
      </c>
      <c r="R294" s="2" t="inlineStr"/>
    </row>
    <row r="295" ht="15" customHeight="1">
      <c r="A295" t="inlineStr">
        <is>
          <t>A 40812-2022</t>
        </is>
      </c>
      <c r="B295" s="1" t="n">
        <v>44824.68791666667</v>
      </c>
      <c r="C295" s="1" t="n">
        <v>46066</v>
      </c>
      <c r="D295" t="inlineStr">
        <is>
          <t>UPPSALA LÄN</t>
        </is>
      </c>
      <c r="E295" t="inlineStr">
        <is>
          <t>ENKÖPING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39439-2025</t>
        </is>
      </c>
      <c r="B296" s="1" t="n">
        <v>45889</v>
      </c>
      <c r="C296" s="1" t="n">
        <v>46066</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43691-2024</t>
        </is>
      </c>
      <c r="B297" s="1" t="n">
        <v>45569</v>
      </c>
      <c r="C297" s="1" t="n">
        <v>46066</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48678-2025</t>
        </is>
      </c>
      <c r="B298" s="1" t="n">
        <v>45936.59168981481</v>
      </c>
      <c r="C298" s="1" t="n">
        <v>46066</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48423-2025</t>
        </is>
      </c>
      <c r="B299" s="1" t="n">
        <v>45934.68024305555</v>
      </c>
      <c r="C299" s="1" t="n">
        <v>46066</v>
      </c>
      <c r="D299" t="inlineStr">
        <is>
          <t>UPPSALA LÄN</t>
        </is>
      </c>
      <c r="E299" t="inlineStr">
        <is>
          <t>ENKÖPING</t>
        </is>
      </c>
      <c r="G299" t="n">
        <v>4.3</v>
      </c>
      <c r="H299" t="n">
        <v>0</v>
      </c>
      <c r="I299" t="n">
        <v>0</v>
      </c>
      <c r="J299" t="n">
        <v>0</v>
      </c>
      <c r="K299" t="n">
        <v>0</v>
      </c>
      <c r="L299" t="n">
        <v>0</v>
      </c>
      <c r="M299" t="n">
        <v>0</v>
      </c>
      <c r="N299" t="n">
        <v>0</v>
      </c>
      <c r="O299" t="n">
        <v>0</v>
      </c>
      <c r="P299" t="n">
        <v>0</v>
      </c>
      <c r="Q299" t="n">
        <v>0</v>
      </c>
      <c r="R299" s="2" t="inlineStr"/>
    </row>
    <row r="300" ht="15" customHeight="1">
      <c r="A300" t="inlineStr">
        <is>
          <t>A 48424-2025</t>
        </is>
      </c>
      <c r="B300" s="1" t="n">
        <v>45934.69131944444</v>
      </c>
      <c r="C300" s="1" t="n">
        <v>46066</v>
      </c>
      <c r="D300" t="inlineStr">
        <is>
          <t>UPPSALA LÄN</t>
        </is>
      </c>
      <c r="E300" t="inlineStr">
        <is>
          <t>ENKÖPING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25333-2023</t>
        </is>
      </c>
      <c r="B301" s="1" t="n">
        <v>45083</v>
      </c>
      <c r="C301" s="1" t="n">
        <v>46066</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49073-2025</t>
        </is>
      </c>
      <c r="B302" s="1" t="n">
        <v>45937.65512731481</v>
      </c>
      <c r="C302" s="1" t="n">
        <v>46066</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3300-2025</t>
        </is>
      </c>
      <c r="B303" s="1" t="n">
        <v>45679</v>
      </c>
      <c r="C303" s="1" t="n">
        <v>46066</v>
      </c>
      <c r="D303" t="inlineStr">
        <is>
          <t>UPPSALA LÄN</t>
        </is>
      </c>
      <c r="E303" t="inlineStr">
        <is>
          <t>ENKÖPING</t>
        </is>
      </c>
      <c r="G303" t="n">
        <v>8.9</v>
      </c>
      <c r="H303" t="n">
        <v>0</v>
      </c>
      <c r="I303" t="n">
        <v>0</v>
      </c>
      <c r="J303" t="n">
        <v>0</v>
      </c>
      <c r="K303" t="n">
        <v>0</v>
      </c>
      <c r="L303" t="n">
        <v>0</v>
      </c>
      <c r="M303" t="n">
        <v>0</v>
      </c>
      <c r="N303" t="n">
        <v>0</v>
      </c>
      <c r="O303" t="n">
        <v>0</v>
      </c>
      <c r="P303" t="n">
        <v>0</v>
      </c>
      <c r="Q303" t="n">
        <v>0</v>
      </c>
      <c r="R303" s="2" t="inlineStr"/>
    </row>
    <row r="304" ht="15" customHeight="1">
      <c r="A304" t="inlineStr">
        <is>
          <t>A 12754-2025</t>
        </is>
      </c>
      <c r="B304" s="1" t="n">
        <v>45733.56331018519</v>
      </c>
      <c r="C304" s="1" t="n">
        <v>46066</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43103-2025</t>
        </is>
      </c>
      <c r="B305" s="1" t="n">
        <v>45909</v>
      </c>
      <c r="C305" s="1" t="n">
        <v>46066</v>
      </c>
      <c r="D305" t="inlineStr">
        <is>
          <t>UPPSALA LÄN</t>
        </is>
      </c>
      <c r="E305" t="inlineStr">
        <is>
          <t>ENKÖPING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16176-2025</t>
        </is>
      </c>
      <c r="B306" s="1" t="n">
        <v>45750</v>
      </c>
      <c r="C306" s="1" t="n">
        <v>46066</v>
      </c>
      <c r="D306" t="inlineStr">
        <is>
          <t>UPPSALA LÄN</t>
        </is>
      </c>
      <c r="E306" t="inlineStr">
        <is>
          <t>ENKÖPING</t>
        </is>
      </c>
      <c r="G306" t="n">
        <v>3.9</v>
      </c>
      <c r="H306" t="n">
        <v>0</v>
      </c>
      <c r="I306" t="n">
        <v>0</v>
      </c>
      <c r="J306" t="n">
        <v>0</v>
      </c>
      <c r="K306" t="n">
        <v>0</v>
      </c>
      <c r="L306" t="n">
        <v>0</v>
      </c>
      <c r="M306" t="n">
        <v>0</v>
      </c>
      <c r="N306" t="n">
        <v>0</v>
      </c>
      <c r="O306" t="n">
        <v>0</v>
      </c>
      <c r="P306" t="n">
        <v>0</v>
      </c>
      <c r="Q306" t="n">
        <v>0</v>
      </c>
      <c r="R306" s="2" t="inlineStr"/>
    </row>
    <row r="307" ht="15" customHeight="1">
      <c r="A307" t="inlineStr">
        <is>
          <t>A 49068-2025</t>
        </is>
      </c>
      <c r="B307" s="1" t="n">
        <v>45937.64766203704</v>
      </c>
      <c r="C307" s="1" t="n">
        <v>46066</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56713-2024</t>
        </is>
      </c>
      <c r="B308" s="1" t="n">
        <v>45628</v>
      </c>
      <c r="C308" s="1" t="n">
        <v>46066</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37870-2023</t>
        </is>
      </c>
      <c r="B309" s="1" t="n">
        <v>45160.41996527778</v>
      </c>
      <c r="C309" s="1" t="n">
        <v>46066</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22094-2023</t>
        </is>
      </c>
      <c r="B310" s="1" t="n">
        <v>45069</v>
      </c>
      <c r="C310" s="1" t="n">
        <v>46066</v>
      </c>
      <c r="D310" t="inlineStr">
        <is>
          <t>UPPSALA LÄN</t>
        </is>
      </c>
      <c r="E310" t="inlineStr">
        <is>
          <t>ENKÖPING</t>
        </is>
      </c>
      <c r="G310" t="n">
        <v>2.1</v>
      </c>
      <c r="H310" t="n">
        <v>0</v>
      </c>
      <c r="I310" t="n">
        <v>0</v>
      </c>
      <c r="J310" t="n">
        <v>0</v>
      </c>
      <c r="K310" t="n">
        <v>0</v>
      </c>
      <c r="L310" t="n">
        <v>0</v>
      </c>
      <c r="M310" t="n">
        <v>0</v>
      </c>
      <c r="N310" t="n">
        <v>0</v>
      </c>
      <c r="O310" t="n">
        <v>0</v>
      </c>
      <c r="P310" t="n">
        <v>0</v>
      </c>
      <c r="Q310" t="n">
        <v>0</v>
      </c>
      <c r="R310" s="2" t="inlineStr"/>
    </row>
    <row r="311" ht="15" customHeight="1">
      <c r="A311" t="inlineStr">
        <is>
          <t>A 15405-2025</t>
        </is>
      </c>
      <c r="B311" s="1" t="n">
        <v>45747.44670138889</v>
      </c>
      <c r="C311" s="1" t="n">
        <v>46066</v>
      </c>
      <c r="D311" t="inlineStr">
        <is>
          <t>UPPSALA LÄN</t>
        </is>
      </c>
      <c r="E311" t="inlineStr">
        <is>
          <t>ENKÖPING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35079-2024</t>
        </is>
      </c>
      <c r="B312" s="1" t="n">
        <v>45527.66770833333</v>
      </c>
      <c r="C312" s="1" t="n">
        <v>46066</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33581-2023</t>
        </is>
      </c>
      <c r="B313" s="1" t="n">
        <v>45131</v>
      </c>
      <c r="C313" s="1" t="n">
        <v>46066</v>
      </c>
      <c r="D313" t="inlineStr">
        <is>
          <t>UPPSALA LÄN</t>
        </is>
      </c>
      <c r="E313" t="inlineStr">
        <is>
          <t>ENKÖPING</t>
        </is>
      </c>
      <c r="G313" t="n">
        <v>3.5</v>
      </c>
      <c r="H313" t="n">
        <v>0</v>
      </c>
      <c r="I313" t="n">
        <v>0</v>
      </c>
      <c r="J313" t="n">
        <v>0</v>
      </c>
      <c r="K313" t="n">
        <v>0</v>
      </c>
      <c r="L313" t="n">
        <v>0</v>
      </c>
      <c r="M313" t="n">
        <v>0</v>
      </c>
      <c r="N313" t="n">
        <v>0</v>
      </c>
      <c r="O313" t="n">
        <v>0</v>
      </c>
      <c r="P313" t="n">
        <v>0</v>
      </c>
      <c r="Q313" t="n">
        <v>0</v>
      </c>
      <c r="R313" s="2" t="inlineStr"/>
    </row>
    <row r="314" ht="15" customHeight="1">
      <c r="A314" t="inlineStr">
        <is>
          <t>A 56163-2021</t>
        </is>
      </c>
      <c r="B314" s="1" t="n">
        <v>44477</v>
      </c>
      <c r="C314" s="1" t="n">
        <v>46066</v>
      </c>
      <c r="D314" t="inlineStr">
        <is>
          <t>UPPSALA LÄN</t>
        </is>
      </c>
      <c r="E314" t="inlineStr">
        <is>
          <t>ENKÖPING</t>
        </is>
      </c>
      <c r="F314" t="inlineStr">
        <is>
          <t>Allmännings- och besparingsskogar</t>
        </is>
      </c>
      <c r="G314" t="n">
        <v>0.6</v>
      </c>
      <c r="H314" t="n">
        <v>0</v>
      </c>
      <c r="I314" t="n">
        <v>0</v>
      </c>
      <c r="J314" t="n">
        <v>0</v>
      </c>
      <c r="K314" t="n">
        <v>0</v>
      </c>
      <c r="L314" t="n">
        <v>0</v>
      </c>
      <c r="M314" t="n">
        <v>0</v>
      </c>
      <c r="N314" t="n">
        <v>0</v>
      </c>
      <c r="O314" t="n">
        <v>0</v>
      </c>
      <c r="P314" t="n">
        <v>0</v>
      </c>
      <c r="Q314" t="n">
        <v>0</v>
      </c>
      <c r="R314" s="2" t="inlineStr"/>
    </row>
    <row r="315" ht="15" customHeight="1">
      <c r="A315" t="inlineStr">
        <is>
          <t>A 47909-2024</t>
        </is>
      </c>
      <c r="B315" s="1" t="n">
        <v>45589.31866898148</v>
      </c>
      <c r="C315" s="1" t="n">
        <v>46066</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51162-2025</t>
        </is>
      </c>
      <c r="B316" s="1" t="n">
        <v>45947.58820601852</v>
      </c>
      <c r="C316" s="1" t="n">
        <v>46066</v>
      </c>
      <c r="D316" t="inlineStr">
        <is>
          <t>UPPSALA LÄN</t>
        </is>
      </c>
      <c r="E316" t="inlineStr">
        <is>
          <t>ENKÖPING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51932-2022</t>
        </is>
      </c>
      <c r="B317" s="1" t="n">
        <v>44872</v>
      </c>
      <c r="C317" s="1" t="n">
        <v>46066</v>
      </c>
      <c r="D317" t="inlineStr">
        <is>
          <t>UPPSALA LÄN</t>
        </is>
      </c>
      <c r="E317" t="inlineStr">
        <is>
          <t>ENKÖPING</t>
        </is>
      </c>
      <c r="G317" t="n">
        <v>5.5</v>
      </c>
      <c r="H317" t="n">
        <v>0</v>
      </c>
      <c r="I317" t="n">
        <v>0</v>
      </c>
      <c r="J317" t="n">
        <v>0</v>
      </c>
      <c r="K317" t="n">
        <v>0</v>
      </c>
      <c r="L317" t="n">
        <v>0</v>
      </c>
      <c r="M317" t="n">
        <v>0</v>
      </c>
      <c r="N317" t="n">
        <v>0</v>
      </c>
      <c r="O317" t="n">
        <v>0</v>
      </c>
      <c r="P317" t="n">
        <v>0</v>
      </c>
      <c r="Q317" t="n">
        <v>0</v>
      </c>
      <c r="R317" s="2" t="inlineStr"/>
    </row>
    <row r="318" ht="15" customHeight="1">
      <c r="A318" t="inlineStr">
        <is>
          <t>A 51133-2025</t>
        </is>
      </c>
      <c r="B318" s="1" t="n">
        <v>45947.55598379629</v>
      </c>
      <c r="C318" s="1" t="n">
        <v>46066</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26017-2025</t>
        </is>
      </c>
      <c r="B319" s="1" t="n">
        <v>45804</v>
      </c>
      <c r="C319" s="1" t="n">
        <v>46066</v>
      </c>
      <c r="D319" t="inlineStr">
        <is>
          <t>UPPSALA LÄN</t>
        </is>
      </c>
      <c r="E319" t="inlineStr">
        <is>
          <t>ENKÖPING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59497-2022</t>
        </is>
      </c>
      <c r="B320" s="1" t="n">
        <v>44907.48258101852</v>
      </c>
      <c r="C320" s="1" t="n">
        <v>46066</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9041-2023</t>
        </is>
      </c>
      <c r="B321" s="1" t="n">
        <v>44979</v>
      </c>
      <c r="C321" s="1" t="n">
        <v>46066</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12755-2025</t>
        </is>
      </c>
      <c r="B322" s="1" t="n">
        <v>45733.56541666666</v>
      </c>
      <c r="C322" s="1" t="n">
        <v>46066</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59027-2024</t>
        </is>
      </c>
      <c r="B323" s="1" t="n">
        <v>45636.68755787037</v>
      </c>
      <c r="C323" s="1" t="n">
        <v>46066</v>
      </c>
      <c r="D323" t="inlineStr">
        <is>
          <t>UPPSALA LÄN</t>
        </is>
      </c>
      <c r="E323" t="inlineStr">
        <is>
          <t>ENKÖPING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53587-2024</t>
        </is>
      </c>
      <c r="B324" s="1" t="n">
        <v>45614.66953703704</v>
      </c>
      <c r="C324" s="1" t="n">
        <v>46066</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11503-2024</t>
        </is>
      </c>
      <c r="B325" s="1" t="n">
        <v>45372.68020833333</v>
      </c>
      <c r="C325" s="1" t="n">
        <v>46066</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39115-2024</t>
        </is>
      </c>
      <c r="B326" s="1" t="n">
        <v>45548</v>
      </c>
      <c r="C326" s="1" t="n">
        <v>46066</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25334-2023</t>
        </is>
      </c>
      <c r="B327" s="1" t="n">
        <v>45083</v>
      </c>
      <c r="C327" s="1" t="n">
        <v>46066</v>
      </c>
      <c r="D327" t="inlineStr">
        <is>
          <t>UPPSALA LÄN</t>
        </is>
      </c>
      <c r="E327" t="inlineStr">
        <is>
          <t>ENKÖPING</t>
        </is>
      </c>
      <c r="G327" t="n">
        <v>0.2</v>
      </c>
      <c r="H327" t="n">
        <v>0</v>
      </c>
      <c r="I327" t="n">
        <v>0</v>
      </c>
      <c r="J327" t="n">
        <v>0</v>
      </c>
      <c r="K327" t="n">
        <v>0</v>
      </c>
      <c r="L327" t="n">
        <v>0</v>
      </c>
      <c r="M327" t="n">
        <v>0</v>
      </c>
      <c r="N327" t="n">
        <v>0</v>
      </c>
      <c r="O327" t="n">
        <v>0</v>
      </c>
      <c r="P327" t="n">
        <v>0</v>
      </c>
      <c r="Q327" t="n">
        <v>0</v>
      </c>
      <c r="R327" s="2" t="inlineStr"/>
    </row>
    <row r="328" ht="15" customHeight="1">
      <c r="A328" t="inlineStr">
        <is>
          <t>A 56837-2024</t>
        </is>
      </c>
      <c r="B328" s="1" t="n">
        <v>45628</v>
      </c>
      <c r="C328" s="1" t="n">
        <v>46066</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26011-2025</t>
        </is>
      </c>
      <c r="B329" s="1" t="n">
        <v>45804.67412037037</v>
      </c>
      <c r="C329" s="1" t="n">
        <v>46066</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18821-2023</t>
        </is>
      </c>
      <c r="B330" s="1" t="n">
        <v>45044.3782175926</v>
      </c>
      <c r="C330" s="1" t="n">
        <v>46066</v>
      </c>
      <c r="D330" t="inlineStr">
        <is>
          <t>UPPSALA LÄN</t>
        </is>
      </c>
      <c r="E330" t="inlineStr">
        <is>
          <t>ENKÖPING</t>
        </is>
      </c>
      <c r="G330" t="n">
        <v>6</v>
      </c>
      <c r="H330" t="n">
        <v>0</v>
      </c>
      <c r="I330" t="n">
        <v>0</v>
      </c>
      <c r="J330" t="n">
        <v>0</v>
      </c>
      <c r="K330" t="n">
        <v>0</v>
      </c>
      <c r="L330" t="n">
        <v>0</v>
      </c>
      <c r="M330" t="n">
        <v>0</v>
      </c>
      <c r="N330" t="n">
        <v>0</v>
      </c>
      <c r="O330" t="n">
        <v>0</v>
      </c>
      <c r="P330" t="n">
        <v>0</v>
      </c>
      <c r="Q330" t="n">
        <v>0</v>
      </c>
      <c r="R330" s="2" t="inlineStr"/>
    </row>
    <row r="331" ht="15" customHeight="1">
      <c r="A331" t="inlineStr">
        <is>
          <t>A 2850-2025</t>
        </is>
      </c>
      <c r="B331" s="1" t="n">
        <v>45677</v>
      </c>
      <c r="C331" s="1" t="n">
        <v>46066</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54541-2025</t>
        </is>
      </c>
      <c r="B332" s="1" t="n">
        <v>45965.64733796296</v>
      </c>
      <c r="C332" s="1" t="n">
        <v>46066</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54263-2025</t>
        </is>
      </c>
      <c r="B333" s="1" t="n">
        <v>45964.66271990741</v>
      </c>
      <c r="C333" s="1" t="n">
        <v>46066</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57335-2024</t>
        </is>
      </c>
      <c r="B334" s="1" t="n">
        <v>45629.63302083333</v>
      </c>
      <c r="C334" s="1" t="n">
        <v>46066</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57835-2024</t>
        </is>
      </c>
      <c r="B335" s="1" t="n">
        <v>45631.39947916667</v>
      </c>
      <c r="C335" s="1" t="n">
        <v>46066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53208-2023</t>
        </is>
      </c>
      <c r="B336" s="1" t="n">
        <v>45226</v>
      </c>
      <c r="C336" s="1" t="n">
        <v>46066</v>
      </c>
      <c r="D336" t="inlineStr">
        <is>
          <t>UPPSALA LÄN</t>
        </is>
      </c>
      <c r="E336" t="inlineStr">
        <is>
          <t>ENKÖPING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19013-2025</t>
        </is>
      </c>
      <c r="B337" s="1" t="n">
        <v>45764.59533564815</v>
      </c>
      <c r="C337" s="1" t="n">
        <v>46066</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54844-2025</t>
        </is>
      </c>
      <c r="B338" s="1" t="n">
        <v>45966.69570601852</v>
      </c>
      <c r="C338" s="1" t="n">
        <v>46066</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54758-2025</t>
        </is>
      </c>
      <c r="B339" s="1" t="n">
        <v>45966.59737268519</v>
      </c>
      <c r="C339" s="1" t="n">
        <v>46066</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55567-2025</t>
        </is>
      </c>
      <c r="B340" s="1" t="n">
        <v>45971.65589120371</v>
      </c>
      <c r="C340" s="1" t="n">
        <v>46066</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2164-2023</t>
        </is>
      </c>
      <c r="B341" s="1" t="n">
        <v>44941</v>
      </c>
      <c r="C341" s="1" t="n">
        <v>46066</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61952-2021</t>
        </is>
      </c>
      <c r="B342" s="1" t="n">
        <v>44502</v>
      </c>
      <c r="C342" s="1" t="n">
        <v>46066</v>
      </c>
      <c r="D342" t="inlineStr">
        <is>
          <t>UPPSALA LÄN</t>
        </is>
      </c>
      <c r="E342" t="inlineStr">
        <is>
          <t>ENKÖPING</t>
        </is>
      </c>
      <c r="G342" t="n">
        <v>2.3</v>
      </c>
      <c r="H342" t="n">
        <v>0</v>
      </c>
      <c r="I342" t="n">
        <v>0</v>
      </c>
      <c r="J342" t="n">
        <v>0</v>
      </c>
      <c r="K342" t="n">
        <v>0</v>
      </c>
      <c r="L342" t="n">
        <v>0</v>
      </c>
      <c r="M342" t="n">
        <v>0</v>
      </c>
      <c r="N342" t="n">
        <v>0</v>
      </c>
      <c r="O342" t="n">
        <v>0</v>
      </c>
      <c r="P342" t="n">
        <v>0</v>
      </c>
      <c r="Q342" t="n">
        <v>0</v>
      </c>
      <c r="R342" s="2" t="inlineStr"/>
    </row>
    <row r="343" ht="15" customHeight="1">
      <c r="A343" t="inlineStr">
        <is>
          <t>A 14083-2025</t>
        </is>
      </c>
      <c r="B343" s="1" t="n">
        <v>45740</v>
      </c>
      <c r="C343" s="1" t="n">
        <v>46066</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69879-2021</t>
        </is>
      </c>
      <c r="B344" s="1" t="n">
        <v>44532</v>
      </c>
      <c r="C344" s="1" t="n">
        <v>46066</v>
      </c>
      <c r="D344" t="inlineStr">
        <is>
          <t>UPPSALA LÄN</t>
        </is>
      </c>
      <c r="E344" t="inlineStr">
        <is>
          <t>ENKÖPING</t>
        </is>
      </c>
      <c r="G344" t="n">
        <v>4.2</v>
      </c>
      <c r="H344" t="n">
        <v>0</v>
      </c>
      <c r="I344" t="n">
        <v>0</v>
      </c>
      <c r="J344" t="n">
        <v>0</v>
      </c>
      <c r="K344" t="n">
        <v>0</v>
      </c>
      <c r="L344" t="n">
        <v>0</v>
      </c>
      <c r="M344" t="n">
        <v>0</v>
      </c>
      <c r="N344" t="n">
        <v>0</v>
      </c>
      <c r="O344" t="n">
        <v>0</v>
      </c>
      <c r="P344" t="n">
        <v>0</v>
      </c>
      <c r="Q344" t="n">
        <v>0</v>
      </c>
      <c r="R344" s="2" t="inlineStr"/>
    </row>
    <row r="345" ht="15" customHeight="1">
      <c r="A345" t="inlineStr">
        <is>
          <t>A 56625-2025</t>
        </is>
      </c>
      <c r="B345" s="1" t="n">
        <v>45975.60608796297</v>
      </c>
      <c r="C345" s="1" t="n">
        <v>46066</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15757-2023</t>
        </is>
      </c>
      <c r="B346" s="1" t="n">
        <v>45021</v>
      </c>
      <c r="C346" s="1" t="n">
        <v>46066</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2161-2023</t>
        </is>
      </c>
      <c r="B347" s="1" t="n">
        <v>44941</v>
      </c>
      <c r="C347" s="1" t="n">
        <v>46066</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2165-2023</t>
        </is>
      </c>
      <c r="B348" s="1" t="n">
        <v>44941</v>
      </c>
      <c r="C348" s="1" t="n">
        <v>46066</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20112-2024</t>
        </is>
      </c>
      <c r="B349" s="1" t="n">
        <v>45434</v>
      </c>
      <c r="C349" s="1" t="n">
        <v>46066</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57294-2025</t>
        </is>
      </c>
      <c r="B350" s="1" t="n">
        <v>45979</v>
      </c>
      <c r="C350" s="1" t="n">
        <v>46066</v>
      </c>
      <c r="D350" t="inlineStr">
        <is>
          <t>UPPSALA LÄN</t>
        </is>
      </c>
      <c r="E350" t="inlineStr">
        <is>
          <t>ENKÖPING</t>
        </is>
      </c>
      <c r="G350" t="n">
        <v>6.2</v>
      </c>
      <c r="H350" t="n">
        <v>0</v>
      </c>
      <c r="I350" t="n">
        <v>0</v>
      </c>
      <c r="J350" t="n">
        <v>0</v>
      </c>
      <c r="K350" t="n">
        <v>0</v>
      </c>
      <c r="L350" t="n">
        <v>0</v>
      </c>
      <c r="M350" t="n">
        <v>0</v>
      </c>
      <c r="N350" t="n">
        <v>0</v>
      </c>
      <c r="O350" t="n">
        <v>0</v>
      </c>
      <c r="P350" t="n">
        <v>0</v>
      </c>
      <c r="Q350" t="n">
        <v>0</v>
      </c>
      <c r="R350" s="2" t="inlineStr"/>
    </row>
    <row r="351" ht="15" customHeight="1">
      <c r="A351" t="inlineStr">
        <is>
          <t>A 2162-2023</t>
        </is>
      </c>
      <c r="B351" s="1" t="n">
        <v>44941</v>
      </c>
      <c r="C351" s="1" t="n">
        <v>46066</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32081-2024</t>
        </is>
      </c>
      <c r="B352" s="1" t="n">
        <v>45511.34605324074</v>
      </c>
      <c r="C352" s="1" t="n">
        <v>46066</v>
      </c>
      <c r="D352" t="inlineStr">
        <is>
          <t>UPPSALA LÄN</t>
        </is>
      </c>
      <c r="E352" t="inlineStr">
        <is>
          <t>ENKÖPING</t>
        </is>
      </c>
      <c r="G352" t="n">
        <v>5.4</v>
      </c>
      <c r="H352" t="n">
        <v>0</v>
      </c>
      <c r="I352" t="n">
        <v>0</v>
      </c>
      <c r="J352" t="n">
        <v>0</v>
      </c>
      <c r="K352" t="n">
        <v>0</v>
      </c>
      <c r="L352" t="n">
        <v>0</v>
      </c>
      <c r="M352" t="n">
        <v>0</v>
      </c>
      <c r="N352" t="n">
        <v>0</v>
      </c>
      <c r="O352" t="n">
        <v>0</v>
      </c>
      <c r="P352" t="n">
        <v>0</v>
      </c>
      <c r="Q352" t="n">
        <v>0</v>
      </c>
      <c r="R352" s="2" t="inlineStr"/>
    </row>
    <row r="353" ht="15" customHeight="1">
      <c r="A353" t="inlineStr">
        <is>
          <t>A 58025-2025</t>
        </is>
      </c>
      <c r="B353" s="1" t="n">
        <v>45982</v>
      </c>
      <c r="C353" s="1" t="n">
        <v>46066</v>
      </c>
      <c r="D353" t="inlineStr">
        <is>
          <t>UPPSALA LÄN</t>
        </is>
      </c>
      <c r="E353" t="inlineStr">
        <is>
          <t>ENKÖPING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57188-2025</t>
        </is>
      </c>
      <c r="B354" s="1" t="n">
        <v>45979</v>
      </c>
      <c r="C354" s="1" t="n">
        <v>46066</v>
      </c>
      <c r="D354" t="inlineStr">
        <is>
          <t>UPPSALA LÄN</t>
        </is>
      </c>
      <c r="E354" t="inlineStr">
        <is>
          <t>ENKÖPING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2968-2025</t>
        </is>
      </c>
      <c r="B355" s="1" t="n">
        <v>45678</v>
      </c>
      <c r="C355" s="1" t="n">
        <v>46066</v>
      </c>
      <c r="D355" t="inlineStr">
        <is>
          <t>UPPSALA LÄN</t>
        </is>
      </c>
      <c r="E355" t="inlineStr">
        <is>
          <t>ENKÖPING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49525-2021</t>
        </is>
      </c>
      <c r="B356" s="1" t="n">
        <v>44455</v>
      </c>
      <c r="C356" s="1" t="n">
        <v>46066</v>
      </c>
      <c r="D356" t="inlineStr">
        <is>
          <t>UPPSALA LÄN</t>
        </is>
      </c>
      <c r="E356" t="inlineStr">
        <is>
          <t>ENKÖPING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6959-2025</t>
        </is>
      </c>
      <c r="B357" s="1" t="n">
        <v>45701.49315972222</v>
      </c>
      <c r="C357" s="1" t="n">
        <v>46066</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30437-2022</t>
        </is>
      </c>
      <c r="B358" s="1" t="n">
        <v>44761</v>
      </c>
      <c r="C358" s="1" t="n">
        <v>46066</v>
      </c>
      <c r="D358" t="inlineStr">
        <is>
          <t>UPPSALA LÄN</t>
        </is>
      </c>
      <c r="E358" t="inlineStr">
        <is>
          <t>ENKÖPING</t>
        </is>
      </c>
      <c r="G358" t="n">
        <v>3.4</v>
      </c>
      <c r="H358" t="n">
        <v>0</v>
      </c>
      <c r="I358" t="n">
        <v>0</v>
      </c>
      <c r="J358" t="n">
        <v>0</v>
      </c>
      <c r="K358" t="n">
        <v>0</v>
      </c>
      <c r="L358" t="n">
        <v>0</v>
      </c>
      <c r="M358" t="n">
        <v>0</v>
      </c>
      <c r="N358" t="n">
        <v>0</v>
      </c>
      <c r="O358" t="n">
        <v>0</v>
      </c>
      <c r="P358" t="n">
        <v>0</v>
      </c>
      <c r="Q358" t="n">
        <v>0</v>
      </c>
      <c r="R358" s="2" t="inlineStr"/>
    </row>
    <row r="359" ht="15" customHeight="1">
      <c r="A359" t="inlineStr">
        <is>
          <t>A 51011-2024</t>
        </is>
      </c>
      <c r="B359" s="1" t="n">
        <v>45603.39427083333</v>
      </c>
      <c r="C359" s="1" t="n">
        <v>46066</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26319-2022</t>
        </is>
      </c>
      <c r="B360" s="1" t="n">
        <v>44735</v>
      </c>
      <c r="C360" s="1" t="n">
        <v>46066</v>
      </c>
      <c r="D360" t="inlineStr">
        <is>
          <t>UPPSALA LÄN</t>
        </is>
      </c>
      <c r="E360" t="inlineStr">
        <is>
          <t>ENKÖPING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29918-2023</t>
        </is>
      </c>
      <c r="B361" s="1" t="n">
        <v>45099</v>
      </c>
      <c r="C361" s="1" t="n">
        <v>46066</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24291-2024</t>
        </is>
      </c>
      <c r="B362" s="1" t="n">
        <v>45457.4584837963</v>
      </c>
      <c r="C362" s="1" t="n">
        <v>46066</v>
      </c>
      <c r="D362" t="inlineStr">
        <is>
          <t>UPPSALA LÄN</t>
        </is>
      </c>
      <c r="E362" t="inlineStr">
        <is>
          <t>ENKÖPING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861-2026</t>
        </is>
      </c>
      <c r="B363" s="1" t="n">
        <v>46030</v>
      </c>
      <c r="C363" s="1" t="n">
        <v>46066</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59668-2025</t>
        </is>
      </c>
      <c r="B364" s="1" t="n">
        <v>45992.45567129629</v>
      </c>
      <c r="C364" s="1" t="n">
        <v>46066</v>
      </c>
      <c r="D364" t="inlineStr">
        <is>
          <t>UPPSALA LÄN</t>
        </is>
      </c>
      <c r="E364" t="inlineStr">
        <is>
          <t>ENKÖPING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59964-2025</t>
        </is>
      </c>
      <c r="B365" s="1" t="n">
        <v>45993.48043981481</v>
      </c>
      <c r="C365" s="1" t="n">
        <v>46066</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2833-2025</t>
        </is>
      </c>
      <c r="B366" s="1" t="n">
        <v>45677.63206018518</v>
      </c>
      <c r="C366" s="1" t="n">
        <v>46066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50006-2023</t>
        </is>
      </c>
      <c r="B367" s="1" t="n">
        <v>45215</v>
      </c>
      <c r="C367" s="1" t="n">
        <v>46066</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60340-2025</t>
        </is>
      </c>
      <c r="B368" s="1" t="n">
        <v>45994.83415509259</v>
      </c>
      <c r="C368" s="1" t="n">
        <v>46066</v>
      </c>
      <c r="D368" t="inlineStr">
        <is>
          <t>UPPSALA LÄN</t>
        </is>
      </c>
      <c r="E368" t="inlineStr">
        <is>
          <t>ENKÖPING</t>
        </is>
      </c>
      <c r="G368" t="n">
        <v>5.6</v>
      </c>
      <c r="H368" t="n">
        <v>0</v>
      </c>
      <c r="I368" t="n">
        <v>0</v>
      </c>
      <c r="J368" t="n">
        <v>0</v>
      </c>
      <c r="K368" t="n">
        <v>0</v>
      </c>
      <c r="L368" t="n">
        <v>0</v>
      </c>
      <c r="M368" t="n">
        <v>0</v>
      </c>
      <c r="N368" t="n">
        <v>0</v>
      </c>
      <c r="O368" t="n">
        <v>0</v>
      </c>
      <c r="P368" t="n">
        <v>0</v>
      </c>
      <c r="Q368" t="n">
        <v>0</v>
      </c>
      <c r="R368" s="2" t="inlineStr"/>
    </row>
    <row r="369" ht="15" customHeight="1">
      <c r="A369" t="inlineStr">
        <is>
          <t>A 56526-2022</t>
        </is>
      </c>
      <c r="B369" s="1" t="n">
        <v>44893</v>
      </c>
      <c r="C369" s="1" t="n">
        <v>46066</v>
      </c>
      <c r="D369" t="inlineStr">
        <is>
          <t>UPPSALA LÄN</t>
        </is>
      </c>
      <c r="E369" t="inlineStr">
        <is>
          <t>ENKÖPING</t>
        </is>
      </c>
      <c r="G369" t="n">
        <v>3.8</v>
      </c>
      <c r="H369" t="n">
        <v>0</v>
      </c>
      <c r="I369" t="n">
        <v>0</v>
      </c>
      <c r="J369" t="n">
        <v>0</v>
      </c>
      <c r="K369" t="n">
        <v>0</v>
      </c>
      <c r="L369" t="n">
        <v>0</v>
      </c>
      <c r="M369" t="n">
        <v>0</v>
      </c>
      <c r="N369" t="n">
        <v>0</v>
      </c>
      <c r="O369" t="n">
        <v>0</v>
      </c>
      <c r="P369" t="n">
        <v>0</v>
      </c>
      <c r="Q369" t="n">
        <v>0</v>
      </c>
      <c r="R369" s="2" t="inlineStr"/>
    </row>
    <row r="370" ht="15" customHeight="1">
      <c r="A370" t="inlineStr">
        <is>
          <t>A 39858-2024</t>
        </is>
      </c>
      <c r="B370" s="1" t="n">
        <v>45553</v>
      </c>
      <c r="C370" s="1" t="n">
        <v>46066</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60289-2022</t>
        </is>
      </c>
      <c r="B371" s="1" t="n">
        <v>44910.53026620371</v>
      </c>
      <c r="C371" s="1" t="n">
        <v>46066</v>
      </c>
      <c r="D371" t="inlineStr">
        <is>
          <t>UPPSALA LÄN</t>
        </is>
      </c>
      <c r="E371" t="inlineStr">
        <is>
          <t>ENKÖPING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13110-2023</t>
        </is>
      </c>
      <c r="B372" s="1" t="n">
        <v>45001</v>
      </c>
      <c r="C372" s="1" t="n">
        <v>46066</v>
      </c>
      <c r="D372" t="inlineStr">
        <is>
          <t>UPPSALA LÄN</t>
        </is>
      </c>
      <c r="E372" t="inlineStr">
        <is>
          <t>ENKÖPING</t>
        </is>
      </c>
      <c r="G372" t="n">
        <v>2.5</v>
      </c>
      <c r="H372" t="n">
        <v>0</v>
      </c>
      <c r="I372" t="n">
        <v>0</v>
      </c>
      <c r="J372" t="n">
        <v>0</v>
      </c>
      <c r="K372" t="n">
        <v>0</v>
      </c>
      <c r="L372" t="n">
        <v>0</v>
      </c>
      <c r="M372" t="n">
        <v>0</v>
      </c>
      <c r="N372" t="n">
        <v>0</v>
      </c>
      <c r="O372" t="n">
        <v>0</v>
      </c>
      <c r="P372" t="n">
        <v>0</v>
      </c>
      <c r="Q372" t="n">
        <v>0</v>
      </c>
      <c r="R372" s="2" t="inlineStr"/>
    </row>
    <row r="373" ht="15" customHeight="1">
      <c r="A373" t="inlineStr">
        <is>
          <t>A 58384-2022</t>
        </is>
      </c>
      <c r="B373" s="1" t="n">
        <v>44901</v>
      </c>
      <c r="C373" s="1" t="n">
        <v>46066</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59602-2022</t>
        </is>
      </c>
      <c r="B374" s="1" t="n">
        <v>44907.72241898148</v>
      </c>
      <c r="C374" s="1" t="n">
        <v>46066</v>
      </c>
      <c r="D374" t="inlineStr">
        <is>
          <t>UPPSALA LÄN</t>
        </is>
      </c>
      <c r="E374" t="inlineStr">
        <is>
          <t>ENKÖPING</t>
        </is>
      </c>
      <c r="G374" t="n">
        <v>14.2</v>
      </c>
      <c r="H374" t="n">
        <v>0</v>
      </c>
      <c r="I374" t="n">
        <v>0</v>
      </c>
      <c r="J374" t="n">
        <v>0</v>
      </c>
      <c r="K374" t="n">
        <v>0</v>
      </c>
      <c r="L374" t="n">
        <v>0</v>
      </c>
      <c r="M374" t="n">
        <v>0</v>
      </c>
      <c r="N374" t="n">
        <v>0</v>
      </c>
      <c r="O374" t="n">
        <v>0</v>
      </c>
      <c r="P374" t="n">
        <v>0</v>
      </c>
      <c r="Q374" t="n">
        <v>0</v>
      </c>
      <c r="R374" s="2" t="inlineStr"/>
    </row>
    <row r="375" ht="15" customHeight="1">
      <c r="A375" t="inlineStr">
        <is>
          <t>A 60174-2025</t>
        </is>
      </c>
      <c r="B375" s="1" t="n">
        <v>45994.45039351852</v>
      </c>
      <c r="C375" s="1" t="n">
        <v>46066</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2218-2026</t>
        </is>
      </c>
      <c r="B376" s="1" t="n">
        <v>46036.50010416667</v>
      </c>
      <c r="C376" s="1" t="n">
        <v>46066</v>
      </c>
      <c r="D376" t="inlineStr">
        <is>
          <t>UPPSALA LÄN</t>
        </is>
      </c>
      <c r="E376" t="inlineStr">
        <is>
          <t>ENKÖPING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31965-2021</t>
        </is>
      </c>
      <c r="B377" s="1" t="n">
        <v>44370.56901620371</v>
      </c>
      <c r="C377" s="1" t="n">
        <v>46066</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60175-2025</t>
        </is>
      </c>
      <c r="B378" s="1" t="n">
        <v>45994.45378472222</v>
      </c>
      <c r="C378" s="1" t="n">
        <v>46066</v>
      </c>
      <c r="D378" t="inlineStr">
        <is>
          <t>UPPSALA LÄN</t>
        </is>
      </c>
      <c r="E378" t="inlineStr">
        <is>
          <t>ENKÖPING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67984-2021</t>
        </is>
      </c>
      <c r="B379" s="1" t="n">
        <v>44525.70237268518</v>
      </c>
      <c r="C379" s="1" t="n">
        <v>46066</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33619-2022</t>
        </is>
      </c>
      <c r="B380" s="1" t="n">
        <v>44789</v>
      </c>
      <c r="C380" s="1" t="n">
        <v>46066</v>
      </c>
      <c r="D380" t="inlineStr">
        <is>
          <t>UPPSALA LÄN</t>
        </is>
      </c>
      <c r="E380" t="inlineStr">
        <is>
          <t>ENKÖPING</t>
        </is>
      </c>
      <c r="F380" t="inlineStr">
        <is>
          <t>Allmännings- och besparingsskogar</t>
        </is>
      </c>
      <c r="G380" t="n">
        <v>4.5</v>
      </c>
      <c r="H380" t="n">
        <v>0</v>
      </c>
      <c r="I380" t="n">
        <v>0</v>
      </c>
      <c r="J380" t="n">
        <v>0</v>
      </c>
      <c r="K380" t="n">
        <v>0</v>
      </c>
      <c r="L380" t="n">
        <v>0</v>
      </c>
      <c r="M380" t="n">
        <v>0</v>
      </c>
      <c r="N380" t="n">
        <v>0</v>
      </c>
      <c r="O380" t="n">
        <v>0</v>
      </c>
      <c r="P380" t="n">
        <v>0</v>
      </c>
      <c r="Q380" t="n">
        <v>0</v>
      </c>
      <c r="R380" s="2" t="inlineStr"/>
    </row>
    <row r="381" ht="15" customHeight="1">
      <c r="A381" t="inlineStr">
        <is>
          <t>A 60947-2025</t>
        </is>
      </c>
      <c r="B381" s="1" t="n">
        <v>45999</v>
      </c>
      <c r="C381" s="1" t="n">
        <v>46066</v>
      </c>
      <c r="D381" t="inlineStr">
        <is>
          <t>UPPSALA LÄN</t>
        </is>
      </c>
      <c r="E381" t="inlineStr">
        <is>
          <t>ENKÖPING</t>
        </is>
      </c>
      <c r="G381" t="n">
        <v>4</v>
      </c>
      <c r="H381" t="n">
        <v>0</v>
      </c>
      <c r="I381" t="n">
        <v>0</v>
      </c>
      <c r="J381" t="n">
        <v>0</v>
      </c>
      <c r="K381" t="n">
        <v>0</v>
      </c>
      <c r="L381" t="n">
        <v>0</v>
      </c>
      <c r="M381" t="n">
        <v>0</v>
      </c>
      <c r="N381" t="n">
        <v>0</v>
      </c>
      <c r="O381" t="n">
        <v>0</v>
      </c>
      <c r="P381" t="n">
        <v>0</v>
      </c>
      <c r="Q381" t="n">
        <v>0</v>
      </c>
      <c r="R381" s="2" t="inlineStr"/>
    </row>
    <row r="382" ht="15" customHeight="1">
      <c r="A382" t="inlineStr">
        <is>
          <t>A 10829-2024</t>
        </is>
      </c>
      <c r="B382" s="1" t="n">
        <v>45369</v>
      </c>
      <c r="C382" s="1" t="n">
        <v>46066</v>
      </c>
      <c r="D382" t="inlineStr">
        <is>
          <t>UPPSALA LÄN</t>
        </is>
      </c>
      <c r="E382" t="inlineStr">
        <is>
          <t>ENKÖPING</t>
        </is>
      </c>
      <c r="G382" t="n">
        <v>2.1</v>
      </c>
      <c r="H382" t="n">
        <v>0</v>
      </c>
      <c r="I382" t="n">
        <v>0</v>
      </c>
      <c r="J382" t="n">
        <v>0</v>
      </c>
      <c r="K382" t="n">
        <v>0</v>
      </c>
      <c r="L382" t="n">
        <v>0</v>
      </c>
      <c r="M382" t="n">
        <v>0</v>
      </c>
      <c r="N382" t="n">
        <v>0</v>
      </c>
      <c r="O382" t="n">
        <v>0</v>
      </c>
      <c r="P382" t="n">
        <v>0</v>
      </c>
      <c r="Q382" t="n">
        <v>0</v>
      </c>
      <c r="R382" s="2" t="inlineStr"/>
    </row>
    <row r="383" ht="15" customHeight="1">
      <c r="A383" t="inlineStr">
        <is>
          <t>A 67982-2021</t>
        </is>
      </c>
      <c r="B383" s="1" t="n">
        <v>44525</v>
      </c>
      <c r="C383" s="1" t="n">
        <v>46066</v>
      </c>
      <c r="D383" t="inlineStr">
        <is>
          <t>UPPSALA LÄN</t>
        </is>
      </c>
      <c r="E383" t="inlineStr">
        <is>
          <t>ENKÖPING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60934-2025</t>
        </is>
      </c>
      <c r="B384" s="1" t="n">
        <v>45999</v>
      </c>
      <c r="C384" s="1" t="n">
        <v>46066</v>
      </c>
      <c r="D384" t="inlineStr">
        <is>
          <t>UPPSALA LÄN</t>
        </is>
      </c>
      <c r="E384" t="inlineStr">
        <is>
          <t>ENKÖPING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61437-2025</t>
        </is>
      </c>
      <c r="B385" s="1" t="n">
        <v>46001.5659375</v>
      </c>
      <c r="C385" s="1" t="n">
        <v>46066</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51034-2024</t>
        </is>
      </c>
      <c r="B386" s="1" t="n">
        <v>45603.4262037037</v>
      </c>
      <c r="C386" s="1" t="n">
        <v>46066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51036-2024</t>
        </is>
      </c>
      <c r="B387" s="1" t="n">
        <v>45603.42839120371</v>
      </c>
      <c r="C387" s="1" t="n">
        <v>46066</v>
      </c>
      <c r="D387" t="inlineStr">
        <is>
          <t>UPPSALA LÄN</t>
        </is>
      </c>
      <c r="E387" t="inlineStr">
        <is>
          <t>ENKÖPING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55876-2024</t>
        </is>
      </c>
      <c r="B388" s="1" t="n">
        <v>45623.5546412037</v>
      </c>
      <c r="C388" s="1" t="n">
        <v>46066</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11005-2023</t>
        </is>
      </c>
      <c r="B389" s="1" t="n">
        <v>44991</v>
      </c>
      <c r="C389" s="1" t="n">
        <v>46066</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57142-2021</t>
        </is>
      </c>
      <c r="B390" s="1" t="n">
        <v>44482</v>
      </c>
      <c r="C390" s="1" t="n">
        <v>46066</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57147-2021</t>
        </is>
      </c>
      <c r="B391" s="1" t="n">
        <v>44482</v>
      </c>
      <c r="C391" s="1" t="n">
        <v>46066</v>
      </c>
      <c r="D391" t="inlineStr">
        <is>
          <t>UPPSALA LÄN</t>
        </is>
      </c>
      <c r="E391" t="inlineStr">
        <is>
          <t>ENKÖPING</t>
        </is>
      </c>
      <c r="G391" t="n">
        <v>5.7</v>
      </c>
      <c r="H391" t="n">
        <v>0</v>
      </c>
      <c r="I391" t="n">
        <v>0</v>
      </c>
      <c r="J391" t="n">
        <v>0</v>
      </c>
      <c r="K391" t="n">
        <v>0</v>
      </c>
      <c r="L391" t="n">
        <v>0</v>
      </c>
      <c r="M391" t="n">
        <v>0</v>
      </c>
      <c r="N391" t="n">
        <v>0</v>
      </c>
      <c r="O391" t="n">
        <v>0</v>
      </c>
      <c r="P391" t="n">
        <v>0</v>
      </c>
      <c r="Q391" t="n">
        <v>0</v>
      </c>
      <c r="R391" s="2" t="inlineStr"/>
    </row>
    <row r="392" ht="15" customHeight="1">
      <c r="A392" t="inlineStr">
        <is>
          <t>A 7868-2024</t>
        </is>
      </c>
      <c r="B392" s="1" t="n">
        <v>45350.33020833333</v>
      </c>
      <c r="C392" s="1" t="n">
        <v>46066</v>
      </c>
      <c r="D392" t="inlineStr">
        <is>
          <t>UPPSALA LÄN</t>
        </is>
      </c>
      <c r="E392" t="inlineStr">
        <is>
          <t>ENKÖPING</t>
        </is>
      </c>
      <c r="G392" t="n">
        <v>0.3</v>
      </c>
      <c r="H392" t="n">
        <v>0</v>
      </c>
      <c r="I392" t="n">
        <v>0</v>
      </c>
      <c r="J392" t="n">
        <v>0</v>
      </c>
      <c r="K392" t="n">
        <v>0</v>
      </c>
      <c r="L392" t="n">
        <v>0</v>
      </c>
      <c r="M392" t="n">
        <v>0</v>
      </c>
      <c r="N392" t="n">
        <v>0</v>
      </c>
      <c r="O392" t="n">
        <v>0</v>
      </c>
      <c r="P392" t="n">
        <v>0</v>
      </c>
      <c r="Q392" t="n">
        <v>0</v>
      </c>
      <c r="R392" s="2" t="inlineStr"/>
    </row>
    <row r="393" ht="15" customHeight="1">
      <c r="A393" t="inlineStr">
        <is>
          <t>A 7870-2024</t>
        </is>
      </c>
      <c r="B393" s="1" t="n">
        <v>45350.33349537037</v>
      </c>
      <c r="C393" s="1" t="n">
        <v>46066</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9231-2023</t>
        </is>
      </c>
      <c r="B394" s="1" t="n">
        <v>44980</v>
      </c>
      <c r="C394" s="1" t="n">
        <v>46066</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29477-2025</t>
        </is>
      </c>
      <c r="B395" s="1" t="n">
        <v>45824.71537037037</v>
      </c>
      <c r="C395" s="1" t="n">
        <v>46066</v>
      </c>
      <c r="D395" t="inlineStr">
        <is>
          <t>UPPSALA LÄN</t>
        </is>
      </c>
      <c r="E395" t="inlineStr">
        <is>
          <t>ENKÖPING</t>
        </is>
      </c>
      <c r="G395" t="n">
        <v>13.4</v>
      </c>
      <c r="H395" t="n">
        <v>0</v>
      </c>
      <c r="I395" t="n">
        <v>0</v>
      </c>
      <c r="J395" t="n">
        <v>0</v>
      </c>
      <c r="K395" t="n">
        <v>0</v>
      </c>
      <c r="L395" t="n">
        <v>0</v>
      </c>
      <c r="M395" t="n">
        <v>0</v>
      </c>
      <c r="N395" t="n">
        <v>0</v>
      </c>
      <c r="O395" t="n">
        <v>0</v>
      </c>
      <c r="P395" t="n">
        <v>0</v>
      </c>
      <c r="Q395" t="n">
        <v>0</v>
      </c>
      <c r="R395" s="2" t="inlineStr"/>
    </row>
    <row r="396" ht="15" customHeight="1">
      <c r="A396" t="inlineStr">
        <is>
          <t>A 61778-2025</t>
        </is>
      </c>
      <c r="B396" s="1" t="n">
        <v>46002.66555555556</v>
      </c>
      <c r="C396" s="1" t="n">
        <v>46066</v>
      </c>
      <c r="D396" t="inlineStr">
        <is>
          <t>UPPSALA LÄN</t>
        </is>
      </c>
      <c r="E396" t="inlineStr">
        <is>
          <t>ENKÖPING</t>
        </is>
      </c>
      <c r="G396" t="n">
        <v>3.2</v>
      </c>
      <c r="H396" t="n">
        <v>0</v>
      </c>
      <c r="I396" t="n">
        <v>0</v>
      </c>
      <c r="J396" t="n">
        <v>0</v>
      </c>
      <c r="K396" t="n">
        <v>0</v>
      </c>
      <c r="L396" t="n">
        <v>0</v>
      </c>
      <c r="M396" t="n">
        <v>0</v>
      </c>
      <c r="N396" t="n">
        <v>0</v>
      </c>
      <c r="O396" t="n">
        <v>0</v>
      </c>
      <c r="P396" t="n">
        <v>0</v>
      </c>
      <c r="Q396" t="n">
        <v>0</v>
      </c>
      <c r="R396" s="2" t="inlineStr"/>
    </row>
    <row r="397" ht="15" customHeight="1">
      <c r="A397" t="inlineStr">
        <is>
          <t>A 61811-2025</t>
        </is>
      </c>
      <c r="B397" s="1" t="n">
        <v>46002.90059027778</v>
      </c>
      <c r="C397" s="1" t="n">
        <v>46066</v>
      </c>
      <c r="D397" t="inlineStr">
        <is>
          <t>UPPSALA LÄN</t>
        </is>
      </c>
      <c r="E397" t="inlineStr">
        <is>
          <t>ENKÖPING</t>
        </is>
      </c>
      <c r="F397" t="inlineStr">
        <is>
          <t>Allmännings- och besparingsskogar</t>
        </is>
      </c>
      <c r="G397" t="n">
        <v>4.7</v>
      </c>
      <c r="H397" t="n">
        <v>0</v>
      </c>
      <c r="I397" t="n">
        <v>0</v>
      </c>
      <c r="J397" t="n">
        <v>0</v>
      </c>
      <c r="K397" t="n">
        <v>0</v>
      </c>
      <c r="L397" t="n">
        <v>0</v>
      </c>
      <c r="M397" t="n">
        <v>0</v>
      </c>
      <c r="N397" t="n">
        <v>0</v>
      </c>
      <c r="O397" t="n">
        <v>0</v>
      </c>
      <c r="P397" t="n">
        <v>0</v>
      </c>
      <c r="Q397" t="n">
        <v>0</v>
      </c>
      <c r="R397" s="2" t="inlineStr"/>
    </row>
    <row r="398" ht="15" customHeight="1">
      <c r="A398" t="inlineStr">
        <is>
          <t>A 38941-2025</t>
        </is>
      </c>
      <c r="B398" s="1" t="n">
        <v>45887</v>
      </c>
      <c r="C398" s="1" t="n">
        <v>46066</v>
      </c>
      <c r="D398" t="inlineStr">
        <is>
          <t>UPPSALA LÄN</t>
        </is>
      </c>
      <c r="E398" t="inlineStr">
        <is>
          <t>ENKÖPING</t>
        </is>
      </c>
      <c r="F398" t="inlineStr">
        <is>
          <t>Övriga statliga verk och myndigheter</t>
        </is>
      </c>
      <c r="G398" t="n">
        <v>0.6</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46066</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61889-2025</t>
        </is>
      </c>
      <c r="B400" s="1" t="n">
        <v>46003.44765046296</v>
      </c>
      <c r="C400" s="1" t="n">
        <v>46066</v>
      </c>
      <c r="D400" t="inlineStr">
        <is>
          <t>UPPSALA LÄN</t>
        </is>
      </c>
      <c r="E400" t="inlineStr">
        <is>
          <t>ENKÖPING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30514-2021</t>
        </is>
      </c>
      <c r="B401" s="1" t="n">
        <v>44364</v>
      </c>
      <c r="C401" s="1" t="n">
        <v>46066</v>
      </c>
      <c r="D401" t="inlineStr">
        <is>
          <t>UPPSALA LÄN</t>
        </is>
      </c>
      <c r="E401" t="inlineStr">
        <is>
          <t>ENKÖPING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31604-2023</t>
        </is>
      </c>
      <c r="B402" s="1" t="n">
        <v>45117.50368055556</v>
      </c>
      <c r="C402" s="1" t="n">
        <v>46066</v>
      </c>
      <c r="D402" t="inlineStr">
        <is>
          <t>UPPSALA LÄN</t>
        </is>
      </c>
      <c r="E402" t="inlineStr">
        <is>
          <t>ENKÖPING</t>
        </is>
      </c>
      <c r="G402" t="n">
        <v>3.5</v>
      </c>
      <c r="H402" t="n">
        <v>0</v>
      </c>
      <c r="I402" t="n">
        <v>0</v>
      </c>
      <c r="J402" t="n">
        <v>0</v>
      </c>
      <c r="K402" t="n">
        <v>0</v>
      </c>
      <c r="L402" t="n">
        <v>0</v>
      </c>
      <c r="M402" t="n">
        <v>0</v>
      </c>
      <c r="N402" t="n">
        <v>0</v>
      </c>
      <c r="O402" t="n">
        <v>0</v>
      </c>
      <c r="P402" t="n">
        <v>0</v>
      </c>
      <c r="Q402" t="n">
        <v>0</v>
      </c>
      <c r="R402" s="2" t="inlineStr"/>
    </row>
    <row r="403" ht="15" customHeight="1">
      <c r="A403" t="inlineStr">
        <is>
          <t>A 25598-2021</t>
        </is>
      </c>
      <c r="B403" s="1" t="n">
        <v>44343.4558912037</v>
      </c>
      <c r="C403" s="1" t="n">
        <v>46066</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15162-2025</t>
        </is>
      </c>
      <c r="B404" s="1" t="n">
        <v>45744</v>
      </c>
      <c r="C404" s="1" t="n">
        <v>46066</v>
      </c>
      <c r="D404" t="inlineStr">
        <is>
          <t>UPPSALA LÄN</t>
        </is>
      </c>
      <c r="E404" t="inlineStr">
        <is>
          <t>ENKÖPING</t>
        </is>
      </c>
      <c r="G404" t="n">
        <v>4.2</v>
      </c>
      <c r="H404" t="n">
        <v>0</v>
      </c>
      <c r="I404" t="n">
        <v>0</v>
      </c>
      <c r="J404" t="n">
        <v>0</v>
      </c>
      <c r="K404" t="n">
        <v>0</v>
      </c>
      <c r="L404" t="n">
        <v>0</v>
      </c>
      <c r="M404" t="n">
        <v>0</v>
      </c>
      <c r="N404" t="n">
        <v>0</v>
      </c>
      <c r="O404" t="n">
        <v>0</v>
      </c>
      <c r="P404" t="n">
        <v>0</v>
      </c>
      <c r="Q404" t="n">
        <v>0</v>
      </c>
      <c r="R404" s="2" t="inlineStr"/>
    </row>
    <row r="405" ht="15" customHeight="1">
      <c r="A405" t="inlineStr">
        <is>
          <t>A 5104-2026</t>
        </is>
      </c>
      <c r="B405" s="1" t="n">
        <v>46049.56914351852</v>
      </c>
      <c r="C405" s="1" t="n">
        <v>46066</v>
      </c>
      <c r="D405" t="inlineStr">
        <is>
          <t>UPPSALA LÄN</t>
        </is>
      </c>
      <c r="E405" t="inlineStr">
        <is>
          <t>ENKÖPING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62599-2025</t>
        </is>
      </c>
      <c r="B406" s="1" t="n">
        <v>46007.91961805556</v>
      </c>
      <c r="C406" s="1" t="n">
        <v>46066</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5569-2026</t>
        </is>
      </c>
      <c r="B407" s="1" t="n">
        <v>46050.89431712963</v>
      </c>
      <c r="C407" s="1" t="n">
        <v>46066</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62772-2025</t>
        </is>
      </c>
      <c r="B408" s="1" t="n">
        <v>46008.60365740741</v>
      </c>
      <c r="C408" s="1" t="n">
        <v>46066</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63128-2025</t>
        </is>
      </c>
      <c r="B409" s="1" t="n">
        <v>46009</v>
      </c>
      <c r="C409" s="1" t="n">
        <v>46066</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62600-2025</t>
        </is>
      </c>
      <c r="B410" s="1" t="n">
        <v>46007.92175925926</v>
      </c>
      <c r="C410" s="1" t="n">
        <v>46066</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62602-2025</t>
        </is>
      </c>
      <c r="B411" s="1" t="n">
        <v>46007.92581018519</v>
      </c>
      <c r="C411" s="1" t="n">
        <v>46066</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62601-2025</t>
        </is>
      </c>
      <c r="B412" s="1" t="n">
        <v>46007.92395833333</v>
      </c>
      <c r="C412" s="1" t="n">
        <v>46066</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52388-2024</t>
        </is>
      </c>
      <c r="B413" s="1" t="n">
        <v>45609.42939814815</v>
      </c>
      <c r="C413" s="1" t="n">
        <v>46066</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53607-2023</t>
        </is>
      </c>
      <c r="B414" s="1" t="n">
        <v>45230</v>
      </c>
      <c r="C414" s="1" t="n">
        <v>46066</v>
      </c>
      <c r="D414" t="inlineStr">
        <is>
          <t>UPPSALA LÄN</t>
        </is>
      </c>
      <c r="E414" t="inlineStr">
        <is>
          <t>ENKÖPING</t>
        </is>
      </c>
      <c r="F414" t="inlineStr">
        <is>
          <t>Allmännings- och besparingsskogar</t>
        </is>
      </c>
      <c r="G414" t="n">
        <v>6.3</v>
      </c>
      <c r="H414" t="n">
        <v>0</v>
      </c>
      <c r="I414" t="n">
        <v>0</v>
      </c>
      <c r="J414" t="n">
        <v>0</v>
      </c>
      <c r="K414" t="n">
        <v>0</v>
      </c>
      <c r="L414" t="n">
        <v>0</v>
      </c>
      <c r="M414" t="n">
        <v>0</v>
      </c>
      <c r="N414" t="n">
        <v>0</v>
      </c>
      <c r="O414" t="n">
        <v>0</v>
      </c>
      <c r="P414" t="n">
        <v>0</v>
      </c>
      <c r="Q414" t="n">
        <v>0</v>
      </c>
      <c r="R414" s="2" t="inlineStr"/>
    </row>
    <row r="415" ht="15" customHeight="1">
      <c r="A415" t="inlineStr">
        <is>
          <t>A 40202-2024</t>
        </is>
      </c>
      <c r="B415" s="1" t="n">
        <v>45554</v>
      </c>
      <c r="C415" s="1" t="n">
        <v>46066</v>
      </c>
      <c r="D415" t="inlineStr">
        <is>
          <t>UPPSALA LÄN</t>
        </is>
      </c>
      <c r="E415" t="inlineStr">
        <is>
          <t>ENKÖPING</t>
        </is>
      </c>
      <c r="G415" t="n">
        <v>6.2</v>
      </c>
      <c r="H415" t="n">
        <v>0</v>
      </c>
      <c r="I415" t="n">
        <v>0</v>
      </c>
      <c r="J415" t="n">
        <v>0</v>
      </c>
      <c r="K415" t="n">
        <v>0</v>
      </c>
      <c r="L415" t="n">
        <v>0</v>
      </c>
      <c r="M415" t="n">
        <v>0</v>
      </c>
      <c r="N415" t="n">
        <v>0</v>
      </c>
      <c r="O415" t="n">
        <v>0</v>
      </c>
      <c r="P415" t="n">
        <v>0</v>
      </c>
      <c r="Q415" t="n">
        <v>0</v>
      </c>
      <c r="R415" s="2" t="inlineStr"/>
    </row>
    <row r="416" ht="15" customHeight="1">
      <c r="A416" t="inlineStr">
        <is>
          <t>A 8306-2021</t>
        </is>
      </c>
      <c r="B416" s="1" t="n">
        <v>44244</v>
      </c>
      <c r="C416" s="1" t="n">
        <v>46066</v>
      </c>
      <c r="D416" t="inlineStr">
        <is>
          <t>UPPSALA LÄN</t>
        </is>
      </c>
      <c r="E416" t="inlineStr">
        <is>
          <t>ENKÖPING</t>
        </is>
      </c>
      <c r="G416" t="n">
        <v>14.9</v>
      </c>
      <c r="H416" t="n">
        <v>0</v>
      </c>
      <c r="I416" t="n">
        <v>0</v>
      </c>
      <c r="J416" t="n">
        <v>0</v>
      </c>
      <c r="K416" t="n">
        <v>0</v>
      </c>
      <c r="L416" t="n">
        <v>0</v>
      </c>
      <c r="M416" t="n">
        <v>0</v>
      </c>
      <c r="N416" t="n">
        <v>0</v>
      </c>
      <c r="O416" t="n">
        <v>0</v>
      </c>
      <c r="P416" t="n">
        <v>0</v>
      </c>
      <c r="Q416" t="n">
        <v>0</v>
      </c>
      <c r="R416" s="2" t="inlineStr"/>
    </row>
    <row r="417" ht="15" customHeight="1">
      <c r="A417" t="inlineStr">
        <is>
          <t>A 6047-2026</t>
        </is>
      </c>
      <c r="B417" s="1" t="n">
        <v>46052.62738425926</v>
      </c>
      <c r="C417" s="1" t="n">
        <v>46066</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6031-2026</t>
        </is>
      </c>
      <c r="B418" s="1" t="n">
        <v>46052.61201388889</v>
      </c>
      <c r="C418" s="1" t="n">
        <v>46066</v>
      </c>
      <c r="D418" t="inlineStr">
        <is>
          <t>UPPSALA LÄN</t>
        </is>
      </c>
      <c r="E418" t="inlineStr">
        <is>
          <t>ENKÖPING</t>
        </is>
      </c>
      <c r="G418" t="n">
        <v>4.1</v>
      </c>
      <c r="H418" t="n">
        <v>0</v>
      </c>
      <c r="I418" t="n">
        <v>0</v>
      </c>
      <c r="J418" t="n">
        <v>0</v>
      </c>
      <c r="K418" t="n">
        <v>0</v>
      </c>
      <c r="L418" t="n">
        <v>0</v>
      </c>
      <c r="M418" t="n">
        <v>0</v>
      </c>
      <c r="N418" t="n">
        <v>0</v>
      </c>
      <c r="O418" t="n">
        <v>0</v>
      </c>
      <c r="P418" t="n">
        <v>0</v>
      </c>
      <c r="Q418" t="n">
        <v>0</v>
      </c>
      <c r="R418" s="2" t="inlineStr"/>
    </row>
    <row r="419" ht="15" customHeight="1">
      <c r="A419" t="inlineStr">
        <is>
          <t>A 57152-2021</t>
        </is>
      </c>
      <c r="B419" s="1" t="n">
        <v>44482</v>
      </c>
      <c r="C419" s="1" t="n">
        <v>46066</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6049-2026</t>
        </is>
      </c>
      <c r="B420" s="1" t="n">
        <v>46052.63005787037</v>
      </c>
      <c r="C420" s="1" t="n">
        <v>46066</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34124-2021</t>
        </is>
      </c>
      <c r="B421" s="1" t="n">
        <v>44379</v>
      </c>
      <c r="C421" s="1" t="n">
        <v>46066</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28518-2024</t>
        </is>
      </c>
      <c r="B422" s="1" t="n">
        <v>45477</v>
      </c>
      <c r="C422" s="1" t="n">
        <v>46066</v>
      </c>
      <c r="D422" t="inlineStr">
        <is>
          <t>UPPSALA LÄN</t>
        </is>
      </c>
      <c r="E422" t="inlineStr">
        <is>
          <t>ENKÖPING</t>
        </is>
      </c>
      <c r="G422" t="n">
        <v>3.4</v>
      </c>
      <c r="H422" t="n">
        <v>0</v>
      </c>
      <c r="I422" t="n">
        <v>0</v>
      </c>
      <c r="J422" t="n">
        <v>0</v>
      </c>
      <c r="K422" t="n">
        <v>0</v>
      </c>
      <c r="L422" t="n">
        <v>0</v>
      </c>
      <c r="M422" t="n">
        <v>0</v>
      </c>
      <c r="N422" t="n">
        <v>0</v>
      </c>
      <c r="O422" t="n">
        <v>0</v>
      </c>
      <c r="P422" t="n">
        <v>0</v>
      </c>
      <c r="Q422" t="n">
        <v>0</v>
      </c>
      <c r="R422" s="2" t="inlineStr"/>
    </row>
    <row r="423" ht="15" customHeight="1">
      <c r="A423" t="inlineStr">
        <is>
          <t>A 52299-2023</t>
        </is>
      </c>
      <c r="B423" s="1" t="n">
        <v>45224.61636574074</v>
      </c>
      <c r="C423" s="1" t="n">
        <v>46066</v>
      </c>
      <c r="D423" t="inlineStr">
        <is>
          <t>UPPSALA LÄN</t>
        </is>
      </c>
      <c r="E423" t="inlineStr">
        <is>
          <t>ENKÖPING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5953-2026</t>
        </is>
      </c>
      <c r="B424" s="1" t="n">
        <v>46052.49119212963</v>
      </c>
      <c r="C424" s="1" t="n">
        <v>46066</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6041-2026</t>
        </is>
      </c>
      <c r="B425" s="1" t="n">
        <v>46052.62184027778</v>
      </c>
      <c r="C425" s="1" t="n">
        <v>46066</v>
      </c>
      <c r="D425" t="inlineStr">
        <is>
          <t>UPPSALA LÄN</t>
        </is>
      </c>
      <c r="E425" t="inlineStr">
        <is>
          <t>ENKÖPING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6044-2026</t>
        </is>
      </c>
      <c r="B426" s="1" t="n">
        <v>46052.62506944445</v>
      </c>
      <c r="C426" s="1" t="n">
        <v>46066</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30634-2022</t>
        </is>
      </c>
      <c r="B427" s="1" t="n">
        <v>44763.45711805556</v>
      </c>
      <c r="C427" s="1" t="n">
        <v>46066</v>
      </c>
      <c r="D427" t="inlineStr">
        <is>
          <t>UPPSALA LÄN</t>
        </is>
      </c>
      <c r="E427" t="inlineStr">
        <is>
          <t>ENKÖPING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5948-2026</t>
        </is>
      </c>
      <c r="B428" s="1" t="n">
        <v>46052</v>
      </c>
      <c r="C428" s="1" t="n">
        <v>46066</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18259-2025</t>
        </is>
      </c>
      <c r="B429" s="1" t="n">
        <v>45762</v>
      </c>
      <c r="C429" s="1" t="n">
        <v>46066</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7008-2026</t>
        </is>
      </c>
      <c r="B430" s="1" t="n">
        <v>46057.63806712963</v>
      </c>
      <c r="C430" s="1" t="n">
        <v>46066</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14004-2023</t>
        </is>
      </c>
      <c r="B431" s="1" t="n">
        <v>45008</v>
      </c>
      <c r="C431" s="1" t="n">
        <v>46066</v>
      </c>
      <c r="D431" t="inlineStr">
        <is>
          <t>UPPSALA LÄN</t>
        </is>
      </c>
      <c r="E431" t="inlineStr">
        <is>
          <t>ENKÖPING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7003-2026</t>
        </is>
      </c>
      <c r="B432" s="1" t="n">
        <v>46057.63243055555</v>
      </c>
      <c r="C432" s="1" t="n">
        <v>46066</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52005-2024</t>
        </is>
      </c>
      <c r="B433" s="1" t="n">
        <v>45607.7627662037</v>
      </c>
      <c r="C433" s="1" t="n">
        <v>46066</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1960-2022</t>
        </is>
      </c>
      <c r="B434" s="1" t="n">
        <v>44575</v>
      </c>
      <c r="C434" s="1" t="n">
        <v>46066</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49627-2024</t>
        </is>
      </c>
      <c r="B435" s="1" t="n">
        <v>45596.59140046296</v>
      </c>
      <c r="C435" s="1" t="n">
        <v>46066</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57998-2024</t>
        </is>
      </c>
      <c r="B436" s="1" t="n">
        <v>45631</v>
      </c>
      <c r="C436" s="1" t="n">
        <v>46066</v>
      </c>
      <c r="D436" t="inlineStr">
        <is>
          <t>UPPSALA LÄN</t>
        </is>
      </c>
      <c r="E436" t="inlineStr">
        <is>
          <t>ENKÖPING</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9667-2024</t>
        </is>
      </c>
      <c r="B437" s="1" t="n">
        <v>45362.45130787037</v>
      </c>
      <c r="C437" s="1" t="n">
        <v>46066</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35645-2021</t>
        </is>
      </c>
      <c r="B438" s="1" t="n">
        <v>44386.42</v>
      </c>
      <c r="C438" s="1" t="n">
        <v>46066</v>
      </c>
      <c r="D438" t="inlineStr">
        <is>
          <t>UPPSALA LÄN</t>
        </is>
      </c>
      <c r="E438" t="inlineStr">
        <is>
          <t>ENKÖPING</t>
        </is>
      </c>
      <c r="G438" t="n">
        <v>2.7</v>
      </c>
      <c r="H438" t="n">
        <v>0</v>
      </c>
      <c r="I438" t="n">
        <v>0</v>
      </c>
      <c r="J438" t="n">
        <v>0</v>
      </c>
      <c r="K438" t="n">
        <v>0</v>
      </c>
      <c r="L438" t="n">
        <v>0</v>
      </c>
      <c r="M438" t="n">
        <v>0</v>
      </c>
      <c r="N438" t="n">
        <v>0</v>
      </c>
      <c r="O438" t="n">
        <v>0</v>
      </c>
      <c r="P438" t="n">
        <v>0</v>
      </c>
      <c r="Q438" t="n">
        <v>0</v>
      </c>
      <c r="R438" s="2" t="inlineStr"/>
    </row>
    <row r="439" ht="15" customHeight="1">
      <c r="A439" t="inlineStr">
        <is>
          <t>A 15711-2025</t>
        </is>
      </c>
      <c r="B439" s="1" t="n">
        <v>45748</v>
      </c>
      <c r="C439" s="1" t="n">
        <v>46066</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28318-2024</t>
        </is>
      </c>
      <c r="B440" s="1" t="n">
        <v>45477</v>
      </c>
      <c r="C440" s="1" t="n">
        <v>46066</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69344-2021</t>
        </is>
      </c>
      <c r="B441" s="1" t="n">
        <v>44531</v>
      </c>
      <c r="C441" s="1" t="n">
        <v>46066</v>
      </c>
      <c r="D441" t="inlineStr">
        <is>
          <t>UPPSALA LÄN</t>
        </is>
      </c>
      <c r="E441" t="inlineStr">
        <is>
          <t>ENKÖPING</t>
        </is>
      </c>
      <c r="G441" t="n">
        <v>2.9</v>
      </c>
      <c r="H441" t="n">
        <v>0</v>
      </c>
      <c r="I441" t="n">
        <v>0</v>
      </c>
      <c r="J441" t="n">
        <v>0</v>
      </c>
      <c r="K441" t="n">
        <v>0</v>
      </c>
      <c r="L441" t="n">
        <v>0</v>
      </c>
      <c r="M441" t="n">
        <v>0</v>
      </c>
      <c r="N441" t="n">
        <v>0</v>
      </c>
      <c r="O441" t="n">
        <v>0</v>
      </c>
      <c r="P441" t="n">
        <v>0</v>
      </c>
      <c r="Q441" t="n">
        <v>0</v>
      </c>
      <c r="R441" s="2" t="inlineStr"/>
    </row>
    <row r="442" ht="15" customHeight="1">
      <c r="A442" t="inlineStr">
        <is>
          <t>A 51524-2022</t>
        </is>
      </c>
      <c r="B442" s="1" t="n">
        <v>44869</v>
      </c>
      <c r="C442" s="1" t="n">
        <v>46066</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46103-2023</t>
        </is>
      </c>
      <c r="B443" s="1" t="n">
        <v>45190</v>
      </c>
      <c r="C443" s="1" t="n">
        <v>46066</v>
      </c>
      <c r="D443" t="inlineStr">
        <is>
          <t>UPPSALA LÄN</t>
        </is>
      </c>
      <c r="E443" t="inlineStr">
        <is>
          <t>ENKÖPING</t>
        </is>
      </c>
      <c r="G443" t="n">
        <v>4.6</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44827.63826388889</v>
      </c>
      <c r="C444" s="1" t="n">
        <v>46066</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8137-2025</t>
        </is>
      </c>
      <c r="B445" s="1" t="n">
        <v>45707.8561574074</v>
      </c>
      <c r="C445" s="1" t="n">
        <v>46066</v>
      </c>
      <c r="D445" t="inlineStr">
        <is>
          <t>UPPSALA LÄN</t>
        </is>
      </c>
      <c r="E445" t="inlineStr">
        <is>
          <t>ENKÖPING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23301-2024</t>
        </is>
      </c>
      <c r="B446" s="1" t="n">
        <v>45453.4396412037</v>
      </c>
      <c r="C446" s="1" t="n">
        <v>46066</v>
      </c>
      <c r="D446" t="inlineStr">
        <is>
          <t>UPPSALA LÄN</t>
        </is>
      </c>
      <c r="E446" t="inlineStr">
        <is>
          <t>ENKÖPING</t>
        </is>
      </c>
      <c r="G446" t="n">
        <v>4.3</v>
      </c>
      <c r="H446" t="n">
        <v>0</v>
      </c>
      <c r="I446" t="n">
        <v>0</v>
      </c>
      <c r="J446" t="n">
        <v>0</v>
      </c>
      <c r="K446" t="n">
        <v>0</v>
      </c>
      <c r="L446" t="n">
        <v>0</v>
      </c>
      <c r="M446" t="n">
        <v>0</v>
      </c>
      <c r="N446" t="n">
        <v>0</v>
      </c>
      <c r="O446" t="n">
        <v>0</v>
      </c>
      <c r="P446" t="n">
        <v>0</v>
      </c>
      <c r="Q446" t="n">
        <v>0</v>
      </c>
      <c r="R446" s="2" t="inlineStr"/>
    </row>
    <row r="447" ht="15" customHeight="1">
      <c r="A447" t="inlineStr">
        <is>
          <t>A 52380-2024</t>
        </is>
      </c>
      <c r="B447" s="1" t="n">
        <v>45609</v>
      </c>
      <c r="C447" s="1" t="n">
        <v>46066</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30098-2024</t>
        </is>
      </c>
      <c r="B448" s="1" t="n">
        <v>45489.41609953704</v>
      </c>
      <c r="C448" s="1" t="n">
        <v>46066</v>
      </c>
      <c r="D448" t="inlineStr">
        <is>
          <t>UPPSALA LÄN</t>
        </is>
      </c>
      <c r="E448" t="inlineStr">
        <is>
          <t>ENKÖPING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34735-2023</t>
        </is>
      </c>
      <c r="B449" s="1" t="n">
        <v>45139</v>
      </c>
      <c r="C449" s="1" t="n">
        <v>46066</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57328-2024</t>
        </is>
      </c>
      <c r="B450" s="1" t="n">
        <v>45629.62798611111</v>
      </c>
      <c r="C450" s="1" t="n">
        <v>46066</v>
      </c>
      <c r="D450" t="inlineStr">
        <is>
          <t>UPPSALA LÄN</t>
        </is>
      </c>
      <c r="E450" t="inlineStr">
        <is>
          <t>ENKÖPING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29482-2022</t>
        </is>
      </c>
      <c r="B451" s="1" t="n">
        <v>44753.57703703704</v>
      </c>
      <c r="C451" s="1" t="n">
        <v>46066</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29483-2022</t>
        </is>
      </c>
      <c r="B452" s="1" t="n">
        <v>44753.57829861111</v>
      </c>
      <c r="C452" s="1" t="n">
        <v>46066</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44232-2022</t>
        </is>
      </c>
      <c r="B453" s="1" t="n">
        <v>44839</v>
      </c>
      <c r="C453" s="1" t="n">
        <v>46066</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61106-2022</t>
        </is>
      </c>
      <c r="B454" s="1" t="n">
        <v>44915.4128587963</v>
      </c>
      <c r="C454" s="1" t="n">
        <v>46066</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39624-2023</t>
        </is>
      </c>
      <c r="B455" s="1" t="n">
        <v>45164</v>
      </c>
      <c r="C455" s="1" t="n">
        <v>46066</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20184-2023</t>
        </is>
      </c>
      <c r="B456" s="1" t="n">
        <v>45055.5670949074</v>
      </c>
      <c r="C456" s="1" t="n">
        <v>46066</v>
      </c>
      <c r="D456" t="inlineStr">
        <is>
          <t>UPPSALA LÄN</t>
        </is>
      </c>
      <c r="E456" t="inlineStr">
        <is>
          <t>ENKÖPING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8152-2022</t>
        </is>
      </c>
      <c r="B457" s="1" t="n">
        <v>44609</v>
      </c>
      <c r="C457" s="1" t="n">
        <v>46066</v>
      </c>
      <c r="D457" t="inlineStr">
        <is>
          <t>UPPSALA LÄN</t>
        </is>
      </c>
      <c r="E457" t="inlineStr">
        <is>
          <t>ENKÖPING</t>
        </is>
      </c>
      <c r="F457" t="inlineStr">
        <is>
          <t>Kyrkan</t>
        </is>
      </c>
      <c r="G457" t="n">
        <v>1.3</v>
      </c>
      <c r="H457" t="n">
        <v>0</v>
      </c>
      <c r="I457" t="n">
        <v>0</v>
      </c>
      <c r="J457" t="n">
        <v>0</v>
      </c>
      <c r="K457" t="n">
        <v>0</v>
      </c>
      <c r="L457" t="n">
        <v>0</v>
      </c>
      <c r="M457" t="n">
        <v>0</v>
      </c>
      <c r="N457" t="n">
        <v>0</v>
      </c>
      <c r="O457" t="n">
        <v>0</v>
      </c>
      <c r="P457" t="n">
        <v>0</v>
      </c>
      <c r="Q457" t="n">
        <v>0</v>
      </c>
      <c r="R457" s="2" t="inlineStr"/>
    </row>
    <row r="458" ht="15" customHeight="1">
      <c r="A458" t="inlineStr">
        <is>
          <t>A 40223-2024</t>
        </is>
      </c>
      <c r="B458" s="1" t="n">
        <v>45554</v>
      </c>
      <c r="C458" s="1" t="n">
        <v>46066</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37035-2023</t>
        </is>
      </c>
      <c r="B459" s="1" t="n">
        <v>45155</v>
      </c>
      <c r="C459" s="1" t="n">
        <v>46066</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52889-2022</t>
        </is>
      </c>
      <c r="B460" s="1" t="n">
        <v>44875</v>
      </c>
      <c r="C460" s="1" t="n">
        <v>46066</v>
      </c>
      <c r="D460" t="inlineStr">
        <is>
          <t>UPPSALA LÄN</t>
        </is>
      </c>
      <c r="E460" t="inlineStr">
        <is>
          <t>ENKÖPING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51030-2024</t>
        </is>
      </c>
      <c r="B461" s="1" t="n">
        <v>45603</v>
      </c>
      <c r="C461" s="1" t="n">
        <v>46066</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26292-2022</t>
        </is>
      </c>
      <c r="B462" s="1" t="n">
        <v>44735</v>
      </c>
      <c r="C462" s="1" t="n">
        <v>46066</v>
      </c>
      <c r="D462" t="inlineStr">
        <is>
          <t>UPPSALA LÄN</t>
        </is>
      </c>
      <c r="E462" t="inlineStr">
        <is>
          <t>ENKÖPING</t>
        </is>
      </c>
      <c r="F462" t="inlineStr">
        <is>
          <t>Kyrkan</t>
        </is>
      </c>
      <c r="G462" t="n">
        <v>4.6</v>
      </c>
      <c r="H462" t="n">
        <v>0</v>
      </c>
      <c r="I462" t="n">
        <v>0</v>
      </c>
      <c r="J462" t="n">
        <v>0</v>
      </c>
      <c r="K462" t="n">
        <v>0</v>
      </c>
      <c r="L462" t="n">
        <v>0</v>
      </c>
      <c r="M462" t="n">
        <v>0</v>
      </c>
      <c r="N462" t="n">
        <v>0</v>
      </c>
      <c r="O462" t="n">
        <v>0</v>
      </c>
      <c r="P462" t="n">
        <v>0</v>
      </c>
      <c r="Q462" t="n">
        <v>0</v>
      </c>
      <c r="R462" s="2" t="inlineStr"/>
    </row>
    <row r="463" ht="15" customHeight="1">
      <c r="A463" t="inlineStr">
        <is>
          <t>A 4044-2024</t>
        </is>
      </c>
      <c r="B463" s="1" t="n">
        <v>45323.45954861111</v>
      </c>
      <c r="C463" s="1" t="n">
        <v>46066</v>
      </c>
      <c r="D463" t="inlineStr">
        <is>
          <t>UPPSALA LÄN</t>
        </is>
      </c>
      <c r="E463" t="inlineStr">
        <is>
          <t>ENKÖPING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33349-2024</t>
        </is>
      </c>
      <c r="B464" s="1" t="n">
        <v>45519</v>
      </c>
      <c r="C464" s="1" t="n">
        <v>46066</v>
      </c>
      <c r="D464" t="inlineStr">
        <is>
          <t>UPPSALA LÄN</t>
        </is>
      </c>
      <c r="E464" t="inlineStr">
        <is>
          <t>ENKÖPING</t>
        </is>
      </c>
      <c r="G464" t="n">
        <v>3.6</v>
      </c>
      <c r="H464" t="n">
        <v>0</v>
      </c>
      <c r="I464" t="n">
        <v>0</v>
      </c>
      <c r="J464" t="n">
        <v>0</v>
      </c>
      <c r="K464" t="n">
        <v>0</v>
      </c>
      <c r="L464" t="n">
        <v>0</v>
      </c>
      <c r="M464" t="n">
        <v>0</v>
      </c>
      <c r="N464" t="n">
        <v>0</v>
      </c>
      <c r="O464" t="n">
        <v>0</v>
      </c>
      <c r="P464" t="n">
        <v>0</v>
      </c>
      <c r="Q464" t="n">
        <v>0</v>
      </c>
      <c r="R464" s="2" t="inlineStr"/>
    </row>
    <row r="465" ht="15" customHeight="1">
      <c r="A465" t="inlineStr">
        <is>
          <t>A 22912-2024</t>
        </is>
      </c>
      <c r="B465" s="1" t="n">
        <v>45448.73118055556</v>
      </c>
      <c r="C465" s="1" t="n">
        <v>46066</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21612-2023</t>
        </is>
      </c>
      <c r="B466" s="1" t="n">
        <v>45063</v>
      </c>
      <c r="C466" s="1" t="n">
        <v>46066</v>
      </c>
      <c r="D466" t="inlineStr">
        <is>
          <t>UPPSALA LÄN</t>
        </is>
      </c>
      <c r="E466" t="inlineStr">
        <is>
          <t>ENKÖPING</t>
        </is>
      </c>
      <c r="F466" t="inlineStr">
        <is>
          <t>Allmännings- och besparingsskogar</t>
        </is>
      </c>
      <c r="G466" t="n">
        <v>1</v>
      </c>
      <c r="H466" t="n">
        <v>0</v>
      </c>
      <c r="I466" t="n">
        <v>0</v>
      </c>
      <c r="J466" t="n">
        <v>0</v>
      </c>
      <c r="K466" t="n">
        <v>0</v>
      </c>
      <c r="L466" t="n">
        <v>0</v>
      </c>
      <c r="M466" t="n">
        <v>0</v>
      </c>
      <c r="N466" t="n">
        <v>0</v>
      </c>
      <c r="O466" t="n">
        <v>0</v>
      </c>
      <c r="P466" t="n">
        <v>0</v>
      </c>
      <c r="Q466" t="n">
        <v>0</v>
      </c>
      <c r="R466" s="2" t="inlineStr"/>
    </row>
    <row r="467" ht="15" customHeight="1">
      <c r="A467" t="inlineStr">
        <is>
          <t>A 14243-2025</t>
        </is>
      </c>
      <c r="B467" s="1" t="n">
        <v>45740.61288194444</v>
      </c>
      <c r="C467" s="1" t="n">
        <v>46066</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33343-2024</t>
        </is>
      </c>
      <c r="B468" s="1" t="n">
        <v>45519</v>
      </c>
      <c r="C468" s="1" t="n">
        <v>46066</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18302-2025</t>
        </is>
      </c>
      <c r="B469" s="1" t="n">
        <v>45762</v>
      </c>
      <c r="C469" s="1" t="n">
        <v>46066</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28243-2023</t>
        </is>
      </c>
      <c r="B470" s="1" t="n">
        <v>45099.58885416666</v>
      </c>
      <c r="C470" s="1" t="n">
        <v>46066</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3235-2025</t>
        </is>
      </c>
      <c r="B471" s="1" t="n">
        <v>45679</v>
      </c>
      <c r="C471" s="1" t="n">
        <v>46066</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41828-2024</t>
        </is>
      </c>
      <c r="B472" s="1" t="n">
        <v>45561</v>
      </c>
      <c r="C472" s="1" t="n">
        <v>46066</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1536-2024</t>
        </is>
      </c>
      <c r="B473" s="1" t="n">
        <v>45306</v>
      </c>
      <c r="C473" s="1" t="n">
        <v>46066</v>
      </c>
      <c r="D473" t="inlineStr">
        <is>
          <t>UPPSALA LÄN</t>
        </is>
      </c>
      <c r="E473" t="inlineStr">
        <is>
          <t>ENKÖPING</t>
        </is>
      </c>
      <c r="F473" t="inlineStr">
        <is>
          <t>Kyrkan</t>
        </is>
      </c>
      <c r="G473" t="n">
        <v>5.6</v>
      </c>
      <c r="H473" t="n">
        <v>0</v>
      </c>
      <c r="I473" t="n">
        <v>0</v>
      </c>
      <c r="J473" t="n">
        <v>0</v>
      </c>
      <c r="K473" t="n">
        <v>0</v>
      </c>
      <c r="L473" t="n">
        <v>0</v>
      </c>
      <c r="M473" t="n">
        <v>0</v>
      </c>
      <c r="N473" t="n">
        <v>0</v>
      </c>
      <c r="O473" t="n">
        <v>0</v>
      </c>
      <c r="P473" t="n">
        <v>0</v>
      </c>
      <c r="Q473" t="n">
        <v>0</v>
      </c>
      <c r="R473" s="2" t="inlineStr"/>
    </row>
    <row r="474" ht="15" customHeight="1">
      <c r="A474" t="inlineStr">
        <is>
          <t>A 42564-2024</t>
        </is>
      </c>
      <c r="B474" s="1" t="n">
        <v>45565.63358796296</v>
      </c>
      <c r="C474" s="1" t="n">
        <v>46066</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43492-2023</t>
        </is>
      </c>
      <c r="B475" s="1" t="n">
        <v>45181</v>
      </c>
      <c r="C475" s="1" t="n">
        <v>46066</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6626-2023</t>
        </is>
      </c>
      <c r="B476" s="1" t="n">
        <v>44966.55946759259</v>
      </c>
      <c r="C476" s="1" t="n">
        <v>46066</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17165-2025</t>
        </is>
      </c>
      <c r="B477" s="1" t="n">
        <v>45756</v>
      </c>
      <c r="C477" s="1" t="n">
        <v>46066</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5013-2025</t>
        </is>
      </c>
      <c r="B478" s="1" t="n">
        <v>45691</v>
      </c>
      <c r="C478" s="1" t="n">
        <v>46066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37170-2021</t>
        </is>
      </c>
      <c r="B479" s="1" t="n">
        <v>44395</v>
      </c>
      <c r="C479" s="1" t="n">
        <v>46066</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58147-2024</t>
        </is>
      </c>
      <c r="B480" s="1" t="n">
        <v>45632.4334375</v>
      </c>
      <c r="C480" s="1" t="n">
        <v>46066</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3550-2023</t>
        </is>
      </c>
      <c r="B481" s="1" t="n">
        <v>44950</v>
      </c>
      <c r="C481" s="1" t="n">
        <v>46066</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19014-2025</t>
        </is>
      </c>
      <c r="B482" s="1" t="n">
        <v>45764.59631944444</v>
      </c>
      <c r="C482" s="1" t="n">
        <v>46066</v>
      </c>
      <c r="D482" t="inlineStr">
        <is>
          <t>UPPSALA LÄN</t>
        </is>
      </c>
      <c r="E482" t="inlineStr">
        <is>
          <t>ENKÖPING</t>
        </is>
      </c>
      <c r="G482" t="n">
        <v>0.2</v>
      </c>
      <c r="H482" t="n">
        <v>0</v>
      </c>
      <c r="I482" t="n">
        <v>0</v>
      </c>
      <c r="J482" t="n">
        <v>0</v>
      </c>
      <c r="K482" t="n">
        <v>0</v>
      </c>
      <c r="L482" t="n">
        <v>0</v>
      </c>
      <c r="M482" t="n">
        <v>0</v>
      </c>
      <c r="N482" t="n">
        <v>0</v>
      </c>
      <c r="O482" t="n">
        <v>0</v>
      </c>
      <c r="P482" t="n">
        <v>0</v>
      </c>
      <c r="Q482" t="n">
        <v>0</v>
      </c>
      <c r="R482" s="2" t="inlineStr"/>
    </row>
    <row r="483" ht="15" customHeight="1">
      <c r="A483" t="inlineStr">
        <is>
          <t>A 12958-2024</t>
        </is>
      </c>
      <c r="B483" s="1" t="n">
        <v>45385</v>
      </c>
      <c r="C483" s="1" t="n">
        <v>46066</v>
      </c>
      <c r="D483" t="inlineStr">
        <is>
          <t>UPPSALA LÄN</t>
        </is>
      </c>
      <c r="E483" t="inlineStr">
        <is>
          <t>ENKÖPING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1651-2024</t>
        </is>
      </c>
      <c r="B484" s="1" t="n">
        <v>45306.73770833333</v>
      </c>
      <c r="C484" s="1" t="n">
        <v>46066</v>
      </c>
      <c r="D484" t="inlineStr">
        <is>
          <t>UPPSALA LÄN</t>
        </is>
      </c>
      <c r="E484" t="inlineStr">
        <is>
          <t>ENKÖPING</t>
        </is>
      </c>
      <c r="G484" t="n">
        <v>10.2</v>
      </c>
      <c r="H484" t="n">
        <v>0</v>
      </c>
      <c r="I484" t="n">
        <v>0</v>
      </c>
      <c r="J484" t="n">
        <v>0</v>
      </c>
      <c r="K484" t="n">
        <v>0</v>
      </c>
      <c r="L484" t="n">
        <v>0</v>
      </c>
      <c r="M484" t="n">
        <v>0</v>
      </c>
      <c r="N484" t="n">
        <v>0</v>
      </c>
      <c r="O484" t="n">
        <v>0</v>
      </c>
      <c r="P484" t="n">
        <v>0</v>
      </c>
      <c r="Q484" t="n">
        <v>0</v>
      </c>
      <c r="R484" s="2" t="inlineStr"/>
    </row>
    <row r="485" ht="15" customHeight="1">
      <c r="A485" t="inlineStr">
        <is>
          <t>A 51012-2024</t>
        </is>
      </c>
      <c r="B485" s="1" t="n">
        <v>45603.39686342593</v>
      </c>
      <c r="C485" s="1" t="n">
        <v>46066</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57940-2022</t>
        </is>
      </c>
      <c r="B486" s="1" t="n">
        <v>44900</v>
      </c>
      <c r="C486" s="1" t="n">
        <v>46066</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63310-2021</t>
        </is>
      </c>
      <c r="B487" s="1" t="n">
        <v>44508</v>
      </c>
      <c r="C487" s="1" t="n">
        <v>46066</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20440-2025</t>
        </is>
      </c>
      <c r="B488" s="1" t="n">
        <v>45775</v>
      </c>
      <c r="C488" s="1" t="n">
        <v>46066</v>
      </c>
      <c r="D488" t="inlineStr">
        <is>
          <t>UPPSALA LÄN</t>
        </is>
      </c>
      <c r="E488" t="inlineStr">
        <is>
          <t>ENKÖPING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19488-2022</t>
        </is>
      </c>
      <c r="B489" s="1" t="n">
        <v>44693</v>
      </c>
      <c r="C489" s="1" t="n">
        <v>46066</v>
      </c>
      <c r="D489" t="inlineStr">
        <is>
          <t>UPPSALA LÄN</t>
        </is>
      </c>
      <c r="E489" t="inlineStr">
        <is>
          <t>ENKÖPING</t>
        </is>
      </c>
      <c r="G489" t="n">
        <v>7.8</v>
      </c>
      <c r="H489" t="n">
        <v>0</v>
      </c>
      <c r="I489" t="n">
        <v>0</v>
      </c>
      <c r="J489" t="n">
        <v>0</v>
      </c>
      <c r="K489" t="n">
        <v>0</v>
      </c>
      <c r="L489" t="n">
        <v>0</v>
      </c>
      <c r="M489" t="n">
        <v>0</v>
      </c>
      <c r="N489" t="n">
        <v>0</v>
      </c>
      <c r="O489" t="n">
        <v>0</v>
      </c>
      <c r="P489" t="n">
        <v>0</v>
      </c>
      <c r="Q489" t="n">
        <v>0</v>
      </c>
      <c r="R489" s="2" t="inlineStr"/>
    </row>
    <row r="490" ht="15" customHeight="1">
      <c r="A490" t="inlineStr">
        <is>
          <t>A 5188-2022</t>
        </is>
      </c>
      <c r="B490" s="1" t="n">
        <v>44594.4471412037</v>
      </c>
      <c r="C490" s="1" t="n">
        <v>46066</v>
      </c>
      <c r="D490" t="inlineStr">
        <is>
          <t>UPPSALA LÄN</t>
        </is>
      </c>
      <c r="E490" t="inlineStr">
        <is>
          <t>ENKÖPING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31622-2022</t>
        </is>
      </c>
      <c r="B491" s="1" t="n">
        <v>44775</v>
      </c>
      <c r="C491" s="1" t="n">
        <v>46066</v>
      </c>
      <c r="D491" t="inlineStr">
        <is>
          <t>UPPSALA LÄN</t>
        </is>
      </c>
      <c r="E491" t="inlineStr">
        <is>
          <t>ENKÖPING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12102-2024</t>
        </is>
      </c>
      <c r="B492" s="1" t="n">
        <v>45377</v>
      </c>
      <c r="C492" s="1" t="n">
        <v>46066</v>
      </c>
      <c r="D492" t="inlineStr">
        <is>
          <t>UPPSALA LÄN</t>
        </is>
      </c>
      <c r="E492" t="inlineStr">
        <is>
          <t>ENKÖPING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59602-2024</t>
        </is>
      </c>
      <c r="B493" s="1" t="n">
        <v>45638</v>
      </c>
      <c r="C493" s="1" t="n">
        <v>46066</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44131-2023</t>
        </is>
      </c>
      <c r="B494" s="1" t="n">
        <v>45188</v>
      </c>
      <c r="C494" s="1" t="n">
        <v>46066</v>
      </c>
      <c r="D494" t="inlineStr">
        <is>
          <t>UPPSALA LÄN</t>
        </is>
      </c>
      <c r="E494" t="inlineStr">
        <is>
          <t>ENKÖPING</t>
        </is>
      </c>
      <c r="G494" t="n">
        <v>0.3</v>
      </c>
      <c r="H494" t="n">
        <v>0</v>
      </c>
      <c r="I494" t="n">
        <v>0</v>
      </c>
      <c r="J494" t="n">
        <v>0</v>
      </c>
      <c r="K494" t="n">
        <v>0</v>
      </c>
      <c r="L494" t="n">
        <v>0</v>
      </c>
      <c r="M494" t="n">
        <v>0</v>
      </c>
      <c r="N494" t="n">
        <v>0</v>
      </c>
      <c r="O494" t="n">
        <v>0</v>
      </c>
      <c r="P494" t="n">
        <v>0</v>
      </c>
      <c r="Q494" t="n">
        <v>0</v>
      </c>
      <c r="R494" s="2" t="inlineStr"/>
    </row>
    <row r="495" ht="15" customHeight="1">
      <c r="A495" t="inlineStr">
        <is>
          <t>A 60533-2021</t>
        </is>
      </c>
      <c r="B495" s="1" t="n">
        <v>44496</v>
      </c>
      <c r="C495" s="1" t="n">
        <v>46066</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35052-2024</t>
        </is>
      </c>
      <c r="B496" s="1" t="n">
        <v>45527.6516087963</v>
      </c>
      <c r="C496" s="1" t="n">
        <v>46066</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51008-2024</t>
        </is>
      </c>
      <c r="B497" s="1" t="n">
        <v>45603.39041666667</v>
      </c>
      <c r="C497" s="1" t="n">
        <v>46066</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22156-2025</t>
        </is>
      </c>
      <c r="B498" s="1" t="n">
        <v>45785.57512731481</v>
      </c>
      <c r="C498" s="1" t="n">
        <v>46066</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22150-2025</t>
        </is>
      </c>
      <c r="B499" s="1" t="n">
        <v>45785.56398148148</v>
      </c>
      <c r="C499" s="1" t="n">
        <v>46066</v>
      </c>
      <c r="D499" t="inlineStr">
        <is>
          <t>UPPSALA LÄN</t>
        </is>
      </c>
      <c r="E499" t="inlineStr">
        <is>
          <t>ENKÖPING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30087-2024</t>
        </is>
      </c>
      <c r="B500" s="1" t="n">
        <v>45489.39447916667</v>
      </c>
      <c r="C500" s="1" t="n">
        <v>46066</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54776-2024</t>
        </is>
      </c>
      <c r="B501" s="1" t="n">
        <v>45618</v>
      </c>
      <c r="C501" s="1" t="n">
        <v>46066</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22729-2025</t>
        </is>
      </c>
      <c r="B502" s="1" t="n">
        <v>45789.57790509259</v>
      </c>
      <c r="C502" s="1" t="n">
        <v>46066</v>
      </c>
      <c r="D502" t="inlineStr">
        <is>
          <t>UPPSALA LÄN</t>
        </is>
      </c>
      <c r="E502" t="inlineStr">
        <is>
          <t>ENKÖPING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14518-2025</t>
        </is>
      </c>
      <c r="B503" s="1" t="n">
        <v>45741</v>
      </c>
      <c r="C503" s="1" t="n">
        <v>46066</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22677-2025</t>
        </is>
      </c>
      <c r="B504" s="1" t="n">
        <v>45789.49515046296</v>
      </c>
      <c r="C504" s="1" t="n">
        <v>46066</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22679-2025</t>
        </is>
      </c>
      <c r="B505" s="1" t="n">
        <v>45789.49747685185</v>
      </c>
      <c r="C505" s="1" t="n">
        <v>46066</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22770-2025</t>
        </is>
      </c>
      <c r="B506" s="1" t="n">
        <v>45789.63454861111</v>
      </c>
      <c r="C506" s="1" t="n">
        <v>46066</v>
      </c>
      <c r="D506" t="inlineStr">
        <is>
          <t>UPPSALA LÄN</t>
        </is>
      </c>
      <c r="E506" t="inlineStr">
        <is>
          <t>ENKÖPING</t>
        </is>
      </c>
      <c r="G506" t="n">
        <v>4.5</v>
      </c>
      <c r="H506" t="n">
        <v>0</v>
      </c>
      <c r="I506" t="n">
        <v>0</v>
      </c>
      <c r="J506" t="n">
        <v>0</v>
      </c>
      <c r="K506" t="n">
        <v>0</v>
      </c>
      <c r="L506" t="n">
        <v>0</v>
      </c>
      <c r="M506" t="n">
        <v>0</v>
      </c>
      <c r="N506" t="n">
        <v>0</v>
      </c>
      <c r="O506" t="n">
        <v>0</v>
      </c>
      <c r="P506" t="n">
        <v>0</v>
      </c>
      <c r="Q506" t="n">
        <v>0</v>
      </c>
      <c r="R506" s="2" t="inlineStr"/>
    </row>
    <row r="507" ht="15" customHeight="1">
      <c r="A507" t="inlineStr">
        <is>
          <t>A 22800-2025</t>
        </is>
      </c>
      <c r="B507" s="1" t="n">
        <v>45789.6669212963</v>
      </c>
      <c r="C507" s="1" t="n">
        <v>46066</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6981-2025</t>
        </is>
      </c>
      <c r="B508" s="1" t="n">
        <v>45701</v>
      </c>
      <c r="C508" s="1" t="n">
        <v>46066</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22786-2025</t>
        </is>
      </c>
      <c r="B509" s="1" t="n">
        <v>45789.64643518518</v>
      </c>
      <c r="C509" s="1" t="n">
        <v>46066</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68123-2021</t>
        </is>
      </c>
      <c r="B510" s="1" t="n">
        <v>44526.39126157408</v>
      </c>
      <c r="C510" s="1" t="n">
        <v>46066</v>
      </c>
      <c r="D510" t="inlineStr">
        <is>
          <t>UPPSALA LÄN</t>
        </is>
      </c>
      <c r="E510" t="inlineStr">
        <is>
          <t>ENKÖPING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22680-2025</t>
        </is>
      </c>
      <c r="B511" s="1" t="n">
        <v>45789.5005787037</v>
      </c>
      <c r="C511" s="1" t="n">
        <v>46066</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22802-2025</t>
        </is>
      </c>
      <c r="B512" s="1" t="n">
        <v>45789.6686574074</v>
      </c>
      <c r="C512" s="1" t="n">
        <v>46066</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22793-2025</t>
        </is>
      </c>
      <c r="B513" s="1" t="n">
        <v>45789.65693287037</v>
      </c>
      <c r="C513" s="1" t="n">
        <v>46066</v>
      </c>
      <c r="D513" t="inlineStr">
        <is>
          <t>UPPSALA LÄN</t>
        </is>
      </c>
      <c r="E513" t="inlineStr">
        <is>
          <t>ENKÖPING</t>
        </is>
      </c>
      <c r="G513" t="n">
        <v>3.2</v>
      </c>
      <c r="H513" t="n">
        <v>0</v>
      </c>
      <c r="I513" t="n">
        <v>0</v>
      </c>
      <c r="J513" t="n">
        <v>0</v>
      </c>
      <c r="K513" t="n">
        <v>0</v>
      </c>
      <c r="L513" t="n">
        <v>0</v>
      </c>
      <c r="M513" t="n">
        <v>0</v>
      </c>
      <c r="N513" t="n">
        <v>0</v>
      </c>
      <c r="O513" t="n">
        <v>0</v>
      </c>
      <c r="P513" t="n">
        <v>0</v>
      </c>
      <c r="Q513" t="n">
        <v>0</v>
      </c>
      <c r="R513" s="2" t="inlineStr"/>
    </row>
    <row r="514" ht="15" customHeight="1">
      <c r="A514" t="inlineStr">
        <is>
          <t>A 22795-2025</t>
        </is>
      </c>
      <c r="B514" s="1" t="n">
        <v>45789.65944444444</v>
      </c>
      <c r="C514" s="1" t="n">
        <v>46066</v>
      </c>
      <c r="D514" t="inlineStr">
        <is>
          <t>UPPSALA LÄN</t>
        </is>
      </c>
      <c r="E514" t="inlineStr">
        <is>
          <t>ENKÖPING</t>
        </is>
      </c>
      <c r="G514" t="n">
        <v>10.4</v>
      </c>
      <c r="H514" t="n">
        <v>0</v>
      </c>
      <c r="I514" t="n">
        <v>0</v>
      </c>
      <c r="J514" t="n">
        <v>0</v>
      </c>
      <c r="K514" t="n">
        <v>0</v>
      </c>
      <c r="L514" t="n">
        <v>0</v>
      </c>
      <c r="M514" t="n">
        <v>0</v>
      </c>
      <c r="N514" t="n">
        <v>0</v>
      </c>
      <c r="O514" t="n">
        <v>0</v>
      </c>
      <c r="P514" t="n">
        <v>0</v>
      </c>
      <c r="Q514" t="n">
        <v>0</v>
      </c>
      <c r="R514" s="2" t="inlineStr"/>
    </row>
    <row r="515" ht="15" customHeight="1">
      <c r="A515" t="inlineStr">
        <is>
          <t>A 22725-2025</t>
        </is>
      </c>
      <c r="B515" s="1" t="n">
        <v>45789.57371527778</v>
      </c>
      <c r="C515" s="1" t="n">
        <v>46066</v>
      </c>
      <c r="D515" t="inlineStr">
        <is>
          <t>UPPSALA LÄN</t>
        </is>
      </c>
      <c r="E515" t="inlineStr">
        <is>
          <t>ENKÖPING</t>
        </is>
      </c>
      <c r="G515" t="n">
        <v>4.8</v>
      </c>
      <c r="H515" t="n">
        <v>0</v>
      </c>
      <c r="I515" t="n">
        <v>0</v>
      </c>
      <c r="J515" t="n">
        <v>0</v>
      </c>
      <c r="K515" t="n">
        <v>0</v>
      </c>
      <c r="L515" t="n">
        <v>0</v>
      </c>
      <c r="M515" t="n">
        <v>0</v>
      </c>
      <c r="N515" t="n">
        <v>0</v>
      </c>
      <c r="O515" t="n">
        <v>0</v>
      </c>
      <c r="P515" t="n">
        <v>0</v>
      </c>
      <c r="Q515" t="n">
        <v>0</v>
      </c>
      <c r="R515" s="2" t="inlineStr"/>
    </row>
    <row r="516">
      <c r="A516" t="inlineStr">
        <is>
          <t>A 22981-2025</t>
        </is>
      </c>
      <c r="B516" s="1" t="n">
        <v>45790.56964120371</v>
      </c>
      <c r="C516" s="1" t="n">
        <v>46066</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2026-02-13T11:02:20Z</dcterms:created>
  <dcterms:modified xmlns:dcterms="http://purl.org/dc/terms/" xmlns:xsi="http://www.w3.org/2001/XMLSchema-instance" xsi:type="dcterms:W3CDTF">2026-02-13T11:02:21Z</dcterms:modified>
</cp:coreProperties>
</file>