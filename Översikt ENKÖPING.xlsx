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46176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46176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46176</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46176</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46176</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46176</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46176</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46176</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46176</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46176</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21810-2026</t>
        </is>
      </c>
      <c r="B14" s="1" t="n">
        <v>46150</v>
      </c>
      <c r="C14" s="1" t="n">
        <v>46176</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9147-2026</t>
        </is>
      </c>
      <c r="B15" s="1" t="n">
        <v>46070.30649305556</v>
      </c>
      <c r="C15" s="1" t="n">
        <v>46176</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46176</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46176</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46176</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46176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46176</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1524-2023</t>
        </is>
      </c>
      <c r="B22" s="1" t="n">
        <v>44935</v>
      </c>
      <c r="C22" s="1" t="n">
        <v>46176</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29510-2025</t>
        </is>
      </c>
      <c r="B23" s="1" t="n">
        <v>45825</v>
      </c>
      <c r="C23" s="1" t="n">
        <v>46176</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52439-2025</t>
        </is>
      </c>
      <c r="B24" s="1" t="n">
        <v>45954.40697916667</v>
      </c>
      <c r="C24" s="1" t="n">
        <v>46176</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28900-2024</t>
        </is>
      </c>
      <c r="B25" s="1" t="n">
        <v>45480</v>
      </c>
      <c r="C25" s="1" t="n">
        <v>46176</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46176</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Tallkötticka</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4166-2026</t>
        </is>
      </c>
      <c r="B27" s="1" t="n">
        <v>46044.66402777778</v>
      </c>
      <c r="C27" s="1" t="n">
        <v>46176</v>
      </c>
      <c r="D27" t="inlineStr">
        <is>
          <t>UPPSALA LÄN</t>
        </is>
      </c>
      <c r="E27" t="inlineStr">
        <is>
          <t>ENKÖPING</t>
        </is>
      </c>
      <c r="G27" t="n">
        <v>1.7</v>
      </c>
      <c r="H27" t="n">
        <v>1</v>
      </c>
      <c r="I27" t="n">
        <v>0</v>
      </c>
      <c r="J27" t="n">
        <v>1</v>
      </c>
      <c r="K27" t="n">
        <v>0</v>
      </c>
      <c r="L27" t="n">
        <v>0</v>
      </c>
      <c r="M27" t="n">
        <v>0</v>
      </c>
      <c r="N27" t="n">
        <v>0</v>
      </c>
      <c r="O27" t="n">
        <v>1</v>
      </c>
      <c r="P27" t="n">
        <v>0</v>
      </c>
      <c r="Q27" t="n">
        <v>1</v>
      </c>
      <c r="R27" s="2" t="inlineStr">
        <is>
          <t>Gulsparv</t>
        </is>
      </c>
      <c r="S27">
        <f>HYPERLINK("https://klasma.github.io/Logging_0381/artfynd/A 4166-2026 artfynd.xlsx", "A 4166-2026")</f>
        <v/>
      </c>
      <c r="T27">
        <f>HYPERLINK("https://klasma.github.io/Logging_0381/kartor/A 4166-2026 karta.png", "A 4166-2026")</f>
        <v/>
      </c>
      <c r="V27">
        <f>HYPERLINK("https://klasma.github.io/Logging_0381/klagomål/A 4166-2026 FSC-klagomål.docx", "A 4166-2026")</f>
        <v/>
      </c>
      <c r="W27">
        <f>HYPERLINK("https://klasma.github.io/Logging_0381/klagomålsmail/A 4166-2026 FSC-klagomål mail.docx", "A 4166-2026")</f>
        <v/>
      </c>
      <c r="X27">
        <f>HYPERLINK("https://klasma.github.io/Logging_0381/tillsyn/A 4166-2026 tillsynsbegäran.docx", "A 4166-2026")</f>
        <v/>
      </c>
      <c r="Y27">
        <f>HYPERLINK("https://klasma.github.io/Logging_0381/tillsynsmail/A 4166-2026 tillsynsbegäran mail.docx", "A 4166-2026")</f>
        <v/>
      </c>
      <c r="Z27">
        <f>HYPERLINK("https://klasma.github.io/Logging_0381/fåglar/A 4166-2026 prioriterade fågelarter.docx", "A 4166-2026")</f>
        <v/>
      </c>
    </row>
    <row r="28" ht="15" customHeight="1">
      <c r="A28" t="inlineStr">
        <is>
          <t>A 45116-2023</t>
        </is>
      </c>
      <c r="B28" s="1" t="n">
        <v>45191</v>
      </c>
      <c r="C28" s="1" t="n">
        <v>46176</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23961-2022</t>
        </is>
      </c>
      <c r="B29" s="1" t="n">
        <v>44722</v>
      </c>
      <c r="C29" s="1" t="n">
        <v>46176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46176</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46176</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46176</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46176</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46176</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46176</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57066-2021</t>
        </is>
      </c>
      <c r="B37" s="1" t="n">
        <v>44482.5663425926</v>
      </c>
      <c r="C37" s="1" t="n">
        <v>46176</v>
      </c>
      <c r="D37" t="inlineStr">
        <is>
          <t>UPPSALA LÄN</t>
        </is>
      </c>
      <c r="E37" t="inlineStr">
        <is>
          <t>ENKÖPING</t>
        </is>
      </c>
      <c r="G37" t="n">
        <v>1.5</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46176</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46176</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46176</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46176</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46176</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46176</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46176</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46176</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46176</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46176</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46176</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46176</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46176</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46176</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46176</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46176</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46176</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46176</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46176</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46176</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46176</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46176</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46176</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46176</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46176</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46176</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68107-2021</t>
        </is>
      </c>
      <c r="B65" s="1" t="n">
        <v>44526</v>
      </c>
      <c r="C65" s="1" t="n">
        <v>46176</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69791-2021</t>
        </is>
      </c>
      <c r="B66" s="1" t="n">
        <v>44532</v>
      </c>
      <c r="C66" s="1" t="n">
        <v>46176</v>
      </c>
      <c r="D66" t="inlineStr">
        <is>
          <t>UPPSALA LÄN</t>
        </is>
      </c>
      <c r="E66" t="inlineStr">
        <is>
          <t>ENKÖPING</t>
        </is>
      </c>
      <c r="G66" t="n">
        <v>0.8</v>
      </c>
      <c r="H66" t="n">
        <v>0</v>
      </c>
      <c r="I66" t="n">
        <v>0</v>
      </c>
      <c r="J66" t="n">
        <v>0</v>
      </c>
      <c r="K66" t="n">
        <v>0</v>
      </c>
      <c r="L66" t="n">
        <v>0</v>
      </c>
      <c r="M66" t="n">
        <v>0</v>
      </c>
      <c r="N66" t="n">
        <v>0</v>
      </c>
      <c r="O66" t="n">
        <v>0</v>
      </c>
      <c r="P66" t="n">
        <v>0</v>
      </c>
      <c r="Q66" t="n">
        <v>0</v>
      </c>
      <c r="R66" s="2" t="inlineStr"/>
    </row>
    <row r="67" ht="15" customHeight="1">
      <c r="A67" t="inlineStr">
        <is>
          <t>A 49375-2021</t>
        </is>
      </c>
      <c r="B67" s="1" t="n">
        <v>44454</v>
      </c>
      <c r="C67" s="1" t="n">
        <v>46176</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57055-2021</t>
        </is>
      </c>
      <c r="B68" s="1" t="n">
        <v>44482.55201388889</v>
      </c>
      <c r="C68" s="1" t="n">
        <v>46176</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60874-2021</t>
        </is>
      </c>
      <c r="B69" s="1" t="n">
        <v>44497</v>
      </c>
      <c r="C69" s="1" t="n">
        <v>46176</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15021-2022</t>
        </is>
      </c>
      <c r="B70" s="1" t="n">
        <v>44657</v>
      </c>
      <c r="C70" s="1" t="n">
        <v>46176</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31013-2022</t>
        </is>
      </c>
      <c r="B71" s="1" t="n">
        <v>44768</v>
      </c>
      <c r="C71" s="1" t="n">
        <v>46176</v>
      </c>
      <c r="D71" t="inlineStr">
        <is>
          <t>UPPSALA LÄN</t>
        </is>
      </c>
      <c r="E71" t="inlineStr">
        <is>
          <t>ENKÖPING</t>
        </is>
      </c>
      <c r="F71" t="inlineStr">
        <is>
          <t>Allmännings- och besparingsskogar</t>
        </is>
      </c>
      <c r="G71" t="n">
        <v>0.5</v>
      </c>
      <c r="H71" t="n">
        <v>0</v>
      </c>
      <c r="I71" t="n">
        <v>0</v>
      </c>
      <c r="J71" t="n">
        <v>0</v>
      </c>
      <c r="K71" t="n">
        <v>0</v>
      </c>
      <c r="L71" t="n">
        <v>0</v>
      </c>
      <c r="M71" t="n">
        <v>0</v>
      </c>
      <c r="N71" t="n">
        <v>0</v>
      </c>
      <c r="O71" t="n">
        <v>0</v>
      </c>
      <c r="P71" t="n">
        <v>0</v>
      </c>
      <c r="Q71" t="n">
        <v>0</v>
      </c>
      <c r="R71" s="2" t="inlineStr"/>
    </row>
    <row r="72" ht="15" customHeight="1">
      <c r="A72" t="inlineStr">
        <is>
          <t>A 42029-2021</t>
        </is>
      </c>
      <c r="B72" s="1" t="n">
        <v>44426</v>
      </c>
      <c r="C72" s="1" t="n">
        <v>46176</v>
      </c>
      <c r="D72" t="inlineStr">
        <is>
          <t>UPPSALA LÄN</t>
        </is>
      </c>
      <c r="E72" t="inlineStr">
        <is>
          <t>ENKÖPING</t>
        </is>
      </c>
      <c r="G72" t="n">
        <v>5.3</v>
      </c>
      <c r="H72" t="n">
        <v>0</v>
      </c>
      <c r="I72" t="n">
        <v>0</v>
      </c>
      <c r="J72" t="n">
        <v>0</v>
      </c>
      <c r="K72" t="n">
        <v>0</v>
      </c>
      <c r="L72" t="n">
        <v>0</v>
      </c>
      <c r="M72" t="n">
        <v>0</v>
      </c>
      <c r="N72" t="n">
        <v>0</v>
      </c>
      <c r="O72" t="n">
        <v>0</v>
      </c>
      <c r="P72" t="n">
        <v>0</v>
      </c>
      <c r="Q72" t="n">
        <v>0</v>
      </c>
      <c r="R72" s="2" t="inlineStr"/>
    </row>
    <row r="73" ht="15" customHeight="1">
      <c r="A73" t="inlineStr">
        <is>
          <t>A 1971-2022</t>
        </is>
      </c>
      <c r="B73" s="1" t="n">
        <v>44575</v>
      </c>
      <c r="C73" s="1" t="n">
        <v>46176</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46176</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46176</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19731-2022</t>
        </is>
      </c>
      <c r="B76" s="1" t="n">
        <v>44694</v>
      </c>
      <c r="C76" s="1" t="n">
        <v>46176</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47106-2021</t>
        </is>
      </c>
      <c r="B77" s="1" t="n">
        <v>44446</v>
      </c>
      <c r="C77" s="1" t="n">
        <v>46176</v>
      </c>
      <c r="D77" t="inlineStr">
        <is>
          <t>UPPSALA LÄN</t>
        </is>
      </c>
      <c r="E77" t="inlineStr">
        <is>
          <t>ENKÖPING</t>
        </is>
      </c>
      <c r="G77" t="n">
        <v>7.6</v>
      </c>
      <c r="H77" t="n">
        <v>0</v>
      </c>
      <c r="I77" t="n">
        <v>0</v>
      </c>
      <c r="J77" t="n">
        <v>0</v>
      </c>
      <c r="K77" t="n">
        <v>0</v>
      </c>
      <c r="L77" t="n">
        <v>0</v>
      </c>
      <c r="M77" t="n">
        <v>0</v>
      </c>
      <c r="N77" t="n">
        <v>0</v>
      </c>
      <c r="O77" t="n">
        <v>0</v>
      </c>
      <c r="P77" t="n">
        <v>0</v>
      </c>
      <c r="Q77" t="n">
        <v>0</v>
      </c>
      <c r="R77" s="2" t="inlineStr"/>
    </row>
    <row r="78" ht="15" customHeight="1">
      <c r="A78" t="inlineStr">
        <is>
          <t>A 57043-2021</t>
        </is>
      </c>
      <c r="B78" s="1" t="n">
        <v>44482.53399305556</v>
      </c>
      <c r="C78" s="1" t="n">
        <v>46176</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24883-2022</t>
        </is>
      </c>
      <c r="B79" s="1" t="n">
        <v>44728</v>
      </c>
      <c r="C79" s="1" t="n">
        <v>46176</v>
      </c>
      <c r="D79" t="inlineStr">
        <is>
          <t>UPPSALA LÄN</t>
        </is>
      </c>
      <c r="E79" t="inlineStr">
        <is>
          <t>ENKÖPING</t>
        </is>
      </c>
      <c r="G79" t="n">
        <v>2.5</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46176</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42021-2021</t>
        </is>
      </c>
      <c r="B81" s="1" t="n">
        <v>44426</v>
      </c>
      <c r="C81" s="1" t="n">
        <v>46176</v>
      </c>
      <c r="D81" t="inlineStr">
        <is>
          <t>UPPSALA LÄN</t>
        </is>
      </c>
      <c r="E81" t="inlineStr">
        <is>
          <t>ENKÖPING</t>
        </is>
      </c>
      <c r="G81" t="n">
        <v>2.2</v>
      </c>
      <c r="H81" t="n">
        <v>0</v>
      </c>
      <c r="I81" t="n">
        <v>0</v>
      </c>
      <c r="J81" t="n">
        <v>0</v>
      </c>
      <c r="K81" t="n">
        <v>0</v>
      </c>
      <c r="L81" t="n">
        <v>0</v>
      </c>
      <c r="M81" t="n">
        <v>0</v>
      </c>
      <c r="N81" t="n">
        <v>0</v>
      </c>
      <c r="O81" t="n">
        <v>0</v>
      </c>
      <c r="P81" t="n">
        <v>0</v>
      </c>
      <c r="Q81" t="n">
        <v>0</v>
      </c>
      <c r="R81" s="2" t="inlineStr"/>
    </row>
    <row r="82" ht="15" customHeight="1">
      <c r="A82" t="inlineStr">
        <is>
          <t>A 17467-2022</t>
        </is>
      </c>
      <c r="B82" s="1" t="n">
        <v>44679</v>
      </c>
      <c r="C82" s="1" t="n">
        <v>46176</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59121-2021</t>
        </is>
      </c>
      <c r="B83" s="1" t="n">
        <v>44490</v>
      </c>
      <c r="C83" s="1" t="n">
        <v>46176</v>
      </c>
      <c r="D83" t="inlineStr">
        <is>
          <t>UPPSALA LÄN</t>
        </is>
      </c>
      <c r="E83" t="inlineStr">
        <is>
          <t>ENKÖPING</t>
        </is>
      </c>
      <c r="G83" t="n">
        <v>2.4</v>
      </c>
      <c r="H83" t="n">
        <v>0</v>
      </c>
      <c r="I83" t="n">
        <v>0</v>
      </c>
      <c r="J83" t="n">
        <v>0</v>
      </c>
      <c r="K83" t="n">
        <v>0</v>
      </c>
      <c r="L83" t="n">
        <v>0</v>
      </c>
      <c r="M83" t="n">
        <v>0</v>
      </c>
      <c r="N83" t="n">
        <v>0</v>
      </c>
      <c r="O83" t="n">
        <v>0</v>
      </c>
      <c r="P83" t="n">
        <v>0</v>
      </c>
      <c r="Q83" t="n">
        <v>0</v>
      </c>
      <c r="R83" s="2" t="inlineStr"/>
    </row>
    <row r="84" ht="15" customHeight="1">
      <c r="A84" t="inlineStr">
        <is>
          <t>A 57078-2021</t>
        </is>
      </c>
      <c r="B84" s="1" t="n">
        <v>44482.57855324074</v>
      </c>
      <c r="C84" s="1" t="n">
        <v>46176</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24815-2022</t>
        </is>
      </c>
      <c r="B85" s="1" t="n">
        <v>44728</v>
      </c>
      <c r="C85" s="1" t="n">
        <v>46176</v>
      </c>
      <c r="D85" t="inlineStr">
        <is>
          <t>UPPSALA LÄN</t>
        </is>
      </c>
      <c r="E85" t="inlineStr">
        <is>
          <t>ENKÖPING</t>
        </is>
      </c>
      <c r="G85" t="n">
        <v>1.8</v>
      </c>
      <c r="H85" t="n">
        <v>0</v>
      </c>
      <c r="I85" t="n">
        <v>0</v>
      </c>
      <c r="J85" t="n">
        <v>0</v>
      </c>
      <c r="K85" t="n">
        <v>0</v>
      </c>
      <c r="L85" t="n">
        <v>0</v>
      </c>
      <c r="M85" t="n">
        <v>0</v>
      </c>
      <c r="N85" t="n">
        <v>0</v>
      </c>
      <c r="O85" t="n">
        <v>0</v>
      </c>
      <c r="P85" t="n">
        <v>0</v>
      </c>
      <c r="Q85" t="n">
        <v>0</v>
      </c>
      <c r="R85" s="2" t="inlineStr"/>
    </row>
    <row r="86" ht="15" customHeight="1">
      <c r="A86" t="inlineStr">
        <is>
          <t>A 29983-2021</t>
        </is>
      </c>
      <c r="B86" s="1" t="n">
        <v>44363</v>
      </c>
      <c r="C86" s="1" t="n">
        <v>46176</v>
      </c>
      <c r="D86" t="inlineStr">
        <is>
          <t>UPPSALA LÄN</t>
        </is>
      </c>
      <c r="E86" t="inlineStr">
        <is>
          <t>ENKÖPING</t>
        </is>
      </c>
      <c r="F86" t="inlineStr">
        <is>
          <t>Kommuner</t>
        </is>
      </c>
      <c r="G86" t="n">
        <v>3.1</v>
      </c>
      <c r="H86" t="n">
        <v>0</v>
      </c>
      <c r="I86" t="n">
        <v>0</v>
      </c>
      <c r="J86" t="n">
        <v>0</v>
      </c>
      <c r="K86" t="n">
        <v>0</v>
      </c>
      <c r="L86" t="n">
        <v>0</v>
      </c>
      <c r="M86" t="n">
        <v>0</v>
      </c>
      <c r="N86" t="n">
        <v>0</v>
      </c>
      <c r="O86" t="n">
        <v>0</v>
      </c>
      <c r="P86" t="n">
        <v>0</v>
      </c>
      <c r="Q86" t="n">
        <v>0</v>
      </c>
      <c r="R86" s="2" t="inlineStr"/>
    </row>
    <row r="87" ht="15" customHeight="1">
      <c r="A87" t="inlineStr">
        <is>
          <t>A 49063-2024</t>
        </is>
      </c>
      <c r="B87" s="1" t="n">
        <v>45594.59869212963</v>
      </c>
      <c r="C87" s="1" t="n">
        <v>46176</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50747-2022</t>
        </is>
      </c>
      <c r="B88" s="1" t="n">
        <v>44867.40162037037</v>
      </c>
      <c r="C88" s="1" t="n">
        <v>46176</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13853-2023</t>
        </is>
      </c>
      <c r="B89" s="1" t="n">
        <v>45007</v>
      </c>
      <c r="C89" s="1" t="n">
        <v>46176</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17657-2025</t>
        </is>
      </c>
      <c r="B90" s="1" t="n">
        <v>45758.35006944444</v>
      </c>
      <c r="C90" s="1" t="n">
        <v>46176</v>
      </c>
      <c r="D90" t="inlineStr">
        <is>
          <t>UPPSALA LÄN</t>
        </is>
      </c>
      <c r="E90" t="inlineStr">
        <is>
          <t>ENKÖPING</t>
        </is>
      </c>
      <c r="G90" t="n">
        <v>3</v>
      </c>
      <c r="H90" t="n">
        <v>0</v>
      </c>
      <c r="I90" t="n">
        <v>0</v>
      </c>
      <c r="J90" t="n">
        <v>0</v>
      </c>
      <c r="K90" t="n">
        <v>0</v>
      </c>
      <c r="L90" t="n">
        <v>0</v>
      </c>
      <c r="M90" t="n">
        <v>0</v>
      </c>
      <c r="N90" t="n">
        <v>0</v>
      </c>
      <c r="O90" t="n">
        <v>0</v>
      </c>
      <c r="P90" t="n">
        <v>0</v>
      </c>
      <c r="Q90" t="n">
        <v>0</v>
      </c>
      <c r="R90" s="2" t="inlineStr"/>
    </row>
    <row r="91" ht="15" customHeight="1">
      <c r="A91" t="inlineStr">
        <is>
          <t>A 49568-2022</t>
        </is>
      </c>
      <c r="B91" s="1" t="n">
        <v>44862.32791666667</v>
      </c>
      <c r="C91" s="1" t="n">
        <v>46176</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47681-2024</t>
        </is>
      </c>
      <c r="B92" s="1" t="n">
        <v>45588</v>
      </c>
      <c r="C92" s="1" t="n">
        <v>46176</v>
      </c>
      <c r="D92" t="inlineStr">
        <is>
          <t>UPPSALA LÄN</t>
        </is>
      </c>
      <c r="E92" t="inlineStr">
        <is>
          <t>ENKÖPING</t>
        </is>
      </c>
      <c r="G92" t="n">
        <v>4.2</v>
      </c>
      <c r="H92" t="n">
        <v>0</v>
      </c>
      <c r="I92" t="n">
        <v>0</v>
      </c>
      <c r="J92" t="n">
        <v>0</v>
      </c>
      <c r="K92" t="n">
        <v>0</v>
      </c>
      <c r="L92" t="n">
        <v>0</v>
      </c>
      <c r="M92" t="n">
        <v>0</v>
      </c>
      <c r="N92" t="n">
        <v>0</v>
      </c>
      <c r="O92" t="n">
        <v>0</v>
      </c>
      <c r="P92" t="n">
        <v>0</v>
      </c>
      <c r="Q92" t="n">
        <v>0</v>
      </c>
      <c r="R92" s="2" t="inlineStr"/>
    </row>
    <row r="93" ht="15" customHeight="1">
      <c r="A93" t="inlineStr">
        <is>
          <t>A 53496-2022</t>
        </is>
      </c>
      <c r="B93" s="1" t="n">
        <v>44879.57217592592</v>
      </c>
      <c r="C93" s="1" t="n">
        <v>46176</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15942-2022</t>
        </is>
      </c>
      <c r="B94" s="1" t="n">
        <v>44664</v>
      </c>
      <c r="C94" s="1" t="n">
        <v>46176</v>
      </c>
      <c r="D94" t="inlineStr">
        <is>
          <t>UPPSALA LÄN</t>
        </is>
      </c>
      <c r="E94" t="inlineStr">
        <is>
          <t>ENKÖPING</t>
        </is>
      </c>
      <c r="G94" t="n">
        <v>6.6</v>
      </c>
      <c r="H94" t="n">
        <v>0</v>
      </c>
      <c r="I94" t="n">
        <v>0</v>
      </c>
      <c r="J94" t="n">
        <v>0</v>
      </c>
      <c r="K94" t="n">
        <v>0</v>
      </c>
      <c r="L94" t="n">
        <v>0</v>
      </c>
      <c r="M94" t="n">
        <v>0</v>
      </c>
      <c r="N94" t="n">
        <v>0</v>
      </c>
      <c r="O94" t="n">
        <v>0</v>
      </c>
      <c r="P94" t="n">
        <v>0</v>
      </c>
      <c r="Q94" t="n">
        <v>0</v>
      </c>
      <c r="R94" s="2" t="inlineStr"/>
    </row>
    <row r="95" ht="15" customHeight="1">
      <c r="A95" t="inlineStr">
        <is>
          <t>A 2974-2025</t>
        </is>
      </c>
      <c r="B95" s="1" t="n">
        <v>45678.47168981482</v>
      </c>
      <c r="C95" s="1" t="n">
        <v>46176</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27786-2023</t>
        </is>
      </c>
      <c r="B96" s="1" t="n">
        <v>45098</v>
      </c>
      <c r="C96" s="1" t="n">
        <v>46176</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48864-2022</t>
        </is>
      </c>
      <c r="B97" s="1" t="n">
        <v>44859</v>
      </c>
      <c r="C97" s="1" t="n">
        <v>46176</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10468-2025</t>
        </is>
      </c>
      <c r="B98" s="1" t="n">
        <v>45720</v>
      </c>
      <c r="C98" s="1" t="n">
        <v>46176</v>
      </c>
      <c r="D98" t="inlineStr">
        <is>
          <t>UPPSALA LÄN</t>
        </is>
      </c>
      <c r="E98" t="inlineStr">
        <is>
          <t>ENKÖPING</t>
        </is>
      </c>
      <c r="G98" t="n">
        <v>1.6</v>
      </c>
      <c r="H98" t="n">
        <v>0</v>
      </c>
      <c r="I98" t="n">
        <v>0</v>
      </c>
      <c r="J98" t="n">
        <v>0</v>
      </c>
      <c r="K98" t="n">
        <v>0</v>
      </c>
      <c r="L98" t="n">
        <v>0</v>
      </c>
      <c r="M98" t="n">
        <v>0</v>
      </c>
      <c r="N98" t="n">
        <v>0</v>
      </c>
      <c r="O98" t="n">
        <v>0</v>
      </c>
      <c r="P98" t="n">
        <v>0</v>
      </c>
      <c r="Q98" t="n">
        <v>0</v>
      </c>
      <c r="R98" s="2" t="inlineStr"/>
    </row>
    <row r="99" ht="15" customHeight="1">
      <c r="A99" t="inlineStr">
        <is>
          <t>A 5211-2024</t>
        </is>
      </c>
      <c r="B99" s="1" t="n">
        <v>45330</v>
      </c>
      <c r="C99" s="1" t="n">
        <v>46176</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6242-2025</t>
        </is>
      </c>
      <c r="B100" s="1" t="n">
        <v>45697</v>
      </c>
      <c r="C100" s="1" t="n">
        <v>46176</v>
      </c>
      <c r="D100" t="inlineStr">
        <is>
          <t>UPPSALA LÄN</t>
        </is>
      </c>
      <c r="E100" t="inlineStr">
        <is>
          <t>ENKÖPING</t>
        </is>
      </c>
      <c r="G100" t="n">
        <v>17.9</v>
      </c>
      <c r="H100" t="n">
        <v>0</v>
      </c>
      <c r="I100" t="n">
        <v>0</v>
      </c>
      <c r="J100" t="n">
        <v>0</v>
      </c>
      <c r="K100" t="n">
        <v>0</v>
      </c>
      <c r="L100" t="n">
        <v>0</v>
      </c>
      <c r="M100" t="n">
        <v>0</v>
      </c>
      <c r="N100" t="n">
        <v>0</v>
      </c>
      <c r="O100" t="n">
        <v>0</v>
      </c>
      <c r="P100" t="n">
        <v>0</v>
      </c>
      <c r="Q100" t="n">
        <v>0</v>
      </c>
      <c r="R100" s="2" t="inlineStr"/>
    </row>
    <row r="101" ht="15" customHeight="1">
      <c r="A101" t="inlineStr">
        <is>
          <t>A 10409-2025</t>
        </is>
      </c>
      <c r="B101" s="1" t="n">
        <v>45720.631875</v>
      </c>
      <c r="C101" s="1" t="n">
        <v>46176</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42459-2024</t>
        </is>
      </c>
      <c r="B102" s="1" t="n">
        <v>45565</v>
      </c>
      <c r="C102" s="1" t="n">
        <v>46176</v>
      </c>
      <c r="D102" t="inlineStr">
        <is>
          <t>UPPSALA LÄN</t>
        </is>
      </c>
      <c r="E102" t="inlineStr">
        <is>
          <t>ENKÖPING</t>
        </is>
      </c>
      <c r="G102" t="n">
        <v>3.6</v>
      </c>
      <c r="H102" t="n">
        <v>0</v>
      </c>
      <c r="I102" t="n">
        <v>0</v>
      </c>
      <c r="J102" t="n">
        <v>0</v>
      </c>
      <c r="K102" t="n">
        <v>0</v>
      </c>
      <c r="L102" t="n">
        <v>0</v>
      </c>
      <c r="M102" t="n">
        <v>0</v>
      </c>
      <c r="N102" t="n">
        <v>0</v>
      </c>
      <c r="O102" t="n">
        <v>0</v>
      </c>
      <c r="P102" t="n">
        <v>0</v>
      </c>
      <c r="Q102" t="n">
        <v>0</v>
      </c>
      <c r="R102" s="2" t="inlineStr"/>
    </row>
    <row r="103" ht="15" customHeight="1">
      <c r="A103" t="inlineStr">
        <is>
          <t>A 18299-2025</t>
        </is>
      </c>
      <c r="B103" s="1" t="n">
        <v>45762</v>
      </c>
      <c r="C103" s="1" t="n">
        <v>46176</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21686-2022</t>
        </is>
      </c>
      <c r="B104" s="1" t="n">
        <v>44707</v>
      </c>
      <c r="C104" s="1" t="n">
        <v>46176</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6172-2023</t>
        </is>
      </c>
      <c r="B105" s="1" t="n">
        <v>44964.68663194445</v>
      </c>
      <c r="C105" s="1" t="n">
        <v>46176</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18831-2023</t>
        </is>
      </c>
      <c r="B106" s="1" t="n">
        <v>45044.40798611111</v>
      </c>
      <c r="C106" s="1" t="n">
        <v>46176</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14402-2023</t>
        </is>
      </c>
      <c r="B107" s="1" t="n">
        <v>45012</v>
      </c>
      <c r="C107" s="1" t="n">
        <v>46176</v>
      </c>
      <c r="D107" t="inlineStr">
        <is>
          <t>UPPSALA LÄN</t>
        </is>
      </c>
      <c r="E107" t="inlineStr">
        <is>
          <t>ENKÖPING</t>
        </is>
      </c>
      <c r="G107" t="n">
        <v>9.5</v>
      </c>
      <c r="H107" t="n">
        <v>0</v>
      </c>
      <c r="I107" t="n">
        <v>0</v>
      </c>
      <c r="J107" t="n">
        <v>0</v>
      </c>
      <c r="K107" t="n">
        <v>0</v>
      </c>
      <c r="L107" t="n">
        <v>0</v>
      </c>
      <c r="M107" t="n">
        <v>0</v>
      </c>
      <c r="N107" t="n">
        <v>0</v>
      </c>
      <c r="O107" t="n">
        <v>0</v>
      </c>
      <c r="P107" t="n">
        <v>0</v>
      </c>
      <c r="Q107" t="n">
        <v>0</v>
      </c>
      <c r="R107" s="2" t="inlineStr"/>
    </row>
    <row r="108" ht="15" customHeight="1">
      <c r="A108" t="inlineStr">
        <is>
          <t>A 27983-2024</t>
        </is>
      </c>
      <c r="B108" s="1" t="n">
        <v>45476</v>
      </c>
      <c r="C108" s="1" t="n">
        <v>46176</v>
      </c>
      <c r="D108" t="inlineStr">
        <is>
          <t>UPPSALA LÄN</t>
        </is>
      </c>
      <c r="E108" t="inlineStr">
        <is>
          <t>ENKÖPING</t>
        </is>
      </c>
      <c r="G108" t="n">
        <v>3.2</v>
      </c>
      <c r="H108" t="n">
        <v>0</v>
      </c>
      <c r="I108" t="n">
        <v>0</v>
      </c>
      <c r="J108" t="n">
        <v>0</v>
      </c>
      <c r="K108" t="n">
        <v>0</v>
      </c>
      <c r="L108" t="n">
        <v>0</v>
      </c>
      <c r="M108" t="n">
        <v>0</v>
      </c>
      <c r="N108" t="n">
        <v>0</v>
      </c>
      <c r="O108" t="n">
        <v>0</v>
      </c>
      <c r="P108" t="n">
        <v>0</v>
      </c>
      <c r="Q108" t="n">
        <v>0</v>
      </c>
      <c r="R108" s="2" t="inlineStr"/>
    </row>
    <row r="109" ht="15" customHeight="1">
      <c r="A109" t="inlineStr">
        <is>
          <t>A 19298-2023</t>
        </is>
      </c>
      <c r="B109" s="1" t="n">
        <v>45048</v>
      </c>
      <c r="C109" s="1" t="n">
        <v>46176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43697-2024</t>
        </is>
      </c>
      <c r="B110" s="1" t="n">
        <v>45569</v>
      </c>
      <c r="C110" s="1" t="n">
        <v>46176</v>
      </c>
      <c r="D110" t="inlineStr">
        <is>
          <t>UPPSALA LÄN</t>
        </is>
      </c>
      <c r="E110" t="inlineStr">
        <is>
          <t>ENKÖPING</t>
        </is>
      </c>
      <c r="G110" t="n">
        <v>2.1</v>
      </c>
      <c r="H110" t="n">
        <v>0</v>
      </c>
      <c r="I110" t="n">
        <v>0</v>
      </c>
      <c r="J110" t="n">
        <v>0</v>
      </c>
      <c r="K110" t="n">
        <v>0</v>
      </c>
      <c r="L110" t="n">
        <v>0</v>
      </c>
      <c r="M110" t="n">
        <v>0</v>
      </c>
      <c r="N110" t="n">
        <v>0</v>
      </c>
      <c r="O110" t="n">
        <v>0</v>
      </c>
      <c r="P110" t="n">
        <v>0</v>
      </c>
      <c r="Q110" t="n">
        <v>0</v>
      </c>
      <c r="R110" s="2" t="inlineStr"/>
    </row>
    <row r="111" ht="15" customHeight="1">
      <c r="A111" t="inlineStr">
        <is>
          <t>A 15939-2022</t>
        </is>
      </c>
      <c r="B111" s="1" t="n">
        <v>44664</v>
      </c>
      <c r="C111" s="1" t="n">
        <v>46176</v>
      </c>
      <c r="D111" t="inlineStr">
        <is>
          <t>UPPSALA LÄN</t>
        </is>
      </c>
      <c r="E111" t="inlineStr">
        <is>
          <t>ENKÖPING</t>
        </is>
      </c>
      <c r="G111" t="n">
        <v>2</v>
      </c>
      <c r="H111" t="n">
        <v>0</v>
      </c>
      <c r="I111" t="n">
        <v>0</v>
      </c>
      <c r="J111" t="n">
        <v>0</v>
      </c>
      <c r="K111" t="n">
        <v>0</v>
      </c>
      <c r="L111" t="n">
        <v>0</v>
      </c>
      <c r="M111" t="n">
        <v>0</v>
      </c>
      <c r="N111" t="n">
        <v>0</v>
      </c>
      <c r="O111" t="n">
        <v>0</v>
      </c>
      <c r="P111" t="n">
        <v>0</v>
      </c>
      <c r="Q111" t="n">
        <v>0</v>
      </c>
      <c r="R111" s="2" t="inlineStr"/>
    </row>
    <row r="112" ht="15" customHeight="1">
      <c r="A112" t="inlineStr">
        <is>
          <t>A 41826-2024</t>
        </is>
      </c>
      <c r="B112" s="1" t="n">
        <v>45561</v>
      </c>
      <c r="C112" s="1" t="n">
        <v>46176</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57153-2021</t>
        </is>
      </c>
      <c r="B113" s="1" t="n">
        <v>44482</v>
      </c>
      <c r="C113" s="1" t="n">
        <v>46176</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42589-2022</t>
        </is>
      </c>
      <c r="B114" s="1" t="n">
        <v>44831</v>
      </c>
      <c r="C114" s="1" t="n">
        <v>46176</v>
      </c>
      <c r="D114" t="inlineStr">
        <is>
          <t>UPPSALA LÄN</t>
        </is>
      </c>
      <c r="E114" t="inlineStr">
        <is>
          <t>ENKÖPING</t>
        </is>
      </c>
      <c r="G114" t="n">
        <v>20</v>
      </c>
      <c r="H114" t="n">
        <v>0</v>
      </c>
      <c r="I114" t="n">
        <v>0</v>
      </c>
      <c r="J114" t="n">
        <v>0</v>
      </c>
      <c r="K114" t="n">
        <v>0</v>
      </c>
      <c r="L114" t="n">
        <v>0</v>
      </c>
      <c r="M114" t="n">
        <v>0</v>
      </c>
      <c r="N114" t="n">
        <v>0</v>
      </c>
      <c r="O114" t="n">
        <v>0</v>
      </c>
      <c r="P114" t="n">
        <v>0</v>
      </c>
      <c r="Q114" t="n">
        <v>0</v>
      </c>
      <c r="R114" s="2" t="inlineStr"/>
    </row>
    <row r="115" ht="15" customHeight="1">
      <c r="A115" t="inlineStr">
        <is>
          <t>A 45283-2022</t>
        </is>
      </c>
      <c r="B115" s="1" t="n">
        <v>44844</v>
      </c>
      <c r="C115" s="1" t="n">
        <v>46176</v>
      </c>
      <c r="D115" t="inlineStr">
        <is>
          <t>UPPSALA LÄN</t>
        </is>
      </c>
      <c r="E115" t="inlineStr">
        <is>
          <t>ENKÖPING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840-2025</t>
        </is>
      </c>
      <c r="B116" s="1" t="n">
        <v>45665</v>
      </c>
      <c r="C116" s="1" t="n">
        <v>46176</v>
      </c>
      <c r="D116" t="inlineStr">
        <is>
          <t>UPPSALA LÄN</t>
        </is>
      </c>
      <c r="E116" t="inlineStr">
        <is>
          <t>ENKÖPING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37115-2024</t>
        </is>
      </c>
      <c r="B117" s="1" t="n">
        <v>45539</v>
      </c>
      <c r="C117" s="1" t="n">
        <v>46176</v>
      </c>
      <c r="D117" t="inlineStr">
        <is>
          <t>UPPSALA LÄN</t>
        </is>
      </c>
      <c r="E117" t="inlineStr">
        <is>
          <t>ENKÖPING</t>
        </is>
      </c>
      <c r="G117" t="n">
        <v>1.8</v>
      </c>
      <c r="H117" t="n">
        <v>0</v>
      </c>
      <c r="I117" t="n">
        <v>0</v>
      </c>
      <c r="J117" t="n">
        <v>0</v>
      </c>
      <c r="K117" t="n">
        <v>0</v>
      </c>
      <c r="L117" t="n">
        <v>0</v>
      </c>
      <c r="M117" t="n">
        <v>0</v>
      </c>
      <c r="N117" t="n">
        <v>0</v>
      </c>
      <c r="O117" t="n">
        <v>0</v>
      </c>
      <c r="P117" t="n">
        <v>0</v>
      </c>
      <c r="Q117" t="n">
        <v>0</v>
      </c>
      <c r="R117" s="2" t="inlineStr"/>
    </row>
    <row r="118" ht="15" customHeight="1">
      <c r="A118" t="inlineStr">
        <is>
          <t>A 45142-2023</t>
        </is>
      </c>
      <c r="B118" s="1" t="n">
        <v>45191.4702662037</v>
      </c>
      <c r="C118" s="1" t="n">
        <v>46176</v>
      </c>
      <c r="D118" t="inlineStr">
        <is>
          <t>UPPSALA LÄN</t>
        </is>
      </c>
      <c r="E118" t="inlineStr">
        <is>
          <t>ENKÖPING</t>
        </is>
      </c>
      <c r="G118" t="n">
        <v>1.8</v>
      </c>
      <c r="H118" t="n">
        <v>0</v>
      </c>
      <c r="I118" t="n">
        <v>0</v>
      </c>
      <c r="J118" t="n">
        <v>0</v>
      </c>
      <c r="K118" t="n">
        <v>0</v>
      </c>
      <c r="L118" t="n">
        <v>0</v>
      </c>
      <c r="M118" t="n">
        <v>0</v>
      </c>
      <c r="N118" t="n">
        <v>0</v>
      </c>
      <c r="O118" t="n">
        <v>0</v>
      </c>
      <c r="P118" t="n">
        <v>0</v>
      </c>
      <c r="Q118" t="n">
        <v>0</v>
      </c>
      <c r="R118" s="2" t="inlineStr"/>
    </row>
    <row r="119" ht="15" customHeight="1">
      <c r="A119" t="inlineStr">
        <is>
          <t>A 11918-2025</t>
        </is>
      </c>
      <c r="B119" s="1" t="n">
        <v>45728.49331018519</v>
      </c>
      <c r="C119" s="1" t="n">
        <v>46176</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31242-2024</t>
        </is>
      </c>
      <c r="B120" s="1" t="n">
        <v>45503</v>
      </c>
      <c r="C120" s="1" t="n">
        <v>46176</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845-2025</t>
        </is>
      </c>
      <c r="B121" s="1" t="n">
        <v>45665</v>
      </c>
      <c r="C121" s="1" t="n">
        <v>46176</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849-2025</t>
        </is>
      </c>
      <c r="B122" s="1" t="n">
        <v>45665</v>
      </c>
      <c r="C122" s="1" t="n">
        <v>46176</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35647-2021</t>
        </is>
      </c>
      <c r="B123" s="1" t="n">
        <v>44386</v>
      </c>
      <c r="C123" s="1" t="n">
        <v>46176</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62158-2023</t>
        </is>
      </c>
      <c r="B124" s="1" t="n">
        <v>45267</v>
      </c>
      <c r="C124" s="1" t="n">
        <v>46176</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60350-2022</t>
        </is>
      </c>
      <c r="B125" s="1" t="n">
        <v>44910</v>
      </c>
      <c r="C125" s="1" t="n">
        <v>46176</v>
      </c>
      <c r="D125" t="inlineStr">
        <is>
          <t>UPPSALA LÄN</t>
        </is>
      </c>
      <c r="E125" t="inlineStr">
        <is>
          <t>ENKÖPING</t>
        </is>
      </c>
      <c r="F125" t="inlineStr">
        <is>
          <t>Allmännings- och besparingsskogar</t>
        </is>
      </c>
      <c r="G125" t="n">
        <v>3.5</v>
      </c>
      <c r="H125" t="n">
        <v>0</v>
      </c>
      <c r="I125" t="n">
        <v>0</v>
      </c>
      <c r="J125" t="n">
        <v>0</v>
      </c>
      <c r="K125" t="n">
        <v>0</v>
      </c>
      <c r="L125" t="n">
        <v>0</v>
      </c>
      <c r="M125" t="n">
        <v>0</v>
      </c>
      <c r="N125" t="n">
        <v>0</v>
      </c>
      <c r="O125" t="n">
        <v>0</v>
      </c>
      <c r="P125" t="n">
        <v>0</v>
      </c>
      <c r="Q125" t="n">
        <v>0</v>
      </c>
      <c r="R125" s="2" t="inlineStr"/>
    </row>
    <row r="126" ht="15" customHeight="1">
      <c r="A126" t="inlineStr">
        <is>
          <t>A 10458-2022</t>
        </is>
      </c>
      <c r="B126" s="1" t="n">
        <v>44623.56711805556</v>
      </c>
      <c r="C126" s="1" t="n">
        <v>46176</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63402-2023</t>
        </is>
      </c>
      <c r="B127" s="1" t="n">
        <v>45274.50646990741</v>
      </c>
      <c r="C127" s="1" t="n">
        <v>46176</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44115-2024</t>
        </is>
      </c>
      <c r="B128" s="1" t="n">
        <v>45572</v>
      </c>
      <c r="C128" s="1" t="n">
        <v>46176</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9957-2023</t>
        </is>
      </c>
      <c r="B129" s="1" t="n">
        <v>44978</v>
      </c>
      <c r="C129" s="1" t="n">
        <v>46176</v>
      </c>
      <c r="D129" t="inlineStr">
        <is>
          <t>UPPSALA LÄN</t>
        </is>
      </c>
      <c r="E129" t="inlineStr">
        <is>
          <t>ENKÖPING</t>
        </is>
      </c>
      <c r="G129" t="n">
        <v>5.9</v>
      </c>
      <c r="H129" t="n">
        <v>0</v>
      </c>
      <c r="I129" t="n">
        <v>0</v>
      </c>
      <c r="J129" t="n">
        <v>0</v>
      </c>
      <c r="K129" t="n">
        <v>0</v>
      </c>
      <c r="L129" t="n">
        <v>0</v>
      </c>
      <c r="M129" t="n">
        <v>0</v>
      </c>
      <c r="N129" t="n">
        <v>0</v>
      </c>
      <c r="O129" t="n">
        <v>0</v>
      </c>
      <c r="P129" t="n">
        <v>0</v>
      </c>
      <c r="Q129" t="n">
        <v>0</v>
      </c>
      <c r="R129" s="2" t="inlineStr"/>
    </row>
    <row r="130" ht="15" customHeight="1">
      <c r="A130" t="inlineStr">
        <is>
          <t>A 16916-2023</t>
        </is>
      </c>
      <c r="B130" s="1" t="n">
        <v>45033.58347222222</v>
      </c>
      <c r="C130" s="1" t="n">
        <v>46176</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56886-2023</t>
        </is>
      </c>
      <c r="B131" s="1" t="n">
        <v>45239</v>
      </c>
      <c r="C131" s="1" t="n">
        <v>46176</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6356-2022</t>
        </is>
      </c>
      <c r="B132" s="1" t="n">
        <v>44600</v>
      </c>
      <c r="C132" s="1" t="n">
        <v>46176</v>
      </c>
      <c r="D132" t="inlineStr">
        <is>
          <t>UPPSALA LÄN</t>
        </is>
      </c>
      <c r="E132" t="inlineStr">
        <is>
          <t>ENKÖPING</t>
        </is>
      </c>
      <c r="G132" t="n">
        <v>1.2</v>
      </c>
      <c r="H132" t="n">
        <v>0</v>
      </c>
      <c r="I132" t="n">
        <v>0</v>
      </c>
      <c r="J132" t="n">
        <v>0</v>
      </c>
      <c r="K132" t="n">
        <v>0</v>
      </c>
      <c r="L132" t="n">
        <v>0</v>
      </c>
      <c r="M132" t="n">
        <v>0</v>
      </c>
      <c r="N132" t="n">
        <v>0</v>
      </c>
      <c r="O132" t="n">
        <v>0</v>
      </c>
      <c r="P132" t="n">
        <v>0</v>
      </c>
      <c r="Q132" t="n">
        <v>0</v>
      </c>
      <c r="R132" s="2" t="inlineStr"/>
    </row>
    <row r="133" ht="15" customHeight="1">
      <c r="A133" t="inlineStr">
        <is>
          <t>A 49614-2024</t>
        </is>
      </c>
      <c r="B133" s="1" t="n">
        <v>45596.57716435185</v>
      </c>
      <c r="C133" s="1" t="n">
        <v>46176</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49632-2024</t>
        </is>
      </c>
      <c r="B134" s="1" t="n">
        <v>45596</v>
      </c>
      <c r="C134" s="1" t="n">
        <v>46176</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29479-2022</t>
        </is>
      </c>
      <c r="B135" s="1" t="n">
        <v>44753.57265046296</v>
      </c>
      <c r="C135" s="1" t="n">
        <v>46176</v>
      </c>
      <c r="D135" t="inlineStr">
        <is>
          <t>UPPSALA LÄN</t>
        </is>
      </c>
      <c r="E135" t="inlineStr">
        <is>
          <t>ENKÖPING</t>
        </is>
      </c>
      <c r="G135" t="n">
        <v>0.9</v>
      </c>
      <c r="H135" t="n">
        <v>0</v>
      </c>
      <c r="I135" t="n">
        <v>0</v>
      </c>
      <c r="J135" t="n">
        <v>0</v>
      </c>
      <c r="K135" t="n">
        <v>0</v>
      </c>
      <c r="L135" t="n">
        <v>0</v>
      </c>
      <c r="M135" t="n">
        <v>0</v>
      </c>
      <c r="N135" t="n">
        <v>0</v>
      </c>
      <c r="O135" t="n">
        <v>0</v>
      </c>
      <c r="P135" t="n">
        <v>0</v>
      </c>
      <c r="Q135" t="n">
        <v>0</v>
      </c>
      <c r="R135" s="2" t="inlineStr"/>
    </row>
    <row r="136" ht="15" customHeight="1">
      <c r="A136" t="inlineStr">
        <is>
          <t>A 15740-2025</t>
        </is>
      </c>
      <c r="B136" s="1" t="n">
        <v>45748</v>
      </c>
      <c r="C136" s="1" t="n">
        <v>46176</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56176-2021</t>
        </is>
      </c>
      <c r="B137" s="1" t="n">
        <v>44477</v>
      </c>
      <c r="C137" s="1" t="n">
        <v>46176</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27538-2023</t>
        </is>
      </c>
      <c r="B138" s="1" t="n">
        <v>45097</v>
      </c>
      <c r="C138" s="1" t="n">
        <v>46176</v>
      </c>
      <c r="D138" t="inlineStr">
        <is>
          <t>UPPSALA LÄN</t>
        </is>
      </c>
      <c r="E138" t="inlineStr">
        <is>
          <t>ENKÖPING</t>
        </is>
      </c>
      <c r="G138" t="n">
        <v>5.8</v>
      </c>
      <c r="H138" t="n">
        <v>0</v>
      </c>
      <c r="I138" t="n">
        <v>0</v>
      </c>
      <c r="J138" t="n">
        <v>0</v>
      </c>
      <c r="K138" t="n">
        <v>0</v>
      </c>
      <c r="L138" t="n">
        <v>0</v>
      </c>
      <c r="M138" t="n">
        <v>0</v>
      </c>
      <c r="N138" t="n">
        <v>0</v>
      </c>
      <c r="O138" t="n">
        <v>0</v>
      </c>
      <c r="P138" t="n">
        <v>0</v>
      </c>
      <c r="Q138" t="n">
        <v>0</v>
      </c>
      <c r="R138" s="2" t="inlineStr"/>
    </row>
    <row r="139" ht="15" customHeight="1">
      <c r="A139" t="inlineStr">
        <is>
          <t>A 15409-2025</t>
        </is>
      </c>
      <c r="B139" s="1" t="n">
        <v>45747</v>
      </c>
      <c r="C139" s="1" t="n">
        <v>46176</v>
      </c>
      <c r="D139" t="inlineStr">
        <is>
          <t>UPPSALA LÄN</t>
        </is>
      </c>
      <c r="E139" t="inlineStr">
        <is>
          <t>ENKÖPING</t>
        </is>
      </c>
      <c r="G139" t="n">
        <v>2.5</v>
      </c>
      <c r="H139" t="n">
        <v>0</v>
      </c>
      <c r="I139" t="n">
        <v>0</v>
      </c>
      <c r="J139" t="n">
        <v>0</v>
      </c>
      <c r="K139" t="n">
        <v>0</v>
      </c>
      <c r="L139" t="n">
        <v>0</v>
      </c>
      <c r="M139" t="n">
        <v>0</v>
      </c>
      <c r="N139" t="n">
        <v>0</v>
      </c>
      <c r="O139" t="n">
        <v>0</v>
      </c>
      <c r="P139" t="n">
        <v>0</v>
      </c>
      <c r="Q139" t="n">
        <v>0</v>
      </c>
      <c r="R139" s="2" t="inlineStr"/>
    </row>
    <row r="140" ht="15" customHeight="1">
      <c r="A140" t="inlineStr">
        <is>
          <t>A 60874-2023</t>
        </is>
      </c>
      <c r="B140" s="1" t="n">
        <v>45261.06280092592</v>
      </c>
      <c r="C140" s="1" t="n">
        <v>46176</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12411-2026</t>
        </is>
      </c>
      <c r="B141" s="1" t="n">
        <v>46090.42670138889</v>
      </c>
      <c r="C141" s="1" t="n">
        <v>46176</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5953-2026</t>
        </is>
      </c>
      <c r="B142" s="1" t="n">
        <v>46052.49119212963</v>
      </c>
      <c r="C142" s="1" t="n">
        <v>46176</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50394-2024</t>
        </is>
      </c>
      <c r="B143" s="1" t="n">
        <v>45600</v>
      </c>
      <c r="C143" s="1" t="n">
        <v>46176</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18994-2025</t>
        </is>
      </c>
      <c r="B144" s="1" t="n">
        <v>45764.57350694444</v>
      </c>
      <c r="C144" s="1" t="n">
        <v>46176</v>
      </c>
      <c r="D144" t="inlineStr">
        <is>
          <t>UPPSALA LÄN</t>
        </is>
      </c>
      <c r="E144" t="inlineStr">
        <is>
          <t>ENKÖPING</t>
        </is>
      </c>
      <c r="G144" t="n">
        <v>3.8</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46176</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12996-2026</t>
        </is>
      </c>
      <c r="B146" s="1" t="n">
        <v>46092.68149305556</v>
      </c>
      <c r="C146" s="1" t="n">
        <v>46176</v>
      </c>
      <c r="D146" t="inlineStr">
        <is>
          <t>UPPSALA LÄN</t>
        </is>
      </c>
      <c r="E146" t="inlineStr">
        <is>
          <t>ENKÖPING</t>
        </is>
      </c>
      <c r="G146" t="n">
        <v>2</v>
      </c>
      <c r="H146" t="n">
        <v>0</v>
      </c>
      <c r="I146" t="n">
        <v>0</v>
      </c>
      <c r="J146" t="n">
        <v>0</v>
      </c>
      <c r="K146" t="n">
        <v>0</v>
      </c>
      <c r="L146" t="n">
        <v>0</v>
      </c>
      <c r="M146" t="n">
        <v>0</v>
      </c>
      <c r="N146" t="n">
        <v>0</v>
      </c>
      <c r="O146" t="n">
        <v>0</v>
      </c>
      <c r="P146" t="n">
        <v>0</v>
      </c>
      <c r="Q146" t="n">
        <v>0</v>
      </c>
      <c r="R146" s="2" t="inlineStr"/>
    </row>
    <row r="147" ht="15" customHeight="1">
      <c r="A147" t="inlineStr">
        <is>
          <t>A 57848-2024</t>
        </is>
      </c>
      <c r="B147" s="1" t="n">
        <v>45631.40947916666</v>
      </c>
      <c r="C147" s="1" t="n">
        <v>46176</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49601-2024</t>
        </is>
      </c>
      <c r="B148" s="1" t="n">
        <v>45596.56288194445</v>
      </c>
      <c r="C148" s="1" t="n">
        <v>46176</v>
      </c>
      <c r="D148" t="inlineStr">
        <is>
          <t>UPPSALA LÄN</t>
        </is>
      </c>
      <c r="E148" t="inlineStr">
        <is>
          <t>ENKÖPING</t>
        </is>
      </c>
      <c r="G148" t="n">
        <v>1.1</v>
      </c>
      <c r="H148" t="n">
        <v>0</v>
      </c>
      <c r="I148" t="n">
        <v>0</v>
      </c>
      <c r="J148" t="n">
        <v>0</v>
      </c>
      <c r="K148" t="n">
        <v>0</v>
      </c>
      <c r="L148" t="n">
        <v>0</v>
      </c>
      <c r="M148" t="n">
        <v>0</v>
      </c>
      <c r="N148" t="n">
        <v>0</v>
      </c>
      <c r="O148" t="n">
        <v>0</v>
      </c>
      <c r="P148" t="n">
        <v>0</v>
      </c>
      <c r="Q148" t="n">
        <v>0</v>
      </c>
      <c r="R148" s="2" t="inlineStr"/>
    </row>
    <row r="149" ht="15" customHeight="1">
      <c r="A149" t="inlineStr">
        <is>
          <t>A 12997-2026</t>
        </is>
      </c>
      <c r="B149" s="1" t="n">
        <v>46092.6834375</v>
      </c>
      <c r="C149" s="1" t="n">
        <v>46176</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51010-2024</t>
        </is>
      </c>
      <c r="B150" s="1" t="n">
        <v>45603.39285879629</v>
      </c>
      <c r="C150" s="1" t="n">
        <v>46176</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29513-2025</t>
        </is>
      </c>
      <c r="B151" s="1" t="n">
        <v>45825</v>
      </c>
      <c r="C151" s="1" t="n">
        <v>46176</v>
      </c>
      <c r="D151" t="inlineStr">
        <is>
          <t>UPPSALA LÄN</t>
        </is>
      </c>
      <c r="E151" t="inlineStr">
        <is>
          <t>ENKÖPING</t>
        </is>
      </c>
      <c r="G151" t="n">
        <v>2.6</v>
      </c>
      <c r="H151" t="n">
        <v>0</v>
      </c>
      <c r="I151" t="n">
        <v>0</v>
      </c>
      <c r="J151" t="n">
        <v>0</v>
      </c>
      <c r="K151" t="n">
        <v>0</v>
      </c>
      <c r="L151" t="n">
        <v>0</v>
      </c>
      <c r="M151" t="n">
        <v>0</v>
      </c>
      <c r="N151" t="n">
        <v>0</v>
      </c>
      <c r="O151" t="n">
        <v>0</v>
      </c>
      <c r="P151" t="n">
        <v>0</v>
      </c>
      <c r="Q151" t="n">
        <v>0</v>
      </c>
      <c r="R151" s="2" t="inlineStr"/>
    </row>
    <row r="152" ht="15" customHeight="1">
      <c r="A152" t="inlineStr">
        <is>
          <t>A 17844-2025</t>
        </is>
      </c>
      <c r="B152" s="1" t="n">
        <v>45758.59920138889</v>
      </c>
      <c r="C152" s="1" t="n">
        <v>46176</v>
      </c>
      <c r="D152" t="inlineStr">
        <is>
          <t>UPPSALA LÄN</t>
        </is>
      </c>
      <c r="E152" t="inlineStr">
        <is>
          <t>ENKÖPING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43016-2021</t>
        </is>
      </c>
      <c r="B153" s="1" t="n">
        <v>44431</v>
      </c>
      <c r="C153" s="1" t="n">
        <v>46176</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13590-2026</t>
        </is>
      </c>
      <c r="B154" s="1" t="n">
        <v>46096</v>
      </c>
      <c r="C154" s="1" t="n">
        <v>46176</v>
      </c>
      <c r="D154" t="inlineStr">
        <is>
          <t>UPPSALA LÄN</t>
        </is>
      </c>
      <c r="E154" t="inlineStr">
        <is>
          <t>ENKÖPING</t>
        </is>
      </c>
      <c r="G154" t="n">
        <v>2.3</v>
      </c>
      <c r="H154" t="n">
        <v>0</v>
      </c>
      <c r="I154" t="n">
        <v>0</v>
      </c>
      <c r="J154" t="n">
        <v>0</v>
      </c>
      <c r="K154" t="n">
        <v>0</v>
      </c>
      <c r="L154" t="n">
        <v>0</v>
      </c>
      <c r="M154" t="n">
        <v>0</v>
      </c>
      <c r="N154" t="n">
        <v>0</v>
      </c>
      <c r="O154" t="n">
        <v>0</v>
      </c>
      <c r="P154" t="n">
        <v>0</v>
      </c>
      <c r="Q154" t="n">
        <v>0</v>
      </c>
      <c r="R154" s="2" t="inlineStr"/>
    </row>
    <row r="155" ht="15" customHeight="1">
      <c r="A155" t="inlineStr">
        <is>
          <t>A 39746-2025</t>
        </is>
      </c>
      <c r="B155" s="1" t="n">
        <v>45891</v>
      </c>
      <c r="C155" s="1" t="n">
        <v>46176</v>
      </c>
      <c r="D155" t="inlineStr">
        <is>
          <t>UPPSALA LÄN</t>
        </is>
      </c>
      <c r="E155" t="inlineStr">
        <is>
          <t>ENKÖPING</t>
        </is>
      </c>
      <c r="G155" t="n">
        <v>7.4</v>
      </c>
      <c r="H155" t="n">
        <v>0</v>
      </c>
      <c r="I155" t="n">
        <v>0</v>
      </c>
      <c r="J155" t="n">
        <v>0</v>
      </c>
      <c r="K155" t="n">
        <v>0</v>
      </c>
      <c r="L155" t="n">
        <v>0</v>
      </c>
      <c r="M155" t="n">
        <v>0</v>
      </c>
      <c r="N155" t="n">
        <v>0</v>
      </c>
      <c r="O155" t="n">
        <v>0</v>
      </c>
      <c r="P155" t="n">
        <v>0</v>
      </c>
      <c r="Q155" t="n">
        <v>0</v>
      </c>
      <c r="R155" s="2" t="inlineStr"/>
    </row>
    <row r="156" ht="15" customHeight="1">
      <c r="A156" t="inlineStr">
        <is>
          <t>A 21501-2025</t>
        </is>
      </c>
      <c r="B156" s="1" t="n">
        <v>45782</v>
      </c>
      <c r="C156" s="1" t="n">
        <v>46176</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34988-2025</t>
        </is>
      </c>
      <c r="B157" s="1" t="n">
        <v>45849</v>
      </c>
      <c r="C157" s="1" t="n">
        <v>46176</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27837-2025</t>
        </is>
      </c>
      <c r="B158" s="1" t="n">
        <v>45817.37207175926</v>
      </c>
      <c r="C158" s="1" t="n">
        <v>46176</v>
      </c>
      <c r="D158" t="inlineStr">
        <is>
          <t>UPPSALA LÄN</t>
        </is>
      </c>
      <c r="E158" t="inlineStr">
        <is>
          <t>ENKÖPING</t>
        </is>
      </c>
      <c r="G158" t="n">
        <v>7.3</v>
      </c>
      <c r="H158" t="n">
        <v>0</v>
      </c>
      <c r="I158" t="n">
        <v>0</v>
      </c>
      <c r="J158" t="n">
        <v>0</v>
      </c>
      <c r="K158" t="n">
        <v>0</v>
      </c>
      <c r="L158" t="n">
        <v>0</v>
      </c>
      <c r="M158" t="n">
        <v>0</v>
      </c>
      <c r="N158" t="n">
        <v>0</v>
      </c>
      <c r="O158" t="n">
        <v>0</v>
      </c>
      <c r="P158" t="n">
        <v>0</v>
      </c>
      <c r="Q158" t="n">
        <v>0</v>
      </c>
      <c r="R158" s="2" t="inlineStr"/>
    </row>
    <row r="159" ht="15" customHeight="1">
      <c r="A159" t="inlineStr">
        <is>
          <t>A 34987-2025</t>
        </is>
      </c>
      <c r="B159" s="1" t="n">
        <v>45849</v>
      </c>
      <c r="C159" s="1" t="n">
        <v>46176</v>
      </c>
      <c r="D159" t="inlineStr">
        <is>
          <t>UPPSALA LÄN</t>
        </is>
      </c>
      <c r="E159" t="inlineStr">
        <is>
          <t>ENKÖPING</t>
        </is>
      </c>
      <c r="G159" t="n">
        <v>2.2</v>
      </c>
      <c r="H159" t="n">
        <v>0</v>
      </c>
      <c r="I159" t="n">
        <v>0</v>
      </c>
      <c r="J159" t="n">
        <v>0</v>
      </c>
      <c r="K159" t="n">
        <v>0</v>
      </c>
      <c r="L159" t="n">
        <v>0</v>
      </c>
      <c r="M159" t="n">
        <v>0</v>
      </c>
      <c r="N159" t="n">
        <v>0</v>
      </c>
      <c r="O159" t="n">
        <v>0</v>
      </c>
      <c r="P159" t="n">
        <v>0</v>
      </c>
      <c r="Q159" t="n">
        <v>0</v>
      </c>
      <c r="R159" s="2" t="inlineStr"/>
    </row>
    <row r="160" ht="15" customHeight="1">
      <c r="A160" t="inlineStr">
        <is>
          <t>A 14229-2026</t>
        </is>
      </c>
      <c r="B160" s="1" t="n">
        <v>46099</v>
      </c>
      <c r="C160" s="1" t="n">
        <v>46176</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14296-2026</t>
        </is>
      </c>
      <c r="B161" s="1" t="n">
        <v>46099.7181712963</v>
      </c>
      <c r="C161" s="1" t="n">
        <v>46176</v>
      </c>
      <c r="D161" t="inlineStr">
        <is>
          <t>UPPSALA LÄN</t>
        </is>
      </c>
      <c r="E161" t="inlineStr">
        <is>
          <t>ENKÖPING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14260-2026</t>
        </is>
      </c>
      <c r="B162" s="1" t="n">
        <v>46099.63395833333</v>
      </c>
      <c r="C162" s="1" t="n">
        <v>46176</v>
      </c>
      <c r="D162" t="inlineStr">
        <is>
          <t>UPPSALA LÄN</t>
        </is>
      </c>
      <c r="E162" t="inlineStr">
        <is>
          <t>ENKÖPING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14182-2026</t>
        </is>
      </c>
      <c r="B163" s="1" t="n">
        <v>46099.49839120371</v>
      </c>
      <c r="C163" s="1" t="n">
        <v>46176</v>
      </c>
      <c r="D163" t="inlineStr">
        <is>
          <t>UPPSALA LÄN</t>
        </is>
      </c>
      <c r="E163" t="inlineStr">
        <is>
          <t>ENKÖPING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36492-2025</t>
        </is>
      </c>
      <c r="B164" s="1" t="n">
        <v>45869</v>
      </c>
      <c r="C164" s="1" t="n">
        <v>46176</v>
      </c>
      <c r="D164" t="inlineStr">
        <is>
          <t>UPPSALA LÄN</t>
        </is>
      </c>
      <c r="E164" t="inlineStr">
        <is>
          <t>ENKÖPING</t>
        </is>
      </c>
      <c r="G164" t="n">
        <v>6.3</v>
      </c>
      <c r="H164" t="n">
        <v>0</v>
      </c>
      <c r="I164" t="n">
        <v>0</v>
      </c>
      <c r="J164" t="n">
        <v>0</v>
      </c>
      <c r="K164" t="n">
        <v>0</v>
      </c>
      <c r="L164" t="n">
        <v>0</v>
      </c>
      <c r="M164" t="n">
        <v>0</v>
      </c>
      <c r="N164" t="n">
        <v>0</v>
      </c>
      <c r="O164" t="n">
        <v>0</v>
      </c>
      <c r="P164" t="n">
        <v>0</v>
      </c>
      <c r="Q164" t="n">
        <v>0</v>
      </c>
      <c r="R164" s="2" t="inlineStr"/>
    </row>
    <row r="165" ht="15" customHeight="1">
      <c r="A165" t="inlineStr">
        <is>
          <t>A 14298-2026</t>
        </is>
      </c>
      <c r="B165" s="1" t="n">
        <v>46099</v>
      </c>
      <c r="C165" s="1" t="n">
        <v>46176</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36350-2025</t>
        </is>
      </c>
      <c r="B166" s="1" t="n">
        <v>45868</v>
      </c>
      <c r="C166" s="1" t="n">
        <v>46176</v>
      </c>
      <c r="D166" t="inlineStr">
        <is>
          <t>UPPSALA LÄN</t>
        </is>
      </c>
      <c r="E166" t="inlineStr">
        <is>
          <t>ENKÖPING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41616-2025</t>
        </is>
      </c>
      <c r="B167" s="1" t="n">
        <v>45901.69684027778</v>
      </c>
      <c r="C167" s="1" t="n">
        <v>46176</v>
      </c>
      <c r="D167" t="inlineStr">
        <is>
          <t>UPPSALA LÄN</t>
        </is>
      </c>
      <c r="E167" t="inlineStr">
        <is>
          <t>ENKÖPING</t>
        </is>
      </c>
      <c r="F167" t="inlineStr">
        <is>
          <t>Allmännings- och besparingsskogar</t>
        </is>
      </c>
      <c r="G167" t="n">
        <v>17.3</v>
      </c>
      <c r="H167" t="n">
        <v>0</v>
      </c>
      <c r="I167" t="n">
        <v>0</v>
      </c>
      <c r="J167" t="n">
        <v>0</v>
      </c>
      <c r="K167" t="n">
        <v>0</v>
      </c>
      <c r="L167" t="n">
        <v>0</v>
      </c>
      <c r="M167" t="n">
        <v>0</v>
      </c>
      <c r="N167" t="n">
        <v>0</v>
      </c>
      <c r="O167" t="n">
        <v>0</v>
      </c>
      <c r="P167" t="n">
        <v>0</v>
      </c>
      <c r="Q167" t="n">
        <v>0</v>
      </c>
      <c r="R167" s="2" t="inlineStr"/>
    </row>
    <row r="168" ht="15" customHeight="1">
      <c r="A168" t="inlineStr">
        <is>
          <t>A 14178-2026</t>
        </is>
      </c>
      <c r="B168" s="1" t="n">
        <v>46099.49608796297</v>
      </c>
      <c r="C168" s="1" t="n">
        <v>46176</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19147-2024</t>
        </is>
      </c>
      <c r="B169" s="1" t="n">
        <v>45428</v>
      </c>
      <c r="C169" s="1" t="n">
        <v>46176</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41637-2025</t>
        </is>
      </c>
      <c r="B170" s="1" t="n">
        <v>45901</v>
      </c>
      <c r="C170" s="1" t="n">
        <v>46176</v>
      </c>
      <c r="D170" t="inlineStr">
        <is>
          <t>UPPSALA LÄN</t>
        </is>
      </c>
      <c r="E170" t="inlineStr">
        <is>
          <t>ENKÖPING</t>
        </is>
      </c>
      <c r="F170" t="inlineStr">
        <is>
          <t>Allmännings- och besparingsskogar</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41618-2025</t>
        </is>
      </c>
      <c r="B171" s="1" t="n">
        <v>45901.70085648148</v>
      </c>
      <c r="C171" s="1" t="n">
        <v>46176</v>
      </c>
      <c r="D171" t="inlineStr">
        <is>
          <t>UPPSALA LÄN</t>
        </is>
      </c>
      <c r="E171" t="inlineStr">
        <is>
          <t>ENKÖPING</t>
        </is>
      </c>
      <c r="F171" t="inlineStr">
        <is>
          <t>Allmännings- och besparingsskogar</t>
        </is>
      </c>
      <c r="G171" t="n">
        <v>5.3</v>
      </c>
      <c r="H171" t="n">
        <v>0</v>
      </c>
      <c r="I171" t="n">
        <v>0</v>
      </c>
      <c r="J171" t="n">
        <v>0</v>
      </c>
      <c r="K171" t="n">
        <v>0</v>
      </c>
      <c r="L171" t="n">
        <v>0</v>
      </c>
      <c r="M171" t="n">
        <v>0</v>
      </c>
      <c r="N171" t="n">
        <v>0</v>
      </c>
      <c r="O171" t="n">
        <v>0</v>
      </c>
      <c r="P171" t="n">
        <v>0</v>
      </c>
      <c r="Q171" t="n">
        <v>0</v>
      </c>
      <c r="R171" s="2" t="inlineStr"/>
    </row>
    <row r="172" ht="15" customHeight="1">
      <c r="A172" t="inlineStr">
        <is>
          <t>A 36599-2025</t>
        </is>
      </c>
      <c r="B172" s="1" t="n">
        <v>45870.51723379629</v>
      </c>
      <c r="C172" s="1" t="n">
        <v>46176</v>
      </c>
      <c r="D172" t="inlineStr">
        <is>
          <t>UPPSALA LÄN</t>
        </is>
      </c>
      <c r="E172" t="inlineStr">
        <is>
          <t>ENKÖPING</t>
        </is>
      </c>
      <c r="G172" t="n">
        <v>5.9</v>
      </c>
      <c r="H172" t="n">
        <v>0</v>
      </c>
      <c r="I172" t="n">
        <v>0</v>
      </c>
      <c r="J172" t="n">
        <v>0</v>
      </c>
      <c r="K172" t="n">
        <v>0</v>
      </c>
      <c r="L172" t="n">
        <v>0</v>
      </c>
      <c r="M172" t="n">
        <v>0</v>
      </c>
      <c r="N172" t="n">
        <v>0</v>
      </c>
      <c r="O172" t="n">
        <v>0</v>
      </c>
      <c r="P172" t="n">
        <v>0</v>
      </c>
      <c r="Q172" t="n">
        <v>0</v>
      </c>
      <c r="R172" s="2" t="inlineStr"/>
    </row>
    <row r="173" ht="15" customHeight="1">
      <c r="A173" t="inlineStr">
        <is>
          <t>A 57209-2024</t>
        </is>
      </c>
      <c r="B173" s="1" t="n">
        <v>45629.49311342592</v>
      </c>
      <c r="C173" s="1" t="n">
        <v>46176</v>
      </c>
      <c r="D173" t="inlineStr">
        <is>
          <t>UPPSALA LÄN</t>
        </is>
      </c>
      <c r="E173" t="inlineStr">
        <is>
          <t>ENKÖPING</t>
        </is>
      </c>
      <c r="G173" t="n">
        <v>3.2</v>
      </c>
      <c r="H173" t="n">
        <v>0</v>
      </c>
      <c r="I173" t="n">
        <v>0</v>
      </c>
      <c r="J173" t="n">
        <v>0</v>
      </c>
      <c r="K173" t="n">
        <v>0</v>
      </c>
      <c r="L173" t="n">
        <v>0</v>
      </c>
      <c r="M173" t="n">
        <v>0</v>
      </c>
      <c r="N173" t="n">
        <v>0</v>
      </c>
      <c r="O173" t="n">
        <v>0</v>
      </c>
      <c r="P173" t="n">
        <v>0</v>
      </c>
      <c r="Q173" t="n">
        <v>0</v>
      </c>
      <c r="R173" s="2" t="inlineStr"/>
    </row>
    <row r="174" ht="15" customHeight="1">
      <c r="A174" t="inlineStr">
        <is>
          <t>A 51120-2023</t>
        </is>
      </c>
      <c r="B174" s="1" t="n">
        <v>45219.3088425926</v>
      </c>
      <c r="C174" s="1" t="n">
        <v>46176</v>
      </c>
      <c r="D174" t="inlineStr">
        <is>
          <t>UPPSALA LÄN</t>
        </is>
      </c>
      <c r="E174" t="inlineStr">
        <is>
          <t>ENKÖPING</t>
        </is>
      </c>
      <c r="G174" t="n">
        <v>1.4</v>
      </c>
      <c r="H174" t="n">
        <v>0</v>
      </c>
      <c r="I174" t="n">
        <v>0</v>
      </c>
      <c r="J174" t="n">
        <v>0</v>
      </c>
      <c r="K174" t="n">
        <v>0</v>
      </c>
      <c r="L174" t="n">
        <v>0</v>
      </c>
      <c r="M174" t="n">
        <v>0</v>
      </c>
      <c r="N174" t="n">
        <v>0</v>
      </c>
      <c r="O174" t="n">
        <v>0</v>
      </c>
      <c r="P174" t="n">
        <v>0</v>
      </c>
      <c r="Q174" t="n">
        <v>0</v>
      </c>
      <c r="R174" s="2" t="inlineStr"/>
    </row>
    <row r="175" ht="15" customHeight="1">
      <c r="A175" t="inlineStr">
        <is>
          <t>A 15003-2026</t>
        </is>
      </c>
      <c r="B175" s="1" t="n">
        <v>46104.60931712963</v>
      </c>
      <c r="C175" s="1" t="n">
        <v>46176</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12878-2025</t>
        </is>
      </c>
      <c r="B176" s="1" t="n">
        <v>45733.68571759259</v>
      </c>
      <c r="C176" s="1" t="n">
        <v>46176</v>
      </c>
      <c r="D176" t="inlineStr">
        <is>
          <t>UPPSALA LÄN</t>
        </is>
      </c>
      <c r="E176" t="inlineStr">
        <is>
          <t>ENKÖPING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42029-2025</t>
        </is>
      </c>
      <c r="B177" s="1" t="n">
        <v>45903</v>
      </c>
      <c r="C177" s="1" t="n">
        <v>46176</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41765-2025</t>
        </is>
      </c>
      <c r="B178" s="1" t="n">
        <v>45902</v>
      </c>
      <c r="C178" s="1" t="n">
        <v>46176</v>
      </c>
      <c r="D178" t="inlineStr">
        <is>
          <t>UPPSALA LÄN</t>
        </is>
      </c>
      <c r="E178" t="inlineStr">
        <is>
          <t>ENKÖPING</t>
        </is>
      </c>
      <c r="G178" t="n">
        <v>2.7</v>
      </c>
      <c r="H178" t="n">
        <v>0</v>
      </c>
      <c r="I178" t="n">
        <v>0</v>
      </c>
      <c r="J178" t="n">
        <v>0</v>
      </c>
      <c r="K178" t="n">
        <v>0</v>
      </c>
      <c r="L178" t="n">
        <v>0</v>
      </c>
      <c r="M178" t="n">
        <v>0</v>
      </c>
      <c r="N178" t="n">
        <v>0</v>
      </c>
      <c r="O178" t="n">
        <v>0</v>
      </c>
      <c r="P178" t="n">
        <v>0</v>
      </c>
      <c r="Q178" t="n">
        <v>0</v>
      </c>
      <c r="R178" s="2" t="inlineStr"/>
    </row>
    <row r="179" ht="15" customHeight="1">
      <c r="A179" t="inlineStr">
        <is>
          <t>A 15547-2026</t>
        </is>
      </c>
      <c r="B179" s="1" t="n">
        <v>46106.52613425926</v>
      </c>
      <c r="C179" s="1" t="n">
        <v>46176</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37498-2025</t>
        </is>
      </c>
      <c r="B180" s="1" t="n">
        <v>45877</v>
      </c>
      <c r="C180" s="1" t="n">
        <v>46176</v>
      </c>
      <c r="D180" t="inlineStr">
        <is>
          <t>UPPSALA LÄN</t>
        </is>
      </c>
      <c r="E180" t="inlineStr">
        <is>
          <t>ENKÖPING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46176</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37296-2025</t>
        </is>
      </c>
      <c r="B182" s="1" t="n">
        <v>45876</v>
      </c>
      <c r="C182" s="1" t="n">
        <v>46176</v>
      </c>
      <c r="D182" t="inlineStr">
        <is>
          <t>UPPSALA LÄN</t>
        </is>
      </c>
      <c r="E182" t="inlineStr">
        <is>
          <t>ENKÖPING</t>
        </is>
      </c>
      <c r="G182" t="n">
        <v>9.5</v>
      </c>
      <c r="H182" t="n">
        <v>0</v>
      </c>
      <c r="I182" t="n">
        <v>0</v>
      </c>
      <c r="J182" t="n">
        <v>0</v>
      </c>
      <c r="K182" t="n">
        <v>0</v>
      </c>
      <c r="L182" t="n">
        <v>0</v>
      </c>
      <c r="M182" t="n">
        <v>0</v>
      </c>
      <c r="N182" t="n">
        <v>0</v>
      </c>
      <c r="O182" t="n">
        <v>0</v>
      </c>
      <c r="P182" t="n">
        <v>0</v>
      </c>
      <c r="Q182" t="n">
        <v>0</v>
      </c>
      <c r="R182" s="2" t="inlineStr"/>
    </row>
    <row r="183" ht="15" customHeight="1">
      <c r="A183" t="inlineStr">
        <is>
          <t>A 37319-2025</t>
        </is>
      </c>
      <c r="B183" s="1" t="n">
        <v>45876</v>
      </c>
      <c r="C183" s="1" t="n">
        <v>46176</v>
      </c>
      <c r="D183" t="inlineStr">
        <is>
          <t>UPPSALA LÄN</t>
        </is>
      </c>
      <c r="E183" t="inlineStr">
        <is>
          <t>ENKÖPING</t>
        </is>
      </c>
      <c r="G183" t="n">
        <v>9.5</v>
      </c>
      <c r="H183" t="n">
        <v>0</v>
      </c>
      <c r="I183" t="n">
        <v>0</v>
      </c>
      <c r="J183" t="n">
        <v>0</v>
      </c>
      <c r="K183" t="n">
        <v>0</v>
      </c>
      <c r="L183" t="n">
        <v>0</v>
      </c>
      <c r="M183" t="n">
        <v>0</v>
      </c>
      <c r="N183" t="n">
        <v>0</v>
      </c>
      <c r="O183" t="n">
        <v>0</v>
      </c>
      <c r="P183" t="n">
        <v>0</v>
      </c>
      <c r="Q183" t="n">
        <v>0</v>
      </c>
      <c r="R183" s="2" t="inlineStr"/>
    </row>
    <row r="184" ht="15" customHeight="1">
      <c r="A184" t="inlineStr">
        <is>
          <t>A 43896-2022</t>
        </is>
      </c>
      <c r="B184" s="1" t="n">
        <v>44838</v>
      </c>
      <c r="C184" s="1" t="n">
        <v>46176</v>
      </c>
      <c r="D184" t="inlineStr">
        <is>
          <t>UPPSALA LÄN</t>
        </is>
      </c>
      <c r="E184" t="inlineStr">
        <is>
          <t>ENKÖPING</t>
        </is>
      </c>
      <c r="G184" t="n">
        <v>5.3</v>
      </c>
      <c r="H184" t="n">
        <v>0</v>
      </c>
      <c r="I184" t="n">
        <v>0</v>
      </c>
      <c r="J184" t="n">
        <v>0</v>
      </c>
      <c r="K184" t="n">
        <v>0</v>
      </c>
      <c r="L184" t="n">
        <v>0</v>
      </c>
      <c r="M184" t="n">
        <v>0</v>
      </c>
      <c r="N184" t="n">
        <v>0</v>
      </c>
      <c r="O184" t="n">
        <v>0</v>
      </c>
      <c r="P184" t="n">
        <v>0</v>
      </c>
      <c r="Q184" t="n">
        <v>0</v>
      </c>
      <c r="R184" s="2" t="inlineStr"/>
    </row>
    <row r="185" ht="15" customHeight="1">
      <c r="A185" t="inlineStr">
        <is>
          <t>A 49622-2024</t>
        </is>
      </c>
      <c r="B185" s="1" t="n">
        <v>45596.58372685185</v>
      </c>
      <c r="C185" s="1" t="n">
        <v>46176</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41764-2025</t>
        </is>
      </c>
      <c r="B186" s="1" t="n">
        <v>45902</v>
      </c>
      <c r="C186" s="1" t="n">
        <v>46176</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7090-2022</t>
        </is>
      </c>
      <c r="B187" s="1" t="n">
        <v>44603.59520833333</v>
      </c>
      <c r="C187" s="1" t="n">
        <v>46176</v>
      </c>
      <c r="D187" t="inlineStr">
        <is>
          <t>UPPSALA LÄN</t>
        </is>
      </c>
      <c r="E187" t="inlineStr">
        <is>
          <t>ENKÖPING</t>
        </is>
      </c>
      <c r="G187" t="n">
        <v>2.8</v>
      </c>
      <c r="H187" t="n">
        <v>0</v>
      </c>
      <c r="I187" t="n">
        <v>0</v>
      </c>
      <c r="J187" t="n">
        <v>0</v>
      </c>
      <c r="K187" t="n">
        <v>0</v>
      </c>
      <c r="L187" t="n">
        <v>0</v>
      </c>
      <c r="M187" t="n">
        <v>0</v>
      </c>
      <c r="N187" t="n">
        <v>0</v>
      </c>
      <c r="O187" t="n">
        <v>0</v>
      </c>
      <c r="P187" t="n">
        <v>0</v>
      </c>
      <c r="Q187" t="n">
        <v>0</v>
      </c>
      <c r="R187" s="2" t="inlineStr"/>
    </row>
    <row r="188" ht="15" customHeight="1">
      <c r="A188" t="inlineStr">
        <is>
          <t>A 9487-2025</t>
        </is>
      </c>
      <c r="B188" s="1" t="n">
        <v>45715.49331018519</v>
      </c>
      <c r="C188" s="1" t="n">
        <v>46176</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51042-2024</t>
        </is>
      </c>
      <c r="B189" s="1" t="n">
        <v>45603.4342824074</v>
      </c>
      <c r="C189" s="1" t="n">
        <v>46176</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6144-2024</t>
        </is>
      </c>
      <c r="B190" s="1" t="n">
        <v>45337.4684837963</v>
      </c>
      <c r="C190" s="1" t="n">
        <v>46176</v>
      </c>
      <c r="D190" t="inlineStr">
        <is>
          <t>UPPSALA LÄN</t>
        </is>
      </c>
      <c r="E190" t="inlineStr">
        <is>
          <t>ENKÖPING</t>
        </is>
      </c>
      <c r="G190" t="n">
        <v>13.8</v>
      </c>
      <c r="H190" t="n">
        <v>0</v>
      </c>
      <c r="I190" t="n">
        <v>0</v>
      </c>
      <c r="J190" t="n">
        <v>0</v>
      </c>
      <c r="K190" t="n">
        <v>0</v>
      </c>
      <c r="L190" t="n">
        <v>0</v>
      </c>
      <c r="M190" t="n">
        <v>0</v>
      </c>
      <c r="N190" t="n">
        <v>0</v>
      </c>
      <c r="O190" t="n">
        <v>0</v>
      </c>
      <c r="P190" t="n">
        <v>0</v>
      </c>
      <c r="Q190" t="n">
        <v>0</v>
      </c>
      <c r="R190" s="2" t="inlineStr"/>
    </row>
    <row r="191" ht="15" customHeight="1">
      <c r="A191" t="inlineStr">
        <is>
          <t>A 51037-2024</t>
        </is>
      </c>
      <c r="B191" s="1" t="n">
        <v>45603.43005787037</v>
      </c>
      <c r="C191" s="1" t="n">
        <v>46176</v>
      </c>
      <c r="D191" t="inlineStr">
        <is>
          <t>UPPSALA LÄN</t>
        </is>
      </c>
      <c r="E191" t="inlineStr">
        <is>
          <t>ENKÖPING</t>
        </is>
      </c>
      <c r="G191" t="n">
        <v>5.7</v>
      </c>
      <c r="H191" t="n">
        <v>0</v>
      </c>
      <c r="I191" t="n">
        <v>0</v>
      </c>
      <c r="J191" t="n">
        <v>0</v>
      </c>
      <c r="K191" t="n">
        <v>0</v>
      </c>
      <c r="L191" t="n">
        <v>0</v>
      </c>
      <c r="M191" t="n">
        <v>0</v>
      </c>
      <c r="N191" t="n">
        <v>0</v>
      </c>
      <c r="O191" t="n">
        <v>0</v>
      </c>
      <c r="P191" t="n">
        <v>0</v>
      </c>
      <c r="Q191" t="n">
        <v>0</v>
      </c>
      <c r="R191" s="2" t="inlineStr"/>
    </row>
    <row r="192" ht="15" customHeight="1">
      <c r="A192" t="inlineStr">
        <is>
          <t>A 42756-2025</t>
        </is>
      </c>
      <c r="B192" s="1" t="n">
        <v>45908</v>
      </c>
      <c r="C192" s="1" t="n">
        <v>46176</v>
      </c>
      <c r="D192" t="inlineStr">
        <is>
          <t>UPPSALA LÄN</t>
        </is>
      </c>
      <c r="E192" t="inlineStr">
        <is>
          <t>ENKÖPING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33955-2024</t>
        </is>
      </c>
      <c r="B193" s="1" t="n">
        <v>45523.46952546296</v>
      </c>
      <c r="C193" s="1" t="n">
        <v>46176</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22632-2025</t>
        </is>
      </c>
      <c r="B194" s="1" t="n">
        <v>45789.44361111111</v>
      </c>
      <c r="C194" s="1" t="n">
        <v>46176</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21862-2026</t>
        </is>
      </c>
      <c r="B195" s="1" t="n">
        <v>46150.55599537037</v>
      </c>
      <c r="C195" s="1" t="n">
        <v>46176</v>
      </c>
      <c r="D195" t="inlineStr">
        <is>
          <t>UPPSALA LÄN</t>
        </is>
      </c>
      <c r="E195" t="inlineStr">
        <is>
          <t>ENKÖPING</t>
        </is>
      </c>
      <c r="G195" t="n">
        <v>4.1</v>
      </c>
      <c r="H195" t="n">
        <v>0</v>
      </c>
      <c r="I195" t="n">
        <v>0</v>
      </c>
      <c r="J195" t="n">
        <v>0</v>
      </c>
      <c r="K195" t="n">
        <v>0</v>
      </c>
      <c r="L195" t="n">
        <v>0</v>
      </c>
      <c r="M195" t="n">
        <v>0</v>
      </c>
      <c r="N195" t="n">
        <v>0</v>
      </c>
      <c r="O195" t="n">
        <v>0</v>
      </c>
      <c r="P195" t="n">
        <v>0</v>
      </c>
      <c r="Q195" t="n">
        <v>0</v>
      </c>
      <c r="R195" s="2" t="inlineStr"/>
    </row>
    <row r="196" ht="15" customHeight="1">
      <c r="A196" t="inlineStr">
        <is>
          <t>A 51027-2024</t>
        </is>
      </c>
      <c r="B196" s="1" t="n">
        <v>45603</v>
      </c>
      <c r="C196" s="1" t="n">
        <v>46176</v>
      </c>
      <c r="D196" t="inlineStr">
        <is>
          <t>UPPSALA LÄN</t>
        </is>
      </c>
      <c r="E196" t="inlineStr">
        <is>
          <t>ENKÖPING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16920-2023</t>
        </is>
      </c>
      <c r="B197" s="1" t="n">
        <v>45033.59030092593</v>
      </c>
      <c r="C197" s="1" t="n">
        <v>46176</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53586-2024</t>
        </is>
      </c>
      <c r="B198" s="1" t="n">
        <v>45614</v>
      </c>
      <c r="C198" s="1" t="n">
        <v>46176</v>
      </c>
      <c r="D198" t="inlineStr">
        <is>
          <t>UPPSALA LÄN</t>
        </is>
      </c>
      <c r="E198" t="inlineStr">
        <is>
          <t>ENKÖPING</t>
        </is>
      </c>
      <c r="G198" t="n">
        <v>6.6</v>
      </c>
      <c r="H198" t="n">
        <v>0</v>
      </c>
      <c r="I198" t="n">
        <v>0</v>
      </c>
      <c r="J198" t="n">
        <v>0</v>
      </c>
      <c r="K198" t="n">
        <v>0</v>
      </c>
      <c r="L198" t="n">
        <v>0</v>
      </c>
      <c r="M198" t="n">
        <v>0</v>
      </c>
      <c r="N198" t="n">
        <v>0</v>
      </c>
      <c r="O198" t="n">
        <v>0</v>
      </c>
      <c r="P198" t="n">
        <v>0</v>
      </c>
      <c r="Q198" t="n">
        <v>0</v>
      </c>
      <c r="R198" s="2" t="inlineStr"/>
    </row>
    <row r="199" ht="15" customHeight="1">
      <c r="A199" t="inlineStr">
        <is>
          <t>A 43999-2025</t>
        </is>
      </c>
      <c r="B199" s="1" t="n">
        <v>45915.45158564814</v>
      </c>
      <c r="C199" s="1" t="n">
        <v>46176</v>
      </c>
      <c r="D199" t="inlineStr">
        <is>
          <t>UPPSALA LÄN</t>
        </is>
      </c>
      <c r="E199" t="inlineStr">
        <is>
          <t>ENKÖPING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21017-2023</t>
        </is>
      </c>
      <c r="B200" s="1" t="n">
        <v>45061</v>
      </c>
      <c r="C200" s="1" t="n">
        <v>46176</v>
      </c>
      <c r="D200" t="inlineStr">
        <is>
          <t>UPPSALA LÄN</t>
        </is>
      </c>
      <c r="E200" t="inlineStr">
        <is>
          <t>ENKÖPING</t>
        </is>
      </c>
      <c r="G200" t="n">
        <v>4.8</v>
      </c>
      <c r="H200" t="n">
        <v>0</v>
      </c>
      <c r="I200" t="n">
        <v>0</v>
      </c>
      <c r="J200" t="n">
        <v>0</v>
      </c>
      <c r="K200" t="n">
        <v>0</v>
      </c>
      <c r="L200" t="n">
        <v>0</v>
      </c>
      <c r="M200" t="n">
        <v>0</v>
      </c>
      <c r="N200" t="n">
        <v>0</v>
      </c>
      <c r="O200" t="n">
        <v>0</v>
      </c>
      <c r="P200" t="n">
        <v>0</v>
      </c>
      <c r="Q200" t="n">
        <v>0</v>
      </c>
      <c r="R200" s="2" t="inlineStr"/>
    </row>
    <row r="201" ht="15" customHeight="1">
      <c r="A201" t="inlineStr">
        <is>
          <t>A 43506-2023</t>
        </is>
      </c>
      <c r="B201" s="1" t="n">
        <v>45181</v>
      </c>
      <c r="C201" s="1" t="n">
        <v>46176</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44419-2025</t>
        </is>
      </c>
      <c r="B202" s="1" t="n">
        <v>45916.54671296296</v>
      </c>
      <c r="C202" s="1" t="n">
        <v>46176</v>
      </c>
      <c r="D202" t="inlineStr">
        <is>
          <t>UPPSALA LÄN</t>
        </is>
      </c>
      <c r="E202" t="inlineStr">
        <is>
          <t>ENKÖPING</t>
        </is>
      </c>
      <c r="G202" t="n">
        <v>1.6</v>
      </c>
      <c r="H202" t="n">
        <v>0</v>
      </c>
      <c r="I202" t="n">
        <v>0</v>
      </c>
      <c r="J202" t="n">
        <v>0</v>
      </c>
      <c r="K202" t="n">
        <v>0</v>
      </c>
      <c r="L202" t="n">
        <v>0</v>
      </c>
      <c r="M202" t="n">
        <v>0</v>
      </c>
      <c r="N202" t="n">
        <v>0</v>
      </c>
      <c r="O202" t="n">
        <v>0</v>
      </c>
      <c r="P202" t="n">
        <v>0</v>
      </c>
      <c r="Q202" t="n">
        <v>0</v>
      </c>
      <c r="R202" s="2" t="inlineStr"/>
    </row>
    <row r="203" ht="15" customHeight="1">
      <c r="A203" t="inlineStr">
        <is>
          <t>A 32477-2025</t>
        </is>
      </c>
      <c r="B203" s="1" t="n">
        <v>45838.43098379629</v>
      </c>
      <c r="C203" s="1" t="n">
        <v>46176</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22315-2026</t>
        </is>
      </c>
      <c r="B204" s="1" t="n">
        <v>46154.49106481481</v>
      </c>
      <c r="C204" s="1" t="n">
        <v>46176</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46186-2023</t>
        </is>
      </c>
      <c r="B205" s="1" t="n">
        <v>45196</v>
      </c>
      <c r="C205" s="1" t="n">
        <v>46176</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54595-2021</t>
        </is>
      </c>
      <c r="B206" s="1" t="n">
        <v>44473.58824074074</v>
      </c>
      <c r="C206" s="1" t="n">
        <v>46176</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54588-2024</t>
        </is>
      </c>
      <c r="B207" s="1" t="n">
        <v>45617</v>
      </c>
      <c r="C207" s="1" t="n">
        <v>46176</v>
      </c>
      <c r="D207" t="inlineStr">
        <is>
          <t>UPPSALA LÄN</t>
        </is>
      </c>
      <c r="E207" t="inlineStr">
        <is>
          <t>ENKÖPING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47428-2023</t>
        </is>
      </c>
      <c r="B208" s="1" t="n">
        <v>45202.66664351852</v>
      </c>
      <c r="C208" s="1" t="n">
        <v>46176</v>
      </c>
      <c r="D208" t="inlineStr">
        <is>
          <t>UPPSALA LÄN</t>
        </is>
      </c>
      <c r="E208" t="inlineStr">
        <is>
          <t>ENKÖPING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17418-2026</t>
        </is>
      </c>
      <c r="B209" s="1" t="n">
        <v>46120.3591087963</v>
      </c>
      <c r="C209" s="1" t="n">
        <v>46176</v>
      </c>
      <c r="D209" t="inlineStr">
        <is>
          <t>UPPSALA LÄN</t>
        </is>
      </c>
      <c r="E209" t="inlineStr">
        <is>
          <t>ENKÖPING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5892-2023</t>
        </is>
      </c>
      <c r="B210" s="1" t="n">
        <v>44963.64883101852</v>
      </c>
      <c r="C210" s="1" t="n">
        <v>46176</v>
      </c>
      <c r="D210" t="inlineStr">
        <is>
          <t>UPPSALA LÄN</t>
        </is>
      </c>
      <c r="E210" t="inlineStr">
        <is>
          <t>ENKÖPING</t>
        </is>
      </c>
      <c r="G210" t="n">
        <v>5.5</v>
      </c>
      <c r="H210" t="n">
        <v>0</v>
      </c>
      <c r="I210" t="n">
        <v>0</v>
      </c>
      <c r="J210" t="n">
        <v>0</v>
      </c>
      <c r="K210" t="n">
        <v>0</v>
      </c>
      <c r="L210" t="n">
        <v>0</v>
      </c>
      <c r="M210" t="n">
        <v>0</v>
      </c>
      <c r="N210" t="n">
        <v>0</v>
      </c>
      <c r="O210" t="n">
        <v>0</v>
      </c>
      <c r="P210" t="n">
        <v>0</v>
      </c>
      <c r="Q210" t="n">
        <v>0</v>
      </c>
      <c r="R210" s="2" t="inlineStr"/>
    </row>
    <row r="211" ht="15" customHeight="1">
      <c r="A211" t="inlineStr">
        <is>
          <t>A 671-2022</t>
        </is>
      </c>
      <c r="B211" s="1" t="n">
        <v>44568</v>
      </c>
      <c r="C211" s="1" t="n">
        <v>46176</v>
      </c>
      <c r="D211" t="inlineStr">
        <is>
          <t>UPPSALA LÄN</t>
        </is>
      </c>
      <c r="E211" t="inlineStr">
        <is>
          <t>ENKÖPING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23202-2026</t>
        </is>
      </c>
      <c r="B212" s="1" t="n">
        <v>46162.19833333333</v>
      </c>
      <c r="C212" s="1" t="n">
        <v>46176</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17419-2026</t>
        </is>
      </c>
      <c r="B213" s="1" t="n">
        <v>46120.36064814815</v>
      </c>
      <c r="C213" s="1" t="n">
        <v>46176</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45755-2025</t>
        </is>
      </c>
      <c r="B214" s="1" t="n">
        <v>45923.50240740741</v>
      </c>
      <c r="C214" s="1" t="n">
        <v>46176</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34989-2025</t>
        </is>
      </c>
      <c r="B215" s="1" t="n">
        <v>45849</v>
      </c>
      <c r="C215" s="1" t="n">
        <v>46176</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43488-2023</t>
        </is>
      </c>
      <c r="B216" s="1" t="n">
        <v>45181</v>
      </c>
      <c r="C216" s="1" t="n">
        <v>46176</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34990-2025</t>
        </is>
      </c>
      <c r="B217" s="1" t="n">
        <v>45849.78916666667</v>
      </c>
      <c r="C217" s="1" t="n">
        <v>46176</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9171-2024</t>
        </is>
      </c>
      <c r="B218" s="1" t="n">
        <v>45358</v>
      </c>
      <c r="C218" s="1" t="n">
        <v>46176</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46940-2025</t>
        </is>
      </c>
      <c r="B219" s="1" t="n">
        <v>45929.45483796296</v>
      </c>
      <c r="C219" s="1" t="n">
        <v>46176</v>
      </c>
      <c r="D219" t="inlineStr">
        <is>
          <t>UPPSALA LÄN</t>
        </is>
      </c>
      <c r="E219" t="inlineStr">
        <is>
          <t>ENKÖPING</t>
        </is>
      </c>
      <c r="G219" t="n">
        <v>5.3</v>
      </c>
      <c r="H219" t="n">
        <v>0</v>
      </c>
      <c r="I219" t="n">
        <v>0</v>
      </c>
      <c r="J219" t="n">
        <v>0</v>
      </c>
      <c r="K219" t="n">
        <v>0</v>
      </c>
      <c r="L219" t="n">
        <v>0</v>
      </c>
      <c r="M219" t="n">
        <v>0</v>
      </c>
      <c r="N219" t="n">
        <v>0</v>
      </c>
      <c r="O219" t="n">
        <v>0</v>
      </c>
      <c r="P219" t="n">
        <v>0</v>
      </c>
      <c r="Q219" t="n">
        <v>0</v>
      </c>
      <c r="R219" s="2" t="inlineStr"/>
    </row>
    <row r="220" ht="15" customHeight="1">
      <c r="A220" t="inlineStr">
        <is>
          <t>A 46590-2025</t>
        </is>
      </c>
      <c r="B220" s="1" t="n">
        <v>45926.39542824074</v>
      </c>
      <c r="C220" s="1" t="n">
        <v>46176</v>
      </c>
      <c r="D220" t="inlineStr">
        <is>
          <t>UPPSALA LÄN</t>
        </is>
      </c>
      <c r="E220" t="inlineStr">
        <is>
          <t>ENKÖPING</t>
        </is>
      </c>
      <c r="G220" t="n">
        <v>2.7</v>
      </c>
      <c r="H220" t="n">
        <v>0</v>
      </c>
      <c r="I220" t="n">
        <v>0</v>
      </c>
      <c r="J220" t="n">
        <v>0</v>
      </c>
      <c r="K220" t="n">
        <v>0</v>
      </c>
      <c r="L220" t="n">
        <v>0</v>
      </c>
      <c r="M220" t="n">
        <v>0</v>
      </c>
      <c r="N220" t="n">
        <v>0</v>
      </c>
      <c r="O220" t="n">
        <v>0</v>
      </c>
      <c r="P220" t="n">
        <v>0</v>
      </c>
      <c r="Q220" t="n">
        <v>0</v>
      </c>
      <c r="R220" s="2" t="inlineStr"/>
    </row>
    <row r="221" ht="15" customHeight="1">
      <c r="A221" t="inlineStr">
        <is>
          <t>A 23889-2026</t>
        </is>
      </c>
      <c r="B221" s="1" t="n">
        <v>46167.45914351852</v>
      </c>
      <c r="C221" s="1" t="n">
        <v>46176</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43230-2023</t>
        </is>
      </c>
      <c r="B222" s="1" t="n">
        <v>45183</v>
      </c>
      <c r="C222" s="1" t="n">
        <v>46176</v>
      </c>
      <c r="D222" t="inlineStr">
        <is>
          <t>UPPSALA LÄN</t>
        </is>
      </c>
      <c r="E222" t="inlineStr">
        <is>
          <t>ENKÖPING</t>
        </is>
      </c>
      <c r="G222" t="n">
        <v>2.1</v>
      </c>
      <c r="H222" t="n">
        <v>0</v>
      </c>
      <c r="I222" t="n">
        <v>0</v>
      </c>
      <c r="J222" t="n">
        <v>0</v>
      </c>
      <c r="K222" t="n">
        <v>0</v>
      </c>
      <c r="L222" t="n">
        <v>0</v>
      </c>
      <c r="M222" t="n">
        <v>0</v>
      </c>
      <c r="N222" t="n">
        <v>0</v>
      </c>
      <c r="O222" t="n">
        <v>0</v>
      </c>
      <c r="P222" t="n">
        <v>0</v>
      </c>
      <c r="Q222" t="n">
        <v>0</v>
      </c>
      <c r="R222" s="2" t="inlineStr"/>
    </row>
    <row r="223" ht="15" customHeight="1">
      <c r="A223" t="inlineStr">
        <is>
          <t>A 40773-2022</t>
        </is>
      </c>
      <c r="B223" s="1" t="n">
        <v>44824.61237268519</v>
      </c>
      <c r="C223" s="1" t="n">
        <v>46176</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45362-2022</t>
        </is>
      </c>
      <c r="B224" s="1" t="n">
        <v>44844.62366898148</v>
      </c>
      <c r="C224" s="1" t="n">
        <v>46176</v>
      </c>
      <c r="D224" t="inlineStr">
        <is>
          <t>UPPSALA LÄN</t>
        </is>
      </c>
      <c r="E224" t="inlineStr">
        <is>
          <t>ENKÖPING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72840-2021</t>
        </is>
      </c>
      <c r="B225" s="1" t="n">
        <v>44547</v>
      </c>
      <c r="C225" s="1" t="n">
        <v>46176</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62599-2025</t>
        </is>
      </c>
      <c r="B226" s="1" t="n">
        <v>46007.91961805556</v>
      </c>
      <c r="C226" s="1" t="n">
        <v>46176</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16967-2022</t>
        </is>
      </c>
      <c r="B227" s="1" t="n">
        <v>44676</v>
      </c>
      <c r="C227" s="1" t="n">
        <v>46176</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47441-2025</t>
        </is>
      </c>
      <c r="B228" s="1" t="n">
        <v>45930.63986111111</v>
      </c>
      <c r="C228" s="1" t="n">
        <v>46176</v>
      </c>
      <c r="D228" t="inlineStr">
        <is>
          <t>UPPSALA LÄN</t>
        </is>
      </c>
      <c r="E228" t="inlineStr">
        <is>
          <t>ENKÖPING</t>
        </is>
      </c>
      <c r="F228" t="inlineStr">
        <is>
          <t>Allmännings- och besparingsskogar</t>
        </is>
      </c>
      <c r="G228" t="n">
        <v>11.5</v>
      </c>
      <c r="H228" t="n">
        <v>0</v>
      </c>
      <c r="I228" t="n">
        <v>0</v>
      </c>
      <c r="J228" t="n">
        <v>0</v>
      </c>
      <c r="K228" t="n">
        <v>0</v>
      </c>
      <c r="L228" t="n">
        <v>0</v>
      </c>
      <c r="M228" t="n">
        <v>0</v>
      </c>
      <c r="N228" t="n">
        <v>0</v>
      </c>
      <c r="O228" t="n">
        <v>0</v>
      </c>
      <c r="P228" t="n">
        <v>0</v>
      </c>
      <c r="Q228" t="n">
        <v>0</v>
      </c>
      <c r="R228" s="2" t="inlineStr"/>
    </row>
    <row r="229" ht="15" customHeight="1">
      <c r="A229" t="inlineStr">
        <is>
          <t>A 23882-2026</t>
        </is>
      </c>
      <c r="B229" s="1" t="n">
        <v>46167.448125</v>
      </c>
      <c r="C229" s="1" t="n">
        <v>46176</v>
      </c>
      <c r="D229" t="inlineStr">
        <is>
          <t>UPPSALA LÄN</t>
        </is>
      </c>
      <c r="E229" t="inlineStr">
        <is>
          <t>ENKÖPING</t>
        </is>
      </c>
      <c r="G229" t="n">
        <v>8.5</v>
      </c>
      <c r="H229" t="n">
        <v>0</v>
      </c>
      <c r="I229" t="n">
        <v>0</v>
      </c>
      <c r="J229" t="n">
        <v>0</v>
      </c>
      <c r="K229" t="n">
        <v>0</v>
      </c>
      <c r="L229" t="n">
        <v>0</v>
      </c>
      <c r="M229" t="n">
        <v>0</v>
      </c>
      <c r="N229" t="n">
        <v>0</v>
      </c>
      <c r="O229" t="n">
        <v>0</v>
      </c>
      <c r="P229" t="n">
        <v>0</v>
      </c>
      <c r="Q229" t="n">
        <v>0</v>
      </c>
      <c r="R229" s="2" t="inlineStr"/>
    </row>
    <row r="230" ht="15" customHeight="1">
      <c r="A230" t="inlineStr">
        <is>
          <t>A 9257-2026</t>
        </is>
      </c>
      <c r="B230" s="1" t="n">
        <v>46070.51166666667</v>
      </c>
      <c r="C230" s="1" t="n">
        <v>46176</v>
      </c>
      <c r="D230" t="inlineStr">
        <is>
          <t>UPPSALA LÄN</t>
        </is>
      </c>
      <c r="E230" t="inlineStr">
        <is>
          <t>ENKÖPING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25989-2025</t>
        </is>
      </c>
      <c r="B231" s="1" t="n">
        <v>45804.65050925926</v>
      </c>
      <c r="C231" s="1" t="n">
        <v>46176</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18644-2026</t>
        </is>
      </c>
      <c r="B232" s="1" t="n">
        <v>46128.33157407407</v>
      </c>
      <c r="C232" s="1" t="n">
        <v>46176</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34617-2022</t>
        </is>
      </c>
      <c r="B233" s="1" t="n">
        <v>44795</v>
      </c>
      <c r="C233" s="1" t="n">
        <v>46176</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39439-2025</t>
        </is>
      </c>
      <c r="B234" s="1" t="n">
        <v>45889</v>
      </c>
      <c r="C234" s="1" t="n">
        <v>46176</v>
      </c>
      <c r="D234" t="inlineStr">
        <is>
          <t>UPPSALA LÄN</t>
        </is>
      </c>
      <c r="E234" t="inlineStr">
        <is>
          <t>ENKÖPING</t>
        </is>
      </c>
      <c r="G234" t="n">
        <v>0.4</v>
      </c>
      <c r="H234" t="n">
        <v>0</v>
      </c>
      <c r="I234" t="n">
        <v>0</v>
      </c>
      <c r="J234" t="n">
        <v>0</v>
      </c>
      <c r="K234" t="n">
        <v>0</v>
      </c>
      <c r="L234" t="n">
        <v>0</v>
      </c>
      <c r="M234" t="n">
        <v>0</v>
      </c>
      <c r="N234" t="n">
        <v>0</v>
      </c>
      <c r="O234" t="n">
        <v>0</v>
      </c>
      <c r="P234" t="n">
        <v>0</v>
      </c>
      <c r="Q234" t="n">
        <v>0</v>
      </c>
      <c r="R234" s="2" t="inlineStr"/>
    </row>
    <row r="235" ht="15" customHeight="1">
      <c r="A235" t="inlineStr">
        <is>
          <t>A 1992-2022</t>
        </is>
      </c>
      <c r="B235" s="1" t="n">
        <v>44575.56153935185</v>
      </c>
      <c r="C235" s="1" t="n">
        <v>46176</v>
      </c>
      <c r="D235" t="inlineStr">
        <is>
          <t>UPPSALA LÄN</t>
        </is>
      </c>
      <c r="E235" t="inlineStr">
        <is>
          <t>ENKÖPING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48678-2025</t>
        </is>
      </c>
      <c r="B236" s="1" t="n">
        <v>45936.59168981481</v>
      </c>
      <c r="C236" s="1" t="n">
        <v>46176</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1695-2025</t>
        </is>
      </c>
      <c r="B237" s="1" t="n">
        <v>45670</v>
      </c>
      <c r="C237" s="1" t="n">
        <v>46176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18643-2026</t>
        </is>
      </c>
      <c r="B238" s="1" t="n">
        <v>46128.33024305556</v>
      </c>
      <c r="C238" s="1" t="n">
        <v>46176</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48423-2025</t>
        </is>
      </c>
      <c r="B239" s="1" t="n">
        <v>45934.68024305555</v>
      </c>
      <c r="C239" s="1" t="n">
        <v>46176</v>
      </c>
      <c r="D239" t="inlineStr">
        <is>
          <t>UPPSALA LÄN</t>
        </is>
      </c>
      <c r="E239" t="inlineStr">
        <is>
          <t>ENKÖPING</t>
        </is>
      </c>
      <c r="G239" t="n">
        <v>4.3</v>
      </c>
      <c r="H239" t="n">
        <v>0</v>
      </c>
      <c r="I239" t="n">
        <v>0</v>
      </c>
      <c r="J239" t="n">
        <v>0</v>
      </c>
      <c r="K239" t="n">
        <v>0</v>
      </c>
      <c r="L239" t="n">
        <v>0</v>
      </c>
      <c r="M239" t="n">
        <v>0</v>
      </c>
      <c r="N239" t="n">
        <v>0</v>
      </c>
      <c r="O239" t="n">
        <v>0</v>
      </c>
      <c r="P239" t="n">
        <v>0</v>
      </c>
      <c r="Q239" t="n">
        <v>0</v>
      </c>
      <c r="R239" s="2" t="inlineStr"/>
    </row>
    <row r="240" ht="15" customHeight="1">
      <c r="A240" t="inlineStr">
        <is>
          <t>A 18806-2026</t>
        </is>
      </c>
      <c r="B240" s="1" t="n">
        <v>46128.63238425926</v>
      </c>
      <c r="C240" s="1" t="n">
        <v>46176</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48424-2025</t>
        </is>
      </c>
      <c r="B241" s="1" t="n">
        <v>45934.69131944444</v>
      </c>
      <c r="C241" s="1" t="n">
        <v>46176</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49073-2025</t>
        </is>
      </c>
      <c r="B242" s="1" t="n">
        <v>45937.65512731481</v>
      </c>
      <c r="C242" s="1" t="n">
        <v>46176</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18565-2026</t>
        </is>
      </c>
      <c r="B243" s="1" t="n">
        <v>46127.5871412037</v>
      </c>
      <c r="C243" s="1" t="n">
        <v>46176</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6041-2026</t>
        </is>
      </c>
      <c r="B244" s="1" t="n">
        <v>46052.62184027778</v>
      </c>
      <c r="C244" s="1" t="n">
        <v>46176</v>
      </c>
      <c r="D244" t="inlineStr">
        <is>
          <t>UPPSALA LÄN</t>
        </is>
      </c>
      <c r="E244" t="inlineStr">
        <is>
          <t>ENKÖPING</t>
        </is>
      </c>
      <c r="G244" t="n">
        <v>4</v>
      </c>
      <c r="H244" t="n">
        <v>0</v>
      </c>
      <c r="I244" t="n">
        <v>0</v>
      </c>
      <c r="J244" t="n">
        <v>0</v>
      </c>
      <c r="K244" t="n">
        <v>0</v>
      </c>
      <c r="L244" t="n">
        <v>0</v>
      </c>
      <c r="M244" t="n">
        <v>0</v>
      </c>
      <c r="N244" t="n">
        <v>0</v>
      </c>
      <c r="O244" t="n">
        <v>0</v>
      </c>
      <c r="P244" t="n">
        <v>0</v>
      </c>
      <c r="Q244" t="n">
        <v>0</v>
      </c>
      <c r="R244" s="2" t="inlineStr"/>
    </row>
    <row r="245" ht="15" customHeight="1">
      <c r="A245" t="inlineStr">
        <is>
          <t>A 6044-2026</t>
        </is>
      </c>
      <c r="B245" s="1" t="n">
        <v>46052.62506944445</v>
      </c>
      <c r="C245" s="1" t="n">
        <v>46176</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7167-2026</t>
        </is>
      </c>
      <c r="B246" s="1" t="n">
        <v>46058.45677083333</v>
      </c>
      <c r="C246" s="1" t="n">
        <v>46176</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6049-2026</t>
        </is>
      </c>
      <c r="B247" s="1" t="n">
        <v>46052.63005787037</v>
      </c>
      <c r="C247" s="1" t="n">
        <v>46176</v>
      </c>
      <c r="D247" t="inlineStr">
        <is>
          <t>UPPSALA LÄN</t>
        </is>
      </c>
      <c r="E247" t="inlineStr">
        <is>
          <t>ENKÖPING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7168-2026</t>
        </is>
      </c>
      <c r="B248" s="1" t="n">
        <v>46058.45831018518</v>
      </c>
      <c r="C248" s="1" t="n">
        <v>46176</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7172-2026</t>
        </is>
      </c>
      <c r="B249" s="1" t="n">
        <v>46058.46113425926</v>
      </c>
      <c r="C249" s="1" t="n">
        <v>46176</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7175-2026</t>
        </is>
      </c>
      <c r="B250" s="1" t="n">
        <v>46058.46399305556</v>
      </c>
      <c r="C250" s="1" t="n">
        <v>46176</v>
      </c>
      <c r="D250" t="inlineStr">
        <is>
          <t>UPPSALA LÄN</t>
        </is>
      </c>
      <c r="E250" t="inlineStr">
        <is>
          <t>ENKÖPING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43103-2025</t>
        </is>
      </c>
      <c r="B251" s="1" t="n">
        <v>45909</v>
      </c>
      <c r="C251" s="1" t="n">
        <v>46176</v>
      </c>
      <c r="D251" t="inlineStr">
        <is>
          <t>UPPSALA LÄN</t>
        </is>
      </c>
      <c r="E251" t="inlineStr">
        <is>
          <t>ENKÖPING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54357-2023</t>
        </is>
      </c>
      <c r="B252" s="1" t="n">
        <v>45225</v>
      </c>
      <c r="C252" s="1" t="n">
        <v>46176</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25990-2025</t>
        </is>
      </c>
      <c r="B253" s="1" t="n">
        <v>45804.65229166667</v>
      </c>
      <c r="C253" s="1" t="n">
        <v>46176</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24962-2023</t>
        </is>
      </c>
      <c r="B254" s="1" t="n">
        <v>45085.60123842592</v>
      </c>
      <c r="C254" s="1" t="n">
        <v>46176</v>
      </c>
      <c r="D254" t="inlineStr">
        <is>
          <t>UPPSALA LÄN</t>
        </is>
      </c>
      <c r="E254" t="inlineStr">
        <is>
          <t>ENKÖPING</t>
        </is>
      </c>
      <c r="G254" t="n">
        <v>2.8</v>
      </c>
      <c r="H254" t="n">
        <v>0</v>
      </c>
      <c r="I254" t="n">
        <v>0</v>
      </c>
      <c r="J254" t="n">
        <v>0</v>
      </c>
      <c r="K254" t="n">
        <v>0</v>
      </c>
      <c r="L254" t="n">
        <v>0</v>
      </c>
      <c r="M254" t="n">
        <v>0</v>
      </c>
      <c r="N254" t="n">
        <v>0</v>
      </c>
      <c r="O254" t="n">
        <v>0</v>
      </c>
      <c r="P254" t="n">
        <v>0</v>
      </c>
      <c r="Q254" t="n">
        <v>0</v>
      </c>
      <c r="R254" s="2" t="inlineStr"/>
    </row>
    <row r="255" ht="15" customHeight="1">
      <c r="A255" t="inlineStr">
        <is>
          <t>A 18562-2026</t>
        </is>
      </c>
      <c r="B255" s="1" t="n">
        <v>46127</v>
      </c>
      <c r="C255" s="1" t="n">
        <v>46176</v>
      </c>
      <c r="D255" t="inlineStr">
        <is>
          <t>UPPSALA LÄN</t>
        </is>
      </c>
      <c r="E255" t="inlineStr">
        <is>
          <t>ENKÖPING</t>
        </is>
      </c>
      <c r="G255" t="n">
        <v>4</v>
      </c>
      <c r="H255" t="n">
        <v>0</v>
      </c>
      <c r="I255" t="n">
        <v>0</v>
      </c>
      <c r="J255" t="n">
        <v>0</v>
      </c>
      <c r="K255" t="n">
        <v>0</v>
      </c>
      <c r="L255" t="n">
        <v>0</v>
      </c>
      <c r="M255" t="n">
        <v>0</v>
      </c>
      <c r="N255" t="n">
        <v>0</v>
      </c>
      <c r="O255" t="n">
        <v>0</v>
      </c>
      <c r="P255" t="n">
        <v>0</v>
      </c>
      <c r="Q255" t="n">
        <v>0</v>
      </c>
      <c r="R255" s="2" t="inlineStr"/>
    </row>
    <row r="256" ht="15" customHeight="1">
      <c r="A256" t="inlineStr">
        <is>
          <t>A 49068-2025</t>
        </is>
      </c>
      <c r="B256" s="1" t="n">
        <v>45937.64766203704</v>
      </c>
      <c r="C256" s="1" t="n">
        <v>46176</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24887-2026</t>
        </is>
      </c>
      <c r="B257" s="1" t="n">
        <v>46174.45263888889</v>
      </c>
      <c r="C257" s="1" t="n">
        <v>46176</v>
      </c>
      <c r="D257" t="inlineStr">
        <is>
          <t>UPPSALA LÄN</t>
        </is>
      </c>
      <c r="E257" t="inlineStr">
        <is>
          <t>ENKÖPING</t>
        </is>
      </c>
      <c r="G257" t="n">
        <v>8</v>
      </c>
      <c r="H257" t="n">
        <v>0</v>
      </c>
      <c r="I257" t="n">
        <v>0</v>
      </c>
      <c r="J257" t="n">
        <v>0</v>
      </c>
      <c r="K257" t="n">
        <v>0</v>
      </c>
      <c r="L257" t="n">
        <v>0</v>
      </c>
      <c r="M257" t="n">
        <v>0</v>
      </c>
      <c r="N257" t="n">
        <v>0</v>
      </c>
      <c r="O257" t="n">
        <v>0</v>
      </c>
      <c r="P257" t="n">
        <v>0</v>
      </c>
      <c r="Q257" t="n">
        <v>0</v>
      </c>
      <c r="R257" s="2" t="inlineStr"/>
    </row>
    <row r="258" ht="15" customHeight="1">
      <c r="A258" t="inlineStr">
        <is>
          <t>A 58961-2024</t>
        </is>
      </c>
      <c r="B258" s="1" t="n">
        <v>45636.585</v>
      </c>
      <c r="C258" s="1" t="n">
        <v>46176</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51162-2025</t>
        </is>
      </c>
      <c r="B259" s="1" t="n">
        <v>45947.58820601852</v>
      </c>
      <c r="C259" s="1" t="n">
        <v>46176</v>
      </c>
      <c r="D259" t="inlineStr">
        <is>
          <t>UPPSALA LÄN</t>
        </is>
      </c>
      <c r="E259" t="inlineStr">
        <is>
          <t>ENKÖPING</t>
        </is>
      </c>
      <c r="G259" t="n">
        <v>3.4</v>
      </c>
      <c r="H259" t="n">
        <v>0</v>
      </c>
      <c r="I259" t="n">
        <v>0</v>
      </c>
      <c r="J259" t="n">
        <v>0</v>
      </c>
      <c r="K259" t="n">
        <v>0</v>
      </c>
      <c r="L259" t="n">
        <v>0</v>
      </c>
      <c r="M259" t="n">
        <v>0</v>
      </c>
      <c r="N259" t="n">
        <v>0</v>
      </c>
      <c r="O259" t="n">
        <v>0</v>
      </c>
      <c r="P259" t="n">
        <v>0</v>
      </c>
      <c r="Q259" t="n">
        <v>0</v>
      </c>
      <c r="R259" s="2" t="inlineStr"/>
    </row>
    <row r="260" ht="15" customHeight="1">
      <c r="A260" t="inlineStr">
        <is>
          <t>A 53595-2023</t>
        </is>
      </c>
      <c r="B260" s="1" t="n">
        <v>45223</v>
      </c>
      <c r="C260" s="1" t="n">
        <v>46176</v>
      </c>
      <c r="D260" t="inlineStr">
        <is>
          <t>UPPSALA LÄN</t>
        </is>
      </c>
      <c r="E260" t="inlineStr">
        <is>
          <t>ENKÖPING</t>
        </is>
      </c>
      <c r="G260" t="n">
        <v>2.6</v>
      </c>
      <c r="H260" t="n">
        <v>0</v>
      </c>
      <c r="I260" t="n">
        <v>0</v>
      </c>
      <c r="J260" t="n">
        <v>0</v>
      </c>
      <c r="K260" t="n">
        <v>0</v>
      </c>
      <c r="L260" t="n">
        <v>0</v>
      </c>
      <c r="M260" t="n">
        <v>0</v>
      </c>
      <c r="N260" t="n">
        <v>0</v>
      </c>
      <c r="O260" t="n">
        <v>0</v>
      </c>
      <c r="P260" t="n">
        <v>0</v>
      </c>
      <c r="Q260" t="n">
        <v>0</v>
      </c>
      <c r="R260" s="2" t="inlineStr"/>
    </row>
    <row r="261" ht="15" customHeight="1">
      <c r="A261" t="inlineStr">
        <is>
          <t>A 51133-2025</t>
        </is>
      </c>
      <c r="B261" s="1" t="n">
        <v>45947.55598379629</v>
      </c>
      <c r="C261" s="1" t="n">
        <v>46176</v>
      </c>
      <c r="D261" t="inlineStr">
        <is>
          <t>UPPSALA LÄN</t>
        </is>
      </c>
      <c r="E261" t="inlineStr">
        <is>
          <t>ENKÖPING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15893-2024</t>
        </is>
      </c>
      <c r="B262" s="1" t="n">
        <v>45405</v>
      </c>
      <c r="C262" s="1" t="n">
        <v>46176</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18028-2023</t>
        </is>
      </c>
      <c r="B263" s="1" t="n">
        <v>45040</v>
      </c>
      <c r="C263" s="1" t="n">
        <v>46176</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26017-2025</t>
        </is>
      </c>
      <c r="B264" s="1" t="n">
        <v>45804</v>
      </c>
      <c r="C264" s="1" t="n">
        <v>46176</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48843-2023</t>
        </is>
      </c>
      <c r="B265" s="1" t="n">
        <v>45209</v>
      </c>
      <c r="C265" s="1" t="n">
        <v>46176</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33670-2024</t>
        </is>
      </c>
      <c r="B266" s="1" t="n">
        <v>45520</v>
      </c>
      <c r="C266" s="1" t="n">
        <v>46176</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19376-2024</t>
        </is>
      </c>
      <c r="B267" s="1" t="n">
        <v>45429</v>
      </c>
      <c r="C267" s="1" t="n">
        <v>46176</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26011-2025</t>
        </is>
      </c>
      <c r="B268" s="1" t="n">
        <v>45804.67412037037</v>
      </c>
      <c r="C268" s="1" t="n">
        <v>46176</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2850-2025</t>
        </is>
      </c>
      <c r="B269" s="1" t="n">
        <v>45677</v>
      </c>
      <c r="C269" s="1" t="n">
        <v>46176</v>
      </c>
      <c r="D269" t="inlineStr">
        <is>
          <t>UPPSALA LÄN</t>
        </is>
      </c>
      <c r="E269" t="inlineStr">
        <is>
          <t>ENKÖPING</t>
        </is>
      </c>
      <c r="G269" t="n">
        <v>0.3</v>
      </c>
      <c r="H269" t="n">
        <v>0</v>
      </c>
      <c r="I269" t="n">
        <v>0</v>
      </c>
      <c r="J269" t="n">
        <v>0</v>
      </c>
      <c r="K269" t="n">
        <v>0</v>
      </c>
      <c r="L269" t="n">
        <v>0</v>
      </c>
      <c r="M269" t="n">
        <v>0</v>
      </c>
      <c r="N269" t="n">
        <v>0</v>
      </c>
      <c r="O269" t="n">
        <v>0</v>
      </c>
      <c r="P269" t="n">
        <v>0</v>
      </c>
      <c r="Q269" t="n">
        <v>0</v>
      </c>
      <c r="R269" s="2" t="inlineStr"/>
    </row>
    <row r="270" ht="15" customHeight="1">
      <c r="A270" t="inlineStr">
        <is>
          <t>A 12020-2024</t>
        </is>
      </c>
      <c r="B270" s="1" t="n">
        <v>45377</v>
      </c>
      <c r="C270" s="1" t="n">
        <v>46176</v>
      </c>
      <c r="D270" t="inlineStr">
        <is>
          <t>UPPSALA LÄN</t>
        </is>
      </c>
      <c r="E270" t="inlineStr">
        <is>
          <t>ENKÖPING</t>
        </is>
      </c>
      <c r="G270" t="n">
        <v>2</v>
      </c>
      <c r="H270" t="n">
        <v>0</v>
      </c>
      <c r="I270" t="n">
        <v>0</v>
      </c>
      <c r="J270" t="n">
        <v>0</v>
      </c>
      <c r="K270" t="n">
        <v>0</v>
      </c>
      <c r="L270" t="n">
        <v>0</v>
      </c>
      <c r="M270" t="n">
        <v>0</v>
      </c>
      <c r="N270" t="n">
        <v>0</v>
      </c>
      <c r="O270" t="n">
        <v>0</v>
      </c>
      <c r="P270" t="n">
        <v>0</v>
      </c>
      <c r="Q270" t="n">
        <v>0</v>
      </c>
      <c r="R270" s="2" t="inlineStr"/>
    </row>
    <row r="271" ht="15" customHeight="1">
      <c r="A271" t="inlineStr">
        <is>
          <t>A 54541-2025</t>
        </is>
      </c>
      <c r="B271" s="1" t="n">
        <v>45965.64733796296</v>
      </c>
      <c r="C271" s="1" t="n">
        <v>46176</v>
      </c>
      <c r="D271" t="inlineStr">
        <is>
          <t>UPPSALA LÄN</t>
        </is>
      </c>
      <c r="E271" t="inlineStr">
        <is>
          <t>ENKÖPING</t>
        </is>
      </c>
      <c r="G271" t="n">
        <v>3.1</v>
      </c>
      <c r="H271" t="n">
        <v>0</v>
      </c>
      <c r="I271" t="n">
        <v>0</v>
      </c>
      <c r="J271" t="n">
        <v>0</v>
      </c>
      <c r="K271" t="n">
        <v>0</v>
      </c>
      <c r="L271" t="n">
        <v>0</v>
      </c>
      <c r="M271" t="n">
        <v>0</v>
      </c>
      <c r="N271" t="n">
        <v>0</v>
      </c>
      <c r="O271" t="n">
        <v>0</v>
      </c>
      <c r="P271" t="n">
        <v>0</v>
      </c>
      <c r="Q271" t="n">
        <v>0</v>
      </c>
      <c r="R271" s="2" t="inlineStr"/>
    </row>
    <row r="272" ht="15" customHeight="1">
      <c r="A272" t="inlineStr">
        <is>
          <t>A 54263-2025</t>
        </is>
      </c>
      <c r="B272" s="1" t="n">
        <v>45964.66271990741</v>
      </c>
      <c r="C272" s="1" t="n">
        <v>46176</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10465-2022</t>
        </is>
      </c>
      <c r="B273" s="1" t="n">
        <v>44623</v>
      </c>
      <c r="C273" s="1" t="n">
        <v>46176</v>
      </c>
      <c r="D273" t="inlineStr">
        <is>
          <t>UPPSALA LÄN</t>
        </is>
      </c>
      <c r="E273" t="inlineStr">
        <is>
          <t>ENKÖPING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14332-2024</t>
        </is>
      </c>
      <c r="B274" s="1" t="n">
        <v>45393</v>
      </c>
      <c r="C274" s="1" t="n">
        <v>46176</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61207-2023</t>
        </is>
      </c>
      <c r="B275" s="1" t="n">
        <v>45264.39444444444</v>
      </c>
      <c r="C275" s="1" t="n">
        <v>46176</v>
      </c>
      <c r="D275" t="inlineStr">
        <is>
          <t>UPPSALA LÄN</t>
        </is>
      </c>
      <c r="E275" t="inlineStr">
        <is>
          <t>ENKÖPING</t>
        </is>
      </c>
      <c r="G275" t="n">
        <v>10.8</v>
      </c>
      <c r="H275" t="n">
        <v>0</v>
      </c>
      <c r="I275" t="n">
        <v>0</v>
      </c>
      <c r="J275" t="n">
        <v>0</v>
      </c>
      <c r="K275" t="n">
        <v>0</v>
      </c>
      <c r="L275" t="n">
        <v>0</v>
      </c>
      <c r="M275" t="n">
        <v>0</v>
      </c>
      <c r="N275" t="n">
        <v>0</v>
      </c>
      <c r="O275" t="n">
        <v>0</v>
      </c>
      <c r="P275" t="n">
        <v>0</v>
      </c>
      <c r="Q275" t="n">
        <v>0</v>
      </c>
      <c r="R275" s="2" t="inlineStr"/>
    </row>
    <row r="276" ht="15" customHeight="1">
      <c r="A276" t="inlineStr">
        <is>
          <t>A 54844-2025</t>
        </is>
      </c>
      <c r="B276" s="1" t="n">
        <v>45966.69570601852</v>
      </c>
      <c r="C276" s="1" t="n">
        <v>46176</v>
      </c>
      <c r="D276" t="inlineStr">
        <is>
          <t>UPPSALA LÄN</t>
        </is>
      </c>
      <c r="E276" t="inlineStr">
        <is>
          <t>ENKÖPING</t>
        </is>
      </c>
      <c r="G276" t="n">
        <v>5.5</v>
      </c>
      <c r="H276" t="n">
        <v>0</v>
      </c>
      <c r="I276" t="n">
        <v>0</v>
      </c>
      <c r="J276" t="n">
        <v>0</v>
      </c>
      <c r="K276" t="n">
        <v>0</v>
      </c>
      <c r="L276" t="n">
        <v>0</v>
      </c>
      <c r="M276" t="n">
        <v>0</v>
      </c>
      <c r="N276" t="n">
        <v>0</v>
      </c>
      <c r="O276" t="n">
        <v>0</v>
      </c>
      <c r="P276" t="n">
        <v>0</v>
      </c>
      <c r="Q276" t="n">
        <v>0</v>
      </c>
      <c r="R276" s="2" t="inlineStr"/>
    </row>
    <row r="277" ht="15" customHeight="1">
      <c r="A277" t="inlineStr">
        <is>
          <t>A 40812-2022</t>
        </is>
      </c>
      <c r="B277" s="1" t="n">
        <v>44824.68791666667</v>
      </c>
      <c r="C277" s="1" t="n">
        <v>46176</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43691-2024</t>
        </is>
      </c>
      <c r="B278" s="1" t="n">
        <v>45569</v>
      </c>
      <c r="C278" s="1" t="n">
        <v>46176</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54758-2025</t>
        </is>
      </c>
      <c r="B279" s="1" t="n">
        <v>45966.59737268519</v>
      </c>
      <c r="C279" s="1" t="n">
        <v>46176</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25333-2023</t>
        </is>
      </c>
      <c r="B280" s="1" t="n">
        <v>45083</v>
      </c>
      <c r="C280" s="1" t="n">
        <v>46176</v>
      </c>
      <c r="D280" t="inlineStr">
        <is>
          <t>UPPSALA LÄN</t>
        </is>
      </c>
      <c r="E280" t="inlineStr">
        <is>
          <t>ENKÖPING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3300-2025</t>
        </is>
      </c>
      <c r="B281" s="1" t="n">
        <v>45679</v>
      </c>
      <c r="C281" s="1" t="n">
        <v>46176</v>
      </c>
      <c r="D281" t="inlineStr">
        <is>
          <t>UPPSALA LÄN</t>
        </is>
      </c>
      <c r="E281" t="inlineStr">
        <is>
          <t>ENKÖPING</t>
        </is>
      </c>
      <c r="G281" t="n">
        <v>8.9</v>
      </c>
      <c r="H281" t="n">
        <v>0</v>
      </c>
      <c r="I281" t="n">
        <v>0</v>
      </c>
      <c r="J281" t="n">
        <v>0</v>
      </c>
      <c r="K281" t="n">
        <v>0</v>
      </c>
      <c r="L281" t="n">
        <v>0</v>
      </c>
      <c r="M281" t="n">
        <v>0</v>
      </c>
      <c r="N281" t="n">
        <v>0</v>
      </c>
      <c r="O281" t="n">
        <v>0</v>
      </c>
      <c r="P281" t="n">
        <v>0</v>
      </c>
      <c r="Q281" t="n">
        <v>0</v>
      </c>
      <c r="R281" s="2" t="inlineStr"/>
    </row>
    <row r="282" ht="15" customHeight="1">
      <c r="A282" t="inlineStr">
        <is>
          <t>A 55567-2025</t>
        </is>
      </c>
      <c r="B282" s="1" t="n">
        <v>45971.65589120371</v>
      </c>
      <c r="C282" s="1" t="n">
        <v>46176</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12754-2025</t>
        </is>
      </c>
      <c r="B283" s="1" t="n">
        <v>45733.56331018519</v>
      </c>
      <c r="C283" s="1" t="n">
        <v>46176</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16176-2025</t>
        </is>
      </c>
      <c r="B284" s="1" t="n">
        <v>45750</v>
      </c>
      <c r="C284" s="1" t="n">
        <v>46176</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56713-2024</t>
        </is>
      </c>
      <c r="B285" s="1" t="n">
        <v>45628</v>
      </c>
      <c r="C285" s="1" t="n">
        <v>46176</v>
      </c>
      <c r="D285" t="inlineStr">
        <is>
          <t>UPPSALA LÄN</t>
        </is>
      </c>
      <c r="E285" t="inlineStr">
        <is>
          <t>ENKÖPING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37870-2023</t>
        </is>
      </c>
      <c r="B286" s="1" t="n">
        <v>45160.41996527778</v>
      </c>
      <c r="C286" s="1" t="n">
        <v>46176</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22094-2023</t>
        </is>
      </c>
      <c r="B287" s="1" t="n">
        <v>45069</v>
      </c>
      <c r="C287" s="1" t="n">
        <v>46176</v>
      </c>
      <c r="D287" t="inlineStr">
        <is>
          <t>UPPSALA LÄN</t>
        </is>
      </c>
      <c r="E287" t="inlineStr">
        <is>
          <t>ENKÖPING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56625-2025</t>
        </is>
      </c>
      <c r="B288" s="1" t="n">
        <v>45975.60608796297</v>
      </c>
      <c r="C288" s="1" t="n">
        <v>46176</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15405-2025</t>
        </is>
      </c>
      <c r="B289" s="1" t="n">
        <v>45747.44670138889</v>
      </c>
      <c r="C289" s="1" t="n">
        <v>46176</v>
      </c>
      <c r="D289" t="inlineStr">
        <is>
          <t>UPPSALA LÄN</t>
        </is>
      </c>
      <c r="E289" t="inlineStr">
        <is>
          <t>ENKÖPING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35079-2024</t>
        </is>
      </c>
      <c r="B290" s="1" t="n">
        <v>45527.66770833333</v>
      </c>
      <c r="C290" s="1" t="n">
        <v>46176</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33581-2023</t>
        </is>
      </c>
      <c r="B291" s="1" t="n">
        <v>45131</v>
      </c>
      <c r="C291" s="1" t="n">
        <v>46176</v>
      </c>
      <c r="D291" t="inlineStr">
        <is>
          <t>UPPSALA LÄN</t>
        </is>
      </c>
      <c r="E291" t="inlineStr">
        <is>
          <t>ENKÖPING</t>
        </is>
      </c>
      <c r="G291" t="n">
        <v>3.5</v>
      </c>
      <c r="H291" t="n">
        <v>0</v>
      </c>
      <c r="I291" t="n">
        <v>0</v>
      </c>
      <c r="J291" t="n">
        <v>0</v>
      </c>
      <c r="K291" t="n">
        <v>0</v>
      </c>
      <c r="L291" t="n">
        <v>0</v>
      </c>
      <c r="M291" t="n">
        <v>0</v>
      </c>
      <c r="N291" t="n">
        <v>0</v>
      </c>
      <c r="O291" t="n">
        <v>0</v>
      </c>
      <c r="P291" t="n">
        <v>0</v>
      </c>
      <c r="Q291" t="n">
        <v>0</v>
      </c>
      <c r="R291" s="2" t="inlineStr"/>
    </row>
    <row r="292" ht="15" customHeight="1">
      <c r="A292" t="inlineStr">
        <is>
          <t>A 57294-2025</t>
        </is>
      </c>
      <c r="B292" s="1" t="n">
        <v>45979</v>
      </c>
      <c r="C292" s="1" t="n">
        <v>46176</v>
      </c>
      <c r="D292" t="inlineStr">
        <is>
          <t>UPPSALA LÄN</t>
        </is>
      </c>
      <c r="E292" t="inlineStr">
        <is>
          <t>ENKÖPING</t>
        </is>
      </c>
      <c r="G292" t="n">
        <v>6.2</v>
      </c>
      <c r="H292" t="n">
        <v>0</v>
      </c>
      <c r="I292" t="n">
        <v>0</v>
      </c>
      <c r="J292" t="n">
        <v>0</v>
      </c>
      <c r="K292" t="n">
        <v>0</v>
      </c>
      <c r="L292" t="n">
        <v>0</v>
      </c>
      <c r="M292" t="n">
        <v>0</v>
      </c>
      <c r="N292" t="n">
        <v>0</v>
      </c>
      <c r="O292" t="n">
        <v>0</v>
      </c>
      <c r="P292" t="n">
        <v>0</v>
      </c>
      <c r="Q292" t="n">
        <v>0</v>
      </c>
      <c r="R292" s="2" t="inlineStr"/>
    </row>
    <row r="293" ht="15" customHeight="1">
      <c r="A293" t="inlineStr">
        <is>
          <t>A 56163-2021</t>
        </is>
      </c>
      <c r="B293" s="1" t="n">
        <v>44477</v>
      </c>
      <c r="C293" s="1" t="n">
        <v>46176</v>
      </c>
      <c r="D293" t="inlineStr">
        <is>
          <t>UPPSALA LÄN</t>
        </is>
      </c>
      <c r="E293" t="inlineStr">
        <is>
          <t>ENKÖPING</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47909-2024</t>
        </is>
      </c>
      <c r="B294" s="1" t="n">
        <v>45589.31866898148</v>
      </c>
      <c r="C294" s="1" t="n">
        <v>46176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51932-2022</t>
        </is>
      </c>
      <c r="B295" s="1" t="n">
        <v>44872</v>
      </c>
      <c r="C295" s="1" t="n">
        <v>46176</v>
      </c>
      <c r="D295" t="inlineStr">
        <is>
          <t>UPPSALA LÄN</t>
        </is>
      </c>
      <c r="E295" t="inlineStr">
        <is>
          <t>ENKÖPING</t>
        </is>
      </c>
      <c r="G295" t="n">
        <v>5.5</v>
      </c>
      <c r="H295" t="n">
        <v>0</v>
      </c>
      <c r="I295" t="n">
        <v>0</v>
      </c>
      <c r="J295" t="n">
        <v>0</v>
      </c>
      <c r="K295" t="n">
        <v>0</v>
      </c>
      <c r="L295" t="n">
        <v>0</v>
      </c>
      <c r="M295" t="n">
        <v>0</v>
      </c>
      <c r="N295" t="n">
        <v>0</v>
      </c>
      <c r="O295" t="n">
        <v>0</v>
      </c>
      <c r="P295" t="n">
        <v>0</v>
      </c>
      <c r="Q295" t="n">
        <v>0</v>
      </c>
      <c r="R295" s="2" t="inlineStr"/>
    </row>
    <row r="296" ht="15" customHeight="1">
      <c r="A296" t="inlineStr">
        <is>
          <t>A 58025-2025</t>
        </is>
      </c>
      <c r="B296" s="1" t="n">
        <v>45982</v>
      </c>
      <c r="C296" s="1" t="n">
        <v>46176</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57188-2025</t>
        </is>
      </c>
      <c r="B297" s="1" t="n">
        <v>45979</v>
      </c>
      <c r="C297" s="1" t="n">
        <v>46176</v>
      </c>
      <c r="D297" t="inlineStr">
        <is>
          <t>UPPSALA LÄN</t>
        </is>
      </c>
      <c r="E297" t="inlineStr">
        <is>
          <t>ENKÖPING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59497-2022</t>
        </is>
      </c>
      <c r="B298" s="1" t="n">
        <v>44907.48258101852</v>
      </c>
      <c r="C298" s="1" t="n">
        <v>46176</v>
      </c>
      <c r="D298" t="inlineStr">
        <is>
          <t>UPPSALA LÄN</t>
        </is>
      </c>
      <c r="E298" t="inlineStr">
        <is>
          <t>ENKÖPING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9041-2023</t>
        </is>
      </c>
      <c r="B299" s="1" t="n">
        <v>44979</v>
      </c>
      <c r="C299" s="1" t="n">
        <v>46176</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12755-2025</t>
        </is>
      </c>
      <c r="B300" s="1" t="n">
        <v>45733.56541666666</v>
      </c>
      <c r="C300" s="1" t="n">
        <v>46176</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59027-2024</t>
        </is>
      </c>
      <c r="B301" s="1" t="n">
        <v>45636.68755787037</v>
      </c>
      <c r="C301" s="1" t="n">
        <v>46176</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59668-2025</t>
        </is>
      </c>
      <c r="B302" s="1" t="n">
        <v>45992.45567129629</v>
      </c>
      <c r="C302" s="1" t="n">
        <v>46176</v>
      </c>
      <c r="D302" t="inlineStr">
        <is>
          <t>UPPSALA LÄN</t>
        </is>
      </c>
      <c r="E302" t="inlineStr">
        <is>
          <t>ENKÖPING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53587-2024</t>
        </is>
      </c>
      <c r="B303" s="1" t="n">
        <v>45614.66953703704</v>
      </c>
      <c r="C303" s="1" t="n">
        <v>46176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59964-2025</t>
        </is>
      </c>
      <c r="B304" s="1" t="n">
        <v>45993.48043981481</v>
      </c>
      <c r="C304" s="1" t="n">
        <v>46176</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11503-2024</t>
        </is>
      </c>
      <c r="B305" s="1" t="n">
        <v>45372.68020833333</v>
      </c>
      <c r="C305" s="1" t="n">
        <v>46176</v>
      </c>
      <c r="D305" t="inlineStr">
        <is>
          <t>UPPSALA LÄN</t>
        </is>
      </c>
      <c r="E305" t="inlineStr">
        <is>
          <t>ENKÖPING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39115-2024</t>
        </is>
      </c>
      <c r="B306" s="1" t="n">
        <v>45548</v>
      </c>
      <c r="C306" s="1" t="n">
        <v>46176</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25334-2023</t>
        </is>
      </c>
      <c r="B307" s="1" t="n">
        <v>45083</v>
      </c>
      <c r="C307" s="1" t="n">
        <v>46176</v>
      </c>
      <c r="D307" t="inlineStr">
        <is>
          <t>UPPSALA LÄN</t>
        </is>
      </c>
      <c r="E307" t="inlineStr">
        <is>
          <t>ENKÖPING</t>
        </is>
      </c>
      <c r="G307" t="n">
        <v>0.2</v>
      </c>
      <c r="H307" t="n">
        <v>0</v>
      </c>
      <c r="I307" t="n">
        <v>0</v>
      </c>
      <c r="J307" t="n">
        <v>0</v>
      </c>
      <c r="K307" t="n">
        <v>0</v>
      </c>
      <c r="L307" t="n">
        <v>0</v>
      </c>
      <c r="M307" t="n">
        <v>0</v>
      </c>
      <c r="N307" t="n">
        <v>0</v>
      </c>
      <c r="O307" t="n">
        <v>0</v>
      </c>
      <c r="P307" t="n">
        <v>0</v>
      </c>
      <c r="Q307" t="n">
        <v>0</v>
      </c>
      <c r="R307" s="2" t="inlineStr"/>
    </row>
    <row r="308" ht="15" customHeight="1">
      <c r="A308" t="inlineStr">
        <is>
          <t>A 60340-2025</t>
        </is>
      </c>
      <c r="B308" s="1" t="n">
        <v>45994.83415509259</v>
      </c>
      <c r="C308" s="1" t="n">
        <v>46176</v>
      </c>
      <c r="D308" t="inlineStr">
        <is>
          <t>UPPSALA LÄN</t>
        </is>
      </c>
      <c r="E308" t="inlineStr">
        <is>
          <t>ENKÖPING</t>
        </is>
      </c>
      <c r="G308" t="n">
        <v>5.6</v>
      </c>
      <c r="H308" t="n">
        <v>0</v>
      </c>
      <c r="I308" t="n">
        <v>0</v>
      </c>
      <c r="J308" t="n">
        <v>0</v>
      </c>
      <c r="K308" t="n">
        <v>0</v>
      </c>
      <c r="L308" t="n">
        <v>0</v>
      </c>
      <c r="M308" t="n">
        <v>0</v>
      </c>
      <c r="N308" t="n">
        <v>0</v>
      </c>
      <c r="O308" t="n">
        <v>0</v>
      </c>
      <c r="P308" t="n">
        <v>0</v>
      </c>
      <c r="Q308" t="n">
        <v>0</v>
      </c>
      <c r="R308" s="2" t="inlineStr"/>
    </row>
    <row r="309" ht="15" customHeight="1">
      <c r="A309" t="inlineStr">
        <is>
          <t>A 56837-2024</t>
        </is>
      </c>
      <c r="B309" s="1" t="n">
        <v>45628</v>
      </c>
      <c r="C309" s="1" t="n">
        <v>46176</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60174-2025</t>
        </is>
      </c>
      <c r="B310" s="1" t="n">
        <v>45994.45039351852</v>
      </c>
      <c r="C310" s="1" t="n">
        <v>46176</v>
      </c>
      <c r="D310" t="inlineStr">
        <is>
          <t>UPPSALA LÄN</t>
        </is>
      </c>
      <c r="E310" t="inlineStr">
        <is>
          <t>ENKÖPING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60175-2025</t>
        </is>
      </c>
      <c r="B311" s="1" t="n">
        <v>45994.45378472222</v>
      </c>
      <c r="C311" s="1" t="n">
        <v>46176</v>
      </c>
      <c r="D311" t="inlineStr">
        <is>
          <t>UPPSALA LÄN</t>
        </is>
      </c>
      <c r="E311" t="inlineStr">
        <is>
          <t>ENKÖPING</t>
        </is>
      </c>
      <c r="G311" t="n">
        <v>2.4</v>
      </c>
      <c r="H311" t="n">
        <v>0</v>
      </c>
      <c r="I311" t="n">
        <v>0</v>
      </c>
      <c r="J311" t="n">
        <v>0</v>
      </c>
      <c r="K311" t="n">
        <v>0</v>
      </c>
      <c r="L311" t="n">
        <v>0</v>
      </c>
      <c r="M311" t="n">
        <v>0</v>
      </c>
      <c r="N311" t="n">
        <v>0</v>
      </c>
      <c r="O311" t="n">
        <v>0</v>
      </c>
      <c r="P311" t="n">
        <v>0</v>
      </c>
      <c r="Q311" t="n">
        <v>0</v>
      </c>
      <c r="R311" s="2" t="inlineStr"/>
    </row>
    <row r="312" ht="15" customHeight="1">
      <c r="A312" t="inlineStr">
        <is>
          <t>A 60947-2025</t>
        </is>
      </c>
      <c r="B312" s="1" t="n">
        <v>45999</v>
      </c>
      <c r="C312" s="1" t="n">
        <v>46176</v>
      </c>
      <c r="D312" t="inlineStr">
        <is>
          <t>UPPSALA LÄN</t>
        </is>
      </c>
      <c r="E312" t="inlineStr">
        <is>
          <t>ENKÖPING</t>
        </is>
      </c>
      <c r="G312" t="n">
        <v>4</v>
      </c>
      <c r="H312" t="n">
        <v>0</v>
      </c>
      <c r="I312" t="n">
        <v>0</v>
      </c>
      <c r="J312" t="n">
        <v>0</v>
      </c>
      <c r="K312" t="n">
        <v>0</v>
      </c>
      <c r="L312" t="n">
        <v>0</v>
      </c>
      <c r="M312" t="n">
        <v>0</v>
      </c>
      <c r="N312" t="n">
        <v>0</v>
      </c>
      <c r="O312" t="n">
        <v>0</v>
      </c>
      <c r="P312" t="n">
        <v>0</v>
      </c>
      <c r="Q312" t="n">
        <v>0</v>
      </c>
      <c r="R312" s="2" t="inlineStr"/>
    </row>
    <row r="313" ht="15" customHeight="1">
      <c r="A313" t="inlineStr">
        <is>
          <t>A 60934-2025</t>
        </is>
      </c>
      <c r="B313" s="1" t="n">
        <v>45999</v>
      </c>
      <c r="C313" s="1" t="n">
        <v>46176</v>
      </c>
      <c r="D313" t="inlineStr">
        <is>
          <t>UPPSALA LÄN</t>
        </is>
      </c>
      <c r="E313" t="inlineStr">
        <is>
          <t>ENKÖPING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61437-2025</t>
        </is>
      </c>
      <c r="B314" s="1" t="n">
        <v>46001.5659375</v>
      </c>
      <c r="C314" s="1" t="n">
        <v>46176</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18821-2023</t>
        </is>
      </c>
      <c r="B315" s="1" t="n">
        <v>45044.3782175926</v>
      </c>
      <c r="C315" s="1" t="n">
        <v>46176</v>
      </c>
      <c r="D315" t="inlineStr">
        <is>
          <t>UPPSALA LÄN</t>
        </is>
      </c>
      <c r="E315" t="inlineStr">
        <is>
          <t>ENKÖPING</t>
        </is>
      </c>
      <c r="G315" t="n">
        <v>6</v>
      </c>
      <c r="H315" t="n">
        <v>0</v>
      </c>
      <c r="I315" t="n">
        <v>0</v>
      </c>
      <c r="J315" t="n">
        <v>0</v>
      </c>
      <c r="K315" t="n">
        <v>0</v>
      </c>
      <c r="L315" t="n">
        <v>0</v>
      </c>
      <c r="M315" t="n">
        <v>0</v>
      </c>
      <c r="N315" t="n">
        <v>0</v>
      </c>
      <c r="O315" t="n">
        <v>0</v>
      </c>
      <c r="P315" t="n">
        <v>0</v>
      </c>
      <c r="Q315" t="n">
        <v>0</v>
      </c>
      <c r="R315" s="2" t="inlineStr"/>
    </row>
    <row r="316" ht="15" customHeight="1">
      <c r="A316" t="inlineStr">
        <is>
          <t>A 29477-2025</t>
        </is>
      </c>
      <c r="B316" s="1" t="n">
        <v>45824.71537037037</v>
      </c>
      <c r="C316" s="1" t="n">
        <v>46176</v>
      </c>
      <c r="D316" t="inlineStr">
        <is>
          <t>UPPSALA LÄN</t>
        </is>
      </c>
      <c r="E316" t="inlineStr">
        <is>
          <t>ENKÖPING</t>
        </is>
      </c>
      <c r="G316" t="n">
        <v>13.4</v>
      </c>
      <c r="H316" t="n">
        <v>0</v>
      </c>
      <c r="I316" t="n">
        <v>0</v>
      </c>
      <c r="J316" t="n">
        <v>0</v>
      </c>
      <c r="K316" t="n">
        <v>0</v>
      </c>
      <c r="L316" t="n">
        <v>0</v>
      </c>
      <c r="M316" t="n">
        <v>0</v>
      </c>
      <c r="N316" t="n">
        <v>0</v>
      </c>
      <c r="O316" t="n">
        <v>0</v>
      </c>
      <c r="P316" t="n">
        <v>0</v>
      </c>
      <c r="Q316" t="n">
        <v>0</v>
      </c>
      <c r="R316" s="2" t="inlineStr"/>
    </row>
    <row r="317" ht="15" customHeight="1">
      <c r="A317" t="inlineStr">
        <is>
          <t>A 61778-2025</t>
        </is>
      </c>
      <c r="B317" s="1" t="n">
        <v>46002.66555555556</v>
      </c>
      <c r="C317" s="1" t="n">
        <v>46176</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61811-2025</t>
        </is>
      </c>
      <c r="B318" s="1" t="n">
        <v>46002.90059027778</v>
      </c>
      <c r="C318" s="1" t="n">
        <v>46176</v>
      </c>
      <c r="D318" t="inlineStr">
        <is>
          <t>UPPSALA LÄN</t>
        </is>
      </c>
      <c r="E318" t="inlineStr">
        <is>
          <t>ENKÖPING</t>
        </is>
      </c>
      <c r="F318" t="inlineStr">
        <is>
          <t>Allmännings- och besparingsskogar</t>
        </is>
      </c>
      <c r="G318" t="n">
        <v>4.7</v>
      </c>
      <c r="H318" t="n">
        <v>0</v>
      </c>
      <c r="I318" t="n">
        <v>0</v>
      </c>
      <c r="J318" t="n">
        <v>0</v>
      </c>
      <c r="K318" t="n">
        <v>0</v>
      </c>
      <c r="L318" t="n">
        <v>0</v>
      </c>
      <c r="M318" t="n">
        <v>0</v>
      </c>
      <c r="N318" t="n">
        <v>0</v>
      </c>
      <c r="O318" t="n">
        <v>0</v>
      </c>
      <c r="P318" t="n">
        <v>0</v>
      </c>
      <c r="Q318" t="n">
        <v>0</v>
      </c>
      <c r="R318" s="2" t="inlineStr"/>
    </row>
    <row r="319" ht="15" customHeight="1">
      <c r="A319" t="inlineStr">
        <is>
          <t>A 38941-2025</t>
        </is>
      </c>
      <c r="B319" s="1" t="n">
        <v>45887</v>
      </c>
      <c r="C319" s="1" t="n">
        <v>46176</v>
      </c>
      <c r="D319" t="inlineStr">
        <is>
          <t>UPPSALA LÄN</t>
        </is>
      </c>
      <c r="E319" t="inlineStr">
        <is>
          <t>ENKÖPING</t>
        </is>
      </c>
      <c r="F319" t="inlineStr">
        <is>
          <t>Övriga statliga verk och myndigheter</t>
        </is>
      </c>
      <c r="G319" t="n">
        <v>0.6</v>
      </c>
      <c r="H319" t="n">
        <v>0</v>
      </c>
      <c r="I319" t="n">
        <v>0</v>
      </c>
      <c r="J319" t="n">
        <v>0</v>
      </c>
      <c r="K319" t="n">
        <v>0</v>
      </c>
      <c r="L319" t="n">
        <v>0</v>
      </c>
      <c r="M319" t="n">
        <v>0</v>
      </c>
      <c r="N319" t="n">
        <v>0</v>
      </c>
      <c r="O319" t="n">
        <v>0</v>
      </c>
      <c r="P319" t="n">
        <v>0</v>
      </c>
      <c r="Q319" t="n">
        <v>0</v>
      </c>
      <c r="R319" s="2" t="inlineStr"/>
    </row>
    <row r="320" ht="15" customHeight="1">
      <c r="A320" t="inlineStr">
        <is>
          <t>A 57335-2024</t>
        </is>
      </c>
      <c r="B320" s="1" t="n">
        <v>45629.63302083333</v>
      </c>
      <c r="C320" s="1" t="n">
        <v>46176</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61889-2025</t>
        </is>
      </c>
      <c r="B321" s="1" t="n">
        <v>46003.44765046296</v>
      </c>
      <c r="C321" s="1" t="n">
        <v>46176</v>
      </c>
      <c r="D321" t="inlineStr">
        <is>
          <t>UPPSALA LÄN</t>
        </is>
      </c>
      <c r="E321" t="inlineStr">
        <is>
          <t>ENKÖPING</t>
        </is>
      </c>
      <c r="G321" t="n">
        <v>2.3</v>
      </c>
      <c r="H321" t="n">
        <v>0</v>
      </c>
      <c r="I321" t="n">
        <v>0</v>
      </c>
      <c r="J321" t="n">
        <v>0</v>
      </c>
      <c r="K321" t="n">
        <v>0</v>
      </c>
      <c r="L321" t="n">
        <v>0</v>
      </c>
      <c r="M321" t="n">
        <v>0</v>
      </c>
      <c r="N321" t="n">
        <v>0</v>
      </c>
      <c r="O321" t="n">
        <v>0</v>
      </c>
      <c r="P321" t="n">
        <v>0</v>
      </c>
      <c r="Q321" t="n">
        <v>0</v>
      </c>
      <c r="R321" s="2" t="inlineStr"/>
    </row>
    <row r="322" ht="15" customHeight="1">
      <c r="A322" t="inlineStr">
        <is>
          <t>A 57835-2024</t>
        </is>
      </c>
      <c r="B322" s="1" t="n">
        <v>45631.39947916667</v>
      </c>
      <c r="C322" s="1" t="n">
        <v>46176</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53208-2023</t>
        </is>
      </c>
      <c r="B323" s="1" t="n">
        <v>45226</v>
      </c>
      <c r="C323" s="1" t="n">
        <v>46176</v>
      </c>
      <c r="D323" t="inlineStr">
        <is>
          <t>UPPSALA LÄN</t>
        </is>
      </c>
      <c r="E323" t="inlineStr">
        <is>
          <t>ENKÖPING</t>
        </is>
      </c>
      <c r="G323" t="n">
        <v>4.3</v>
      </c>
      <c r="H323" t="n">
        <v>0</v>
      </c>
      <c r="I323" t="n">
        <v>0</v>
      </c>
      <c r="J323" t="n">
        <v>0</v>
      </c>
      <c r="K323" t="n">
        <v>0</v>
      </c>
      <c r="L323" t="n">
        <v>0</v>
      </c>
      <c r="M323" t="n">
        <v>0</v>
      </c>
      <c r="N323" t="n">
        <v>0</v>
      </c>
      <c r="O323" t="n">
        <v>0</v>
      </c>
      <c r="P323" t="n">
        <v>0</v>
      </c>
      <c r="Q323" t="n">
        <v>0</v>
      </c>
      <c r="R323" s="2" t="inlineStr"/>
    </row>
    <row r="324" ht="15" customHeight="1">
      <c r="A324" t="inlineStr">
        <is>
          <t>A 19013-2025</t>
        </is>
      </c>
      <c r="B324" s="1" t="n">
        <v>45764.59533564815</v>
      </c>
      <c r="C324" s="1" t="n">
        <v>46176</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62772-2025</t>
        </is>
      </c>
      <c r="B325" s="1" t="n">
        <v>46008.60365740741</v>
      </c>
      <c r="C325" s="1" t="n">
        <v>46176</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63128-2025</t>
        </is>
      </c>
      <c r="B326" s="1" t="n">
        <v>46009</v>
      </c>
      <c r="C326" s="1" t="n">
        <v>46176</v>
      </c>
      <c r="D326" t="inlineStr">
        <is>
          <t>UPPSALA LÄN</t>
        </is>
      </c>
      <c r="E326" t="inlineStr">
        <is>
          <t>ENKÖPING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62600-2025</t>
        </is>
      </c>
      <c r="B327" s="1" t="n">
        <v>46007.92175925926</v>
      </c>
      <c r="C327" s="1" t="n">
        <v>46176</v>
      </c>
      <c r="D327" t="inlineStr">
        <is>
          <t>UPPSALA LÄN</t>
        </is>
      </c>
      <c r="E327" t="inlineStr">
        <is>
          <t>ENKÖPING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62602-2025</t>
        </is>
      </c>
      <c r="B328" s="1" t="n">
        <v>46007.92581018519</v>
      </c>
      <c r="C328" s="1" t="n">
        <v>46176</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62601-2025</t>
        </is>
      </c>
      <c r="B329" s="1" t="n">
        <v>46007.92395833333</v>
      </c>
      <c r="C329" s="1" t="n">
        <v>46176</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2164-2023</t>
        </is>
      </c>
      <c r="B330" s="1" t="n">
        <v>44941</v>
      </c>
      <c r="C330" s="1" t="n">
        <v>46176</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61952-2021</t>
        </is>
      </c>
      <c r="B331" s="1" t="n">
        <v>44502</v>
      </c>
      <c r="C331" s="1" t="n">
        <v>46176</v>
      </c>
      <c r="D331" t="inlineStr">
        <is>
          <t>UPPSALA LÄN</t>
        </is>
      </c>
      <c r="E331" t="inlineStr">
        <is>
          <t>ENKÖPING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14083-2025</t>
        </is>
      </c>
      <c r="B332" s="1" t="n">
        <v>45740</v>
      </c>
      <c r="C332" s="1" t="n">
        <v>46176</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69879-2021</t>
        </is>
      </c>
      <c r="B333" s="1" t="n">
        <v>44532</v>
      </c>
      <c r="C333" s="1" t="n">
        <v>46176</v>
      </c>
      <c r="D333" t="inlineStr">
        <is>
          <t>UPPSALA LÄN</t>
        </is>
      </c>
      <c r="E333" t="inlineStr">
        <is>
          <t>ENKÖPING</t>
        </is>
      </c>
      <c r="G333" t="n">
        <v>4.2</v>
      </c>
      <c r="H333" t="n">
        <v>0</v>
      </c>
      <c r="I333" t="n">
        <v>0</v>
      </c>
      <c r="J333" t="n">
        <v>0</v>
      </c>
      <c r="K333" t="n">
        <v>0</v>
      </c>
      <c r="L333" t="n">
        <v>0</v>
      </c>
      <c r="M333" t="n">
        <v>0</v>
      </c>
      <c r="N333" t="n">
        <v>0</v>
      </c>
      <c r="O333" t="n">
        <v>0</v>
      </c>
      <c r="P333" t="n">
        <v>0</v>
      </c>
      <c r="Q333" t="n">
        <v>0</v>
      </c>
      <c r="R333" s="2" t="inlineStr"/>
    </row>
    <row r="334" ht="15" customHeight="1">
      <c r="A334" t="inlineStr">
        <is>
          <t>A 60848-2025</t>
        </is>
      </c>
      <c r="B334" s="1" t="n">
        <v>45999</v>
      </c>
      <c r="C334" s="1" t="n">
        <v>46176</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192-2026</t>
        </is>
      </c>
      <c r="B335" s="1" t="n">
        <v>46025</v>
      </c>
      <c r="C335" s="1" t="n">
        <v>46176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15757-2023</t>
        </is>
      </c>
      <c r="B336" s="1" t="n">
        <v>45021</v>
      </c>
      <c r="C336" s="1" t="n">
        <v>46176</v>
      </c>
      <c r="D336" t="inlineStr">
        <is>
          <t>UPPSALA LÄN</t>
        </is>
      </c>
      <c r="E336" t="inlineStr">
        <is>
          <t>ENKÖPING</t>
        </is>
      </c>
      <c r="G336" t="n">
        <v>3</v>
      </c>
      <c r="H336" t="n">
        <v>0</v>
      </c>
      <c r="I336" t="n">
        <v>0</v>
      </c>
      <c r="J336" t="n">
        <v>0</v>
      </c>
      <c r="K336" t="n">
        <v>0</v>
      </c>
      <c r="L336" t="n">
        <v>0</v>
      </c>
      <c r="M336" t="n">
        <v>0</v>
      </c>
      <c r="N336" t="n">
        <v>0</v>
      </c>
      <c r="O336" t="n">
        <v>0</v>
      </c>
      <c r="P336" t="n">
        <v>0</v>
      </c>
      <c r="Q336" t="n">
        <v>0</v>
      </c>
      <c r="R336" s="2" t="inlineStr"/>
    </row>
    <row r="337" ht="15" customHeight="1">
      <c r="A337" t="inlineStr">
        <is>
          <t>A 2161-2023</t>
        </is>
      </c>
      <c r="B337" s="1" t="n">
        <v>44941</v>
      </c>
      <c r="C337" s="1" t="n">
        <v>46176</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2165-2023</t>
        </is>
      </c>
      <c r="B338" s="1" t="n">
        <v>44941</v>
      </c>
      <c r="C338" s="1" t="n">
        <v>46176</v>
      </c>
      <c r="D338" t="inlineStr">
        <is>
          <t>UPPSALA LÄN</t>
        </is>
      </c>
      <c r="E338" t="inlineStr">
        <is>
          <t>ENKÖPING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861-2026</t>
        </is>
      </c>
      <c r="B339" s="1" t="n">
        <v>46030</v>
      </c>
      <c r="C339" s="1" t="n">
        <v>46176</v>
      </c>
      <c r="D339" t="inlineStr">
        <is>
          <t>UPPSALA LÄN</t>
        </is>
      </c>
      <c r="E339" t="inlineStr">
        <is>
          <t>ENKÖPING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20112-2024</t>
        </is>
      </c>
      <c r="B340" s="1" t="n">
        <v>45434</v>
      </c>
      <c r="C340" s="1" t="n">
        <v>46176</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2162-2023</t>
        </is>
      </c>
      <c r="B341" s="1" t="n">
        <v>44941</v>
      </c>
      <c r="C341" s="1" t="n">
        <v>46176</v>
      </c>
      <c r="D341" t="inlineStr">
        <is>
          <t>UPPSALA LÄN</t>
        </is>
      </c>
      <c r="E341" t="inlineStr">
        <is>
          <t>ENKÖPING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2258-2026</t>
        </is>
      </c>
      <c r="B342" s="1" t="n">
        <v>46036</v>
      </c>
      <c r="C342" s="1" t="n">
        <v>46176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32081-2024</t>
        </is>
      </c>
      <c r="B343" s="1" t="n">
        <v>45511.34605324074</v>
      </c>
      <c r="C343" s="1" t="n">
        <v>46176</v>
      </c>
      <c r="D343" t="inlineStr">
        <is>
          <t>UPPSALA LÄN</t>
        </is>
      </c>
      <c r="E343" t="inlineStr">
        <is>
          <t>ENKÖPING</t>
        </is>
      </c>
      <c r="G343" t="n">
        <v>5.4</v>
      </c>
      <c r="H343" t="n">
        <v>0</v>
      </c>
      <c r="I343" t="n">
        <v>0</v>
      </c>
      <c r="J343" t="n">
        <v>0</v>
      </c>
      <c r="K343" t="n">
        <v>0</v>
      </c>
      <c r="L343" t="n">
        <v>0</v>
      </c>
      <c r="M343" t="n">
        <v>0</v>
      </c>
      <c r="N343" t="n">
        <v>0</v>
      </c>
      <c r="O343" t="n">
        <v>0</v>
      </c>
      <c r="P343" t="n">
        <v>0</v>
      </c>
      <c r="Q343" t="n">
        <v>0</v>
      </c>
      <c r="R343" s="2" t="inlineStr"/>
    </row>
    <row r="344" ht="15" customHeight="1">
      <c r="A344" t="inlineStr">
        <is>
          <t>A 2218-2026</t>
        </is>
      </c>
      <c r="B344" s="1" t="n">
        <v>46036.50010416667</v>
      </c>
      <c r="C344" s="1" t="n">
        <v>46176</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2968-2025</t>
        </is>
      </c>
      <c r="B345" s="1" t="n">
        <v>45678</v>
      </c>
      <c r="C345" s="1" t="n">
        <v>46176</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46176</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6959-2025</t>
        </is>
      </c>
      <c r="B347" s="1" t="n">
        <v>45701.49315972222</v>
      </c>
      <c r="C347" s="1" t="n">
        <v>46176</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30437-2022</t>
        </is>
      </c>
      <c r="B348" s="1" t="n">
        <v>44761</v>
      </c>
      <c r="C348" s="1" t="n">
        <v>46176</v>
      </c>
      <c r="D348" t="inlineStr">
        <is>
          <t>UPPSALA LÄN</t>
        </is>
      </c>
      <c r="E348" t="inlineStr">
        <is>
          <t>ENKÖPING</t>
        </is>
      </c>
      <c r="G348" t="n">
        <v>3.4</v>
      </c>
      <c r="H348" t="n">
        <v>0</v>
      </c>
      <c r="I348" t="n">
        <v>0</v>
      </c>
      <c r="J348" t="n">
        <v>0</v>
      </c>
      <c r="K348" t="n">
        <v>0</v>
      </c>
      <c r="L348" t="n">
        <v>0</v>
      </c>
      <c r="M348" t="n">
        <v>0</v>
      </c>
      <c r="N348" t="n">
        <v>0</v>
      </c>
      <c r="O348" t="n">
        <v>0</v>
      </c>
      <c r="P348" t="n">
        <v>0</v>
      </c>
      <c r="Q348" t="n">
        <v>0</v>
      </c>
      <c r="R348" s="2" t="inlineStr"/>
    </row>
    <row r="349" ht="15" customHeight="1">
      <c r="A349" t="inlineStr">
        <is>
          <t>A 51011-2024</t>
        </is>
      </c>
      <c r="B349" s="1" t="n">
        <v>45603.39427083333</v>
      </c>
      <c r="C349" s="1" t="n">
        <v>46176</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26319-2022</t>
        </is>
      </c>
      <c r="B350" s="1" t="n">
        <v>44735</v>
      </c>
      <c r="C350" s="1" t="n">
        <v>46176</v>
      </c>
      <c r="D350" t="inlineStr">
        <is>
          <t>UPPSALA LÄN</t>
        </is>
      </c>
      <c r="E350" t="inlineStr">
        <is>
          <t>ENKÖPING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29918-2023</t>
        </is>
      </c>
      <c r="B351" s="1" t="n">
        <v>45099</v>
      </c>
      <c r="C351" s="1" t="n">
        <v>46176</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5104-2026</t>
        </is>
      </c>
      <c r="B352" s="1" t="n">
        <v>46049.56914351852</v>
      </c>
      <c r="C352" s="1" t="n">
        <v>46176</v>
      </c>
      <c r="D352" t="inlineStr">
        <is>
          <t>UPPSALA LÄN</t>
        </is>
      </c>
      <c r="E352" t="inlineStr">
        <is>
          <t>ENKÖPING</t>
        </is>
      </c>
      <c r="G352" t="n">
        <v>2.3</v>
      </c>
      <c r="H352" t="n">
        <v>0</v>
      </c>
      <c r="I352" t="n">
        <v>0</v>
      </c>
      <c r="J352" t="n">
        <v>0</v>
      </c>
      <c r="K352" t="n">
        <v>0</v>
      </c>
      <c r="L352" t="n">
        <v>0</v>
      </c>
      <c r="M352" t="n">
        <v>0</v>
      </c>
      <c r="N352" t="n">
        <v>0</v>
      </c>
      <c r="O352" t="n">
        <v>0</v>
      </c>
      <c r="P352" t="n">
        <v>0</v>
      </c>
      <c r="Q352" t="n">
        <v>0</v>
      </c>
      <c r="R352" s="2" t="inlineStr"/>
    </row>
    <row r="353" ht="15" customHeight="1">
      <c r="A353" t="inlineStr">
        <is>
          <t>A 24291-2024</t>
        </is>
      </c>
      <c r="B353" s="1" t="n">
        <v>45457.4584837963</v>
      </c>
      <c r="C353" s="1" t="n">
        <v>46176</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5569-2026</t>
        </is>
      </c>
      <c r="B354" s="1" t="n">
        <v>46050.89431712963</v>
      </c>
      <c r="C354" s="1" t="n">
        <v>46176</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5948-2026</t>
        </is>
      </c>
      <c r="B355" s="1" t="n">
        <v>46052</v>
      </c>
      <c r="C355" s="1" t="n">
        <v>46176</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6031-2026</t>
        </is>
      </c>
      <c r="B356" s="1" t="n">
        <v>46052.61201388889</v>
      </c>
      <c r="C356" s="1" t="n">
        <v>46176</v>
      </c>
      <c r="D356" t="inlineStr">
        <is>
          <t>UPPSALA LÄN</t>
        </is>
      </c>
      <c r="E356" t="inlineStr">
        <is>
          <t>ENKÖPING</t>
        </is>
      </c>
      <c r="G356" t="n">
        <v>4.1</v>
      </c>
      <c r="H356" t="n">
        <v>0</v>
      </c>
      <c r="I356" t="n">
        <v>0</v>
      </c>
      <c r="J356" t="n">
        <v>0</v>
      </c>
      <c r="K356" t="n">
        <v>0</v>
      </c>
      <c r="L356" t="n">
        <v>0</v>
      </c>
      <c r="M356" t="n">
        <v>0</v>
      </c>
      <c r="N356" t="n">
        <v>0</v>
      </c>
      <c r="O356" t="n">
        <v>0</v>
      </c>
      <c r="P356" t="n">
        <v>0</v>
      </c>
      <c r="Q356" t="n">
        <v>0</v>
      </c>
      <c r="R356" s="2" t="inlineStr"/>
    </row>
    <row r="357" ht="15" customHeight="1">
      <c r="A357" t="inlineStr">
        <is>
          <t>A 6047-2026</t>
        </is>
      </c>
      <c r="B357" s="1" t="n">
        <v>46052.62738425926</v>
      </c>
      <c r="C357" s="1" t="n">
        <v>46176</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7008-2026</t>
        </is>
      </c>
      <c r="B358" s="1" t="n">
        <v>46057.63806712963</v>
      </c>
      <c r="C358" s="1" t="n">
        <v>46176</v>
      </c>
      <c r="D358" t="inlineStr">
        <is>
          <t>UPPSALA LÄN</t>
        </is>
      </c>
      <c r="E358" t="inlineStr">
        <is>
          <t>ENKÖPING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7003-2026</t>
        </is>
      </c>
      <c r="B359" s="1" t="n">
        <v>46057.63243055555</v>
      </c>
      <c r="C359" s="1" t="n">
        <v>46176</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2833-2025</t>
        </is>
      </c>
      <c r="B360" s="1" t="n">
        <v>45677.63206018518</v>
      </c>
      <c r="C360" s="1" t="n">
        <v>46176</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50006-2023</t>
        </is>
      </c>
      <c r="B361" s="1" t="n">
        <v>45215</v>
      </c>
      <c r="C361" s="1" t="n">
        <v>46176</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56526-2022</t>
        </is>
      </c>
      <c r="B362" s="1" t="n">
        <v>44893</v>
      </c>
      <c r="C362" s="1" t="n">
        <v>46176</v>
      </c>
      <c r="D362" t="inlineStr">
        <is>
          <t>UPPSALA LÄN</t>
        </is>
      </c>
      <c r="E362" t="inlineStr">
        <is>
          <t>ENKÖPING</t>
        </is>
      </c>
      <c r="G362" t="n">
        <v>3.8</v>
      </c>
      <c r="H362" t="n">
        <v>0</v>
      </c>
      <c r="I362" t="n">
        <v>0</v>
      </c>
      <c r="J362" t="n">
        <v>0</v>
      </c>
      <c r="K362" t="n">
        <v>0</v>
      </c>
      <c r="L362" t="n">
        <v>0</v>
      </c>
      <c r="M362" t="n">
        <v>0</v>
      </c>
      <c r="N362" t="n">
        <v>0</v>
      </c>
      <c r="O362" t="n">
        <v>0</v>
      </c>
      <c r="P362" t="n">
        <v>0</v>
      </c>
      <c r="Q362" t="n">
        <v>0</v>
      </c>
      <c r="R362" s="2" t="inlineStr"/>
    </row>
    <row r="363" ht="15" customHeight="1">
      <c r="A363" t="inlineStr">
        <is>
          <t>A 39858-2024</t>
        </is>
      </c>
      <c r="B363" s="1" t="n">
        <v>45553</v>
      </c>
      <c r="C363" s="1" t="n">
        <v>46176</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60289-2022</t>
        </is>
      </c>
      <c r="B364" s="1" t="n">
        <v>44910.53026620371</v>
      </c>
      <c r="C364" s="1" t="n">
        <v>46176</v>
      </c>
      <c r="D364" t="inlineStr">
        <is>
          <t>UPPSALA LÄN</t>
        </is>
      </c>
      <c r="E364" t="inlineStr">
        <is>
          <t>ENKÖPING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13110-2023</t>
        </is>
      </c>
      <c r="B365" s="1" t="n">
        <v>45001</v>
      </c>
      <c r="C365" s="1" t="n">
        <v>46176</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58384-2022</t>
        </is>
      </c>
      <c r="B366" s="1" t="n">
        <v>44901</v>
      </c>
      <c r="C366" s="1" t="n">
        <v>46176</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59602-2022</t>
        </is>
      </c>
      <c r="B367" s="1" t="n">
        <v>44907.72241898148</v>
      </c>
      <c r="C367" s="1" t="n">
        <v>46176</v>
      </c>
      <c r="D367" t="inlineStr">
        <is>
          <t>UPPSALA LÄN</t>
        </is>
      </c>
      <c r="E367" t="inlineStr">
        <is>
          <t>ENKÖPING</t>
        </is>
      </c>
      <c r="G367" t="n">
        <v>14.2</v>
      </c>
      <c r="H367" t="n">
        <v>0</v>
      </c>
      <c r="I367" t="n">
        <v>0</v>
      </c>
      <c r="J367" t="n">
        <v>0</v>
      </c>
      <c r="K367" t="n">
        <v>0</v>
      </c>
      <c r="L367" t="n">
        <v>0</v>
      </c>
      <c r="M367" t="n">
        <v>0</v>
      </c>
      <c r="N367" t="n">
        <v>0</v>
      </c>
      <c r="O367" t="n">
        <v>0</v>
      </c>
      <c r="P367" t="n">
        <v>0</v>
      </c>
      <c r="Q367" t="n">
        <v>0</v>
      </c>
      <c r="R367" s="2" t="inlineStr"/>
    </row>
    <row r="368" ht="15" customHeight="1">
      <c r="A368" t="inlineStr">
        <is>
          <t>A 31965-2021</t>
        </is>
      </c>
      <c r="B368" s="1" t="n">
        <v>44370.56901620371</v>
      </c>
      <c r="C368" s="1" t="n">
        <v>46176</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67984-2021</t>
        </is>
      </c>
      <c r="B369" s="1" t="n">
        <v>44525.70237268518</v>
      </c>
      <c r="C369" s="1" t="n">
        <v>46176</v>
      </c>
      <c r="D369" t="inlineStr">
        <is>
          <t>UPPSALA LÄN</t>
        </is>
      </c>
      <c r="E369" t="inlineStr">
        <is>
          <t>ENKÖPING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8309-2026</t>
        </is>
      </c>
      <c r="B370" s="1" t="n">
        <v>46064.59081018518</v>
      </c>
      <c r="C370" s="1" t="n">
        <v>46176</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33619-2022</t>
        </is>
      </c>
      <c r="B371" s="1" t="n">
        <v>44789</v>
      </c>
      <c r="C371" s="1" t="n">
        <v>46176</v>
      </c>
      <c r="D371" t="inlineStr">
        <is>
          <t>UPPSALA LÄN</t>
        </is>
      </c>
      <c r="E371" t="inlineStr">
        <is>
          <t>ENKÖPING</t>
        </is>
      </c>
      <c r="F371" t="inlineStr">
        <is>
          <t>Allmännings- och besparingsskogar</t>
        </is>
      </c>
      <c r="G371" t="n">
        <v>4.5</v>
      </c>
      <c r="H371" t="n">
        <v>0</v>
      </c>
      <c r="I371" t="n">
        <v>0</v>
      </c>
      <c r="J371" t="n">
        <v>0</v>
      </c>
      <c r="K371" t="n">
        <v>0</v>
      </c>
      <c r="L371" t="n">
        <v>0</v>
      </c>
      <c r="M371" t="n">
        <v>0</v>
      </c>
      <c r="N371" t="n">
        <v>0</v>
      </c>
      <c r="O371" t="n">
        <v>0</v>
      </c>
      <c r="P371" t="n">
        <v>0</v>
      </c>
      <c r="Q371" t="n">
        <v>0</v>
      </c>
      <c r="R371" s="2" t="inlineStr"/>
    </row>
    <row r="372" ht="15" customHeight="1">
      <c r="A372" t="inlineStr">
        <is>
          <t>A 10829-2024</t>
        </is>
      </c>
      <c r="B372" s="1" t="n">
        <v>45369</v>
      </c>
      <c r="C372" s="1" t="n">
        <v>46176</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9474-2026</t>
        </is>
      </c>
      <c r="B373" s="1" t="n">
        <v>46071.52324074074</v>
      </c>
      <c r="C373" s="1" t="n">
        <v>46176</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67982-2021</t>
        </is>
      </c>
      <c r="B374" s="1" t="n">
        <v>44525</v>
      </c>
      <c r="C374" s="1" t="n">
        <v>46176</v>
      </c>
      <c r="D374" t="inlineStr">
        <is>
          <t>UPPSALA LÄN</t>
        </is>
      </c>
      <c r="E374" t="inlineStr">
        <is>
          <t>ENKÖPING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9467-2026</t>
        </is>
      </c>
      <c r="B375" s="1" t="n">
        <v>46071.50694444445</v>
      </c>
      <c r="C375" s="1" t="n">
        <v>46176</v>
      </c>
      <c r="D375" t="inlineStr">
        <is>
          <t>UPPSALA LÄN</t>
        </is>
      </c>
      <c r="E375" t="inlineStr">
        <is>
          <t>ENKÖPING</t>
        </is>
      </c>
      <c r="G375" t="n">
        <v>5.9</v>
      </c>
      <c r="H375" t="n">
        <v>0</v>
      </c>
      <c r="I375" t="n">
        <v>0</v>
      </c>
      <c r="J375" t="n">
        <v>0</v>
      </c>
      <c r="K375" t="n">
        <v>0</v>
      </c>
      <c r="L375" t="n">
        <v>0</v>
      </c>
      <c r="M375" t="n">
        <v>0</v>
      </c>
      <c r="N375" t="n">
        <v>0</v>
      </c>
      <c r="O375" t="n">
        <v>0</v>
      </c>
      <c r="P375" t="n">
        <v>0</v>
      </c>
      <c r="Q375" t="n">
        <v>0</v>
      </c>
      <c r="R375" s="2" t="inlineStr"/>
    </row>
    <row r="376" ht="15" customHeight="1">
      <c r="A376" t="inlineStr">
        <is>
          <t>A 9469-2026</t>
        </is>
      </c>
      <c r="B376" s="1" t="n">
        <v>46071.51248842593</v>
      </c>
      <c r="C376" s="1" t="n">
        <v>46176</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9148-2026</t>
        </is>
      </c>
      <c r="B377" s="1" t="n">
        <v>46070.30946759259</v>
      </c>
      <c r="C377" s="1" t="n">
        <v>46176</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51034-2024</t>
        </is>
      </c>
      <c r="B378" s="1" t="n">
        <v>45603.4262037037</v>
      </c>
      <c r="C378" s="1" t="n">
        <v>46176</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51036-2024</t>
        </is>
      </c>
      <c r="B379" s="1" t="n">
        <v>45603.42839120371</v>
      </c>
      <c r="C379" s="1" t="n">
        <v>46176</v>
      </c>
      <c r="D379" t="inlineStr">
        <is>
          <t>UPPSALA LÄN</t>
        </is>
      </c>
      <c r="E379" t="inlineStr">
        <is>
          <t>ENKÖPING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55876-2024</t>
        </is>
      </c>
      <c r="B380" s="1" t="n">
        <v>45623.5546412037</v>
      </c>
      <c r="C380" s="1" t="n">
        <v>46176</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60125-2024</t>
        </is>
      </c>
      <c r="B381" s="1" t="n">
        <v>45642</v>
      </c>
      <c r="C381" s="1" t="n">
        <v>46176</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11005-2023</t>
        </is>
      </c>
      <c r="B382" s="1" t="n">
        <v>44991</v>
      </c>
      <c r="C382" s="1" t="n">
        <v>46176</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57142-2021</t>
        </is>
      </c>
      <c r="B383" s="1" t="n">
        <v>44482</v>
      </c>
      <c r="C383" s="1" t="n">
        <v>46176</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57147-2021</t>
        </is>
      </c>
      <c r="B384" s="1" t="n">
        <v>44482</v>
      </c>
      <c r="C384" s="1" t="n">
        <v>46176</v>
      </c>
      <c r="D384" t="inlineStr">
        <is>
          <t>UPPSALA LÄN</t>
        </is>
      </c>
      <c r="E384" t="inlineStr">
        <is>
          <t>ENKÖPING</t>
        </is>
      </c>
      <c r="G384" t="n">
        <v>5.7</v>
      </c>
      <c r="H384" t="n">
        <v>0</v>
      </c>
      <c r="I384" t="n">
        <v>0</v>
      </c>
      <c r="J384" t="n">
        <v>0</v>
      </c>
      <c r="K384" t="n">
        <v>0</v>
      </c>
      <c r="L384" t="n">
        <v>0</v>
      </c>
      <c r="M384" t="n">
        <v>0</v>
      </c>
      <c r="N384" t="n">
        <v>0</v>
      </c>
      <c r="O384" t="n">
        <v>0</v>
      </c>
      <c r="P384" t="n">
        <v>0</v>
      </c>
      <c r="Q384" t="n">
        <v>0</v>
      </c>
      <c r="R384" s="2" t="inlineStr"/>
    </row>
    <row r="385" ht="15" customHeight="1">
      <c r="A385" t="inlineStr">
        <is>
          <t>A 7868-2024</t>
        </is>
      </c>
      <c r="B385" s="1" t="n">
        <v>45350.33020833333</v>
      </c>
      <c r="C385" s="1" t="n">
        <v>46176</v>
      </c>
      <c r="D385" t="inlineStr">
        <is>
          <t>UPPSALA LÄN</t>
        </is>
      </c>
      <c r="E385" t="inlineStr">
        <is>
          <t>ENKÖPING</t>
        </is>
      </c>
      <c r="G385" t="n">
        <v>0.3</v>
      </c>
      <c r="H385" t="n">
        <v>0</v>
      </c>
      <c r="I385" t="n">
        <v>0</v>
      </c>
      <c r="J385" t="n">
        <v>0</v>
      </c>
      <c r="K385" t="n">
        <v>0</v>
      </c>
      <c r="L385" t="n">
        <v>0</v>
      </c>
      <c r="M385" t="n">
        <v>0</v>
      </c>
      <c r="N385" t="n">
        <v>0</v>
      </c>
      <c r="O385" t="n">
        <v>0</v>
      </c>
      <c r="P385" t="n">
        <v>0</v>
      </c>
      <c r="Q385" t="n">
        <v>0</v>
      </c>
      <c r="R385" s="2" t="inlineStr"/>
    </row>
    <row r="386" ht="15" customHeight="1">
      <c r="A386" t="inlineStr">
        <is>
          <t>A 7870-2024</t>
        </is>
      </c>
      <c r="B386" s="1" t="n">
        <v>45350.33349537037</v>
      </c>
      <c r="C386" s="1" t="n">
        <v>46176</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9231-2023</t>
        </is>
      </c>
      <c r="B387" s="1" t="n">
        <v>44980</v>
      </c>
      <c r="C387" s="1" t="n">
        <v>46176</v>
      </c>
      <c r="D387" t="inlineStr">
        <is>
          <t>UPPSALA LÄN</t>
        </is>
      </c>
      <c r="E387" t="inlineStr">
        <is>
          <t>ENKÖPING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16916-2022</t>
        </is>
      </c>
      <c r="B388" s="1" t="n">
        <v>44676</v>
      </c>
      <c r="C388" s="1" t="n">
        <v>46176</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30514-2021</t>
        </is>
      </c>
      <c r="B389" s="1" t="n">
        <v>44364</v>
      </c>
      <c r="C389" s="1" t="n">
        <v>46176</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31604-2023</t>
        </is>
      </c>
      <c r="B390" s="1" t="n">
        <v>45117.50368055556</v>
      </c>
      <c r="C390" s="1" t="n">
        <v>46176</v>
      </c>
      <c r="D390" t="inlineStr">
        <is>
          <t>UPPSALA LÄN</t>
        </is>
      </c>
      <c r="E390" t="inlineStr">
        <is>
          <t>ENKÖPING</t>
        </is>
      </c>
      <c r="G390" t="n">
        <v>3.5</v>
      </c>
      <c r="H390" t="n">
        <v>0</v>
      </c>
      <c r="I390" t="n">
        <v>0</v>
      </c>
      <c r="J390" t="n">
        <v>0</v>
      </c>
      <c r="K390" t="n">
        <v>0</v>
      </c>
      <c r="L390" t="n">
        <v>0</v>
      </c>
      <c r="M390" t="n">
        <v>0</v>
      </c>
      <c r="N390" t="n">
        <v>0</v>
      </c>
      <c r="O390" t="n">
        <v>0</v>
      </c>
      <c r="P390" t="n">
        <v>0</v>
      </c>
      <c r="Q390" t="n">
        <v>0</v>
      </c>
      <c r="R390" s="2" t="inlineStr"/>
    </row>
    <row r="391" ht="15" customHeight="1">
      <c r="A391" t="inlineStr">
        <is>
          <t>A 15162-2025</t>
        </is>
      </c>
      <c r="B391" s="1" t="n">
        <v>45744</v>
      </c>
      <c r="C391" s="1" t="n">
        <v>46176</v>
      </c>
      <c r="D391" t="inlineStr">
        <is>
          <t>UPPSALA LÄN</t>
        </is>
      </c>
      <c r="E391" t="inlineStr">
        <is>
          <t>ENKÖPING</t>
        </is>
      </c>
      <c r="G391" t="n">
        <v>4.2</v>
      </c>
      <c r="H391" t="n">
        <v>0</v>
      </c>
      <c r="I391" t="n">
        <v>0</v>
      </c>
      <c r="J391" t="n">
        <v>0</v>
      </c>
      <c r="K391" t="n">
        <v>0</v>
      </c>
      <c r="L391" t="n">
        <v>0</v>
      </c>
      <c r="M391" t="n">
        <v>0</v>
      </c>
      <c r="N391" t="n">
        <v>0</v>
      </c>
      <c r="O391" t="n">
        <v>0</v>
      </c>
      <c r="P391" t="n">
        <v>0</v>
      </c>
      <c r="Q391" t="n">
        <v>0</v>
      </c>
      <c r="R391" s="2" t="inlineStr"/>
    </row>
    <row r="392" ht="15" customHeight="1">
      <c r="A392" t="inlineStr">
        <is>
          <t>A 52388-2024</t>
        </is>
      </c>
      <c r="B392" s="1" t="n">
        <v>45609.42939814815</v>
      </c>
      <c r="C392" s="1" t="n">
        <v>46176</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53607-2023</t>
        </is>
      </c>
      <c r="B393" s="1" t="n">
        <v>45230</v>
      </c>
      <c r="C393" s="1" t="n">
        <v>46176</v>
      </c>
      <c r="D393" t="inlineStr">
        <is>
          <t>UPPSALA LÄN</t>
        </is>
      </c>
      <c r="E393" t="inlineStr">
        <is>
          <t>ENKÖPING</t>
        </is>
      </c>
      <c r="F393" t="inlineStr">
        <is>
          <t>Allmännings- och besparingsskogar</t>
        </is>
      </c>
      <c r="G393" t="n">
        <v>6.3</v>
      </c>
      <c r="H393" t="n">
        <v>0</v>
      </c>
      <c r="I393" t="n">
        <v>0</v>
      </c>
      <c r="J393" t="n">
        <v>0</v>
      </c>
      <c r="K393" t="n">
        <v>0</v>
      </c>
      <c r="L393" t="n">
        <v>0</v>
      </c>
      <c r="M393" t="n">
        <v>0</v>
      </c>
      <c r="N393" t="n">
        <v>0</v>
      </c>
      <c r="O393" t="n">
        <v>0</v>
      </c>
      <c r="P393" t="n">
        <v>0</v>
      </c>
      <c r="Q393" t="n">
        <v>0</v>
      </c>
      <c r="R393" s="2" t="inlineStr"/>
    </row>
    <row r="394" ht="15" customHeight="1">
      <c r="A394" t="inlineStr">
        <is>
          <t>A 40202-2024</t>
        </is>
      </c>
      <c r="B394" s="1" t="n">
        <v>45554</v>
      </c>
      <c r="C394" s="1" t="n">
        <v>46176</v>
      </c>
      <c r="D394" t="inlineStr">
        <is>
          <t>UPPSALA LÄN</t>
        </is>
      </c>
      <c r="E394" t="inlineStr">
        <is>
          <t>ENKÖPING</t>
        </is>
      </c>
      <c r="G394" t="n">
        <v>6.2</v>
      </c>
      <c r="H394" t="n">
        <v>0</v>
      </c>
      <c r="I394" t="n">
        <v>0</v>
      </c>
      <c r="J394" t="n">
        <v>0</v>
      </c>
      <c r="K394" t="n">
        <v>0</v>
      </c>
      <c r="L394" t="n">
        <v>0</v>
      </c>
      <c r="M394" t="n">
        <v>0</v>
      </c>
      <c r="N394" t="n">
        <v>0</v>
      </c>
      <c r="O394" t="n">
        <v>0</v>
      </c>
      <c r="P394" t="n">
        <v>0</v>
      </c>
      <c r="Q394" t="n">
        <v>0</v>
      </c>
      <c r="R394" s="2" t="inlineStr"/>
    </row>
    <row r="395" ht="15" customHeight="1">
      <c r="A395" t="inlineStr">
        <is>
          <t>A 57152-2021</t>
        </is>
      </c>
      <c r="B395" s="1" t="n">
        <v>44482</v>
      </c>
      <c r="C395" s="1" t="n">
        <v>46176</v>
      </c>
      <c r="D395" t="inlineStr">
        <is>
          <t>UPPSALA LÄN</t>
        </is>
      </c>
      <c r="E395" t="inlineStr">
        <is>
          <t>ENKÖPING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34124-2021</t>
        </is>
      </c>
      <c r="B396" s="1" t="n">
        <v>44379</v>
      </c>
      <c r="C396" s="1" t="n">
        <v>46176</v>
      </c>
      <c r="D396" t="inlineStr">
        <is>
          <t>UPPSALA LÄN</t>
        </is>
      </c>
      <c r="E396" t="inlineStr">
        <is>
          <t>ENKÖPING</t>
        </is>
      </c>
      <c r="G396" t="n">
        <v>2.2</v>
      </c>
      <c r="H396" t="n">
        <v>0</v>
      </c>
      <c r="I396" t="n">
        <v>0</v>
      </c>
      <c r="J396" t="n">
        <v>0</v>
      </c>
      <c r="K396" t="n">
        <v>0</v>
      </c>
      <c r="L396" t="n">
        <v>0</v>
      </c>
      <c r="M396" t="n">
        <v>0</v>
      </c>
      <c r="N396" t="n">
        <v>0</v>
      </c>
      <c r="O396" t="n">
        <v>0</v>
      </c>
      <c r="P396" t="n">
        <v>0</v>
      </c>
      <c r="Q396" t="n">
        <v>0</v>
      </c>
      <c r="R396" s="2" t="inlineStr"/>
    </row>
    <row r="397" ht="15" customHeight="1">
      <c r="A397" t="inlineStr">
        <is>
          <t>A 28518-2024</t>
        </is>
      </c>
      <c r="B397" s="1" t="n">
        <v>45477</v>
      </c>
      <c r="C397" s="1" t="n">
        <v>46176</v>
      </c>
      <c r="D397" t="inlineStr">
        <is>
          <t>UPPSALA LÄN</t>
        </is>
      </c>
      <c r="E397" t="inlineStr">
        <is>
          <t>ENKÖPING</t>
        </is>
      </c>
      <c r="G397" t="n">
        <v>3.4</v>
      </c>
      <c r="H397" t="n">
        <v>0</v>
      </c>
      <c r="I397" t="n">
        <v>0</v>
      </c>
      <c r="J397" t="n">
        <v>0</v>
      </c>
      <c r="K397" t="n">
        <v>0</v>
      </c>
      <c r="L397" t="n">
        <v>0</v>
      </c>
      <c r="M397" t="n">
        <v>0</v>
      </c>
      <c r="N397" t="n">
        <v>0</v>
      </c>
      <c r="O397" t="n">
        <v>0</v>
      </c>
      <c r="P397" t="n">
        <v>0</v>
      </c>
      <c r="Q397" t="n">
        <v>0</v>
      </c>
      <c r="R397" s="2" t="inlineStr"/>
    </row>
    <row r="398" ht="15" customHeight="1">
      <c r="A398" t="inlineStr">
        <is>
          <t>A 52299-2023</t>
        </is>
      </c>
      <c r="B398" s="1" t="n">
        <v>45224.61636574074</v>
      </c>
      <c r="C398" s="1" t="n">
        <v>46176</v>
      </c>
      <c r="D398" t="inlineStr">
        <is>
          <t>UPPSALA LÄN</t>
        </is>
      </c>
      <c r="E398" t="inlineStr">
        <is>
          <t>ENKÖPING</t>
        </is>
      </c>
      <c r="G398" t="n">
        <v>2.2</v>
      </c>
      <c r="H398" t="n">
        <v>0</v>
      </c>
      <c r="I398" t="n">
        <v>0</v>
      </c>
      <c r="J398" t="n">
        <v>0</v>
      </c>
      <c r="K398" t="n">
        <v>0</v>
      </c>
      <c r="L398" t="n">
        <v>0</v>
      </c>
      <c r="M398" t="n">
        <v>0</v>
      </c>
      <c r="N398" t="n">
        <v>0</v>
      </c>
      <c r="O398" t="n">
        <v>0</v>
      </c>
      <c r="P398" t="n">
        <v>0</v>
      </c>
      <c r="Q398" t="n">
        <v>0</v>
      </c>
      <c r="R398" s="2" t="inlineStr"/>
    </row>
    <row r="399" ht="15" customHeight="1">
      <c r="A399" t="inlineStr">
        <is>
          <t>A 30634-2022</t>
        </is>
      </c>
      <c r="B399" s="1" t="n">
        <v>44763.45711805556</v>
      </c>
      <c r="C399" s="1" t="n">
        <v>46176</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18259-2025</t>
        </is>
      </c>
      <c r="B400" s="1" t="n">
        <v>45762</v>
      </c>
      <c r="C400" s="1" t="n">
        <v>46176</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14004-2023</t>
        </is>
      </c>
      <c r="B401" s="1" t="n">
        <v>45008</v>
      </c>
      <c r="C401" s="1" t="n">
        <v>46176</v>
      </c>
      <c r="D401" t="inlineStr">
        <is>
          <t>UPPSALA LÄN</t>
        </is>
      </c>
      <c r="E401" t="inlineStr">
        <is>
          <t>ENKÖPING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52005-2024</t>
        </is>
      </c>
      <c r="B402" s="1" t="n">
        <v>45607.7627662037</v>
      </c>
      <c r="C402" s="1" t="n">
        <v>46176</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1960-2022</t>
        </is>
      </c>
      <c r="B403" s="1" t="n">
        <v>44575</v>
      </c>
      <c r="C403" s="1" t="n">
        <v>46176</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49627-2024</t>
        </is>
      </c>
      <c r="B404" s="1" t="n">
        <v>45596.59140046296</v>
      </c>
      <c r="C404" s="1" t="n">
        <v>46176</v>
      </c>
      <c r="D404" t="inlineStr">
        <is>
          <t>UPPSALA LÄN</t>
        </is>
      </c>
      <c r="E404" t="inlineStr">
        <is>
          <t>ENKÖPING</t>
        </is>
      </c>
      <c r="G404" t="n">
        <v>0.4</v>
      </c>
      <c r="H404" t="n">
        <v>0</v>
      </c>
      <c r="I404" t="n">
        <v>0</v>
      </c>
      <c r="J404" t="n">
        <v>0</v>
      </c>
      <c r="K404" t="n">
        <v>0</v>
      </c>
      <c r="L404" t="n">
        <v>0</v>
      </c>
      <c r="M404" t="n">
        <v>0</v>
      </c>
      <c r="N404" t="n">
        <v>0</v>
      </c>
      <c r="O404" t="n">
        <v>0</v>
      </c>
      <c r="P404" t="n">
        <v>0</v>
      </c>
      <c r="Q404" t="n">
        <v>0</v>
      </c>
      <c r="R404" s="2" t="inlineStr"/>
    </row>
    <row r="405" ht="15" customHeight="1">
      <c r="A405" t="inlineStr">
        <is>
          <t>A 57998-2024</t>
        </is>
      </c>
      <c r="B405" s="1" t="n">
        <v>45631</v>
      </c>
      <c r="C405" s="1" t="n">
        <v>46176</v>
      </c>
      <c r="D405" t="inlineStr">
        <is>
          <t>UPPSALA LÄN</t>
        </is>
      </c>
      <c r="E405" t="inlineStr">
        <is>
          <t>ENKÖPING</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9667-2024</t>
        </is>
      </c>
      <c r="B406" s="1" t="n">
        <v>45362.45130787037</v>
      </c>
      <c r="C406" s="1" t="n">
        <v>46176</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35645-2021</t>
        </is>
      </c>
      <c r="B407" s="1" t="n">
        <v>44386.42</v>
      </c>
      <c r="C407" s="1" t="n">
        <v>46176</v>
      </c>
      <c r="D407" t="inlineStr">
        <is>
          <t>UPPSALA LÄN</t>
        </is>
      </c>
      <c r="E407" t="inlineStr">
        <is>
          <t>ENKÖPING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15711-2025</t>
        </is>
      </c>
      <c r="B408" s="1" t="n">
        <v>45748</v>
      </c>
      <c r="C408" s="1" t="n">
        <v>46176</v>
      </c>
      <c r="D408" t="inlineStr">
        <is>
          <t>UPPSALA LÄN</t>
        </is>
      </c>
      <c r="E408" t="inlineStr">
        <is>
          <t>ENKÖPING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28318-2024</t>
        </is>
      </c>
      <c r="B409" s="1" t="n">
        <v>45477</v>
      </c>
      <c r="C409" s="1" t="n">
        <v>46176</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69344-2021</t>
        </is>
      </c>
      <c r="B410" s="1" t="n">
        <v>44531</v>
      </c>
      <c r="C410" s="1" t="n">
        <v>46176</v>
      </c>
      <c r="D410" t="inlineStr">
        <is>
          <t>UPPSALA LÄN</t>
        </is>
      </c>
      <c r="E410" t="inlineStr">
        <is>
          <t>ENKÖPING</t>
        </is>
      </c>
      <c r="G410" t="n">
        <v>2.9</v>
      </c>
      <c r="H410" t="n">
        <v>0</v>
      </c>
      <c r="I410" t="n">
        <v>0</v>
      </c>
      <c r="J410" t="n">
        <v>0</v>
      </c>
      <c r="K410" t="n">
        <v>0</v>
      </c>
      <c r="L410" t="n">
        <v>0</v>
      </c>
      <c r="M410" t="n">
        <v>0</v>
      </c>
      <c r="N410" t="n">
        <v>0</v>
      </c>
      <c r="O410" t="n">
        <v>0</v>
      </c>
      <c r="P410" t="n">
        <v>0</v>
      </c>
      <c r="Q410" t="n">
        <v>0</v>
      </c>
      <c r="R410" s="2" t="inlineStr"/>
    </row>
    <row r="411" ht="15" customHeight="1">
      <c r="A411" t="inlineStr">
        <is>
          <t>A 51524-2022</t>
        </is>
      </c>
      <c r="B411" s="1" t="n">
        <v>44869</v>
      </c>
      <c r="C411" s="1" t="n">
        <v>46176</v>
      </c>
      <c r="D411" t="inlineStr">
        <is>
          <t>UPPSALA LÄN</t>
        </is>
      </c>
      <c r="E411" t="inlineStr">
        <is>
          <t>ENKÖPING</t>
        </is>
      </c>
      <c r="G411" t="n">
        <v>6.6</v>
      </c>
      <c r="H411" t="n">
        <v>0</v>
      </c>
      <c r="I411" t="n">
        <v>0</v>
      </c>
      <c r="J411" t="n">
        <v>0</v>
      </c>
      <c r="K411" t="n">
        <v>0</v>
      </c>
      <c r="L411" t="n">
        <v>0</v>
      </c>
      <c r="M411" t="n">
        <v>0</v>
      </c>
      <c r="N411" t="n">
        <v>0</v>
      </c>
      <c r="O411" t="n">
        <v>0</v>
      </c>
      <c r="P411" t="n">
        <v>0</v>
      </c>
      <c r="Q411" t="n">
        <v>0</v>
      </c>
      <c r="R411" s="2" t="inlineStr"/>
    </row>
    <row r="412" ht="15" customHeight="1">
      <c r="A412" t="inlineStr">
        <is>
          <t>A 46103-2023</t>
        </is>
      </c>
      <c r="B412" s="1" t="n">
        <v>45190</v>
      </c>
      <c r="C412" s="1" t="n">
        <v>46176</v>
      </c>
      <c r="D412" t="inlineStr">
        <is>
          <t>UPPSALA LÄN</t>
        </is>
      </c>
      <c r="E412" t="inlineStr">
        <is>
          <t>ENKÖPING</t>
        </is>
      </c>
      <c r="G412" t="n">
        <v>4.6</v>
      </c>
      <c r="H412" t="n">
        <v>0</v>
      </c>
      <c r="I412" t="n">
        <v>0</v>
      </c>
      <c r="J412" t="n">
        <v>0</v>
      </c>
      <c r="K412" t="n">
        <v>0</v>
      </c>
      <c r="L412" t="n">
        <v>0</v>
      </c>
      <c r="M412" t="n">
        <v>0</v>
      </c>
      <c r="N412" t="n">
        <v>0</v>
      </c>
      <c r="O412" t="n">
        <v>0</v>
      </c>
      <c r="P412" t="n">
        <v>0</v>
      </c>
      <c r="Q412" t="n">
        <v>0</v>
      </c>
      <c r="R412" s="2" t="inlineStr"/>
    </row>
    <row r="413" ht="15" customHeight="1">
      <c r="A413" t="inlineStr">
        <is>
          <t>A 41737-2022</t>
        </is>
      </c>
      <c r="B413" s="1" t="n">
        <v>44827.63826388889</v>
      </c>
      <c r="C413" s="1" t="n">
        <v>46176</v>
      </c>
      <c r="D413" t="inlineStr">
        <is>
          <t>UPPSALA LÄN</t>
        </is>
      </c>
      <c r="E413" t="inlineStr">
        <is>
          <t>ENKÖPING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8137-2025</t>
        </is>
      </c>
      <c r="B414" s="1" t="n">
        <v>45707.8561574074</v>
      </c>
      <c r="C414" s="1" t="n">
        <v>46176</v>
      </c>
      <c r="D414" t="inlineStr">
        <is>
          <t>UPPSALA LÄN</t>
        </is>
      </c>
      <c r="E414" t="inlineStr">
        <is>
          <t>ENKÖPING</t>
        </is>
      </c>
      <c r="G414" t="n">
        <v>0.4</v>
      </c>
      <c r="H414" t="n">
        <v>0</v>
      </c>
      <c r="I414" t="n">
        <v>0</v>
      </c>
      <c r="J414" t="n">
        <v>0</v>
      </c>
      <c r="K414" t="n">
        <v>0</v>
      </c>
      <c r="L414" t="n">
        <v>0</v>
      </c>
      <c r="M414" t="n">
        <v>0</v>
      </c>
      <c r="N414" t="n">
        <v>0</v>
      </c>
      <c r="O414" t="n">
        <v>0</v>
      </c>
      <c r="P414" t="n">
        <v>0</v>
      </c>
      <c r="Q414" t="n">
        <v>0</v>
      </c>
      <c r="R414" s="2" t="inlineStr"/>
    </row>
    <row r="415" ht="15" customHeight="1">
      <c r="A415" t="inlineStr">
        <is>
          <t>A 23301-2024</t>
        </is>
      </c>
      <c r="B415" s="1" t="n">
        <v>45453.4396412037</v>
      </c>
      <c r="C415" s="1" t="n">
        <v>46176</v>
      </c>
      <c r="D415" t="inlineStr">
        <is>
          <t>UPPSALA LÄN</t>
        </is>
      </c>
      <c r="E415" t="inlineStr">
        <is>
          <t>ENKÖPING</t>
        </is>
      </c>
      <c r="G415" t="n">
        <v>4.3</v>
      </c>
      <c r="H415" t="n">
        <v>0</v>
      </c>
      <c r="I415" t="n">
        <v>0</v>
      </c>
      <c r="J415" t="n">
        <v>0</v>
      </c>
      <c r="K415" t="n">
        <v>0</v>
      </c>
      <c r="L415" t="n">
        <v>0</v>
      </c>
      <c r="M415" t="n">
        <v>0</v>
      </c>
      <c r="N415" t="n">
        <v>0</v>
      </c>
      <c r="O415" t="n">
        <v>0</v>
      </c>
      <c r="P415" t="n">
        <v>0</v>
      </c>
      <c r="Q415" t="n">
        <v>0</v>
      </c>
      <c r="R415" s="2" t="inlineStr"/>
    </row>
    <row r="416" ht="15" customHeight="1">
      <c r="A416" t="inlineStr">
        <is>
          <t>A 52380-2024</t>
        </is>
      </c>
      <c r="B416" s="1" t="n">
        <v>45609</v>
      </c>
      <c r="C416" s="1" t="n">
        <v>46176</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30098-2024</t>
        </is>
      </c>
      <c r="B417" s="1" t="n">
        <v>45489.41609953704</v>
      </c>
      <c r="C417" s="1" t="n">
        <v>46176</v>
      </c>
      <c r="D417" t="inlineStr">
        <is>
          <t>UPPSALA LÄN</t>
        </is>
      </c>
      <c r="E417" t="inlineStr">
        <is>
          <t>ENKÖPING</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34735-2023</t>
        </is>
      </c>
      <c r="B418" s="1" t="n">
        <v>45139</v>
      </c>
      <c r="C418" s="1" t="n">
        <v>46176</v>
      </c>
      <c r="D418" t="inlineStr">
        <is>
          <t>UPPSALA LÄN</t>
        </is>
      </c>
      <c r="E418" t="inlineStr">
        <is>
          <t>ENKÖPING</t>
        </is>
      </c>
      <c r="G418" t="n">
        <v>1.4</v>
      </c>
      <c r="H418" t="n">
        <v>0</v>
      </c>
      <c r="I418" t="n">
        <v>0</v>
      </c>
      <c r="J418" t="n">
        <v>0</v>
      </c>
      <c r="K418" t="n">
        <v>0</v>
      </c>
      <c r="L418" t="n">
        <v>0</v>
      </c>
      <c r="M418" t="n">
        <v>0</v>
      </c>
      <c r="N418" t="n">
        <v>0</v>
      </c>
      <c r="O418" t="n">
        <v>0</v>
      </c>
      <c r="P418" t="n">
        <v>0</v>
      </c>
      <c r="Q418" t="n">
        <v>0</v>
      </c>
      <c r="R418" s="2" t="inlineStr"/>
    </row>
    <row r="419" ht="15" customHeight="1">
      <c r="A419" t="inlineStr">
        <is>
          <t>A 57328-2024</t>
        </is>
      </c>
      <c r="B419" s="1" t="n">
        <v>45629.62798611111</v>
      </c>
      <c r="C419" s="1" t="n">
        <v>46176</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29482-2022</t>
        </is>
      </c>
      <c r="B420" s="1" t="n">
        <v>44753.57703703704</v>
      </c>
      <c r="C420" s="1" t="n">
        <v>46176</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29483-2022</t>
        </is>
      </c>
      <c r="B421" s="1" t="n">
        <v>44753.57829861111</v>
      </c>
      <c r="C421" s="1" t="n">
        <v>46176</v>
      </c>
      <c r="D421" t="inlineStr">
        <is>
          <t>UPPSALA LÄN</t>
        </is>
      </c>
      <c r="E421" t="inlineStr">
        <is>
          <t>ENKÖPING</t>
        </is>
      </c>
      <c r="G421" t="n">
        <v>3.6</v>
      </c>
      <c r="H421" t="n">
        <v>0</v>
      </c>
      <c r="I421" t="n">
        <v>0</v>
      </c>
      <c r="J421" t="n">
        <v>0</v>
      </c>
      <c r="K421" t="n">
        <v>0</v>
      </c>
      <c r="L421" t="n">
        <v>0</v>
      </c>
      <c r="M421" t="n">
        <v>0</v>
      </c>
      <c r="N421" t="n">
        <v>0</v>
      </c>
      <c r="O421" t="n">
        <v>0</v>
      </c>
      <c r="P421" t="n">
        <v>0</v>
      </c>
      <c r="Q421" t="n">
        <v>0</v>
      </c>
      <c r="R421" s="2" t="inlineStr"/>
    </row>
    <row r="422" ht="15" customHeight="1">
      <c r="A422" t="inlineStr">
        <is>
          <t>A 44232-2022</t>
        </is>
      </c>
      <c r="B422" s="1" t="n">
        <v>44839</v>
      </c>
      <c r="C422" s="1" t="n">
        <v>46176</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61106-2022</t>
        </is>
      </c>
      <c r="B423" s="1" t="n">
        <v>44915.4128587963</v>
      </c>
      <c r="C423" s="1" t="n">
        <v>46176</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39624-2023</t>
        </is>
      </c>
      <c r="B424" s="1" t="n">
        <v>45164</v>
      </c>
      <c r="C424" s="1" t="n">
        <v>46176</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20184-2023</t>
        </is>
      </c>
      <c r="B425" s="1" t="n">
        <v>45055.5670949074</v>
      </c>
      <c r="C425" s="1" t="n">
        <v>46176</v>
      </c>
      <c r="D425" t="inlineStr">
        <is>
          <t>UPPSALA LÄN</t>
        </is>
      </c>
      <c r="E425" t="inlineStr">
        <is>
          <t>ENKÖPING</t>
        </is>
      </c>
      <c r="G425" t="n">
        <v>3.2</v>
      </c>
      <c r="H425" t="n">
        <v>0</v>
      </c>
      <c r="I425" t="n">
        <v>0</v>
      </c>
      <c r="J425" t="n">
        <v>0</v>
      </c>
      <c r="K425" t="n">
        <v>0</v>
      </c>
      <c r="L425" t="n">
        <v>0</v>
      </c>
      <c r="M425" t="n">
        <v>0</v>
      </c>
      <c r="N425" t="n">
        <v>0</v>
      </c>
      <c r="O425" t="n">
        <v>0</v>
      </c>
      <c r="P425" t="n">
        <v>0</v>
      </c>
      <c r="Q425" t="n">
        <v>0</v>
      </c>
      <c r="R425" s="2" t="inlineStr"/>
    </row>
    <row r="426" ht="15" customHeight="1">
      <c r="A426" t="inlineStr">
        <is>
          <t>A 8152-2022</t>
        </is>
      </c>
      <c r="B426" s="1" t="n">
        <v>44609</v>
      </c>
      <c r="C426" s="1" t="n">
        <v>46176</v>
      </c>
      <c r="D426" t="inlineStr">
        <is>
          <t>UPPSALA LÄN</t>
        </is>
      </c>
      <c r="E426" t="inlineStr">
        <is>
          <t>ENKÖPING</t>
        </is>
      </c>
      <c r="F426" t="inlineStr">
        <is>
          <t>Kyrkan</t>
        </is>
      </c>
      <c r="G426" t="n">
        <v>1.3</v>
      </c>
      <c r="H426" t="n">
        <v>0</v>
      </c>
      <c r="I426" t="n">
        <v>0</v>
      </c>
      <c r="J426" t="n">
        <v>0</v>
      </c>
      <c r="K426" t="n">
        <v>0</v>
      </c>
      <c r="L426" t="n">
        <v>0</v>
      </c>
      <c r="M426" t="n">
        <v>0</v>
      </c>
      <c r="N426" t="n">
        <v>0</v>
      </c>
      <c r="O426" t="n">
        <v>0</v>
      </c>
      <c r="P426" t="n">
        <v>0</v>
      </c>
      <c r="Q426" t="n">
        <v>0</v>
      </c>
      <c r="R426" s="2" t="inlineStr"/>
    </row>
    <row r="427" ht="15" customHeight="1">
      <c r="A427" t="inlineStr">
        <is>
          <t>A 40223-2024</t>
        </is>
      </c>
      <c r="B427" s="1" t="n">
        <v>45554</v>
      </c>
      <c r="C427" s="1" t="n">
        <v>46176</v>
      </c>
      <c r="D427" t="inlineStr">
        <is>
          <t>UPPSALA LÄN</t>
        </is>
      </c>
      <c r="E427" t="inlineStr">
        <is>
          <t>ENKÖPING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37035-2023</t>
        </is>
      </c>
      <c r="B428" s="1" t="n">
        <v>45155</v>
      </c>
      <c r="C428" s="1" t="n">
        <v>46176</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52889-2022</t>
        </is>
      </c>
      <c r="B429" s="1" t="n">
        <v>44875</v>
      </c>
      <c r="C429" s="1" t="n">
        <v>46176</v>
      </c>
      <c r="D429" t="inlineStr">
        <is>
          <t>UPPSALA LÄN</t>
        </is>
      </c>
      <c r="E429" t="inlineStr">
        <is>
          <t>ENKÖPING</t>
        </is>
      </c>
      <c r="G429" t="n">
        <v>1.7</v>
      </c>
      <c r="H429" t="n">
        <v>0</v>
      </c>
      <c r="I429" t="n">
        <v>0</v>
      </c>
      <c r="J429" t="n">
        <v>0</v>
      </c>
      <c r="K429" t="n">
        <v>0</v>
      </c>
      <c r="L429" t="n">
        <v>0</v>
      </c>
      <c r="M429" t="n">
        <v>0</v>
      </c>
      <c r="N429" t="n">
        <v>0</v>
      </c>
      <c r="O429" t="n">
        <v>0</v>
      </c>
      <c r="P429" t="n">
        <v>0</v>
      </c>
      <c r="Q429" t="n">
        <v>0</v>
      </c>
      <c r="R429" s="2" t="inlineStr"/>
    </row>
    <row r="430" ht="15" customHeight="1">
      <c r="A430" t="inlineStr">
        <is>
          <t>A 51030-2024</t>
        </is>
      </c>
      <c r="B430" s="1" t="n">
        <v>45603</v>
      </c>
      <c r="C430" s="1" t="n">
        <v>46176</v>
      </c>
      <c r="D430" t="inlineStr">
        <is>
          <t>UPPSALA LÄN</t>
        </is>
      </c>
      <c r="E430" t="inlineStr">
        <is>
          <t>ENKÖPING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46176</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4044-2024</t>
        </is>
      </c>
      <c r="B432" s="1" t="n">
        <v>45323.45954861111</v>
      </c>
      <c r="C432" s="1" t="n">
        <v>46176</v>
      </c>
      <c r="D432" t="inlineStr">
        <is>
          <t>UPPSALA LÄN</t>
        </is>
      </c>
      <c r="E432" t="inlineStr">
        <is>
          <t>ENKÖPING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33349-2024</t>
        </is>
      </c>
      <c r="B433" s="1" t="n">
        <v>45519</v>
      </c>
      <c r="C433" s="1" t="n">
        <v>46176</v>
      </c>
      <c r="D433" t="inlineStr">
        <is>
          <t>UPPSALA LÄN</t>
        </is>
      </c>
      <c r="E433" t="inlineStr">
        <is>
          <t>ENKÖPING</t>
        </is>
      </c>
      <c r="G433" t="n">
        <v>3.6</v>
      </c>
      <c r="H433" t="n">
        <v>0</v>
      </c>
      <c r="I433" t="n">
        <v>0</v>
      </c>
      <c r="J433" t="n">
        <v>0</v>
      </c>
      <c r="K433" t="n">
        <v>0</v>
      </c>
      <c r="L433" t="n">
        <v>0</v>
      </c>
      <c r="M433" t="n">
        <v>0</v>
      </c>
      <c r="N433" t="n">
        <v>0</v>
      </c>
      <c r="O433" t="n">
        <v>0</v>
      </c>
      <c r="P433" t="n">
        <v>0</v>
      </c>
      <c r="Q433" t="n">
        <v>0</v>
      </c>
      <c r="R433" s="2" t="inlineStr"/>
    </row>
    <row r="434" ht="15" customHeight="1">
      <c r="A434" t="inlineStr">
        <is>
          <t>A 22912-2024</t>
        </is>
      </c>
      <c r="B434" s="1" t="n">
        <v>45448.73118055556</v>
      </c>
      <c r="C434" s="1" t="n">
        <v>46176</v>
      </c>
      <c r="D434" t="inlineStr">
        <is>
          <t>UPPSALA LÄN</t>
        </is>
      </c>
      <c r="E434" t="inlineStr">
        <is>
          <t>ENKÖPING</t>
        </is>
      </c>
      <c r="G434" t="n">
        <v>2.8</v>
      </c>
      <c r="H434" t="n">
        <v>0</v>
      </c>
      <c r="I434" t="n">
        <v>0</v>
      </c>
      <c r="J434" t="n">
        <v>0</v>
      </c>
      <c r="K434" t="n">
        <v>0</v>
      </c>
      <c r="L434" t="n">
        <v>0</v>
      </c>
      <c r="M434" t="n">
        <v>0</v>
      </c>
      <c r="N434" t="n">
        <v>0</v>
      </c>
      <c r="O434" t="n">
        <v>0</v>
      </c>
      <c r="P434" t="n">
        <v>0</v>
      </c>
      <c r="Q434" t="n">
        <v>0</v>
      </c>
      <c r="R434" s="2" t="inlineStr"/>
    </row>
    <row r="435" ht="15" customHeight="1">
      <c r="A435" t="inlineStr">
        <is>
          <t>A 21612-2023</t>
        </is>
      </c>
      <c r="B435" s="1" t="n">
        <v>45063</v>
      </c>
      <c r="C435" s="1" t="n">
        <v>46176</v>
      </c>
      <c r="D435" t="inlineStr">
        <is>
          <t>UPPSALA LÄN</t>
        </is>
      </c>
      <c r="E435" t="inlineStr">
        <is>
          <t>ENKÖPING</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14243-2025</t>
        </is>
      </c>
      <c r="B436" s="1" t="n">
        <v>45740.61288194444</v>
      </c>
      <c r="C436" s="1" t="n">
        <v>46176</v>
      </c>
      <c r="D436" t="inlineStr">
        <is>
          <t>UPPSALA LÄN</t>
        </is>
      </c>
      <c r="E436" t="inlineStr">
        <is>
          <t>ENKÖPING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33343-2024</t>
        </is>
      </c>
      <c r="B437" s="1" t="n">
        <v>45519</v>
      </c>
      <c r="C437" s="1" t="n">
        <v>46176</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18302-2025</t>
        </is>
      </c>
      <c r="B438" s="1" t="n">
        <v>45762</v>
      </c>
      <c r="C438" s="1" t="n">
        <v>46176</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28243-2023</t>
        </is>
      </c>
      <c r="B439" s="1" t="n">
        <v>45099.58885416666</v>
      </c>
      <c r="C439" s="1" t="n">
        <v>46176</v>
      </c>
      <c r="D439" t="inlineStr">
        <is>
          <t>UPPSALA LÄN</t>
        </is>
      </c>
      <c r="E439" t="inlineStr">
        <is>
          <t>ENKÖPING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3235-2025</t>
        </is>
      </c>
      <c r="B440" s="1" t="n">
        <v>45679</v>
      </c>
      <c r="C440" s="1" t="n">
        <v>46176</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41828-2024</t>
        </is>
      </c>
      <c r="B441" s="1" t="n">
        <v>45561</v>
      </c>
      <c r="C441" s="1" t="n">
        <v>46176</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1536-2024</t>
        </is>
      </c>
      <c r="B442" s="1" t="n">
        <v>45306</v>
      </c>
      <c r="C442" s="1" t="n">
        <v>46176</v>
      </c>
      <c r="D442" t="inlineStr">
        <is>
          <t>UPPSALA LÄN</t>
        </is>
      </c>
      <c r="E442" t="inlineStr">
        <is>
          <t>ENKÖPING</t>
        </is>
      </c>
      <c r="F442" t="inlineStr">
        <is>
          <t>Kyrkan</t>
        </is>
      </c>
      <c r="G442" t="n">
        <v>5.6</v>
      </c>
      <c r="H442" t="n">
        <v>0</v>
      </c>
      <c r="I442" t="n">
        <v>0</v>
      </c>
      <c r="J442" t="n">
        <v>0</v>
      </c>
      <c r="K442" t="n">
        <v>0</v>
      </c>
      <c r="L442" t="n">
        <v>0</v>
      </c>
      <c r="M442" t="n">
        <v>0</v>
      </c>
      <c r="N442" t="n">
        <v>0</v>
      </c>
      <c r="O442" t="n">
        <v>0</v>
      </c>
      <c r="P442" t="n">
        <v>0</v>
      </c>
      <c r="Q442" t="n">
        <v>0</v>
      </c>
      <c r="R442" s="2" t="inlineStr"/>
    </row>
    <row r="443" ht="15" customHeight="1">
      <c r="A443" t="inlineStr">
        <is>
          <t>A 42564-2024</t>
        </is>
      </c>
      <c r="B443" s="1" t="n">
        <v>45565.63358796296</v>
      </c>
      <c r="C443" s="1" t="n">
        <v>46176</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43492-2023</t>
        </is>
      </c>
      <c r="B444" s="1" t="n">
        <v>45181</v>
      </c>
      <c r="C444" s="1" t="n">
        <v>46176</v>
      </c>
      <c r="D444" t="inlineStr">
        <is>
          <t>UPPSALA LÄN</t>
        </is>
      </c>
      <c r="E444" t="inlineStr">
        <is>
          <t>ENKÖPING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6626-2023</t>
        </is>
      </c>
      <c r="B445" s="1" t="n">
        <v>44966.55946759259</v>
      </c>
      <c r="C445" s="1" t="n">
        <v>46176</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17165-2025</t>
        </is>
      </c>
      <c r="B446" s="1" t="n">
        <v>45756</v>
      </c>
      <c r="C446" s="1" t="n">
        <v>46176</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5013-2025</t>
        </is>
      </c>
      <c r="B447" s="1" t="n">
        <v>45691</v>
      </c>
      <c r="C447" s="1" t="n">
        <v>46176</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37170-2021</t>
        </is>
      </c>
      <c r="B448" s="1" t="n">
        <v>44395</v>
      </c>
      <c r="C448" s="1" t="n">
        <v>46176</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58147-2024</t>
        </is>
      </c>
      <c r="B449" s="1" t="n">
        <v>45632.4334375</v>
      </c>
      <c r="C449" s="1" t="n">
        <v>46176</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3550-2023</t>
        </is>
      </c>
      <c r="B450" s="1" t="n">
        <v>44950</v>
      </c>
      <c r="C450" s="1" t="n">
        <v>46176</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19014-2025</t>
        </is>
      </c>
      <c r="B451" s="1" t="n">
        <v>45764.59631944444</v>
      </c>
      <c r="C451" s="1" t="n">
        <v>46176</v>
      </c>
      <c r="D451" t="inlineStr">
        <is>
          <t>UPPSALA LÄN</t>
        </is>
      </c>
      <c r="E451" t="inlineStr">
        <is>
          <t>ENKÖPING</t>
        </is>
      </c>
      <c r="G451" t="n">
        <v>0.2</v>
      </c>
      <c r="H451" t="n">
        <v>0</v>
      </c>
      <c r="I451" t="n">
        <v>0</v>
      </c>
      <c r="J451" t="n">
        <v>0</v>
      </c>
      <c r="K451" t="n">
        <v>0</v>
      </c>
      <c r="L451" t="n">
        <v>0</v>
      </c>
      <c r="M451" t="n">
        <v>0</v>
      </c>
      <c r="N451" t="n">
        <v>0</v>
      </c>
      <c r="O451" t="n">
        <v>0</v>
      </c>
      <c r="P451" t="n">
        <v>0</v>
      </c>
      <c r="Q451" t="n">
        <v>0</v>
      </c>
      <c r="R451" s="2" t="inlineStr"/>
    </row>
    <row r="452" ht="15" customHeight="1">
      <c r="A452" t="inlineStr">
        <is>
          <t>A 12958-2024</t>
        </is>
      </c>
      <c r="B452" s="1" t="n">
        <v>45385</v>
      </c>
      <c r="C452" s="1" t="n">
        <v>46176</v>
      </c>
      <c r="D452" t="inlineStr">
        <is>
          <t>UPPSALA LÄN</t>
        </is>
      </c>
      <c r="E452" t="inlineStr">
        <is>
          <t>ENKÖPING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1651-2024</t>
        </is>
      </c>
      <c r="B453" s="1" t="n">
        <v>45306.73770833333</v>
      </c>
      <c r="C453" s="1" t="n">
        <v>46176</v>
      </c>
      <c r="D453" t="inlineStr">
        <is>
          <t>UPPSALA LÄN</t>
        </is>
      </c>
      <c r="E453" t="inlineStr">
        <is>
          <t>ENKÖPING</t>
        </is>
      </c>
      <c r="G453" t="n">
        <v>10.2</v>
      </c>
      <c r="H453" t="n">
        <v>0</v>
      </c>
      <c r="I453" t="n">
        <v>0</v>
      </c>
      <c r="J453" t="n">
        <v>0</v>
      </c>
      <c r="K453" t="n">
        <v>0</v>
      </c>
      <c r="L453" t="n">
        <v>0</v>
      </c>
      <c r="M453" t="n">
        <v>0</v>
      </c>
      <c r="N453" t="n">
        <v>0</v>
      </c>
      <c r="O453" t="n">
        <v>0</v>
      </c>
      <c r="P453" t="n">
        <v>0</v>
      </c>
      <c r="Q453" t="n">
        <v>0</v>
      </c>
      <c r="R453" s="2" t="inlineStr"/>
    </row>
    <row r="454" ht="15" customHeight="1">
      <c r="A454" t="inlineStr">
        <is>
          <t>A 51012-2024</t>
        </is>
      </c>
      <c r="B454" s="1" t="n">
        <v>45603.39686342593</v>
      </c>
      <c r="C454" s="1" t="n">
        <v>46176</v>
      </c>
      <c r="D454" t="inlineStr">
        <is>
          <t>UPPSALA LÄN</t>
        </is>
      </c>
      <c r="E454" t="inlineStr">
        <is>
          <t>ENKÖPING</t>
        </is>
      </c>
      <c r="G454" t="n">
        <v>2.7</v>
      </c>
      <c r="H454" t="n">
        <v>0</v>
      </c>
      <c r="I454" t="n">
        <v>0</v>
      </c>
      <c r="J454" t="n">
        <v>0</v>
      </c>
      <c r="K454" t="n">
        <v>0</v>
      </c>
      <c r="L454" t="n">
        <v>0</v>
      </c>
      <c r="M454" t="n">
        <v>0</v>
      </c>
      <c r="N454" t="n">
        <v>0</v>
      </c>
      <c r="O454" t="n">
        <v>0</v>
      </c>
      <c r="P454" t="n">
        <v>0</v>
      </c>
      <c r="Q454" t="n">
        <v>0</v>
      </c>
      <c r="R454" s="2" t="inlineStr"/>
    </row>
    <row r="455" ht="15" customHeight="1">
      <c r="A455" t="inlineStr">
        <is>
          <t>A 57940-2022</t>
        </is>
      </c>
      <c r="B455" s="1" t="n">
        <v>44900</v>
      </c>
      <c r="C455" s="1" t="n">
        <v>46176</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63310-2021</t>
        </is>
      </c>
      <c r="B456" s="1" t="n">
        <v>44508</v>
      </c>
      <c r="C456" s="1" t="n">
        <v>46176</v>
      </c>
      <c r="D456" t="inlineStr">
        <is>
          <t>UPPSALA LÄN</t>
        </is>
      </c>
      <c r="E456" t="inlineStr">
        <is>
          <t>ENKÖPING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20440-2025</t>
        </is>
      </c>
      <c r="B457" s="1" t="n">
        <v>45775</v>
      </c>
      <c r="C457" s="1" t="n">
        <v>46176</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19488-2022</t>
        </is>
      </c>
      <c r="B458" s="1" t="n">
        <v>44693</v>
      </c>
      <c r="C458" s="1" t="n">
        <v>46176</v>
      </c>
      <c r="D458" t="inlineStr">
        <is>
          <t>UPPSALA LÄN</t>
        </is>
      </c>
      <c r="E458" t="inlineStr">
        <is>
          <t>ENKÖPING</t>
        </is>
      </c>
      <c r="G458" t="n">
        <v>7.8</v>
      </c>
      <c r="H458" t="n">
        <v>0</v>
      </c>
      <c r="I458" t="n">
        <v>0</v>
      </c>
      <c r="J458" t="n">
        <v>0</v>
      </c>
      <c r="K458" t="n">
        <v>0</v>
      </c>
      <c r="L458" t="n">
        <v>0</v>
      </c>
      <c r="M458" t="n">
        <v>0</v>
      </c>
      <c r="N458" t="n">
        <v>0</v>
      </c>
      <c r="O458" t="n">
        <v>0</v>
      </c>
      <c r="P458" t="n">
        <v>0</v>
      </c>
      <c r="Q458" t="n">
        <v>0</v>
      </c>
      <c r="R458" s="2" t="inlineStr"/>
    </row>
    <row r="459" ht="15" customHeight="1">
      <c r="A459" t="inlineStr">
        <is>
          <t>A 5188-2022</t>
        </is>
      </c>
      <c r="B459" s="1" t="n">
        <v>44594.4471412037</v>
      </c>
      <c r="C459" s="1" t="n">
        <v>46176</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31622-2022</t>
        </is>
      </c>
      <c r="B460" s="1" t="n">
        <v>44775</v>
      </c>
      <c r="C460" s="1" t="n">
        <v>46176</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12102-2024</t>
        </is>
      </c>
      <c r="B461" s="1" t="n">
        <v>45377</v>
      </c>
      <c r="C461" s="1" t="n">
        <v>46176</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59602-2024</t>
        </is>
      </c>
      <c r="B462" s="1" t="n">
        <v>45638</v>
      </c>
      <c r="C462" s="1" t="n">
        <v>46176</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44131-2023</t>
        </is>
      </c>
      <c r="B463" s="1" t="n">
        <v>45188</v>
      </c>
      <c r="C463" s="1" t="n">
        <v>46176</v>
      </c>
      <c r="D463" t="inlineStr">
        <is>
          <t>UPPSALA LÄN</t>
        </is>
      </c>
      <c r="E463" t="inlineStr">
        <is>
          <t>ENKÖPING</t>
        </is>
      </c>
      <c r="G463" t="n">
        <v>0.3</v>
      </c>
      <c r="H463" t="n">
        <v>0</v>
      </c>
      <c r="I463" t="n">
        <v>0</v>
      </c>
      <c r="J463" t="n">
        <v>0</v>
      </c>
      <c r="K463" t="n">
        <v>0</v>
      </c>
      <c r="L463" t="n">
        <v>0</v>
      </c>
      <c r="M463" t="n">
        <v>0</v>
      </c>
      <c r="N463" t="n">
        <v>0</v>
      </c>
      <c r="O463" t="n">
        <v>0</v>
      </c>
      <c r="P463" t="n">
        <v>0</v>
      </c>
      <c r="Q463" t="n">
        <v>0</v>
      </c>
      <c r="R463" s="2" t="inlineStr"/>
    </row>
    <row r="464" ht="15" customHeight="1">
      <c r="A464" t="inlineStr">
        <is>
          <t>A 60533-2021</t>
        </is>
      </c>
      <c r="B464" s="1" t="n">
        <v>44496</v>
      </c>
      <c r="C464" s="1" t="n">
        <v>46176</v>
      </c>
      <c r="D464" t="inlineStr">
        <is>
          <t>UPPSALA LÄN</t>
        </is>
      </c>
      <c r="E464" t="inlineStr">
        <is>
          <t>ENKÖPING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35052-2024</t>
        </is>
      </c>
      <c r="B465" s="1" t="n">
        <v>45527.6516087963</v>
      </c>
      <c r="C465" s="1" t="n">
        <v>46176</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51008-2024</t>
        </is>
      </c>
      <c r="B466" s="1" t="n">
        <v>45603.39041666667</v>
      </c>
      <c r="C466" s="1" t="n">
        <v>46176</v>
      </c>
      <c r="D466" t="inlineStr">
        <is>
          <t>UPPSALA LÄN</t>
        </is>
      </c>
      <c r="E466" t="inlineStr">
        <is>
          <t>ENKÖPING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22156-2025</t>
        </is>
      </c>
      <c r="B467" s="1" t="n">
        <v>45785.57512731481</v>
      </c>
      <c r="C467" s="1" t="n">
        <v>46176</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22150-2025</t>
        </is>
      </c>
      <c r="B468" s="1" t="n">
        <v>45785.56398148148</v>
      </c>
      <c r="C468" s="1" t="n">
        <v>46176</v>
      </c>
      <c r="D468" t="inlineStr">
        <is>
          <t>UPPSALA LÄN</t>
        </is>
      </c>
      <c r="E468" t="inlineStr">
        <is>
          <t>ENKÖPING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30087-2024</t>
        </is>
      </c>
      <c r="B469" s="1" t="n">
        <v>45489.39447916667</v>
      </c>
      <c r="C469" s="1" t="n">
        <v>46176</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54776-2024</t>
        </is>
      </c>
      <c r="B470" s="1" t="n">
        <v>45618</v>
      </c>
      <c r="C470" s="1" t="n">
        <v>46176</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22729-2025</t>
        </is>
      </c>
      <c r="B471" s="1" t="n">
        <v>45789.57790509259</v>
      </c>
      <c r="C471" s="1" t="n">
        <v>46176</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14518-2025</t>
        </is>
      </c>
      <c r="B472" s="1" t="n">
        <v>45741</v>
      </c>
      <c r="C472" s="1" t="n">
        <v>46176</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22677-2025</t>
        </is>
      </c>
      <c r="B473" s="1" t="n">
        <v>45789.49515046296</v>
      </c>
      <c r="C473" s="1" t="n">
        <v>46176</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22679-2025</t>
        </is>
      </c>
      <c r="B474" s="1" t="n">
        <v>45789.49747685185</v>
      </c>
      <c r="C474" s="1" t="n">
        <v>46176</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22770-2025</t>
        </is>
      </c>
      <c r="B475" s="1" t="n">
        <v>45789.63454861111</v>
      </c>
      <c r="C475" s="1" t="n">
        <v>46176</v>
      </c>
      <c r="D475" t="inlineStr">
        <is>
          <t>UPPSALA LÄN</t>
        </is>
      </c>
      <c r="E475" t="inlineStr">
        <is>
          <t>ENKÖPING</t>
        </is>
      </c>
      <c r="G475" t="n">
        <v>4.5</v>
      </c>
      <c r="H475" t="n">
        <v>0</v>
      </c>
      <c r="I475" t="n">
        <v>0</v>
      </c>
      <c r="J475" t="n">
        <v>0</v>
      </c>
      <c r="K475" t="n">
        <v>0</v>
      </c>
      <c r="L475" t="n">
        <v>0</v>
      </c>
      <c r="M475" t="n">
        <v>0</v>
      </c>
      <c r="N475" t="n">
        <v>0</v>
      </c>
      <c r="O475" t="n">
        <v>0</v>
      </c>
      <c r="P475" t="n">
        <v>0</v>
      </c>
      <c r="Q475" t="n">
        <v>0</v>
      </c>
      <c r="R475" s="2" t="inlineStr"/>
    </row>
    <row r="476" ht="15" customHeight="1">
      <c r="A476" t="inlineStr">
        <is>
          <t>A 22800-2025</t>
        </is>
      </c>
      <c r="B476" s="1" t="n">
        <v>45789.6669212963</v>
      </c>
      <c r="C476" s="1" t="n">
        <v>46176</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6981-2025</t>
        </is>
      </c>
      <c r="B477" s="1" t="n">
        <v>45701</v>
      </c>
      <c r="C477" s="1" t="n">
        <v>46176</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22786-2025</t>
        </is>
      </c>
      <c r="B478" s="1" t="n">
        <v>45789.64643518518</v>
      </c>
      <c r="C478" s="1" t="n">
        <v>46176</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68123-2021</t>
        </is>
      </c>
      <c r="B479" s="1" t="n">
        <v>44526.39126157408</v>
      </c>
      <c r="C479" s="1" t="n">
        <v>46176</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22680-2025</t>
        </is>
      </c>
      <c r="B480" s="1" t="n">
        <v>45789.5005787037</v>
      </c>
      <c r="C480" s="1" t="n">
        <v>46176</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22802-2025</t>
        </is>
      </c>
      <c r="B481" s="1" t="n">
        <v>45789.6686574074</v>
      </c>
      <c r="C481" s="1" t="n">
        <v>46176</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22793-2025</t>
        </is>
      </c>
      <c r="B482" s="1" t="n">
        <v>45789.65693287037</v>
      </c>
      <c r="C482" s="1" t="n">
        <v>46176</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22795-2025</t>
        </is>
      </c>
      <c r="B483" s="1" t="n">
        <v>45789.65944444444</v>
      </c>
      <c r="C483" s="1" t="n">
        <v>46176</v>
      </c>
      <c r="D483" t="inlineStr">
        <is>
          <t>UPPSALA LÄN</t>
        </is>
      </c>
      <c r="E483" t="inlineStr">
        <is>
          <t>ENKÖPING</t>
        </is>
      </c>
      <c r="G483" t="n">
        <v>10.4</v>
      </c>
      <c r="H483" t="n">
        <v>0</v>
      </c>
      <c r="I483" t="n">
        <v>0</v>
      </c>
      <c r="J483" t="n">
        <v>0</v>
      </c>
      <c r="K483" t="n">
        <v>0</v>
      </c>
      <c r="L483" t="n">
        <v>0</v>
      </c>
      <c r="M483" t="n">
        <v>0</v>
      </c>
      <c r="N483" t="n">
        <v>0</v>
      </c>
      <c r="O483" t="n">
        <v>0</v>
      </c>
      <c r="P483" t="n">
        <v>0</v>
      </c>
      <c r="Q483" t="n">
        <v>0</v>
      </c>
      <c r="R483" s="2" t="inlineStr"/>
    </row>
    <row r="484" ht="15" customHeight="1">
      <c r="A484" t="inlineStr">
        <is>
          <t>A 22725-2025</t>
        </is>
      </c>
      <c r="B484" s="1" t="n">
        <v>45789.57371527778</v>
      </c>
      <c r="C484" s="1" t="n">
        <v>46176</v>
      </c>
      <c r="D484" t="inlineStr">
        <is>
          <t>UPPSALA LÄN</t>
        </is>
      </c>
      <c r="E484" t="inlineStr">
        <is>
          <t>ENKÖPING</t>
        </is>
      </c>
      <c r="G484" t="n">
        <v>4.8</v>
      </c>
      <c r="H484" t="n">
        <v>0</v>
      </c>
      <c r="I484" t="n">
        <v>0</v>
      </c>
      <c r="J484" t="n">
        <v>0</v>
      </c>
      <c r="K484" t="n">
        <v>0</v>
      </c>
      <c r="L484" t="n">
        <v>0</v>
      </c>
      <c r="M484" t="n">
        <v>0</v>
      </c>
      <c r="N484" t="n">
        <v>0</v>
      </c>
      <c r="O484" t="n">
        <v>0</v>
      </c>
      <c r="P484" t="n">
        <v>0</v>
      </c>
      <c r="Q484" t="n">
        <v>0</v>
      </c>
      <c r="R484" s="2" t="inlineStr"/>
    </row>
    <row r="485" ht="15" customHeight="1">
      <c r="A485" t="inlineStr">
        <is>
          <t>A 22981-2025</t>
        </is>
      </c>
      <c r="B485" s="1" t="n">
        <v>45790.56964120371</v>
      </c>
      <c r="C485" s="1" t="n">
        <v>46176</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45956-2024</t>
        </is>
      </c>
      <c r="B486" s="1" t="n">
        <v>45580</v>
      </c>
      <c r="C486" s="1" t="n">
        <v>46176</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10831-2024</t>
        </is>
      </c>
      <c r="B487" s="1" t="n">
        <v>45369</v>
      </c>
      <c r="C487" s="1" t="n">
        <v>46176</v>
      </c>
      <c r="D487" t="inlineStr">
        <is>
          <t>UPPSALA LÄN</t>
        </is>
      </c>
      <c r="E487" t="inlineStr">
        <is>
          <t>ENKÖPING</t>
        </is>
      </c>
      <c r="G487" t="n">
        <v>2.9</v>
      </c>
      <c r="H487" t="n">
        <v>0</v>
      </c>
      <c r="I487" t="n">
        <v>0</v>
      </c>
      <c r="J487" t="n">
        <v>0</v>
      </c>
      <c r="K487" t="n">
        <v>0</v>
      </c>
      <c r="L487" t="n">
        <v>0</v>
      </c>
      <c r="M487" t="n">
        <v>0</v>
      </c>
      <c r="N487" t="n">
        <v>0</v>
      </c>
      <c r="O487" t="n">
        <v>0</v>
      </c>
      <c r="P487" t="n">
        <v>0</v>
      </c>
      <c r="Q487" t="n">
        <v>0</v>
      </c>
      <c r="R487" s="2" t="inlineStr"/>
    </row>
    <row r="488" ht="15" customHeight="1">
      <c r="A488" t="inlineStr">
        <is>
          <t>A 8020-2022</t>
        </is>
      </c>
      <c r="B488" s="1" t="n">
        <v>44609</v>
      </c>
      <c r="C488" s="1" t="n">
        <v>46176</v>
      </c>
      <c r="D488" t="inlineStr">
        <is>
          <t>UPPSALA LÄN</t>
        </is>
      </c>
      <c r="E488" t="inlineStr">
        <is>
          <t>ENKÖPING</t>
        </is>
      </c>
      <c r="G488" t="n">
        <v>6</v>
      </c>
      <c r="H488" t="n">
        <v>0</v>
      </c>
      <c r="I488" t="n">
        <v>0</v>
      </c>
      <c r="J488" t="n">
        <v>0</v>
      </c>
      <c r="K488" t="n">
        <v>0</v>
      </c>
      <c r="L488" t="n">
        <v>0</v>
      </c>
      <c r="M488" t="n">
        <v>0</v>
      </c>
      <c r="N488" t="n">
        <v>0</v>
      </c>
      <c r="O488" t="n">
        <v>0</v>
      </c>
      <c r="P488" t="n">
        <v>0</v>
      </c>
      <c r="Q488" t="n">
        <v>0</v>
      </c>
      <c r="R488" s="2" t="inlineStr"/>
    </row>
    <row r="489" ht="15" customHeight="1">
      <c r="A489" t="inlineStr">
        <is>
          <t>A 74090-2021</t>
        </is>
      </c>
      <c r="B489" s="1" t="n">
        <v>44557</v>
      </c>
      <c r="C489" s="1" t="n">
        <v>46176</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34805-2024</t>
        </is>
      </c>
      <c r="B490" s="1" t="n">
        <v>45526</v>
      </c>
      <c r="C490" s="1" t="n">
        <v>46176</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17729-2023</t>
        </is>
      </c>
      <c r="B491" s="1" t="n">
        <v>45037</v>
      </c>
      <c r="C491" s="1" t="n">
        <v>46176</v>
      </c>
      <c r="D491" t="inlineStr">
        <is>
          <t>UPPSALA LÄN</t>
        </is>
      </c>
      <c r="E491" t="inlineStr">
        <is>
          <t>ENKÖPING</t>
        </is>
      </c>
      <c r="G491" t="n">
        <v>10.2</v>
      </c>
      <c r="H491" t="n">
        <v>0</v>
      </c>
      <c r="I491" t="n">
        <v>0</v>
      </c>
      <c r="J491" t="n">
        <v>0</v>
      </c>
      <c r="K491" t="n">
        <v>0</v>
      </c>
      <c r="L491" t="n">
        <v>0</v>
      </c>
      <c r="M491" t="n">
        <v>0</v>
      </c>
      <c r="N491" t="n">
        <v>0</v>
      </c>
      <c r="O491" t="n">
        <v>0</v>
      </c>
      <c r="P491" t="n">
        <v>0</v>
      </c>
      <c r="Q491" t="n">
        <v>0</v>
      </c>
      <c r="R491" s="2" t="inlineStr"/>
    </row>
    <row r="492" ht="15" customHeight="1">
      <c r="A492" t="inlineStr">
        <is>
          <t>A 5712-2025</t>
        </is>
      </c>
      <c r="B492" s="1" t="n">
        <v>45694</v>
      </c>
      <c r="C492" s="1" t="n">
        <v>46176</v>
      </c>
      <c r="D492" t="inlineStr">
        <is>
          <t>UPPSALA LÄN</t>
        </is>
      </c>
      <c r="E492" t="inlineStr">
        <is>
          <t>ENKÖPING</t>
        </is>
      </c>
      <c r="G492" t="n">
        <v>5.1</v>
      </c>
      <c r="H492" t="n">
        <v>0</v>
      </c>
      <c r="I492" t="n">
        <v>0</v>
      </c>
      <c r="J492" t="n">
        <v>0</v>
      </c>
      <c r="K492" t="n">
        <v>0</v>
      </c>
      <c r="L492" t="n">
        <v>0</v>
      </c>
      <c r="M492" t="n">
        <v>0</v>
      </c>
      <c r="N492" t="n">
        <v>0</v>
      </c>
      <c r="O492" t="n">
        <v>0</v>
      </c>
      <c r="P492" t="n">
        <v>0</v>
      </c>
      <c r="Q492" t="n">
        <v>0</v>
      </c>
      <c r="R492" s="2" t="inlineStr"/>
    </row>
    <row r="493" ht="15" customHeight="1">
      <c r="A493" t="inlineStr">
        <is>
          <t>A 5749-2025</t>
        </is>
      </c>
      <c r="B493" s="1" t="n">
        <v>45694</v>
      </c>
      <c r="C493" s="1" t="n">
        <v>46176</v>
      </c>
      <c r="D493" t="inlineStr">
        <is>
          <t>UPPSALA LÄN</t>
        </is>
      </c>
      <c r="E493" t="inlineStr">
        <is>
          <t>ENKÖPING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314-2025</t>
        </is>
      </c>
      <c r="B494" s="1" t="n">
        <v>45656</v>
      </c>
      <c r="C494" s="1" t="n">
        <v>46176</v>
      </c>
      <c r="D494" t="inlineStr">
        <is>
          <t>UPPSALA LÄN</t>
        </is>
      </c>
      <c r="E494" t="inlineStr">
        <is>
          <t>ENKÖPING</t>
        </is>
      </c>
      <c r="G494" t="n">
        <v>9</v>
      </c>
      <c r="H494" t="n">
        <v>0</v>
      </c>
      <c r="I494" t="n">
        <v>0</v>
      </c>
      <c r="J494" t="n">
        <v>0</v>
      </c>
      <c r="K494" t="n">
        <v>0</v>
      </c>
      <c r="L494" t="n">
        <v>0</v>
      </c>
      <c r="M494" t="n">
        <v>0</v>
      </c>
      <c r="N494" t="n">
        <v>0</v>
      </c>
      <c r="O494" t="n">
        <v>0</v>
      </c>
      <c r="P494" t="n">
        <v>0</v>
      </c>
      <c r="Q494" t="n">
        <v>0</v>
      </c>
      <c r="R494" s="2" t="inlineStr"/>
    </row>
    <row r="495" ht="15" customHeight="1">
      <c r="A495" t="inlineStr">
        <is>
          <t>A 11627-2025</t>
        </is>
      </c>
      <c r="B495" s="1" t="n">
        <v>45727</v>
      </c>
      <c r="C495" s="1" t="n">
        <v>46176</v>
      </c>
      <c r="D495" t="inlineStr">
        <is>
          <t>UPPSALA LÄN</t>
        </is>
      </c>
      <c r="E495" t="inlineStr">
        <is>
          <t>ENKÖPING</t>
        </is>
      </c>
      <c r="G495" t="n">
        <v>5.5</v>
      </c>
      <c r="H495" t="n">
        <v>0</v>
      </c>
      <c r="I495" t="n">
        <v>0</v>
      </c>
      <c r="J495" t="n">
        <v>0</v>
      </c>
      <c r="K495" t="n">
        <v>0</v>
      </c>
      <c r="L495" t="n">
        <v>0</v>
      </c>
      <c r="M495" t="n">
        <v>0</v>
      </c>
      <c r="N495" t="n">
        <v>0</v>
      </c>
      <c r="O495" t="n">
        <v>0</v>
      </c>
      <c r="P495" t="n">
        <v>0</v>
      </c>
      <c r="Q495" t="n">
        <v>0</v>
      </c>
      <c r="R495" s="2" t="inlineStr"/>
    </row>
    <row r="496" ht="15" customHeight="1">
      <c r="A496" t="inlineStr">
        <is>
          <t>A 24411-2024</t>
        </is>
      </c>
      <c r="B496" s="1" t="n">
        <v>45457</v>
      </c>
      <c r="C496" s="1" t="n">
        <v>46176</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58092-2024</t>
        </is>
      </c>
      <c r="B497" s="1" t="n">
        <v>45632</v>
      </c>
      <c r="C497" s="1" t="n">
        <v>46176</v>
      </c>
      <c r="D497" t="inlineStr">
        <is>
          <t>UPPSALA LÄN</t>
        </is>
      </c>
      <c r="E497" t="inlineStr">
        <is>
          <t>ENKÖPING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26024-2025</t>
        </is>
      </c>
      <c r="B498" s="1" t="n">
        <v>45804.6831712963</v>
      </c>
      <c r="C498" s="1" t="n">
        <v>46176</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26042-2025</t>
        </is>
      </c>
      <c r="B499" s="1" t="n">
        <v>45804.70018518518</v>
      </c>
      <c r="C499" s="1" t="n">
        <v>46176</v>
      </c>
      <c r="D499" t="inlineStr">
        <is>
          <t>UPPSALA LÄN</t>
        </is>
      </c>
      <c r="E499" t="inlineStr">
        <is>
          <t>ENKÖPING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26005-2025</t>
        </is>
      </c>
      <c r="B500" s="1" t="n">
        <v>45804.67055555555</v>
      </c>
      <c r="C500" s="1" t="n">
        <v>46176</v>
      </c>
      <c r="D500" t="inlineStr">
        <is>
          <t>UPPSALA LÄN</t>
        </is>
      </c>
      <c r="E500" t="inlineStr">
        <is>
          <t>ENKÖPING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26026-2025</t>
        </is>
      </c>
      <c r="B501" s="1" t="n">
        <v>45804.68510416667</v>
      </c>
      <c r="C501" s="1" t="n">
        <v>46176</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26030-2025</t>
        </is>
      </c>
      <c r="B502" s="1" t="n">
        <v>45804.68815972222</v>
      </c>
      <c r="C502" s="1" t="n">
        <v>46176</v>
      </c>
      <c r="D502" t="inlineStr">
        <is>
          <t>UPPSALA LÄN</t>
        </is>
      </c>
      <c r="E502" t="inlineStr">
        <is>
          <t>ENKÖPING</t>
        </is>
      </c>
      <c r="G502" t="n">
        <v>0.3</v>
      </c>
      <c r="H502" t="n">
        <v>0</v>
      </c>
      <c r="I502" t="n">
        <v>0</v>
      </c>
      <c r="J502" t="n">
        <v>0</v>
      </c>
      <c r="K502" t="n">
        <v>0</v>
      </c>
      <c r="L502" t="n">
        <v>0</v>
      </c>
      <c r="M502" t="n">
        <v>0</v>
      </c>
      <c r="N502" t="n">
        <v>0</v>
      </c>
      <c r="O502" t="n">
        <v>0</v>
      </c>
      <c r="P502" t="n">
        <v>0</v>
      </c>
      <c r="Q502" t="n">
        <v>0</v>
      </c>
      <c r="R502" s="2" t="inlineStr"/>
    </row>
    <row r="503" ht="15" customHeight="1">
      <c r="A503" t="inlineStr">
        <is>
          <t>A 26022-2025</t>
        </is>
      </c>
      <c r="B503" s="1" t="n">
        <v>45804.68006944445</v>
      </c>
      <c r="C503" s="1" t="n">
        <v>46176</v>
      </c>
      <c r="D503" t="inlineStr">
        <is>
          <t>UPPSALA LÄN</t>
        </is>
      </c>
      <c r="E503" t="inlineStr">
        <is>
          <t>ENKÖPING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25988-2025</t>
        </is>
      </c>
      <c r="B504" s="1" t="n">
        <v>45804.64814814815</v>
      </c>
      <c r="C504" s="1" t="n">
        <v>46176</v>
      </c>
      <c r="D504" t="inlineStr">
        <is>
          <t>UPPSALA LÄN</t>
        </is>
      </c>
      <c r="E504" t="inlineStr">
        <is>
          <t>ENKÖPING</t>
        </is>
      </c>
      <c r="G504" t="n">
        <v>4.7</v>
      </c>
      <c r="H504" t="n">
        <v>0</v>
      </c>
      <c r="I504" t="n">
        <v>0</v>
      </c>
      <c r="J504" t="n">
        <v>0</v>
      </c>
      <c r="K504" t="n">
        <v>0</v>
      </c>
      <c r="L504" t="n">
        <v>0</v>
      </c>
      <c r="M504" t="n">
        <v>0</v>
      </c>
      <c r="N504" t="n">
        <v>0</v>
      </c>
      <c r="O504" t="n">
        <v>0</v>
      </c>
      <c r="P504" t="n">
        <v>0</v>
      </c>
      <c r="Q504" t="n">
        <v>0</v>
      </c>
      <c r="R504" s="2" t="inlineStr"/>
    </row>
    <row r="505" ht="15" customHeight="1">
      <c r="A505" t="inlineStr">
        <is>
          <t>A 26031-2025</t>
        </is>
      </c>
      <c r="B505" s="1" t="n">
        <v>45804.69050925926</v>
      </c>
      <c r="C505" s="1" t="n">
        <v>46176</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26041-2025</t>
        </is>
      </c>
      <c r="B506" s="1" t="n">
        <v>45804.69883101852</v>
      </c>
      <c r="C506" s="1" t="n">
        <v>46176</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25847-2025</t>
        </is>
      </c>
      <c r="B507" s="1" t="n">
        <v>45804</v>
      </c>
      <c r="C507" s="1" t="n">
        <v>46176</v>
      </c>
      <c r="D507" t="inlineStr">
        <is>
          <t>UPPSALA LÄN</t>
        </is>
      </c>
      <c r="E507" t="inlineStr">
        <is>
          <t>ENKÖPING</t>
        </is>
      </c>
      <c r="G507" t="n">
        <v>3.6</v>
      </c>
      <c r="H507" t="n">
        <v>0</v>
      </c>
      <c r="I507" t="n">
        <v>0</v>
      </c>
      <c r="J507" t="n">
        <v>0</v>
      </c>
      <c r="K507" t="n">
        <v>0</v>
      </c>
      <c r="L507" t="n">
        <v>0</v>
      </c>
      <c r="M507" t="n">
        <v>0</v>
      </c>
      <c r="N507" t="n">
        <v>0</v>
      </c>
      <c r="O507" t="n">
        <v>0</v>
      </c>
      <c r="P507" t="n">
        <v>0</v>
      </c>
      <c r="Q507" t="n">
        <v>0</v>
      </c>
      <c r="R507" s="2" t="inlineStr"/>
    </row>
    <row r="508" ht="15" customHeight="1">
      <c r="A508" t="inlineStr">
        <is>
          <t>A 26047-2025</t>
        </is>
      </c>
      <c r="B508" s="1" t="n">
        <v>45804.70835648148</v>
      </c>
      <c r="C508" s="1" t="n">
        <v>46176</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35067-2024</t>
        </is>
      </c>
      <c r="B509" s="1" t="n">
        <v>45527.66153935185</v>
      </c>
      <c r="C509" s="1" t="n">
        <v>46176</v>
      </c>
      <c r="D509" t="inlineStr">
        <is>
          <t>UPPSALA LÄN</t>
        </is>
      </c>
      <c r="E509" t="inlineStr">
        <is>
          <t>ENKÖPING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27829-2025</t>
        </is>
      </c>
      <c r="B510" s="1" t="n">
        <v>45817</v>
      </c>
      <c r="C510" s="1" t="n">
        <v>46176</v>
      </c>
      <c r="D510" t="inlineStr">
        <is>
          <t>UPPSALA LÄN</t>
        </is>
      </c>
      <c r="E510" t="inlineStr">
        <is>
          <t>ENKÖPING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39009-2024</t>
        </is>
      </c>
      <c r="B511" s="1" t="n">
        <v>45548</v>
      </c>
      <c r="C511" s="1" t="n">
        <v>46176</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8537-2025</t>
        </is>
      </c>
      <c r="B512" s="1" t="n">
        <v>45709</v>
      </c>
      <c r="C512" s="1" t="n">
        <v>46176</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28758-2025</t>
        </is>
      </c>
      <c r="B513" s="1" t="n">
        <v>45820.41212962963</v>
      </c>
      <c r="C513" s="1" t="n">
        <v>46176</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28862-2025</t>
        </is>
      </c>
      <c r="B514" s="1" t="n">
        <v>45820.59189814814</v>
      </c>
      <c r="C514" s="1" t="n">
        <v>46176</v>
      </c>
      <c r="D514" t="inlineStr">
        <is>
          <t>UPPSALA LÄN</t>
        </is>
      </c>
      <c r="E514" t="inlineStr">
        <is>
          <t>ENKÖPING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28855-2025</t>
        </is>
      </c>
      <c r="B515" s="1" t="n">
        <v>45820.58274305556</v>
      </c>
      <c r="C515" s="1" t="n">
        <v>46176</v>
      </c>
      <c r="D515" t="inlineStr">
        <is>
          <t>UPPSALA LÄN</t>
        </is>
      </c>
      <c r="E515" t="inlineStr">
        <is>
          <t>ENKÖPING</t>
        </is>
      </c>
      <c r="G515" t="n">
        <v>2.4</v>
      </c>
      <c r="H515" t="n">
        <v>0</v>
      </c>
      <c r="I515" t="n">
        <v>0</v>
      </c>
      <c r="J515" t="n">
        <v>0</v>
      </c>
      <c r="K515" t="n">
        <v>0</v>
      </c>
      <c r="L515" t="n">
        <v>0</v>
      </c>
      <c r="M515" t="n">
        <v>0</v>
      </c>
      <c r="N515" t="n">
        <v>0</v>
      </c>
      <c r="O515" t="n">
        <v>0</v>
      </c>
      <c r="P515" t="n">
        <v>0</v>
      </c>
      <c r="Q515" t="n">
        <v>0</v>
      </c>
      <c r="R515" s="2" t="inlineStr"/>
    </row>
    <row r="516" ht="15" customHeight="1">
      <c r="A516" t="inlineStr">
        <is>
          <t>A 29093-2025</t>
        </is>
      </c>
      <c r="B516" s="1" t="n">
        <v>45821.55743055556</v>
      </c>
      <c r="C516" s="1" t="n">
        <v>46176</v>
      </c>
      <c r="D516" t="inlineStr">
        <is>
          <t>UPPSALA LÄN</t>
        </is>
      </c>
      <c r="E516" t="inlineStr">
        <is>
          <t>ENKÖPING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30837-2025</t>
        </is>
      </c>
      <c r="B517" s="1" t="n">
        <v>45831.7063425926</v>
      </c>
      <c r="C517" s="1" t="n">
        <v>46176</v>
      </c>
      <c r="D517" t="inlineStr">
        <is>
          <t>UPPSALA LÄN</t>
        </is>
      </c>
      <c r="E517" t="inlineStr">
        <is>
          <t>ENKÖPING</t>
        </is>
      </c>
      <c r="G517" t="n">
        <v>3.8</v>
      </c>
      <c r="H517" t="n">
        <v>0</v>
      </c>
      <c r="I517" t="n">
        <v>0</v>
      </c>
      <c r="J517" t="n">
        <v>0</v>
      </c>
      <c r="K517" t="n">
        <v>0</v>
      </c>
      <c r="L517" t="n">
        <v>0</v>
      </c>
      <c r="M517" t="n">
        <v>0</v>
      </c>
      <c r="N517" t="n">
        <v>0</v>
      </c>
      <c r="O517" t="n">
        <v>0</v>
      </c>
      <c r="P517" t="n">
        <v>0</v>
      </c>
      <c r="Q517" t="n">
        <v>0</v>
      </c>
      <c r="R517" s="2" t="inlineStr"/>
    </row>
    <row r="518" ht="15" customHeight="1">
      <c r="A518" t="inlineStr">
        <is>
          <t>A 32111-2025</t>
        </is>
      </c>
      <c r="B518" s="1" t="n">
        <v>45835</v>
      </c>
      <c r="C518" s="1" t="n">
        <v>46176</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c r="A519" t="inlineStr">
        <is>
          <t>A 32031-2025</t>
        </is>
      </c>
      <c r="B519" s="1" t="n">
        <v>45835.41712962963</v>
      </c>
      <c r="C519" s="1" t="n">
        <v>46176</v>
      </c>
      <c r="D519" t="inlineStr">
        <is>
          <t>UPPSALA LÄN</t>
        </is>
      </c>
      <c r="E519" t="inlineStr">
        <is>
          <t>ENKÖPING</t>
        </is>
      </c>
      <c r="G519" t="n">
        <v>2.7</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2026-06-03T10:57:34Z</dcterms:created>
  <dcterms:modified xmlns:dcterms="http://purl.org/dc/terms/" xmlns:xsi="http://www.w3.org/2001/XMLSchema-instance" xsi:type="dcterms:W3CDTF">2026-06-03T10:57:35Z</dcterms:modified>
</cp:coreProperties>
</file>