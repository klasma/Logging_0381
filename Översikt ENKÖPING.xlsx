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45811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45811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45811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45811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45811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45811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45811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45811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45811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45811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45811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45811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45811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45811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45811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45811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45811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45811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45811</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45811</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45811</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45811</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45811</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45811</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45811</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45811</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45811</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45811</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39974-2019</t>
        </is>
      </c>
      <c r="B30" s="1" t="n">
        <v>43692</v>
      </c>
      <c r="C30" s="1" t="n">
        <v>45811</v>
      </c>
      <c r="D30" t="inlineStr">
        <is>
          <t>UPPSALA LÄN</t>
        </is>
      </c>
      <c r="E30" t="inlineStr">
        <is>
          <t>ENKÖPING</t>
        </is>
      </c>
      <c r="G30" t="n">
        <v>6</v>
      </c>
      <c r="H30" t="n">
        <v>1</v>
      </c>
      <c r="I30" t="n">
        <v>0</v>
      </c>
      <c r="J30" t="n">
        <v>1</v>
      </c>
      <c r="K30" t="n">
        <v>0</v>
      </c>
      <c r="L30" t="n">
        <v>0</v>
      </c>
      <c r="M30" t="n">
        <v>0</v>
      </c>
      <c r="N30" t="n">
        <v>0</v>
      </c>
      <c r="O30" t="n">
        <v>1</v>
      </c>
      <c r="P30" t="n">
        <v>0</v>
      </c>
      <c r="Q30" t="n">
        <v>1</v>
      </c>
      <c r="R30" s="2" t="inlineStr">
        <is>
          <t>Havsörn</t>
        </is>
      </c>
      <c r="S30">
        <f>HYPERLINK("https://klasma.github.io/Logging_0381/artfynd/A 39974-2019 artfynd.xlsx", "A 39974-2019")</f>
        <v/>
      </c>
      <c r="T30">
        <f>HYPERLINK("https://klasma.github.io/Logging_0381/kartor/A 39974-2019 karta.png", "A 39974-2019")</f>
        <v/>
      </c>
      <c r="V30">
        <f>HYPERLINK("https://klasma.github.io/Logging_0381/klagomål/A 39974-2019 FSC-klagomål.docx", "A 39974-2019")</f>
        <v/>
      </c>
      <c r="W30">
        <f>HYPERLINK("https://klasma.github.io/Logging_0381/klagomålsmail/A 39974-2019 FSC-klagomål mail.docx", "A 39974-2019")</f>
        <v/>
      </c>
      <c r="X30">
        <f>HYPERLINK("https://klasma.github.io/Logging_0381/tillsyn/A 39974-2019 tillsynsbegäran.docx", "A 39974-2019")</f>
        <v/>
      </c>
      <c r="Y30">
        <f>HYPERLINK("https://klasma.github.io/Logging_0381/tillsynsmail/A 39974-2019 tillsynsbegäran mail.docx", "A 39974-2019")</f>
        <v/>
      </c>
      <c r="Z30">
        <f>HYPERLINK("https://klasma.github.io/Logging_0381/fåglar/A 39974-2019 prioriterade fågelarter.docx", "A 39974-2019")</f>
        <v/>
      </c>
    </row>
    <row r="31" ht="15" customHeight="1">
      <c r="A31" t="inlineStr">
        <is>
          <t>A 40881-2019</t>
        </is>
      </c>
      <c r="B31" s="1" t="n">
        <v>43697</v>
      </c>
      <c r="C31" s="1" t="n">
        <v>45811</v>
      </c>
      <c r="D31" t="inlineStr">
        <is>
          <t>UPPSALA LÄN</t>
        </is>
      </c>
      <c r="E31" t="inlineStr">
        <is>
          <t>ENKÖPING</t>
        </is>
      </c>
      <c r="G31" t="n">
        <v>21</v>
      </c>
      <c r="H31" t="n">
        <v>0</v>
      </c>
      <c r="I31" t="n">
        <v>1</v>
      </c>
      <c r="J31" t="n">
        <v>0</v>
      </c>
      <c r="K31" t="n">
        <v>0</v>
      </c>
      <c r="L31" t="n">
        <v>0</v>
      </c>
      <c r="M31" t="n">
        <v>0</v>
      </c>
      <c r="N31" t="n">
        <v>0</v>
      </c>
      <c r="O31" t="n">
        <v>0</v>
      </c>
      <c r="P31" t="n">
        <v>0</v>
      </c>
      <c r="Q31" t="n">
        <v>1</v>
      </c>
      <c r="R31" s="2" t="inlineStr">
        <is>
          <t>Rävticka</t>
        </is>
      </c>
      <c r="S31">
        <f>HYPERLINK("https://klasma.github.io/Logging_0381/artfynd/A 40881-2019 artfynd.xlsx", "A 40881-2019")</f>
        <v/>
      </c>
      <c r="T31">
        <f>HYPERLINK("https://klasma.github.io/Logging_0381/kartor/A 40881-2019 karta.png", "A 40881-2019")</f>
        <v/>
      </c>
      <c r="V31">
        <f>HYPERLINK("https://klasma.github.io/Logging_0381/klagomål/A 40881-2019 FSC-klagomål.docx", "A 40881-2019")</f>
        <v/>
      </c>
      <c r="W31">
        <f>HYPERLINK("https://klasma.github.io/Logging_0381/klagomålsmail/A 40881-2019 FSC-klagomål mail.docx", "A 40881-2019")</f>
        <v/>
      </c>
      <c r="X31">
        <f>HYPERLINK("https://klasma.github.io/Logging_0381/tillsyn/A 40881-2019 tillsynsbegäran.docx", "A 40881-2019")</f>
        <v/>
      </c>
      <c r="Y31">
        <f>HYPERLINK("https://klasma.github.io/Logging_0381/tillsynsmail/A 40881-2019 tillsynsbegäran mail.docx", "A 40881-2019")</f>
        <v/>
      </c>
    </row>
    <row r="32" ht="15" customHeight="1">
      <c r="A32" t="inlineStr">
        <is>
          <t>A 42340-2019</t>
        </is>
      </c>
      <c r="B32" s="1" t="n">
        <v>43703</v>
      </c>
      <c r="C32" s="1" t="n">
        <v>45811</v>
      </c>
      <c r="D32" t="inlineStr">
        <is>
          <t>UPPSALA LÄN</t>
        </is>
      </c>
      <c r="E32" t="inlineStr">
        <is>
          <t>ENKÖPING</t>
        </is>
      </c>
      <c r="G32" t="n">
        <v>3.9</v>
      </c>
      <c r="H32" t="n">
        <v>1</v>
      </c>
      <c r="I32" t="n">
        <v>0</v>
      </c>
      <c r="J32" t="n">
        <v>1</v>
      </c>
      <c r="K32" t="n">
        <v>0</v>
      </c>
      <c r="L32" t="n">
        <v>0</v>
      </c>
      <c r="M32" t="n">
        <v>0</v>
      </c>
      <c r="N32" t="n">
        <v>0</v>
      </c>
      <c r="O32" t="n">
        <v>1</v>
      </c>
      <c r="P32" t="n">
        <v>0</v>
      </c>
      <c r="Q32" t="n">
        <v>1</v>
      </c>
      <c r="R32" s="2" t="inlineStr">
        <is>
          <t>Spillkråka</t>
        </is>
      </c>
      <c r="S32">
        <f>HYPERLINK("https://klasma.github.io/Logging_0381/artfynd/A 42340-2019 artfynd.xlsx", "A 42340-2019")</f>
        <v/>
      </c>
      <c r="T32">
        <f>HYPERLINK("https://klasma.github.io/Logging_0381/kartor/A 42340-2019 karta.png", "A 42340-2019")</f>
        <v/>
      </c>
      <c r="V32">
        <f>HYPERLINK("https://klasma.github.io/Logging_0381/klagomål/A 42340-2019 FSC-klagomål.docx", "A 42340-2019")</f>
        <v/>
      </c>
      <c r="W32">
        <f>HYPERLINK("https://klasma.github.io/Logging_0381/klagomålsmail/A 42340-2019 FSC-klagomål mail.docx", "A 42340-2019")</f>
        <v/>
      </c>
      <c r="X32">
        <f>HYPERLINK("https://klasma.github.io/Logging_0381/tillsyn/A 42340-2019 tillsynsbegäran.docx", "A 42340-2019")</f>
        <v/>
      </c>
      <c r="Y32">
        <f>HYPERLINK("https://klasma.github.io/Logging_0381/tillsynsmail/A 42340-2019 tillsynsbegäran mail.docx", "A 42340-2019")</f>
        <v/>
      </c>
      <c r="Z32">
        <f>HYPERLINK("https://klasma.github.io/Logging_0381/fåglar/A 42340-2019 prioriterade fågelarter.docx", "A 42340-2019")</f>
        <v/>
      </c>
    </row>
    <row r="33" ht="15" customHeight="1">
      <c r="A33" t="inlineStr">
        <is>
          <t>A 49060-2019</t>
        </is>
      </c>
      <c r="B33" s="1" t="n">
        <v>43731</v>
      </c>
      <c r="C33" s="1" t="n">
        <v>45811</v>
      </c>
      <c r="D33" t="inlineStr">
        <is>
          <t>UPPSALA LÄN</t>
        </is>
      </c>
      <c r="E33" t="inlineStr">
        <is>
          <t>ENKÖPING</t>
        </is>
      </c>
      <c r="F33" t="inlineStr">
        <is>
          <t>Kyrkan</t>
        </is>
      </c>
      <c r="G33" t="n">
        <v>1.5</v>
      </c>
      <c r="H33" t="n">
        <v>0</v>
      </c>
      <c r="I33" t="n">
        <v>0</v>
      </c>
      <c r="J33" t="n">
        <v>1</v>
      </c>
      <c r="K33" t="n">
        <v>0</v>
      </c>
      <c r="L33" t="n">
        <v>0</v>
      </c>
      <c r="M33" t="n">
        <v>0</v>
      </c>
      <c r="N33" t="n">
        <v>0</v>
      </c>
      <c r="O33" t="n">
        <v>1</v>
      </c>
      <c r="P33" t="n">
        <v>0</v>
      </c>
      <c r="Q33" t="n">
        <v>1</v>
      </c>
      <c r="R33" s="2" t="inlineStr">
        <is>
          <t>Backtimjan</t>
        </is>
      </c>
      <c r="S33">
        <f>HYPERLINK("https://klasma.github.io/Logging_0381/artfynd/A 49060-2019 artfynd.xlsx", "A 49060-2019")</f>
        <v/>
      </c>
      <c r="T33">
        <f>HYPERLINK("https://klasma.github.io/Logging_0381/kartor/A 49060-2019 karta.png", "A 49060-2019")</f>
        <v/>
      </c>
      <c r="V33">
        <f>HYPERLINK("https://klasma.github.io/Logging_0381/klagomål/A 49060-2019 FSC-klagomål.docx", "A 49060-2019")</f>
        <v/>
      </c>
      <c r="W33">
        <f>HYPERLINK("https://klasma.github.io/Logging_0381/klagomålsmail/A 49060-2019 FSC-klagomål mail.docx", "A 49060-2019")</f>
        <v/>
      </c>
      <c r="X33">
        <f>HYPERLINK("https://klasma.github.io/Logging_0381/tillsyn/A 49060-2019 tillsynsbegäran.docx", "A 49060-2019")</f>
        <v/>
      </c>
      <c r="Y33">
        <f>HYPERLINK("https://klasma.github.io/Logging_0381/tillsynsmail/A 49060-2019 tillsynsbegäran mail.docx", "A 49060-2019")</f>
        <v/>
      </c>
    </row>
    <row r="34" ht="15" customHeight="1">
      <c r="A34" t="inlineStr">
        <is>
          <t>A 6075-2020</t>
        </is>
      </c>
      <c r="B34" s="1" t="n">
        <v>43865</v>
      </c>
      <c r="C34" s="1" t="n">
        <v>45811</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6075-2020 artfynd.xlsx", "A 6075-2020")</f>
        <v/>
      </c>
      <c r="T34">
        <f>HYPERLINK("https://klasma.github.io/Logging_0381/kartor/A 6075-2020 karta.png", "A 6075-2020")</f>
        <v/>
      </c>
      <c r="V34">
        <f>HYPERLINK("https://klasma.github.io/Logging_0381/klagomål/A 6075-2020 FSC-klagomål.docx", "A 6075-2020")</f>
        <v/>
      </c>
      <c r="W34">
        <f>HYPERLINK("https://klasma.github.io/Logging_0381/klagomålsmail/A 6075-2020 FSC-klagomål mail.docx", "A 6075-2020")</f>
        <v/>
      </c>
      <c r="X34">
        <f>HYPERLINK("https://klasma.github.io/Logging_0381/tillsyn/A 6075-2020 tillsynsbegäran.docx", "A 6075-2020")</f>
        <v/>
      </c>
      <c r="Y34">
        <f>HYPERLINK("https://klasma.github.io/Logging_0381/tillsynsmail/A 6075-2020 tillsynsbegäran mail.docx", "A 6075-2020")</f>
        <v/>
      </c>
      <c r="Z34">
        <f>HYPERLINK("https://klasma.github.io/Logging_0381/fåglar/A 6075-2020 prioriterade fågelarter.docx", "A 6075-2020")</f>
        <v/>
      </c>
    </row>
    <row r="35" ht="15" customHeight="1">
      <c r="A35" t="inlineStr">
        <is>
          <t>A 46185-2020</t>
        </is>
      </c>
      <c r="B35" s="1" t="n">
        <v>44092</v>
      </c>
      <c r="C35" s="1" t="n">
        <v>45811</v>
      </c>
      <c r="D35" t="inlineStr">
        <is>
          <t>UPPSALA LÄN</t>
        </is>
      </c>
      <c r="E35" t="inlineStr">
        <is>
          <t>ENKÖPING</t>
        </is>
      </c>
      <c r="G35" t="n">
        <v>1.7</v>
      </c>
      <c r="H35" t="n">
        <v>0</v>
      </c>
      <c r="I35" t="n">
        <v>1</v>
      </c>
      <c r="J35" t="n">
        <v>0</v>
      </c>
      <c r="K35" t="n">
        <v>0</v>
      </c>
      <c r="L35" t="n">
        <v>0</v>
      </c>
      <c r="M35" t="n">
        <v>0</v>
      </c>
      <c r="N35" t="n">
        <v>0</v>
      </c>
      <c r="O35" t="n">
        <v>0</v>
      </c>
      <c r="P35" t="n">
        <v>0</v>
      </c>
      <c r="Q35" t="n">
        <v>1</v>
      </c>
      <c r="R35" s="2" t="inlineStr">
        <is>
          <t>Vedticka</t>
        </is>
      </c>
      <c r="S35">
        <f>HYPERLINK("https://klasma.github.io/Logging_0381/artfynd/A 46185-2020 artfynd.xlsx", "A 46185-2020")</f>
        <v/>
      </c>
      <c r="T35">
        <f>HYPERLINK("https://klasma.github.io/Logging_0381/kartor/A 46185-2020 karta.png", "A 46185-2020")</f>
        <v/>
      </c>
      <c r="V35">
        <f>HYPERLINK("https://klasma.github.io/Logging_0381/klagomål/A 46185-2020 FSC-klagomål.docx", "A 46185-2020")</f>
        <v/>
      </c>
      <c r="W35">
        <f>HYPERLINK("https://klasma.github.io/Logging_0381/klagomålsmail/A 46185-2020 FSC-klagomål mail.docx", "A 46185-2020")</f>
        <v/>
      </c>
      <c r="X35">
        <f>HYPERLINK("https://klasma.github.io/Logging_0381/tillsyn/A 46185-2020 tillsynsbegäran.docx", "A 46185-2020")</f>
        <v/>
      </c>
      <c r="Y35">
        <f>HYPERLINK("https://klasma.github.io/Logging_0381/tillsynsmail/A 46185-2020 tillsynsbegäran mail.docx", "A 46185-2020")</f>
        <v/>
      </c>
    </row>
    <row r="36" ht="15" customHeight="1">
      <c r="A36" t="inlineStr">
        <is>
          <t>A 23385-2021</t>
        </is>
      </c>
      <c r="B36" s="1" t="n">
        <v>44333</v>
      </c>
      <c r="C36" s="1" t="n">
        <v>45811</v>
      </c>
      <c r="D36" t="inlineStr">
        <is>
          <t>UPPSALA LÄN</t>
        </is>
      </c>
      <c r="E36" t="inlineStr">
        <is>
          <t>ENKÖPING</t>
        </is>
      </c>
      <c r="G36" t="n">
        <v>0.7</v>
      </c>
      <c r="H36" t="n">
        <v>1</v>
      </c>
      <c r="I36" t="n">
        <v>0</v>
      </c>
      <c r="J36" t="n">
        <v>1</v>
      </c>
      <c r="K36" t="n">
        <v>0</v>
      </c>
      <c r="L36" t="n">
        <v>0</v>
      </c>
      <c r="M36" t="n">
        <v>0</v>
      </c>
      <c r="N36" t="n">
        <v>0</v>
      </c>
      <c r="O36" t="n">
        <v>1</v>
      </c>
      <c r="P36" t="n">
        <v>0</v>
      </c>
      <c r="Q36" t="n">
        <v>1</v>
      </c>
      <c r="R36" s="2" t="inlineStr">
        <is>
          <t>Talltita</t>
        </is>
      </c>
      <c r="S36">
        <f>HYPERLINK("https://klasma.github.io/Logging_0381/artfynd/A 23385-2021 artfynd.xlsx", "A 23385-2021")</f>
        <v/>
      </c>
      <c r="T36">
        <f>HYPERLINK("https://klasma.github.io/Logging_0381/kartor/A 23385-2021 karta.png", "A 23385-2021")</f>
        <v/>
      </c>
      <c r="V36">
        <f>HYPERLINK("https://klasma.github.io/Logging_0381/klagomål/A 23385-2021 FSC-klagomål.docx", "A 23385-2021")</f>
        <v/>
      </c>
      <c r="W36">
        <f>HYPERLINK("https://klasma.github.io/Logging_0381/klagomålsmail/A 23385-2021 FSC-klagomål mail.docx", "A 23385-2021")</f>
        <v/>
      </c>
      <c r="X36">
        <f>HYPERLINK("https://klasma.github.io/Logging_0381/tillsyn/A 23385-2021 tillsynsbegäran.docx", "A 23385-2021")</f>
        <v/>
      </c>
      <c r="Y36">
        <f>HYPERLINK("https://klasma.github.io/Logging_0381/tillsynsmail/A 23385-2021 tillsynsbegäran mail.docx", "A 23385-2021")</f>
        <v/>
      </c>
      <c r="Z36">
        <f>HYPERLINK("https://klasma.github.io/Logging_0381/fåglar/A 23385-2021 prioriterade fågelarter.docx", "A 23385-2021")</f>
        <v/>
      </c>
    </row>
    <row r="37" ht="15" customHeight="1">
      <c r="A37" t="inlineStr">
        <is>
          <t>A 36523-2021</t>
        </is>
      </c>
      <c r="B37" s="1" t="n">
        <v>44391</v>
      </c>
      <c r="C37" s="1" t="n">
        <v>45811</v>
      </c>
      <c r="D37" t="inlineStr">
        <is>
          <t>UPPSALA LÄN</t>
        </is>
      </c>
      <c r="E37" t="inlineStr">
        <is>
          <t>ENKÖPING</t>
        </is>
      </c>
      <c r="G37" t="n">
        <v>3.5</v>
      </c>
      <c r="H37" t="n">
        <v>1</v>
      </c>
      <c r="I37" t="n">
        <v>0</v>
      </c>
      <c r="J37" t="n">
        <v>1</v>
      </c>
      <c r="K37" t="n">
        <v>0</v>
      </c>
      <c r="L37" t="n">
        <v>0</v>
      </c>
      <c r="M37" t="n">
        <v>0</v>
      </c>
      <c r="N37" t="n">
        <v>0</v>
      </c>
      <c r="O37" t="n">
        <v>1</v>
      </c>
      <c r="P37" t="n">
        <v>0</v>
      </c>
      <c r="Q37" t="n">
        <v>1</v>
      </c>
      <c r="R37" s="2" t="inlineStr">
        <is>
          <t>Spillkråka</t>
        </is>
      </c>
      <c r="S37">
        <f>HYPERLINK("https://klasma.github.io/Logging_0381/artfynd/A 36523-2021 artfynd.xlsx", "A 36523-2021")</f>
        <v/>
      </c>
      <c r="T37">
        <f>HYPERLINK("https://klasma.github.io/Logging_0381/kartor/A 36523-2021 karta.png", "A 36523-2021")</f>
        <v/>
      </c>
      <c r="V37">
        <f>HYPERLINK("https://klasma.github.io/Logging_0381/klagomål/A 36523-2021 FSC-klagomål.docx", "A 36523-2021")</f>
        <v/>
      </c>
      <c r="W37">
        <f>HYPERLINK("https://klasma.github.io/Logging_0381/klagomålsmail/A 36523-2021 FSC-klagomål mail.docx", "A 36523-2021")</f>
        <v/>
      </c>
      <c r="X37">
        <f>HYPERLINK("https://klasma.github.io/Logging_0381/tillsyn/A 36523-2021 tillsynsbegäran.docx", "A 36523-2021")</f>
        <v/>
      </c>
      <c r="Y37">
        <f>HYPERLINK("https://klasma.github.io/Logging_0381/tillsynsmail/A 36523-2021 tillsynsbegäran mail.docx", "A 36523-2021")</f>
        <v/>
      </c>
      <c r="Z37">
        <f>HYPERLINK("https://klasma.github.io/Logging_0381/fåglar/A 36523-2021 prioriterade fågelarter.docx", "A 36523-2021")</f>
        <v/>
      </c>
    </row>
    <row r="38" ht="15" customHeight="1">
      <c r="A38" t="inlineStr">
        <is>
          <t>A 60855-2021</t>
        </is>
      </c>
      <c r="B38" s="1" t="n">
        <v>44497</v>
      </c>
      <c r="C38" s="1" t="n">
        <v>45811</v>
      </c>
      <c r="D38" t="inlineStr">
        <is>
          <t>UPPSALA LÄN</t>
        </is>
      </c>
      <c r="E38" t="inlineStr">
        <is>
          <t>ENKÖPING</t>
        </is>
      </c>
      <c r="G38" t="n">
        <v>1.2</v>
      </c>
      <c r="H38" t="n">
        <v>1</v>
      </c>
      <c r="I38" t="n">
        <v>0</v>
      </c>
      <c r="J38" t="n">
        <v>0</v>
      </c>
      <c r="K38" t="n">
        <v>1</v>
      </c>
      <c r="L38" t="n">
        <v>0</v>
      </c>
      <c r="M38" t="n">
        <v>0</v>
      </c>
      <c r="N38" t="n">
        <v>0</v>
      </c>
      <c r="O38" t="n">
        <v>1</v>
      </c>
      <c r="P38" t="n">
        <v>1</v>
      </c>
      <c r="Q38" t="n">
        <v>1</v>
      </c>
      <c r="R38" s="2" t="inlineStr">
        <is>
          <t>Knärot</t>
        </is>
      </c>
      <c r="S38">
        <f>HYPERLINK("https://klasma.github.io/Logging_0381/artfynd/A 60855-2021 artfynd.xlsx", "A 60855-2021")</f>
        <v/>
      </c>
      <c r="T38">
        <f>HYPERLINK("https://klasma.github.io/Logging_0381/kartor/A 60855-2021 karta.png", "A 60855-2021")</f>
        <v/>
      </c>
      <c r="U38">
        <f>HYPERLINK("https://klasma.github.io/Logging_0381/knärot/A 60855-2021 karta knärot.png", "A 60855-2021")</f>
        <v/>
      </c>
      <c r="V38">
        <f>HYPERLINK("https://klasma.github.io/Logging_0381/klagomål/A 60855-2021 FSC-klagomål.docx", "A 60855-2021")</f>
        <v/>
      </c>
      <c r="W38">
        <f>HYPERLINK("https://klasma.github.io/Logging_0381/klagomålsmail/A 60855-2021 FSC-klagomål mail.docx", "A 60855-2021")</f>
        <v/>
      </c>
      <c r="X38">
        <f>HYPERLINK("https://klasma.github.io/Logging_0381/tillsyn/A 60855-2021 tillsynsbegäran.docx", "A 60855-2021")</f>
        <v/>
      </c>
      <c r="Y38">
        <f>HYPERLINK("https://klasma.github.io/Logging_0381/tillsynsmail/A 60855-2021 tillsynsbegäran mail.docx", "A 60855-2021")</f>
        <v/>
      </c>
    </row>
    <row r="39" ht="15" customHeight="1">
      <c r="A39" t="inlineStr">
        <is>
          <t>A 74028-2021</t>
        </is>
      </c>
      <c r="B39" s="1" t="n">
        <v>44557</v>
      </c>
      <c r="C39" s="1" t="n">
        <v>45811</v>
      </c>
      <c r="D39" t="inlineStr">
        <is>
          <t>UPPSALA LÄN</t>
        </is>
      </c>
      <c r="E39" t="inlineStr">
        <is>
          <t>ENKÖPING</t>
        </is>
      </c>
      <c r="G39" t="n">
        <v>7.3</v>
      </c>
      <c r="H39" t="n">
        <v>1</v>
      </c>
      <c r="I39" t="n">
        <v>0</v>
      </c>
      <c r="J39" t="n">
        <v>0</v>
      </c>
      <c r="K39" t="n">
        <v>0</v>
      </c>
      <c r="L39" t="n">
        <v>0</v>
      </c>
      <c r="M39" t="n">
        <v>0</v>
      </c>
      <c r="N39" t="n">
        <v>0</v>
      </c>
      <c r="O39" t="n">
        <v>0</v>
      </c>
      <c r="P39" t="n">
        <v>0</v>
      </c>
      <c r="Q39" t="n">
        <v>1</v>
      </c>
      <c r="R39" s="2" t="inlineStr">
        <is>
          <t>Tjäder</t>
        </is>
      </c>
      <c r="S39">
        <f>HYPERLINK("https://klasma.github.io/Logging_0381/artfynd/A 74028-2021 artfynd.xlsx", "A 74028-2021")</f>
        <v/>
      </c>
      <c r="T39">
        <f>HYPERLINK("https://klasma.github.io/Logging_0381/kartor/A 74028-2021 karta.png", "A 74028-2021")</f>
        <v/>
      </c>
      <c r="V39">
        <f>HYPERLINK("https://klasma.github.io/Logging_0381/klagomål/A 74028-2021 FSC-klagomål.docx", "A 74028-2021")</f>
        <v/>
      </c>
      <c r="W39">
        <f>HYPERLINK("https://klasma.github.io/Logging_0381/klagomålsmail/A 74028-2021 FSC-klagomål mail.docx", "A 74028-2021")</f>
        <v/>
      </c>
      <c r="X39">
        <f>HYPERLINK("https://klasma.github.io/Logging_0381/tillsyn/A 74028-2021 tillsynsbegäran.docx", "A 74028-2021")</f>
        <v/>
      </c>
      <c r="Y39">
        <f>HYPERLINK("https://klasma.github.io/Logging_0381/tillsynsmail/A 74028-2021 tillsynsbegäran mail.docx", "A 74028-2021")</f>
        <v/>
      </c>
      <c r="Z39">
        <f>HYPERLINK("https://klasma.github.io/Logging_0381/fåglar/A 74028-2021 prioriterade fågelarter.docx", "A 74028-2021")</f>
        <v/>
      </c>
    </row>
    <row r="40" ht="15" customHeight="1">
      <c r="A40" t="inlineStr">
        <is>
          <t>A 18588-2022</t>
        </is>
      </c>
      <c r="B40" s="1" t="n">
        <v>44687</v>
      </c>
      <c r="C40" s="1" t="n">
        <v>45811</v>
      </c>
      <c r="D40" t="inlineStr">
        <is>
          <t>UPPSALA LÄN</t>
        </is>
      </c>
      <c r="E40" t="inlineStr">
        <is>
          <t>ENKÖPING</t>
        </is>
      </c>
      <c r="G40" t="n">
        <v>6.7</v>
      </c>
      <c r="H40" t="n">
        <v>1</v>
      </c>
      <c r="I40" t="n">
        <v>0</v>
      </c>
      <c r="J40" t="n">
        <v>0</v>
      </c>
      <c r="K40" t="n">
        <v>1</v>
      </c>
      <c r="L40" t="n">
        <v>0</v>
      </c>
      <c r="M40" t="n">
        <v>0</v>
      </c>
      <c r="N40" t="n">
        <v>0</v>
      </c>
      <c r="O40" t="n">
        <v>1</v>
      </c>
      <c r="P40" t="n">
        <v>1</v>
      </c>
      <c r="Q40" t="n">
        <v>1</v>
      </c>
      <c r="R40" s="2" t="inlineStr">
        <is>
          <t>Bombmurkla</t>
        </is>
      </c>
      <c r="S40">
        <f>HYPERLINK("https://klasma.github.io/Logging_0381/artfynd/A 18588-2022 artfynd.xlsx", "A 18588-2022")</f>
        <v/>
      </c>
      <c r="T40">
        <f>HYPERLINK("https://klasma.github.io/Logging_0381/kartor/A 18588-2022 karta.png", "A 18588-2022")</f>
        <v/>
      </c>
      <c r="V40">
        <f>HYPERLINK("https://klasma.github.io/Logging_0381/klagomål/A 18588-2022 FSC-klagomål.docx", "A 18588-2022")</f>
        <v/>
      </c>
      <c r="W40">
        <f>HYPERLINK("https://klasma.github.io/Logging_0381/klagomålsmail/A 18588-2022 FSC-klagomål mail.docx", "A 18588-2022")</f>
        <v/>
      </c>
      <c r="X40">
        <f>HYPERLINK("https://klasma.github.io/Logging_0381/tillsyn/A 18588-2022 tillsynsbegäran.docx", "A 18588-2022")</f>
        <v/>
      </c>
      <c r="Y40">
        <f>HYPERLINK("https://klasma.github.io/Logging_0381/tillsynsmail/A 18588-2022 tillsynsbegäran mail.docx", "A 18588-2022")</f>
        <v/>
      </c>
    </row>
    <row r="41" ht="15" customHeight="1">
      <c r="A41" t="inlineStr">
        <is>
          <t>A 23961-2022</t>
        </is>
      </c>
      <c r="B41" s="1" t="n">
        <v>44722</v>
      </c>
      <c r="C41" s="1" t="n">
        <v>45811</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Blåsippa</t>
        </is>
      </c>
      <c r="S41">
        <f>HYPERLINK("https://klasma.github.io/Logging_0381/artfynd/A 23961-2022 artfynd.xlsx", "A 23961-2022")</f>
        <v/>
      </c>
      <c r="T41">
        <f>HYPERLINK("https://klasma.github.io/Logging_0381/kartor/A 23961-2022 karta.png", "A 23961-2022")</f>
        <v/>
      </c>
      <c r="V41">
        <f>HYPERLINK("https://klasma.github.io/Logging_0381/klagomål/A 23961-2022 FSC-klagomål.docx", "A 23961-2022")</f>
        <v/>
      </c>
      <c r="W41">
        <f>HYPERLINK("https://klasma.github.io/Logging_0381/klagomålsmail/A 23961-2022 FSC-klagomål mail.docx", "A 23961-2022")</f>
        <v/>
      </c>
      <c r="X41">
        <f>HYPERLINK("https://klasma.github.io/Logging_0381/tillsyn/A 23961-2022 tillsynsbegäran.docx", "A 23961-2022")</f>
        <v/>
      </c>
      <c r="Y41">
        <f>HYPERLINK("https://klasma.github.io/Logging_0381/tillsynsmail/A 23961-2022 tillsynsbegäran mail.docx", "A 23961-2022")</f>
        <v/>
      </c>
    </row>
    <row r="42" ht="15" customHeight="1">
      <c r="A42" t="inlineStr">
        <is>
          <t>A 1524-2023</t>
        </is>
      </c>
      <c r="B42" s="1" t="n">
        <v>44935</v>
      </c>
      <c r="C42" s="1" t="n">
        <v>45811</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Skogsduva</t>
        </is>
      </c>
      <c r="S42">
        <f>HYPERLINK("https://klasma.github.io/Logging_0381/artfynd/A 1524-2023 artfynd.xlsx", "A 1524-2023")</f>
        <v/>
      </c>
      <c r="T42">
        <f>HYPERLINK("https://klasma.github.io/Logging_0381/kartor/A 1524-2023 karta.png", "A 1524-2023")</f>
        <v/>
      </c>
      <c r="V42">
        <f>HYPERLINK("https://klasma.github.io/Logging_0381/klagomål/A 1524-2023 FSC-klagomål.docx", "A 1524-2023")</f>
        <v/>
      </c>
      <c r="W42">
        <f>HYPERLINK("https://klasma.github.io/Logging_0381/klagomålsmail/A 1524-2023 FSC-klagomål mail.docx", "A 1524-2023")</f>
        <v/>
      </c>
      <c r="X42">
        <f>HYPERLINK("https://klasma.github.io/Logging_0381/tillsyn/A 1524-2023 tillsynsbegäran.docx", "A 1524-2023")</f>
        <v/>
      </c>
      <c r="Y42">
        <f>HYPERLINK("https://klasma.github.io/Logging_0381/tillsynsmail/A 1524-2023 tillsynsbegäran mail.docx", "A 1524-2023")</f>
        <v/>
      </c>
      <c r="Z42">
        <f>HYPERLINK("https://klasma.github.io/Logging_0381/fåglar/A 1524-2023 prioriterade fågelarter.docx", "A 1524-2023")</f>
        <v/>
      </c>
    </row>
    <row r="43" ht="15" customHeight="1">
      <c r="A43" t="inlineStr">
        <is>
          <t>A 39623-2023</t>
        </is>
      </c>
      <c r="B43" s="1" t="n">
        <v>45164</v>
      </c>
      <c r="C43" s="1" t="n">
        <v>45811</v>
      </c>
      <c r="D43" t="inlineStr">
        <is>
          <t>UPPSALA LÄN</t>
        </is>
      </c>
      <c r="E43" t="inlineStr">
        <is>
          <t>ENKÖPING</t>
        </is>
      </c>
      <c r="G43" t="n">
        <v>7.6</v>
      </c>
      <c r="H43" t="n">
        <v>0</v>
      </c>
      <c r="I43" t="n">
        <v>1</v>
      </c>
      <c r="J43" t="n">
        <v>0</v>
      </c>
      <c r="K43" t="n">
        <v>0</v>
      </c>
      <c r="L43" t="n">
        <v>0</v>
      </c>
      <c r="M43" t="n">
        <v>0</v>
      </c>
      <c r="N43" t="n">
        <v>0</v>
      </c>
      <c r="O43" t="n">
        <v>0</v>
      </c>
      <c r="P43" t="n">
        <v>0</v>
      </c>
      <c r="Q43" t="n">
        <v>1</v>
      </c>
      <c r="R43" s="2" t="inlineStr">
        <is>
          <t>Strimspindling</t>
        </is>
      </c>
      <c r="S43">
        <f>HYPERLINK("https://klasma.github.io/Logging_0381/artfynd/A 39623-2023 artfynd.xlsx", "A 39623-2023")</f>
        <v/>
      </c>
      <c r="T43">
        <f>HYPERLINK("https://klasma.github.io/Logging_0381/kartor/A 39623-2023 karta.png", "A 39623-2023")</f>
        <v/>
      </c>
      <c r="V43">
        <f>HYPERLINK("https://klasma.github.io/Logging_0381/klagomål/A 39623-2023 FSC-klagomål.docx", "A 39623-2023")</f>
        <v/>
      </c>
      <c r="W43">
        <f>HYPERLINK("https://klasma.github.io/Logging_0381/klagomålsmail/A 39623-2023 FSC-klagomål mail.docx", "A 39623-2023")</f>
        <v/>
      </c>
      <c r="X43">
        <f>HYPERLINK("https://klasma.github.io/Logging_0381/tillsyn/A 39623-2023 tillsynsbegäran.docx", "A 39623-2023")</f>
        <v/>
      </c>
      <c r="Y43">
        <f>HYPERLINK("https://klasma.github.io/Logging_0381/tillsynsmail/A 39623-2023 tillsynsbegäran mail.docx", "A 39623-2023")</f>
        <v/>
      </c>
    </row>
    <row r="44" ht="15" customHeight="1">
      <c r="A44" t="inlineStr">
        <is>
          <t>A 45116-2023</t>
        </is>
      </c>
      <c r="B44" s="1" t="n">
        <v>45191</v>
      </c>
      <c r="C44" s="1" t="n">
        <v>45811</v>
      </c>
      <c r="D44" t="inlineStr">
        <is>
          <t>UPPSALA LÄN</t>
        </is>
      </c>
      <c r="E44" t="inlineStr">
        <is>
          <t>ENKÖPING</t>
        </is>
      </c>
      <c r="G44" t="n">
        <v>2</v>
      </c>
      <c r="H44" t="n">
        <v>0</v>
      </c>
      <c r="I44" t="n">
        <v>1</v>
      </c>
      <c r="J44" t="n">
        <v>0</v>
      </c>
      <c r="K44" t="n">
        <v>0</v>
      </c>
      <c r="L44" t="n">
        <v>0</v>
      </c>
      <c r="M44" t="n">
        <v>0</v>
      </c>
      <c r="N44" t="n">
        <v>0</v>
      </c>
      <c r="O44" t="n">
        <v>0</v>
      </c>
      <c r="P44" t="n">
        <v>0</v>
      </c>
      <c r="Q44" t="n">
        <v>1</v>
      </c>
      <c r="R44" s="2" t="inlineStr">
        <is>
          <t>Rävticka</t>
        </is>
      </c>
      <c r="S44">
        <f>HYPERLINK("https://klasma.github.io/Logging_0381/artfynd/A 45116-2023 artfynd.xlsx", "A 45116-2023")</f>
        <v/>
      </c>
      <c r="T44">
        <f>HYPERLINK("https://klasma.github.io/Logging_0381/kartor/A 45116-2023 karta.png", "A 45116-2023")</f>
        <v/>
      </c>
      <c r="V44">
        <f>HYPERLINK("https://klasma.github.io/Logging_0381/klagomål/A 45116-2023 FSC-klagomål.docx", "A 45116-2023")</f>
        <v/>
      </c>
      <c r="W44">
        <f>HYPERLINK("https://klasma.github.io/Logging_0381/klagomålsmail/A 45116-2023 FSC-klagomål mail.docx", "A 45116-2023")</f>
        <v/>
      </c>
      <c r="X44">
        <f>HYPERLINK("https://klasma.github.io/Logging_0381/tillsyn/A 45116-2023 tillsynsbegäran.docx", "A 45116-2023")</f>
        <v/>
      </c>
      <c r="Y44">
        <f>HYPERLINK("https://klasma.github.io/Logging_0381/tillsynsmail/A 45116-2023 tillsynsbegäran mail.docx", "A 45116-2023")</f>
        <v/>
      </c>
    </row>
    <row r="45" ht="15" customHeight="1">
      <c r="A45" t="inlineStr">
        <is>
          <t>A 45617-2023</t>
        </is>
      </c>
      <c r="B45" s="1" t="n">
        <v>45194</v>
      </c>
      <c r="C45" s="1" t="n">
        <v>45811</v>
      </c>
      <c r="D45" t="inlineStr">
        <is>
          <t>UPPSALA LÄN</t>
        </is>
      </c>
      <c r="E45" t="inlineStr">
        <is>
          <t>ENKÖPING</t>
        </is>
      </c>
      <c r="G45" t="n">
        <v>2.9</v>
      </c>
      <c r="H45" t="n">
        <v>1</v>
      </c>
      <c r="I45" t="n">
        <v>0</v>
      </c>
      <c r="J45" t="n">
        <v>0</v>
      </c>
      <c r="K45" t="n">
        <v>1</v>
      </c>
      <c r="L45" t="n">
        <v>0</v>
      </c>
      <c r="M45" t="n">
        <v>0</v>
      </c>
      <c r="N45" t="n">
        <v>0</v>
      </c>
      <c r="O45" t="n">
        <v>1</v>
      </c>
      <c r="P45" t="n">
        <v>1</v>
      </c>
      <c r="Q45" t="n">
        <v>1</v>
      </c>
      <c r="R45" s="2" t="inlineStr">
        <is>
          <t>Knärot</t>
        </is>
      </c>
      <c r="S45">
        <f>HYPERLINK("https://klasma.github.io/Logging_0381/artfynd/A 45617-2023 artfynd.xlsx", "A 45617-2023")</f>
        <v/>
      </c>
      <c r="T45">
        <f>HYPERLINK("https://klasma.github.io/Logging_0381/kartor/A 45617-2023 karta.png", "A 45617-2023")</f>
        <v/>
      </c>
      <c r="U45">
        <f>HYPERLINK("https://klasma.github.io/Logging_0381/knärot/A 45617-2023 karta knärot.png", "A 45617-2023")</f>
        <v/>
      </c>
      <c r="V45">
        <f>HYPERLINK("https://klasma.github.io/Logging_0381/klagomål/A 45617-2023 FSC-klagomål.docx", "A 45617-2023")</f>
        <v/>
      </c>
      <c r="W45">
        <f>HYPERLINK("https://klasma.github.io/Logging_0381/klagomålsmail/A 45617-2023 FSC-klagomål mail.docx", "A 45617-2023")</f>
        <v/>
      </c>
      <c r="X45">
        <f>HYPERLINK("https://klasma.github.io/Logging_0381/tillsyn/A 45617-2023 tillsynsbegäran.docx", "A 45617-2023")</f>
        <v/>
      </c>
      <c r="Y45">
        <f>HYPERLINK("https://klasma.github.io/Logging_0381/tillsynsmail/A 45617-2023 tillsynsbegäran mail.docx", "A 45617-2023")</f>
        <v/>
      </c>
    </row>
    <row r="46" ht="15" customHeight="1">
      <c r="A46" t="inlineStr">
        <is>
          <t>A 51382-2023</t>
        </is>
      </c>
      <c r="B46" s="1" t="n">
        <v>45219</v>
      </c>
      <c r="C46" s="1" t="n">
        <v>45811</v>
      </c>
      <c r="D46" t="inlineStr">
        <is>
          <t>UPPSALA LÄN</t>
        </is>
      </c>
      <c r="E46" t="inlineStr">
        <is>
          <t>ENKÖPING</t>
        </is>
      </c>
      <c r="F46" t="inlineStr">
        <is>
          <t>Allmännings- och besparingsskogar</t>
        </is>
      </c>
      <c r="G46" t="n">
        <v>15.9</v>
      </c>
      <c r="H46" t="n">
        <v>0</v>
      </c>
      <c r="I46" t="n">
        <v>0</v>
      </c>
      <c r="J46" t="n">
        <v>1</v>
      </c>
      <c r="K46" t="n">
        <v>0</v>
      </c>
      <c r="L46" t="n">
        <v>0</v>
      </c>
      <c r="M46" t="n">
        <v>0</v>
      </c>
      <c r="N46" t="n">
        <v>0</v>
      </c>
      <c r="O46" t="n">
        <v>1</v>
      </c>
      <c r="P46" t="n">
        <v>0</v>
      </c>
      <c r="Q46" t="n">
        <v>1</v>
      </c>
      <c r="R46" s="2" t="inlineStr">
        <is>
          <t>Krusfrö</t>
        </is>
      </c>
      <c r="S46">
        <f>HYPERLINK("https://klasma.github.io/Logging_0381/artfynd/A 51382-2023 artfynd.xlsx", "A 51382-2023")</f>
        <v/>
      </c>
      <c r="T46">
        <f>HYPERLINK("https://klasma.github.io/Logging_0381/kartor/A 51382-2023 karta.png", "A 51382-2023")</f>
        <v/>
      </c>
      <c r="V46">
        <f>HYPERLINK("https://klasma.github.io/Logging_0381/klagomål/A 51382-2023 FSC-klagomål.docx", "A 51382-2023")</f>
        <v/>
      </c>
      <c r="W46">
        <f>HYPERLINK("https://klasma.github.io/Logging_0381/klagomålsmail/A 51382-2023 FSC-klagomål mail.docx", "A 51382-2023")</f>
        <v/>
      </c>
      <c r="X46">
        <f>HYPERLINK("https://klasma.github.io/Logging_0381/tillsyn/A 51382-2023 tillsynsbegäran.docx", "A 51382-2023")</f>
        <v/>
      </c>
      <c r="Y46">
        <f>HYPERLINK("https://klasma.github.io/Logging_0381/tillsynsmail/A 51382-2023 tillsynsbegäran mail.docx", "A 51382-2023")</f>
        <v/>
      </c>
    </row>
    <row r="47" ht="15" customHeight="1">
      <c r="A47" t="inlineStr">
        <is>
          <t>A 53342-2023</t>
        </is>
      </c>
      <c r="B47" s="1" t="n">
        <v>45229</v>
      </c>
      <c r="C47" s="1" t="n">
        <v>45811</v>
      </c>
      <c r="D47" t="inlineStr">
        <is>
          <t>UPPSALA LÄN</t>
        </is>
      </c>
      <c r="E47" t="inlineStr">
        <is>
          <t>ENKÖPING</t>
        </is>
      </c>
      <c r="G47" t="n">
        <v>28.8</v>
      </c>
      <c r="H47" t="n">
        <v>0</v>
      </c>
      <c r="I47" t="n">
        <v>0</v>
      </c>
      <c r="J47" t="n">
        <v>1</v>
      </c>
      <c r="K47" t="n">
        <v>0</v>
      </c>
      <c r="L47" t="n">
        <v>0</v>
      </c>
      <c r="M47" t="n">
        <v>0</v>
      </c>
      <c r="N47" t="n">
        <v>0</v>
      </c>
      <c r="O47" t="n">
        <v>1</v>
      </c>
      <c r="P47" t="n">
        <v>0</v>
      </c>
      <c r="Q47" t="n">
        <v>1</v>
      </c>
      <c r="R47" s="2" t="inlineStr">
        <is>
          <t>Tallticka</t>
        </is>
      </c>
      <c r="S47">
        <f>HYPERLINK("https://klasma.github.io/Logging_0381/artfynd/A 53342-2023 artfynd.xlsx", "A 53342-2023")</f>
        <v/>
      </c>
      <c r="T47">
        <f>HYPERLINK("https://klasma.github.io/Logging_0381/kartor/A 53342-2023 karta.png", "A 53342-2023")</f>
        <v/>
      </c>
      <c r="V47">
        <f>HYPERLINK("https://klasma.github.io/Logging_0381/klagomål/A 53342-2023 FSC-klagomål.docx", "A 53342-2023")</f>
        <v/>
      </c>
      <c r="W47">
        <f>HYPERLINK("https://klasma.github.io/Logging_0381/klagomålsmail/A 53342-2023 FSC-klagomål mail.docx", "A 53342-2023")</f>
        <v/>
      </c>
      <c r="X47">
        <f>HYPERLINK("https://klasma.github.io/Logging_0381/tillsyn/A 53342-2023 tillsynsbegäran.docx", "A 53342-2023")</f>
        <v/>
      </c>
      <c r="Y47">
        <f>HYPERLINK("https://klasma.github.io/Logging_0381/tillsynsmail/A 53342-2023 tillsynsbegäran mail.docx", "A 53342-2023")</f>
        <v/>
      </c>
    </row>
    <row r="48" ht="15" customHeight="1">
      <c r="A48" t="inlineStr">
        <is>
          <t>A 13255-2024</t>
        </is>
      </c>
      <c r="B48" s="1" t="n">
        <v>45386</v>
      </c>
      <c r="C48" s="1" t="n">
        <v>45811</v>
      </c>
      <c r="D48" t="inlineStr">
        <is>
          <t>UPPSALA LÄN</t>
        </is>
      </c>
      <c r="E48" t="inlineStr">
        <is>
          <t>ENKÖPING</t>
        </is>
      </c>
      <c r="G48" t="n">
        <v>3.8</v>
      </c>
      <c r="H48" t="n">
        <v>0</v>
      </c>
      <c r="I48" t="n">
        <v>1</v>
      </c>
      <c r="J48" t="n">
        <v>0</v>
      </c>
      <c r="K48" t="n">
        <v>0</v>
      </c>
      <c r="L48" t="n">
        <v>0</v>
      </c>
      <c r="M48" t="n">
        <v>0</v>
      </c>
      <c r="N48" t="n">
        <v>0</v>
      </c>
      <c r="O48" t="n">
        <v>0</v>
      </c>
      <c r="P48" t="n">
        <v>0</v>
      </c>
      <c r="Q48" t="n">
        <v>1</v>
      </c>
      <c r="R48" s="2" t="inlineStr">
        <is>
          <t>Stor aspticka</t>
        </is>
      </c>
      <c r="S48">
        <f>HYPERLINK("https://klasma.github.io/Logging_0381/artfynd/A 13255-2024 artfynd.xlsx", "A 13255-2024")</f>
        <v/>
      </c>
      <c r="T48">
        <f>HYPERLINK("https://klasma.github.io/Logging_0381/kartor/A 13255-2024 karta.png", "A 13255-2024")</f>
        <v/>
      </c>
      <c r="V48">
        <f>HYPERLINK("https://klasma.github.io/Logging_0381/klagomål/A 13255-2024 FSC-klagomål.docx", "A 13255-2024")</f>
        <v/>
      </c>
      <c r="W48">
        <f>HYPERLINK("https://klasma.github.io/Logging_0381/klagomålsmail/A 13255-2024 FSC-klagomål mail.docx", "A 13255-2024")</f>
        <v/>
      </c>
      <c r="X48">
        <f>HYPERLINK("https://klasma.github.io/Logging_0381/tillsyn/A 13255-2024 tillsynsbegäran.docx", "A 13255-2024")</f>
        <v/>
      </c>
      <c r="Y48">
        <f>HYPERLINK("https://klasma.github.io/Logging_0381/tillsynsmail/A 13255-2024 tillsynsbegäran mail.docx", "A 13255-2024")</f>
        <v/>
      </c>
    </row>
    <row r="49" ht="15" customHeight="1">
      <c r="A49" t="inlineStr">
        <is>
          <t>A 16864-2024</t>
        </is>
      </c>
      <c r="B49" s="1" t="n">
        <v>45411</v>
      </c>
      <c r="C49" s="1" t="n">
        <v>45811</v>
      </c>
      <c r="D49" t="inlineStr">
        <is>
          <t>UPPSALA LÄN</t>
        </is>
      </c>
      <c r="E49" t="inlineStr">
        <is>
          <t>ENKÖPING</t>
        </is>
      </c>
      <c r="G49" t="n">
        <v>5.9</v>
      </c>
      <c r="H49" t="n">
        <v>1</v>
      </c>
      <c r="I49" t="n">
        <v>0</v>
      </c>
      <c r="J49" t="n">
        <v>1</v>
      </c>
      <c r="K49" t="n">
        <v>0</v>
      </c>
      <c r="L49" t="n">
        <v>0</v>
      </c>
      <c r="M49" t="n">
        <v>0</v>
      </c>
      <c r="N49" t="n">
        <v>0</v>
      </c>
      <c r="O49" t="n">
        <v>1</v>
      </c>
      <c r="P49" t="n">
        <v>0</v>
      </c>
      <c r="Q49" t="n">
        <v>1</v>
      </c>
      <c r="R49" s="2" t="inlineStr">
        <is>
          <t>Spillkråka</t>
        </is>
      </c>
      <c r="S49">
        <f>HYPERLINK("https://klasma.github.io/Logging_0381/artfynd/A 16864-2024 artfynd.xlsx", "A 16864-2024")</f>
        <v/>
      </c>
      <c r="T49">
        <f>HYPERLINK("https://klasma.github.io/Logging_0381/kartor/A 16864-2024 karta.png", "A 16864-2024")</f>
        <v/>
      </c>
      <c r="V49">
        <f>HYPERLINK("https://klasma.github.io/Logging_0381/klagomål/A 16864-2024 FSC-klagomål.docx", "A 16864-2024")</f>
        <v/>
      </c>
      <c r="W49">
        <f>HYPERLINK("https://klasma.github.io/Logging_0381/klagomålsmail/A 16864-2024 FSC-klagomål mail.docx", "A 16864-2024")</f>
        <v/>
      </c>
      <c r="X49">
        <f>HYPERLINK("https://klasma.github.io/Logging_0381/tillsyn/A 16864-2024 tillsynsbegäran.docx", "A 16864-2024")</f>
        <v/>
      </c>
      <c r="Y49">
        <f>HYPERLINK("https://klasma.github.io/Logging_0381/tillsynsmail/A 16864-2024 tillsynsbegäran mail.docx", "A 16864-2024")</f>
        <v/>
      </c>
      <c r="Z49">
        <f>HYPERLINK("https://klasma.github.io/Logging_0381/fåglar/A 16864-2024 prioriterade fågelarter.docx", "A 16864-2024")</f>
        <v/>
      </c>
    </row>
    <row r="50" ht="15" customHeight="1">
      <c r="A50" t="inlineStr">
        <is>
          <t>A 17942-2024</t>
        </is>
      </c>
      <c r="B50" s="1" t="n">
        <v>45419</v>
      </c>
      <c r="C50" s="1" t="n">
        <v>45811</v>
      </c>
      <c r="D50" t="inlineStr">
        <is>
          <t>UPPSALA LÄN</t>
        </is>
      </c>
      <c r="E50" t="inlineStr">
        <is>
          <t>ENKÖPING</t>
        </is>
      </c>
      <c r="G50" t="n">
        <v>0.8</v>
      </c>
      <c r="H50" t="n">
        <v>0</v>
      </c>
      <c r="I50" t="n">
        <v>0</v>
      </c>
      <c r="J50" t="n">
        <v>1</v>
      </c>
      <c r="K50" t="n">
        <v>0</v>
      </c>
      <c r="L50" t="n">
        <v>0</v>
      </c>
      <c r="M50" t="n">
        <v>0</v>
      </c>
      <c r="N50" t="n">
        <v>0</v>
      </c>
      <c r="O50" t="n">
        <v>1</v>
      </c>
      <c r="P50" t="n">
        <v>0</v>
      </c>
      <c r="Q50" t="n">
        <v>1</v>
      </c>
      <c r="R50" s="2" t="inlineStr">
        <is>
          <t>Ängsskära</t>
        </is>
      </c>
      <c r="S50">
        <f>HYPERLINK("https://klasma.github.io/Logging_0381/artfynd/A 17942-2024 artfynd.xlsx", "A 17942-2024")</f>
        <v/>
      </c>
      <c r="T50">
        <f>HYPERLINK("https://klasma.github.io/Logging_0381/kartor/A 17942-2024 karta.png", "A 17942-2024")</f>
        <v/>
      </c>
      <c r="V50">
        <f>HYPERLINK("https://klasma.github.io/Logging_0381/klagomål/A 17942-2024 FSC-klagomål.docx", "A 17942-2024")</f>
        <v/>
      </c>
      <c r="W50">
        <f>HYPERLINK("https://klasma.github.io/Logging_0381/klagomålsmail/A 17942-2024 FSC-klagomål mail.docx", "A 17942-2024")</f>
        <v/>
      </c>
      <c r="X50">
        <f>HYPERLINK("https://klasma.github.io/Logging_0381/tillsyn/A 17942-2024 tillsynsbegäran.docx", "A 17942-2024")</f>
        <v/>
      </c>
      <c r="Y50">
        <f>HYPERLINK("https://klasma.github.io/Logging_0381/tillsynsmail/A 17942-2024 tillsynsbegäran mail.docx", "A 17942-2024")</f>
        <v/>
      </c>
    </row>
    <row r="51" ht="15" customHeight="1">
      <c r="A51" t="inlineStr">
        <is>
          <t>A 18416-2024</t>
        </is>
      </c>
      <c r="B51" s="1" t="n">
        <v>45425</v>
      </c>
      <c r="C51" s="1" t="n">
        <v>45811</v>
      </c>
      <c r="D51" t="inlineStr">
        <is>
          <t>UPPSALA LÄN</t>
        </is>
      </c>
      <c r="E51" t="inlineStr">
        <is>
          <t>ENKÖPING</t>
        </is>
      </c>
      <c r="G51" t="n">
        <v>4.5</v>
      </c>
      <c r="H51" t="n">
        <v>1</v>
      </c>
      <c r="I51" t="n">
        <v>1</v>
      </c>
      <c r="J51" t="n">
        <v>0</v>
      </c>
      <c r="K51" t="n">
        <v>0</v>
      </c>
      <c r="L51" t="n">
        <v>0</v>
      </c>
      <c r="M51" t="n">
        <v>0</v>
      </c>
      <c r="N51" t="n">
        <v>0</v>
      </c>
      <c r="O51" t="n">
        <v>0</v>
      </c>
      <c r="P51" t="n">
        <v>0</v>
      </c>
      <c r="Q51" t="n">
        <v>1</v>
      </c>
      <c r="R51" s="2" t="inlineStr">
        <is>
          <t>Grön sköldmossa</t>
        </is>
      </c>
      <c r="S51">
        <f>HYPERLINK("https://klasma.github.io/Logging_0381/artfynd/A 18416-2024 artfynd.xlsx", "A 18416-2024")</f>
        <v/>
      </c>
      <c r="T51">
        <f>HYPERLINK("https://klasma.github.io/Logging_0381/kartor/A 18416-2024 karta.png", "A 18416-2024")</f>
        <v/>
      </c>
      <c r="V51">
        <f>HYPERLINK("https://klasma.github.io/Logging_0381/klagomål/A 18416-2024 FSC-klagomål.docx", "A 18416-2024")</f>
        <v/>
      </c>
      <c r="W51">
        <f>HYPERLINK("https://klasma.github.io/Logging_0381/klagomålsmail/A 18416-2024 FSC-klagomål mail.docx", "A 18416-2024")</f>
        <v/>
      </c>
      <c r="X51">
        <f>HYPERLINK("https://klasma.github.io/Logging_0381/tillsyn/A 18416-2024 tillsynsbegäran.docx", "A 18416-2024")</f>
        <v/>
      </c>
      <c r="Y51">
        <f>HYPERLINK("https://klasma.github.io/Logging_0381/tillsynsmail/A 18416-2024 tillsynsbegäran mail.docx", "A 18416-2024")</f>
        <v/>
      </c>
    </row>
    <row r="52" ht="15" customHeight="1">
      <c r="A52" t="inlineStr">
        <is>
          <t>A 28847-2024</t>
        </is>
      </c>
      <c r="B52" s="1" t="n">
        <v>45478</v>
      </c>
      <c r="C52" s="1" t="n">
        <v>45811</v>
      </c>
      <c r="D52" t="inlineStr">
        <is>
          <t>UPPSALA LÄN</t>
        </is>
      </c>
      <c r="E52" t="inlineStr">
        <is>
          <t>ENKÖPING</t>
        </is>
      </c>
      <c r="G52" t="n">
        <v>3</v>
      </c>
      <c r="H52" t="n">
        <v>1</v>
      </c>
      <c r="I52" t="n">
        <v>0</v>
      </c>
      <c r="J52" t="n">
        <v>0</v>
      </c>
      <c r="K52" t="n">
        <v>0</v>
      </c>
      <c r="L52" t="n">
        <v>0</v>
      </c>
      <c r="M52" t="n">
        <v>0</v>
      </c>
      <c r="N52" t="n">
        <v>0</v>
      </c>
      <c r="O52" t="n">
        <v>0</v>
      </c>
      <c r="P52" t="n">
        <v>0</v>
      </c>
      <c r="Q52" t="n">
        <v>1</v>
      </c>
      <c r="R52" s="2" t="inlineStr">
        <is>
          <t>Revlummer</t>
        </is>
      </c>
      <c r="S52">
        <f>HYPERLINK("https://klasma.github.io/Logging_0381/artfynd/A 28847-2024 artfynd.xlsx", "A 28847-2024")</f>
        <v/>
      </c>
      <c r="T52">
        <f>HYPERLINK("https://klasma.github.io/Logging_0381/kartor/A 28847-2024 karta.png", "A 28847-2024")</f>
        <v/>
      </c>
      <c r="V52">
        <f>HYPERLINK("https://klasma.github.io/Logging_0381/klagomål/A 28847-2024 FSC-klagomål.docx", "A 28847-2024")</f>
        <v/>
      </c>
      <c r="W52">
        <f>HYPERLINK("https://klasma.github.io/Logging_0381/klagomålsmail/A 28847-2024 FSC-klagomål mail.docx", "A 28847-2024")</f>
        <v/>
      </c>
      <c r="X52">
        <f>HYPERLINK("https://klasma.github.io/Logging_0381/tillsyn/A 28847-2024 tillsynsbegäran.docx", "A 28847-2024")</f>
        <v/>
      </c>
      <c r="Y52">
        <f>HYPERLINK("https://klasma.github.io/Logging_0381/tillsynsmail/A 28847-2024 tillsynsbegäran mail.docx", "A 28847-2024")</f>
        <v/>
      </c>
    </row>
    <row r="53" ht="15" customHeight="1">
      <c r="A53" t="inlineStr">
        <is>
          <t>A 28900-2024</t>
        </is>
      </c>
      <c r="B53" s="1" t="n">
        <v>45480</v>
      </c>
      <c r="C53" s="1" t="n">
        <v>45811</v>
      </c>
      <c r="D53" t="inlineStr">
        <is>
          <t>UPPSALA LÄN</t>
        </is>
      </c>
      <c r="E53" t="inlineStr">
        <is>
          <t>ENKÖPING</t>
        </is>
      </c>
      <c r="G53" t="n">
        <v>8.6</v>
      </c>
      <c r="H53" t="n">
        <v>1</v>
      </c>
      <c r="I53" t="n">
        <v>0</v>
      </c>
      <c r="J53" t="n">
        <v>0</v>
      </c>
      <c r="K53" t="n">
        <v>0</v>
      </c>
      <c r="L53" t="n">
        <v>0</v>
      </c>
      <c r="M53" t="n">
        <v>0</v>
      </c>
      <c r="N53" t="n">
        <v>0</v>
      </c>
      <c r="O53" t="n">
        <v>0</v>
      </c>
      <c r="P53" t="n">
        <v>0</v>
      </c>
      <c r="Q53" t="n">
        <v>1</v>
      </c>
      <c r="R53" s="2" t="inlineStr">
        <is>
          <t>Blåsippa</t>
        </is>
      </c>
      <c r="S53">
        <f>HYPERLINK("https://klasma.github.io/Logging_0381/artfynd/A 28900-2024 artfynd.xlsx", "A 28900-2024")</f>
        <v/>
      </c>
      <c r="T53">
        <f>HYPERLINK("https://klasma.github.io/Logging_0381/kartor/A 28900-2024 karta.png", "A 28900-2024")</f>
        <v/>
      </c>
      <c r="V53">
        <f>HYPERLINK("https://klasma.github.io/Logging_0381/klagomål/A 28900-2024 FSC-klagomål.docx", "A 28900-2024")</f>
        <v/>
      </c>
      <c r="W53">
        <f>HYPERLINK("https://klasma.github.io/Logging_0381/klagomålsmail/A 28900-2024 FSC-klagomål mail.docx", "A 28900-2024")</f>
        <v/>
      </c>
      <c r="X53">
        <f>HYPERLINK("https://klasma.github.io/Logging_0381/tillsyn/A 28900-2024 tillsynsbegäran.docx", "A 28900-2024")</f>
        <v/>
      </c>
      <c r="Y53">
        <f>HYPERLINK("https://klasma.github.io/Logging_0381/tillsynsmail/A 28900-2024 tillsynsbegäran mail.docx", "A 28900-2024")</f>
        <v/>
      </c>
    </row>
    <row r="54" ht="15" customHeight="1">
      <c r="A54" t="inlineStr">
        <is>
          <t>A 32694-2024</t>
        </is>
      </c>
      <c r="B54" s="1" t="n">
        <v>45516</v>
      </c>
      <c r="C54" s="1" t="n">
        <v>45811</v>
      </c>
      <c r="D54" t="inlineStr">
        <is>
          <t>UPPSALA LÄN</t>
        </is>
      </c>
      <c r="E54" t="inlineStr">
        <is>
          <t>ENKÖPING</t>
        </is>
      </c>
      <c r="G54" t="n">
        <v>5.6</v>
      </c>
      <c r="H54" t="n">
        <v>1</v>
      </c>
      <c r="I54" t="n">
        <v>0</v>
      </c>
      <c r="J54" t="n">
        <v>0</v>
      </c>
      <c r="K54" t="n">
        <v>1</v>
      </c>
      <c r="L54" t="n">
        <v>0</v>
      </c>
      <c r="M54" t="n">
        <v>0</v>
      </c>
      <c r="N54" t="n">
        <v>0</v>
      </c>
      <c r="O54" t="n">
        <v>1</v>
      </c>
      <c r="P54" t="n">
        <v>1</v>
      </c>
      <c r="Q54" t="n">
        <v>1</v>
      </c>
      <c r="R54" s="2" t="inlineStr">
        <is>
          <t>Knärot</t>
        </is>
      </c>
      <c r="S54">
        <f>HYPERLINK("https://klasma.github.io/Logging_0381/artfynd/A 32694-2024 artfynd.xlsx", "A 32694-2024")</f>
        <v/>
      </c>
      <c r="T54">
        <f>HYPERLINK("https://klasma.github.io/Logging_0381/kartor/A 32694-2024 karta.png", "A 32694-2024")</f>
        <v/>
      </c>
      <c r="U54">
        <f>HYPERLINK("https://klasma.github.io/Logging_0381/knärot/A 32694-2024 karta knärot.png", "A 32694-2024")</f>
        <v/>
      </c>
      <c r="V54">
        <f>HYPERLINK("https://klasma.github.io/Logging_0381/klagomål/A 32694-2024 FSC-klagomål.docx", "A 32694-2024")</f>
        <v/>
      </c>
      <c r="W54">
        <f>HYPERLINK("https://klasma.github.io/Logging_0381/klagomålsmail/A 32694-2024 FSC-klagomål mail.docx", "A 32694-2024")</f>
        <v/>
      </c>
      <c r="X54">
        <f>HYPERLINK("https://klasma.github.io/Logging_0381/tillsyn/A 32694-2024 tillsynsbegäran.docx", "A 32694-2024")</f>
        <v/>
      </c>
      <c r="Y54">
        <f>HYPERLINK("https://klasma.github.io/Logging_0381/tillsynsmail/A 32694-2024 tillsynsbegäran mail.docx", "A 32694-2024")</f>
        <v/>
      </c>
    </row>
    <row r="55" ht="15" customHeight="1">
      <c r="A55" t="inlineStr">
        <is>
          <t>A 33339-2024</t>
        </is>
      </c>
      <c r="B55" s="1" t="n">
        <v>45519</v>
      </c>
      <c r="C55" s="1" t="n">
        <v>45811</v>
      </c>
      <c r="D55" t="inlineStr">
        <is>
          <t>UPPSALA LÄN</t>
        </is>
      </c>
      <c r="E55" t="inlineStr">
        <is>
          <t>ENKÖPING</t>
        </is>
      </c>
      <c r="G55" t="n">
        <v>2.3</v>
      </c>
      <c r="H55" t="n">
        <v>0</v>
      </c>
      <c r="I55" t="n">
        <v>0</v>
      </c>
      <c r="J55" t="n">
        <v>1</v>
      </c>
      <c r="K55" t="n">
        <v>0</v>
      </c>
      <c r="L55" t="n">
        <v>0</v>
      </c>
      <c r="M55" t="n">
        <v>0</v>
      </c>
      <c r="N55" t="n">
        <v>0</v>
      </c>
      <c r="O55" t="n">
        <v>1</v>
      </c>
      <c r="P55" t="n">
        <v>0</v>
      </c>
      <c r="Q55" t="n">
        <v>1</v>
      </c>
      <c r="R55" s="2" t="inlineStr">
        <is>
          <t>Ullticka</t>
        </is>
      </c>
      <c r="S55">
        <f>HYPERLINK("https://klasma.github.io/Logging_0381/artfynd/A 33339-2024 artfynd.xlsx", "A 33339-2024")</f>
        <v/>
      </c>
      <c r="T55">
        <f>HYPERLINK("https://klasma.github.io/Logging_0381/kartor/A 33339-2024 karta.png", "A 33339-2024")</f>
        <v/>
      </c>
      <c r="V55">
        <f>HYPERLINK("https://klasma.github.io/Logging_0381/klagomål/A 33339-2024 FSC-klagomål.docx", "A 33339-2024")</f>
        <v/>
      </c>
      <c r="W55">
        <f>HYPERLINK("https://klasma.github.io/Logging_0381/klagomålsmail/A 33339-2024 FSC-klagomål mail.docx", "A 33339-2024")</f>
        <v/>
      </c>
      <c r="X55">
        <f>HYPERLINK("https://klasma.github.io/Logging_0381/tillsyn/A 33339-2024 tillsynsbegäran.docx", "A 33339-2024")</f>
        <v/>
      </c>
      <c r="Y55">
        <f>HYPERLINK("https://klasma.github.io/Logging_0381/tillsynsmail/A 33339-2024 tillsynsbegäran mail.docx", "A 33339-2024")</f>
        <v/>
      </c>
    </row>
    <row r="56" ht="15" customHeight="1">
      <c r="A56" t="inlineStr">
        <is>
          <t>A 46749-2024</t>
        </is>
      </c>
      <c r="B56" s="1" t="n">
        <v>45583</v>
      </c>
      <c r="C56" s="1" t="n">
        <v>45811</v>
      </c>
      <c r="D56" t="inlineStr">
        <is>
          <t>UPPSALA LÄN</t>
        </is>
      </c>
      <c r="E56" t="inlineStr">
        <is>
          <t>ENKÖPING</t>
        </is>
      </c>
      <c r="G56" t="n">
        <v>8.5</v>
      </c>
      <c r="H56" t="n">
        <v>0</v>
      </c>
      <c r="I56" t="n">
        <v>0</v>
      </c>
      <c r="J56" t="n">
        <v>1</v>
      </c>
      <c r="K56" t="n">
        <v>0</v>
      </c>
      <c r="L56" t="n">
        <v>0</v>
      </c>
      <c r="M56" t="n">
        <v>0</v>
      </c>
      <c r="N56" t="n">
        <v>0</v>
      </c>
      <c r="O56" t="n">
        <v>1</v>
      </c>
      <c r="P56" t="n">
        <v>0</v>
      </c>
      <c r="Q56" t="n">
        <v>1</v>
      </c>
      <c r="R56" s="2" t="inlineStr">
        <is>
          <t>Leptoporus erubescens</t>
        </is>
      </c>
      <c r="S56">
        <f>HYPERLINK("https://klasma.github.io/Logging_0381/artfynd/A 46749-2024 artfynd.xlsx", "A 46749-2024")</f>
        <v/>
      </c>
      <c r="T56">
        <f>HYPERLINK("https://klasma.github.io/Logging_0381/kartor/A 46749-2024 karta.png", "A 46749-2024")</f>
        <v/>
      </c>
      <c r="V56">
        <f>HYPERLINK("https://klasma.github.io/Logging_0381/klagomål/A 46749-2024 FSC-klagomål.docx", "A 46749-2024")</f>
        <v/>
      </c>
      <c r="W56">
        <f>HYPERLINK("https://klasma.github.io/Logging_0381/klagomålsmail/A 46749-2024 FSC-klagomål mail.docx", "A 46749-2024")</f>
        <v/>
      </c>
      <c r="X56">
        <f>HYPERLINK("https://klasma.github.io/Logging_0381/tillsyn/A 46749-2024 tillsynsbegäran.docx", "A 46749-2024")</f>
        <v/>
      </c>
      <c r="Y56">
        <f>HYPERLINK("https://klasma.github.io/Logging_0381/tillsynsmail/A 46749-2024 tillsynsbegäran mail.docx", "A 46749-2024")</f>
        <v/>
      </c>
    </row>
    <row r="57" ht="15" customHeight="1">
      <c r="A57" t="inlineStr">
        <is>
          <t>A 47168-2024</t>
        </is>
      </c>
      <c r="B57" s="1" t="n">
        <v>45586</v>
      </c>
      <c r="C57" s="1" t="n">
        <v>45811</v>
      </c>
      <c r="D57" t="inlineStr">
        <is>
          <t>UPPSALA LÄN</t>
        </is>
      </c>
      <c r="E57" t="inlineStr">
        <is>
          <t>ENKÖPING</t>
        </is>
      </c>
      <c r="G57" t="n">
        <v>7.3</v>
      </c>
      <c r="H57" t="n">
        <v>0</v>
      </c>
      <c r="I57" t="n">
        <v>1</v>
      </c>
      <c r="J57" t="n">
        <v>0</v>
      </c>
      <c r="K57" t="n">
        <v>0</v>
      </c>
      <c r="L57" t="n">
        <v>0</v>
      </c>
      <c r="M57" t="n">
        <v>0</v>
      </c>
      <c r="N57" t="n">
        <v>0</v>
      </c>
      <c r="O57" t="n">
        <v>0</v>
      </c>
      <c r="P57" t="n">
        <v>0</v>
      </c>
      <c r="Q57" t="n">
        <v>1</v>
      </c>
      <c r="R57" s="2" t="inlineStr">
        <is>
          <t>Svavelriska</t>
        </is>
      </c>
      <c r="S57">
        <f>HYPERLINK("https://klasma.github.io/Logging_0381/artfynd/A 47168-2024 artfynd.xlsx", "A 47168-2024")</f>
        <v/>
      </c>
      <c r="T57">
        <f>HYPERLINK("https://klasma.github.io/Logging_0381/kartor/A 47168-2024 karta.png", "A 47168-2024")</f>
        <v/>
      </c>
      <c r="V57">
        <f>HYPERLINK("https://klasma.github.io/Logging_0381/klagomål/A 47168-2024 FSC-klagomål.docx", "A 47168-2024")</f>
        <v/>
      </c>
      <c r="W57">
        <f>HYPERLINK("https://klasma.github.io/Logging_0381/klagomålsmail/A 47168-2024 FSC-klagomål mail.docx", "A 47168-2024")</f>
        <v/>
      </c>
      <c r="X57">
        <f>HYPERLINK("https://klasma.github.io/Logging_0381/tillsyn/A 47168-2024 tillsynsbegäran.docx", "A 47168-2024")</f>
        <v/>
      </c>
      <c r="Y57">
        <f>HYPERLINK("https://klasma.github.io/Logging_0381/tillsynsmail/A 47168-2024 tillsynsbegäran mail.docx", "A 47168-2024")</f>
        <v/>
      </c>
    </row>
    <row r="58" ht="15" customHeight="1">
      <c r="A58" t="inlineStr">
        <is>
          <t>A 60266-2024</t>
        </is>
      </c>
      <c r="B58" s="1" t="n">
        <v>45642</v>
      </c>
      <c r="C58" s="1" t="n">
        <v>45811</v>
      </c>
      <c r="D58" t="inlineStr">
        <is>
          <t>UPPSALA LÄN</t>
        </is>
      </c>
      <c r="E58" t="inlineStr">
        <is>
          <t>ENKÖPING</t>
        </is>
      </c>
      <c r="G58" t="n">
        <v>14.5</v>
      </c>
      <c r="H58" t="n">
        <v>0</v>
      </c>
      <c r="I58" t="n">
        <v>1</v>
      </c>
      <c r="J58" t="n">
        <v>0</v>
      </c>
      <c r="K58" t="n">
        <v>0</v>
      </c>
      <c r="L58" t="n">
        <v>0</v>
      </c>
      <c r="M58" t="n">
        <v>0</v>
      </c>
      <c r="N58" t="n">
        <v>0</v>
      </c>
      <c r="O58" t="n">
        <v>0</v>
      </c>
      <c r="P58" t="n">
        <v>0</v>
      </c>
      <c r="Q58" t="n">
        <v>1</v>
      </c>
      <c r="R58" s="2" t="inlineStr">
        <is>
          <t>Skarp dropptaggsvamp</t>
        </is>
      </c>
      <c r="S58">
        <f>HYPERLINK("https://klasma.github.io/Logging_0381/artfynd/A 60266-2024 artfynd.xlsx", "A 60266-2024")</f>
        <v/>
      </c>
      <c r="T58">
        <f>HYPERLINK("https://klasma.github.io/Logging_0381/kartor/A 60266-2024 karta.png", "A 60266-2024")</f>
        <v/>
      </c>
      <c r="V58">
        <f>HYPERLINK("https://klasma.github.io/Logging_0381/klagomål/A 60266-2024 FSC-klagomål.docx", "A 60266-2024")</f>
        <v/>
      </c>
      <c r="W58">
        <f>HYPERLINK("https://klasma.github.io/Logging_0381/klagomålsmail/A 60266-2024 FSC-klagomål mail.docx", "A 60266-2024")</f>
        <v/>
      </c>
      <c r="X58">
        <f>HYPERLINK("https://klasma.github.io/Logging_0381/tillsyn/A 60266-2024 tillsynsbegäran.docx", "A 60266-2024")</f>
        <v/>
      </c>
      <c r="Y58">
        <f>HYPERLINK("https://klasma.github.io/Logging_0381/tillsynsmail/A 60266-2024 tillsynsbegäran mail.docx", "A 60266-2024")</f>
        <v/>
      </c>
    </row>
    <row r="59" ht="15" customHeight="1">
      <c r="A59" t="inlineStr">
        <is>
          <t>A 4067-2025</t>
        </is>
      </c>
      <c r="B59" s="1" t="n">
        <v>45684</v>
      </c>
      <c r="C59" s="1" t="n">
        <v>45811</v>
      </c>
      <c r="D59" t="inlineStr">
        <is>
          <t>UPPSALA LÄN</t>
        </is>
      </c>
      <c r="E59" t="inlineStr">
        <is>
          <t>ENKÖPING</t>
        </is>
      </c>
      <c r="G59" t="n">
        <v>2.9</v>
      </c>
      <c r="H59" t="n">
        <v>0</v>
      </c>
      <c r="I59" t="n">
        <v>0</v>
      </c>
      <c r="J59" t="n">
        <v>1</v>
      </c>
      <c r="K59" t="n">
        <v>0</v>
      </c>
      <c r="L59" t="n">
        <v>0</v>
      </c>
      <c r="M59" t="n">
        <v>0</v>
      </c>
      <c r="N59" t="n">
        <v>0</v>
      </c>
      <c r="O59" t="n">
        <v>1</v>
      </c>
      <c r="P59" t="n">
        <v>0</v>
      </c>
      <c r="Q59" t="n">
        <v>1</v>
      </c>
      <c r="R59" s="2" t="inlineStr">
        <is>
          <t>Dofttaggsvamp</t>
        </is>
      </c>
      <c r="S59">
        <f>HYPERLINK("https://klasma.github.io/Logging_0381/artfynd/A 4067-2025 artfynd.xlsx", "A 4067-2025")</f>
        <v/>
      </c>
      <c r="T59">
        <f>HYPERLINK("https://klasma.github.io/Logging_0381/kartor/A 4067-2025 karta.png", "A 4067-2025")</f>
        <v/>
      </c>
      <c r="V59">
        <f>HYPERLINK("https://klasma.github.io/Logging_0381/klagomål/A 4067-2025 FSC-klagomål.docx", "A 4067-2025")</f>
        <v/>
      </c>
      <c r="W59">
        <f>HYPERLINK("https://klasma.github.io/Logging_0381/klagomålsmail/A 4067-2025 FSC-klagomål mail.docx", "A 4067-2025")</f>
        <v/>
      </c>
      <c r="X59">
        <f>HYPERLINK("https://klasma.github.io/Logging_0381/tillsyn/A 4067-2025 tillsynsbegäran.docx", "A 4067-2025")</f>
        <v/>
      </c>
      <c r="Y59">
        <f>HYPERLINK("https://klasma.github.io/Logging_0381/tillsynsmail/A 4067-2025 tillsynsbegäran mail.docx", "A 4067-2025")</f>
        <v/>
      </c>
    </row>
    <row r="60" ht="15" customHeight="1">
      <c r="A60" t="inlineStr">
        <is>
          <t>A 10671-2025</t>
        </is>
      </c>
      <c r="B60" s="1" t="n">
        <v>45721</v>
      </c>
      <c r="C60" s="1" t="n">
        <v>45811</v>
      </c>
      <c r="D60" t="inlineStr">
        <is>
          <t>UPPSALA LÄN</t>
        </is>
      </c>
      <c r="E60" t="inlineStr">
        <is>
          <t>ENKÖPING</t>
        </is>
      </c>
      <c r="G60" t="n">
        <v>5.1</v>
      </c>
      <c r="H60" t="n">
        <v>1</v>
      </c>
      <c r="I60" t="n">
        <v>1</v>
      </c>
      <c r="J60" t="n">
        <v>0</v>
      </c>
      <c r="K60" t="n">
        <v>0</v>
      </c>
      <c r="L60" t="n">
        <v>0</v>
      </c>
      <c r="M60" t="n">
        <v>0</v>
      </c>
      <c r="N60" t="n">
        <v>0</v>
      </c>
      <c r="O60" t="n">
        <v>0</v>
      </c>
      <c r="P60" t="n">
        <v>0</v>
      </c>
      <c r="Q60" t="n">
        <v>1</v>
      </c>
      <c r="R60" s="2" t="inlineStr">
        <is>
          <t>Korallrot</t>
        </is>
      </c>
      <c r="S60">
        <f>HYPERLINK("https://klasma.github.io/Logging_030381/artfynd/A 10671-2025 artfynd.xlsx", "A 10671-2025")</f>
        <v/>
      </c>
      <c r="T60">
        <f>HYPERLINK("https://klasma.github.io/Logging_030381/kartor/A 10671-2025 karta.png", "A 10671-2025")</f>
        <v/>
      </c>
      <c r="V60">
        <f>HYPERLINK("https://klasma.github.io/Logging_030381/klagomål/A 10671-2025 FSC-klagomål.docx", "A 10671-2025")</f>
        <v/>
      </c>
      <c r="W60">
        <f>HYPERLINK("https://klasma.github.io/Logging_030381/klagomålsmail/A 10671-2025 FSC-klagomål mail.docx", "A 10671-2025")</f>
        <v/>
      </c>
      <c r="X60">
        <f>HYPERLINK("https://klasma.github.io/Logging_030381/tillsyn/A 10671-2025 tillsynsbegäran.docx", "A 10671-2025")</f>
        <v/>
      </c>
      <c r="Y60">
        <f>HYPERLINK("https://klasma.github.io/Logging_030381/tillsynsmail/A 10671-2025 tillsynsbegäran mail.docx", "A 10671-2025")</f>
        <v/>
      </c>
    </row>
    <row r="61" ht="15" customHeight="1">
      <c r="A61" t="inlineStr">
        <is>
          <t>A 11015-2025</t>
        </is>
      </c>
      <c r="B61" s="1" t="n">
        <v>45723</v>
      </c>
      <c r="C61" s="1" t="n">
        <v>45811</v>
      </c>
      <c r="D61" t="inlineStr">
        <is>
          <t>UPPSALA LÄN</t>
        </is>
      </c>
      <c r="E61" t="inlineStr">
        <is>
          <t>ENKÖPING</t>
        </is>
      </c>
      <c r="G61" t="n">
        <v>1.3</v>
      </c>
      <c r="H61" t="n">
        <v>0</v>
      </c>
      <c r="I61" t="n">
        <v>1</v>
      </c>
      <c r="J61" t="n">
        <v>0</v>
      </c>
      <c r="K61" t="n">
        <v>0</v>
      </c>
      <c r="L61" t="n">
        <v>0</v>
      </c>
      <c r="M61" t="n">
        <v>0</v>
      </c>
      <c r="N61" t="n">
        <v>0</v>
      </c>
      <c r="O61" t="n">
        <v>0</v>
      </c>
      <c r="P61" t="n">
        <v>0</v>
      </c>
      <c r="Q61" t="n">
        <v>1</v>
      </c>
      <c r="R61" s="2" t="inlineStr">
        <is>
          <t>Svart trolldruva</t>
        </is>
      </c>
      <c r="S61">
        <f>HYPERLINK("https://klasma.github.io/Logging_030381/artfynd/A 11015-2025 artfynd.xlsx", "A 11015-2025")</f>
        <v/>
      </c>
      <c r="T61">
        <f>HYPERLINK("https://klasma.github.io/Logging_030381/kartor/A 11015-2025 karta.png", "A 11015-2025")</f>
        <v/>
      </c>
      <c r="V61">
        <f>HYPERLINK("https://klasma.github.io/Logging_030381/klagomål/A 11015-2025 FSC-klagomål.docx", "A 11015-2025")</f>
        <v/>
      </c>
      <c r="W61">
        <f>HYPERLINK("https://klasma.github.io/Logging_030381/klagomålsmail/A 11015-2025 FSC-klagomål mail.docx", "A 11015-2025")</f>
        <v/>
      </c>
      <c r="X61">
        <f>HYPERLINK("https://klasma.github.io/Logging_030381/tillsyn/A 11015-2025 tillsynsbegäran.docx", "A 11015-2025")</f>
        <v/>
      </c>
      <c r="Y61">
        <f>HYPERLINK("https://klasma.github.io/Logging_030381/tillsynsmail/A 11015-2025 tillsynsbegäran mail.docx", "A 11015-2025")</f>
        <v/>
      </c>
    </row>
    <row r="62" ht="15" customHeight="1">
      <c r="A62" t="inlineStr">
        <is>
          <t>A 11018-2025</t>
        </is>
      </c>
      <c r="B62" s="1" t="n">
        <v>45723</v>
      </c>
      <c r="C62" s="1" t="n">
        <v>45811</v>
      </c>
      <c r="D62" t="inlineStr">
        <is>
          <t>UPPSALA LÄN</t>
        </is>
      </c>
      <c r="E62" t="inlineStr">
        <is>
          <t>ENKÖPING</t>
        </is>
      </c>
      <c r="G62" t="n">
        <v>1.6</v>
      </c>
      <c r="H62" t="n">
        <v>0</v>
      </c>
      <c r="I62" t="n">
        <v>0</v>
      </c>
      <c r="J62" t="n">
        <v>0</v>
      </c>
      <c r="K62" t="n">
        <v>0</v>
      </c>
      <c r="L62" t="n">
        <v>1</v>
      </c>
      <c r="M62" t="n">
        <v>0</v>
      </c>
      <c r="N62" t="n">
        <v>0</v>
      </c>
      <c r="O62" t="n">
        <v>1</v>
      </c>
      <c r="P62" t="n">
        <v>1</v>
      </c>
      <c r="Q62" t="n">
        <v>1</v>
      </c>
      <c r="R62" s="2" t="inlineStr">
        <is>
          <t>Ask</t>
        </is>
      </c>
      <c r="S62">
        <f>HYPERLINK("https://klasma.github.io/Logging_030381/artfynd/A 11018-2025 artfynd.xlsx", "A 11018-2025")</f>
        <v/>
      </c>
      <c r="T62">
        <f>HYPERLINK("https://klasma.github.io/Logging_030381/kartor/A 11018-2025 karta.png", "A 11018-2025")</f>
        <v/>
      </c>
      <c r="V62">
        <f>HYPERLINK("https://klasma.github.io/Logging_030381/klagomål/A 11018-2025 FSC-klagomål.docx", "A 11018-2025")</f>
        <v/>
      </c>
      <c r="W62">
        <f>HYPERLINK("https://klasma.github.io/Logging_030381/klagomålsmail/A 11018-2025 FSC-klagomål mail.docx", "A 11018-2025")</f>
        <v/>
      </c>
      <c r="X62">
        <f>HYPERLINK("https://klasma.github.io/Logging_030381/tillsyn/A 11018-2025 tillsynsbegäran.docx", "A 11018-2025")</f>
        <v/>
      </c>
      <c r="Y62">
        <f>HYPERLINK("https://klasma.github.io/Logging_030381/tillsynsmail/A 11018-2025 tillsynsbegäran mail.docx", "A 11018-2025")</f>
        <v/>
      </c>
    </row>
    <row r="63" ht="15" customHeight="1">
      <c r="A63" t="inlineStr">
        <is>
          <t>A 26347-2025</t>
        </is>
      </c>
      <c r="B63" s="1" t="n">
        <v>45805</v>
      </c>
      <c r="C63" s="1" t="n">
        <v>45811</v>
      </c>
      <c r="D63" t="inlineStr">
        <is>
          <t>UPPSALA LÄN</t>
        </is>
      </c>
      <c r="E63" t="inlineStr">
        <is>
          <t>ENKÖPING</t>
        </is>
      </c>
      <c r="G63" t="n">
        <v>7.3</v>
      </c>
      <c r="H63" t="n">
        <v>1</v>
      </c>
      <c r="I63" t="n">
        <v>0</v>
      </c>
      <c r="J63" t="n">
        <v>0</v>
      </c>
      <c r="K63" t="n">
        <v>1</v>
      </c>
      <c r="L63" t="n">
        <v>0</v>
      </c>
      <c r="M63" t="n">
        <v>0</v>
      </c>
      <c r="N63" t="n">
        <v>0</v>
      </c>
      <c r="O63" t="n">
        <v>1</v>
      </c>
      <c r="P63" t="n">
        <v>1</v>
      </c>
      <c r="Q63" t="n">
        <v>1</v>
      </c>
      <c r="R63" s="2" t="inlineStr">
        <is>
          <t>Tofsvipa</t>
        </is>
      </c>
      <c r="S63">
        <f>HYPERLINK("https://klasma.github.io/Logging_030381/artfynd/A 26347-2025 artfynd.xlsx", "A 26347-2025")</f>
        <v/>
      </c>
      <c r="T63">
        <f>HYPERLINK("https://klasma.github.io/Logging_030381/kartor/A 26347-2025 karta.png", "A 26347-2025")</f>
        <v/>
      </c>
      <c r="V63">
        <f>HYPERLINK("https://klasma.github.io/Logging_030381/klagomål/A 26347-2025 FSC-klagomål.docx", "A 26347-2025")</f>
        <v/>
      </c>
      <c r="W63">
        <f>HYPERLINK("https://klasma.github.io/Logging_030381/klagomålsmail/A 26347-2025 FSC-klagomål mail.docx", "A 26347-2025")</f>
        <v/>
      </c>
      <c r="X63">
        <f>HYPERLINK("https://klasma.github.io/Logging_030381/tillsyn/A 26347-2025 tillsynsbegäran.docx", "A 26347-2025")</f>
        <v/>
      </c>
      <c r="Y63">
        <f>HYPERLINK("https://klasma.github.io/Logging_030381/tillsynsmail/A 26347-2025 tillsynsbegäran mail.docx", "A 26347-2025")</f>
        <v/>
      </c>
    </row>
    <row r="64" ht="15" customHeight="1">
      <c r="A64" t="inlineStr">
        <is>
          <t>A 18148-2019</t>
        </is>
      </c>
      <c r="B64" s="1" t="n">
        <v>43558</v>
      </c>
      <c r="C64" s="1" t="n">
        <v>45811</v>
      </c>
      <c r="D64" t="inlineStr">
        <is>
          <t>UPPSALA LÄN</t>
        </is>
      </c>
      <c r="E64" t="inlineStr">
        <is>
          <t>ENKÖPING</t>
        </is>
      </c>
      <c r="G64" t="n">
        <v>4.5</v>
      </c>
      <c r="H64" t="n">
        <v>0</v>
      </c>
      <c r="I64" t="n">
        <v>0</v>
      </c>
      <c r="J64" t="n">
        <v>0</v>
      </c>
      <c r="K64" t="n">
        <v>0</v>
      </c>
      <c r="L64" t="n">
        <v>0</v>
      </c>
      <c r="M64" t="n">
        <v>0</v>
      </c>
      <c r="N64" t="n">
        <v>0</v>
      </c>
      <c r="O64" t="n">
        <v>0</v>
      </c>
      <c r="P64" t="n">
        <v>0</v>
      </c>
      <c r="Q64" t="n">
        <v>0</v>
      </c>
      <c r="R64" s="2" t="inlineStr"/>
    </row>
    <row r="65" ht="15" customHeight="1">
      <c r="A65" t="inlineStr">
        <is>
          <t>A 22750-2019</t>
        </is>
      </c>
      <c r="B65" s="1" t="n">
        <v>43588</v>
      </c>
      <c r="C65" s="1" t="n">
        <v>45811</v>
      </c>
      <c r="D65" t="inlineStr">
        <is>
          <t>UPPSALA LÄN</t>
        </is>
      </c>
      <c r="E65" t="inlineStr">
        <is>
          <t>ENKÖPING</t>
        </is>
      </c>
      <c r="G65" t="n">
        <v>1.1</v>
      </c>
      <c r="H65" t="n">
        <v>0</v>
      </c>
      <c r="I65" t="n">
        <v>0</v>
      </c>
      <c r="J65" t="n">
        <v>0</v>
      </c>
      <c r="K65" t="n">
        <v>0</v>
      </c>
      <c r="L65" t="n">
        <v>0</v>
      </c>
      <c r="M65" t="n">
        <v>0</v>
      </c>
      <c r="N65" t="n">
        <v>0</v>
      </c>
      <c r="O65" t="n">
        <v>0</v>
      </c>
      <c r="P65" t="n">
        <v>0</v>
      </c>
      <c r="Q65" t="n">
        <v>0</v>
      </c>
      <c r="R65" s="2" t="inlineStr"/>
    </row>
    <row r="66" ht="15" customHeight="1">
      <c r="A66" t="inlineStr">
        <is>
          <t>A 23328-2019</t>
        </is>
      </c>
      <c r="B66" s="1" t="n">
        <v>43593</v>
      </c>
      <c r="C66" s="1" t="n">
        <v>45811</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26926-2019</t>
        </is>
      </c>
      <c r="B67" s="1" t="n">
        <v>43613</v>
      </c>
      <c r="C67" s="1" t="n">
        <v>45811</v>
      </c>
      <c r="D67" t="inlineStr">
        <is>
          <t>UPPSALA LÄN</t>
        </is>
      </c>
      <c r="E67" t="inlineStr">
        <is>
          <t>ENKÖPING</t>
        </is>
      </c>
      <c r="G67" t="n">
        <v>1.4</v>
      </c>
      <c r="H67" t="n">
        <v>0</v>
      </c>
      <c r="I67" t="n">
        <v>0</v>
      </c>
      <c r="J67" t="n">
        <v>0</v>
      </c>
      <c r="K67" t="n">
        <v>0</v>
      </c>
      <c r="L67" t="n">
        <v>0</v>
      </c>
      <c r="M67" t="n">
        <v>0</v>
      </c>
      <c r="N67" t="n">
        <v>0</v>
      </c>
      <c r="O67" t="n">
        <v>0</v>
      </c>
      <c r="P67" t="n">
        <v>0</v>
      </c>
      <c r="Q67" t="n">
        <v>0</v>
      </c>
      <c r="R67" s="2" t="inlineStr"/>
    </row>
    <row r="68" ht="15" customHeight="1">
      <c r="A68" t="inlineStr">
        <is>
          <t>A 28134-2019</t>
        </is>
      </c>
      <c r="B68" s="1" t="n">
        <v>43621</v>
      </c>
      <c r="C68" s="1" t="n">
        <v>45811</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30036-2019</t>
        </is>
      </c>
      <c r="B69" s="1" t="n">
        <v>43633</v>
      </c>
      <c r="C69" s="1" t="n">
        <v>45811</v>
      </c>
      <c r="D69" t="inlineStr">
        <is>
          <t>UPPSALA LÄN</t>
        </is>
      </c>
      <c r="E69" t="inlineStr">
        <is>
          <t>ENKÖPING</t>
        </is>
      </c>
      <c r="G69" t="n">
        <v>0.5</v>
      </c>
      <c r="H69" t="n">
        <v>0</v>
      </c>
      <c r="I69" t="n">
        <v>0</v>
      </c>
      <c r="J69" t="n">
        <v>0</v>
      </c>
      <c r="K69" t="n">
        <v>0</v>
      </c>
      <c r="L69" t="n">
        <v>0</v>
      </c>
      <c r="M69" t="n">
        <v>0</v>
      </c>
      <c r="N69" t="n">
        <v>0</v>
      </c>
      <c r="O69" t="n">
        <v>0</v>
      </c>
      <c r="P69" t="n">
        <v>0</v>
      </c>
      <c r="Q69" t="n">
        <v>0</v>
      </c>
      <c r="R69" s="2" t="inlineStr"/>
    </row>
    <row r="70" ht="15" customHeight="1">
      <c r="A70" t="inlineStr">
        <is>
          <t>A 29979-2019</t>
        </is>
      </c>
      <c r="B70" s="1" t="n">
        <v>43633</v>
      </c>
      <c r="C70" s="1" t="n">
        <v>45811</v>
      </c>
      <c r="D70" t="inlineStr">
        <is>
          <t>UPPSALA LÄN</t>
        </is>
      </c>
      <c r="E70" t="inlineStr">
        <is>
          <t>ENKÖPING</t>
        </is>
      </c>
      <c r="G70" t="n">
        <v>2.3</v>
      </c>
      <c r="H70" t="n">
        <v>0</v>
      </c>
      <c r="I70" t="n">
        <v>0</v>
      </c>
      <c r="J70" t="n">
        <v>0</v>
      </c>
      <c r="K70" t="n">
        <v>0</v>
      </c>
      <c r="L70" t="n">
        <v>0</v>
      </c>
      <c r="M70" t="n">
        <v>0</v>
      </c>
      <c r="N70" t="n">
        <v>0</v>
      </c>
      <c r="O70" t="n">
        <v>0</v>
      </c>
      <c r="P70" t="n">
        <v>0</v>
      </c>
      <c r="Q70" t="n">
        <v>0</v>
      </c>
      <c r="R70" s="2" t="inlineStr"/>
    </row>
    <row r="71" ht="15" customHeight="1">
      <c r="A71" t="inlineStr">
        <is>
          <t>A 31081-2019</t>
        </is>
      </c>
      <c r="B71" s="1" t="n">
        <v>43640</v>
      </c>
      <c r="C71" s="1" t="n">
        <v>45811</v>
      </c>
      <c r="D71" t="inlineStr">
        <is>
          <t>UPPSALA LÄN</t>
        </is>
      </c>
      <c r="E71" t="inlineStr">
        <is>
          <t>ENKÖPING</t>
        </is>
      </c>
      <c r="G71" t="n">
        <v>3.1</v>
      </c>
      <c r="H71" t="n">
        <v>0</v>
      </c>
      <c r="I71" t="n">
        <v>0</v>
      </c>
      <c r="J71" t="n">
        <v>0</v>
      </c>
      <c r="K71" t="n">
        <v>0</v>
      </c>
      <c r="L71" t="n">
        <v>0</v>
      </c>
      <c r="M71" t="n">
        <v>0</v>
      </c>
      <c r="N71" t="n">
        <v>0</v>
      </c>
      <c r="O71" t="n">
        <v>0</v>
      </c>
      <c r="P71" t="n">
        <v>0</v>
      </c>
      <c r="Q71" t="n">
        <v>0</v>
      </c>
      <c r="R71" s="2" t="inlineStr"/>
    </row>
    <row r="72" ht="15" customHeight="1">
      <c r="A72" t="inlineStr">
        <is>
          <t>A 31074-2019</t>
        </is>
      </c>
      <c r="B72" s="1" t="n">
        <v>43640</v>
      </c>
      <c r="C72" s="1" t="n">
        <v>45811</v>
      </c>
      <c r="D72" t="inlineStr">
        <is>
          <t>UPPSALA LÄN</t>
        </is>
      </c>
      <c r="E72" t="inlineStr">
        <is>
          <t>ENKÖPING</t>
        </is>
      </c>
      <c r="G72" t="n">
        <v>1.3</v>
      </c>
      <c r="H72" t="n">
        <v>0</v>
      </c>
      <c r="I72" t="n">
        <v>0</v>
      </c>
      <c r="J72" t="n">
        <v>0</v>
      </c>
      <c r="K72" t="n">
        <v>0</v>
      </c>
      <c r="L72" t="n">
        <v>0</v>
      </c>
      <c r="M72" t="n">
        <v>0</v>
      </c>
      <c r="N72" t="n">
        <v>0</v>
      </c>
      <c r="O72" t="n">
        <v>0</v>
      </c>
      <c r="P72" t="n">
        <v>0</v>
      </c>
      <c r="Q72" t="n">
        <v>0</v>
      </c>
      <c r="R72" s="2" t="inlineStr"/>
    </row>
    <row r="73" ht="15" customHeight="1">
      <c r="A73" t="inlineStr">
        <is>
          <t>A 32310-2019</t>
        </is>
      </c>
      <c r="B73" s="1" t="n">
        <v>43644</v>
      </c>
      <c r="C73" s="1" t="n">
        <v>45811</v>
      </c>
      <c r="D73" t="inlineStr">
        <is>
          <t>UPPSALA LÄN</t>
        </is>
      </c>
      <c r="E73" t="inlineStr">
        <is>
          <t>ENKÖPING</t>
        </is>
      </c>
      <c r="G73" t="n">
        <v>2.7</v>
      </c>
      <c r="H73" t="n">
        <v>0</v>
      </c>
      <c r="I73" t="n">
        <v>0</v>
      </c>
      <c r="J73" t="n">
        <v>0</v>
      </c>
      <c r="K73" t="n">
        <v>0</v>
      </c>
      <c r="L73" t="n">
        <v>0</v>
      </c>
      <c r="M73" t="n">
        <v>0</v>
      </c>
      <c r="N73" t="n">
        <v>0</v>
      </c>
      <c r="O73" t="n">
        <v>0</v>
      </c>
      <c r="P73" t="n">
        <v>0</v>
      </c>
      <c r="Q73" t="n">
        <v>0</v>
      </c>
      <c r="R73" s="2" t="inlineStr"/>
    </row>
    <row r="74" ht="15" customHeight="1">
      <c r="A74" t="inlineStr">
        <is>
          <t>A 32640-2019</t>
        </is>
      </c>
      <c r="B74" s="1" t="n">
        <v>43647</v>
      </c>
      <c r="C74" s="1" t="n">
        <v>45811</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33339-2019</t>
        </is>
      </c>
      <c r="B75" s="1" t="n">
        <v>43650</v>
      </c>
      <c r="C75" s="1" t="n">
        <v>45811</v>
      </c>
      <c r="D75" t="inlineStr">
        <is>
          <t>UPPSALA LÄN</t>
        </is>
      </c>
      <c r="E75" t="inlineStr">
        <is>
          <t>ENKÖPING</t>
        </is>
      </c>
      <c r="G75" t="n">
        <v>3.3</v>
      </c>
      <c r="H75" t="n">
        <v>0</v>
      </c>
      <c r="I75" t="n">
        <v>0</v>
      </c>
      <c r="J75" t="n">
        <v>0</v>
      </c>
      <c r="K75" t="n">
        <v>0</v>
      </c>
      <c r="L75" t="n">
        <v>0</v>
      </c>
      <c r="M75" t="n">
        <v>0</v>
      </c>
      <c r="N75" t="n">
        <v>0</v>
      </c>
      <c r="O75" t="n">
        <v>0</v>
      </c>
      <c r="P75" t="n">
        <v>0</v>
      </c>
      <c r="Q75" t="n">
        <v>0</v>
      </c>
      <c r="R75" s="2" t="inlineStr"/>
    </row>
    <row r="76" ht="15" customHeight="1">
      <c r="A76" t="inlineStr">
        <is>
          <t>A 35752-2019</t>
        </is>
      </c>
      <c r="B76" s="1" t="n">
        <v>43665</v>
      </c>
      <c r="C76" s="1" t="n">
        <v>45811</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36370-2019</t>
        </is>
      </c>
      <c r="B77" s="1" t="n">
        <v>43670</v>
      </c>
      <c r="C77" s="1" t="n">
        <v>45811</v>
      </c>
      <c r="D77" t="inlineStr">
        <is>
          <t>UPPSALA LÄN</t>
        </is>
      </c>
      <c r="E77" t="inlineStr">
        <is>
          <t>ENKÖPING</t>
        </is>
      </c>
      <c r="G77" t="n">
        <v>26.9</v>
      </c>
      <c r="H77" t="n">
        <v>0</v>
      </c>
      <c r="I77" t="n">
        <v>0</v>
      </c>
      <c r="J77" t="n">
        <v>0</v>
      </c>
      <c r="K77" t="n">
        <v>0</v>
      </c>
      <c r="L77" t="n">
        <v>0</v>
      </c>
      <c r="M77" t="n">
        <v>0</v>
      </c>
      <c r="N77" t="n">
        <v>0</v>
      </c>
      <c r="O77" t="n">
        <v>0</v>
      </c>
      <c r="P77" t="n">
        <v>0</v>
      </c>
      <c r="Q77" t="n">
        <v>0</v>
      </c>
      <c r="R77" s="2" t="inlineStr"/>
    </row>
    <row r="78" ht="15" customHeight="1">
      <c r="A78" t="inlineStr">
        <is>
          <t>A 36733-2019</t>
        </is>
      </c>
      <c r="B78" s="1" t="n">
        <v>43672</v>
      </c>
      <c r="C78" s="1" t="n">
        <v>45811</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37519-2019</t>
        </is>
      </c>
      <c r="B79" s="1" t="n">
        <v>43679</v>
      </c>
      <c r="C79" s="1" t="n">
        <v>45811</v>
      </c>
      <c r="D79" t="inlineStr">
        <is>
          <t>UPPSALA LÄN</t>
        </is>
      </c>
      <c r="E79" t="inlineStr">
        <is>
          <t>ENKÖPING</t>
        </is>
      </c>
      <c r="G79" t="n">
        <v>1</v>
      </c>
      <c r="H79" t="n">
        <v>0</v>
      </c>
      <c r="I79" t="n">
        <v>0</v>
      </c>
      <c r="J79" t="n">
        <v>0</v>
      </c>
      <c r="K79" t="n">
        <v>0</v>
      </c>
      <c r="L79" t="n">
        <v>0</v>
      </c>
      <c r="M79" t="n">
        <v>0</v>
      </c>
      <c r="N79" t="n">
        <v>0</v>
      </c>
      <c r="O79" t="n">
        <v>0</v>
      </c>
      <c r="P79" t="n">
        <v>0</v>
      </c>
      <c r="Q79" t="n">
        <v>0</v>
      </c>
      <c r="R79" s="2" t="inlineStr"/>
    </row>
    <row r="80" ht="15" customHeight="1">
      <c r="A80" t="inlineStr">
        <is>
          <t>A 37702-2019</t>
        </is>
      </c>
      <c r="B80" s="1" t="n">
        <v>43682</v>
      </c>
      <c r="C80" s="1" t="n">
        <v>45811</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37700-2019</t>
        </is>
      </c>
      <c r="B81" s="1" t="n">
        <v>43682</v>
      </c>
      <c r="C81" s="1" t="n">
        <v>45811</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37936-2019</t>
        </is>
      </c>
      <c r="B82" s="1" t="n">
        <v>43683</v>
      </c>
      <c r="C82" s="1" t="n">
        <v>45811</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38204-2019</t>
        </is>
      </c>
      <c r="B83" s="1" t="n">
        <v>43683</v>
      </c>
      <c r="C83" s="1" t="n">
        <v>45811</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38189-2019</t>
        </is>
      </c>
      <c r="B84" s="1" t="n">
        <v>43684</v>
      </c>
      <c r="C84" s="1" t="n">
        <v>45811</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38205-2019</t>
        </is>
      </c>
      <c r="B85" s="1" t="n">
        <v>43684</v>
      </c>
      <c r="C85" s="1" t="n">
        <v>45811</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38475-2019</t>
        </is>
      </c>
      <c r="B86" s="1" t="n">
        <v>43685</v>
      </c>
      <c r="C86" s="1" t="n">
        <v>45811</v>
      </c>
      <c r="D86" t="inlineStr">
        <is>
          <t>UPPSALA LÄN</t>
        </is>
      </c>
      <c r="E86" t="inlineStr">
        <is>
          <t>ENKÖPING</t>
        </is>
      </c>
      <c r="G86" t="n">
        <v>1.9</v>
      </c>
      <c r="H86" t="n">
        <v>0</v>
      </c>
      <c r="I86" t="n">
        <v>0</v>
      </c>
      <c r="J86" t="n">
        <v>0</v>
      </c>
      <c r="K86" t="n">
        <v>0</v>
      </c>
      <c r="L86" t="n">
        <v>0</v>
      </c>
      <c r="M86" t="n">
        <v>0</v>
      </c>
      <c r="N86" t="n">
        <v>0</v>
      </c>
      <c r="O86" t="n">
        <v>0</v>
      </c>
      <c r="P86" t="n">
        <v>0</v>
      </c>
      <c r="Q86" t="n">
        <v>0</v>
      </c>
      <c r="R86" s="2" t="inlineStr"/>
    </row>
    <row r="87" ht="15" customHeight="1">
      <c r="A87" t="inlineStr">
        <is>
          <t>A 38896-2019</t>
        </is>
      </c>
      <c r="B87" s="1" t="n">
        <v>43689</v>
      </c>
      <c r="C87" s="1" t="n">
        <v>45811</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38899-2019</t>
        </is>
      </c>
      <c r="B88" s="1" t="n">
        <v>43689</v>
      </c>
      <c r="C88" s="1" t="n">
        <v>45811</v>
      </c>
      <c r="D88" t="inlineStr">
        <is>
          <t>UPPSALA LÄN</t>
        </is>
      </c>
      <c r="E88" t="inlineStr">
        <is>
          <t>ENKÖPING</t>
        </is>
      </c>
      <c r="G88" t="n">
        <v>0.5</v>
      </c>
      <c r="H88" t="n">
        <v>0</v>
      </c>
      <c r="I88" t="n">
        <v>0</v>
      </c>
      <c r="J88" t="n">
        <v>0</v>
      </c>
      <c r="K88" t="n">
        <v>0</v>
      </c>
      <c r="L88" t="n">
        <v>0</v>
      </c>
      <c r="M88" t="n">
        <v>0</v>
      </c>
      <c r="N88" t="n">
        <v>0</v>
      </c>
      <c r="O88" t="n">
        <v>0</v>
      </c>
      <c r="P88" t="n">
        <v>0</v>
      </c>
      <c r="Q88" t="n">
        <v>0</v>
      </c>
      <c r="R88" s="2" t="inlineStr"/>
    </row>
    <row r="89" ht="15" customHeight="1">
      <c r="A89" t="inlineStr">
        <is>
          <t>A 40247-2019</t>
        </is>
      </c>
      <c r="B89" s="1" t="n">
        <v>43695</v>
      </c>
      <c r="C89" s="1" t="n">
        <v>45811</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40839-2019</t>
        </is>
      </c>
      <c r="B90" s="1" t="n">
        <v>43697</v>
      </c>
      <c r="C90" s="1" t="n">
        <v>45811</v>
      </c>
      <c r="D90" t="inlineStr">
        <is>
          <t>UPPSALA LÄN</t>
        </is>
      </c>
      <c r="E90" t="inlineStr">
        <is>
          <t>ENKÖPING</t>
        </is>
      </c>
      <c r="G90" t="n">
        <v>1.9</v>
      </c>
      <c r="H90" t="n">
        <v>0</v>
      </c>
      <c r="I90" t="n">
        <v>0</v>
      </c>
      <c r="J90" t="n">
        <v>0</v>
      </c>
      <c r="K90" t="n">
        <v>0</v>
      </c>
      <c r="L90" t="n">
        <v>0</v>
      </c>
      <c r="M90" t="n">
        <v>0</v>
      </c>
      <c r="N90" t="n">
        <v>0</v>
      </c>
      <c r="O90" t="n">
        <v>0</v>
      </c>
      <c r="P90" t="n">
        <v>0</v>
      </c>
      <c r="Q90" t="n">
        <v>0</v>
      </c>
      <c r="R90" s="2" t="inlineStr"/>
    </row>
    <row r="91" ht="15" customHeight="1">
      <c r="A91" t="inlineStr">
        <is>
          <t>A 40843-2019</t>
        </is>
      </c>
      <c r="B91" s="1" t="n">
        <v>43697</v>
      </c>
      <c r="C91" s="1" t="n">
        <v>45811</v>
      </c>
      <c r="D91" t="inlineStr">
        <is>
          <t>UPPSALA LÄN</t>
        </is>
      </c>
      <c r="E91" t="inlineStr">
        <is>
          <t>ENKÖPING</t>
        </is>
      </c>
      <c r="G91" t="n">
        <v>1.6</v>
      </c>
      <c r="H91" t="n">
        <v>0</v>
      </c>
      <c r="I91" t="n">
        <v>0</v>
      </c>
      <c r="J91" t="n">
        <v>0</v>
      </c>
      <c r="K91" t="n">
        <v>0</v>
      </c>
      <c r="L91" t="n">
        <v>0</v>
      </c>
      <c r="M91" t="n">
        <v>0</v>
      </c>
      <c r="N91" t="n">
        <v>0</v>
      </c>
      <c r="O91" t="n">
        <v>0</v>
      </c>
      <c r="P91" t="n">
        <v>0</v>
      </c>
      <c r="Q91" t="n">
        <v>0</v>
      </c>
      <c r="R91" s="2" t="inlineStr"/>
    </row>
    <row r="92" ht="15" customHeight="1">
      <c r="A92" t="inlineStr">
        <is>
          <t>A 41512-2019</t>
        </is>
      </c>
      <c r="B92" s="1" t="n">
        <v>43699</v>
      </c>
      <c r="C92" s="1" t="n">
        <v>45811</v>
      </c>
      <c r="D92" t="inlineStr">
        <is>
          <t>UPPSALA LÄN</t>
        </is>
      </c>
      <c r="E92" t="inlineStr">
        <is>
          <t>ENKÖPING</t>
        </is>
      </c>
      <c r="G92" t="n">
        <v>5.8</v>
      </c>
      <c r="H92" t="n">
        <v>0</v>
      </c>
      <c r="I92" t="n">
        <v>0</v>
      </c>
      <c r="J92" t="n">
        <v>0</v>
      </c>
      <c r="K92" t="n">
        <v>0</v>
      </c>
      <c r="L92" t="n">
        <v>0</v>
      </c>
      <c r="M92" t="n">
        <v>0</v>
      </c>
      <c r="N92" t="n">
        <v>0</v>
      </c>
      <c r="O92" t="n">
        <v>0</v>
      </c>
      <c r="P92" t="n">
        <v>0</v>
      </c>
      <c r="Q92" t="n">
        <v>0</v>
      </c>
      <c r="R92" s="2" t="inlineStr"/>
    </row>
    <row r="93" ht="15" customHeight="1">
      <c r="A93" t="inlineStr">
        <is>
          <t>A 42350-2019</t>
        </is>
      </c>
      <c r="B93" s="1" t="n">
        <v>43703</v>
      </c>
      <c r="C93" s="1" t="n">
        <v>45811</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42624-2019</t>
        </is>
      </c>
      <c r="B94" s="1" t="n">
        <v>43704</v>
      </c>
      <c r="C94" s="1" t="n">
        <v>45811</v>
      </c>
      <c r="D94" t="inlineStr">
        <is>
          <t>UPPSALA LÄN</t>
        </is>
      </c>
      <c r="E94" t="inlineStr">
        <is>
          <t>ENKÖPING</t>
        </is>
      </c>
      <c r="G94" t="n">
        <v>1.5</v>
      </c>
      <c r="H94" t="n">
        <v>0</v>
      </c>
      <c r="I94" t="n">
        <v>0</v>
      </c>
      <c r="J94" t="n">
        <v>0</v>
      </c>
      <c r="K94" t="n">
        <v>0</v>
      </c>
      <c r="L94" t="n">
        <v>0</v>
      </c>
      <c r="M94" t="n">
        <v>0</v>
      </c>
      <c r="N94" t="n">
        <v>0</v>
      </c>
      <c r="O94" t="n">
        <v>0</v>
      </c>
      <c r="P94" t="n">
        <v>0</v>
      </c>
      <c r="Q94" t="n">
        <v>0</v>
      </c>
      <c r="R94" s="2" t="inlineStr"/>
    </row>
    <row r="95" ht="15" customHeight="1">
      <c r="A95" t="inlineStr">
        <is>
          <t>A 42829-2019</t>
        </is>
      </c>
      <c r="B95" s="1" t="n">
        <v>43705</v>
      </c>
      <c r="C95" s="1" t="n">
        <v>45811</v>
      </c>
      <c r="D95" t="inlineStr">
        <is>
          <t>UPPSALA LÄN</t>
        </is>
      </c>
      <c r="E95" t="inlineStr">
        <is>
          <t>ENKÖPING</t>
        </is>
      </c>
      <c r="G95" t="n">
        <v>6.7</v>
      </c>
      <c r="H95" t="n">
        <v>0</v>
      </c>
      <c r="I95" t="n">
        <v>0</v>
      </c>
      <c r="J95" t="n">
        <v>0</v>
      </c>
      <c r="K95" t="n">
        <v>0</v>
      </c>
      <c r="L95" t="n">
        <v>0</v>
      </c>
      <c r="M95" t="n">
        <v>0</v>
      </c>
      <c r="N95" t="n">
        <v>0</v>
      </c>
      <c r="O95" t="n">
        <v>0</v>
      </c>
      <c r="P95" t="n">
        <v>0</v>
      </c>
      <c r="Q95" t="n">
        <v>0</v>
      </c>
      <c r="R95" s="2" t="inlineStr"/>
    </row>
    <row r="96" ht="15" customHeight="1">
      <c r="A96" t="inlineStr">
        <is>
          <t>A 43308-2019</t>
        </is>
      </c>
      <c r="B96" s="1" t="n">
        <v>43706</v>
      </c>
      <c r="C96" s="1" t="n">
        <v>45811</v>
      </c>
      <c r="D96" t="inlineStr">
        <is>
          <t>UPPSALA LÄN</t>
        </is>
      </c>
      <c r="E96" t="inlineStr">
        <is>
          <t>ENKÖPING</t>
        </is>
      </c>
      <c r="G96" t="n">
        <v>3.3</v>
      </c>
      <c r="H96" t="n">
        <v>0</v>
      </c>
      <c r="I96" t="n">
        <v>0</v>
      </c>
      <c r="J96" t="n">
        <v>0</v>
      </c>
      <c r="K96" t="n">
        <v>0</v>
      </c>
      <c r="L96" t="n">
        <v>0</v>
      </c>
      <c r="M96" t="n">
        <v>0</v>
      </c>
      <c r="N96" t="n">
        <v>0</v>
      </c>
      <c r="O96" t="n">
        <v>0</v>
      </c>
      <c r="P96" t="n">
        <v>0</v>
      </c>
      <c r="Q96" t="n">
        <v>0</v>
      </c>
      <c r="R96" s="2" t="inlineStr"/>
    </row>
    <row r="97" ht="15" customHeight="1">
      <c r="A97" t="inlineStr">
        <is>
          <t>A 43998-2019</t>
        </is>
      </c>
      <c r="B97" s="1" t="n">
        <v>43709</v>
      </c>
      <c r="C97" s="1" t="n">
        <v>45811</v>
      </c>
      <c r="D97" t="inlineStr">
        <is>
          <t>UPPSALA LÄN</t>
        </is>
      </c>
      <c r="E97" t="inlineStr">
        <is>
          <t>ENKÖPING</t>
        </is>
      </c>
      <c r="G97" t="n">
        <v>1.3</v>
      </c>
      <c r="H97" t="n">
        <v>0</v>
      </c>
      <c r="I97" t="n">
        <v>0</v>
      </c>
      <c r="J97" t="n">
        <v>0</v>
      </c>
      <c r="K97" t="n">
        <v>0</v>
      </c>
      <c r="L97" t="n">
        <v>0</v>
      </c>
      <c r="M97" t="n">
        <v>0</v>
      </c>
      <c r="N97" t="n">
        <v>0</v>
      </c>
      <c r="O97" t="n">
        <v>0</v>
      </c>
      <c r="P97" t="n">
        <v>0</v>
      </c>
      <c r="Q97" t="n">
        <v>0</v>
      </c>
      <c r="R97" s="2" t="inlineStr"/>
    </row>
    <row r="98" ht="15" customHeight="1">
      <c r="A98" t="inlineStr">
        <is>
          <t>A 43999-2019</t>
        </is>
      </c>
      <c r="B98" s="1" t="n">
        <v>43709</v>
      </c>
      <c r="C98" s="1" t="n">
        <v>45811</v>
      </c>
      <c r="D98" t="inlineStr">
        <is>
          <t>UPPSALA LÄN</t>
        </is>
      </c>
      <c r="E98" t="inlineStr">
        <is>
          <t>ENKÖPING</t>
        </is>
      </c>
      <c r="G98" t="n">
        <v>0.1</v>
      </c>
      <c r="H98" t="n">
        <v>0</v>
      </c>
      <c r="I98" t="n">
        <v>0</v>
      </c>
      <c r="J98" t="n">
        <v>0</v>
      </c>
      <c r="K98" t="n">
        <v>0</v>
      </c>
      <c r="L98" t="n">
        <v>0</v>
      </c>
      <c r="M98" t="n">
        <v>0</v>
      </c>
      <c r="N98" t="n">
        <v>0</v>
      </c>
      <c r="O98" t="n">
        <v>0</v>
      </c>
      <c r="P98" t="n">
        <v>0</v>
      </c>
      <c r="Q98" t="n">
        <v>0</v>
      </c>
      <c r="R98" s="2" t="inlineStr"/>
    </row>
    <row r="99" ht="15" customHeight="1">
      <c r="A99" t="inlineStr">
        <is>
          <t>A 44749-2019</t>
        </is>
      </c>
      <c r="B99" s="1" t="n">
        <v>43712</v>
      </c>
      <c r="C99" s="1" t="n">
        <v>45811</v>
      </c>
      <c r="D99" t="inlineStr">
        <is>
          <t>UPPSALA LÄN</t>
        </is>
      </c>
      <c r="E99" t="inlineStr">
        <is>
          <t>ENKÖPING</t>
        </is>
      </c>
      <c r="G99" t="n">
        <v>2.6</v>
      </c>
      <c r="H99" t="n">
        <v>0</v>
      </c>
      <c r="I99" t="n">
        <v>0</v>
      </c>
      <c r="J99" t="n">
        <v>0</v>
      </c>
      <c r="K99" t="n">
        <v>0</v>
      </c>
      <c r="L99" t="n">
        <v>0</v>
      </c>
      <c r="M99" t="n">
        <v>0</v>
      </c>
      <c r="N99" t="n">
        <v>0</v>
      </c>
      <c r="O99" t="n">
        <v>0</v>
      </c>
      <c r="P99" t="n">
        <v>0</v>
      </c>
      <c r="Q99" t="n">
        <v>0</v>
      </c>
      <c r="R99" s="2" t="inlineStr"/>
    </row>
    <row r="100" ht="15" customHeight="1">
      <c r="A100" t="inlineStr">
        <is>
          <t>A 45007-2019</t>
        </is>
      </c>
      <c r="B100" s="1" t="n">
        <v>43713</v>
      </c>
      <c r="C100" s="1" t="n">
        <v>45811</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45481-2019</t>
        </is>
      </c>
      <c r="B101" s="1" t="n">
        <v>43714</v>
      </c>
      <c r="C101" s="1" t="n">
        <v>45811</v>
      </c>
      <c r="D101" t="inlineStr">
        <is>
          <t>UPPSALA LÄN</t>
        </is>
      </c>
      <c r="E101" t="inlineStr">
        <is>
          <t>ENKÖPING</t>
        </is>
      </c>
      <c r="G101" t="n">
        <v>2</v>
      </c>
      <c r="H101" t="n">
        <v>0</v>
      </c>
      <c r="I101" t="n">
        <v>0</v>
      </c>
      <c r="J101" t="n">
        <v>0</v>
      </c>
      <c r="K101" t="n">
        <v>0</v>
      </c>
      <c r="L101" t="n">
        <v>0</v>
      </c>
      <c r="M101" t="n">
        <v>0</v>
      </c>
      <c r="N101" t="n">
        <v>0</v>
      </c>
      <c r="O101" t="n">
        <v>0</v>
      </c>
      <c r="P101" t="n">
        <v>0</v>
      </c>
      <c r="Q101" t="n">
        <v>0</v>
      </c>
      <c r="R101" s="2" t="inlineStr"/>
    </row>
    <row r="102" ht="15" customHeight="1">
      <c r="A102" t="inlineStr">
        <is>
          <t>A 45729-2019</t>
        </is>
      </c>
      <c r="B102" s="1" t="n">
        <v>43717</v>
      </c>
      <c r="C102" s="1" t="n">
        <v>45811</v>
      </c>
      <c r="D102" t="inlineStr">
        <is>
          <t>UPPSALA LÄN</t>
        </is>
      </c>
      <c r="E102" t="inlineStr">
        <is>
          <t>ENKÖPING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45767-2019</t>
        </is>
      </c>
      <c r="B103" s="1" t="n">
        <v>43717</v>
      </c>
      <c r="C103" s="1" t="n">
        <v>45811</v>
      </c>
      <c r="D103" t="inlineStr">
        <is>
          <t>UPPSALA LÄN</t>
        </is>
      </c>
      <c r="E103" t="inlineStr">
        <is>
          <t>ENKÖPING</t>
        </is>
      </c>
      <c r="G103" t="n">
        <v>2.6</v>
      </c>
      <c r="H103" t="n">
        <v>0</v>
      </c>
      <c r="I103" t="n">
        <v>0</v>
      </c>
      <c r="J103" t="n">
        <v>0</v>
      </c>
      <c r="K103" t="n">
        <v>0</v>
      </c>
      <c r="L103" t="n">
        <v>0</v>
      </c>
      <c r="M103" t="n">
        <v>0</v>
      </c>
      <c r="N103" t="n">
        <v>0</v>
      </c>
      <c r="O103" t="n">
        <v>0</v>
      </c>
      <c r="P103" t="n">
        <v>0</v>
      </c>
      <c r="Q103" t="n">
        <v>0</v>
      </c>
      <c r="R103" s="2" t="inlineStr"/>
    </row>
    <row r="104" ht="15" customHeight="1">
      <c r="A104" t="inlineStr">
        <is>
          <t>A 45784-2019</t>
        </is>
      </c>
      <c r="B104" s="1" t="n">
        <v>43717</v>
      </c>
      <c r="C104" s="1" t="n">
        <v>45811</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46292-2019</t>
        </is>
      </c>
      <c r="B105" s="1" t="n">
        <v>43718</v>
      </c>
      <c r="C105" s="1" t="n">
        <v>45811</v>
      </c>
      <c r="D105" t="inlineStr">
        <is>
          <t>UPPSALA LÄN</t>
        </is>
      </c>
      <c r="E105" t="inlineStr">
        <is>
          <t>ENKÖPING</t>
        </is>
      </c>
      <c r="G105" t="n">
        <v>1</v>
      </c>
      <c r="H105" t="n">
        <v>0</v>
      </c>
      <c r="I105" t="n">
        <v>0</v>
      </c>
      <c r="J105" t="n">
        <v>0</v>
      </c>
      <c r="K105" t="n">
        <v>0</v>
      </c>
      <c r="L105" t="n">
        <v>0</v>
      </c>
      <c r="M105" t="n">
        <v>0</v>
      </c>
      <c r="N105" t="n">
        <v>0</v>
      </c>
      <c r="O105" t="n">
        <v>0</v>
      </c>
      <c r="P105" t="n">
        <v>0</v>
      </c>
      <c r="Q105" t="n">
        <v>0</v>
      </c>
      <c r="R105" s="2" t="inlineStr"/>
    </row>
    <row r="106" ht="15" customHeight="1">
      <c r="A106" t="inlineStr">
        <is>
          <t>A 46274-2019</t>
        </is>
      </c>
      <c r="B106" s="1" t="n">
        <v>43718</v>
      </c>
      <c r="C106" s="1" t="n">
        <v>45811</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46971-2019</t>
        </is>
      </c>
      <c r="B107" s="1" t="n">
        <v>43720</v>
      </c>
      <c r="C107" s="1" t="n">
        <v>45811</v>
      </c>
      <c r="D107" t="inlineStr">
        <is>
          <t>UPPSALA LÄN</t>
        </is>
      </c>
      <c r="E107" t="inlineStr">
        <is>
          <t>ENKÖPING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47039-2019</t>
        </is>
      </c>
      <c r="B108" s="1" t="n">
        <v>43720</v>
      </c>
      <c r="C108" s="1" t="n">
        <v>45811</v>
      </c>
      <c r="D108" t="inlineStr">
        <is>
          <t>UPPSALA LÄN</t>
        </is>
      </c>
      <c r="E108" t="inlineStr">
        <is>
          <t>ENKÖPING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47368-2019</t>
        </is>
      </c>
      <c r="B109" s="1" t="n">
        <v>43721</v>
      </c>
      <c r="C109" s="1" t="n">
        <v>45811</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47476-2019</t>
        </is>
      </c>
      <c r="B110" s="1" t="n">
        <v>43724</v>
      </c>
      <c r="C110" s="1" t="n">
        <v>45811</v>
      </c>
      <c r="D110" t="inlineStr">
        <is>
          <t>UPPSALA LÄN</t>
        </is>
      </c>
      <c r="E110" t="inlineStr">
        <is>
          <t>ENKÖPING</t>
        </is>
      </c>
      <c r="G110" t="n">
        <v>0.4</v>
      </c>
      <c r="H110" t="n">
        <v>0</v>
      </c>
      <c r="I110" t="n">
        <v>0</v>
      </c>
      <c r="J110" t="n">
        <v>0</v>
      </c>
      <c r="K110" t="n">
        <v>0</v>
      </c>
      <c r="L110" t="n">
        <v>0</v>
      </c>
      <c r="M110" t="n">
        <v>0</v>
      </c>
      <c r="N110" t="n">
        <v>0</v>
      </c>
      <c r="O110" t="n">
        <v>0</v>
      </c>
      <c r="P110" t="n">
        <v>0</v>
      </c>
      <c r="Q110" t="n">
        <v>0</v>
      </c>
      <c r="R110" s="2" t="inlineStr"/>
    </row>
    <row r="111" ht="15" customHeight="1">
      <c r="A111" t="inlineStr">
        <is>
          <t>A 48098-2019</t>
        </is>
      </c>
      <c r="B111" s="1" t="n">
        <v>43725</v>
      </c>
      <c r="C111" s="1" t="n">
        <v>45811</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48095-2019</t>
        </is>
      </c>
      <c r="B112" s="1" t="n">
        <v>43725</v>
      </c>
      <c r="C112" s="1" t="n">
        <v>45811</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48096-2019</t>
        </is>
      </c>
      <c r="B113" s="1" t="n">
        <v>43725</v>
      </c>
      <c r="C113" s="1" t="n">
        <v>45811</v>
      </c>
      <c r="D113" t="inlineStr">
        <is>
          <t>UPPSALA LÄN</t>
        </is>
      </c>
      <c r="E113" t="inlineStr">
        <is>
          <t>ENKÖPING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48515-2019</t>
        </is>
      </c>
      <c r="B114" s="1" t="n">
        <v>43727</v>
      </c>
      <c r="C114" s="1" t="n">
        <v>45811</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48511-2019</t>
        </is>
      </c>
      <c r="B115" s="1" t="n">
        <v>43727</v>
      </c>
      <c r="C115" s="1" t="n">
        <v>45811</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49856-2019</t>
        </is>
      </c>
      <c r="B116" s="1" t="n">
        <v>43733</v>
      </c>
      <c r="C116" s="1" t="n">
        <v>45811</v>
      </c>
      <c r="D116" t="inlineStr">
        <is>
          <t>UPPSALA LÄN</t>
        </is>
      </c>
      <c r="E116" t="inlineStr">
        <is>
          <t>ENKÖPING</t>
        </is>
      </c>
      <c r="G116" t="n">
        <v>9.9</v>
      </c>
      <c r="H116" t="n">
        <v>0</v>
      </c>
      <c r="I116" t="n">
        <v>0</v>
      </c>
      <c r="J116" t="n">
        <v>0</v>
      </c>
      <c r="K116" t="n">
        <v>0</v>
      </c>
      <c r="L116" t="n">
        <v>0</v>
      </c>
      <c r="M116" t="n">
        <v>0</v>
      </c>
      <c r="N116" t="n">
        <v>0</v>
      </c>
      <c r="O116" t="n">
        <v>0</v>
      </c>
      <c r="P116" t="n">
        <v>0</v>
      </c>
      <c r="Q116" t="n">
        <v>0</v>
      </c>
      <c r="R116" s="2" t="inlineStr"/>
    </row>
    <row r="117" ht="15" customHeight="1">
      <c r="A117" t="inlineStr">
        <is>
          <t>A 49941-2019</t>
        </is>
      </c>
      <c r="B117" s="1" t="n">
        <v>43733</v>
      </c>
      <c r="C117" s="1" t="n">
        <v>45811</v>
      </c>
      <c r="D117" t="inlineStr">
        <is>
          <t>UPPSALA LÄN</t>
        </is>
      </c>
      <c r="E117" t="inlineStr">
        <is>
          <t>ENKÖPING</t>
        </is>
      </c>
      <c r="G117" t="n">
        <v>1</v>
      </c>
      <c r="H117" t="n">
        <v>0</v>
      </c>
      <c r="I117" t="n">
        <v>0</v>
      </c>
      <c r="J117" t="n">
        <v>0</v>
      </c>
      <c r="K117" t="n">
        <v>0</v>
      </c>
      <c r="L117" t="n">
        <v>0</v>
      </c>
      <c r="M117" t="n">
        <v>0</v>
      </c>
      <c r="N117" t="n">
        <v>0</v>
      </c>
      <c r="O117" t="n">
        <v>0</v>
      </c>
      <c r="P117" t="n">
        <v>0</v>
      </c>
      <c r="Q117" t="n">
        <v>0</v>
      </c>
      <c r="R117" s="2" t="inlineStr"/>
    </row>
    <row r="118" ht="15" customHeight="1">
      <c r="A118" t="inlineStr">
        <is>
          <t>A 50893-2019</t>
        </is>
      </c>
      <c r="B118" s="1" t="n">
        <v>43738</v>
      </c>
      <c r="C118" s="1" t="n">
        <v>45811</v>
      </c>
      <c r="D118" t="inlineStr">
        <is>
          <t>UPPSALA LÄN</t>
        </is>
      </c>
      <c r="E118" t="inlineStr">
        <is>
          <t>ENKÖPING</t>
        </is>
      </c>
      <c r="G118" t="n">
        <v>4.3</v>
      </c>
      <c r="H118" t="n">
        <v>0</v>
      </c>
      <c r="I118" t="n">
        <v>0</v>
      </c>
      <c r="J118" t="n">
        <v>0</v>
      </c>
      <c r="K118" t="n">
        <v>0</v>
      </c>
      <c r="L118" t="n">
        <v>0</v>
      </c>
      <c r="M118" t="n">
        <v>0</v>
      </c>
      <c r="N118" t="n">
        <v>0</v>
      </c>
      <c r="O118" t="n">
        <v>0</v>
      </c>
      <c r="P118" t="n">
        <v>0</v>
      </c>
      <c r="Q118" t="n">
        <v>0</v>
      </c>
      <c r="R118" s="2" t="inlineStr"/>
    </row>
    <row r="119" ht="15" customHeight="1">
      <c r="A119" t="inlineStr">
        <is>
          <t>A 52516-2019</t>
        </is>
      </c>
      <c r="B119" s="1" t="n">
        <v>43738</v>
      </c>
      <c r="C119" s="1" t="n">
        <v>45811</v>
      </c>
      <c r="D119" t="inlineStr">
        <is>
          <t>UPPSALA LÄN</t>
        </is>
      </c>
      <c r="E119" t="inlineStr">
        <is>
          <t>ENKÖPING</t>
        </is>
      </c>
      <c r="G119" t="n">
        <v>1.7</v>
      </c>
      <c r="H119" t="n">
        <v>0</v>
      </c>
      <c r="I119" t="n">
        <v>0</v>
      </c>
      <c r="J119" t="n">
        <v>0</v>
      </c>
      <c r="K119" t="n">
        <v>0</v>
      </c>
      <c r="L119" t="n">
        <v>0</v>
      </c>
      <c r="M119" t="n">
        <v>0</v>
      </c>
      <c r="N119" t="n">
        <v>0</v>
      </c>
      <c r="O119" t="n">
        <v>0</v>
      </c>
      <c r="P119" t="n">
        <v>0</v>
      </c>
      <c r="Q119" t="n">
        <v>0</v>
      </c>
      <c r="R119" s="2" t="inlineStr"/>
    </row>
    <row r="120" ht="15" customHeight="1">
      <c r="A120" t="inlineStr">
        <is>
          <t>A 51782-2019</t>
        </is>
      </c>
      <c r="B120" s="1" t="n">
        <v>43741</v>
      </c>
      <c r="C120" s="1" t="n">
        <v>45811</v>
      </c>
      <c r="D120" t="inlineStr">
        <is>
          <t>UPPSALA LÄN</t>
        </is>
      </c>
      <c r="E120" t="inlineStr">
        <is>
          <t>ENKÖPING</t>
        </is>
      </c>
      <c r="G120" t="n">
        <v>2.5</v>
      </c>
      <c r="H120" t="n">
        <v>0</v>
      </c>
      <c r="I120" t="n">
        <v>0</v>
      </c>
      <c r="J120" t="n">
        <v>0</v>
      </c>
      <c r="K120" t="n">
        <v>0</v>
      </c>
      <c r="L120" t="n">
        <v>0</v>
      </c>
      <c r="M120" t="n">
        <v>0</v>
      </c>
      <c r="N120" t="n">
        <v>0</v>
      </c>
      <c r="O120" t="n">
        <v>0</v>
      </c>
      <c r="P120" t="n">
        <v>0</v>
      </c>
      <c r="Q120" t="n">
        <v>0</v>
      </c>
      <c r="R120" s="2" t="inlineStr"/>
    </row>
    <row r="121" ht="15" customHeight="1">
      <c r="A121" t="inlineStr">
        <is>
          <t>A 51802-2019</t>
        </is>
      </c>
      <c r="B121" s="1" t="n">
        <v>43741</v>
      </c>
      <c r="C121" s="1" t="n">
        <v>45811</v>
      </c>
      <c r="D121" t="inlineStr">
        <is>
          <t>UPPSALA LÄN</t>
        </is>
      </c>
      <c r="E121" t="inlineStr">
        <is>
          <t>ENKÖPING</t>
        </is>
      </c>
      <c r="G121" t="n">
        <v>0.8</v>
      </c>
      <c r="H121" t="n">
        <v>0</v>
      </c>
      <c r="I121" t="n">
        <v>0</v>
      </c>
      <c r="J121" t="n">
        <v>0</v>
      </c>
      <c r="K121" t="n">
        <v>0</v>
      </c>
      <c r="L121" t="n">
        <v>0</v>
      </c>
      <c r="M121" t="n">
        <v>0</v>
      </c>
      <c r="N121" t="n">
        <v>0</v>
      </c>
      <c r="O121" t="n">
        <v>0</v>
      </c>
      <c r="P121" t="n">
        <v>0</v>
      </c>
      <c r="Q121" t="n">
        <v>0</v>
      </c>
      <c r="R121" s="2" t="inlineStr"/>
    </row>
    <row r="122" ht="15" customHeight="1">
      <c r="A122" t="inlineStr">
        <is>
          <t>A 51836-2019</t>
        </is>
      </c>
      <c r="B122" s="1" t="n">
        <v>43741</v>
      </c>
      <c r="C122" s="1" t="n">
        <v>45811</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51805-2019</t>
        </is>
      </c>
      <c r="B123" s="1" t="n">
        <v>43741</v>
      </c>
      <c r="C123" s="1" t="n">
        <v>45811</v>
      </c>
      <c r="D123" t="inlineStr">
        <is>
          <t>UPPSALA LÄN</t>
        </is>
      </c>
      <c r="E123" t="inlineStr">
        <is>
          <t>ENKÖPING</t>
        </is>
      </c>
      <c r="G123" t="n">
        <v>2.5</v>
      </c>
      <c r="H123" t="n">
        <v>0</v>
      </c>
      <c r="I123" t="n">
        <v>0</v>
      </c>
      <c r="J123" t="n">
        <v>0</v>
      </c>
      <c r="K123" t="n">
        <v>0</v>
      </c>
      <c r="L123" t="n">
        <v>0</v>
      </c>
      <c r="M123" t="n">
        <v>0</v>
      </c>
      <c r="N123" t="n">
        <v>0</v>
      </c>
      <c r="O123" t="n">
        <v>0</v>
      </c>
      <c r="P123" t="n">
        <v>0</v>
      </c>
      <c r="Q123" t="n">
        <v>0</v>
      </c>
      <c r="R123" s="2" t="inlineStr"/>
    </row>
    <row r="124" ht="15" customHeight="1">
      <c r="A124" t="inlineStr">
        <is>
          <t>A 51905-2019</t>
        </is>
      </c>
      <c r="B124" s="1" t="n">
        <v>43741</v>
      </c>
      <c r="C124" s="1" t="n">
        <v>45811</v>
      </c>
      <c r="D124" t="inlineStr">
        <is>
          <t>UPPSALA LÄN</t>
        </is>
      </c>
      <c r="E124" t="inlineStr">
        <is>
          <t>ENKÖPING</t>
        </is>
      </c>
      <c r="G124" t="n">
        <v>1.3</v>
      </c>
      <c r="H124" t="n">
        <v>0</v>
      </c>
      <c r="I124" t="n">
        <v>0</v>
      </c>
      <c r="J124" t="n">
        <v>0</v>
      </c>
      <c r="K124" t="n">
        <v>0</v>
      </c>
      <c r="L124" t="n">
        <v>0</v>
      </c>
      <c r="M124" t="n">
        <v>0</v>
      </c>
      <c r="N124" t="n">
        <v>0</v>
      </c>
      <c r="O124" t="n">
        <v>0</v>
      </c>
      <c r="P124" t="n">
        <v>0</v>
      </c>
      <c r="Q124" t="n">
        <v>0</v>
      </c>
      <c r="R124" s="2" t="inlineStr"/>
    </row>
    <row r="125" ht="15" customHeight="1">
      <c r="A125" t="inlineStr">
        <is>
          <t>A 51912-2019</t>
        </is>
      </c>
      <c r="B125" s="1" t="n">
        <v>43741</v>
      </c>
      <c r="C125" s="1" t="n">
        <v>45811</v>
      </c>
      <c r="D125" t="inlineStr">
        <is>
          <t>UPPSALA LÄN</t>
        </is>
      </c>
      <c r="E125" t="inlineStr">
        <is>
          <t>ENKÖPING</t>
        </is>
      </c>
      <c r="G125" t="n">
        <v>3</v>
      </c>
      <c r="H125" t="n">
        <v>0</v>
      </c>
      <c r="I125" t="n">
        <v>0</v>
      </c>
      <c r="J125" t="n">
        <v>0</v>
      </c>
      <c r="K125" t="n">
        <v>0</v>
      </c>
      <c r="L125" t="n">
        <v>0</v>
      </c>
      <c r="M125" t="n">
        <v>0</v>
      </c>
      <c r="N125" t="n">
        <v>0</v>
      </c>
      <c r="O125" t="n">
        <v>0</v>
      </c>
      <c r="P125" t="n">
        <v>0</v>
      </c>
      <c r="Q125" t="n">
        <v>0</v>
      </c>
      <c r="R125" s="2" t="inlineStr"/>
    </row>
    <row r="126" ht="15" customHeight="1">
      <c r="A126" t="inlineStr">
        <is>
          <t>A 52524-2019</t>
        </is>
      </c>
      <c r="B126" s="1" t="n">
        <v>43745</v>
      </c>
      <c r="C126" s="1" t="n">
        <v>45811</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52394-2019</t>
        </is>
      </c>
      <c r="B127" s="1" t="n">
        <v>43745</v>
      </c>
      <c r="C127" s="1" t="n">
        <v>45811</v>
      </c>
      <c r="D127" t="inlineStr">
        <is>
          <t>UPPSALA LÄN</t>
        </is>
      </c>
      <c r="E127" t="inlineStr">
        <is>
          <t>ENKÖPING</t>
        </is>
      </c>
      <c r="G127" t="n">
        <v>0.5</v>
      </c>
      <c r="H127" t="n">
        <v>0</v>
      </c>
      <c r="I127" t="n">
        <v>0</v>
      </c>
      <c r="J127" t="n">
        <v>0</v>
      </c>
      <c r="K127" t="n">
        <v>0</v>
      </c>
      <c r="L127" t="n">
        <v>0</v>
      </c>
      <c r="M127" t="n">
        <v>0</v>
      </c>
      <c r="N127" t="n">
        <v>0</v>
      </c>
      <c r="O127" t="n">
        <v>0</v>
      </c>
      <c r="P127" t="n">
        <v>0</v>
      </c>
      <c r="Q127" t="n">
        <v>0</v>
      </c>
      <c r="R127" s="2" t="inlineStr"/>
    </row>
    <row r="128" ht="15" customHeight="1">
      <c r="A128" t="inlineStr">
        <is>
          <t>A 52726-2019</t>
        </is>
      </c>
      <c r="B128" s="1" t="n">
        <v>43746</v>
      </c>
      <c r="C128" s="1" t="n">
        <v>45811</v>
      </c>
      <c r="D128" t="inlineStr">
        <is>
          <t>UPPSALA LÄN</t>
        </is>
      </c>
      <c r="E128" t="inlineStr">
        <is>
          <t>ENKÖPING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53840-2019</t>
        </is>
      </c>
      <c r="B129" s="1" t="n">
        <v>43752</v>
      </c>
      <c r="C129" s="1" t="n">
        <v>45811</v>
      </c>
      <c r="D129" t="inlineStr">
        <is>
          <t>UPPSALA LÄN</t>
        </is>
      </c>
      <c r="E129" t="inlineStr">
        <is>
          <t>ENKÖPING</t>
        </is>
      </c>
      <c r="G129" t="n">
        <v>10.1</v>
      </c>
      <c r="H129" t="n">
        <v>0</v>
      </c>
      <c r="I129" t="n">
        <v>0</v>
      </c>
      <c r="J129" t="n">
        <v>0</v>
      </c>
      <c r="K129" t="n">
        <v>0</v>
      </c>
      <c r="L129" t="n">
        <v>0</v>
      </c>
      <c r="M129" t="n">
        <v>0</v>
      </c>
      <c r="N129" t="n">
        <v>0</v>
      </c>
      <c r="O129" t="n">
        <v>0</v>
      </c>
      <c r="P129" t="n">
        <v>0</v>
      </c>
      <c r="Q129" t="n">
        <v>0</v>
      </c>
      <c r="R129" s="2" t="inlineStr"/>
    </row>
    <row r="130" ht="15" customHeight="1">
      <c r="A130" t="inlineStr">
        <is>
          <t>A 56153-2019</t>
        </is>
      </c>
      <c r="B130" s="1" t="n">
        <v>43756</v>
      </c>
      <c r="C130" s="1" t="n">
        <v>45811</v>
      </c>
      <c r="D130" t="inlineStr">
        <is>
          <t>UPPSALA LÄN</t>
        </is>
      </c>
      <c r="E130" t="inlineStr">
        <is>
          <t>ENKÖPING</t>
        </is>
      </c>
      <c r="G130" t="n">
        <v>2</v>
      </c>
      <c r="H130" t="n">
        <v>0</v>
      </c>
      <c r="I130" t="n">
        <v>0</v>
      </c>
      <c r="J130" t="n">
        <v>0</v>
      </c>
      <c r="K130" t="n">
        <v>0</v>
      </c>
      <c r="L130" t="n">
        <v>0</v>
      </c>
      <c r="M130" t="n">
        <v>0</v>
      </c>
      <c r="N130" t="n">
        <v>0</v>
      </c>
      <c r="O130" t="n">
        <v>0</v>
      </c>
      <c r="P130" t="n">
        <v>0</v>
      </c>
      <c r="Q130" t="n">
        <v>0</v>
      </c>
      <c r="R130" s="2" t="inlineStr"/>
    </row>
    <row r="131" ht="15" customHeight="1">
      <c r="A131" t="inlineStr">
        <is>
          <t>A 55516-2019</t>
        </is>
      </c>
      <c r="B131" s="1" t="n">
        <v>43759</v>
      </c>
      <c r="C131" s="1" t="n">
        <v>45811</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55872-2019</t>
        </is>
      </c>
      <c r="B132" s="1" t="n">
        <v>43759</v>
      </c>
      <c r="C132" s="1" t="n">
        <v>45811</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55512-2019</t>
        </is>
      </c>
      <c r="B133" s="1" t="n">
        <v>43759</v>
      </c>
      <c r="C133" s="1" t="n">
        <v>45811</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56309-2019</t>
        </is>
      </c>
      <c r="B134" s="1" t="n">
        <v>43762</v>
      </c>
      <c r="C134" s="1" t="n">
        <v>45811</v>
      </c>
      <c r="D134" t="inlineStr">
        <is>
          <t>UPPSALA LÄN</t>
        </is>
      </c>
      <c r="E134" t="inlineStr">
        <is>
          <t>ENKÖPING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56932-2019</t>
        </is>
      </c>
      <c r="B135" s="1" t="n">
        <v>43766</v>
      </c>
      <c r="C135" s="1" t="n">
        <v>45811</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56910-2019</t>
        </is>
      </c>
      <c r="B136" s="1" t="n">
        <v>43766</v>
      </c>
      <c r="C136" s="1" t="n">
        <v>45811</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57066-2019</t>
        </is>
      </c>
      <c r="B137" s="1" t="n">
        <v>43766</v>
      </c>
      <c r="C137" s="1" t="n">
        <v>45811</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56897-2019</t>
        </is>
      </c>
      <c r="B138" s="1" t="n">
        <v>43766</v>
      </c>
      <c r="C138" s="1" t="n">
        <v>45811</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57126-2019</t>
        </is>
      </c>
      <c r="B139" s="1" t="n">
        <v>43766</v>
      </c>
      <c r="C139" s="1" t="n">
        <v>45811</v>
      </c>
      <c r="D139" t="inlineStr">
        <is>
          <t>UPPSALA LÄN</t>
        </is>
      </c>
      <c r="E139" t="inlineStr">
        <is>
          <t>ENKÖPING</t>
        </is>
      </c>
      <c r="G139" t="n">
        <v>3.3</v>
      </c>
      <c r="H139" t="n">
        <v>0</v>
      </c>
      <c r="I139" t="n">
        <v>0</v>
      </c>
      <c r="J139" t="n">
        <v>0</v>
      </c>
      <c r="K139" t="n">
        <v>0</v>
      </c>
      <c r="L139" t="n">
        <v>0</v>
      </c>
      <c r="M139" t="n">
        <v>0</v>
      </c>
      <c r="N139" t="n">
        <v>0</v>
      </c>
      <c r="O139" t="n">
        <v>0</v>
      </c>
      <c r="P139" t="n">
        <v>0</v>
      </c>
      <c r="Q139" t="n">
        <v>0</v>
      </c>
      <c r="R139" s="2" t="inlineStr"/>
    </row>
    <row r="140" ht="15" customHeight="1">
      <c r="A140" t="inlineStr">
        <is>
          <t>A 57813-2019</t>
        </is>
      </c>
      <c r="B140" s="1" t="n">
        <v>43768</v>
      </c>
      <c r="C140" s="1" t="n">
        <v>45811</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57821-2019</t>
        </is>
      </c>
      <c r="B141" s="1" t="n">
        <v>43768</v>
      </c>
      <c r="C141" s="1" t="n">
        <v>45811</v>
      </c>
      <c r="D141" t="inlineStr">
        <is>
          <t>UPPSALA LÄN</t>
        </is>
      </c>
      <c r="E141" t="inlineStr">
        <is>
          <t>ENKÖPING</t>
        </is>
      </c>
      <c r="G141" t="n">
        <v>0.4</v>
      </c>
      <c r="H141" t="n">
        <v>0</v>
      </c>
      <c r="I141" t="n">
        <v>0</v>
      </c>
      <c r="J141" t="n">
        <v>0</v>
      </c>
      <c r="K141" t="n">
        <v>0</v>
      </c>
      <c r="L141" t="n">
        <v>0</v>
      </c>
      <c r="M141" t="n">
        <v>0</v>
      </c>
      <c r="N141" t="n">
        <v>0</v>
      </c>
      <c r="O141" t="n">
        <v>0</v>
      </c>
      <c r="P141" t="n">
        <v>0</v>
      </c>
      <c r="Q141" t="n">
        <v>0</v>
      </c>
      <c r="R141" s="2" t="inlineStr"/>
    </row>
    <row r="142" ht="15" customHeight="1">
      <c r="A142" t="inlineStr">
        <is>
          <t>A 57820-2019</t>
        </is>
      </c>
      <c r="B142" s="1" t="n">
        <v>43768</v>
      </c>
      <c r="C142" s="1" t="n">
        <v>45811</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58491-2019</t>
        </is>
      </c>
      <c r="B143" s="1" t="n">
        <v>43773</v>
      </c>
      <c r="C143" s="1" t="n">
        <v>45811</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58558-2019</t>
        </is>
      </c>
      <c r="B144" s="1" t="n">
        <v>43773</v>
      </c>
      <c r="C144" s="1" t="n">
        <v>45811</v>
      </c>
      <c r="D144" t="inlineStr">
        <is>
          <t>UPPSALA LÄN</t>
        </is>
      </c>
      <c r="E144" t="inlineStr">
        <is>
          <t>ENKÖPING</t>
        </is>
      </c>
      <c r="G144" t="n">
        <v>2.3</v>
      </c>
      <c r="H144" t="n">
        <v>0</v>
      </c>
      <c r="I144" t="n">
        <v>0</v>
      </c>
      <c r="J144" t="n">
        <v>0</v>
      </c>
      <c r="K144" t="n">
        <v>0</v>
      </c>
      <c r="L144" t="n">
        <v>0</v>
      </c>
      <c r="M144" t="n">
        <v>0</v>
      </c>
      <c r="N144" t="n">
        <v>0</v>
      </c>
      <c r="O144" t="n">
        <v>0</v>
      </c>
      <c r="P144" t="n">
        <v>0</v>
      </c>
      <c r="Q144" t="n">
        <v>0</v>
      </c>
      <c r="R144" s="2" t="inlineStr"/>
    </row>
    <row r="145" ht="15" customHeight="1">
      <c r="A145" t="inlineStr">
        <is>
          <t>A 60054-2019</t>
        </is>
      </c>
      <c r="B145" s="1" t="n">
        <v>43775</v>
      </c>
      <c r="C145" s="1" t="n">
        <v>45811</v>
      </c>
      <c r="D145" t="inlineStr">
        <is>
          <t>UPPSALA LÄN</t>
        </is>
      </c>
      <c r="E145" t="inlineStr">
        <is>
          <t>ENKÖPING</t>
        </is>
      </c>
      <c r="G145" t="n">
        <v>18.4</v>
      </c>
      <c r="H145" t="n">
        <v>0</v>
      </c>
      <c r="I145" t="n">
        <v>0</v>
      </c>
      <c r="J145" t="n">
        <v>0</v>
      </c>
      <c r="K145" t="n">
        <v>0</v>
      </c>
      <c r="L145" t="n">
        <v>0</v>
      </c>
      <c r="M145" t="n">
        <v>0</v>
      </c>
      <c r="N145" t="n">
        <v>0</v>
      </c>
      <c r="O145" t="n">
        <v>0</v>
      </c>
      <c r="P145" t="n">
        <v>0</v>
      </c>
      <c r="Q145" t="n">
        <v>0</v>
      </c>
      <c r="R145" s="2" t="inlineStr"/>
    </row>
    <row r="146" ht="15" customHeight="1">
      <c r="A146" t="inlineStr">
        <is>
          <t>A 59600-2019</t>
        </is>
      </c>
      <c r="B146" s="1" t="n">
        <v>43776</v>
      </c>
      <c r="C146" s="1" t="n">
        <v>45811</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60070-2019</t>
        </is>
      </c>
      <c r="B147" s="1" t="n">
        <v>43777</v>
      </c>
      <c r="C147" s="1" t="n">
        <v>45811</v>
      </c>
      <c r="D147" t="inlineStr">
        <is>
          <t>UPPSALA LÄN</t>
        </is>
      </c>
      <c r="E147" t="inlineStr">
        <is>
          <t>ENKÖPING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60062-2019</t>
        </is>
      </c>
      <c r="B148" s="1" t="n">
        <v>43777</v>
      </c>
      <c r="C148" s="1" t="n">
        <v>45811</v>
      </c>
      <c r="D148" t="inlineStr">
        <is>
          <t>UPPSALA LÄN</t>
        </is>
      </c>
      <c r="E148" t="inlineStr">
        <is>
          <t>ENKÖPING</t>
        </is>
      </c>
      <c r="G148" t="n">
        <v>6.4</v>
      </c>
      <c r="H148" t="n">
        <v>0</v>
      </c>
      <c r="I148" t="n">
        <v>0</v>
      </c>
      <c r="J148" t="n">
        <v>0</v>
      </c>
      <c r="K148" t="n">
        <v>0</v>
      </c>
      <c r="L148" t="n">
        <v>0</v>
      </c>
      <c r="M148" t="n">
        <v>0</v>
      </c>
      <c r="N148" t="n">
        <v>0</v>
      </c>
      <c r="O148" t="n">
        <v>0</v>
      </c>
      <c r="P148" t="n">
        <v>0</v>
      </c>
      <c r="Q148" t="n">
        <v>0</v>
      </c>
      <c r="R148" s="2" t="inlineStr"/>
    </row>
    <row r="149" ht="15" customHeight="1">
      <c r="A149" t="inlineStr">
        <is>
          <t>A 61005-2019</t>
        </is>
      </c>
      <c r="B149" s="1" t="n">
        <v>43782</v>
      </c>
      <c r="C149" s="1" t="n">
        <v>45811</v>
      </c>
      <c r="D149" t="inlineStr">
        <is>
          <t>UPPSALA LÄN</t>
        </is>
      </c>
      <c r="E149" t="inlineStr">
        <is>
          <t>ENKÖPING</t>
        </is>
      </c>
      <c r="G149" t="n">
        <v>11.8</v>
      </c>
      <c r="H149" t="n">
        <v>0</v>
      </c>
      <c r="I149" t="n">
        <v>0</v>
      </c>
      <c r="J149" t="n">
        <v>0</v>
      </c>
      <c r="K149" t="n">
        <v>0</v>
      </c>
      <c r="L149" t="n">
        <v>0</v>
      </c>
      <c r="M149" t="n">
        <v>0</v>
      </c>
      <c r="N149" t="n">
        <v>0</v>
      </c>
      <c r="O149" t="n">
        <v>0</v>
      </c>
      <c r="P149" t="n">
        <v>0</v>
      </c>
      <c r="Q149" t="n">
        <v>0</v>
      </c>
      <c r="R149" s="2" t="inlineStr"/>
    </row>
    <row r="150" ht="15" customHeight="1">
      <c r="A150" t="inlineStr">
        <is>
          <t>A 62868-2019</t>
        </is>
      </c>
      <c r="B150" s="1" t="n">
        <v>43790</v>
      </c>
      <c r="C150" s="1" t="n">
        <v>45811</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65182-2019</t>
        </is>
      </c>
      <c r="B151" s="1" t="n">
        <v>43802</v>
      </c>
      <c r="C151" s="1" t="n">
        <v>45811</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66556-2019</t>
        </is>
      </c>
      <c r="B152" s="1" t="n">
        <v>43803</v>
      </c>
      <c r="C152" s="1" t="n">
        <v>45811</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66298-2019</t>
        </is>
      </c>
      <c r="B153" s="1" t="n">
        <v>43808</v>
      </c>
      <c r="C153" s="1" t="n">
        <v>45811</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67190-2019</t>
        </is>
      </c>
      <c r="B154" s="1" t="n">
        <v>43811</v>
      </c>
      <c r="C154" s="1" t="n">
        <v>45811</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67196-2019</t>
        </is>
      </c>
      <c r="B155" s="1" t="n">
        <v>43811</v>
      </c>
      <c r="C155" s="1" t="n">
        <v>45811</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67244-2019</t>
        </is>
      </c>
      <c r="B156" s="1" t="n">
        <v>43812</v>
      </c>
      <c r="C156" s="1" t="n">
        <v>45811</v>
      </c>
      <c r="D156" t="inlineStr">
        <is>
          <t>UPPSALA LÄN</t>
        </is>
      </c>
      <c r="E156" t="inlineStr">
        <is>
          <t>ENKÖPING</t>
        </is>
      </c>
      <c r="G156" t="n">
        <v>3.2</v>
      </c>
      <c r="H156" t="n">
        <v>0</v>
      </c>
      <c r="I156" t="n">
        <v>0</v>
      </c>
      <c r="J156" t="n">
        <v>0</v>
      </c>
      <c r="K156" t="n">
        <v>0</v>
      </c>
      <c r="L156" t="n">
        <v>0</v>
      </c>
      <c r="M156" t="n">
        <v>0</v>
      </c>
      <c r="N156" t="n">
        <v>0</v>
      </c>
      <c r="O156" t="n">
        <v>0</v>
      </c>
      <c r="P156" t="n">
        <v>0</v>
      </c>
      <c r="Q156" t="n">
        <v>0</v>
      </c>
      <c r="R156" s="2" t="inlineStr"/>
    </row>
    <row r="157" ht="15" customHeight="1">
      <c r="A157" t="inlineStr">
        <is>
          <t>A 67448-2019</t>
        </is>
      </c>
      <c r="B157" s="1" t="n">
        <v>43812</v>
      </c>
      <c r="C157" s="1" t="n">
        <v>45811</v>
      </c>
      <c r="D157" t="inlineStr">
        <is>
          <t>UPPSALA LÄN</t>
        </is>
      </c>
      <c r="E157" t="inlineStr">
        <is>
          <t>ENKÖPING</t>
        </is>
      </c>
      <c r="F157" t="inlineStr">
        <is>
          <t>Allmännings- och besparingsskogar</t>
        </is>
      </c>
      <c r="G157" t="n">
        <v>15.1</v>
      </c>
      <c r="H157" t="n">
        <v>0</v>
      </c>
      <c r="I157" t="n">
        <v>0</v>
      </c>
      <c r="J157" t="n">
        <v>0</v>
      </c>
      <c r="K157" t="n">
        <v>0</v>
      </c>
      <c r="L157" t="n">
        <v>0</v>
      </c>
      <c r="M157" t="n">
        <v>0</v>
      </c>
      <c r="N157" t="n">
        <v>0</v>
      </c>
      <c r="O157" t="n">
        <v>0</v>
      </c>
      <c r="P157" t="n">
        <v>0</v>
      </c>
      <c r="Q157" t="n">
        <v>0</v>
      </c>
      <c r="R157" s="2" t="inlineStr"/>
    </row>
    <row r="158" ht="15" customHeight="1">
      <c r="A158" t="inlineStr">
        <is>
          <t>A 68186-2019</t>
        </is>
      </c>
      <c r="B158" s="1" t="n">
        <v>43817</v>
      </c>
      <c r="C158" s="1" t="n">
        <v>45811</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68188-2019</t>
        </is>
      </c>
      <c r="B159" s="1" t="n">
        <v>43817</v>
      </c>
      <c r="C159" s="1" t="n">
        <v>45811</v>
      </c>
      <c r="D159" t="inlineStr">
        <is>
          <t>UPPSALA LÄN</t>
        </is>
      </c>
      <c r="E159" t="inlineStr">
        <is>
          <t>ENKÖPING</t>
        </is>
      </c>
      <c r="G159" t="n">
        <v>1.2</v>
      </c>
      <c r="H159" t="n">
        <v>0</v>
      </c>
      <c r="I159" t="n">
        <v>0</v>
      </c>
      <c r="J159" t="n">
        <v>0</v>
      </c>
      <c r="K159" t="n">
        <v>0</v>
      </c>
      <c r="L159" t="n">
        <v>0</v>
      </c>
      <c r="M159" t="n">
        <v>0</v>
      </c>
      <c r="N159" t="n">
        <v>0</v>
      </c>
      <c r="O159" t="n">
        <v>0</v>
      </c>
      <c r="P159" t="n">
        <v>0</v>
      </c>
      <c r="Q159" t="n">
        <v>0</v>
      </c>
      <c r="R159" s="2" t="inlineStr"/>
    </row>
    <row r="160" ht="15" customHeight="1">
      <c r="A160" t="inlineStr">
        <is>
          <t>A 69015-2019</t>
        </is>
      </c>
      <c r="B160" s="1" t="n">
        <v>43826</v>
      </c>
      <c r="C160" s="1" t="n">
        <v>45811</v>
      </c>
      <c r="D160" t="inlineStr">
        <is>
          <t>UPPSALA LÄN</t>
        </is>
      </c>
      <c r="E160" t="inlineStr">
        <is>
          <t>ENKÖPING</t>
        </is>
      </c>
      <c r="G160" t="n">
        <v>15.7</v>
      </c>
      <c r="H160" t="n">
        <v>0</v>
      </c>
      <c r="I160" t="n">
        <v>0</v>
      </c>
      <c r="J160" t="n">
        <v>0</v>
      </c>
      <c r="K160" t="n">
        <v>0</v>
      </c>
      <c r="L160" t="n">
        <v>0</v>
      </c>
      <c r="M160" t="n">
        <v>0</v>
      </c>
      <c r="N160" t="n">
        <v>0</v>
      </c>
      <c r="O160" t="n">
        <v>0</v>
      </c>
      <c r="P160" t="n">
        <v>0</v>
      </c>
      <c r="Q160" t="n">
        <v>0</v>
      </c>
      <c r="R160" s="2" t="inlineStr"/>
    </row>
    <row r="161" ht="15" customHeight="1">
      <c r="A161" t="inlineStr">
        <is>
          <t>A 69029-2019</t>
        </is>
      </c>
      <c r="B161" s="1" t="n">
        <v>43826</v>
      </c>
      <c r="C161" s="1" t="n">
        <v>45811</v>
      </c>
      <c r="D161" t="inlineStr">
        <is>
          <t>UPPSALA LÄN</t>
        </is>
      </c>
      <c r="E161" t="inlineStr">
        <is>
          <t>ENKÖPING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69016-2019</t>
        </is>
      </c>
      <c r="B162" s="1" t="n">
        <v>43826</v>
      </c>
      <c r="C162" s="1" t="n">
        <v>45811</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69020-2019</t>
        </is>
      </c>
      <c r="B163" s="1" t="n">
        <v>43826</v>
      </c>
      <c r="C163" s="1" t="n">
        <v>45811</v>
      </c>
      <c r="D163" t="inlineStr">
        <is>
          <t>UPPSALA LÄN</t>
        </is>
      </c>
      <c r="E163" t="inlineStr">
        <is>
          <t>ENKÖPING</t>
        </is>
      </c>
      <c r="G163" t="n">
        <v>1.4</v>
      </c>
      <c r="H163" t="n">
        <v>0</v>
      </c>
      <c r="I163" t="n">
        <v>0</v>
      </c>
      <c r="J163" t="n">
        <v>0</v>
      </c>
      <c r="K163" t="n">
        <v>0</v>
      </c>
      <c r="L163" t="n">
        <v>0</v>
      </c>
      <c r="M163" t="n">
        <v>0</v>
      </c>
      <c r="N163" t="n">
        <v>0</v>
      </c>
      <c r="O163" t="n">
        <v>0</v>
      </c>
      <c r="P163" t="n">
        <v>0</v>
      </c>
      <c r="Q163" t="n">
        <v>0</v>
      </c>
      <c r="R163" s="2" t="inlineStr"/>
    </row>
    <row r="164" ht="15" customHeight="1">
      <c r="A164" t="inlineStr">
        <is>
          <t>A 38-2020</t>
        </is>
      </c>
      <c r="B164" s="1" t="n">
        <v>43832</v>
      </c>
      <c r="C164" s="1" t="n">
        <v>45811</v>
      </c>
      <c r="D164" t="inlineStr">
        <is>
          <t>UPPSALA LÄN</t>
        </is>
      </c>
      <c r="E164" t="inlineStr">
        <is>
          <t>ENKÖPING</t>
        </is>
      </c>
      <c r="G164" t="n">
        <v>1.7</v>
      </c>
      <c r="H164" t="n">
        <v>0</v>
      </c>
      <c r="I164" t="n">
        <v>0</v>
      </c>
      <c r="J164" t="n">
        <v>0</v>
      </c>
      <c r="K164" t="n">
        <v>0</v>
      </c>
      <c r="L164" t="n">
        <v>0</v>
      </c>
      <c r="M164" t="n">
        <v>0</v>
      </c>
      <c r="N164" t="n">
        <v>0</v>
      </c>
      <c r="O164" t="n">
        <v>0</v>
      </c>
      <c r="P164" t="n">
        <v>0</v>
      </c>
      <c r="Q164" t="n">
        <v>0</v>
      </c>
      <c r="R164" s="2" t="inlineStr"/>
    </row>
    <row r="165" ht="15" customHeight="1">
      <c r="A165" t="inlineStr">
        <is>
          <t>A 499-2020</t>
        </is>
      </c>
      <c r="B165" s="1" t="n">
        <v>43837</v>
      </c>
      <c r="C165" s="1" t="n">
        <v>45811</v>
      </c>
      <c r="D165" t="inlineStr">
        <is>
          <t>UPPSALA LÄN</t>
        </is>
      </c>
      <c r="E165" t="inlineStr">
        <is>
          <t>ENKÖPING</t>
        </is>
      </c>
      <c r="G165" t="n">
        <v>4.9</v>
      </c>
      <c r="H165" t="n">
        <v>0</v>
      </c>
      <c r="I165" t="n">
        <v>0</v>
      </c>
      <c r="J165" t="n">
        <v>0</v>
      </c>
      <c r="K165" t="n">
        <v>0</v>
      </c>
      <c r="L165" t="n">
        <v>0</v>
      </c>
      <c r="M165" t="n">
        <v>0</v>
      </c>
      <c r="N165" t="n">
        <v>0</v>
      </c>
      <c r="O165" t="n">
        <v>0</v>
      </c>
      <c r="P165" t="n">
        <v>0</v>
      </c>
      <c r="Q165" t="n">
        <v>0</v>
      </c>
      <c r="R165" s="2" t="inlineStr"/>
    </row>
    <row r="166" ht="15" customHeight="1">
      <c r="A166" t="inlineStr">
        <is>
          <t>A 724-2020</t>
        </is>
      </c>
      <c r="B166" s="1" t="n">
        <v>43838</v>
      </c>
      <c r="C166" s="1" t="n">
        <v>45811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892-2020</t>
        </is>
      </c>
      <c r="B167" s="1" t="n">
        <v>43839</v>
      </c>
      <c r="C167" s="1" t="n">
        <v>45811</v>
      </c>
      <c r="D167" t="inlineStr">
        <is>
          <t>UPPSALA LÄN</t>
        </is>
      </c>
      <c r="E167" t="inlineStr">
        <is>
          <t>ENKÖPING</t>
        </is>
      </c>
      <c r="G167" t="n">
        <v>2.1</v>
      </c>
      <c r="H167" t="n">
        <v>0</v>
      </c>
      <c r="I167" t="n">
        <v>0</v>
      </c>
      <c r="J167" t="n">
        <v>0</v>
      </c>
      <c r="K167" t="n">
        <v>0</v>
      </c>
      <c r="L167" t="n">
        <v>0</v>
      </c>
      <c r="M167" t="n">
        <v>0</v>
      </c>
      <c r="N167" t="n">
        <v>0</v>
      </c>
      <c r="O167" t="n">
        <v>0</v>
      </c>
      <c r="P167" t="n">
        <v>0</v>
      </c>
      <c r="Q167" t="n">
        <v>0</v>
      </c>
      <c r="R167" s="2" t="inlineStr"/>
    </row>
    <row r="168" ht="15" customHeight="1">
      <c r="A168" t="inlineStr">
        <is>
          <t>A 1348-2020</t>
        </is>
      </c>
      <c r="B168" s="1" t="n">
        <v>43843</v>
      </c>
      <c r="C168" s="1" t="n">
        <v>45811</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2182-2020</t>
        </is>
      </c>
      <c r="B169" s="1" t="n">
        <v>43846</v>
      </c>
      <c r="C169" s="1" t="n">
        <v>45811</v>
      </c>
      <c r="D169" t="inlineStr">
        <is>
          <t>UPPSALA LÄN</t>
        </is>
      </c>
      <c r="E169" t="inlineStr">
        <is>
          <t>ENKÖPING</t>
        </is>
      </c>
      <c r="F169" t="inlineStr">
        <is>
          <t>Övriga statliga verk och myndigheter</t>
        </is>
      </c>
      <c r="G169" t="n">
        <v>7.7</v>
      </c>
      <c r="H169" t="n">
        <v>0</v>
      </c>
      <c r="I169" t="n">
        <v>0</v>
      </c>
      <c r="J169" t="n">
        <v>0</v>
      </c>
      <c r="K169" t="n">
        <v>0</v>
      </c>
      <c r="L169" t="n">
        <v>0</v>
      </c>
      <c r="M169" t="n">
        <v>0</v>
      </c>
      <c r="N169" t="n">
        <v>0</v>
      </c>
      <c r="O169" t="n">
        <v>0</v>
      </c>
      <c r="P169" t="n">
        <v>0</v>
      </c>
      <c r="Q169" t="n">
        <v>0</v>
      </c>
      <c r="R169" s="2" t="inlineStr"/>
    </row>
    <row r="170" ht="15" customHeight="1">
      <c r="A170" t="inlineStr">
        <is>
          <t>A 2205-2020</t>
        </is>
      </c>
      <c r="B170" s="1" t="n">
        <v>43846</v>
      </c>
      <c r="C170" s="1" t="n">
        <v>45811</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2177-2020</t>
        </is>
      </c>
      <c r="B171" s="1" t="n">
        <v>43846</v>
      </c>
      <c r="C171" s="1" t="n">
        <v>45811</v>
      </c>
      <c r="D171" t="inlineStr">
        <is>
          <t>UPPSALA LÄN</t>
        </is>
      </c>
      <c r="E171" t="inlineStr">
        <is>
          <t>ENKÖPING</t>
        </is>
      </c>
      <c r="F171" t="inlineStr">
        <is>
          <t>Övriga statliga verk och myndigheter</t>
        </is>
      </c>
      <c r="G171" t="n">
        <v>10.2</v>
      </c>
      <c r="H171" t="n">
        <v>0</v>
      </c>
      <c r="I171" t="n">
        <v>0</v>
      </c>
      <c r="J171" t="n">
        <v>0</v>
      </c>
      <c r="K171" t="n">
        <v>0</v>
      </c>
      <c r="L171" t="n">
        <v>0</v>
      </c>
      <c r="M171" t="n">
        <v>0</v>
      </c>
      <c r="N171" t="n">
        <v>0</v>
      </c>
      <c r="O171" t="n">
        <v>0</v>
      </c>
      <c r="P171" t="n">
        <v>0</v>
      </c>
      <c r="Q171" t="n">
        <v>0</v>
      </c>
      <c r="R171" s="2" t="inlineStr"/>
    </row>
    <row r="172" ht="15" customHeight="1">
      <c r="A172" t="inlineStr">
        <is>
          <t>A 2220-2020</t>
        </is>
      </c>
      <c r="B172" s="1" t="n">
        <v>43846</v>
      </c>
      <c r="C172" s="1" t="n">
        <v>45811</v>
      </c>
      <c r="D172" t="inlineStr">
        <is>
          <t>UPPSALA LÄN</t>
        </is>
      </c>
      <c r="E172" t="inlineStr">
        <is>
          <t>ENKÖPING</t>
        </is>
      </c>
      <c r="F172" t="inlineStr">
        <is>
          <t>Övriga statliga verk och myndigheter</t>
        </is>
      </c>
      <c r="G172" t="n">
        <v>11.8</v>
      </c>
      <c r="H172" t="n">
        <v>0</v>
      </c>
      <c r="I172" t="n">
        <v>0</v>
      </c>
      <c r="J172" t="n">
        <v>0</v>
      </c>
      <c r="K172" t="n">
        <v>0</v>
      </c>
      <c r="L172" t="n">
        <v>0</v>
      </c>
      <c r="M172" t="n">
        <v>0</v>
      </c>
      <c r="N172" t="n">
        <v>0</v>
      </c>
      <c r="O172" t="n">
        <v>0</v>
      </c>
      <c r="P172" t="n">
        <v>0</v>
      </c>
      <c r="Q172" t="n">
        <v>0</v>
      </c>
      <c r="R172" s="2" t="inlineStr"/>
    </row>
    <row r="173" ht="15" customHeight="1">
      <c r="A173" t="inlineStr">
        <is>
          <t>A 2186-2020</t>
        </is>
      </c>
      <c r="B173" s="1" t="n">
        <v>43846</v>
      </c>
      <c r="C173" s="1" t="n">
        <v>45811</v>
      </c>
      <c r="D173" t="inlineStr">
        <is>
          <t>UPPSALA LÄN</t>
        </is>
      </c>
      <c r="E173" t="inlineStr">
        <is>
          <t>ENKÖPING</t>
        </is>
      </c>
      <c r="F173" t="inlineStr">
        <is>
          <t>Övriga statliga verk och myndigheter</t>
        </is>
      </c>
      <c r="G173" t="n">
        <v>12.3</v>
      </c>
      <c r="H173" t="n">
        <v>0</v>
      </c>
      <c r="I173" t="n">
        <v>0</v>
      </c>
      <c r="J173" t="n">
        <v>0</v>
      </c>
      <c r="K173" t="n">
        <v>0</v>
      </c>
      <c r="L173" t="n">
        <v>0</v>
      </c>
      <c r="M173" t="n">
        <v>0</v>
      </c>
      <c r="N173" t="n">
        <v>0</v>
      </c>
      <c r="O173" t="n">
        <v>0</v>
      </c>
      <c r="P173" t="n">
        <v>0</v>
      </c>
      <c r="Q173" t="n">
        <v>0</v>
      </c>
      <c r="R173" s="2" t="inlineStr"/>
    </row>
    <row r="174" ht="15" customHeight="1">
      <c r="A174" t="inlineStr">
        <is>
          <t>A 2225-2020</t>
        </is>
      </c>
      <c r="B174" s="1" t="n">
        <v>43846</v>
      </c>
      <c r="C174" s="1" t="n">
        <v>45811</v>
      </c>
      <c r="D174" t="inlineStr">
        <is>
          <t>UPPSALA LÄN</t>
        </is>
      </c>
      <c r="E174" t="inlineStr">
        <is>
          <t>ENKÖPING</t>
        </is>
      </c>
      <c r="F174" t="inlineStr">
        <is>
          <t>Övriga statliga verk och myndigheter</t>
        </is>
      </c>
      <c r="G174" t="n">
        <v>5.2</v>
      </c>
      <c r="H174" t="n">
        <v>0</v>
      </c>
      <c r="I174" t="n">
        <v>0</v>
      </c>
      <c r="J174" t="n">
        <v>0</v>
      </c>
      <c r="K174" t="n">
        <v>0</v>
      </c>
      <c r="L174" t="n">
        <v>0</v>
      </c>
      <c r="M174" t="n">
        <v>0</v>
      </c>
      <c r="N174" t="n">
        <v>0</v>
      </c>
      <c r="O174" t="n">
        <v>0</v>
      </c>
      <c r="P174" t="n">
        <v>0</v>
      </c>
      <c r="Q174" t="n">
        <v>0</v>
      </c>
      <c r="R174" s="2" t="inlineStr"/>
    </row>
    <row r="175" ht="15" customHeight="1">
      <c r="A175" t="inlineStr">
        <is>
          <t>A 2217-2020</t>
        </is>
      </c>
      <c r="B175" s="1" t="n">
        <v>43846</v>
      </c>
      <c r="C175" s="1" t="n">
        <v>45811</v>
      </c>
      <c r="D175" t="inlineStr">
        <is>
          <t>UPPSALA LÄN</t>
        </is>
      </c>
      <c r="E175" t="inlineStr">
        <is>
          <t>ENKÖPING</t>
        </is>
      </c>
      <c r="F175" t="inlineStr">
        <is>
          <t>Övriga statliga verk och myndigheter</t>
        </is>
      </c>
      <c r="G175" t="n">
        <v>7.7</v>
      </c>
      <c r="H175" t="n">
        <v>0</v>
      </c>
      <c r="I175" t="n">
        <v>0</v>
      </c>
      <c r="J175" t="n">
        <v>0</v>
      </c>
      <c r="K175" t="n">
        <v>0</v>
      </c>
      <c r="L175" t="n">
        <v>0</v>
      </c>
      <c r="M175" t="n">
        <v>0</v>
      </c>
      <c r="N175" t="n">
        <v>0</v>
      </c>
      <c r="O175" t="n">
        <v>0</v>
      </c>
      <c r="P175" t="n">
        <v>0</v>
      </c>
      <c r="Q175" t="n">
        <v>0</v>
      </c>
      <c r="R175" s="2" t="inlineStr"/>
    </row>
    <row r="176" ht="15" customHeight="1">
      <c r="A176" t="inlineStr">
        <is>
          <t>A 2222-2020</t>
        </is>
      </c>
      <c r="B176" s="1" t="n">
        <v>43846</v>
      </c>
      <c r="C176" s="1" t="n">
        <v>45811</v>
      </c>
      <c r="D176" t="inlineStr">
        <is>
          <t>UPPSALA LÄN</t>
        </is>
      </c>
      <c r="E176" t="inlineStr">
        <is>
          <t>ENKÖPING</t>
        </is>
      </c>
      <c r="F176" t="inlineStr">
        <is>
          <t>Övriga statliga verk och myndigheter</t>
        </is>
      </c>
      <c r="G176" t="n">
        <v>3.3</v>
      </c>
      <c r="H176" t="n">
        <v>0</v>
      </c>
      <c r="I176" t="n">
        <v>0</v>
      </c>
      <c r="J176" t="n">
        <v>0</v>
      </c>
      <c r="K176" t="n">
        <v>0</v>
      </c>
      <c r="L176" t="n">
        <v>0</v>
      </c>
      <c r="M176" t="n">
        <v>0</v>
      </c>
      <c r="N176" t="n">
        <v>0</v>
      </c>
      <c r="O176" t="n">
        <v>0</v>
      </c>
      <c r="P176" t="n">
        <v>0</v>
      </c>
      <c r="Q176" t="n">
        <v>0</v>
      </c>
      <c r="R176" s="2" t="inlineStr"/>
    </row>
    <row r="177" ht="15" customHeight="1">
      <c r="A177" t="inlineStr">
        <is>
          <t>A 4073-2020</t>
        </is>
      </c>
      <c r="B177" s="1" t="n">
        <v>43857</v>
      </c>
      <c r="C177" s="1" t="n">
        <v>45811</v>
      </c>
      <c r="D177" t="inlineStr">
        <is>
          <t>UPPSALA LÄN</t>
        </is>
      </c>
      <c r="E177" t="inlineStr">
        <is>
          <t>ENKÖPING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5032-2020</t>
        </is>
      </c>
      <c r="B178" s="1" t="n">
        <v>43859</v>
      </c>
      <c r="C178" s="1" t="n">
        <v>45811</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5345-2020</t>
        </is>
      </c>
      <c r="B179" s="1" t="n">
        <v>43860</v>
      </c>
      <c r="C179" s="1" t="n">
        <v>45811</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5178-2020</t>
        </is>
      </c>
      <c r="B180" s="1" t="n">
        <v>43860</v>
      </c>
      <c r="C180" s="1" t="n">
        <v>45811</v>
      </c>
      <c r="D180" t="inlineStr">
        <is>
          <t>UPPSALA LÄN</t>
        </is>
      </c>
      <c r="E180" t="inlineStr">
        <is>
          <t>ENKÖPING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6045-2020</t>
        </is>
      </c>
      <c r="B181" s="1" t="n">
        <v>43865</v>
      </c>
      <c r="C181" s="1" t="n">
        <v>45811</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6320-2020</t>
        </is>
      </c>
      <c r="B182" s="1" t="n">
        <v>43866</v>
      </c>
      <c r="C182" s="1" t="n">
        <v>45811</v>
      </c>
      <c r="D182" t="inlineStr">
        <is>
          <t>UPPSALA LÄN</t>
        </is>
      </c>
      <c r="E182" t="inlineStr">
        <is>
          <t>ENKÖPING</t>
        </is>
      </c>
      <c r="F182" t="inlineStr">
        <is>
          <t>Övriga statliga verk och myndigheter</t>
        </is>
      </c>
      <c r="G182" t="n">
        <v>1.6</v>
      </c>
      <c r="H182" t="n">
        <v>0</v>
      </c>
      <c r="I182" t="n">
        <v>0</v>
      </c>
      <c r="J182" t="n">
        <v>0</v>
      </c>
      <c r="K182" t="n">
        <v>0</v>
      </c>
      <c r="L182" t="n">
        <v>0</v>
      </c>
      <c r="M182" t="n">
        <v>0</v>
      </c>
      <c r="N182" t="n">
        <v>0</v>
      </c>
      <c r="O182" t="n">
        <v>0</v>
      </c>
      <c r="P182" t="n">
        <v>0</v>
      </c>
      <c r="Q182" t="n">
        <v>0</v>
      </c>
      <c r="R182" s="2" t="inlineStr"/>
    </row>
    <row r="183" ht="15" customHeight="1">
      <c r="A183" t="inlineStr">
        <is>
          <t>A 6345-2020</t>
        </is>
      </c>
      <c r="B183" s="1" t="n">
        <v>43866</v>
      </c>
      <c r="C183" s="1" t="n">
        <v>45811</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6700-2020</t>
        </is>
      </c>
      <c r="B184" s="1" t="n">
        <v>43866</v>
      </c>
      <c r="C184" s="1" t="n">
        <v>45811</v>
      </c>
      <c r="D184" t="inlineStr">
        <is>
          <t>UPPSALA LÄN</t>
        </is>
      </c>
      <c r="E184" t="inlineStr">
        <is>
          <t>ENKÖPING</t>
        </is>
      </c>
      <c r="G184" t="n">
        <v>2.6</v>
      </c>
      <c r="H184" t="n">
        <v>0</v>
      </c>
      <c r="I184" t="n">
        <v>0</v>
      </c>
      <c r="J184" t="n">
        <v>0</v>
      </c>
      <c r="K184" t="n">
        <v>0</v>
      </c>
      <c r="L184" t="n">
        <v>0</v>
      </c>
      <c r="M184" t="n">
        <v>0</v>
      </c>
      <c r="N184" t="n">
        <v>0</v>
      </c>
      <c r="O184" t="n">
        <v>0</v>
      </c>
      <c r="P184" t="n">
        <v>0</v>
      </c>
      <c r="Q184" t="n">
        <v>0</v>
      </c>
      <c r="R184" s="2" t="inlineStr"/>
    </row>
    <row r="185" ht="15" customHeight="1">
      <c r="A185" t="inlineStr">
        <is>
          <t>A 6434-2020</t>
        </is>
      </c>
      <c r="B185" s="1" t="n">
        <v>43866</v>
      </c>
      <c r="C185" s="1" t="n">
        <v>45811</v>
      </c>
      <c r="D185" t="inlineStr">
        <is>
          <t>UPPSALA LÄN</t>
        </is>
      </c>
      <c r="E185" t="inlineStr">
        <is>
          <t>ENKÖPING</t>
        </is>
      </c>
      <c r="G185" t="n">
        <v>8.4</v>
      </c>
      <c r="H185" t="n">
        <v>0</v>
      </c>
      <c r="I185" t="n">
        <v>0</v>
      </c>
      <c r="J185" t="n">
        <v>0</v>
      </c>
      <c r="K185" t="n">
        <v>0</v>
      </c>
      <c r="L185" t="n">
        <v>0</v>
      </c>
      <c r="M185" t="n">
        <v>0</v>
      </c>
      <c r="N185" t="n">
        <v>0</v>
      </c>
      <c r="O185" t="n">
        <v>0</v>
      </c>
      <c r="P185" t="n">
        <v>0</v>
      </c>
      <c r="Q185" t="n">
        <v>0</v>
      </c>
      <c r="R185" s="2" t="inlineStr"/>
    </row>
    <row r="186" ht="15" customHeight="1">
      <c r="A186" t="inlineStr">
        <is>
          <t>A 6990-2020</t>
        </is>
      </c>
      <c r="B186" s="1" t="n">
        <v>43868</v>
      </c>
      <c r="C186" s="1" t="n">
        <v>45811</v>
      </c>
      <c r="D186" t="inlineStr">
        <is>
          <t>UPPSALA LÄN</t>
        </is>
      </c>
      <c r="E186" t="inlineStr">
        <is>
          <t>ENKÖPING</t>
        </is>
      </c>
      <c r="G186" t="n">
        <v>2.9</v>
      </c>
      <c r="H186" t="n">
        <v>0</v>
      </c>
      <c r="I186" t="n">
        <v>0</v>
      </c>
      <c r="J186" t="n">
        <v>0</v>
      </c>
      <c r="K186" t="n">
        <v>0</v>
      </c>
      <c r="L186" t="n">
        <v>0</v>
      </c>
      <c r="M186" t="n">
        <v>0</v>
      </c>
      <c r="N186" t="n">
        <v>0</v>
      </c>
      <c r="O186" t="n">
        <v>0</v>
      </c>
      <c r="P186" t="n">
        <v>0</v>
      </c>
      <c r="Q186" t="n">
        <v>0</v>
      </c>
      <c r="R186" s="2" t="inlineStr"/>
    </row>
    <row r="187" ht="15" customHeight="1">
      <c r="A187" t="inlineStr">
        <is>
          <t>A 8185-2020</t>
        </is>
      </c>
      <c r="B187" s="1" t="n">
        <v>43874</v>
      </c>
      <c r="C187" s="1" t="n">
        <v>45811</v>
      </c>
      <c r="D187" t="inlineStr">
        <is>
          <t>UPPSALA LÄN</t>
        </is>
      </c>
      <c r="E187" t="inlineStr">
        <is>
          <t>ENKÖPING</t>
        </is>
      </c>
      <c r="G187" t="n">
        <v>4.7</v>
      </c>
      <c r="H187" t="n">
        <v>0</v>
      </c>
      <c r="I187" t="n">
        <v>0</v>
      </c>
      <c r="J187" t="n">
        <v>0</v>
      </c>
      <c r="K187" t="n">
        <v>0</v>
      </c>
      <c r="L187" t="n">
        <v>0</v>
      </c>
      <c r="M187" t="n">
        <v>0</v>
      </c>
      <c r="N187" t="n">
        <v>0</v>
      </c>
      <c r="O187" t="n">
        <v>0</v>
      </c>
      <c r="P187" t="n">
        <v>0</v>
      </c>
      <c r="Q187" t="n">
        <v>0</v>
      </c>
      <c r="R187" s="2" t="inlineStr"/>
    </row>
    <row r="188" ht="15" customHeight="1">
      <c r="A188" t="inlineStr">
        <is>
          <t>A 8320-2020</t>
        </is>
      </c>
      <c r="B188" s="1" t="n">
        <v>43875</v>
      </c>
      <c r="C188" s="1" t="n">
        <v>45811</v>
      </c>
      <c r="D188" t="inlineStr">
        <is>
          <t>UPPSALA LÄN</t>
        </is>
      </c>
      <c r="E188" t="inlineStr">
        <is>
          <t>ENKÖPING</t>
        </is>
      </c>
      <c r="G188" t="n">
        <v>6.1</v>
      </c>
      <c r="H188" t="n">
        <v>0</v>
      </c>
      <c r="I188" t="n">
        <v>0</v>
      </c>
      <c r="J188" t="n">
        <v>0</v>
      </c>
      <c r="K188" t="n">
        <v>0</v>
      </c>
      <c r="L188" t="n">
        <v>0</v>
      </c>
      <c r="M188" t="n">
        <v>0</v>
      </c>
      <c r="N188" t="n">
        <v>0</v>
      </c>
      <c r="O188" t="n">
        <v>0</v>
      </c>
      <c r="P188" t="n">
        <v>0</v>
      </c>
      <c r="Q188" t="n">
        <v>0</v>
      </c>
      <c r="R188" s="2" t="inlineStr"/>
    </row>
    <row r="189" ht="15" customHeight="1">
      <c r="A189" t="inlineStr">
        <is>
          <t>A 8344-2020</t>
        </is>
      </c>
      <c r="B189" s="1" t="n">
        <v>43875</v>
      </c>
      <c r="C189" s="1" t="n">
        <v>45811</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8692-2020</t>
        </is>
      </c>
      <c r="B190" s="1" t="n">
        <v>43878</v>
      </c>
      <c r="C190" s="1" t="n">
        <v>45811</v>
      </c>
      <c r="D190" t="inlineStr">
        <is>
          <t>UPPSALA LÄN</t>
        </is>
      </c>
      <c r="E190" t="inlineStr">
        <is>
          <t>ENKÖPING</t>
        </is>
      </c>
      <c r="G190" t="n">
        <v>1.8</v>
      </c>
      <c r="H190" t="n">
        <v>0</v>
      </c>
      <c r="I190" t="n">
        <v>0</v>
      </c>
      <c r="J190" t="n">
        <v>0</v>
      </c>
      <c r="K190" t="n">
        <v>0</v>
      </c>
      <c r="L190" t="n">
        <v>0</v>
      </c>
      <c r="M190" t="n">
        <v>0</v>
      </c>
      <c r="N190" t="n">
        <v>0</v>
      </c>
      <c r="O190" t="n">
        <v>0</v>
      </c>
      <c r="P190" t="n">
        <v>0</v>
      </c>
      <c r="Q190" t="n">
        <v>0</v>
      </c>
      <c r="R190" s="2" t="inlineStr"/>
    </row>
    <row r="191" ht="15" customHeight="1">
      <c r="A191" t="inlineStr">
        <is>
          <t>A 8700-2020</t>
        </is>
      </c>
      <c r="B191" s="1" t="n">
        <v>43878</v>
      </c>
      <c r="C191" s="1" t="n">
        <v>45811</v>
      </c>
      <c r="D191" t="inlineStr">
        <is>
          <t>UPPSALA LÄN</t>
        </is>
      </c>
      <c r="E191" t="inlineStr">
        <is>
          <t>ENKÖPING</t>
        </is>
      </c>
      <c r="F191" t="inlineStr">
        <is>
          <t>Kyrkan</t>
        </is>
      </c>
      <c r="G191" t="n">
        <v>1.5</v>
      </c>
      <c r="H191" t="n">
        <v>0</v>
      </c>
      <c r="I191" t="n">
        <v>0</v>
      </c>
      <c r="J191" t="n">
        <v>0</v>
      </c>
      <c r="K191" t="n">
        <v>0</v>
      </c>
      <c r="L191" t="n">
        <v>0</v>
      </c>
      <c r="M191" t="n">
        <v>0</v>
      </c>
      <c r="N191" t="n">
        <v>0</v>
      </c>
      <c r="O191" t="n">
        <v>0</v>
      </c>
      <c r="P191" t="n">
        <v>0</v>
      </c>
      <c r="Q191" t="n">
        <v>0</v>
      </c>
      <c r="R191" s="2" t="inlineStr"/>
    </row>
    <row r="192" ht="15" customHeight="1">
      <c r="A192" t="inlineStr">
        <is>
          <t>A 9122-2020</t>
        </is>
      </c>
      <c r="B192" s="1" t="n">
        <v>43879</v>
      </c>
      <c r="C192" s="1" t="n">
        <v>45811</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9351-2020</t>
        </is>
      </c>
      <c r="B193" s="1" t="n">
        <v>43880</v>
      </c>
      <c r="C193" s="1" t="n">
        <v>45811</v>
      </c>
      <c r="D193" t="inlineStr">
        <is>
          <t>UPPSALA LÄN</t>
        </is>
      </c>
      <c r="E193" t="inlineStr">
        <is>
          <t>ENKÖPING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9380-2020</t>
        </is>
      </c>
      <c r="B194" s="1" t="n">
        <v>43880</v>
      </c>
      <c r="C194" s="1" t="n">
        <v>45811</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10795-2020</t>
        </is>
      </c>
      <c r="B195" s="1" t="n">
        <v>43888</v>
      </c>
      <c r="C195" s="1" t="n">
        <v>45811</v>
      </c>
      <c r="D195" t="inlineStr">
        <is>
          <t>UPPSALA LÄN</t>
        </is>
      </c>
      <c r="E195" t="inlineStr">
        <is>
          <t>ENKÖPING</t>
        </is>
      </c>
      <c r="G195" t="n">
        <v>1.9</v>
      </c>
      <c r="H195" t="n">
        <v>0</v>
      </c>
      <c r="I195" t="n">
        <v>0</v>
      </c>
      <c r="J195" t="n">
        <v>0</v>
      </c>
      <c r="K195" t="n">
        <v>0</v>
      </c>
      <c r="L195" t="n">
        <v>0</v>
      </c>
      <c r="M195" t="n">
        <v>0</v>
      </c>
      <c r="N195" t="n">
        <v>0</v>
      </c>
      <c r="O195" t="n">
        <v>0</v>
      </c>
      <c r="P195" t="n">
        <v>0</v>
      </c>
      <c r="Q195" t="n">
        <v>0</v>
      </c>
      <c r="R195" s="2" t="inlineStr"/>
    </row>
    <row r="196" ht="15" customHeight="1">
      <c r="A196" t="inlineStr">
        <is>
          <t>A 11060-2020</t>
        </is>
      </c>
      <c r="B196" s="1" t="n">
        <v>43889</v>
      </c>
      <c r="C196" s="1" t="n">
        <v>45811</v>
      </c>
      <c r="D196" t="inlineStr">
        <is>
          <t>UPPSALA LÄN</t>
        </is>
      </c>
      <c r="E196" t="inlineStr">
        <is>
          <t>ENKÖPING</t>
        </is>
      </c>
      <c r="G196" t="n">
        <v>22.7</v>
      </c>
      <c r="H196" t="n">
        <v>0</v>
      </c>
      <c r="I196" t="n">
        <v>0</v>
      </c>
      <c r="J196" t="n">
        <v>0</v>
      </c>
      <c r="K196" t="n">
        <v>0</v>
      </c>
      <c r="L196" t="n">
        <v>0</v>
      </c>
      <c r="M196" t="n">
        <v>0</v>
      </c>
      <c r="N196" t="n">
        <v>0</v>
      </c>
      <c r="O196" t="n">
        <v>0</v>
      </c>
      <c r="P196" t="n">
        <v>0</v>
      </c>
      <c r="Q196" t="n">
        <v>0</v>
      </c>
      <c r="R196" s="2" t="inlineStr"/>
    </row>
    <row r="197" ht="15" customHeight="1">
      <c r="A197" t="inlineStr">
        <is>
          <t>A 11228-2020</t>
        </is>
      </c>
      <c r="B197" s="1" t="n">
        <v>43892</v>
      </c>
      <c r="C197" s="1" t="n">
        <v>45811</v>
      </c>
      <c r="D197" t="inlineStr">
        <is>
          <t>UPPSALA LÄN</t>
        </is>
      </c>
      <c r="E197" t="inlineStr">
        <is>
          <t>ENKÖPING</t>
        </is>
      </c>
      <c r="G197" t="n">
        <v>3.1</v>
      </c>
      <c r="H197" t="n">
        <v>0</v>
      </c>
      <c r="I197" t="n">
        <v>0</v>
      </c>
      <c r="J197" t="n">
        <v>0</v>
      </c>
      <c r="K197" t="n">
        <v>0</v>
      </c>
      <c r="L197" t="n">
        <v>0</v>
      </c>
      <c r="M197" t="n">
        <v>0</v>
      </c>
      <c r="N197" t="n">
        <v>0</v>
      </c>
      <c r="O197" t="n">
        <v>0</v>
      </c>
      <c r="P197" t="n">
        <v>0</v>
      </c>
      <c r="Q197" t="n">
        <v>0</v>
      </c>
      <c r="R197" s="2" t="inlineStr"/>
    </row>
    <row r="198" ht="15" customHeight="1">
      <c r="A198" t="inlineStr">
        <is>
          <t>A 12272-2020</t>
        </is>
      </c>
      <c r="B198" s="1" t="n">
        <v>43895</v>
      </c>
      <c r="C198" s="1" t="n">
        <v>45811</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16320-2020</t>
        </is>
      </c>
      <c r="B199" s="1" t="n">
        <v>43917</v>
      </c>
      <c r="C199" s="1" t="n">
        <v>45811</v>
      </c>
      <c r="D199" t="inlineStr">
        <is>
          <t>UPPSALA LÄN</t>
        </is>
      </c>
      <c r="E199" t="inlineStr">
        <is>
          <t>ENKÖPING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17888-2020</t>
        </is>
      </c>
      <c r="B200" s="1" t="n">
        <v>43924</v>
      </c>
      <c r="C200" s="1" t="n">
        <v>45811</v>
      </c>
      <c r="D200" t="inlineStr">
        <is>
          <t>UPPSALA LÄN</t>
        </is>
      </c>
      <c r="E200" t="inlineStr">
        <is>
          <t>ENKÖPING</t>
        </is>
      </c>
      <c r="G200" t="n">
        <v>1.4</v>
      </c>
      <c r="H200" t="n">
        <v>0</v>
      </c>
      <c r="I200" t="n">
        <v>0</v>
      </c>
      <c r="J200" t="n">
        <v>0</v>
      </c>
      <c r="K200" t="n">
        <v>0</v>
      </c>
      <c r="L200" t="n">
        <v>0</v>
      </c>
      <c r="M200" t="n">
        <v>0</v>
      </c>
      <c r="N200" t="n">
        <v>0</v>
      </c>
      <c r="O200" t="n">
        <v>0</v>
      </c>
      <c r="P200" t="n">
        <v>0</v>
      </c>
      <c r="Q200" t="n">
        <v>0</v>
      </c>
      <c r="R200" s="2" t="inlineStr"/>
    </row>
    <row r="201" ht="15" customHeight="1">
      <c r="A201" t="inlineStr">
        <is>
          <t>A 18101-2020</t>
        </is>
      </c>
      <c r="B201" s="1" t="n">
        <v>43927</v>
      </c>
      <c r="C201" s="1" t="n">
        <v>45811</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18097-2020</t>
        </is>
      </c>
      <c r="B202" s="1" t="n">
        <v>43927</v>
      </c>
      <c r="C202" s="1" t="n">
        <v>45811</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18489-2020</t>
        </is>
      </c>
      <c r="B203" s="1" t="n">
        <v>43929</v>
      </c>
      <c r="C203" s="1" t="n">
        <v>45811</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18486-2020</t>
        </is>
      </c>
      <c r="B204" s="1" t="n">
        <v>43929</v>
      </c>
      <c r="C204" s="1" t="n">
        <v>45811</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19499-2020</t>
        </is>
      </c>
      <c r="B205" s="1" t="n">
        <v>43938</v>
      </c>
      <c r="C205" s="1" t="n">
        <v>45811</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19463-2020</t>
        </is>
      </c>
      <c r="B206" s="1" t="n">
        <v>43938</v>
      </c>
      <c r="C206" s="1" t="n">
        <v>45811</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20286-2020</t>
        </is>
      </c>
      <c r="B207" s="1" t="n">
        <v>43945</v>
      </c>
      <c r="C207" s="1" t="n">
        <v>45811</v>
      </c>
      <c r="D207" t="inlineStr">
        <is>
          <t>UPPSALA LÄN</t>
        </is>
      </c>
      <c r="E207" t="inlineStr">
        <is>
          <t>ENKÖPING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20552-2020</t>
        </is>
      </c>
      <c r="B208" s="1" t="n">
        <v>43948</v>
      </c>
      <c r="C208" s="1" t="n">
        <v>45811</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21573-2020</t>
        </is>
      </c>
      <c r="B209" s="1" t="n">
        <v>43956</v>
      </c>
      <c r="C209" s="1" t="n">
        <v>45811</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21651-2020</t>
        </is>
      </c>
      <c r="B210" s="1" t="n">
        <v>43957</v>
      </c>
      <c r="C210" s="1" t="n">
        <v>45811</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21666-2020</t>
        </is>
      </c>
      <c r="B211" s="1" t="n">
        <v>43957</v>
      </c>
      <c r="C211" s="1" t="n">
        <v>45811</v>
      </c>
      <c r="D211" t="inlineStr">
        <is>
          <t>UPPSALA LÄN</t>
        </is>
      </c>
      <c r="E211" t="inlineStr">
        <is>
          <t>ENKÖPING</t>
        </is>
      </c>
      <c r="G211" t="n">
        <v>0.4</v>
      </c>
      <c r="H211" t="n">
        <v>0</v>
      </c>
      <c r="I211" t="n">
        <v>0</v>
      </c>
      <c r="J211" t="n">
        <v>0</v>
      </c>
      <c r="K211" t="n">
        <v>0</v>
      </c>
      <c r="L211" t="n">
        <v>0</v>
      </c>
      <c r="M211" t="n">
        <v>0</v>
      </c>
      <c r="N211" t="n">
        <v>0</v>
      </c>
      <c r="O211" t="n">
        <v>0</v>
      </c>
      <c r="P211" t="n">
        <v>0</v>
      </c>
      <c r="Q211" t="n">
        <v>0</v>
      </c>
      <c r="R211" s="2" t="inlineStr"/>
    </row>
    <row r="212" ht="15" customHeight="1">
      <c r="A212" t="inlineStr">
        <is>
          <t>A 21896-2020</t>
        </is>
      </c>
      <c r="B212" s="1" t="n">
        <v>43958</v>
      </c>
      <c r="C212" s="1" t="n">
        <v>45811</v>
      </c>
      <c r="D212" t="inlineStr">
        <is>
          <t>UPPSALA LÄN</t>
        </is>
      </c>
      <c r="E212" t="inlineStr">
        <is>
          <t>ENKÖPING</t>
        </is>
      </c>
      <c r="G212" t="n">
        <v>0.3</v>
      </c>
      <c r="H212" t="n">
        <v>0</v>
      </c>
      <c r="I212" t="n">
        <v>0</v>
      </c>
      <c r="J212" t="n">
        <v>0</v>
      </c>
      <c r="K212" t="n">
        <v>0</v>
      </c>
      <c r="L212" t="n">
        <v>0</v>
      </c>
      <c r="M212" t="n">
        <v>0</v>
      </c>
      <c r="N212" t="n">
        <v>0</v>
      </c>
      <c r="O212" t="n">
        <v>0</v>
      </c>
      <c r="P212" t="n">
        <v>0</v>
      </c>
      <c r="Q212" t="n">
        <v>0</v>
      </c>
      <c r="R212" s="2" t="inlineStr"/>
    </row>
    <row r="213" ht="15" customHeight="1">
      <c r="A213" t="inlineStr">
        <is>
          <t>A 22772-2020</t>
        </is>
      </c>
      <c r="B213" s="1" t="n">
        <v>43964</v>
      </c>
      <c r="C213" s="1" t="n">
        <v>45811</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22816-2020</t>
        </is>
      </c>
      <c r="B214" s="1" t="n">
        <v>43964</v>
      </c>
      <c r="C214" s="1" t="n">
        <v>45811</v>
      </c>
      <c r="D214" t="inlineStr">
        <is>
          <t>UPPSALA LÄN</t>
        </is>
      </c>
      <c r="E214" t="inlineStr">
        <is>
          <t>ENKÖPING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22970-2020</t>
        </is>
      </c>
      <c r="B215" s="1" t="n">
        <v>43965</v>
      </c>
      <c r="C215" s="1" t="n">
        <v>45811</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23782-2020</t>
        </is>
      </c>
      <c r="B216" s="1" t="n">
        <v>43970</v>
      </c>
      <c r="C216" s="1" t="n">
        <v>45811</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23809-2020</t>
        </is>
      </c>
      <c r="B217" s="1" t="n">
        <v>43970</v>
      </c>
      <c r="C217" s="1" t="n">
        <v>45811</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23808-2020</t>
        </is>
      </c>
      <c r="B218" s="1" t="n">
        <v>43970</v>
      </c>
      <c r="C218" s="1" t="n">
        <v>45811</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24476-2020</t>
        </is>
      </c>
      <c r="B219" s="1" t="n">
        <v>43977</v>
      </c>
      <c r="C219" s="1" t="n">
        <v>45811</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24496-2020</t>
        </is>
      </c>
      <c r="B220" s="1" t="n">
        <v>43977</v>
      </c>
      <c r="C220" s="1" t="n">
        <v>45811</v>
      </c>
      <c r="D220" t="inlineStr">
        <is>
          <t>UPPSALA LÄN</t>
        </is>
      </c>
      <c r="E220" t="inlineStr">
        <is>
          <t>ENKÖPING</t>
        </is>
      </c>
      <c r="G220" t="n">
        <v>2.4</v>
      </c>
      <c r="H220" t="n">
        <v>0</v>
      </c>
      <c r="I220" t="n">
        <v>0</v>
      </c>
      <c r="J220" t="n">
        <v>0</v>
      </c>
      <c r="K220" t="n">
        <v>0</v>
      </c>
      <c r="L220" t="n">
        <v>0</v>
      </c>
      <c r="M220" t="n">
        <v>0</v>
      </c>
      <c r="N220" t="n">
        <v>0</v>
      </c>
      <c r="O220" t="n">
        <v>0</v>
      </c>
      <c r="P220" t="n">
        <v>0</v>
      </c>
      <c r="Q220" t="n">
        <v>0</v>
      </c>
      <c r="R220" s="2" t="inlineStr"/>
    </row>
    <row r="221" ht="15" customHeight="1">
      <c r="A221" t="inlineStr">
        <is>
          <t>A 25081-2020</t>
        </is>
      </c>
      <c r="B221" s="1" t="n">
        <v>43979</v>
      </c>
      <c r="C221" s="1" t="n">
        <v>45811</v>
      </c>
      <c r="D221" t="inlineStr">
        <is>
          <t>UPPSALA LÄN</t>
        </is>
      </c>
      <c r="E221" t="inlineStr">
        <is>
          <t>ENKÖPING</t>
        </is>
      </c>
      <c r="G221" t="n">
        <v>5.5</v>
      </c>
      <c r="H221" t="n">
        <v>0</v>
      </c>
      <c r="I221" t="n">
        <v>0</v>
      </c>
      <c r="J221" t="n">
        <v>0</v>
      </c>
      <c r="K221" t="n">
        <v>0</v>
      </c>
      <c r="L221" t="n">
        <v>0</v>
      </c>
      <c r="M221" t="n">
        <v>0</v>
      </c>
      <c r="N221" t="n">
        <v>0</v>
      </c>
      <c r="O221" t="n">
        <v>0</v>
      </c>
      <c r="P221" t="n">
        <v>0</v>
      </c>
      <c r="Q221" t="n">
        <v>0</v>
      </c>
      <c r="R221" s="2" t="inlineStr"/>
    </row>
    <row r="222" ht="15" customHeight="1">
      <c r="A222" t="inlineStr">
        <is>
          <t>A 25895-2020</t>
        </is>
      </c>
      <c r="B222" s="1" t="n">
        <v>43984</v>
      </c>
      <c r="C222" s="1" t="n">
        <v>45811</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26032-2020</t>
        </is>
      </c>
      <c r="B223" s="1" t="n">
        <v>43985</v>
      </c>
      <c r="C223" s="1" t="n">
        <v>45811</v>
      </c>
      <c r="D223" t="inlineStr">
        <is>
          <t>UPPSALA LÄN</t>
        </is>
      </c>
      <c r="E223" t="inlineStr">
        <is>
          <t>ENKÖPING</t>
        </is>
      </c>
      <c r="G223" t="n">
        <v>0.4</v>
      </c>
      <c r="H223" t="n">
        <v>0</v>
      </c>
      <c r="I223" t="n">
        <v>0</v>
      </c>
      <c r="J223" t="n">
        <v>0</v>
      </c>
      <c r="K223" t="n">
        <v>0</v>
      </c>
      <c r="L223" t="n">
        <v>0</v>
      </c>
      <c r="M223" t="n">
        <v>0</v>
      </c>
      <c r="N223" t="n">
        <v>0</v>
      </c>
      <c r="O223" t="n">
        <v>0</v>
      </c>
      <c r="P223" t="n">
        <v>0</v>
      </c>
      <c r="Q223" t="n">
        <v>0</v>
      </c>
      <c r="R223" s="2" t="inlineStr"/>
    </row>
    <row r="224" ht="15" customHeight="1">
      <c r="A224" t="inlineStr">
        <is>
          <t>A 26151-2020</t>
        </is>
      </c>
      <c r="B224" s="1" t="n">
        <v>43985</v>
      </c>
      <c r="C224" s="1" t="n">
        <v>45811</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26860-2020</t>
        </is>
      </c>
      <c r="B225" s="1" t="n">
        <v>43990</v>
      </c>
      <c r="C225" s="1" t="n">
        <v>45811</v>
      </c>
      <c r="D225" t="inlineStr">
        <is>
          <t>UPPSALA LÄN</t>
        </is>
      </c>
      <c r="E225" t="inlineStr">
        <is>
          <t>ENKÖPING</t>
        </is>
      </c>
      <c r="G225" t="n">
        <v>3.7</v>
      </c>
      <c r="H225" t="n">
        <v>0</v>
      </c>
      <c r="I225" t="n">
        <v>0</v>
      </c>
      <c r="J225" t="n">
        <v>0</v>
      </c>
      <c r="K225" t="n">
        <v>0</v>
      </c>
      <c r="L225" t="n">
        <v>0</v>
      </c>
      <c r="M225" t="n">
        <v>0</v>
      </c>
      <c r="N225" t="n">
        <v>0</v>
      </c>
      <c r="O225" t="n">
        <v>0</v>
      </c>
      <c r="P225" t="n">
        <v>0</v>
      </c>
      <c r="Q225" t="n">
        <v>0</v>
      </c>
      <c r="R225" s="2" t="inlineStr"/>
    </row>
    <row r="226" ht="15" customHeight="1">
      <c r="A226" t="inlineStr">
        <is>
          <t>A 28799-2020</t>
        </is>
      </c>
      <c r="B226" s="1" t="n">
        <v>44000</v>
      </c>
      <c r="C226" s="1" t="n">
        <v>45811</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28801-2020</t>
        </is>
      </c>
      <c r="B227" s="1" t="n">
        <v>44000</v>
      </c>
      <c r="C227" s="1" t="n">
        <v>45811</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29934-2020</t>
        </is>
      </c>
      <c r="B228" s="1" t="n">
        <v>44006</v>
      </c>
      <c r="C228" s="1" t="n">
        <v>45811</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29948-2020</t>
        </is>
      </c>
      <c r="B229" s="1" t="n">
        <v>44006</v>
      </c>
      <c r="C229" s="1" t="n">
        <v>45811</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30280-2020</t>
        </is>
      </c>
      <c r="B230" s="1" t="n">
        <v>44007</v>
      </c>
      <c r="C230" s="1" t="n">
        <v>45811</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30571-2020</t>
        </is>
      </c>
      <c r="B231" s="1" t="n">
        <v>44008</v>
      </c>
      <c r="C231" s="1" t="n">
        <v>45811</v>
      </c>
      <c r="D231" t="inlineStr">
        <is>
          <t>UPPSALA LÄN</t>
        </is>
      </c>
      <c r="E231" t="inlineStr">
        <is>
          <t>ENKÖPING</t>
        </is>
      </c>
      <c r="G231" t="n">
        <v>8.9</v>
      </c>
      <c r="H231" t="n">
        <v>0</v>
      </c>
      <c r="I231" t="n">
        <v>0</v>
      </c>
      <c r="J231" t="n">
        <v>0</v>
      </c>
      <c r="K231" t="n">
        <v>0</v>
      </c>
      <c r="L231" t="n">
        <v>0</v>
      </c>
      <c r="M231" t="n">
        <v>0</v>
      </c>
      <c r="N231" t="n">
        <v>0</v>
      </c>
      <c r="O231" t="n">
        <v>0</v>
      </c>
      <c r="P231" t="n">
        <v>0</v>
      </c>
      <c r="Q231" t="n">
        <v>0</v>
      </c>
      <c r="R231" s="2" t="inlineStr"/>
    </row>
    <row r="232" ht="15" customHeight="1">
      <c r="A232" t="inlineStr">
        <is>
          <t>A 31472-2020</t>
        </is>
      </c>
      <c r="B232" s="1" t="n">
        <v>44013</v>
      </c>
      <c r="C232" s="1" t="n">
        <v>45811</v>
      </c>
      <c r="D232" t="inlineStr">
        <is>
          <t>UPPSALA LÄN</t>
        </is>
      </c>
      <c r="E232" t="inlineStr">
        <is>
          <t>ENKÖPING</t>
        </is>
      </c>
      <c r="F232" t="inlineStr">
        <is>
          <t>Kyrkan</t>
        </is>
      </c>
      <c r="G232" t="n">
        <v>0.9</v>
      </c>
      <c r="H232" t="n">
        <v>0</v>
      </c>
      <c r="I232" t="n">
        <v>0</v>
      </c>
      <c r="J232" t="n">
        <v>0</v>
      </c>
      <c r="K232" t="n">
        <v>0</v>
      </c>
      <c r="L232" t="n">
        <v>0</v>
      </c>
      <c r="M232" t="n">
        <v>0</v>
      </c>
      <c r="N232" t="n">
        <v>0</v>
      </c>
      <c r="O232" t="n">
        <v>0</v>
      </c>
      <c r="P232" t="n">
        <v>0</v>
      </c>
      <c r="Q232" t="n">
        <v>0</v>
      </c>
      <c r="R232" s="2" t="inlineStr"/>
    </row>
    <row r="233" ht="15" customHeight="1">
      <c r="A233" t="inlineStr">
        <is>
          <t>A 31473-2020</t>
        </is>
      </c>
      <c r="B233" s="1" t="n">
        <v>44013</v>
      </c>
      <c r="C233" s="1" t="n">
        <v>45811</v>
      </c>
      <c r="D233" t="inlineStr">
        <is>
          <t>UPPSALA LÄN</t>
        </is>
      </c>
      <c r="E233" t="inlineStr">
        <is>
          <t>ENKÖPING</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32209-2020</t>
        </is>
      </c>
      <c r="B234" s="1" t="n">
        <v>44015</v>
      </c>
      <c r="C234" s="1" t="n">
        <v>45811</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32047-2020</t>
        </is>
      </c>
      <c r="B235" s="1" t="n">
        <v>44015</v>
      </c>
      <c r="C235" s="1" t="n">
        <v>45811</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32454-2020</t>
        </is>
      </c>
      <c r="B236" s="1" t="n">
        <v>44018</v>
      </c>
      <c r="C236" s="1" t="n">
        <v>45811</v>
      </c>
      <c r="D236" t="inlineStr">
        <is>
          <t>UPPSALA LÄN</t>
        </is>
      </c>
      <c r="E236" t="inlineStr">
        <is>
          <t>ENKÖPING</t>
        </is>
      </c>
      <c r="G236" t="n">
        <v>2.6</v>
      </c>
      <c r="H236" t="n">
        <v>0</v>
      </c>
      <c r="I236" t="n">
        <v>0</v>
      </c>
      <c r="J236" t="n">
        <v>0</v>
      </c>
      <c r="K236" t="n">
        <v>0</v>
      </c>
      <c r="L236" t="n">
        <v>0</v>
      </c>
      <c r="M236" t="n">
        <v>0</v>
      </c>
      <c r="N236" t="n">
        <v>0</v>
      </c>
      <c r="O236" t="n">
        <v>0</v>
      </c>
      <c r="P236" t="n">
        <v>0</v>
      </c>
      <c r="Q236" t="n">
        <v>0</v>
      </c>
      <c r="R236" s="2" t="inlineStr"/>
    </row>
    <row r="237" ht="15" customHeight="1">
      <c r="A237" t="inlineStr">
        <is>
          <t>A 32497-2020</t>
        </is>
      </c>
      <c r="B237" s="1" t="n">
        <v>44018</v>
      </c>
      <c r="C237" s="1" t="n">
        <v>45811</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33585-2020</t>
        </is>
      </c>
      <c r="B238" s="1" t="n">
        <v>44022</v>
      </c>
      <c r="C238" s="1" t="n">
        <v>45811</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37738-2020</t>
        </is>
      </c>
      <c r="B239" s="1" t="n">
        <v>44056</v>
      </c>
      <c r="C239" s="1" t="n">
        <v>45811</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39935-2020</t>
        </is>
      </c>
      <c r="B240" s="1" t="n">
        <v>44067</v>
      </c>
      <c r="C240" s="1" t="n">
        <v>45811</v>
      </c>
      <c r="D240" t="inlineStr">
        <is>
          <t>UPPSALA LÄN</t>
        </is>
      </c>
      <c r="E240" t="inlineStr">
        <is>
          <t>ENKÖPING</t>
        </is>
      </c>
      <c r="G240" t="n">
        <v>4.2</v>
      </c>
      <c r="H240" t="n">
        <v>0</v>
      </c>
      <c r="I240" t="n">
        <v>0</v>
      </c>
      <c r="J240" t="n">
        <v>0</v>
      </c>
      <c r="K240" t="n">
        <v>0</v>
      </c>
      <c r="L240" t="n">
        <v>0</v>
      </c>
      <c r="M240" t="n">
        <v>0</v>
      </c>
      <c r="N240" t="n">
        <v>0</v>
      </c>
      <c r="O240" t="n">
        <v>0</v>
      </c>
      <c r="P240" t="n">
        <v>0</v>
      </c>
      <c r="Q240" t="n">
        <v>0</v>
      </c>
      <c r="R240" s="2" t="inlineStr"/>
    </row>
    <row r="241" ht="15" customHeight="1">
      <c r="A241" t="inlineStr">
        <is>
          <t>A 45378-2020</t>
        </is>
      </c>
      <c r="B241" s="1" t="n">
        <v>44089</v>
      </c>
      <c r="C241" s="1" t="n">
        <v>45811</v>
      </c>
      <c r="D241" t="inlineStr">
        <is>
          <t>UPPSALA LÄN</t>
        </is>
      </c>
      <c r="E241" t="inlineStr">
        <is>
          <t>ENKÖPING</t>
        </is>
      </c>
      <c r="G241" t="n">
        <v>2.2</v>
      </c>
      <c r="H241" t="n">
        <v>0</v>
      </c>
      <c r="I241" t="n">
        <v>0</v>
      </c>
      <c r="J241" t="n">
        <v>0</v>
      </c>
      <c r="K241" t="n">
        <v>0</v>
      </c>
      <c r="L241" t="n">
        <v>0</v>
      </c>
      <c r="M241" t="n">
        <v>0</v>
      </c>
      <c r="N241" t="n">
        <v>0</v>
      </c>
      <c r="O241" t="n">
        <v>0</v>
      </c>
      <c r="P241" t="n">
        <v>0</v>
      </c>
      <c r="Q241" t="n">
        <v>0</v>
      </c>
      <c r="R241" s="2" t="inlineStr"/>
    </row>
    <row r="242" ht="15" customHeight="1">
      <c r="A242" t="inlineStr">
        <is>
          <t>A 46593-2020</t>
        </is>
      </c>
      <c r="B242" s="1" t="n">
        <v>44095</v>
      </c>
      <c r="C242" s="1" t="n">
        <v>45811</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48362-2020</t>
        </is>
      </c>
      <c r="B243" s="1" t="n">
        <v>44102</v>
      </c>
      <c r="C243" s="1" t="n">
        <v>45811</v>
      </c>
      <c r="D243" t="inlineStr">
        <is>
          <t>UPPSALA LÄN</t>
        </is>
      </c>
      <c r="E243" t="inlineStr">
        <is>
          <t>ENKÖPING</t>
        </is>
      </c>
      <c r="G243" t="n">
        <v>2.4</v>
      </c>
      <c r="H243" t="n">
        <v>0</v>
      </c>
      <c r="I243" t="n">
        <v>0</v>
      </c>
      <c r="J243" t="n">
        <v>0</v>
      </c>
      <c r="K243" t="n">
        <v>0</v>
      </c>
      <c r="L243" t="n">
        <v>0</v>
      </c>
      <c r="M243" t="n">
        <v>0</v>
      </c>
      <c r="N243" t="n">
        <v>0</v>
      </c>
      <c r="O243" t="n">
        <v>0</v>
      </c>
      <c r="P243" t="n">
        <v>0</v>
      </c>
      <c r="Q243" t="n">
        <v>0</v>
      </c>
      <c r="R243" s="2" t="inlineStr"/>
    </row>
    <row r="244" ht="15" customHeight="1">
      <c r="A244" t="inlineStr">
        <is>
          <t>A 48484-2020</t>
        </is>
      </c>
      <c r="B244" s="1" t="n">
        <v>44103</v>
      </c>
      <c r="C244" s="1" t="n">
        <v>45811</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51400-2020</t>
        </is>
      </c>
      <c r="B245" s="1" t="n">
        <v>44106</v>
      </c>
      <c r="C245" s="1" t="n">
        <v>45811</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51092-2020</t>
        </is>
      </c>
      <c r="B246" s="1" t="n">
        <v>44112</v>
      </c>
      <c r="C246" s="1" t="n">
        <v>45811</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51091-2020</t>
        </is>
      </c>
      <c r="B247" s="1" t="n">
        <v>44112</v>
      </c>
      <c r="C247" s="1" t="n">
        <v>45811</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52308-2020</t>
        </is>
      </c>
      <c r="B248" s="1" t="n">
        <v>44117</v>
      </c>
      <c r="C248" s="1" t="n">
        <v>45811</v>
      </c>
      <c r="D248" t="inlineStr">
        <is>
          <t>UPPSALA LÄN</t>
        </is>
      </c>
      <c r="E248" t="inlineStr">
        <is>
          <t>ENKÖPING</t>
        </is>
      </c>
      <c r="G248" t="n">
        <v>0.3</v>
      </c>
      <c r="H248" t="n">
        <v>0</v>
      </c>
      <c r="I248" t="n">
        <v>0</v>
      </c>
      <c r="J248" t="n">
        <v>0</v>
      </c>
      <c r="K248" t="n">
        <v>0</v>
      </c>
      <c r="L248" t="n">
        <v>0</v>
      </c>
      <c r="M248" t="n">
        <v>0</v>
      </c>
      <c r="N248" t="n">
        <v>0</v>
      </c>
      <c r="O248" t="n">
        <v>0</v>
      </c>
      <c r="P248" t="n">
        <v>0</v>
      </c>
      <c r="Q248" t="n">
        <v>0</v>
      </c>
      <c r="R248" s="2" t="inlineStr"/>
    </row>
    <row r="249" ht="15" customHeight="1">
      <c r="A249" t="inlineStr">
        <is>
          <t>A 52102-2020</t>
        </is>
      </c>
      <c r="B249" s="1" t="n">
        <v>44117</v>
      </c>
      <c r="C249" s="1" t="n">
        <v>45811</v>
      </c>
      <c r="D249" t="inlineStr">
        <is>
          <t>UPPSALA LÄN</t>
        </is>
      </c>
      <c r="E249" t="inlineStr">
        <is>
          <t>ENKÖPING</t>
        </is>
      </c>
      <c r="F249" t="inlineStr">
        <is>
          <t>Allmännings- och besparingsskogar</t>
        </is>
      </c>
      <c r="G249" t="n">
        <v>1.1</v>
      </c>
      <c r="H249" t="n">
        <v>0</v>
      </c>
      <c r="I249" t="n">
        <v>0</v>
      </c>
      <c r="J249" t="n">
        <v>0</v>
      </c>
      <c r="K249" t="n">
        <v>0</v>
      </c>
      <c r="L249" t="n">
        <v>0</v>
      </c>
      <c r="M249" t="n">
        <v>0</v>
      </c>
      <c r="N249" t="n">
        <v>0</v>
      </c>
      <c r="O249" t="n">
        <v>0</v>
      </c>
      <c r="P249" t="n">
        <v>0</v>
      </c>
      <c r="Q249" t="n">
        <v>0</v>
      </c>
      <c r="R249" s="2" t="inlineStr"/>
    </row>
    <row r="250" ht="15" customHeight="1">
      <c r="A250" t="inlineStr">
        <is>
          <t>A 52169-2020</t>
        </is>
      </c>
      <c r="B250" s="1" t="n">
        <v>44117</v>
      </c>
      <c r="C250" s="1" t="n">
        <v>45811</v>
      </c>
      <c r="D250" t="inlineStr">
        <is>
          <t>UPPSALA LÄN</t>
        </is>
      </c>
      <c r="E250" t="inlineStr">
        <is>
          <t>ENKÖPING</t>
        </is>
      </c>
      <c r="F250" t="inlineStr">
        <is>
          <t>Allmännings- och besparingsskogar</t>
        </is>
      </c>
      <c r="G250" t="n">
        <v>1.5</v>
      </c>
      <c r="H250" t="n">
        <v>0</v>
      </c>
      <c r="I250" t="n">
        <v>0</v>
      </c>
      <c r="J250" t="n">
        <v>0</v>
      </c>
      <c r="K250" t="n">
        <v>0</v>
      </c>
      <c r="L250" t="n">
        <v>0</v>
      </c>
      <c r="M250" t="n">
        <v>0</v>
      </c>
      <c r="N250" t="n">
        <v>0</v>
      </c>
      <c r="O250" t="n">
        <v>0</v>
      </c>
      <c r="P250" t="n">
        <v>0</v>
      </c>
      <c r="Q250" t="n">
        <v>0</v>
      </c>
      <c r="R250" s="2" t="inlineStr"/>
    </row>
    <row r="251" ht="15" customHeight="1">
      <c r="A251" t="inlineStr">
        <is>
          <t>A 52223-2020</t>
        </is>
      </c>
      <c r="B251" s="1" t="n">
        <v>44117</v>
      </c>
      <c r="C251" s="1" t="n">
        <v>45811</v>
      </c>
      <c r="D251" t="inlineStr">
        <is>
          <t>UPPSALA LÄN</t>
        </is>
      </c>
      <c r="E251" t="inlineStr">
        <is>
          <t>ENKÖPING</t>
        </is>
      </c>
      <c r="G251" t="n">
        <v>5.8</v>
      </c>
      <c r="H251" t="n">
        <v>0</v>
      </c>
      <c r="I251" t="n">
        <v>0</v>
      </c>
      <c r="J251" t="n">
        <v>0</v>
      </c>
      <c r="K251" t="n">
        <v>0</v>
      </c>
      <c r="L251" t="n">
        <v>0</v>
      </c>
      <c r="M251" t="n">
        <v>0</v>
      </c>
      <c r="N251" t="n">
        <v>0</v>
      </c>
      <c r="O251" t="n">
        <v>0</v>
      </c>
      <c r="P251" t="n">
        <v>0</v>
      </c>
      <c r="Q251" t="n">
        <v>0</v>
      </c>
      <c r="R251" s="2" t="inlineStr"/>
    </row>
    <row r="252" ht="15" customHeight="1">
      <c r="A252" t="inlineStr">
        <is>
          <t>A 52464-2020</t>
        </is>
      </c>
      <c r="B252" s="1" t="n">
        <v>44118</v>
      </c>
      <c r="C252" s="1" t="n">
        <v>45811</v>
      </c>
      <c r="D252" t="inlineStr">
        <is>
          <t>UPPSALA LÄN</t>
        </is>
      </c>
      <c r="E252" t="inlineStr">
        <is>
          <t>ENKÖPING</t>
        </is>
      </c>
      <c r="G252" t="n">
        <v>4.6</v>
      </c>
      <c r="H252" t="n">
        <v>0</v>
      </c>
      <c r="I252" t="n">
        <v>0</v>
      </c>
      <c r="J252" t="n">
        <v>0</v>
      </c>
      <c r="K252" t="n">
        <v>0</v>
      </c>
      <c r="L252" t="n">
        <v>0</v>
      </c>
      <c r="M252" t="n">
        <v>0</v>
      </c>
      <c r="N252" t="n">
        <v>0</v>
      </c>
      <c r="O252" t="n">
        <v>0</v>
      </c>
      <c r="P252" t="n">
        <v>0</v>
      </c>
      <c r="Q252" t="n">
        <v>0</v>
      </c>
      <c r="R252" s="2" t="inlineStr"/>
    </row>
    <row r="253" ht="15" customHeight="1">
      <c r="A253" t="inlineStr">
        <is>
          <t>A 53149-2020</t>
        </is>
      </c>
      <c r="B253" s="1" t="n">
        <v>44120</v>
      </c>
      <c r="C253" s="1" t="n">
        <v>45811</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53338-2020</t>
        </is>
      </c>
      <c r="B254" s="1" t="n">
        <v>44123</v>
      </c>
      <c r="C254" s="1" t="n">
        <v>45811</v>
      </c>
      <c r="D254" t="inlineStr">
        <is>
          <t>UPPSALA LÄN</t>
        </is>
      </c>
      <c r="E254" t="inlineStr">
        <is>
          <t>ENKÖPING</t>
        </is>
      </c>
      <c r="G254" t="n">
        <v>12.1</v>
      </c>
      <c r="H254" t="n">
        <v>0</v>
      </c>
      <c r="I254" t="n">
        <v>0</v>
      </c>
      <c r="J254" t="n">
        <v>0</v>
      </c>
      <c r="K254" t="n">
        <v>0</v>
      </c>
      <c r="L254" t="n">
        <v>0</v>
      </c>
      <c r="M254" t="n">
        <v>0</v>
      </c>
      <c r="N254" t="n">
        <v>0</v>
      </c>
      <c r="O254" t="n">
        <v>0</v>
      </c>
      <c r="P254" t="n">
        <v>0</v>
      </c>
      <c r="Q254" t="n">
        <v>0</v>
      </c>
      <c r="R254" s="2" t="inlineStr"/>
    </row>
    <row r="255" ht="15" customHeight="1">
      <c r="A255" t="inlineStr">
        <is>
          <t>A 53352-2020</t>
        </is>
      </c>
      <c r="B255" s="1" t="n">
        <v>44123</v>
      </c>
      <c r="C255" s="1" t="n">
        <v>45811</v>
      </c>
      <c r="D255" t="inlineStr">
        <is>
          <t>UPPSALA LÄN</t>
        </is>
      </c>
      <c r="E255" t="inlineStr">
        <is>
          <t>ENKÖPING</t>
        </is>
      </c>
      <c r="G255" t="n">
        <v>2.9</v>
      </c>
      <c r="H255" t="n">
        <v>0</v>
      </c>
      <c r="I255" t="n">
        <v>0</v>
      </c>
      <c r="J255" t="n">
        <v>0</v>
      </c>
      <c r="K255" t="n">
        <v>0</v>
      </c>
      <c r="L255" t="n">
        <v>0</v>
      </c>
      <c r="M255" t="n">
        <v>0</v>
      </c>
      <c r="N255" t="n">
        <v>0</v>
      </c>
      <c r="O255" t="n">
        <v>0</v>
      </c>
      <c r="P255" t="n">
        <v>0</v>
      </c>
      <c r="Q255" t="n">
        <v>0</v>
      </c>
      <c r="R255" s="2" t="inlineStr"/>
    </row>
    <row r="256" ht="15" customHeight="1">
      <c r="A256" t="inlineStr">
        <is>
          <t>A 53343-2020</t>
        </is>
      </c>
      <c r="B256" s="1" t="n">
        <v>44123</v>
      </c>
      <c r="C256" s="1" t="n">
        <v>45811</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53337-2020</t>
        </is>
      </c>
      <c r="B257" s="1" t="n">
        <v>44123</v>
      </c>
      <c r="C257" s="1" t="n">
        <v>45811</v>
      </c>
      <c r="D257" t="inlineStr">
        <is>
          <t>UPPSALA LÄN</t>
        </is>
      </c>
      <c r="E257" t="inlineStr">
        <is>
          <t>ENKÖPING</t>
        </is>
      </c>
      <c r="G257" t="n">
        <v>6.4</v>
      </c>
      <c r="H257" t="n">
        <v>0</v>
      </c>
      <c r="I257" t="n">
        <v>0</v>
      </c>
      <c r="J257" t="n">
        <v>0</v>
      </c>
      <c r="K257" t="n">
        <v>0</v>
      </c>
      <c r="L257" t="n">
        <v>0</v>
      </c>
      <c r="M257" t="n">
        <v>0</v>
      </c>
      <c r="N257" t="n">
        <v>0</v>
      </c>
      <c r="O257" t="n">
        <v>0</v>
      </c>
      <c r="P257" t="n">
        <v>0</v>
      </c>
      <c r="Q257" t="n">
        <v>0</v>
      </c>
      <c r="R257" s="2" t="inlineStr"/>
    </row>
    <row r="258" ht="15" customHeight="1">
      <c r="A258" t="inlineStr">
        <is>
          <t>A 53344-2020</t>
        </is>
      </c>
      <c r="B258" s="1" t="n">
        <v>44123</v>
      </c>
      <c r="C258" s="1" t="n">
        <v>45811</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55051-2020</t>
        </is>
      </c>
      <c r="B259" s="1" t="n">
        <v>44130</v>
      </c>
      <c r="C259" s="1" t="n">
        <v>45811</v>
      </c>
      <c r="D259" t="inlineStr">
        <is>
          <t>UPPSALA LÄN</t>
        </is>
      </c>
      <c r="E259" t="inlineStr">
        <is>
          <t>ENKÖPING</t>
        </is>
      </c>
      <c r="G259" t="n">
        <v>2.5</v>
      </c>
      <c r="H259" t="n">
        <v>0</v>
      </c>
      <c r="I259" t="n">
        <v>0</v>
      </c>
      <c r="J259" t="n">
        <v>0</v>
      </c>
      <c r="K259" t="n">
        <v>0</v>
      </c>
      <c r="L259" t="n">
        <v>0</v>
      </c>
      <c r="M259" t="n">
        <v>0</v>
      </c>
      <c r="N259" t="n">
        <v>0</v>
      </c>
      <c r="O259" t="n">
        <v>0</v>
      </c>
      <c r="P259" t="n">
        <v>0</v>
      </c>
      <c r="Q259" t="n">
        <v>0</v>
      </c>
      <c r="R259" s="2" t="inlineStr"/>
    </row>
    <row r="260" ht="15" customHeight="1">
      <c r="A260" t="inlineStr">
        <is>
          <t>A 56919-2020</t>
        </is>
      </c>
      <c r="B260" s="1" t="n">
        <v>44138</v>
      </c>
      <c r="C260" s="1" t="n">
        <v>45811</v>
      </c>
      <c r="D260" t="inlineStr">
        <is>
          <t>UPPSALA LÄN</t>
        </is>
      </c>
      <c r="E260" t="inlineStr">
        <is>
          <t>ENKÖPING</t>
        </is>
      </c>
      <c r="G260" t="n">
        <v>1.2</v>
      </c>
      <c r="H260" t="n">
        <v>0</v>
      </c>
      <c r="I260" t="n">
        <v>0</v>
      </c>
      <c r="J260" t="n">
        <v>0</v>
      </c>
      <c r="K260" t="n">
        <v>0</v>
      </c>
      <c r="L260" t="n">
        <v>0</v>
      </c>
      <c r="M260" t="n">
        <v>0</v>
      </c>
      <c r="N260" t="n">
        <v>0</v>
      </c>
      <c r="O260" t="n">
        <v>0</v>
      </c>
      <c r="P260" t="n">
        <v>0</v>
      </c>
      <c r="Q260" t="n">
        <v>0</v>
      </c>
      <c r="R260" s="2" t="inlineStr"/>
    </row>
    <row r="261" ht="15" customHeight="1">
      <c r="A261" t="inlineStr">
        <is>
          <t>A 57802-2020</t>
        </is>
      </c>
      <c r="B261" s="1" t="n">
        <v>44141</v>
      </c>
      <c r="C261" s="1" t="n">
        <v>45811</v>
      </c>
      <c r="D261" t="inlineStr">
        <is>
          <t>UPPSALA LÄN</t>
        </is>
      </c>
      <c r="E261" t="inlineStr">
        <is>
          <t>ENKÖPING</t>
        </is>
      </c>
      <c r="G261" t="n">
        <v>0.8</v>
      </c>
      <c r="H261" t="n">
        <v>0</v>
      </c>
      <c r="I261" t="n">
        <v>0</v>
      </c>
      <c r="J261" t="n">
        <v>0</v>
      </c>
      <c r="K261" t="n">
        <v>0</v>
      </c>
      <c r="L261" t="n">
        <v>0</v>
      </c>
      <c r="M261" t="n">
        <v>0</v>
      </c>
      <c r="N261" t="n">
        <v>0</v>
      </c>
      <c r="O261" t="n">
        <v>0</v>
      </c>
      <c r="P261" t="n">
        <v>0</v>
      </c>
      <c r="Q261" t="n">
        <v>0</v>
      </c>
      <c r="R261" s="2" t="inlineStr"/>
    </row>
    <row r="262" ht="15" customHeight="1">
      <c r="A262" t="inlineStr">
        <is>
          <t>A 58062-2020</t>
        </is>
      </c>
      <c r="B262" s="1" t="n">
        <v>44144</v>
      </c>
      <c r="C262" s="1" t="n">
        <v>45811</v>
      </c>
      <c r="D262" t="inlineStr">
        <is>
          <t>UPPSALA LÄN</t>
        </is>
      </c>
      <c r="E262" t="inlineStr">
        <is>
          <t>ENKÖPING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58896-2020</t>
        </is>
      </c>
      <c r="B263" s="1" t="n">
        <v>44146</v>
      </c>
      <c r="C263" s="1" t="n">
        <v>45811</v>
      </c>
      <c r="D263" t="inlineStr">
        <is>
          <t>UPPSALA LÄN</t>
        </is>
      </c>
      <c r="E263" t="inlineStr">
        <is>
          <t>ENKÖPING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58798-2020</t>
        </is>
      </c>
      <c r="B264" s="1" t="n">
        <v>44146</v>
      </c>
      <c r="C264" s="1" t="n">
        <v>45811</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59132-2020</t>
        </is>
      </c>
      <c r="B265" s="1" t="n">
        <v>44147</v>
      </c>
      <c r="C265" s="1" t="n">
        <v>45811</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59441-2020</t>
        </is>
      </c>
      <c r="B266" s="1" t="n">
        <v>44148</v>
      </c>
      <c r="C266" s="1" t="n">
        <v>45811</v>
      </c>
      <c r="D266" t="inlineStr">
        <is>
          <t>UPPSALA LÄN</t>
        </is>
      </c>
      <c r="E266" t="inlineStr">
        <is>
          <t>ENKÖPING</t>
        </is>
      </c>
      <c r="G266" t="n">
        <v>4.8</v>
      </c>
      <c r="H266" t="n">
        <v>0</v>
      </c>
      <c r="I266" t="n">
        <v>0</v>
      </c>
      <c r="J266" t="n">
        <v>0</v>
      </c>
      <c r="K266" t="n">
        <v>0</v>
      </c>
      <c r="L266" t="n">
        <v>0</v>
      </c>
      <c r="M266" t="n">
        <v>0</v>
      </c>
      <c r="N266" t="n">
        <v>0</v>
      </c>
      <c r="O266" t="n">
        <v>0</v>
      </c>
      <c r="P266" t="n">
        <v>0</v>
      </c>
      <c r="Q266" t="n">
        <v>0</v>
      </c>
      <c r="R266" s="2" t="inlineStr"/>
    </row>
    <row r="267" ht="15" customHeight="1">
      <c r="A267" t="inlineStr">
        <is>
          <t>A 59428-2020</t>
        </is>
      </c>
      <c r="B267" s="1" t="n">
        <v>44148</v>
      </c>
      <c r="C267" s="1" t="n">
        <v>45811</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60138-2020</t>
        </is>
      </c>
      <c r="B268" s="1" t="n">
        <v>44151</v>
      </c>
      <c r="C268" s="1" t="n">
        <v>45811</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61711-2020</t>
        </is>
      </c>
      <c r="B269" s="1" t="n">
        <v>44158</v>
      </c>
      <c r="C269" s="1" t="n">
        <v>45811</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63715-2020</t>
        </is>
      </c>
      <c r="B270" s="1" t="n">
        <v>44166</v>
      </c>
      <c r="C270" s="1" t="n">
        <v>45811</v>
      </c>
      <c r="D270" t="inlineStr">
        <is>
          <t>UPPSALA LÄN</t>
        </is>
      </c>
      <c r="E270" t="inlineStr">
        <is>
          <t>ENKÖPING</t>
        </is>
      </c>
      <c r="F270" t="inlineStr">
        <is>
          <t>Övriga statliga verk och myndigheter</t>
        </is>
      </c>
      <c r="G270" t="n">
        <v>5.9</v>
      </c>
      <c r="H270" t="n">
        <v>0</v>
      </c>
      <c r="I270" t="n">
        <v>0</v>
      </c>
      <c r="J270" t="n">
        <v>0</v>
      </c>
      <c r="K270" t="n">
        <v>0</v>
      </c>
      <c r="L270" t="n">
        <v>0</v>
      </c>
      <c r="M270" t="n">
        <v>0</v>
      </c>
      <c r="N270" t="n">
        <v>0</v>
      </c>
      <c r="O270" t="n">
        <v>0</v>
      </c>
      <c r="P270" t="n">
        <v>0</v>
      </c>
      <c r="Q270" t="n">
        <v>0</v>
      </c>
      <c r="R270" s="2" t="inlineStr"/>
    </row>
    <row r="271" ht="15" customHeight="1">
      <c r="A271" t="inlineStr">
        <is>
          <t>A 66517-2020</t>
        </is>
      </c>
      <c r="B271" s="1" t="n">
        <v>44178</v>
      </c>
      <c r="C271" s="1" t="n">
        <v>45811</v>
      </c>
      <c r="D271" t="inlineStr">
        <is>
          <t>UPPSALA LÄN</t>
        </is>
      </c>
      <c r="E271" t="inlineStr">
        <is>
          <t>ENKÖPING</t>
        </is>
      </c>
      <c r="G271" t="n">
        <v>4</v>
      </c>
      <c r="H271" t="n">
        <v>0</v>
      </c>
      <c r="I271" t="n">
        <v>0</v>
      </c>
      <c r="J271" t="n">
        <v>0</v>
      </c>
      <c r="K271" t="n">
        <v>0</v>
      </c>
      <c r="L271" t="n">
        <v>0</v>
      </c>
      <c r="M271" t="n">
        <v>0</v>
      </c>
      <c r="N271" t="n">
        <v>0</v>
      </c>
      <c r="O271" t="n">
        <v>0</v>
      </c>
      <c r="P271" t="n">
        <v>0</v>
      </c>
      <c r="Q271" t="n">
        <v>0</v>
      </c>
      <c r="R271" s="2" t="inlineStr"/>
    </row>
    <row r="272" ht="15" customHeight="1">
      <c r="A272" t="inlineStr">
        <is>
          <t>A 67765-2020</t>
        </is>
      </c>
      <c r="B272" s="1" t="n">
        <v>44182</v>
      </c>
      <c r="C272" s="1" t="n">
        <v>45811</v>
      </c>
      <c r="D272" t="inlineStr">
        <is>
          <t>UPPSALA LÄN</t>
        </is>
      </c>
      <c r="E272" t="inlineStr">
        <is>
          <t>ENKÖPING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67713-2020</t>
        </is>
      </c>
      <c r="B273" s="1" t="n">
        <v>44182</v>
      </c>
      <c r="C273" s="1" t="n">
        <v>45811</v>
      </c>
      <c r="D273" t="inlineStr">
        <is>
          <t>UPPSALA LÄN</t>
        </is>
      </c>
      <c r="E273" t="inlineStr">
        <is>
          <t>ENKÖPING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69567-2020</t>
        </is>
      </c>
      <c r="B274" s="1" t="n">
        <v>44194</v>
      </c>
      <c r="C274" s="1" t="n">
        <v>45811</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3903-2021</t>
        </is>
      </c>
      <c r="B275" s="1" t="n">
        <v>44217</v>
      </c>
      <c r="C275" s="1" t="n">
        <v>45811</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4203-2021</t>
        </is>
      </c>
      <c r="B276" s="1" t="n">
        <v>44223</v>
      </c>
      <c r="C276" s="1" t="n">
        <v>45811</v>
      </c>
      <c r="D276" t="inlineStr">
        <is>
          <t>UPPSALA LÄN</t>
        </is>
      </c>
      <c r="E276" t="inlineStr">
        <is>
          <t>ENKÖPING</t>
        </is>
      </c>
      <c r="G276" t="n">
        <v>11.6</v>
      </c>
      <c r="H276" t="n">
        <v>0</v>
      </c>
      <c r="I276" t="n">
        <v>0</v>
      </c>
      <c r="J276" t="n">
        <v>0</v>
      </c>
      <c r="K276" t="n">
        <v>0</v>
      </c>
      <c r="L276" t="n">
        <v>0</v>
      </c>
      <c r="M276" t="n">
        <v>0</v>
      </c>
      <c r="N276" t="n">
        <v>0</v>
      </c>
      <c r="O276" t="n">
        <v>0</v>
      </c>
      <c r="P276" t="n">
        <v>0</v>
      </c>
      <c r="Q276" t="n">
        <v>0</v>
      </c>
      <c r="R276" s="2" t="inlineStr"/>
    </row>
    <row r="277" ht="15" customHeight="1">
      <c r="A277" t="inlineStr">
        <is>
          <t>A 4775-2021</t>
        </is>
      </c>
      <c r="B277" s="1" t="n">
        <v>44225</v>
      </c>
      <c r="C277" s="1" t="n">
        <v>45811</v>
      </c>
      <c r="D277" t="inlineStr">
        <is>
          <t>UPPSALA LÄN</t>
        </is>
      </c>
      <c r="E277" t="inlineStr">
        <is>
          <t>ENKÖPING</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6157-2021</t>
        </is>
      </c>
      <c r="B278" s="1" t="n">
        <v>44232</v>
      </c>
      <c r="C278" s="1" t="n">
        <v>45811</v>
      </c>
      <c r="D278" t="inlineStr">
        <is>
          <t>UPPSALA LÄN</t>
        </is>
      </c>
      <c r="E278" t="inlineStr">
        <is>
          <t>ENKÖPING</t>
        </is>
      </c>
      <c r="G278" t="n">
        <v>3.9</v>
      </c>
      <c r="H278" t="n">
        <v>0</v>
      </c>
      <c r="I278" t="n">
        <v>0</v>
      </c>
      <c r="J278" t="n">
        <v>0</v>
      </c>
      <c r="K278" t="n">
        <v>0</v>
      </c>
      <c r="L278" t="n">
        <v>0</v>
      </c>
      <c r="M278" t="n">
        <v>0</v>
      </c>
      <c r="N278" t="n">
        <v>0</v>
      </c>
      <c r="O278" t="n">
        <v>0</v>
      </c>
      <c r="P278" t="n">
        <v>0</v>
      </c>
      <c r="Q278" t="n">
        <v>0</v>
      </c>
      <c r="R278" s="2" t="inlineStr"/>
    </row>
    <row r="279" ht="15" customHeight="1">
      <c r="A279" t="inlineStr">
        <is>
          <t>A 6147-2021</t>
        </is>
      </c>
      <c r="B279" s="1" t="n">
        <v>44232</v>
      </c>
      <c r="C279" s="1" t="n">
        <v>45811</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6298-2021</t>
        </is>
      </c>
      <c r="B280" s="1" t="n">
        <v>44235</v>
      </c>
      <c r="C280" s="1" t="n">
        <v>45811</v>
      </c>
      <c r="D280" t="inlineStr">
        <is>
          <t>UPPSALA LÄN</t>
        </is>
      </c>
      <c r="E280" t="inlineStr">
        <is>
          <t>ENKÖPING</t>
        </is>
      </c>
      <c r="G280" t="n">
        <v>1.4</v>
      </c>
      <c r="H280" t="n">
        <v>0</v>
      </c>
      <c r="I280" t="n">
        <v>0</v>
      </c>
      <c r="J280" t="n">
        <v>0</v>
      </c>
      <c r="K280" t="n">
        <v>0</v>
      </c>
      <c r="L280" t="n">
        <v>0</v>
      </c>
      <c r="M280" t="n">
        <v>0</v>
      </c>
      <c r="N280" t="n">
        <v>0</v>
      </c>
      <c r="O280" t="n">
        <v>0</v>
      </c>
      <c r="P280" t="n">
        <v>0</v>
      </c>
      <c r="Q280" t="n">
        <v>0</v>
      </c>
      <c r="R280" s="2" t="inlineStr"/>
    </row>
    <row r="281" ht="15" customHeight="1">
      <c r="A281" t="inlineStr">
        <is>
          <t>A 8306-2021</t>
        </is>
      </c>
      <c r="B281" s="1" t="n">
        <v>44244</v>
      </c>
      <c r="C281" s="1" t="n">
        <v>45811</v>
      </c>
      <c r="D281" t="inlineStr">
        <is>
          <t>UPPSALA LÄN</t>
        </is>
      </c>
      <c r="E281" t="inlineStr">
        <is>
          <t>ENKÖPING</t>
        </is>
      </c>
      <c r="G281" t="n">
        <v>14.9</v>
      </c>
      <c r="H281" t="n">
        <v>0</v>
      </c>
      <c r="I281" t="n">
        <v>0</v>
      </c>
      <c r="J281" t="n">
        <v>0</v>
      </c>
      <c r="K281" t="n">
        <v>0</v>
      </c>
      <c r="L281" t="n">
        <v>0</v>
      </c>
      <c r="M281" t="n">
        <v>0</v>
      </c>
      <c r="N281" t="n">
        <v>0</v>
      </c>
      <c r="O281" t="n">
        <v>0</v>
      </c>
      <c r="P281" t="n">
        <v>0</v>
      </c>
      <c r="Q281" t="n">
        <v>0</v>
      </c>
      <c r="R281" s="2" t="inlineStr"/>
    </row>
    <row r="282" ht="15" customHeight="1">
      <c r="A282" t="inlineStr">
        <is>
          <t>A 10989-2021</t>
        </is>
      </c>
      <c r="B282" s="1" t="n">
        <v>44260</v>
      </c>
      <c r="C282" s="1" t="n">
        <v>45811</v>
      </c>
      <c r="D282" t="inlineStr">
        <is>
          <t>UPPSALA LÄN</t>
        </is>
      </c>
      <c r="E282" t="inlineStr">
        <is>
          <t>ENKÖPING</t>
        </is>
      </c>
      <c r="G282" t="n">
        <v>3.5</v>
      </c>
      <c r="H282" t="n">
        <v>0</v>
      </c>
      <c r="I282" t="n">
        <v>0</v>
      </c>
      <c r="J282" t="n">
        <v>0</v>
      </c>
      <c r="K282" t="n">
        <v>0</v>
      </c>
      <c r="L282" t="n">
        <v>0</v>
      </c>
      <c r="M282" t="n">
        <v>0</v>
      </c>
      <c r="N282" t="n">
        <v>0</v>
      </c>
      <c r="O282" t="n">
        <v>0</v>
      </c>
      <c r="P282" t="n">
        <v>0</v>
      </c>
      <c r="Q282" t="n">
        <v>0</v>
      </c>
      <c r="R282" s="2" t="inlineStr"/>
    </row>
    <row r="283" ht="15" customHeight="1">
      <c r="A283" t="inlineStr">
        <is>
          <t>A 11688-2021</t>
        </is>
      </c>
      <c r="B283" s="1" t="n">
        <v>44264</v>
      </c>
      <c r="C283" s="1" t="n">
        <v>45811</v>
      </c>
      <c r="D283" t="inlineStr">
        <is>
          <t>UPPSALA LÄN</t>
        </is>
      </c>
      <c r="E283" t="inlineStr">
        <is>
          <t>ENKÖPING</t>
        </is>
      </c>
      <c r="G283" t="n">
        <v>4.7</v>
      </c>
      <c r="H283" t="n">
        <v>0</v>
      </c>
      <c r="I283" t="n">
        <v>0</v>
      </c>
      <c r="J283" t="n">
        <v>0</v>
      </c>
      <c r="K283" t="n">
        <v>0</v>
      </c>
      <c r="L283" t="n">
        <v>0</v>
      </c>
      <c r="M283" t="n">
        <v>0</v>
      </c>
      <c r="N283" t="n">
        <v>0</v>
      </c>
      <c r="O283" t="n">
        <v>0</v>
      </c>
      <c r="P283" t="n">
        <v>0</v>
      </c>
      <c r="Q283" t="n">
        <v>0</v>
      </c>
      <c r="R283" s="2" t="inlineStr"/>
    </row>
    <row r="284" ht="15" customHeight="1">
      <c r="A284" t="inlineStr">
        <is>
          <t>A 12434-2021</t>
        </is>
      </c>
      <c r="B284" s="1" t="n">
        <v>44267</v>
      </c>
      <c r="C284" s="1" t="n">
        <v>45811</v>
      </c>
      <c r="D284" t="inlineStr">
        <is>
          <t>UPPSALA LÄN</t>
        </is>
      </c>
      <c r="E284" t="inlineStr">
        <is>
          <t>ENKÖPING</t>
        </is>
      </c>
      <c r="G284" t="n">
        <v>5.3</v>
      </c>
      <c r="H284" t="n">
        <v>0</v>
      </c>
      <c r="I284" t="n">
        <v>0</v>
      </c>
      <c r="J284" t="n">
        <v>0</v>
      </c>
      <c r="K284" t="n">
        <v>0</v>
      </c>
      <c r="L284" t="n">
        <v>0</v>
      </c>
      <c r="M284" t="n">
        <v>0</v>
      </c>
      <c r="N284" t="n">
        <v>0</v>
      </c>
      <c r="O284" t="n">
        <v>0</v>
      </c>
      <c r="P284" t="n">
        <v>0</v>
      </c>
      <c r="Q284" t="n">
        <v>0</v>
      </c>
      <c r="R284" s="2" t="inlineStr"/>
    </row>
    <row r="285" ht="15" customHeight="1">
      <c r="A285" t="inlineStr">
        <is>
          <t>A 12538-2021</t>
        </is>
      </c>
      <c r="B285" s="1" t="n">
        <v>44269</v>
      </c>
      <c r="C285" s="1" t="n">
        <v>45811</v>
      </c>
      <c r="D285" t="inlineStr">
        <is>
          <t>UPPSALA LÄN</t>
        </is>
      </c>
      <c r="E285" t="inlineStr">
        <is>
          <t>ENKÖPING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12572-2021</t>
        </is>
      </c>
      <c r="B286" s="1" t="n">
        <v>44270</v>
      </c>
      <c r="C286" s="1" t="n">
        <v>45811</v>
      </c>
      <c r="D286" t="inlineStr">
        <is>
          <t>UPPSALA LÄN</t>
        </is>
      </c>
      <c r="E286" t="inlineStr">
        <is>
          <t>ENKÖPING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12729-2021</t>
        </is>
      </c>
      <c r="B287" s="1" t="n">
        <v>44270</v>
      </c>
      <c r="C287" s="1" t="n">
        <v>45811</v>
      </c>
      <c r="D287" t="inlineStr">
        <is>
          <t>UPPSALA LÄN</t>
        </is>
      </c>
      <c r="E287" t="inlineStr">
        <is>
          <t>ENKÖPING</t>
        </is>
      </c>
      <c r="G287" t="n">
        <v>3</v>
      </c>
      <c r="H287" t="n">
        <v>0</v>
      </c>
      <c r="I287" t="n">
        <v>0</v>
      </c>
      <c r="J287" t="n">
        <v>0</v>
      </c>
      <c r="K287" t="n">
        <v>0</v>
      </c>
      <c r="L287" t="n">
        <v>0</v>
      </c>
      <c r="M287" t="n">
        <v>0</v>
      </c>
      <c r="N287" t="n">
        <v>0</v>
      </c>
      <c r="O287" t="n">
        <v>0</v>
      </c>
      <c r="P287" t="n">
        <v>0</v>
      </c>
      <c r="Q287" t="n">
        <v>0</v>
      </c>
      <c r="R287" s="2" t="inlineStr"/>
    </row>
    <row r="288" ht="15" customHeight="1">
      <c r="A288" t="inlineStr">
        <is>
          <t>A 12727-2021</t>
        </is>
      </c>
      <c r="B288" s="1" t="n">
        <v>44270</v>
      </c>
      <c r="C288" s="1" t="n">
        <v>45811</v>
      </c>
      <c r="D288" t="inlineStr">
        <is>
          <t>UPPSALA LÄN</t>
        </is>
      </c>
      <c r="E288" t="inlineStr">
        <is>
          <t>ENKÖPING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12732-2021</t>
        </is>
      </c>
      <c r="B289" s="1" t="n">
        <v>44270</v>
      </c>
      <c r="C289" s="1" t="n">
        <v>45811</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13201-2021</t>
        </is>
      </c>
      <c r="B290" s="1" t="n">
        <v>44272</v>
      </c>
      <c r="C290" s="1" t="n">
        <v>45811</v>
      </c>
      <c r="D290" t="inlineStr">
        <is>
          <t>UPPSALA LÄN</t>
        </is>
      </c>
      <c r="E290" t="inlineStr">
        <is>
          <t>ENKÖPING</t>
        </is>
      </c>
      <c r="G290" t="n">
        <v>0.1</v>
      </c>
      <c r="H290" t="n">
        <v>0</v>
      </c>
      <c r="I290" t="n">
        <v>0</v>
      </c>
      <c r="J290" t="n">
        <v>0</v>
      </c>
      <c r="K290" t="n">
        <v>0</v>
      </c>
      <c r="L290" t="n">
        <v>0</v>
      </c>
      <c r="M290" t="n">
        <v>0</v>
      </c>
      <c r="N290" t="n">
        <v>0</v>
      </c>
      <c r="O290" t="n">
        <v>0</v>
      </c>
      <c r="P290" t="n">
        <v>0</v>
      </c>
      <c r="Q290" t="n">
        <v>0</v>
      </c>
      <c r="R290" s="2" t="inlineStr"/>
    </row>
    <row r="291" ht="15" customHeight="1">
      <c r="A291" t="inlineStr">
        <is>
          <t>A 13813-2021</t>
        </is>
      </c>
      <c r="B291" s="1" t="n">
        <v>44276</v>
      </c>
      <c r="C291" s="1" t="n">
        <v>45811</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13816-2021</t>
        </is>
      </c>
      <c r="B292" s="1" t="n">
        <v>44276</v>
      </c>
      <c r="C292" s="1" t="n">
        <v>45811</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14840-2021</t>
        </is>
      </c>
      <c r="B293" s="1" t="n">
        <v>44280</v>
      </c>
      <c r="C293" s="1" t="n">
        <v>45811</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14841-2021</t>
        </is>
      </c>
      <c r="B294" s="1" t="n">
        <v>44280</v>
      </c>
      <c r="C294" s="1" t="n">
        <v>45811</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14839-2021</t>
        </is>
      </c>
      <c r="B295" s="1" t="n">
        <v>44280</v>
      </c>
      <c r="C295" s="1" t="n">
        <v>45811</v>
      </c>
      <c r="D295" t="inlineStr">
        <is>
          <t>UPPSALA LÄN</t>
        </is>
      </c>
      <c r="E295" t="inlineStr">
        <is>
          <t>ENKÖPING</t>
        </is>
      </c>
      <c r="G295" t="n">
        <v>11.4</v>
      </c>
      <c r="H295" t="n">
        <v>0</v>
      </c>
      <c r="I295" t="n">
        <v>0</v>
      </c>
      <c r="J295" t="n">
        <v>0</v>
      </c>
      <c r="K295" t="n">
        <v>0</v>
      </c>
      <c r="L295" t="n">
        <v>0</v>
      </c>
      <c r="M295" t="n">
        <v>0</v>
      </c>
      <c r="N295" t="n">
        <v>0</v>
      </c>
      <c r="O295" t="n">
        <v>0</v>
      </c>
      <c r="P295" t="n">
        <v>0</v>
      </c>
      <c r="Q295" t="n">
        <v>0</v>
      </c>
      <c r="R295" s="2" t="inlineStr"/>
    </row>
    <row r="296" ht="15" customHeight="1">
      <c r="A296" t="inlineStr">
        <is>
          <t>A 15298-2021</t>
        </is>
      </c>
      <c r="B296" s="1" t="n">
        <v>44284</v>
      </c>
      <c r="C296" s="1" t="n">
        <v>45811</v>
      </c>
      <c r="D296" t="inlineStr">
        <is>
          <t>UPPSALA LÄN</t>
        </is>
      </c>
      <c r="E296" t="inlineStr">
        <is>
          <t>ENKÖPING</t>
        </is>
      </c>
      <c r="G296" t="n">
        <v>6</v>
      </c>
      <c r="H296" t="n">
        <v>0</v>
      </c>
      <c r="I296" t="n">
        <v>0</v>
      </c>
      <c r="J296" t="n">
        <v>0</v>
      </c>
      <c r="K296" t="n">
        <v>0</v>
      </c>
      <c r="L296" t="n">
        <v>0</v>
      </c>
      <c r="M296" t="n">
        <v>0</v>
      </c>
      <c r="N296" t="n">
        <v>0</v>
      </c>
      <c r="O296" t="n">
        <v>0</v>
      </c>
      <c r="P296" t="n">
        <v>0</v>
      </c>
      <c r="Q296" t="n">
        <v>0</v>
      </c>
      <c r="R296" s="2" t="inlineStr"/>
    </row>
    <row r="297" ht="15" customHeight="1">
      <c r="A297" t="inlineStr">
        <is>
          <t>A 15997-2021</t>
        </is>
      </c>
      <c r="B297" s="1" t="n">
        <v>44287</v>
      </c>
      <c r="C297" s="1" t="n">
        <v>45811</v>
      </c>
      <c r="D297" t="inlineStr">
        <is>
          <t>UPPSALA LÄN</t>
        </is>
      </c>
      <c r="E297" t="inlineStr">
        <is>
          <t>ENKÖPING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16309-2021</t>
        </is>
      </c>
      <c r="B298" s="1" t="n">
        <v>44292</v>
      </c>
      <c r="C298" s="1" t="n">
        <v>45811</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16498-2021</t>
        </is>
      </c>
      <c r="B299" s="1" t="n">
        <v>44293</v>
      </c>
      <c r="C299" s="1" t="n">
        <v>45811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16683-2021</t>
        </is>
      </c>
      <c r="B300" s="1" t="n">
        <v>44294</v>
      </c>
      <c r="C300" s="1" t="n">
        <v>45811</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17264-2021</t>
        </is>
      </c>
      <c r="B301" s="1" t="n">
        <v>44298</v>
      </c>
      <c r="C301" s="1" t="n">
        <v>45811</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17268-2021</t>
        </is>
      </c>
      <c r="B302" s="1" t="n">
        <v>44298</v>
      </c>
      <c r="C302" s="1" t="n">
        <v>45811</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18328-2021</t>
        </is>
      </c>
      <c r="B303" s="1" t="n">
        <v>44305</v>
      </c>
      <c r="C303" s="1" t="n">
        <v>45811</v>
      </c>
      <c r="D303" t="inlineStr">
        <is>
          <t>UPPSALA LÄN</t>
        </is>
      </c>
      <c r="E303" t="inlineStr">
        <is>
          <t>ENKÖPING</t>
        </is>
      </c>
      <c r="G303" t="n">
        <v>9.4</v>
      </c>
      <c r="H303" t="n">
        <v>0</v>
      </c>
      <c r="I303" t="n">
        <v>0</v>
      </c>
      <c r="J303" t="n">
        <v>0</v>
      </c>
      <c r="K303" t="n">
        <v>0</v>
      </c>
      <c r="L303" t="n">
        <v>0</v>
      </c>
      <c r="M303" t="n">
        <v>0</v>
      </c>
      <c r="N303" t="n">
        <v>0</v>
      </c>
      <c r="O303" t="n">
        <v>0</v>
      </c>
      <c r="P303" t="n">
        <v>0</v>
      </c>
      <c r="Q303" t="n">
        <v>0</v>
      </c>
      <c r="R303" s="2" t="inlineStr"/>
    </row>
    <row r="304" ht="15" customHeight="1">
      <c r="A304" t="inlineStr">
        <is>
          <t>A 18584-2021</t>
        </is>
      </c>
      <c r="B304" s="1" t="n">
        <v>44306</v>
      </c>
      <c r="C304" s="1" t="n">
        <v>45811</v>
      </c>
      <c r="D304" t="inlineStr">
        <is>
          <t>UPPSALA LÄN</t>
        </is>
      </c>
      <c r="E304" t="inlineStr">
        <is>
          <t>ENKÖPING</t>
        </is>
      </c>
      <c r="G304" t="n">
        <v>2.9</v>
      </c>
      <c r="H304" t="n">
        <v>0</v>
      </c>
      <c r="I304" t="n">
        <v>0</v>
      </c>
      <c r="J304" t="n">
        <v>0</v>
      </c>
      <c r="K304" t="n">
        <v>0</v>
      </c>
      <c r="L304" t="n">
        <v>0</v>
      </c>
      <c r="M304" t="n">
        <v>0</v>
      </c>
      <c r="N304" t="n">
        <v>0</v>
      </c>
      <c r="O304" t="n">
        <v>0</v>
      </c>
      <c r="P304" t="n">
        <v>0</v>
      </c>
      <c r="Q304" t="n">
        <v>0</v>
      </c>
      <c r="R304" s="2" t="inlineStr"/>
    </row>
    <row r="305" ht="15" customHeight="1">
      <c r="A305" t="inlineStr">
        <is>
          <t>A 18592-2021</t>
        </is>
      </c>
      <c r="B305" s="1" t="n">
        <v>44306</v>
      </c>
      <c r="C305" s="1" t="n">
        <v>45811</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18583-2021</t>
        </is>
      </c>
      <c r="B306" s="1" t="n">
        <v>44306</v>
      </c>
      <c r="C306" s="1" t="n">
        <v>45811</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19630-2021</t>
        </is>
      </c>
      <c r="B307" s="1" t="n">
        <v>44312</v>
      </c>
      <c r="C307" s="1" t="n">
        <v>45811</v>
      </c>
      <c r="D307" t="inlineStr">
        <is>
          <t>UPPSALA LÄN</t>
        </is>
      </c>
      <c r="E307" t="inlineStr">
        <is>
          <t>ENKÖPING</t>
        </is>
      </c>
      <c r="G307" t="n">
        <v>2.7</v>
      </c>
      <c r="H307" t="n">
        <v>0</v>
      </c>
      <c r="I307" t="n">
        <v>0</v>
      </c>
      <c r="J307" t="n">
        <v>0</v>
      </c>
      <c r="K307" t="n">
        <v>0</v>
      </c>
      <c r="L307" t="n">
        <v>0</v>
      </c>
      <c r="M307" t="n">
        <v>0</v>
      </c>
      <c r="N307" t="n">
        <v>0</v>
      </c>
      <c r="O307" t="n">
        <v>0</v>
      </c>
      <c r="P307" t="n">
        <v>0</v>
      </c>
      <c r="Q307" t="n">
        <v>0</v>
      </c>
      <c r="R307" s="2" t="inlineStr"/>
    </row>
    <row r="308" ht="15" customHeight="1">
      <c r="A308" t="inlineStr">
        <is>
          <t>A 20067-2021</t>
        </is>
      </c>
      <c r="B308" s="1" t="n">
        <v>44314</v>
      </c>
      <c r="C308" s="1" t="n">
        <v>45811</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22057-2021</t>
        </is>
      </c>
      <c r="B309" s="1" t="n">
        <v>44323</v>
      </c>
      <c r="C309" s="1" t="n">
        <v>45811</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22058-2021</t>
        </is>
      </c>
      <c r="B310" s="1" t="n">
        <v>44323</v>
      </c>
      <c r="C310" s="1" t="n">
        <v>45811</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24399-2021</t>
        </is>
      </c>
      <c r="B311" s="1" t="n">
        <v>44337</v>
      </c>
      <c r="C311" s="1" t="n">
        <v>45811</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25598-2021</t>
        </is>
      </c>
      <c r="B312" s="1" t="n">
        <v>44343</v>
      </c>
      <c r="C312" s="1" t="n">
        <v>45811</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27676-2021</t>
        </is>
      </c>
      <c r="B313" s="1" t="n">
        <v>44353</v>
      </c>
      <c r="C313" s="1" t="n">
        <v>45811</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28368-2021</t>
        </is>
      </c>
      <c r="B314" s="1" t="n">
        <v>44356</v>
      </c>
      <c r="C314" s="1" t="n">
        <v>45811</v>
      </c>
      <c r="D314" t="inlineStr">
        <is>
          <t>UPPSALA LÄN</t>
        </is>
      </c>
      <c r="E314" t="inlineStr">
        <is>
          <t>ENKÖPING</t>
        </is>
      </c>
      <c r="G314" t="n">
        <v>3.2</v>
      </c>
      <c r="H314" t="n">
        <v>0</v>
      </c>
      <c r="I314" t="n">
        <v>0</v>
      </c>
      <c r="J314" t="n">
        <v>0</v>
      </c>
      <c r="K314" t="n">
        <v>0</v>
      </c>
      <c r="L314" t="n">
        <v>0</v>
      </c>
      <c r="M314" t="n">
        <v>0</v>
      </c>
      <c r="N314" t="n">
        <v>0</v>
      </c>
      <c r="O314" t="n">
        <v>0</v>
      </c>
      <c r="P314" t="n">
        <v>0</v>
      </c>
      <c r="Q314" t="n">
        <v>0</v>
      </c>
      <c r="R314" s="2" t="inlineStr"/>
    </row>
    <row r="315" ht="15" customHeight="1">
      <c r="A315" t="inlineStr">
        <is>
          <t>A 28795-2021</t>
        </is>
      </c>
      <c r="B315" s="1" t="n">
        <v>44357</v>
      </c>
      <c r="C315" s="1" t="n">
        <v>45811</v>
      </c>
      <c r="D315" t="inlineStr">
        <is>
          <t>UPPSALA LÄN</t>
        </is>
      </c>
      <c r="E315" t="inlineStr">
        <is>
          <t>ENKÖPING</t>
        </is>
      </c>
      <c r="F315" t="inlineStr">
        <is>
          <t>Allmännings- och besparingsskogar</t>
        </is>
      </c>
      <c r="G315" t="n">
        <v>2.8</v>
      </c>
      <c r="H315" t="n">
        <v>0</v>
      </c>
      <c r="I315" t="n">
        <v>0</v>
      </c>
      <c r="J315" t="n">
        <v>0</v>
      </c>
      <c r="K315" t="n">
        <v>0</v>
      </c>
      <c r="L315" t="n">
        <v>0</v>
      </c>
      <c r="M315" t="n">
        <v>0</v>
      </c>
      <c r="N315" t="n">
        <v>0</v>
      </c>
      <c r="O315" t="n">
        <v>0</v>
      </c>
      <c r="P315" t="n">
        <v>0</v>
      </c>
      <c r="Q315" t="n">
        <v>0</v>
      </c>
      <c r="R315" s="2" t="inlineStr"/>
    </row>
    <row r="316" ht="15" customHeight="1">
      <c r="A316" t="inlineStr">
        <is>
          <t>A 29983-2021</t>
        </is>
      </c>
      <c r="B316" s="1" t="n">
        <v>44363</v>
      </c>
      <c r="C316" s="1" t="n">
        <v>45811</v>
      </c>
      <c r="D316" t="inlineStr">
        <is>
          <t>UPPSALA LÄN</t>
        </is>
      </c>
      <c r="E316" t="inlineStr">
        <is>
          <t>ENKÖPING</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30514-2021</t>
        </is>
      </c>
      <c r="B317" s="1" t="n">
        <v>44364</v>
      </c>
      <c r="C317" s="1" t="n">
        <v>45811</v>
      </c>
      <c r="D317" t="inlineStr">
        <is>
          <t>UPPSALA LÄN</t>
        </is>
      </c>
      <c r="E317" t="inlineStr">
        <is>
          <t>ENKÖPING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31112-2021</t>
        </is>
      </c>
      <c r="B318" s="1" t="n">
        <v>44368</v>
      </c>
      <c r="C318" s="1" t="n">
        <v>45811</v>
      </c>
      <c r="D318" t="inlineStr">
        <is>
          <t>UPPSALA LÄN</t>
        </is>
      </c>
      <c r="E318" t="inlineStr">
        <is>
          <t>ENKÖPING</t>
        </is>
      </c>
      <c r="G318" t="n">
        <v>2.1</v>
      </c>
      <c r="H318" t="n">
        <v>0</v>
      </c>
      <c r="I318" t="n">
        <v>0</v>
      </c>
      <c r="J318" t="n">
        <v>0</v>
      </c>
      <c r="K318" t="n">
        <v>0</v>
      </c>
      <c r="L318" t="n">
        <v>0</v>
      </c>
      <c r="M318" t="n">
        <v>0</v>
      </c>
      <c r="N318" t="n">
        <v>0</v>
      </c>
      <c r="O318" t="n">
        <v>0</v>
      </c>
      <c r="P318" t="n">
        <v>0</v>
      </c>
      <c r="Q318" t="n">
        <v>0</v>
      </c>
      <c r="R318" s="2" t="inlineStr"/>
    </row>
    <row r="319" ht="15" customHeight="1">
      <c r="A319" t="inlineStr">
        <is>
          <t>A 31965-2021</t>
        </is>
      </c>
      <c r="B319" s="1" t="n">
        <v>44370</v>
      </c>
      <c r="C319" s="1" t="n">
        <v>45811</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34124-2021</t>
        </is>
      </c>
      <c r="B320" s="1" t="n">
        <v>44379</v>
      </c>
      <c r="C320" s="1" t="n">
        <v>45811</v>
      </c>
      <c r="D320" t="inlineStr">
        <is>
          <t>UPPSALA LÄN</t>
        </is>
      </c>
      <c r="E320" t="inlineStr">
        <is>
          <t>ENKÖPING</t>
        </is>
      </c>
      <c r="G320" t="n">
        <v>2.2</v>
      </c>
      <c r="H320" t="n">
        <v>0</v>
      </c>
      <c r="I320" t="n">
        <v>0</v>
      </c>
      <c r="J320" t="n">
        <v>0</v>
      </c>
      <c r="K320" t="n">
        <v>0</v>
      </c>
      <c r="L320" t="n">
        <v>0</v>
      </c>
      <c r="M320" t="n">
        <v>0</v>
      </c>
      <c r="N320" t="n">
        <v>0</v>
      </c>
      <c r="O320" t="n">
        <v>0</v>
      </c>
      <c r="P320" t="n">
        <v>0</v>
      </c>
      <c r="Q320" t="n">
        <v>0</v>
      </c>
      <c r="R320" s="2" t="inlineStr"/>
    </row>
    <row r="321" ht="15" customHeight="1">
      <c r="A321" t="inlineStr">
        <is>
          <t>A 35645-2021</t>
        </is>
      </c>
      <c r="B321" s="1" t="n">
        <v>44386</v>
      </c>
      <c r="C321" s="1" t="n">
        <v>45811</v>
      </c>
      <c r="D321" t="inlineStr">
        <is>
          <t>UPPSALA LÄN</t>
        </is>
      </c>
      <c r="E321" t="inlineStr">
        <is>
          <t>ENKÖPING</t>
        </is>
      </c>
      <c r="G321" t="n">
        <v>2.7</v>
      </c>
      <c r="H321" t="n">
        <v>0</v>
      </c>
      <c r="I321" t="n">
        <v>0</v>
      </c>
      <c r="J321" t="n">
        <v>0</v>
      </c>
      <c r="K321" t="n">
        <v>0</v>
      </c>
      <c r="L321" t="n">
        <v>0</v>
      </c>
      <c r="M321" t="n">
        <v>0</v>
      </c>
      <c r="N321" t="n">
        <v>0</v>
      </c>
      <c r="O321" t="n">
        <v>0</v>
      </c>
      <c r="P321" t="n">
        <v>0</v>
      </c>
      <c r="Q321" t="n">
        <v>0</v>
      </c>
      <c r="R321" s="2" t="inlineStr"/>
    </row>
    <row r="322" ht="15" customHeight="1">
      <c r="A322" t="inlineStr">
        <is>
          <t>A 35643-2021</t>
        </is>
      </c>
      <c r="B322" s="1" t="n">
        <v>44386</v>
      </c>
      <c r="C322" s="1" t="n">
        <v>45811</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35638-2021</t>
        </is>
      </c>
      <c r="B323" s="1" t="n">
        <v>44386</v>
      </c>
      <c r="C323" s="1" t="n">
        <v>45811</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35647-2021</t>
        </is>
      </c>
      <c r="B324" s="1" t="n">
        <v>44386</v>
      </c>
      <c r="C324" s="1" t="n">
        <v>45811</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35641-2021</t>
        </is>
      </c>
      <c r="B325" s="1" t="n">
        <v>44386</v>
      </c>
      <c r="C325" s="1" t="n">
        <v>45811</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35632-2021</t>
        </is>
      </c>
      <c r="B326" s="1" t="n">
        <v>44386</v>
      </c>
      <c r="C326" s="1" t="n">
        <v>45811</v>
      </c>
      <c r="D326" t="inlineStr">
        <is>
          <t>UPPSALA LÄN</t>
        </is>
      </c>
      <c r="E326" t="inlineStr">
        <is>
          <t>ENKÖPING</t>
        </is>
      </c>
      <c r="G326" t="n">
        <v>3.1</v>
      </c>
      <c r="H326" t="n">
        <v>0</v>
      </c>
      <c r="I326" t="n">
        <v>0</v>
      </c>
      <c r="J326" t="n">
        <v>0</v>
      </c>
      <c r="K326" t="n">
        <v>0</v>
      </c>
      <c r="L326" t="n">
        <v>0</v>
      </c>
      <c r="M326" t="n">
        <v>0</v>
      </c>
      <c r="N326" t="n">
        <v>0</v>
      </c>
      <c r="O326" t="n">
        <v>0</v>
      </c>
      <c r="P326" t="n">
        <v>0</v>
      </c>
      <c r="Q326" t="n">
        <v>0</v>
      </c>
      <c r="R326" s="2" t="inlineStr"/>
    </row>
    <row r="327" ht="15" customHeight="1">
      <c r="A327" t="inlineStr">
        <is>
          <t>A 37170-2021</t>
        </is>
      </c>
      <c r="B327" s="1" t="n">
        <v>44395</v>
      </c>
      <c r="C327" s="1" t="n">
        <v>45811</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37563-2021</t>
        </is>
      </c>
      <c r="B328" s="1" t="n">
        <v>44399</v>
      </c>
      <c r="C328" s="1" t="n">
        <v>45811</v>
      </c>
      <c r="D328" t="inlineStr">
        <is>
          <t>UPPSALA LÄN</t>
        </is>
      </c>
      <c r="E328" t="inlineStr">
        <is>
          <t>ENKÖPING</t>
        </is>
      </c>
      <c r="G328" t="n">
        <v>5.1</v>
      </c>
      <c r="H328" t="n">
        <v>0</v>
      </c>
      <c r="I328" t="n">
        <v>0</v>
      </c>
      <c r="J328" t="n">
        <v>0</v>
      </c>
      <c r="K328" t="n">
        <v>0</v>
      </c>
      <c r="L328" t="n">
        <v>0</v>
      </c>
      <c r="M328" t="n">
        <v>0</v>
      </c>
      <c r="N328" t="n">
        <v>0</v>
      </c>
      <c r="O328" t="n">
        <v>0</v>
      </c>
      <c r="P328" t="n">
        <v>0</v>
      </c>
      <c r="Q328" t="n">
        <v>0</v>
      </c>
      <c r="R328" s="2" t="inlineStr"/>
    </row>
    <row r="329" ht="15" customHeight="1">
      <c r="A329" t="inlineStr">
        <is>
          <t>A 37570-2021</t>
        </is>
      </c>
      <c r="B329" s="1" t="n">
        <v>44399</v>
      </c>
      <c r="C329" s="1" t="n">
        <v>45811</v>
      </c>
      <c r="D329" t="inlineStr">
        <is>
          <t>UPPSALA LÄN</t>
        </is>
      </c>
      <c r="E329" t="inlineStr">
        <is>
          <t>ENKÖPING</t>
        </is>
      </c>
      <c r="G329" t="n">
        <v>0.4</v>
      </c>
      <c r="H329" t="n">
        <v>0</v>
      </c>
      <c r="I329" t="n">
        <v>0</v>
      </c>
      <c r="J329" t="n">
        <v>0</v>
      </c>
      <c r="K329" t="n">
        <v>0</v>
      </c>
      <c r="L329" t="n">
        <v>0</v>
      </c>
      <c r="M329" t="n">
        <v>0</v>
      </c>
      <c r="N329" t="n">
        <v>0</v>
      </c>
      <c r="O329" t="n">
        <v>0</v>
      </c>
      <c r="P329" t="n">
        <v>0</v>
      </c>
      <c r="Q329" t="n">
        <v>0</v>
      </c>
      <c r="R329" s="2" t="inlineStr"/>
    </row>
    <row r="330" ht="15" customHeight="1">
      <c r="A330" t="inlineStr">
        <is>
          <t>A 37573-2021</t>
        </is>
      </c>
      <c r="B330" s="1" t="n">
        <v>44399</v>
      </c>
      <c r="C330" s="1" t="n">
        <v>45811</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37568-2021</t>
        </is>
      </c>
      <c r="B331" s="1" t="n">
        <v>44399</v>
      </c>
      <c r="C331" s="1" t="n">
        <v>45811</v>
      </c>
      <c r="D331" t="inlineStr">
        <is>
          <t>UPPSALA LÄN</t>
        </is>
      </c>
      <c r="E331" t="inlineStr">
        <is>
          <t>ENKÖPING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37564-2021</t>
        </is>
      </c>
      <c r="B332" s="1" t="n">
        <v>44399</v>
      </c>
      <c r="C332" s="1" t="n">
        <v>45811</v>
      </c>
      <c r="D332" t="inlineStr">
        <is>
          <t>UPPSALA LÄN</t>
        </is>
      </c>
      <c r="E332" t="inlineStr">
        <is>
          <t>ENKÖPING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37571-2021</t>
        </is>
      </c>
      <c r="B333" s="1" t="n">
        <v>44399</v>
      </c>
      <c r="C333" s="1" t="n">
        <v>45811</v>
      </c>
      <c r="D333" t="inlineStr">
        <is>
          <t>UPPSALA LÄN</t>
        </is>
      </c>
      <c r="E333" t="inlineStr">
        <is>
          <t>ENKÖPING</t>
        </is>
      </c>
      <c r="G333" t="n">
        <v>4.6</v>
      </c>
      <c r="H333" t="n">
        <v>0</v>
      </c>
      <c r="I333" t="n">
        <v>0</v>
      </c>
      <c r="J333" t="n">
        <v>0</v>
      </c>
      <c r="K333" t="n">
        <v>0</v>
      </c>
      <c r="L333" t="n">
        <v>0</v>
      </c>
      <c r="M333" t="n">
        <v>0</v>
      </c>
      <c r="N333" t="n">
        <v>0</v>
      </c>
      <c r="O333" t="n">
        <v>0</v>
      </c>
      <c r="P333" t="n">
        <v>0</v>
      </c>
      <c r="Q333" t="n">
        <v>0</v>
      </c>
      <c r="R333" s="2" t="inlineStr"/>
    </row>
    <row r="334" ht="15" customHeight="1">
      <c r="A334" t="inlineStr">
        <is>
          <t>A 42021-2021</t>
        </is>
      </c>
      <c r="B334" s="1" t="n">
        <v>44426</v>
      </c>
      <c r="C334" s="1" t="n">
        <v>45811</v>
      </c>
      <c r="D334" t="inlineStr">
        <is>
          <t>UPPSALA LÄN</t>
        </is>
      </c>
      <c r="E334" t="inlineStr">
        <is>
          <t>ENKÖPING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42029-2021</t>
        </is>
      </c>
      <c r="B335" s="1" t="n">
        <v>44426</v>
      </c>
      <c r="C335" s="1" t="n">
        <v>45811</v>
      </c>
      <c r="D335" t="inlineStr">
        <is>
          <t>UPPSALA LÄN</t>
        </is>
      </c>
      <c r="E335" t="inlineStr">
        <is>
          <t>ENKÖPING</t>
        </is>
      </c>
      <c r="G335" t="n">
        <v>5.3</v>
      </c>
      <c r="H335" t="n">
        <v>0</v>
      </c>
      <c r="I335" t="n">
        <v>0</v>
      </c>
      <c r="J335" t="n">
        <v>0</v>
      </c>
      <c r="K335" t="n">
        <v>0</v>
      </c>
      <c r="L335" t="n">
        <v>0</v>
      </c>
      <c r="M335" t="n">
        <v>0</v>
      </c>
      <c r="N335" t="n">
        <v>0</v>
      </c>
      <c r="O335" t="n">
        <v>0</v>
      </c>
      <c r="P335" t="n">
        <v>0</v>
      </c>
      <c r="Q335" t="n">
        <v>0</v>
      </c>
      <c r="R335" s="2" t="inlineStr"/>
    </row>
    <row r="336" ht="15" customHeight="1">
      <c r="A336" t="inlineStr">
        <is>
          <t>A 43016-2021</t>
        </is>
      </c>
      <c r="B336" s="1" t="n">
        <v>44431</v>
      </c>
      <c r="C336" s="1" t="n">
        <v>45811</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44727-2021</t>
        </is>
      </c>
      <c r="B337" s="1" t="n">
        <v>44438</v>
      </c>
      <c r="C337" s="1" t="n">
        <v>45811</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47106-2021</t>
        </is>
      </c>
      <c r="B338" s="1" t="n">
        <v>44446</v>
      </c>
      <c r="C338" s="1" t="n">
        <v>45811</v>
      </c>
      <c r="D338" t="inlineStr">
        <is>
          <t>UPPSALA LÄN</t>
        </is>
      </c>
      <c r="E338" t="inlineStr">
        <is>
          <t>ENKÖPING</t>
        </is>
      </c>
      <c r="G338" t="n">
        <v>7.6</v>
      </c>
      <c r="H338" t="n">
        <v>0</v>
      </c>
      <c r="I338" t="n">
        <v>0</v>
      </c>
      <c r="J338" t="n">
        <v>0</v>
      </c>
      <c r="K338" t="n">
        <v>0</v>
      </c>
      <c r="L338" t="n">
        <v>0</v>
      </c>
      <c r="M338" t="n">
        <v>0</v>
      </c>
      <c r="N338" t="n">
        <v>0</v>
      </c>
      <c r="O338" t="n">
        <v>0</v>
      </c>
      <c r="P338" t="n">
        <v>0</v>
      </c>
      <c r="Q338" t="n">
        <v>0</v>
      </c>
      <c r="R338" s="2" t="inlineStr"/>
    </row>
    <row r="339" ht="15" customHeight="1">
      <c r="A339" t="inlineStr">
        <is>
          <t>A 48981-2021</t>
        </is>
      </c>
      <c r="B339" s="1" t="n">
        <v>44453</v>
      </c>
      <c r="C339" s="1" t="n">
        <v>45811</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49375-2021</t>
        </is>
      </c>
      <c r="B340" s="1" t="n">
        <v>44454</v>
      </c>
      <c r="C340" s="1" t="n">
        <v>45811</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49525-2021</t>
        </is>
      </c>
      <c r="B341" s="1" t="n">
        <v>44455</v>
      </c>
      <c r="C341" s="1" t="n">
        <v>45811</v>
      </c>
      <c r="D341" t="inlineStr">
        <is>
          <t>UPPSALA LÄN</t>
        </is>
      </c>
      <c r="E341" t="inlineStr">
        <is>
          <t>ENKÖPING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50893-2021</t>
        </is>
      </c>
      <c r="B342" s="1" t="n">
        <v>44460</v>
      </c>
      <c r="C342" s="1" t="n">
        <v>45811</v>
      </c>
      <c r="D342" t="inlineStr">
        <is>
          <t>UPPSALA LÄN</t>
        </is>
      </c>
      <c r="E342" t="inlineStr">
        <is>
          <t>ENKÖPING</t>
        </is>
      </c>
      <c r="G342" t="n">
        <v>7.3</v>
      </c>
      <c r="H342" t="n">
        <v>0</v>
      </c>
      <c r="I342" t="n">
        <v>0</v>
      </c>
      <c r="J342" t="n">
        <v>0</v>
      </c>
      <c r="K342" t="n">
        <v>0</v>
      </c>
      <c r="L342" t="n">
        <v>0</v>
      </c>
      <c r="M342" t="n">
        <v>0</v>
      </c>
      <c r="N342" t="n">
        <v>0</v>
      </c>
      <c r="O342" t="n">
        <v>0</v>
      </c>
      <c r="P342" t="n">
        <v>0</v>
      </c>
      <c r="Q342" t="n">
        <v>0</v>
      </c>
      <c r="R342" s="2" t="inlineStr"/>
    </row>
    <row r="343" ht="15" customHeight="1">
      <c r="A343" t="inlineStr">
        <is>
          <t>A 52014-2021</t>
        </is>
      </c>
      <c r="B343" s="1" t="n">
        <v>44463</v>
      </c>
      <c r="C343" s="1" t="n">
        <v>45811</v>
      </c>
      <c r="D343" t="inlineStr">
        <is>
          <t>UPPSALA LÄN</t>
        </is>
      </c>
      <c r="E343" t="inlineStr">
        <is>
          <t>ENKÖPING</t>
        </is>
      </c>
      <c r="G343" t="n">
        <v>5.8</v>
      </c>
      <c r="H343" t="n">
        <v>0</v>
      </c>
      <c r="I343" t="n">
        <v>0</v>
      </c>
      <c r="J343" t="n">
        <v>0</v>
      </c>
      <c r="K343" t="n">
        <v>0</v>
      </c>
      <c r="L343" t="n">
        <v>0</v>
      </c>
      <c r="M343" t="n">
        <v>0</v>
      </c>
      <c r="N343" t="n">
        <v>0</v>
      </c>
      <c r="O343" t="n">
        <v>0</v>
      </c>
      <c r="P343" t="n">
        <v>0</v>
      </c>
      <c r="Q343" t="n">
        <v>0</v>
      </c>
      <c r="R343" s="2" t="inlineStr"/>
    </row>
    <row r="344" ht="15" customHeight="1">
      <c r="A344" t="inlineStr">
        <is>
          <t>A 54433-2021</t>
        </is>
      </c>
      <c r="B344" s="1" t="n">
        <v>44473</v>
      </c>
      <c r="C344" s="1" t="n">
        <v>45811</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54595-2021</t>
        </is>
      </c>
      <c r="B345" s="1" t="n">
        <v>44473</v>
      </c>
      <c r="C345" s="1" t="n">
        <v>45811</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55582-2021</t>
        </is>
      </c>
      <c r="B346" s="1" t="n">
        <v>44475</v>
      </c>
      <c r="C346" s="1" t="n">
        <v>45811</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56163-2021</t>
        </is>
      </c>
      <c r="B347" s="1" t="n">
        <v>44477</v>
      </c>
      <c r="C347" s="1" t="n">
        <v>45811</v>
      </c>
      <c r="D347" t="inlineStr">
        <is>
          <t>UPPSALA LÄN</t>
        </is>
      </c>
      <c r="E347" t="inlineStr">
        <is>
          <t>ENKÖPING</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56176-2021</t>
        </is>
      </c>
      <c r="B348" s="1" t="n">
        <v>44477</v>
      </c>
      <c r="C348" s="1" t="n">
        <v>45811</v>
      </c>
      <c r="D348" t="inlineStr">
        <is>
          <t>UPPSALA LÄN</t>
        </is>
      </c>
      <c r="E348" t="inlineStr">
        <is>
          <t>ENKÖPING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57043-2021</t>
        </is>
      </c>
      <c r="B349" s="1" t="n">
        <v>44482</v>
      </c>
      <c r="C349" s="1" t="n">
        <v>45811</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57055-2021</t>
        </is>
      </c>
      <c r="B350" s="1" t="n">
        <v>44482</v>
      </c>
      <c r="C350" s="1" t="n">
        <v>45811</v>
      </c>
      <c r="D350" t="inlineStr">
        <is>
          <t>UPPSALA LÄN</t>
        </is>
      </c>
      <c r="E350" t="inlineStr">
        <is>
          <t>ENKÖPING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57066-2021</t>
        </is>
      </c>
      <c r="B351" s="1" t="n">
        <v>44482</v>
      </c>
      <c r="C351" s="1" t="n">
        <v>45811</v>
      </c>
      <c r="D351" t="inlineStr">
        <is>
          <t>UPPSALA LÄN</t>
        </is>
      </c>
      <c r="E351" t="inlineStr">
        <is>
          <t>ENKÖPING</t>
        </is>
      </c>
      <c r="G351" t="n">
        <v>1.5</v>
      </c>
      <c r="H351" t="n">
        <v>0</v>
      </c>
      <c r="I351" t="n">
        <v>0</v>
      </c>
      <c r="J351" t="n">
        <v>0</v>
      </c>
      <c r="K351" t="n">
        <v>0</v>
      </c>
      <c r="L351" t="n">
        <v>0</v>
      </c>
      <c r="M351" t="n">
        <v>0</v>
      </c>
      <c r="N351" t="n">
        <v>0</v>
      </c>
      <c r="O351" t="n">
        <v>0</v>
      </c>
      <c r="P351" t="n">
        <v>0</v>
      </c>
      <c r="Q351" t="n">
        <v>0</v>
      </c>
      <c r="R351" s="2" t="inlineStr"/>
    </row>
    <row r="352" ht="15" customHeight="1">
      <c r="A352" t="inlineStr">
        <is>
          <t>A 57078-2021</t>
        </is>
      </c>
      <c r="B352" s="1" t="n">
        <v>44482</v>
      </c>
      <c r="C352" s="1" t="n">
        <v>45811</v>
      </c>
      <c r="D352" t="inlineStr">
        <is>
          <t>UPPSALA LÄN</t>
        </is>
      </c>
      <c r="E352" t="inlineStr">
        <is>
          <t>ENKÖPING</t>
        </is>
      </c>
      <c r="G352" t="n">
        <v>3</v>
      </c>
      <c r="H352" t="n">
        <v>0</v>
      </c>
      <c r="I352" t="n">
        <v>0</v>
      </c>
      <c r="J352" t="n">
        <v>0</v>
      </c>
      <c r="K352" t="n">
        <v>0</v>
      </c>
      <c r="L352" t="n">
        <v>0</v>
      </c>
      <c r="M352" t="n">
        <v>0</v>
      </c>
      <c r="N352" t="n">
        <v>0</v>
      </c>
      <c r="O352" t="n">
        <v>0</v>
      </c>
      <c r="P352" t="n">
        <v>0</v>
      </c>
      <c r="Q352" t="n">
        <v>0</v>
      </c>
      <c r="R352" s="2" t="inlineStr"/>
    </row>
    <row r="353" ht="15" customHeight="1">
      <c r="A353" t="inlineStr">
        <is>
          <t>A 57142-2021</t>
        </is>
      </c>
      <c r="B353" s="1" t="n">
        <v>44482</v>
      </c>
      <c r="C353" s="1" t="n">
        <v>45811</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57153-2021</t>
        </is>
      </c>
      <c r="B354" s="1" t="n">
        <v>44482</v>
      </c>
      <c r="C354" s="1" t="n">
        <v>45811</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57147-2021</t>
        </is>
      </c>
      <c r="B355" s="1" t="n">
        <v>44482</v>
      </c>
      <c r="C355" s="1" t="n">
        <v>45811</v>
      </c>
      <c r="D355" t="inlineStr">
        <is>
          <t>UPPSALA LÄN</t>
        </is>
      </c>
      <c r="E355" t="inlineStr">
        <is>
          <t>ENKÖPING</t>
        </is>
      </c>
      <c r="G355" t="n">
        <v>5.7</v>
      </c>
      <c r="H355" t="n">
        <v>0</v>
      </c>
      <c r="I355" t="n">
        <v>0</v>
      </c>
      <c r="J355" t="n">
        <v>0</v>
      </c>
      <c r="K355" t="n">
        <v>0</v>
      </c>
      <c r="L355" t="n">
        <v>0</v>
      </c>
      <c r="M355" t="n">
        <v>0</v>
      </c>
      <c r="N355" t="n">
        <v>0</v>
      </c>
      <c r="O355" t="n">
        <v>0</v>
      </c>
      <c r="P355" t="n">
        <v>0</v>
      </c>
      <c r="Q355" t="n">
        <v>0</v>
      </c>
      <c r="R355" s="2" t="inlineStr"/>
    </row>
    <row r="356" ht="15" customHeight="1">
      <c r="A356" t="inlineStr">
        <is>
          <t>A 57152-2021</t>
        </is>
      </c>
      <c r="B356" s="1" t="n">
        <v>44482</v>
      </c>
      <c r="C356" s="1" t="n">
        <v>45811</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59121-2021</t>
        </is>
      </c>
      <c r="B357" s="1" t="n">
        <v>44490</v>
      </c>
      <c r="C357" s="1" t="n">
        <v>45811</v>
      </c>
      <c r="D357" t="inlineStr">
        <is>
          <t>UPPSALA LÄN</t>
        </is>
      </c>
      <c r="E357" t="inlineStr">
        <is>
          <t>ENKÖPING</t>
        </is>
      </c>
      <c r="G357" t="n">
        <v>2.4</v>
      </c>
      <c r="H357" t="n">
        <v>0</v>
      </c>
      <c r="I357" t="n">
        <v>0</v>
      </c>
      <c r="J357" t="n">
        <v>0</v>
      </c>
      <c r="K357" t="n">
        <v>0</v>
      </c>
      <c r="L357" t="n">
        <v>0</v>
      </c>
      <c r="M357" t="n">
        <v>0</v>
      </c>
      <c r="N357" t="n">
        <v>0</v>
      </c>
      <c r="O357" t="n">
        <v>0</v>
      </c>
      <c r="P357" t="n">
        <v>0</v>
      </c>
      <c r="Q357" t="n">
        <v>0</v>
      </c>
      <c r="R357" s="2" t="inlineStr"/>
    </row>
    <row r="358" ht="15" customHeight="1">
      <c r="A358" t="inlineStr">
        <is>
          <t>A 60533-2021</t>
        </is>
      </c>
      <c r="B358" s="1" t="n">
        <v>44496</v>
      </c>
      <c r="C358" s="1" t="n">
        <v>45811</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60874-2021</t>
        </is>
      </c>
      <c r="B359" s="1" t="n">
        <v>44497</v>
      </c>
      <c r="C359" s="1" t="n">
        <v>45811</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61076-2021</t>
        </is>
      </c>
      <c r="B360" s="1" t="n">
        <v>44497</v>
      </c>
      <c r="C360" s="1" t="n">
        <v>45811</v>
      </c>
      <c r="D360" t="inlineStr">
        <is>
          <t>UPPSALA LÄN</t>
        </is>
      </c>
      <c r="E360" t="inlineStr">
        <is>
          <t>ENKÖPING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61553-2021</t>
        </is>
      </c>
      <c r="B361" s="1" t="n">
        <v>44501</v>
      </c>
      <c r="C361" s="1" t="n">
        <v>45811</v>
      </c>
      <c r="D361" t="inlineStr">
        <is>
          <t>UPPSALA LÄN</t>
        </is>
      </c>
      <c r="E361" t="inlineStr">
        <is>
          <t>ENKÖPING</t>
        </is>
      </c>
      <c r="G361" t="n">
        <v>1.3</v>
      </c>
      <c r="H361" t="n">
        <v>0</v>
      </c>
      <c r="I361" t="n">
        <v>0</v>
      </c>
      <c r="J361" t="n">
        <v>0</v>
      </c>
      <c r="K361" t="n">
        <v>0</v>
      </c>
      <c r="L361" t="n">
        <v>0</v>
      </c>
      <c r="M361" t="n">
        <v>0</v>
      </c>
      <c r="N361" t="n">
        <v>0</v>
      </c>
      <c r="O361" t="n">
        <v>0</v>
      </c>
      <c r="P361" t="n">
        <v>0</v>
      </c>
      <c r="Q361" t="n">
        <v>0</v>
      </c>
      <c r="R361" s="2" t="inlineStr"/>
    </row>
    <row r="362" ht="15" customHeight="1">
      <c r="A362" t="inlineStr">
        <is>
          <t>A 61952-2021</t>
        </is>
      </c>
      <c r="B362" s="1" t="n">
        <v>44502</v>
      </c>
      <c r="C362" s="1" t="n">
        <v>45811</v>
      </c>
      <c r="D362" t="inlineStr">
        <is>
          <t>UPPSALA LÄN</t>
        </is>
      </c>
      <c r="E362" t="inlineStr">
        <is>
          <t>ENKÖPING</t>
        </is>
      </c>
      <c r="G362" t="n">
        <v>2.3</v>
      </c>
      <c r="H362" t="n">
        <v>0</v>
      </c>
      <c r="I362" t="n">
        <v>0</v>
      </c>
      <c r="J362" t="n">
        <v>0</v>
      </c>
      <c r="K362" t="n">
        <v>0</v>
      </c>
      <c r="L362" t="n">
        <v>0</v>
      </c>
      <c r="M362" t="n">
        <v>0</v>
      </c>
      <c r="N362" t="n">
        <v>0</v>
      </c>
      <c r="O362" t="n">
        <v>0</v>
      </c>
      <c r="P362" t="n">
        <v>0</v>
      </c>
      <c r="Q362" t="n">
        <v>0</v>
      </c>
      <c r="R362" s="2" t="inlineStr"/>
    </row>
    <row r="363" ht="15" customHeight="1">
      <c r="A363" t="inlineStr">
        <is>
          <t>A 62046-2021</t>
        </is>
      </c>
      <c r="B363" s="1" t="n">
        <v>44502</v>
      </c>
      <c r="C363" s="1" t="n">
        <v>45811</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63310-2021</t>
        </is>
      </c>
      <c r="B364" s="1" t="n">
        <v>44508</v>
      </c>
      <c r="C364" s="1" t="n">
        <v>45811</v>
      </c>
      <c r="D364" t="inlineStr">
        <is>
          <t>UPPSALA LÄN</t>
        </is>
      </c>
      <c r="E364" t="inlineStr">
        <is>
          <t>ENKÖPING</t>
        </is>
      </c>
      <c r="G364" t="n">
        <v>3.5</v>
      </c>
      <c r="H364" t="n">
        <v>0</v>
      </c>
      <c r="I364" t="n">
        <v>0</v>
      </c>
      <c r="J364" t="n">
        <v>0</v>
      </c>
      <c r="K364" t="n">
        <v>0</v>
      </c>
      <c r="L364" t="n">
        <v>0</v>
      </c>
      <c r="M364" t="n">
        <v>0</v>
      </c>
      <c r="N364" t="n">
        <v>0</v>
      </c>
      <c r="O364" t="n">
        <v>0</v>
      </c>
      <c r="P364" t="n">
        <v>0</v>
      </c>
      <c r="Q364" t="n">
        <v>0</v>
      </c>
      <c r="R364" s="2" t="inlineStr"/>
    </row>
    <row r="365" ht="15" customHeight="1">
      <c r="A365" t="inlineStr">
        <is>
          <t>A 63400-2021</t>
        </is>
      </c>
      <c r="B365" s="1" t="n">
        <v>44508</v>
      </c>
      <c r="C365" s="1" t="n">
        <v>45811</v>
      </c>
      <c r="D365" t="inlineStr">
        <is>
          <t>UPPSALA LÄN</t>
        </is>
      </c>
      <c r="E365" t="inlineStr">
        <is>
          <t>ENKÖPING</t>
        </is>
      </c>
      <c r="G365" t="n">
        <v>2.1</v>
      </c>
      <c r="H365" t="n">
        <v>0</v>
      </c>
      <c r="I365" t="n">
        <v>0</v>
      </c>
      <c r="J365" t="n">
        <v>0</v>
      </c>
      <c r="K365" t="n">
        <v>0</v>
      </c>
      <c r="L365" t="n">
        <v>0</v>
      </c>
      <c r="M365" t="n">
        <v>0</v>
      </c>
      <c r="N365" t="n">
        <v>0</v>
      </c>
      <c r="O365" t="n">
        <v>0</v>
      </c>
      <c r="P365" t="n">
        <v>0</v>
      </c>
      <c r="Q365" t="n">
        <v>0</v>
      </c>
      <c r="R365" s="2" t="inlineStr"/>
    </row>
    <row r="366" ht="15" customHeight="1">
      <c r="A366" t="inlineStr">
        <is>
          <t>A 63405-2021</t>
        </is>
      </c>
      <c r="B366" s="1" t="n">
        <v>44508</v>
      </c>
      <c r="C366" s="1" t="n">
        <v>45811</v>
      </c>
      <c r="D366" t="inlineStr">
        <is>
          <t>UPPSALA LÄN</t>
        </is>
      </c>
      <c r="E366" t="inlineStr">
        <is>
          <t>ENKÖPING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67982-2021</t>
        </is>
      </c>
      <c r="B367" s="1" t="n">
        <v>44525</v>
      </c>
      <c r="C367" s="1" t="n">
        <v>45811</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67984-2021</t>
        </is>
      </c>
      <c r="B368" s="1" t="n">
        <v>44525</v>
      </c>
      <c r="C368" s="1" t="n">
        <v>45811</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68118-2021</t>
        </is>
      </c>
      <c r="B369" s="1" t="n">
        <v>44526</v>
      </c>
      <c r="C369" s="1" t="n">
        <v>45811</v>
      </c>
      <c r="D369" t="inlineStr">
        <is>
          <t>UPPSALA LÄN</t>
        </is>
      </c>
      <c r="E369" t="inlineStr">
        <is>
          <t>ENKÖPING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68127-2021</t>
        </is>
      </c>
      <c r="B370" s="1" t="n">
        <v>44526</v>
      </c>
      <c r="C370" s="1" t="n">
        <v>45811</v>
      </c>
      <c r="D370" t="inlineStr">
        <is>
          <t>UPPSALA LÄN</t>
        </is>
      </c>
      <c r="E370" t="inlineStr">
        <is>
          <t>ENKÖPING</t>
        </is>
      </c>
      <c r="G370" t="n">
        <v>0.8</v>
      </c>
      <c r="H370" t="n">
        <v>0</v>
      </c>
      <c r="I370" t="n">
        <v>0</v>
      </c>
      <c r="J370" t="n">
        <v>0</v>
      </c>
      <c r="K370" t="n">
        <v>0</v>
      </c>
      <c r="L370" t="n">
        <v>0</v>
      </c>
      <c r="M370" t="n">
        <v>0</v>
      </c>
      <c r="N370" t="n">
        <v>0</v>
      </c>
      <c r="O370" t="n">
        <v>0</v>
      </c>
      <c r="P370" t="n">
        <v>0</v>
      </c>
      <c r="Q370" t="n">
        <v>0</v>
      </c>
      <c r="R370" s="2" t="inlineStr"/>
    </row>
    <row r="371" ht="15" customHeight="1">
      <c r="A371" t="inlineStr">
        <is>
          <t>A 68107-2021</t>
        </is>
      </c>
      <c r="B371" s="1" t="n">
        <v>44526</v>
      </c>
      <c r="C371" s="1" t="n">
        <v>45811</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68130-2021</t>
        </is>
      </c>
      <c r="B372" s="1" t="n">
        <v>44526</v>
      </c>
      <c r="C372" s="1" t="n">
        <v>45811</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68123-2021</t>
        </is>
      </c>
      <c r="B373" s="1" t="n">
        <v>44526</v>
      </c>
      <c r="C373" s="1" t="n">
        <v>45811</v>
      </c>
      <c r="D373" t="inlineStr">
        <is>
          <t>UPPSALA LÄN</t>
        </is>
      </c>
      <c r="E373" t="inlineStr">
        <is>
          <t>ENKÖPING</t>
        </is>
      </c>
      <c r="G373" t="n">
        <v>0.9</v>
      </c>
      <c r="H373" t="n">
        <v>0</v>
      </c>
      <c r="I373" t="n">
        <v>0</v>
      </c>
      <c r="J373" t="n">
        <v>0</v>
      </c>
      <c r="K373" t="n">
        <v>0</v>
      </c>
      <c r="L373" t="n">
        <v>0</v>
      </c>
      <c r="M373" t="n">
        <v>0</v>
      </c>
      <c r="N373" t="n">
        <v>0</v>
      </c>
      <c r="O373" t="n">
        <v>0</v>
      </c>
      <c r="P373" t="n">
        <v>0</v>
      </c>
      <c r="Q373" t="n">
        <v>0</v>
      </c>
      <c r="R373" s="2" t="inlineStr"/>
    </row>
    <row r="374" ht="15" customHeight="1">
      <c r="A374" t="inlineStr">
        <is>
          <t>A 69344-2021</t>
        </is>
      </c>
      <c r="B374" s="1" t="n">
        <v>44531</v>
      </c>
      <c r="C374" s="1" t="n">
        <v>45811</v>
      </c>
      <c r="D374" t="inlineStr">
        <is>
          <t>UPPSALA LÄN</t>
        </is>
      </c>
      <c r="E374" t="inlineStr">
        <is>
          <t>ENKÖPING</t>
        </is>
      </c>
      <c r="G374" t="n">
        <v>2.9</v>
      </c>
      <c r="H374" t="n">
        <v>0</v>
      </c>
      <c r="I374" t="n">
        <v>0</v>
      </c>
      <c r="J374" t="n">
        <v>0</v>
      </c>
      <c r="K374" t="n">
        <v>0</v>
      </c>
      <c r="L374" t="n">
        <v>0</v>
      </c>
      <c r="M374" t="n">
        <v>0</v>
      </c>
      <c r="N374" t="n">
        <v>0</v>
      </c>
      <c r="O374" t="n">
        <v>0</v>
      </c>
      <c r="P374" t="n">
        <v>0</v>
      </c>
      <c r="Q374" t="n">
        <v>0</v>
      </c>
      <c r="R374" s="2" t="inlineStr"/>
    </row>
    <row r="375" ht="15" customHeight="1">
      <c r="A375" t="inlineStr">
        <is>
          <t>A 69791-2021</t>
        </is>
      </c>
      <c r="B375" s="1" t="n">
        <v>44532</v>
      </c>
      <c r="C375" s="1" t="n">
        <v>45811</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69794-2021</t>
        </is>
      </c>
      <c r="B376" s="1" t="n">
        <v>44532</v>
      </c>
      <c r="C376" s="1" t="n">
        <v>45811</v>
      </c>
      <c r="D376" t="inlineStr">
        <is>
          <t>UPPSALA LÄN</t>
        </is>
      </c>
      <c r="E376" t="inlineStr">
        <is>
          <t>ENKÖPING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69879-2021</t>
        </is>
      </c>
      <c r="B377" s="1" t="n">
        <v>44532</v>
      </c>
      <c r="C377" s="1" t="n">
        <v>45811</v>
      </c>
      <c r="D377" t="inlineStr">
        <is>
          <t>UPPSALA LÄN</t>
        </is>
      </c>
      <c r="E377" t="inlineStr">
        <is>
          <t>ENKÖPING</t>
        </is>
      </c>
      <c r="G377" t="n">
        <v>4.2</v>
      </c>
      <c r="H377" t="n">
        <v>0</v>
      </c>
      <c r="I377" t="n">
        <v>0</v>
      </c>
      <c r="J377" t="n">
        <v>0</v>
      </c>
      <c r="K377" t="n">
        <v>0</v>
      </c>
      <c r="L377" t="n">
        <v>0</v>
      </c>
      <c r="M377" t="n">
        <v>0</v>
      </c>
      <c r="N377" t="n">
        <v>0</v>
      </c>
      <c r="O377" t="n">
        <v>0</v>
      </c>
      <c r="P377" t="n">
        <v>0</v>
      </c>
      <c r="Q377" t="n">
        <v>0</v>
      </c>
      <c r="R377" s="2" t="inlineStr"/>
    </row>
    <row r="378" ht="15" customHeight="1">
      <c r="A378" t="inlineStr">
        <is>
          <t>A 71641-2021</t>
        </is>
      </c>
      <c r="B378" s="1" t="n">
        <v>44543</v>
      </c>
      <c r="C378" s="1" t="n">
        <v>45811</v>
      </c>
      <c r="D378" t="inlineStr">
        <is>
          <t>UPPSALA LÄN</t>
        </is>
      </c>
      <c r="E378" t="inlineStr">
        <is>
          <t>ENKÖPING</t>
        </is>
      </c>
      <c r="G378" t="n">
        <v>3</v>
      </c>
      <c r="H378" t="n">
        <v>0</v>
      </c>
      <c r="I378" t="n">
        <v>0</v>
      </c>
      <c r="J378" t="n">
        <v>0</v>
      </c>
      <c r="K378" t="n">
        <v>0</v>
      </c>
      <c r="L378" t="n">
        <v>0</v>
      </c>
      <c r="M378" t="n">
        <v>0</v>
      </c>
      <c r="N378" t="n">
        <v>0</v>
      </c>
      <c r="O378" t="n">
        <v>0</v>
      </c>
      <c r="P378" t="n">
        <v>0</v>
      </c>
      <c r="Q378" t="n">
        <v>0</v>
      </c>
      <c r="R378" s="2" t="inlineStr"/>
    </row>
    <row r="379" ht="15" customHeight="1">
      <c r="A379" t="inlineStr">
        <is>
          <t>A 72628-2021</t>
        </is>
      </c>
      <c r="B379" s="1" t="n">
        <v>44546</v>
      </c>
      <c r="C379" s="1" t="n">
        <v>45811</v>
      </c>
      <c r="D379" t="inlineStr">
        <is>
          <t>UPPSALA LÄN</t>
        </is>
      </c>
      <c r="E379" t="inlineStr">
        <is>
          <t>ENKÖPING</t>
        </is>
      </c>
      <c r="F379" t="inlineStr">
        <is>
          <t>Allmännings- och besparingsskogar</t>
        </is>
      </c>
      <c r="G379" t="n">
        <v>7.1</v>
      </c>
      <c r="H379" t="n">
        <v>0</v>
      </c>
      <c r="I379" t="n">
        <v>0</v>
      </c>
      <c r="J379" t="n">
        <v>0</v>
      </c>
      <c r="K379" t="n">
        <v>0</v>
      </c>
      <c r="L379" t="n">
        <v>0</v>
      </c>
      <c r="M379" t="n">
        <v>0</v>
      </c>
      <c r="N379" t="n">
        <v>0</v>
      </c>
      <c r="O379" t="n">
        <v>0</v>
      </c>
      <c r="P379" t="n">
        <v>0</v>
      </c>
      <c r="Q379" t="n">
        <v>0</v>
      </c>
      <c r="R379" s="2" t="inlineStr"/>
    </row>
    <row r="380" ht="15" customHeight="1">
      <c r="A380" t="inlineStr">
        <is>
          <t>A 72840-2021</t>
        </is>
      </c>
      <c r="B380" s="1" t="n">
        <v>44547</v>
      </c>
      <c r="C380" s="1" t="n">
        <v>45811</v>
      </c>
      <c r="D380" t="inlineStr">
        <is>
          <t>UPPSALA LÄN</t>
        </is>
      </c>
      <c r="E380" t="inlineStr">
        <is>
          <t>ENKÖPING</t>
        </is>
      </c>
      <c r="G380" t="n">
        <v>1.9</v>
      </c>
      <c r="H380" t="n">
        <v>0</v>
      </c>
      <c r="I380" t="n">
        <v>0</v>
      </c>
      <c r="J380" t="n">
        <v>0</v>
      </c>
      <c r="K380" t="n">
        <v>0</v>
      </c>
      <c r="L380" t="n">
        <v>0</v>
      </c>
      <c r="M380" t="n">
        <v>0</v>
      </c>
      <c r="N380" t="n">
        <v>0</v>
      </c>
      <c r="O380" t="n">
        <v>0</v>
      </c>
      <c r="P380" t="n">
        <v>0</v>
      </c>
      <c r="Q380" t="n">
        <v>0</v>
      </c>
      <c r="R380" s="2" t="inlineStr"/>
    </row>
    <row r="381" ht="15" customHeight="1">
      <c r="A381" t="inlineStr">
        <is>
          <t>A 74090-2021</t>
        </is>
      </c>
      <c r="B381" s="1" t="n">
        <v>44557</v>
      </c>
      <c r="C381" s="1" t="n">
        <v>45811</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498-2022</t>
        </is>
      </c>
      <c r="B382" s="1" t="n">
        <v>44566</v>
      </c>
      <c r="C382" s="1" t="n">
        <v>45811</v>
      </c>
      <c r="D382" t="inlineStr">
        <is>
          <t>UPPSALA LÄN</t>
        </is>
      </c>
      <c r="E382" t="inlineStr">
        <is>
          <t>ENKÖPING</t>
        </is>
      </c>
      <c r="F382" t="inlineStr">
        <is>
          <t>Övriga statliga verk och myndigheter</t>
        </is>
      </c>
      <c r="G382" t="n">
        <v>11.1</v>
      </c>
      <c r="H382" t="n">
        <v>0</v>
      </c>
      <c r="I382" t="n">
        <v>0</v>
      </c>
      <c r="J382" t="n">
        <v>0</v>
      </c>
      <c r="K382" t="n">
        <v>0</v>
      </c>
      <c r="L382" t="n">
        <v>0</v>
      </c>
      <c r="M382" t="n">
        <v>0</v>
      </c>
      <c r="N382" t="n">
        <v>0</v>
      </c>
      <c r="O382" t="n">
        <v>0</v>
      </c>
      <c r="P382" t="n">
        <v>0</v>
      </c>
      <c r="Q382" t="n">
        <v>0</v>
      </c>
      <c r="R382" s="2" t="inlineStr"/>
    </row>
    <row r="383" ht="15" customHeight="1">
      <c r="A383" t="inlineStr">
        <is>
          <t>A 671-2022</t>
        </is>
      </c>
      <c r="B383" s="1" t="n">
        <v>44568</v>
      </c>
      <c r="C383" s="1" t="n">
        <v>45811</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1971-2022</t>
        </is>
      </c>
      <c r="B384" s="1" t="n">
        <v>44575</v>
      </c>
      <c r="C384" s="1" t="n">
        <v>45811</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1962-2022</t>
        </is>
      </c>
      <c r="B385" s="1" t="n">
        <v>44575</v>
      </c>
      <c r="C385" s="1" t="n">
        <v>45811</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1979-2022</t>
        </is>
      </c>
      <c r="B386" s="1" t="n">
        <v>44575</v>
      </c>
      <c r="C386" s="1" t="n">
        <v>45811</v>
      </c>
      <c r="D386" t="inlineStr">
        <is>
          <t>UPPSALA LÄN</t>
        </is>
      </c>
      <c r="E386" t="inlineStr">
        <is>
          <t>ENKÖPING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1992-2022</t>
        </is>
      </c>
      <c r="B387" s="1" t="n">
        <v>44575</v>
      </c>
      <c r="C387" s="1" t="n">
        <v>45811</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1960-2022</t>
        </is>
      </c>
      <c r="B388" s="1" t="n">
        <v>44575</v>
      </c>
      <c r="C388" s="1" t="n">
        <v>45811</v>
      </c>
      <c r="D388" t="inlineStr">
        <is>
          <t>UPPSALA LÄN</t>
        </is>
      </c>
      <c r="E388" t="inlineStr">
        <is>
          <t>ENKÖPING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1965-2022</t>
        </is>
      </c>
      <c r="B389" s="1" t="n">
        <v>44575</v>
      </c>
      <c r="C389" s="1" t="n">
        <v>45811</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2680-2022</t>
        </is>
      </c>
      <c r="B390" s="1" t="n">
        <v>44580</v>
      </c>
      <c r="C390" s="1" t="n">
        <v>45811</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3861-2022</t>
        </is>
      </c>
      <c r="B391" s="1" t="n">
        <v>44587</v>
      </c>
      <c r="C391" s="1" t="n">
        <v>45811</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4170-2022</t>
        </is>
      </c>
      <c r="B392" s="1" t="n">
        <v>44588</v>
      </c>
      <c r="C392" s="1" t="n">
        <v>45811</v>
      </c>
      <c r="D392" t="inlineStr">
        <is>
          <t>UPPSALA LÄN</t>
        </is>
      </c>
      <c r="E392" t="inlineStr">
        <is>
          <t>ENKÖPING</t>
        </is>
      </c>
      <c r="G392" t="n">
        <v>2</v>
      </c>
      <c r="H392" t="n">
        <v>0</v>
      </c>
      <c r="I392" t="n">
        <v>0</v>
      </c>
      <c r="J392" t="n">
        <v>0</v>
      </c>
      <c r="K392" t="n">
        <v>0</v>
      </c>
      <c r="L392" t="n">
        <v>0</v>
      </c>
      <c r="M392" t="n">
        <v>0</v>
      </c>
      <c r="N392" t="n">
        <v>0</v>
      </c>
      <c r="O392" t="n">
        <v>0</v>
      </c>
      <c r="P392" t="n">
        <v>0</v>
      </c>
      <c r="Q392" t="n">
        <v>0</v>
      </c>
      <c r="R392" s="2" t="inlineStr"/>
    </row>
    <row r="393" ht="15" customHeight="1">
      <c r="A393" t="inlineStr">
        <is>
          <t>A 5188-2022</t>
        </is>
      </c>
      <c r="B393" s="1" t="n">
        <v>44594</v>
      </c>
      <c r="C393" s="1" t="n">
        <v>45811</v>
      </c>
      <c r="D393" t="inlineStr">
        <is>
          <t>UPPSALA LÄN</t>
        </is>
      </c>
      <c r="E393" t="inlineStr">
        <is>
          <t>ENKÖPING</t>
        </is>
      </c>
      <c r="G393" t="n">
        <v>1.6</v>
      </c>
      <c r="H393" t="n">
        <v>0</v>
      </c>
      <c r="I393" t="n">
        <v>0</v>
      </c>
      <c r="J393" t="n">
        <v>0</v>
      </c>
      <c r="K393" t="n">
        <v>0</v>
      </c>
      <c r="L393" t="n">
        <v>0</v>
      </c>
      <c r="M393" t="n">
        <v>0</v>
      </c>
      <c r="N393" t="n">
        <v>0</v>
      </c>
      <c r="O393" t="n">
        <v>0</v>
      </c>
      <c r="P393" t="n">
        <v>0</v>
      </c>
      <c r="Q393" t="n">
        <v>0</v>
      </c>
      <c r="R393" s="2" t="inlineStr"/>
    </row>
    <row r="394" ht="15" customHeight="1">
      <c r="A394" t="inlineStr">
        <is>
          <t>A 5526-2022</t>
        </is>
      </c>
      <c r="B394" s="1" t="n">
        <v>44595</v>
      </c>
      <c r="C394" s="1" t="n">
        <v>45811</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6356-2022</t>
        </is>
      </c>
      <c r="B395" s="1" t="n">
        <v>44600</v>
      </c>
      <c r="C395" s="1" t="n">
        <v>45811</v>
      </c>
      <c r="D395" t="inlineStr">
        <is>
          <t>UPPSALA LÄN</t>
        </is>
      </c>
      <c r="E395" t="inlineStr">
        <is>
          <t>ENKÖPING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7090-2022</t>
        </is>
      </c>
      <c r="B396" s="1" t="n">
        <v>44603</v>
      </c>
      <c r="C396" s="1" t="n">
        <v>45811</v>
      </c>
      <c r="D396" t="inlineStr">
        <is>
          <t>UPPSALA LÄN</t>
        </is>
      </c>
      <c r="E396" t="inlineStr">
        <is>
          <t>ENKÖPING</t>
        </is>
      </c>
      <c r="G396" t="n">
        <v>2.8</v>
      </c>
      <c r="H396" t="n">
        <v>0</v>
      </c>
      <c r="I396" t="n">
        <v>0</v>
      </c>
      <c r="J396" t="n">
        <v>0</v>
      </c>
      <c r="K396" t="n">
        <v>0</v>
      </c>
      <c r="L396" t="n">
        <v>0</v>
      </c>
      <c r="M396" t="n">
        <v>0</v>
      </c>
      <c r="N396" t="n">
        <v>0</v>
      </c>
      <c r="O396" t="n">
        <v>0</v>
      </c>
      <c r="P396" t="n">
        <v>0</v>
      </c>
      <c r="Q396" t="n">
        <v>0</v>
      </c>
      <c r="R396" s="2" t="inlineStr"/>
    </row>
    <row r="397" ht="15" customHeight="1">
      <c r="A397" t="inlineStr">
        <is>
          <t>A 7284-2022</t>
        </is>
      </c>
      <c r="B397" s="1" t="n">
        <v>44606</v>
      </c>
      <c r="C397" s="1" t="n">
        <v>45811</v>
      </c>
      <c r="D397" t="inlineStr">
        <is>
          <t>UPPSALA LÄN</t>
        </is>
      </c>
      <c r="E397" t="inlineStr">
        <is>
          <t>ENKÖPING</t>
        </is>
      </c>
      <c r="G397" t="n">
        <v>6.4</v>
      </c>
      <c r="H397" t="n">
        <v>0</v>
      </c>
      <c r="I397" t="n">
        <v>0</v>
      </c>
      <c r="J397" t="n">
        <v>0</v>
      </c>
      <c r="K397" t="n">
        <v>0</v>
      </c>
      <c r="L397" t="n">
        <v>0</v>
      </c>
      <c r="M397" t="n">
        <v>0</v>
      </c>
      <c r="N397" t="n">
        <v>0</v>
      </c>
      <c r="O397" t="n">
        <v>0</v>
      </c>
      <c r="P397" t="n">
        <v>0</v>
      </c>
      <c r="Q397" t="n">
        <v>0</v>
      </c>
      <c r="R397" s="2" t="inlineStr"/>
    </row>
    <row r="398" ht="15" customHeight="1">
      <c r="A398" t="inlineStr">
        <is>
          <t>A 7463-2022</t>
        </is>
      </c>
      <c r="B398" s="1" t="n">
        <v>44607</v>
      </c>
      <c r="C398" s="1" t="n">
        <v>45811</v>
      </c>
      <c r="D398" t="inlineStr">
        <is>
          <t>UPPSALA LÄN</t>
        </is>
      </c>
      <c r="E398" t="inlineStr">
        <is>
          <t>ENKÖPING</t>
        </is>
      </c>
      <c r="F398" t="inlineStr">
        <is>
          <t>Övriga statliga verk och myndigheter</t>
        </is>
      </c>
      <c r="G398" t="n">
        <v>2.1</v>
      </c>
      <c r="H398" t="n">
        <v>0</v>
      </c>
      <c r="I398" t="n">
        <v>0</v>
      </c>
      <c r="J398" t="n">
        <v>0</v>
      </c>
      <c r="K398" t="n">
        <v>0</v>
      </c>
      <c r="L398" t="n">
        <v>0</v>
      </c>
      <c r="M398" t="n">
        <v>0</v>
      </c>
      <c r="N398" t="n">
        <v>0</v>
      </c>
      <c r="O398" t="n">
        <v>0</v>
      </c>
      <c r="P398" t="n">
        <v>0</v>
      </c>
      <c r="Q398" t="n">
        <v>0</v>
      </c>
      <c r="R398" s="2" t="inlineStr"/>
    </row>
    <row r="399" ht="15" customHeight="1">
      <c r="A399" t="inlineStr">
        <is>
          <t>A 8020-2022</t>
        </is>
      </c>
      <c r="B399" s="1" t="n">
        <v>44609</v>
      </c>
      <c r="C399" s="1" t="n">
        <v>45811</v>
      </c>
      <c r="D399" t="inlineStr">
        <is>
          <t>UPPSALA LÄN</t>
        </is>
      </c>
      <c r="E399" t="inlineStr">
        <is>
          <t>ENKÖPING</t>
        </is>
      </c>
      <c r="G399" t="n">
        <v>6</v>
      </c>
      <c r="H399" t="n">
        <v>0</v>
      </c>
      <c r="I399" t="n">
        <v>0</v>
      </c>
      <c r="J399" t="n">
        <v>0</v>
      </c>
      <c r="K399" t="n">
        <v>0</v>
      </c>
      <c r="L399" t="n">
        <v>0</v>
      </c>
      <c r="M399" t="n">
        <v>0</v>
      </c>
      <c r="N399" t="n">
        <v>0</v>
      </c>
      <c r="O399" t="n">
        <v>0</v>
      </c>
      <c r="P399" t="n">
        <v>0</v>
      </c>
      <c r="Q399" t="n">
        <v>0</v>
      </c>
      <c r="R399" s="2" t="inlineStr"/>
    </row>
    <row r="400" ht="15" customHeight="1">
      <c r="A400" t="inlineStr">
        <is>
          <t>A 8152-2022</t>
        </is>
      </c>
      <c r="B400" s="1" t="n">
        <v>44609</v>
      </c>
      <c r="C400" s="1" t="n">
        <v>45811</v>
      </c>
      <c r="D400" t="inlineStr">
        <is>
          <t>UPPSALA LÄN</t>
        </is>
      </c>
      <c r="E400" t="inlineStr">
        <is>
          <t>ENKÖPING</t>
        </is>
      </c>
      <c r="F400" t="inlineStr">
        <is>
          <t>Kyrkan</t>
        </is>
      </c>
      <c r="G400" t="n">
        <v>1.3</v>
      </c>
      <c r="H400" t="n">
        <v>0</v>
      </c>
      <c r="I400" t="n">
        <v>0</v>
      </c>
      <c r="J400" t="n">
        <v>0</v>
      </c>
      <c r="K400" t="n">
        <v>0</v>
      </c>
      <c r="L400" t="n">
        <v>0</v>
      </c>
      <c r="M400" t="n">
        <v>0</v>
      </c>
      <c r="N400" t="n">
        <v>0</v>
      </c>
      <c r="O400" t="n">
        <v>0</v>
      </c>
      <c r="P400" t="n">
        <v>0</v>
      </c>
      <c r="Q400" t="n">
        <v>0</v>
      </c>
      <c r="R400" s="2" t="inlineStr"/>
    </row>
    <row r="401" ht="15" customHeight="1">
      <c r="A401" t="inlineStr">
        <is>
          <t>A 10202-2022</t>
        </is>
      </c>
      <c r="B401" s="1" t="n">
        <v>44622</v>
      </c>
      <c r="C401" s="1" t="n">
        <v>45811</v>
      </c>
      <c r="D401" t="inlineStr">
        <is>
          <t>UPPSALA LÄN</t>
        </is>
      </c>
      <c r="E401" t="inlineStr">
        <is>
          <t>ENKÖPING</t>
        </is>
      </c>
      <c r="G401" t="n">
        <v>5.6</v>
      </c>
      <c r="H401" t="n">
        <v>0</v>
      </c>
      <c r="I401" t="n">
        <v>0</v>
      </c>
      <c r="J401" t="n">
        <v>0</v>
      </c>
      <c r="K401" t="n">
        <v>0</v>
      </c>
      <c r="L401" t="n">
        <v>0</v>
      </c>
      <c r="M401" t="n">
        <v>0</v>
      </c>
      <c r="N401" t="n">
        <v>0</v>
      </c>
      <c r="O401" t="n">
        <v>0</v>
      </c>
      <c r="P401" t="n">
        <v>0</v>
      </c>
      <c r="Q401" t="n">
        <v>0</v>
      </c>
      <c r="R401" s="2" t="inlineStr"/>
    </row>
    <row r="402" ht="15" customHeight="1">
      <c r="A402" t="inlineStr">
        <is>
          <t>A 10207-2022</t>
        </is>
      </c>
      <c r="B402" s="1" t="n">
        <v>44622</v>
      </c>
      <c r="C402" s="1" t="n">
        <v>45811</v>
      </c>
      <c r="D402" t="inlineStr">
        <is>
          <t>UPPSALA LÄN</t>
        </is>
      </c>
      <c r="E402" t="inlineStr">
        <is>
          <t>ENKÖPING</t>
        </is>
      </c>
      <c r="G402" t="n">
        <v>4.9</v>
      </c>
      <c r="H402" t="n">
        <v>0</v>
      </c>
      <c r="I402" t="n">
        <v>0</v>
      </c>
      <c r="J402" t="n">
        <v>0</v>
      </c>
      <c r="K402" t="n">
        <v>0</v>
      </c>
      <c r="L402" t="n">
        <v>0</v>
      </c>
      <c r="M402" t="n">
        <v>0</v>
      </c>
      <c r="N402" t="n">
        <v>0</v>
      </c>
      <c r="O402" t="n">
        <v>0</v>
      </c>
      <c r="P402" t="n">
        <v>0</v>
      </c>
      <c r="Q402" t="n">
        <v>0</v>
      </c>
      <c r="R402" s="2" t="inlineStr"/>
    </row>
    <row r="403" ht="15" customHeight="1">
      <c r="A403" t="inlineStr">
        <is>
          <t>A 10458-2022</t>
        </is>
      </c>
      <c r="B403" s="1" t="n">
        <v>44623</v>
      </c>
      <c r="C403" s="1" t="n">
        <v>45811</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10465-2022</t>
        </is>
      </c>
      <c r="B404" s="1" t="n">
        <v>44623</v>
      </c>
      <c r="C404" s="1" t="n">
        <v>45811</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14531-2022</t>
        </is>
      </c>
      <c r="B405" s="1" t="n">
        <v>44655</v>
      </c>
      <c r="C405" s="1" t="n">
        <v>45811</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15021-2022</t>
        </is>
      </c>
      <c r="B406" s="1" t="n">
        <v>44657</v>
      </c>
      <c r="C406" s="1" t="n">
        <v>45811</v>
      </c>
      <c r="D406" t="inlineStr">
        <is>
          <t>UPPSALA LÄN</t>
        </is>
      </c>
      <c r="E406" t="inlineStr">
        <is>
          <t>ENKÖPING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15924-2022</t>
        </is>
      </c>
      <c r="B407" s="1" t="n">
        <v>44664</v>
      </c>
      <c r="C407" s="1" t="n">
        <v>45811</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15942-2022</t>
        </is>
      </c>
      <c r="B408" s="1" t="n">
        <v>44664</v>
      </c>
      <c r="C408" s="1" t="n">
        <v>45811</v>
      </c>
      <c r="D408" t="inlineStr">
        <is>
          <t>UPPSALA LÄN</t>
        </is>
      </c>
      <c r="E408" t="inlineStr">
        <is>
          <t>ENKÖPING</t>
        </is>
      </c>
      <c r="G408" t="n">
        <v>6.6</v>
      </c>
      <c r="H408" t="n">
        <v>0</v>
      </c>
      <c r="I408" t="n">
        <v>0</v>
      </c>
      <c r="J408" t="n">
        <v>0</v>
      </c>
      <c r="K408" t="n">
        <v>0</v>
      </c>
      <c r="L408" t="n">
        <v>0</v>
      </c>
      <c r="M408" t="n">
        <v>0</v>
      </c>
      <c r="N408" t="n">
        <v>0</v>
      </c>
      <c r="O408" t="n">
        <v>0</v>
      </c>
      <c r="P408" t="n">
        <v>0</v>
      </c>
      <c r="Q408" t="n">
        <v>0</v>
      </c>
      <c r="R408" s="2" t="inlineStr"/>
    </row>
    <row r="409" ht="15" customHeight="1">
      <c r="A409" t="inlineStr">
        <is>
          <t>A 15943-2022</t>
        </is>
      </c>
      <c r="B409" s="1" t="n">
        <v>44664</v>
      </c>
      <c r="C409" s="1" t="n">
        <v>45811</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15939-2022</t>
        </is>
      </c>
      <c r="B410" s="1" t="n">
        <v>44664</v>
      </c>
      <c r="C410" s="1" t="n">
        <v>45811</v>
      </c>
      <c r="D410" t="inlineStr">
        <is>
          <t>UPPSALA LÄN</t>
        </is>
      </c>
      <c r="E410" t="inlineStr">
        <is>
          <t>ENKÖPING</t>
        </is>
      </c>
      <c r="G410" t="n">
        <v>2</v>
      </c>
      <c r="H410" t="n">
        <v>0</v>
      </c>
      <c r="I410" t="n">
        <v>0</v>
      </c>
      <c r="J410" t="n">
        <v>0</v>
      </c>
      <c r="K410" t="n">
        <v>0</v>
      </c>
      <c r="L410" t="n">
        <v>0</v>
      </c>
      <c r="M410" t="n">
        <v>0</v>
      </c>
      <c r="N410" t="n">
        <v>0</v>
      </c>
      <c r="O410" t="n">
        <v>0</v>
      </c>
      <c r="P410" t="n">
        <v>0</v>
      </c>
      <c r="Q410" t="n">
        <v>0</v>
      </c>
      <c r="R410" s="2" t="inlineStr"/>
    </row>
    <row r="411" ht="15" customHeight="1">
      <c r="A411" t="inlineStr">
        <is>
          <t>A 16916-2022</t>
        </is>
      </c>
      <c r="B411" s="1" t="n">
        <v>44676</v>
      </c>
      <c r="C411" s="1" t="n">
        <v>45811</v>
      </c>
      <c r="D411" t="inlineStr">
        <is>
          <t>UPPSALA LÄN</t>
        </is>
      </c>
      <c r="E411" t="inlineStr">
        <is>
          <t>ENKÖPING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16967-2022</t>
        </is>
      </c>
      <c r="B412" s="1" t="n">
        <v>44676</v>
      </c>
      <c r="C412" s="1" t="n">
        <v>45811</v>
      </c>
      <c r="D412" t="inlineStr">
        <is>
          <t>UPPSALA LÄN</t>
        </is>
      </c>
      <c r="E412" t="inlineStr">
        <is>
          <t>ENKÖPING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17298-2022</t>
        </is>
      </c>
      <c r="B413" s="1" t="n">
        <v>44678</v>
      </c>
      <c r="C413" s="1" t="n">
        <v>45811</v>
      </c>
      <c r="D413" t="inlineStr">
        <is>
          <t>UPPSALA LÄN</t>
        </is>
      </c>
      <c r="E413" t="inlineStr">
        <is>
          <t>ENKÖPING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17465-2022</t>
        </is>
      </c>
      <c r="B414" s="1" t="n">
        <v>44679</v>
      </c>
      <c r="C414" s="1" t="n">
        <v>45811</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17467-2022</t>
        </is>
      </c>
      <c r="B415" s="1" t="n">
        <v>44679</v>
      </c>
      <c r="C415" s="1" t="n">
        <v>45811</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17453-2022</t>
        </is>
      </c>
      <c r="B416" s="1" t="n">
        <v>44679</v>
      </c>
      <c r="C416" s="1" t="n">
        <v>45811</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17719-2022</t>
        </is>
      </c>
      <c r="B417" s="1" t="n">
        <v>44680</v>
      </c>
      <c r="C417" s="1" t="n">
        <v>45811</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17704-2022</t>
        </is>
      </c>
      <c r="B418" s="1" t="n">
        <v>44680</v>
      </c>
      <c r="C418" s="1" t="n">
        <v>45811</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18785-2022</t>
        </is>
      </c>
      <c r="B419" s="1" t="n">
        <v>44687</v>
      </c>
      <c r="C419" s="1" t="n">
        <v>45811</v>
      </c>
      <c r="D419" t="inlineStr">
        <is>
          <t>UPPSALA LÄN</t>
        </is>
      </c>
      <c r="E419" t="inlineStr">
        <is>
          <t>ENKÖPING</t>
        </is>
      </c>
      <c r="G419" t="n">
        <v>3.4</v>
      </c>
      <c r="H419" t="n">
        <v>0</v>
      </c>
      <c r="I419" t="n">
        <v>0</v>
      </c>
      <c r="J419" t="n">
        <v>0</v>
      </c>
      <c r="K419" t="n">
        <v>0</v>
      </c>
      <c r="L419" t="n">
        <v>0</v>
      </c>
      <c r="M419" t="n">
        <v>0</v>
      </c>
      <c r="N419" t="n">
        <v>0</v>
      </c>
      <c r="O419" t="n">
        <v>0</v>
      </c>
      <c r="P419" t="n">
        <v>0</v>
      </c>
      <c r="Q419" t="n">
        <v>0</v>
      </c>
      <c r="R419" s="2" t="inlineStr"/>
    </row>
    <row r="420" ht="15" customHeight="1">
      <c r="A420" t="inlineStr">
        <is>
          <t>A 19487-2022</t>
        </is>
      </c>
      <c r="B420" s="1" t="n">
        <v>44693</v>
      </c>
      <c r="C420" s="1" t="n">
        <v>45811</v>
      </c>
      <c r="D420" t="inlineStr">
        <is>
          <t>UPPSALA LÄN</t>
        </is>
      </c>
      <c r="E420" t="inlineStr">
        <is>
          <t>ENKÖPING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19488-2022</t>
        </is>
      </c>
      <c r="B421" s="1" t="n">
        <v>44693</v>
      </c>
      <c r="C421" s="1" t="n">
        <v>45811</v>
      </c>
      <c r="D421" t="inlineStr">
        <is>
          <t>UPPSALA LÄN</t>
        </is>
      </c>
      <c r="E421" t="inlineStr">
        <is>
          <t>ENKÖPING</t>
        </is>
      </c>
      <c r="G421" t="n">
        <v>7.8</v>
      </c>
      <c r="H421" t="n">
        <v>0</v>
      </c>
      <c r="I421" t="n">
        <v>0</v>
      </c>
      <c r="J421" t="n">
        <v>0</v>
      </c>
      <c r="K421" t="n">
        <v>0</v>
      </c>
      <c r="L421" t="n">
        <v>0</v>
      </c>
      <c r="M421" t="n">
        <v>0</v>
      </c>
      <c r="N421" t="n">
        <v>0</v>
      </c>
      <c r="O421" t="n">
        <v>0</v>
      </c>
      <c r="P421" t="n">
        <v>0</v>
      </c>
      <c r="Q421" t="n">
        <v>0</v>
      </c>
      <c r="R421" s="2" t="inlineStr"/>
    </row>
    <row r="422" ht="15" customHeight="1">
      <c r="A422" t="inlineStr">
        <is>
          <t>A 19731-2022</t>
        </is>
      </c>
      <c r="B422" s="1" t="n">
        <v>44694</v>
      </c>
      <c r="C422" s="1" t="n">
        <v>45811</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19965-2022</t>
        </is>
      </c>
      <c r="B423" s="1" t="n">
        <v>44697</v>
      </c>
      <c r="C423" s="1" t="n">
        <v>45811</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20321-2022</t>
        </is>
      </c>
      <c r="B424" s="1" t="n">
        <v>44699</v>
      </c>
      <c r="C424" s="1" t="n">
        <v>45811</v>
      </c>
      <c r="D424" t="inlineStr">
        <is>
          <t>UPPSALA LÄN</t>
        </is>
      </c>
      <c r="E424" t="inlineStr">
        <is>
          <t>ENKÖPING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23307-2022</t>
        </is>
      </c>
      <c r="B425" s="1" t="n">
        <v>44720</v>
      </c>
      <c r="C425" s="1" t="n">
        <v>45811</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24141-2022</t>
        </is>
      </c>
      <c r="B426" s="1" t="n">
        <v>44725</v>
      </c>
      <c r="C426" s="1" t="n">
        <v>45811</v>
      </c>
      <c r="D426" t="inlineStr">
        <is>
          <t>UPPSALA LÄN</t>
        </is>
      </c>
      <c r="E426" t="inlineStr">
        <is>
          <t>ENKÖPING</t>
        </is>
      </c>
      <c r="G426" t="n">
        <v>5.2</v>
      </c>
      <c r="H426" t="n">
        <v>0</v>
      </c>
      <c r="I426" t="n">
        <v>0</v>
      </c>
      <c r="J426" t="n">
        <v>0</v>
      </c>
      <c r="K426" t="n">
        <v>0</v>
      </c>
      <c r="L426" t="n">
        <v>0</v>
      </c>
      <c r="M426" t="n">
        <v>0</v>
      </c>
      <c r="N426" t="n">
        <v>0</v>
      </c>
      <c r="O426" t="n">
        <v>0</v>
      </c>
      <c r="P426" t="n">
        <v>0</v>
      </c>
      <c r="Q426" t="n">
        <v>0</v>
      </c>
      <c r="R426" s="2" t="inlineStr"/>
    </row>
    <row r="427" ht="15" customHeight="1">
      <c r="A427" t="inlineStr">
        <is>
          <t>A 24815-2022</t>
        </is>
      </c>
      <c r="B427" s="1" t="n">
        <v>44728</v>
      </c>
      <c r="C427" s="1" t="n">
        <v>45811</v>
      </c>
      <c r="D427" t="inlineStr">
        <is>
          <t>UPPSALA LÄN</t>
        </is>
      </c>
      <c r="E427" t="inlineStr">
        <is>
          <t>ENKÖPING</t>
        </is>
      </c>
      <c r="G427" t="n">
        <v>1.8</v>
      </c>
      <c r="H427" t="n">
        <v>0</v>
      </c>
      <c r="I427" t="n">
        <v>0</v>
      </c>
      <c r="J427" t="n">
        <v>0</v>
      </c>
      <c r="K427" t="n">
        <v>0</v>
      </c>
      <c r="L427" t="n">
        <v>0</v>
      </c>
      <c r="M427" t="n">
        <v>0</v>
      </c>
      <c r="N427" t="n">
        <v>0</v>
      </c>
      <c r="O427" t="n">
        <v>0</v>
      </c>
      <c r="P427" t="n">
        <v>0</v>
      </c>
      <c r="Q427" t="n">
        <v>0</v>
      </c>
      <c r="R427" s="2" t="inlineStr"/>
    </row>
    <row r="428" ht="15" customHeight="1">
      <c r="A428" t="inlineStr">
        <is>
          <t>A 24883-2022</t>
        </is>
      </c>
      <c r="B428" s="1" t="n">
        <v>44728</v>
      </c>
      <c r="C428" s="1" t="n">
        <v>45811</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26292-2022</t>
        </is>
      </c>
      <c r="B429" s="1" t="n">
        <v>44735</v>
      </c>
      <c r="C429" s="1" t="n">
        <v>45811</v>
      </c>
      <c r="D429" t="inlineStr">
        <is>
          <t>UPPSALA LÄN</t>
        </is>
      </c>
      <c r="E429" t="inlineStr">
        <is>
          <t>ENKÖPING</t>
        </is>
      </c>
      <c r="F429" t="inlineStr">
        <is>
          <t>Kyrkan</t>
        </is>
      </c>
      <c r="G429" t="n">
        <v>4.6</v>
      </c>
      <c r="H429" t="n">
        <v>0</v>
      </c>
      <c r="I429" t="n">
        <v>0</v>
      </c>
      <c r="J429" t="n">
        <v>0</v>
      </c>
      <c r="K429" t="n">
        <v>0</v>
      </c>
      <c r="L429" t="n">
        <v>0</v>
      </c>
      <c r="M429" t="n">
        <v>0</v>
      </c>
      <c r="N429" t="n">
        <v>0</v>
      </c>
      <c r="O429" t="n">
        <v>0</v>
      </c>
      <c r="P429" t="n">
        <v>0</v>
      </c>
      <c r="Q429" t="n">
        <v>0</v>
      </c>
      <c r="R429" s="2" t="inlineStr"/>
    </row>
    <row r="430" ht="15" customHeight="1">
      <c r="A430" t="inlineStr">
        <is>
          <t>A 26319-2022</t>
        </is>
      </c>
      <c r="B430" s="1" t="n">
        <v>44735</v>
      </c>
      <c r="C430" s="1" t="n">
        <v>45811</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29479-2022</t>
        </is>
      </c>
      <c r="B431" s="1" t="n">
        <v>44753</v>
      </c>
      <c r="C431" s="1" t="n">
        <v>45811</v>
      </c>
      <c r="D431" t="inlineStr">
        <is>
          <t>UPPSALA LÄN</t>
        </is>
      </c>
      <c r="E431" t="inlineStr">
        <is>
          <t>ENKÖPING</t>
        </is>
      </c>
      <c r="G431" t="n">
        <v>0.9</v>
      </c>
      <c r="H431" t="n">
        <v>0</v>
      </c>
      <c r="I431" t="n">
        <v>0</v>
      </c>
      <c r="J431" t="n">
        <v>0</v>
      </c>
      <c r="K431" t="n">
        <v>0</v>
      </c>
      <c r="L431" t="n">
        <v>0</v>
      </c>
      <c r="M431" t="n">
        <v>0</v>
      </c>
      <c r="N431" t="n">
        <v>0</v>
      </c>
      <c r="O431" t="n">
        <v>0</v>
      </c>
      <c r="P431" t="n">
        <v>0</v>
      </c>
      <c r="Q431" t="n">
        <v>0</v>
      </c>
      <c r="R431" s="2" t="inlineStr"/>
    </row>
    <row r="432" ht="15" customHeight="1">
      <c r="A432" t="inlineStr">
        <is>
          <t>A 29484-2022</t>
        </is>
      </c>
      <c r="B432" s="1" t="n">
        <v>44753</v>
      </c>
      <c r="C432" s="1" t="n">
        <v>45811</v>
      </c>
      <c r="D432" t="inlineStr">
        <is>
          <t>UPPSALA LÄN</t>
        </is>
      </c>
      <c r="E432" t="inlineStr">
        <is>
          <t>ENKÖPING</t>
        </is>
      </c>
      <c r="G432" t="n">
        <v>1.9</v>
      </c>
      <c r="H432" t="n">
        <v>0</v>
      </c>
      <c r="I432" t="n">
        <v>0</v>
      </c>
      <c r="J432" t="n">
        <v>0</v>
      </c>
      <c r="K432" t="n">
        <v>0</v>
      </c>
      <c r="L432" t="n">
        <v>0</v>
      </c>
      <c r="M432" t="n">
        <v>0</v>
      </c>
      <c r="N432" t="n">
        <v>0</v>
      </c>
      <c r="O432" t="n">
        <v>0</v>
      </c>
      <c r="P432" t="n">
        <v>0</v>
      </c>
      <c r="Q432" t="n">
        <v>0</v>
      </c>
      <c r="R432" s="2" t="inlineStr"/>
    </row>
    <row r="433" ht="15" customHeight="1">
      <c r="A433" t="inlineStr">
        <is>
          <t>A 29435-2022</t>
        </is>
      </c>
      <c r="B433" s="1" t="n">
        <v>44753</v>
      </c>
      <c r="C433" s="1" t="n">
        <v>45811</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v>
      </c>
      <c r="C434" s="1" t="n">
        <v>45811</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29475-2022</t>
        </is>
      </c>
      <c r="B435" s="1" t="n">
        <v>44753</v>
      </c>
      <c r="C435" s="1" t="n">
        <v>45811</v>
      </c>
      <c r="D435" t="inlineStr">
        <is>
          <t>UPPSALA LÄN</t>
        </is>
      </c>
      <c r="E435" t="inlineStr">
        <is>
          <t>ENKÖPING</t>
        </is>
      </c>
      <c r="G435" t="n">
        <v>6.9</v>
      </c>
      <c r="H435" t="n">
        <v>0</v>
      </c>
      <c r="I435" t="n">
        <v>0</v>
      </c>
      <c r="J435" t="n">
        <v>0</v>
      </c>
      <c r="K435" t="n">
        <v>0</v>
      </c>
      <c r="L435" t="n">
        <v>0</v>
      </c>
      <c r="M435" t="n">
        <v>0</v>
      </c>
      <c r="N435" t="n">
        <v>0</v>
      </c>
      <c r="O435" t="n">
        <v>0</v>
      </c>
      <c r="P435" t="n">
        <v>0</v>
      </c>
      <c r="Q435" t="n">
        <v>0</v>
      </c>
      <c r="R435" s="2" t="inlineStr"/>
    </row>
    <row r="436" ht="15" customHeight="1">
      <c r="A436" t="inlineStr">
        <is>
          <t>A 29425-2022</t>
        </is>
      </c>
      <c r="B436" s="1" t="n">
        <v>44753</v>
      </c>
      <c r="C436" s="1" t="n">
        <v>45811</v>
      </c>
      <c r="D436" t="inlineStr">
        <is>
          <t>UPPSALA LÄN</t>
        </is>
      </c>
      <c r="E436" t="inlineStr">
        <is>
          <t>ENKÖPING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29433-2022</t>
        </is>
      </c>
      <c r="B437" s="1" t="n">
        <v>44753</v>
      </c>
      <c r="C437" s="1" t="n">
        <v>45811</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29482-2022</t>
        </is>
      </c>
      <c r="B438" s="1" t="n">
        <v>44753</v>
      </c>
      <c r="C438" s="1" t="n">
        <v>45811</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30437-2022</t>
        </is>
      </c>
      <c r="B439" s="1" t="n">
        <v>44761</v>
      </c>
      <c r="C439" s="1" t="n">
        <v>45811</v>
      </c>
      <c r="D439" t="inlineStr">
        <is>
          <t>UPPSALA LÄN</t>
        </is>
      </c>
      <c r="E439" t="inlineStr">
        <is>
          <t>ENKÖPING</t>
        </is>
      </c>
      <c r="G439" t="n">
        <v>3.4</v>
      </c>
      <c r="H439" t="n">
        <v>0</v>
      </c>
      <c r="I439" t="n">
        <v>0</v>
      </c>
      <c r="J439" t="n">
        <v>0</v>
      </c>
      <c r="K439" t="n">
        <v>0</v>
      </c>
      <c r="L439" t="n">
        <v>0</v>
      </c>
      <c r="M439" t="n">
        <v>0</v>
      </c>
      <c r="N439" t="n">
        <v>0</v>
      </c>
      <c r="O439" t="n">
        <v>0</v>
      </c>
      <c r="P439" t="n">
        <v>0</v>
      </c>
      <c r="Q439" t="n">
        <v>0</v>
      </c>
      <c r="R439" s="2" t="inlineStr"/>
    </row>
    <row r="440" ht="15" customHeight="1">
      <c r="A440" t="inlineStr">
        <is>
          <t>A 30634-2022</t>
        </is>
      </c>
      <c r="B440" s="1" t="n">
        <v>44763</v>
      </c>
      <c r="C440" s="1" t="n">
        <v>45811</v>
      </c>
      <c r="D440" t="inlineStr">
        <is>
          <t>UPPSALA LÄN</t>
        </is>
      </c>
      <c r="E440" t="inlineStr">
        <is>
          <t>ENKÖPING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31013-2022</t>
        </is>
      </c>
      <c r="B441" s="1" t="n">
        <v>44768</v>
      </c>
      <c r="C441" s="1" t="n">
        <v>45811</v>
      </c>
      <c r="D441" t="inlineStr">
        <is>
          <t>UPPSALA LÄN</t>
        </is>
      </c>
      <c r="E441" t="inlineStr">
        <is>
          <t>ENKÖPING</t>
        </is>
      </c>
      <c r="F441" t="inlineStr">
        <is>
          <t>Allmännings- och besparingsskogar</t>
        </is>
      </c>
      <c r="G441" t="n">
        <v>0.5</v>
      </c>
      <c r="H441" t="n">
        <v>0</v>
      </c>
      <c r="I441" t="n">
        <v>0</v>
      </c>
      <c r="J441" t="n">
        <v>0</v>
      </c>
      <c r="K441" t="n">
        <v>0</v>
      </c>
      <c r="L441" t="n">
        <v>0</v>
      </c>
      <c r="M441" t="n">
        <v>0</v>
      </c>
      <c r="N441" t="n">
        <v>0</v>
      </c>
      <c r="O441" t="n">
        <v>0</v>
      </c>
      <c r="P441" t="n">
        <v>0</v>
      </c>
      <c r="Q441" t="n">
        <v>0</v>
      </c>
      <c r="R441" s="2" t="inlineStr"/>
    </row>
    <row r="442" ht="15" customHeight="1">
      <c r="A442" t="inlineStr">
        <is>
          <t>A 31622-2022</t>
        </is>
      </c>
      <c r="B442" s="1" t="n">
        <v>44775</v>
      </c>
      <c r="C442" s="1" t="n">
        <v>45811</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33619-2022</t>
        </is>
      </c>
      <c r="B443" s="1" t="n">
        <v>44789</v>
      </c>
      <c r="C443" s="1" t="n">
        <v>45811</v>
      </c>
      <c r="D443" t="inlineStr">
        <is>
          <t>UPPSALA LÄN</t>
        </is>
      </c>
      <c r="E443" t="inlineStr">
        <is>
          <t>ENKÖPING</t>
        </is>
      </c>
      <c r="F443" t="inlineStr">
        <is>
          <t>Allmännings- och besparingsskogar</t>
        </is>
      </c>
      <c r="G443" t="n">
        <v>4.5</v>
      </c>
      <c r="H443" t="n">
        <v>0</v>
      </c>
      <c r="I443" t="n">
        <v>0</v>
      </c>
      <c r="J443" t="n">
        <v>0</v>
      </c>
      <c r="K443" t="n">
        <v>0</v>
      </c>
      <c r="L443" t="n">
        <v>0</v>
      </c>
      <c r="M443" t="n">
        <v>0</v>
      </c>
      <c r="N443" t="n">
        <v>0</v>
      </c>
      <c r="O443" t="n">
        <v>0</v>
      </c>
      <c r="P443" t="n">
        <v>0</v>
      </c>
      <c r="Q443" t="n">
        <v>0</v>
      </c>
      <c r="R443" s="2" t="inlineStr"/>
    </row>
    <row r="444" ht="15" customHeight="1">
      <c r="A444" t="inlineStr">
        <is>
          <t>A 33821-2022</t>
        </is>
      </c>
      <c r="B444" s="1" t="n">
        <v>44790</v>
      </c>
      <c r="C444" s="1" t="n">
        <v>45811</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34617-2022</t>
        </is>
      </c>
      <c r="B445" s="1" t="n">
        <v>44795</v>
      </c>
      <c r="C445" s="1" t="n">
        <v>45811</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37410-2022</t>
        </is>
      </c>
      <c r="B446" s="1" t="n">
        <v>44809</v>
      </c>
      <c r="C446" s="1" t="n">
        <v>45811</v>
      </c>
      <c r="D446" t="inlineStr">
        <is>
          <t>UPPSALA LÄN</t>
        </is>
      </c>
      <c r="E446" t="inlineStr">
        <is>
          <t>ENKÖPING</t>
        </is>
      </c>
      <c r="G446" t="n">
        <v>3.6</v>
      </c>
      <c r="H446" t="n">
        <v>0</v>
      </c>
      <c r="I446" t="n">
        <v>0</v>
      </c>
      <c r="J446" t="n">
        <v>0</v>
      </c>
      <c r="K446" t="n">
        <v>0</v>
      </c>
      <c r="L446" t="n">
        <v>0</v>
      </c>
      <c r="M446" t="n">
        <v>0</v>
      </c>
      <c r="N446" t="n">
        <v>0</v>
      </c>
      <c r="O446" t="n">
        <v>0</v>
      </c>
      <c r="P446" t="n">
        <v>0</v>
      </c>
      <c r="Q446" t="n">
        <v>0</v>
      </c>
      <c r="R446" s="2" t="inlineStr"/>
    </row>
    <row r="447" ht="15" customHeight="1">
      <c r="A447" t="inlineStr">
        <is>
          <t>A 37414-2022</t>
        </is>
      </c>
      <c r="B447" s="1" t="n">
        <v>44809</v>
      </c>
      <c r="C447" s="1" t="n">
        <v>45811</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38005-2022</t>
        </is>
      </c>
      <c r="B448" s="1" t="n">
        <v>44810</v>
      </c>
      <c r="C448" s="1" t="n">
        <v>45811</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38775-2022</t>
        </is>
      </c>
      <c r="B449" s="1" t="n">
        <v>44816</v>
      </c>
      <c r="C449" s="1" t="n">
        <v>45811</v>
      </c>
      <c r="D449" t="inlineStr">
        <is>
          <t>UPPSALA LÄN</t>
        </is>
      </c>
      <c r="E449" t="inlineStr">
        <is>
          <t>ENKÖPING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39751-2022</t>
        </is>
      </c>
      <c r="B450" s="1" t="n">
        <v>44819</v>
      </c>
      <c r="C450" s="1" t="n">
        <v>45811</v>
      </c>
      <c r="D450" t="inlineStr">
        <is>
          <t>UPPSALA LÄN</t>
        </is>
      </c>
      <c r="E450" t="inlineStr">
        <is>
          <t>ENKÖPING</t>
        </is>
      </c>
      <c r="G450" t="n">
        <v>7.6</v>
      </c>
      <c r="H450" t="n">
        <v>0</v>
      </c>
      <c r="I450" t="n">
        <v>0</v>
      </c>
      <c r="J450" t="n">
        <v>0</v>
      </c>
      <c r="K450" t="n">
        <v>0</v>
      </c>
      <c r="L450" t="n">
        <v>0</v>
      </c>
      <c r="M450" t="n">
        <v>0</v>
      </c>
      <c r="N450" t="n">
        <v>0</v>
      </c>
      <c r="O450" t="n">
        <v>0</v>
      </c>
      <c r="P450" t="n">
        <v>0</v>
      </c>
      <c r="Q450" t="n">
        <v>0</v>
      </c>
      <c r="R450" s="2" t="inlineStr"/>
    </row>
    <row r="451" ht="15" customHeight="1">
      <c r="A451" t="inlineStr">
        <is>
          <t>A 39922-2022</t>
        </is>
      </c>
      <c r="B451" s="1" t="n">
        <v>44819</v>
      </c>
      <c r="C451" s="1" t="n">
        <v>45811</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40773-2022</t>
        </is>
      </c>
      <c r="B452" s="1" t="n">
        <v>44824</v>
      </c>
      <c r="C452" s="1" t="n">
        <v>45811</v>
      </c>
      <c r="D452" t="inlineStr">
        <is>
          <t>UPPSALA LÄN</t>
        </is>
      </c>
      <c r="E452" t="inlineStr">
        <is>
          <t>ENKÖPING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40812-2022</t>
        </is>
      </c>
      <c r="B453" s="1" t="n">
        <v>44824</v>
      </c>
      <c r="C453" s="1" t="n">
        <v>45811</v>
      </c>
      <c r="D453" t="inlineStr">
        <is>
          <t>UPPSALA LÄN</t>
        </is>
      </c>
      <c r="E453" t="inlineStr">
        <is>
          <t>ENKÖPING</t>
        </is>
      </c>
      <c r="G453" t="n">
        <v>1.4</v>
      </c>
      <c r="H453" t="n">
        <v>0</v>
      </c>
      <c r="I453" t="n">
        <v>0</v>
      </c>
      <c r="J453" t="n">
        <v>0</v>
      </c>
      <c r="K453" t="n">
        <v>0</v>
      </c>
      <c r="L453" t="n">
        <v>0</v>
      </c>
      <c r="M453" t="n">
        <v>0</v>
      </c>
      <c r="N453" t="n">
        <v>0</v>
      </c>
      <c r="O453" t="n">
        <v>0</v>
      </c>
      <c r="P453" t="n">
        <v>0</v>
      </c>
      <c r="Q453" t="n">
        <v>0</v>
      </c>
      <c r="R453" s="2" t="inlineStr"/>
    </row>
    <row r="454" ht="15" customHeight="1">
      <c r="A454" t="inlineStr">
        <is>
          <t>A 41736-2022</t>
        </is>
      </c>
      <c r="B454" s="1" t="n">
        <v>44827</v>
      </c>
      <c r="C454" s="1" t="n">
        <v>45811</v>
      </c>
      <c r="D454" t="inlineStr">
        <is>
          <t>UPPSALA LÄN</t>
        </is>
      </c>
      <c r="E454" t="inlineStr">
        <is>
          <t>ENKÖPING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41737-2022</t>
        </is>
      </c>
      <c r="B455" s="1" t="n">
        <v>44827</v>
      </c>
      <c r="C455" s="1" t="n">
        <v>45811</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41753-2022</t>
        </is>
      </c>
      <c r="B456" s="1" t="n">
        <v>44827</v>
      </c>
      <c r="C456" s="1" t="n">
        <v>45811</v>
      </c>
      <c r="D456" t="inlineStr">
        <is>
          <t>UPPSALA LÄN</t>
        </is>
      </c>
      <c r="E456" t="inlineStr">
        <is>
          <t>ENKÖPING</t>
        </is>
      </c>
      <c r="G456" t="n">
        <v>3</v>
      </c>
      <c r="H456" t="n">
        <v>0</v>
      </c>
      <c r="I456" t="n">
        <v>0</v>
      </c>
      <c r="J456" t="n">
        <v>0</v>
      </c>
      <c r="K456" t="n">
        <v>0</v>
      </c>
      <c r="L456" t="n">
        <v>0</v>
      </c>
      <c r="M456" t="n">
        <v>0</v>
      </c>
      <c r="N456" t="n">
        <v>0</v>
      </c>
      <c r="O456" t="n">
        <v>0</v>
      </c>
      <c r="P456" t="n">
        <v>0</v>
      </c>
      <c r="Q456" t="n">
        <v>0</v>
      </c>
      <c r="R456" s="2" t="inlineStr"/>
    </row>
    <row r="457" ht="15" customHeight="1">
      <c r="A457" t="inlineStr">
        <is>
          <t>A 42589-2022</t>
        </is>
      </c>
      <c r="B457" s="1" t="n">
        <v>44831</v>
      </c>
      <c r="C457" s="1" t="n">
        <v>45811</v>
      </c>
      <c r="D457" t="inlineStr">
        <is>
          <t>UPPSALA LÄN</t>
        </is>
      </c>
      <c r="E457" t="inlineStr">
        <is>
          <t>ENKÖPING</t>
        </is>
      </c>
      <c r="G457" t="n">
        <v>20</v>
      </c>
      <c r="H457" t="n">
        <v>0</v>
      </c>
      <c r="I457" t="n">
        <v>0</v>
      </c>
      <c r="J457" t="n">
        <v>0</v>
      </c>
      <c r="K457" t="n">
        <v>0</v>
      </c>
      <c r="L457" t="n">
        <v>0</v>
      </c>
      <c r="M457" t="n">
        <v>0</v>
      </c>
      <c r="N457" t="n">
        <v>0</v>
      </c>
      <c r="O457" t="n">
        <v>0</v>
      </c>
      <c r="P457" t="n">
        <v>0</v>
      </c>
      <c r="Q457" t="n">
        <v>0</v>
      </c>
      <c r="R457" s="2" t="inlineStr"/>
    </row>
    <row r="458" ht="15" customHeight="1">
      <c r="A458" t="inlineStr">
        <is>
          <t>A 42592-2022</t>
        </is>
      </c>
      <c r="B458" s="1" t="n">
        <v>44831</v>
      </c>
      <c r="C458" s="1" t="n">
        <v>45811</v>
      </c>
      <c r="D458" t="inlineStr">
        <is>
          <t>UPPSALA LÄN</t>
        </is>
      </c>
      <c r="E458" t="inlineStr">
        <is>
          <t>ENKÖPING</t>
        </is>
      </c>
      <c r="G458" t="n">
        <v>4.5</v>
      </c>
      <c r="H458" t="n">
        <v>0</v>
      </c>
      <c r="I458" t="n">
        <v>0</v>
      </c>
      <c r="J458" t="n">
        <v>0</v>
      </c>
      <c r="K458" t="n">
        <v>0</v>
      </c>
      <c r="L458" t="n">
        <v>0</v>
      </c>
      <c r="M458" t="n">
        <v>0</v>
      </c>
      <c r="N458" t="n">
        <v>0</v>
      </c>
      <c r="O458" t="n">
        <v>0</v>
      </c>
      <c r="P458" t="n">
        <v>0</v>
      </c>
      <c r="Q458" t="n">
        <v>0</v>
      </c>
      <c r="R458" s="2" t="inlineStr"/>
    </row>
    <row r="459" ht="15" customHeight="1">
      <c r="A459" t="inlineStr">
        <is>
          <t>A 43896-2022</t>
        </is>
      </c>
      <c r="B459" s="1" t="n">
        <v>44838</v>
      </c>
      <c r="C459" s="1" t="n">
        <v>45811</v>
      </c>
      <c r="D459" t="inlineStr">
        <is>
          <t>UPPSALA LÄN</t>
        </is>
      </c>
      <c r="E459" t="inlineStr">
        <is>
          <t>ENKÖPING</t>
        </is>
      </c>
      <c r="G459" t="n">
        <v>5.3</v>
      </c>
      <c r="H459" t="n">
        <v>0</v>
      </c>
      <c r="I459" t="n">
        <v>0</v>
      </c>
      <c r="J459" t="n">
        <v>0</v>
      </c>
      <c r="K459" t="n">
        <v>0</v>
      </c>
      <c r="L459" t="n">
        <v>0</v>
      </c>
      <c r="M459" t="n">
        <v>0</v>
      </c>
      <c r="N459" t="n">
        <v>0</v>
      </c>
      <c r="O459" t="n">
        <v>0</v>
      </c>
      <c r="P459" t="n">
        <v>0</v>
      </c>
      <c r="Q459" t="n">
        <v>0</v>
      </c>
      <c r="R459" s="2" t="inlineStr"/>
    </row>
    <row r="460" ht="15" customHeight="1">
      <c r="A460" t="inlineStr">
        <is>
          <t>A 45362-2022</t>
        </is>
      </c>
      <c r="B460" s="1" t="n">
        <v>44844</v>
      </c>
      <c r="C460" s="1" t="n">
        <v>45811</v>
      </c>
      <c r="D460" t="inlineStr">
        <is>
          <t>UPPSALA LÄN</t>
        </is>
      </c>
      <c r="E460" t="inlineStr">
        <is>
          <t>ENKÖPING</t>
        </is>
      </c>
      <c r="G460" t="n">
        <v>1.8</v>
      </c>
      <c r="H460" t="n">
        <v>0</v>
      </c>
      <c r="I460" t="n">
        <v>0</v>
      </c>
      <c r="J460" t="n">
        <v>0</v>
      </c>
      <c r="K460" t="n">
        <v>0</v>
      </c>
      <c r="L460" t="n">
        <v>0</v>
      </c>
      <c r="M460" t="n">
        <v>0</v>
      </c>
      <c r="N460" t="n">
        <v>0</v>
      </c>
      <c r="O460" t="n">
        <v>0</v>
      </c>
      <c r="P460" t="n">
        <v>0</v>
      </c>
      <c r="Q460" t="n">
        <v>0</v>
      </c>
      <c r="R460" s="2" t="inlineStr"/>
    </row>
    <row r="461" ht="15" customHeight="1">
      <c r="A461" t="inlineStr">
        <is>
          <t>A 45283-2022</t>
        </is>
      </c>
      <c r="B461" s="1" t="n">
        <v>44844</v>
      </c>
      <c r="C461" s="1" t="n">
        <v>45811</v>
      </c>
      <c r="D461" t="inlineStr">
        <is>
          <t>UPPSALA LÄN</t>
        </is>
      </c>
      <c r="E461" t="inlineStr">
        <is>
          <t>ENKÖPING</t>
        </is>
      </c>
      <c r="G461" t="n">
        <v>5.9</v>
      </c>
      <c r="H461" t="n">
        <v>0</v>
      </c>
      <c r="I461" t="n">
        <v>0</v>
      </c>
      <c r="J461" t="n">
        <v>0</v>
      </c>
      <c r="K461" t="n">
        <v>0</v>
      </c>
      <c r="L461" t="n">
        <v>0</v>
      </c>
      <c r="M461" t="n">
        <v>0</v>
      </c>
      <c r="N461" t="n">
        <v>0</v>
      </c>
      <c r="O461" t="n">
        <v>0</v>
      </c>
      <c r="P461" t="n">
        <v>0</v>
      </c>
      <c r="Q461" t="n">
        <v>0</v>
      </c>
      <c r="R461" s="2" t="inlineStr"/>
    </row>
    <row r="462" ht="15" customHeight="1">
      <c r="A462" t="inlineStr">
        <is>
          <t>A 45852-2022</t>
        </is>
      </c>
      <c r="B462" s="1" t="n">
        <v>44846</v>
      </c>
      <c r="C462" s="1" t="n">
        <v>45811</v>
      </c>
      <c r="D462" t="inlineStr">
        <is>
          <t>UPPSALA LÄN</t>
        </is>
      </c>
      <c r="E462" t="inlineStr">
        <is>
          <t>ENKÖPING</t>
        </is>
      </c>
      <c r="G462" t="n">
        <v>6</v>
      </c>
      <c r="H462" t="n">
        <v>0</v>
      </c>
      <c r="I462" t="n">
        <v>0</v>
      </c>
      <c r="J462" t="n">
        <v>0</v>
      </c>
      <c r="K462" t="n">
        <v>0</v>
      </c>
      <c r="L462" t="n">
        <v>0</v>
      </c>
      <c r="M462" t="n">
        <v>0</v>
      </c>
      <c r="N462" t="n">
        <v>0</v>
      </c>
      <c r="O462" t="n">
        <v>0</v>
      </c>
      <c r="P462" t="n">
        <v>0</v>
      </c>
      <c r="Q462" t="n">
        <v>0</v>
      </c>
      <c r="R462" s="2" t="inlineStr"/>
    </row>
    <row r="463" ht="15" customHeight="1">
      <c r="A463" t="inlineStr">
        <is>
          <t>A 46749-2022</t>
        </is>
      </c>
      <c r="B463" s="1" t="n">
        <v>44851</v>
      </c>
      <c r="C463" s="1" t="n">
        <v>45811</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47431-2022</t>
        </is>
      </c>
      <c r="B464" s="1" t="n">
        <v>44853</v>
      </c>
      <c r="C464" s="1" t="n">
        <v>45811</v>
      </c>
      <c r="D464" t="inlineStr">
        <is>
          <t>UPPSALA LÄN</t>
        </is>
      </c>
      <c r="E464" t="inlineStr">
        <is>
          <t>ENKÖPING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47516-2022</t>
        </is>
      </c>
      <c r="B465" s="1" t="n">
        <v>44853</v>
      </c>
      <c r="C465" s="1" t="n">
        <v>45811</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48230-2022</t>
        </is>
      </c>
      <c r="B466" s="1" t="n">
        <v>44858</v>
      </c>
      <c r="C466" s="1" t="n">
        <v>45811</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48233-2022</t>
        </is>
      </c>
      <c r="B467" s="1" t="n">
        <v>44858</v>
      </c>
      <c r="C467" s="1" t="n">
        <v>45811</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48864-2022</t>
        </is>
      </c>
      <c r="B468" s="1" t="n">
        <v>44859</v>
      </c>
      <c r="C468" s="1" t="n">
        <v>45811</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49557-2022</t>
        </is>
      </c>
      <c r="B469" s="1" t="n">
        <v>44862</v>
      </c>
      <c r="C469" s="1" t="n">
        <v>45811</v>
      </c>
      <c r="D469" t="inlineStr">
        <is>
          <t>UPPSALA LÄN</t>
        </is>
      </c>
      <c r="E469" t="inlineStr">
        <is>
          <t>ENKÖPING</t>
        </is>
      </c>
      <c r="G469" t="n">
        <v>2.9</v>
      </c>
      <c r="H469" t="n">
        <v>0</v>
      </c>
      <c r="I469" t="n">
        <v>0</v>
      </c>
      <c r="J469" t="n">
        <v>0</v>
      </c>
      <c r="K469" t="n">
        <v>0</v>
      </c>
      <c r="L469" t="n">
        <v>0</v>
      </c>
      <c r="M469" t="n">
        <v>0</v>
      </c>
      <c r="N469" t="n">
        <v>0</v>
      </c>
      <c r="O469" t="n">
        <v>0</v>
      </c>
      <c r="P469" t="n">
        <v>0</v>
      </c>
      <c r="Q469" t="n">
        <v>0</v>
      </c>
      <c r="R469" s="2" t="inlineStr"/>
    </row>
    <row r="470" ht="15" customHeight="1">
      <c r="A470" t="inlineStr">
        <is>
          <t>A 49562-2022</t>
        </is>
      </c>
      <c r="B470" s="1" t="n">
        <v>44862</v>
      </c>
      <c r="C470" s="1" t="n">
        <v>45811</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49560-2022</t>
        </is>
      </c>
      <c r="B471" s="1" t="n">
        <v>44862</v>
      </c>
      <c r="C471" s="1" t="n">
        <v>45811</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49568-2022</t>
        </is>
      </c>
      <c r="B472" s="1" t="n">
        <v>44862</v>
      </c>
      <c r="C472" s="1" t="n">
        <v>45811</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50747-2022</t>
        </is>
      </c>
      <c r="B473" s="1" t="n">
        <v>44867</v>
      </c>
      <c r="C473" s="1" t="n">
        <v>45811</v>
      </c>
      <c r="D473" t="inlineStr">
        <is>
          <t>UPPSALA LÄN</t>
        </is>
      </c>
      <c r="E473" t="inlineStr">
        <is>
          <t>ENKÖPING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51524-2022</t>
        </is>
      </c>
      <c r="B474" s="1" t="n">
        <v>44869</v>
      </c>
      <c r="C474" s="1" t="n">
        <v>45811</v>
      </c>
      <c r="D474" t="inlineStr">
        <is>
          <t>UPPSALA LÄN</t>
        </is>
      </c>
      <c r="E474" t="inlineStr">
        <is>
          <t>ENKÖPING</t>
        </is>
      </c>
      <c r="G474" t="n">
        <v>6.6</v>
      </c>
      <c r="H474" t="n">
        <v>0</v>
      </c>
      <c r="I474" t="n">
        <v>0</v>
      </c>
      <c r="J474" t="n">
        <v>0</v>
      </c>
      <c r="K474" t="n">
        <v>0</v>
      </c>
      <c r="L474" t="n">
        <v>0</v>
      </c>
      <c r="M474" t="n">
        <v>0</v>
      </c>
      <c r="N474" t="n">
        <v>0</v>
      </c>
      <c r="O474" t="n">
        <v>0</v>
      </c>
      <c r="P474" t="n">
        <v>0</v>
      </c>
      <c r="Q474" t="n">
        <v>0</v>
      </c>
      <c r="R474" s="2" t="inlineStr"/>
    </row>
    <row r="475" ht="15" customHeight="1">
      <c r="A475" t="inlineStr">
        <is>
          <t>A 51932-2022</t>
        </is>
      </c>
      <c r="B475" s="1" t="n">
        <v>44872</v>
      </c>
      <c r="C475" s="1" t="n">
        <v>45811</v>
      </c>
      <c r="D475" t="inlineStr">
        <is>
          <t>UPPSALA LÄN</t>
        </is>
      </c>
      <c r="E475" t="inlineStr">
        <is>
          <t>ENKÖPING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52895-2022</t>
        </is>
      </c>
      <c r="B476" s="1" t="n">
        <v>44875</v>
      </c>
      <c r="C476" s="1" t="n">
        <v>45811</v>
      </c>
      <c r="D476" t="inlineStr">
        <is>
          <t>UPPSALA LÄN</t>
        </is>
      </c>
      <c r="E476" t="inlineStr">
        <is>
          <t>ENKÖPING</t>
        </is>
      </c>
      <c r="G476" t="n">
        <v>0.7</v>
      </c>
      <c r="H476" t="n">
        <v>0</v>
      </c>
      <c r="I476" t="n">
        <v>0</v>
      </c>
      <c r="J476" t="n">
        <v>0</v>
      </c>
      <c r="K476" t="n">
        <v>0</v>
      </c>
      <c r="L476" t="n">
        <v>0</v>
      </c>
      <c r="M476" t="n">
        <v>0</v>
      </c>
      <c r="N476" t="n">
        <v>0</v>
      </c>
      <c r="O476" t="n">
        <v>0</v>
      </c>
      <c r="P476" t="n">
        <v>0</v>
      </c>
      <c r="Q476" t="n">
        <v>0</v>
      </c>
      <c r="R476" s="2" t="inlineStr"/>
    </row>
    <row r="477" ht="15" customHeight="1">
      <c r="A477" t="inlineStr">
        <is>
          <t>A 52893-2022</t>
        </is>
      </c>
      <c r="B477" s="1" t="n">
        <v>44875</v>
      </c>
      <c r="C477" s="1" t="n">
        <v>45811</v>
      </c>
      <c r="D477" t="inlineStr">
        <is>
          <t>UPPSALA LÄN</t>
        </is>
      </c>
      <c r="E477" t="inlineStr">
        <is>
          <t>ENKÖPING</t>
        </is>
      </c>
      <c r="G477" t="n">
        <v>2.8</v>
      </c>
      <c r="H477" t="n">
        <v>0</v>
      </c>
      <c r="I477" t="n">
        <v>0</v>
      </c>
      <c r="J477" t="n">
        <v>0</v>
      </c>
      <c r="K477" t="n">
        <v>0</v>
      </c>
      <c r="L477" t="n">
        <v>0</v>
      </c>
      <c r="M477" t="n">
        <v>0</v>
      </c>
      <c r="N477" t="n">
        <v>0</v>
      </c>
      <c r="O477" t="n">
        <v>0</v>
      </c>
      <c r="P477" t="n">
        <v>0</v>
      </c>
      <c r="Q477" t="n">
        <v>0</v>
      </c>
      <c r="R477" s="2" t="inlineStr"/>
    </row>
    <row r="478" ht="15" customHeight="1">
      <c r="A478" t="inlineStr">
        <is>
          <t>A 52889-2022</t>
        </is>
      </c>
      <c r="B478" s="1" t="n">
        <v>44875</v>
      </c>
      <c r="C478" s="1" t="n">
        <v>45811</v>
      </c>
      <c r="D478" t="inlineStr">
        <is>
          <t>UPPSALA LÄN</t>
        </is>
      </c>
      <c r="E478" t="inlineStr">
        <is>
          <t>ENKÖPING</t>
        </is>
      </c>
      <c r="G478" t="n">
        <v>1.7</v>
      </c>
      <c r="H478" t="n">
        <v>0</v>
      </c>
      <c r="I478" t="n">
        <v>0</v>
      </c>
      <c r="J478" t="n">
        <v>0</v>
      </c>
      <c r="K478" t="n">
        <v>0</v>
      </c>
      <c r="L478" t="n">
        <v>0</v>
      </c>
      <c r="M478" t="n">
        <v>0</v>
      </c>
      <c r="N478" t="n">
        <v>0</v>
      </c>
      <c r="O478" t="n">
        <v>0</v>
      </c>
      <c r="P478" t="n">
        <v>0</v>
      </c>
      <c r="Q478" t="n">
        <v>0</v>
      </c>
      <c r="R478" s="2" t="inlineStr"/>
    </row>
    <row r="479" ht="15" customHeight="1">
      <c r="A479" t="inlineStr">
        <is>
          <t>A 52896-2022</t>
        </is>
      </c>
      <c r="B479" s="1" t="n">
        <v>44875</v>
      </c>
      <c r="C479" s="1" t="n">
        <v>45811</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53496-2022</t>
        </is>
      </c>
      <c r="B480" s="1" t="n">
        <v>44879</v>
      </c>
      <c r="C480" s="1" t="n">
        <v>45811</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56526-2022</t>
        </is>
      </c>
      <c r="B481" s="1" t="n">
        <v>44893</v>
      </c>
      <c r="C481" s="1" t="n">
        <v>45811</v>
      </c>
      <c r="D481" t="inlineStr">
        <is>
          <t>UPPSALA LÄN</t>
        </is>
      </c>
      <c r="E481" t="inlineStr">
        <is>
          <t>ENKÖPING</t>
        </is>
      </c>
      <c r="G481" t="n">
        <v>3.8</v>
      </c>
      <c r="H481" t="n">
        <v>0</v>
      </c>
      <c r="I481" t="n">
        <v>0</v>
      </c>
      <c r="J481" t="n">
        <v>0</v>
      </c>
      <c r="K481" t="n">
        <v>0</v>
      </c>
      <c r="L481" t="n">
        <v>0</v>
      </c>
      <c r="M481" t="n">
        <v>0</v>
      </c>
      <c r="N481" t="n">
        <v>0</v>
      </c>
      <c r="O481" t="n">
        <v>0</v>
      </c>
      <c r="P481" t="n">
        <v>0</v>
      </c>
      <c r="Q481" t="n">
        <v>0</v>
      </c>
      <c r="R481" s="2" t="inlineStr"/>
    </row>
    <row r="482" ht="15" customHeight="1">
      <c r="A482" t="inlineStr">
        <is>
          <t>A 57563-2022</t>
        </is>
      </c>
      <c r="B482" s="1" t="n">
        <v>44896</v>
      </c>
      <c r="C482" s="1" t="n">
        <v>45811</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57940-2022</t>
        </is>
      </c>
      <c r="B483" s="1" t="n">
        <v>44900</v>
      </c>
      <c r="C483" s="1" t="n">
        <v>45811</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58384-2022</t>
        </is>
      </c>
      <c r="B484" s="1" t="n">
        <v>44901</v>
      </c>
      <c r="C484" s="1" t="n">
        <v>45811</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59190-2022</t>
        </is>
      </c>
      <c r="B485" s="1" t="n">
        <v>44904</v>
      </c>
      <c r="C485" s="1" t="n">
        <v>45811</v>
      </c>
      <c r="D485" t="inlineStr">
        <is>
          <t>UPPSALA LÄN</t>
        </is>
      </c>
      <c r="E485" t="inlineStr">
        <is>
          <t>ENKÖPING</t>
        </is>
      </c>
      <c r="G485" t="n">
        <v>2.3</v>
      </c>
      <c r="H485" t="n">
        <v>0</v>
      </c>
      <c r="I485" t="n">
        <v>0</v>
      </c>
      <c r="J485" t="n">
        <v>0</v>
      </c>
      <c r="K485" t="n">
        <v>0</v>
      </c>
      <c r="L485" t="n">
        <v>0</v>
      </c>
      <c r="M485" t="n">
        <v>0</v>
      </c>
      <c r="N485" t="n">
        <v>0</v>
      </c>
      <c r="O485" t="n">
        <v>0</v>
      </c>
      <c r="P485" t="n">
        <v>0</v>
      </c>
      <c r="Q485" t="n">
        <v>0</v>
      </c>
      <c r="R485" s="2" t="inlineStr"/>
    </row>
    <row r="486" ht="15" customHeight="1">
      <c r="A486" t="inlineStr">
        <is>
          <t>A 59200-2022</t>
        </is>
      </c>
      <c r="B486" s="1" t="n">
        <v>44904</v>
      </c>
      <c r="C486" s="1" t="n">
        <v>45811</v>
      </c>
      <c r="D486" t="inlineStr">
        <is>
          <t>UPPSALA LÄN</t>
        </is>
      </c>
      <c r="E486" t="inlineStr">
        <is>
          <t>ENKÖPING</t>
        </is>
      </c>
      <c r="G486" t="n">
        <v>3.1</v>
      </c>
      <c r="H486" t="n">
        <v>0</v>
      </c>
      <c r="I486" t="n">
        <v>0</v>
      </c>
      <c r="J486" t="n">
        <v>0</v>
      </c>
      <c r="K486" t="n">
        <v>0</v>
      </c>
      <c r="L486" t="n">
        <v>0</v>
      </c>
      <c r="M486" t="n">
        <v>0</v>
      </c>
      <c r="N486" t="n">
        <v>0</v>
      </c>
      <c r="O486" t="n">
        <v>0</v>
      </c>
      <c r="P486" t="n">
        <v>0</v>
      </c>
      <c r="Q486" t="n">
        <v>0</v>
      </c>
      <c r="R486" s="2" t="inlineStr"/>
    </row>
    <row r="487" ht="15" customHeight="1">
      <c r="A487" t="inlineStr">
        <is>
          <t>A 59337-2022</t>
        </is>
      </c>
      <c r="B487" s="1" t="n">
        <v>44904</v>
      </c>
      <c r="C487" s="1" t="n">
        <v>45811</v>
      </c>
      <c r="D487" t="inlineStr">
        <is>
          <t>UPPSALA LÄN</t>
        </is>
      </c>
      <c r="E487" t="inlineStr">
        <is>
          <t>ENKÖPING</t>
        </is>
      </c>
      <c r="G487" t="n">
        <v>8.4</v>
      </c>
      <c r="H487" t="n">
        <v>0</v>
      </c>
      <c r="I487" t="n">
        <v>0</v>
      </c>
      <c r="J487" t="n">
        <v>0</v>
      </c>
      <c r="K487" t="n">
        <v>0</v>
      </c>
      <c r="L487" t="n">
        <v>0</v>
      </c>
      <c r="M487" t="n">
        <v>0</v>
      </c>
      <c r="N487" t="n">
        <v>0</v>
      </c>
      <c r="O487" t="n">
        <v>0</v>
      </c>
      <c r="P487" t="n">
        <v>0</v>
      </c>
      <c r="Q487" t="n">
        <v>0</v>
      </c>
      <c r="R487" s="2" t="inlineStr"/>
    </row>
    <row r="488" ht="15" customHeight="1">
      <c r="A488" t="inlineStr">
        <is>
          <t>A 59203-2022</t>
        </is>
      </c>
      <c r="B488" s="1" t="n">
        <v>44904</v>
      </c>
      <c r="C488" s="1" t="n">
        <v>45811</v>
      </c>
      <c r="D488" t="inlineStr">
        <is>
          <t>UPPSALA LÄN</t>
        </is>
      </c>
      <c r="E488" t="inlineStr">
        <is>
          <t>ENKÖPING</t>
        </is>
      </c>
      <c r="G488" t="n">
        <v>4.3</v>
      </c>
      <c r="H488" t="n">
        <v>0</v>
      </c>
      <c r="I488" t="n">
        <v>0</v>
      </c>
      <c r="J488" t="n">
        <v>0</v>
      </c>
      <c r="K488" t="n">
        <v>0</v>
      </c>
      <c r="L488" t="n">
        <v>0</v>
      </c>
      <c r="M488" t="n">
        <v>0</v>
      </c>
      <c r="N488" t="n">
        <v>0</v>
      </c>
      <c r="O488" t="n">
        <v>0</v>
      </c>
      <c r="P488" t="n">
        <v>0</v>
      </c>
      <c r="Q488" t="n">
        <v>0</v>
      </c>
      <c r="R488" s="2" t="inlineStr"/>
    </row>
    <row r="489" ht="15" customHeight="1">
      <c r="A489" t="inlineStr">
        <is>
          <t>A 59344-2022</t>
        </is>
      </c>
      <c r="B489" s="1" t="n">
        <v>44904</v>
      </c>
      <c r="C489" s="1" t="n">
        <v>45811</v>
      </c>
      <c r="D489" t="inlineStr">
        <is>
          <t>UPPSALA LÄN</t>
        </is>
      </c>
      <c r="E489" t="inlineStr">
        <is>
          <t>ENKÖPING</t>
        </is>
      </c>
      <c r="G489" t="n">
        <v>1.9</v>
      </c>
      <c r="H489" t="n">
        <v>0</v>
      </c>
      <c r="I489" t="n">
        <v>0</v>
      </c>
      <c r="J489" t="n">
        <v>0</v>
      </c>
      <c r="K489" t="n">
        <v>0</v>
      </c>
      <c r="L489" t="n">
        <v>0</v>
      </c>
      <c r="M489" t="n">
        <v>0</v>
      </c>
      <c r="N489" t="n">
        <v>0</v>
      </c>
      <c r="O489" t="n">
        <v>0</v>
      </c>
      <c r="P489" t="n">
        <v>0</v>
      </c>
      <c r="Q489" t="n">
        <v>0</v>
      </c>
      <c r="R489" s="2" t="inlineStr"/>
    </row>
    <row r="490" ht="15" customHeight="1">
      <c r="A490" t="inlineStr">
        <is>
          <t>A 59345-2022</t>
        </is>
      </c>
      <c r="B490" s="1" t="n">
        <v>44904</v>
      </c>
      <c r="C490" s="1" t="n">
        <v>45811</v>
      </c>
      <c r="D490" t="inlineStr">
        <is>
          <t>UPPSALA LÄN</t>
        </is>
      </c>
      <c r="E490" t="inlineStr">
        <is>
          <t>ENKÖPING</t>
        </is>
      </c>
      <c r="G490" t="n">
        <v>4.9</v>
      </c>
      <c r="H490" t="n">
        <v>0</v>
      </c>
      <c r="I490" t="n">
        <v>0</v>
      </c>
      <c r="J490" t="n">
        <v>0</v>
      </c>
      <c r="K490" t="n">
        <v>0</v>
      </c>
      <c r="L490" t="n">
        <v>0</v>
      </c>
      <c r="M490" t="n">
        <v>0</v>
      </c>
      <c r="N490" t="n">
        <v>0</v>
      </c>
      <c r="O490" t="n">
        <v>0</v>
      </c>
      <c r="P490" t="n">
        <v>0</v>
      </c>
      <c r="Q490" t="n">
        <v>0</v>
      </c>
      <c r="R490" s="2" t="inlineStr"/>
    </row>
    <row r="491" ht="15" customHeight="1">
      <c r="A491" t="inlineStr">
        <is>
          <t>A 59609-2022</t>
        </is>
      </c>
      <c r="B491" s="1" t="n">
        <v>44907</v>
      </c>
      <c r="C491" s="1" t="n">
        <v>45811</v>
      </c>
      <c r="D491" t="inlineStr">
        <is>
          <t>UPPSALA LÄN</t>
        </is>
      </c>
      <c r="E491" t="inlineStr">
        <is>
          <t>ENKÖPING</t>
        </is>
      </c>
      <c r="G491" t="n">
        <v>1.7</v>
      </c>
      <c r="H491" t="n">
        <v>0</v>
      </c>
      <c r="I491" t="n">
        <v>0</v>
      </c>
      <c r="J491" t="n">
        <v>0</v>
      </c>
      <c r="K491" t="n">
        <v>0</v>
      </c>
      <c r="L491" t="n">
        <v>0</v>
      </c>
      <c r="M491" t="n">
        <v>0</v>
      </c>
      <c r="N491" t="n">
        <v>0</v>
      </c>
      <c r="O491" t="n">
        <v>0</v>
      </c>
      <c r="P491" t="n">
        <v>0</v>
      </c>
      <c r="Q491" t="n">
        <v>0</v>
      </c>
      <c r="R491" s="2" t="inlineStr"/>
    </row>
    <row r="492" ht="15" customHeight="1">
      <c r="A492" t="inlineStr">
        <is>
          <t>A 59608-2022</t>
        </is>
      </c>
      <c r="B492" s="1" t="n">
        <v>44907</v>
      </c>
      <c r="C492" s="1" t="n">
        <v>45811</v>
      </c>
      <c r="D492" t="inlineStr">
        <is>
          <t>UPPSALA LÄN</t>
        </is>
      </c>
      <c r="E492" t="inlineStr">
        <is>
          <t>ENKÖPING</t>
        </is>
      </c>
      <c r="G492" t="n">
        <v>2.8</v>
      </c>
      <c r="H492" t="n">
        <v>0</v>
      </c>
      <c r="I492" t="n">
        <v>0</v>
      </c>
      <c r="J492" t="n">
        <v>0</v>
      </c>
      <c r="K492" t="n">
        <v>0</v>
      </c>
      <c r="L492" t="n">
        <v>0</v>
      </c>
      <c r="M492" t="n">
        <v>0</v>
      </c>
      <c r="N492" t="n">
        <v>0</v>
      </c>
      <c r="O492" t="n">
        <v>0</v>
      </c>
      <c r="P492" t="n">
        <v>0</v>
      </c>
      <c r="Q492" t="n">
        <v>0</v>
      </c>
      <c r="R492" s="2" t="inlineStr"/>
    </row>
    <row r="493" ht="15" customHeight="1">
      <c r="A493" t="inlineStr">
        <is>
          <t>A 59602-2022</t>
        </is>
      </c>
      <c r="B493" s="1" t="n">
        <v>44907</v>
      </c>
      <c r="C493" s="1" t="n">
        <v>45811</v>
      </c>
      <c r="D493" t="inlineStr">
        <is>
          <t>UPPSALA LÄN</t>
        </is>
      </c>
      <c r="E493" t="inlineStr">
        <is>
          <t>ENKÖPING</t>
        </is>
      </c>
      <c r="G493" t="n">
        <v>14.2</v>
      </c>
      <c r="H493" t="n">
        <v>0</v>
      </c>
      <c r="I493" t="n">
        <v>0</v>
      </c>
      <c r="J493" t="n">
        <v>0</v>
      </c>
      <c r="K493" t="n">
        <v>0</v>
      </c>
      <c r="L493" t="n">
        <v>0</v>
      </c>
      <c r="M493" t="n">
        <v>0</v>
      </c>
      <c r="N493" t="n">
        <v>0</v>
      </c>
      <c r="O493" t="n">
        <v>0</v>
      </c>
      <c r="P493" t="n">
        <v>0</v>
      </c>
      <c r="Q493" t="n">
        <v>0</v>
      </c>
      <c r="R493" s="2" t="inlineStr"/>
    </row>
    <row r="494" ht="15" customHeight="1">
      <c r="A494" t="inlineStr">
        <is>
          <t>A 59610-2022</t>
        </is>
      </c>
      <c r="B494" s="1" t="n">
        <v>44907</v>
      </c>
      <c r="C494" s="1" t="n">
        <v>45811</v>
      </c>
      <c r="D494" t="inlineStr">
        <is>
          <t>UPPSALA LÄN</t>
        </is>
      </c>
      <c r="E494" t="inlineStr">
        <is>
          <t>ENKÖPING</t>
        </is>
      </c>
      <c r="G494" t="n">
        <v>3.6</v>
      </c>
      <c r="H494" t="n">
        <v>0</v>
      </c>
      <c r="I494" t="n">
        <v>0</v>
      </c>
      <c r="J494" t="n">
        <v>0</v>
      </c>
      <c r="K494" t="n">
        <v>0</v>
      </c>
      <c r="L494" t="n">
        <v>0</v>
      </c>
      <c r="M494" t="n">
        <v>0</v>
      </c>
      <c r="N494" t="n">
        <v>0</v>
      </c>
      <c r="O494" t="n">
        <v>0</v>
      </c>
      <c r="P494" t="n">
        <v>0</v>
      </c>
      <c r="Q494" t="n">
        <v>0</v>
      </c>
      <c r="R494" s="2" t="inlineStr"/>
    </row>
    <row r="495" ht="15" customHeight="1">
      <c r="A495" t="inlineStr">
        <is>
          <t>A 60132-2022</t>
        </is>
      </c>
      <c r="B495" s="1" t="n">
        <v>44909</v>
      </c>
      <c r="C495" s="1" t="n">
        <v>45811</v>
      </c>
      <c r="D495" t="inlineStr">
        <is>
          <t>UPPSALA LÄN</t>
        </is>
      </c>
      <c r="E495" t="inlineStr">
        <is>
          <t>ENKÖPING</t>
        </is>
      </c>
      <c r="F495" t="inlineStr">
        <is>
          <t>Allmännings- och besparingsskogar</t>
        </is>
      </c>
      <c r="G495" t="n">
        <v>5.4</v>
      </c>
      <c r="H495" t="n">
        <v>0</v>
      </c>
      <c r="I495" t="n">
        <v>0</v>
      </c>
      <c r="J495" t="n">
        <v>0</v>
      </c>
      <c r="K495" t="n">
        <v>0</v>
      </c>
      <c r="L495" t="n">
        <v>0</v>
      </c>
      <c r="M495" t="n">
        <v>0</v>
      </c>
      <c r="N495" t="n">
        <v>0</v>
      </c>
      <c r="O495" t="n">
        <v>0</v>
      </c>
      <c r="P495" t="n">
        <v>0</v>
      </c>
      <c r="Q495" t="n">
        <v>0</v>
      </c>
      <c r="R495" s="2" t="inlineStr"/>
    </row>
    <row r="496" ht="15" customHeight="1">
      <c r="A496" t="inlineStr">
        <is>
          <t>A 60289-2022</t>
        </is>
      </c>
      <c r="B496" s="1" t="n">
        <v>44910</v>
      </c>
      <c r="C496" s="1" t="n">
        <v>45811</v>
      </c>
      <c r="D496" t="inlineStr">
        <is>
          <t>UPPSALA LÄN</t>
        </is>
      </c>
      <c r="E496" t="inlineStr">
        <is>
          <t>ENKÖPING</t>
        </is>
      </c>
      <c r="G496" t="n">
        <v>3.2</v>
      </c>
      <c r="H496" t="n">
        <v>0</v>
      </c>
      <c r="I496" t="n">
        <v>0</v>
      </c>
      <c r="J496" t="n">
        <v>0</v>
      </c>
      <c r="K496" t="n">
        <v>0</v>
      </c>
      <c r="L496" t="n">
        <v>0</v>
      </c>
      <c r="M496" t="n">
        <v>0</v>
      </c>
      <c r="N496" t="n">
        <v>0</v>
      </c>
      <c r="O496" t="n">
        <v>0</v>
      </c>
      <c r="P496" t="n">
        <v>0</v>
      </c>
      <c r="Q496" t="n">
        <v>0</v>
      </c>
      <c r="R496" s="2" t="inlineStr"/>
    </row>
    <row r="497" ht="15" customHeight="1">
      <c r="A497" t="inlineStr">
        <is>
          <t>A 60350-2022</t>
        </is>
      </c>
      <c r="B497" s="1" t="n">
        <v>44910</v>
      </c>
      <c r="C497" s="1" t="n">
        <v>45811</v>
      </c>
      <c r="D497" t="inlineStr">
        <is>
          <t>UPPSALA LÄN</t>
        </is>
      </c>
      <c r="E497" t="inlineStr">
        <is>
          <t>ENKÖPING</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60478-2022</t>
        </is>
      </c>
      <c r="B498" s="1" t="n">
        <v>44911</v>
      </c>
      <c r="C498" s="1" t="n">
        <v>45811</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61125-2022</t>
        </is>
      </c>
      <c r="B499" s="1" t="n">
        <v>44915</v>
      </c>
      <c r="C499" s="1" t="n">
        <v>45811</v>
      </c>
      <c r="D499" t="inlineStr">
        <is>
          <t>UPPSALA LÄN</t>
        </is>
      </c>
      <c r="E499" t="inlineStr">
        <is>
          <t>ENKÖPING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61181-2022</t>
        </is>
      </c>
      <c r="B500" s="1" t="n">
        <v>44915</v>
      </c>
      <c r="C500" s="1" t="n">
        <v>45811</v>
      </c>
      <c r="D500" t="inlineStr">
        <is>
          <t>UPPSALA LÄN</t>
        </is>
      </c>
      <c r="E500" t="inlineStr">
        <is>
          <t>ENKÖPING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61106-2022</t>
        </is>
      </c>
      <c r="B501" s="1" t="n">
        <v>44915</v>
      </c>
      <c r="C501" s="1" t="n">
        <v>45811</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61800-2022</t>
        </is>
      </c>
      <c r="B502" s="1" t="n">
        <v>44917</v>
      </c>
      <c r="C502" s="1" t="n">
        <v>45811</v>
      </c>
      <c r="D502" t="inlineStr">
        <is>
          <t>UPPSALA LÄN</t>
        </is>
      </c>
      <c r="E502" t="inlineStr">
        <is>
          <t>ENKÖPING</t>
        </is>
      </c>
      <c r="G502" t="n">
        <v>2.5</v>
      </c>
      <c r="H502" t="n">
        <v>0</v>
      </c>
      <c r="I502" t="n">
        <v>0</v>
      </c>
      <c r="J502" t="n">
        <v>0</v>
      </c>
      <c r="K502" t="n">
        <v>0</v>
      </c>
      <c r="L502" t="n">
        <v>0</v>
      </c>
      <c r="M502" t="n">
        <v>0</v>
      </c>
      <c r="N502" t="n">
        <v>0</v>
      </c>
      <c r="O502" t="n">
        <v>0</v>
      </c>
      <c r="P502" t="n">
        <v>0</v>
      </c>
      <c r="Q502" t="n">
        <v>0</v>
      </c>
      <c r="R502" s="2" t="inlineStr"/>
    </row>
    <row r="503" ht="15" customHeight="1">
      <c r="A503" t="inlineStr">
        <is>
          <t>A 62716-2022</t>
        </is>
      </c>
      <c r="B503" s="1" t="n">
        <v>44917</v>
      </c>
      <c r="C503" s="1" t="n">
        <v>45811</v>
      </c>
      <c r="D503" t="inlineStr">
        <is>
          <t>UPPSALA LÄN</t>
        </is>
      </c>
      <c r="E503" t="inlineStr">
        <is>
          <t>ENKÖPING</t>
        </is>
      </c>
      <c r="G503" t="n">
        <v>4.3</v>
      </c>
      <c r="H503" t="n">
        <v>0</v>
      </c>
      <c r="I503" t="n">
        <v>0</v>
      </c>
      <c r="J503" t="n">
        <v>0</v>
      </c>
      <c r="K503" t="n">
        <v>0</v>
      </c>
      <c r="L503" t="n">
        <v>0</v>
      </c>
      <c r="M503" t="n">
        <v>0</v>
      </c>
      <c r="N503" t="n">
        <v>0</v>
      </c>
      <c r="O503" t="n">
        <v>0</v>
      </c>
      <c r="P503" t="n">
        <v>0</v>
      </c>
      <c r="Q503" t="n">
        <v>0</v>
      </c>
      <c r="R503" s="2" t="inlineStr"/>
    </row>
    <row r="504" ht="15" customHeight="1">
      <c r="A504" t="inlineStr">
        <is>
          <t>A 62423-2022</t>
        </is>
      </c>
      <c r="B504" s="1" t="n">
        <v>44924</v>
      </c>
      <c r="C504" s="1" t="n">
        <v>45811</v>
      </c>
      <c r="D504" t="inlineStr">
        <is>
          <t>UPPSALA LÄN</t>
        </is>
      </c>
      <c r="E504" t="inlineStr">
        <is>
          <t>ENKÖPING</t>
        </is>
      </c>
      <c r="G504" t="n">
        <v>2.9</v>
      </c>
      <c r="H504" t="n">
        <v>0</v>
      </c>
      <c r="I504" t="n">
        <v>0</v>
      </c>
      <c r="J504" t="n">
        <v>0</v>
      </c>
      <c r="K504" t="n">
        <v>0</v>
      </c>
      <c r="L504" t="n">
        <v>0</v>
      </c>
      <c r="M504" t="n">
        <v>0</v>
      </c>
      <c r="N504" t="n">
        <v>0</v>
      </c>
      <c r="O504" t="n">
        <v>0</v>
      </c>
      <c r="P504" t="n">
        <v>0</v>
      </c>
      <c r="Q504" t="n">
        <v>0</v>
      </c>
      <c r="R504" s="2" t="inlineStr"/>
    </row>
    <row r="505" ht="15" customHeight="1">
      <c r="A505" t="inlineStr">
        <is>
          <t>A 62419-2022</t>
        </is>
      </c>
      <c r="B505" s="1" t="n">
        <v>44924</v>
      </c>
      <c r="C505" s="1" t="n">
        <v>45811</v>
      </c>
      <c r="D505" t="inlineStr">
        <is>
          <t>UPPSALA LÄN</t>
        </is>
      </c>
      <c r="E505" t="inlineStr">
        <is>
          <t>ENKÖPING</t>
        </is>
      </c>
      <c r="G505" t="n">
        <v>1.4</v>
      </c>
      <c r="H505" t="n">
        <v>0</v>
      </c>
      <c r="I505" t="n">
        <v>0</v>
      </c>
      <c r="J505" t="n">
        <v>0</v>
      </c>
      <c r="K505" t="n">
        <v>0</v>
      </c>
      <c r="L505" t="n">
        <v>0</v>
      </c>
      <c r="M505" t="n">
        <v>0</v>
      </c>
      <c r="N505" t="n">
        <v>0</v>
      </c>
      <c r="O505" t="n">
        <v>0</v>
      </c>
      <c r="P505" t="n">
        <v>0</v>
      </c>
      <c r="Q505" t="n">
        <v>0</v>
      </c>
      <c r="R505" s="2" t="inlineStr"/>
    </row>
    <row r="506" ht="15" customHeight="1">
      <c r="A506" t="inlineStr">
        <is>
          <t>A 799-2023</t>
        </is>
      </c>
      <c r="B506" s="1" t="n">
        <v>44931</v>
      </c>
      <c r="C506" s="1" t="n">
        <v>45811</v>
      </c>
      <c r="D506" t="inlineStr">
        <is>
          <t>UPPSALA LÄN</t>
        </is>
      </c>
      <c r="E506" t="inlineStr">
        <is>
          <t>ENKÖPING</t>
        </is>
      </c>
      <c r="G506" t="n">
        <v>3.1</v>
      </c>
      <c r="H506" t="n">
        <v>0</v>
      </c>
      <c r="I506" t="n">
        <v>0</v>
      </c>
      <c r="J506" t="n">
        <v>0</v>
      </c>
      <c r="K506" t="n">
        <v>0</v>
      </c>
      <c r="L506" t="n">
        <v>0</v>
      </c>
      <c r="M506" t="n">
        <v>0</v>
      </c>
      <c r="N506" t="n">
        <v>0</v>
      </c>
      <c r="O506" t="n">
        <v>0</v>
      </c>
      <c r="P506" t="n">
        <v>0</v>
      </c>
      <c r="Q506" t="n">
        <v>0</v>
      </c>
      <c r="R506" s="2" t="inlineStr"/>
    </row>
    <row r="507" ht="15" customHeight="1">
      <c r="A507" t="inlineStr">
        <is>
          <t>A 1587-2023</t>
        </is>
      </c>
      <c r="B507" s="1" t="n">
        <v>44937</v>
      </c>
      <c r="C507" s="1" t="n">
        <v>45811</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1593-2023</t>
        </is>
      </c>
      <c r="B508" s="1" t="n">
        <v>44937</v>
      </c>
      <c r="C508" s="1" t="n">
        <v>45811</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2161-2023</t>
        </is>
      </c>
      <c r="B509" s="1" t="n">
        <v>44941</v>
      </c>
      <c r="C509" s="1" t="n">
        <v>45811</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2165-2023</t>
        </is>
      </c>
      <c r="B510" s="1" t="n">
        <v>44941</v>
      </c>
      <c r="C510" s="1" t="n">
        <v>45811</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2162-2023</t>
        </is>
      </c>
      <c r="B511" s="1" t="n">
        <v>44941</v>
      </c>
      <c r="C511" s="1" t="n">
        <v>45811</v>
      </c>
      <c r="D511" t="inlineStr">
        <is>
          <t>UPPSALA LÄN</t>
        </is>
      </c>
      <c r="E511" t="inlineStr">
        <is>
          <t>ENKÖPING</t>
        </is>
      </c>
      <c r="G511" t="n">
        <v>2.4</v>
      </c>
      <c r="H511" t="n">
        <v>0</v>
      </c>
      <c r="I511" t="n">
        <v>0</v>
      </c>
      <c r="J511" t="n">
        <v>0</v>
      </c>
      <c r="K511" t="n">
        <v>0</v>
      </c>
      <c r="L511" t="n">
        <v>0</v>
      </c>
      <c r="M511" t="n">
        <v>0</v>
      </c>
      <c r="N511" t="n">
        <v>0</v>
      </c>
      <c r="O511" t="n">
        <v>0</v>
      </c>
      <c r="P511" t="n">
        <v>0</v>
      </c>
      <c r="Q511" t="n">
        <v>0</v>
      </c>
      <c r="R511" s="2" t="inlineStr"/>
    </row>
    <row r="512" ht="15" customHeight="1">
      <c r="A512" t="inlineStr">
        <is>
          <t>A 2164-2023</t>
        </is>
      </c>
      <c r="B512" s="1" t="n">
        <v>44941</v>
      </c>
      <c r="C512" s="1" t="n">
        <v>45811</v>
      </c>
      <c r="D512" t="inlineStr">
        <is>
          <t>UPPSALA LÄN</t>
        </is>
      </c>
      <c r="E512" t="inlineStr">
        <is>
          <t>ENKÖPING</t>
        </is>
      </c>
      <c r="G512" t="n">
        <v>2.5</v>
      </c>
      <c r="H512" t="n">
        <v>0</v>
      </c>
      <c r="I512" t="n">
        <v>0</v>
      </c>
      <c r="J512" t="n">
        <v>0</v>
      </c>
      <c r="K512" t="n">
        <v>0</v>
      </c>
      <c r="L512" t="n">
        <v>0</v>
      </c>
      <c r="M512" t="n">
        <v>0</v>
      </c>
      <c r="N512" t="n">
        <v>0</v>
      </c>
      <c r="O512" t="n">
        <v>0</v>
      </c>
      <c r="P512" t="n">
        <v>0</v>
      </c>
      <c r="Q512" t="n">
        <v>0</v>
      </c>
      <c r="R512" s="2" t="inlineStr"/>
    </row>
    <row r="513" ht="15" customHeight="1">
      <c r="A513" t="inlineStr">
        <is>
          <t>A 3550-2023</t>
        </is>
      </c>
      <c r="B513" s="1" t="n">
        <v>44950</v>
      </c>
      <c r="C513" s="1" t="n">
        <v>45811</v>
      </c>
      <c r="D513" t="inlineStr">
        <is>
          <t>UPPSALA LÄN</t>
        </is>
      </c>
      <c r="E513" t="inlineStr">
        <is>
          <t>ENKÖPING</t>
        </is>
      </c>
      <c r="G513" t="n">
        <v>0.9</v>
      </c>
      <c r="H513" t="n">
        <v>0</v>
      </c>
      <c r="I513" t="n">
        <v>0</v>
      </c>
      <c r="J513" t="n">
        <v>0</v>
      </c>
      <c r="K513" t="n">
        <v>0</v>
      </c>
      <c r="L513" t="n">
        <v>0</v>
      </c>
      <c r="M513" t="n">
        <v>0</v>
      </c>
      <c r="N513" t="n">
        <v>0</v>
      </c>
      <c r="O513" t="n">
        <v>0</v>
      </c>
      <c r="P513" t="n">
        <v>0</v>
      </c>
      <c r="Q513" t="n">
        <v>0</v>
      </c>
      <c r="R513" s="2" t="inlineStr"/>
    </row>
    <row r="514" ht="15" customHeight="1">
      <c r="A514" t="inlineStr">
        <is>
          <t>A 4901-2023</t>
        </is>
      </c>
      <c r="B514" s="1" t="n">
        <v>44958</v>
      </c>
      <c r="C514" s="1" t="n">
        <v>45811</v>
      </c>
      <c r="D514" t="inlineStr">
        <is>
          <t>UPPSALA LÄN</t>
        </is>
      </c>
      <c r="E514" t="inlineStr">
        <is>
          <t>ENKÖPING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5892-2023</t>
        </is>
      </c>
      <c r="B515" s="1" t="n">
        <v>44963</v>
      </c>
      <c r="C515" s="1" t="n">
        <v>45811</v>
      </c>
      <c r="D515" t="inlineStr">
        <is>
          <t>UPPSALA LÄN</t>
        </is>
      </c>
      <c r="E515" t="inlineStr">
        <is>
          <t>ENKÖPING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6172-2023</t>
        </is>
      </c>
      <c r="B516" s="1" t="n">
        <v>44964</v>
      </c>
      <c r="C516" s="1" t="n">
        <v>45811</v>
      </c>
      <c r="D516" t="inlineStr">
        <is>
          <t>UPPSALA LÄN</t>
        </is>
      </c>
      <c r="E516" t="inlineStr">
        <is>
          <t>ENKÖPING</t>
        </is>
      </c>
      <c r="G516" t="n">
        <v>2.6</v>
      </c>
      <c r="H516" t="n">
        <v>0</v>
      </c>
      <c r="I516" t="n">
        <v>0</v>
      </c>
      <c r="J516" t="n">
        <v>0</v>
      </c>
      <c r="K516" t="n">
        <v>0</v>
      </c>
      <c r="L516" t="n">
        <v>0</v>
      </c>
      <c r="M516" t="n">
        <v>0</v>
      </c>
      <c r="N516" t="n">
        <v>0</v>
      </c>
      <c r="O516" t="n">
        <v>0</v>
      </c>
      <c r="P516" t="n">
        <v>0</v>
      </c>
      <c r="Q516" t="n">
        <v>0</v>
      </c>
      <c r="R516" s="2" t="inlineStr"/>
    </row>
    <row r="517" ht="15" customHeight="1">
      <c r="A517" t="inlineStr">
        <is>
          <t>A 6620-2023</t>
        </is>
      </c>
      <c r="B517" s="1" t="n">
        <v>44966</v>
      </c>
      <c r="C517" s="1" t="n">
        <v>45811</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6623-2023</t>
        </is>
      </c>
      <c r="B518" s="1" t="n">
        <v>44966</v>
      </c>
      <c r="C518" s="1" t="n">
        <v>45811</v>
      </c>
      <c r="D518" t="inlineStr">
        <is>
          <t>UPPSALA LÄN</t>
        </is>
      </c>
      <c r="E518" t="inlineStr">
        <is>
          <t>ENKÖPING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6624-2023</t>
        </is>
      </c>
      <c r="B519" s="1" t="n">
        <v>44966</v>
      </c>
      <c r="C519" s="1" t="n">
        <v>45811</v>
      </c>
      <c r="D519" t="inlineStr">
        <is>
          <t>UPPSALA LÄN</t>
        </is>
      </c>
      <c r="E519" t="inlineStr">
        <is>
          <t>ENKÖPING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6626-2023</t>
        </is>
      </c>
      <c r="B520" s="1" t="n">
        <v>44966</v>
      </c>
      <c r="C520" s="1" t="n">
        <v>45811</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9957-2023</t>
        </is>
      </c>
      <c r="B521" s="1" t="n">
        <v>44978</v>
      </c>
      <c r="C521" s="1" t="n">
        <v>45811</v>
      </c>
      <c r="D521" t="inlineStr">
        <is>
          <t>UPPSALA LÄN</t>
        </is>
      </c>
      <c r="E521" t="inlineStr">
        <is>
          <t>ENKÖPING</t>
        </is>
      </c>
      <c r="G521" t="n">
        <v>5.9</v>
      </c>
      <c r="H521" t="n">
        <v>0</v>
      </c>
      <c r="I521" t="n">
        <v>0</v>
      </c>
      <c r="J521" t="n">
        <v>0</v>
      </c>
      <c r="K521" t="n">
        <v>0</v>
      </c>
      <c r="L521" t="n">
        <v>0</v>
      </c>
      <c r="M521" t="n">
        <v>0</v>
      </c>
      <c r="N521" t="n">
        <v>0</v>
      </c>
      <c r="O521" t="n">
        <v>0</v>
      </c>
      <c r="P521" t="n">
        <v>0</v>
      </c>
      <c r="Q521" t="n">
        <v>0</v>
      </c>
      <c r="R521" s="2" t="inlineStr"/>
    </row>
    <row r="522" ht="15" customHeight="1">
      <c r="A522" t="inlineStr">
        <is>
          <t>A 9958-2023</t>
        </is>
      </c>
      <c r="B522" s="1" t="n">
        <v>44978</v>
      </c>
      <c r="C522" s="1" t="n">
        <v>45811</v>
      </c>
      <c r="D522" t="inlineStr">
        <is>
          <t>UPPSALA LÄN</t>
        </is>
      </c>
      <c r="E522" t="inlineStr">
        <is>
          <t>ENKÖPING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9041-2023</t>
        </is>
      </c>
      <c r="B523" s="1" t="n">
        <v>44979</v>
      </c>
      <c r="C523" s="1" t="n">
        <v>45811</v>
      </c>
      <c r="D523" t="inlineStr">
        <is>
          <t>UPPSALA LÄN</t>
        </is>
      </c>
      <c r="E523" t="inlineStr">
        <is>
          <t>ENKÖPING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9231-2023</t>
        </is>
      </c>
      <c r="B524" s="1" t="n">
        <v>44980</v>
      </c>
      <c r="C524" s="1" t="n">
        <v>45811</v>
      </c>
      <c r="D524" t="inlineStr">
        <is>
          <t>UPPSALA LÄN</t>
        </is>
      </c>
      <c r="E524" t="inlineStr">
        <is>
          <t>ENKÖPING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11005-2023</t>
        </is>
      </c>
      <c r="B525" s="1" t="n">
        <v>44991</v>
      </c>
      <c r="C525" s="1" t="n">
        <v>45811</v>
      </c>
      <c r="D525" t="inlineStr">
        <is>
          <t>UPPSALA LÄN</t>
        </is>
      </c>
      <c r="E525" t="inlineStr">
        <is>
          <t>ENKÖPING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12360-2023</t>
        </is>
      </c>
      <c r="B526" s="1" t="n">
        <v>44999</v>
      </c>
      <c r="C526" s="1" t="n">
        <v>45811</v>
      </c>
      <c r="D526" t="inlineStr">
        <is>
          <t>UPPSALA LÄN</t>
        </is>
      </c>
      <c r="E526" t="inlineStr">
        <is>
          <t>ENKÖPING</t>
        </is>
      </c>
      <c r="G526" t="n">
        <v>6.3</v>
      </c>
      <c r="H526" t="n">
        <v>0</v>
      </c>
      <c r="I526" t="n">
        <v>0</v>
      </c>
      <c r="J526" t="n">
        <v>0</v>
      </c>
      <c r="K526" t="n">
        <v>0</v>
      </c>
      <c r="L526" t="n">
        <v>0</v>
      </c>
      <c r="M526" t="n">
        <v>0</v>
      </c>
      <c r="N526" t="n">
        <v>0</v>
      </c>
      <c r="O526" t="n">
        <v>0</v>
      </c>
      <c r="P526" t="n">
        <v>0</v>
      </c>
      <c r="Q526" t="n">
        <v>0</v>
      </c>
      <c r="R526" s="2" t="inlineStr"/>
    </row>
    <row r="527" ht="15" customHeight="1">
      <c r="A527" t="inlineStr">
        <is>
          <t>A 13140-2023</t>
        </is>
      </c>
      <c r="B527" s="1" t="n">
        <v>45001</v>
      </c>
      <c r="C527" s="1" t="n">
        <v>45811</v>
      </c>
      <c r="D527" t="inlineStr">
        <is>
          <t>UPPSALA LÄN</t>
        </is>
      </c>
      <c r="E527" t="inlineStr">
        <is>
          <t>ENKÖPING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13099-2023</t>
        </is>
      </c>
      <c r="B528" s="1" t="n">
        <v>45001</v>
      </c>
      <c r="C528" s="1" t="n">
        <v>45811</v>
      </c>
      <c r="D528" t="inlineStr">
        <is>
          <t>UPPSALA LÄN</t>
        </is>
      </c>
      <c r="E528" t="inlineStr">
        <is>
          <t>ENKÖPING</t>
        </is>
      </c>
      <c r="G528" t="n">
        <v>10.5</v>
      </c>
      <c r="H528" t="n">
        <v>0</v>
      </c>
      <c r="I528" t="n">
        <v>0</v>
      </c>
      <c r="J528" t="n">
        <v>0</v>
      </c>
      <c r="K528" t="n">
        <v>0</v>
      </c>
      <c r="L528" t="n">
        <v>0</v>
      </c>
      <c r="M528" t="n">
        <v>0</v>
      </c>
      <c r="N528" t="n">
        <v>0</v>
      </c>
      <c r="O528" t="n">
        <v>0</v>
      </c>
      <c r="P528" t="n">
        <v>0</v>
      </c>
      <c r="Q528" t="n">
        <v>0</v>
      </c>
      <c r="R528" s="2" t="inlineStr"/>
    </row>
    <row r="529" ht="15" customHeight="1">
      <c r="A529" t="inlineStr">
        <is>
          <t>A 13110-2023</t>
        </is>
      </c>
      <c r="B529" s="1" t="n">
        <v>45001</v>
      </c>
      <c r="C529" s="1" t="n">
        <v>45811</v>
      </c>
      <c r="D529" t="inlineStr">
        <is>
          <t>UPPSALA LÄN</t>
        </is>
      </c>
      <c r="E529" t="inlineStr">
        <is>
          <t>ENKÖPING</t>
        </is>
      </c>
      <c r="G529" t="n">
        <v>2.5</v>
      </c>
      <c r="H529" t="n">
        <v>0</v>
      </c>
      <c r="I529" t="n">
        <v>0</v>
      </c>
      <c r="J529" t="n">
        <v>0</v>
      </c>
      <c r="K529" t="n">
        <v>0</v>
      </c>
      <c r="L529" t="n">
        <v>0</v>
      </c>
      <c r="M529" t="n">
        <v>0</v>
      </c>
      <c r="N529" t="n">
        <v>0</v>
      </c>
      <c r="O529" t="n">
        <v>0</v>
      </c>
      <c r="P529" t="n">
        <v>0</v>
      </c>
      <c r="Q529" t="n">
        <v>0</v>
      </c>
      <c r="R529" s="2" t="inlineStr"/>
    </row>
    <row r="530" ht="15" customHeight="1">
      <c r="A530" t="inlineStr">
        <is>
          <t>A 13836-2023</t>
        </is>
      </c>
      <c r="B530" s="1" t="n">
        <v>45007</v>
      </c>
      <c r="C530" s="1" t="n">
        <v>45811</v>
      </c>
      <c r="D530" t="inlineStr">
        <is>
          <t>UPPSALA LÄN</t>
        </is>
      </c>
      <c r="E530" t="inlineStr">
        <is>
          <t>ENKÖPING</t>
        </is>
      </c>
      <c r="G530" t="n">
        <v>4.2</v>
      </c>
      <c r="H530" t="n">
        <v>0</v>
      </c>
      <c r="I530" t="n">
        <v>0</v>
      </c>
      <c r="J530" t="n">
        <v>0</v>
      </c>
      <c r="K530" t="n">
        <v>0</v>
      </c>
      <c r="L530" t="n">
        <v>0</v>
      </c>
      <c r="M530" t="n">
        <v>0</v>
      </c>
      <c r="N530" t="n">
        <v>0</v>
      </c>
      <c r="O530" t="n">
        <v>0</v>
      </c>
      <c r="P530" t="n">
        <v>0</v>
      </c>
      <c r="Q530" t="n">
        <v>0</v>
      </c>
      <c r="R530" s="2" t="inlineStr"/>
    </row>
    <row r="531" ht="15" customHeight="1">
      <c r="A531" t="inlineStr">
        <is>
          <t>A 13853-2023</t>
        </is>
      </c>
      <c r="B531" s="1" t="n">
        <v>45007</v>
      </c>
      <c r="C531" s="1" t="n">
        <v>45811</v>
      </c>
      <c r="D531" t="inlineStr">
        <is>
          <t>UPPSALA LÄN</t>
        </is>
      </c>
      <c r="E531" t="inlineStr">
        <is>
          <t>ENKÖPING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13867-2023</t>
        </is>
      </c>
      <c r="B532" s="1" t="n">
        <v>45007</v>
      </c>
      <c r="C532" s="1" t="n">
        <v>45811</v>
      </c>
      <c r="D532" t="inlineStr">
        <is>
          <t>UPPSALA LÄN</t>
        </is>
      </c>
      <c r="E532" t="inlineStr">
        <is>
          <t>ENKÖPING</t>
        </is>
      </c>
      <c r="G532" t="n">
        <v>2</v>
      </c>
      <c r="H532" t="n">
        <v>0</v>
      </c>
      <c r="I532" t="n">
        <v>0</v>
      </c>
      <c r="J532" t="n">
        <v>0</v>
      </c>
      <c r="K532" t="n">
        <v>0</v>
      </c>
      <c r="L532" t="n">
        <v>0</v>
      </c>
      <c r="M532" t="n">
        <v>0</v>
      </c>
      <c r="N532" t="n">
        <v>0</v>
      </c>
      <c r="O532" t="n">
        <v>0</v>
      </c>
      <c r="P532" t="n">
        <v>0</v>
      </c>
      <c r="Q532" t="n">
        <v>0</v>
      </c>
      <c r="R532" s="2" t="inlineStr"/>
    </row>
    <row r="533" ht="15" customHeight="1">
      <c r="A533" t="inlineStr">
        <is>
          <t>A 14004-2023</t>
        </is>
      </c>
      <c r="B533" s="1" t="n">
        <v>45008</v>
      </c>
      <c r="C533" s="1" t="n">
        <v>45811</v>
      </c>
      <c r="D533" t="inlineStr">
        <is>
          <t>UPPSALA LÄN</t>
        </is>
      </c>
      <c r="E533" t="inlineStr">
        <is>
          <t>ENKÖPING</t>
        </is>
      </c>
      <c r="G533" t="n">
        <v>1.3</v>
      </c>
      <c r="H533" t="n">
        <v>0</v>
      </c>
      <c r="I533" t="n">
        <v>0</v>
      </c>
      <c r="J533" t="n">
        <v>0</v>
      </c>
      <c r="K533" t="n">
        <v>0</v>
      </c>
      <c r="L533" t="n">
        <v>0</v>
      </c>
      <c r="M533" t="n">
        <v>0</v>
      </c>
      <c r="N533" t="n">
        <v>0</v>
      </c>
      <c r="O533" t="n">
        <v>0</v>
      </c>
      <c r="P533" t="n">
        <v>0</v>
      </c>
      <c r="Q533" t="n">
        <v>0</v>
      </c>
      <c r="R533" s="2" t="inlineStr"/>
    </row>
    <row r="534" ht="15" customHeight="1">
      <c r="A534" t="inlineStr">
        <is>
          <t>A 14402-2023</t>
        </is>
      </c>
      <c r="B534" s="1" t="n">
        <v>45012</v>
      </c>
      <c r="C534" s="1" t="n">
        <v>45811</v>
      </c>
      <c r="D534" t="inlineStr">
        <is>
          <t>UPPSALA LÄN</t>
        </is>
      </c>
      <c r="E534" t="inlineStr">
        <is>
          <t>ENKÖPING</t>
        </is>
      </c>
      <c r="G534" t="n">
        <v>9.5</v>
      </c>
      <c r="H534" t="n">
        <v>0</v>
      </c>
      <c r="I534" t="n">
        <v>0</v>
      </c>
      <c r="J534" t="n">
        <v>0</v>
      </c>
      <c r="K534" t="n">
        <v>0</v>
      </c>
      <c r="L534" t="n">
        <v>0</v>
      </c>
      <c r="M534" t="n">
        <v>0</v>
      </c>
      <c r="N534" t="n">
        <v>0</v>
      </c>
      <c r="O534" t="n">
        <v>0</v>
      </c>
      <c r="P534" t="n">
        <v>0</v>
      </c>
      <c r="Q534" t="n">
        <v>0</v>
      </c>
      <c r="R534" s="2" t="inlineStr"/>
    </row>
    <row r="535" ht="15" customHeight="1">
      <c r="A535" t="inlineStr">
        <is>
          <t>A 15320-2023</t>
        </is>
      </c>
      <c r="B535" s="1" t="n">
        <v>45019</v>
      </c>
      <c r="C535" s="1" t="n">
        <v>45811</v>
      </c>
      <c r="D535" t="inlineStr">
        <is>
          <t>UPPSALA LÄN</t>
        </is>
      </c>
      <c r="E535" t="inlineStr">
        <is>
          <t>ENKÖPING</t>
        </is>
      </c>
      <c r="G535" t="n">
        <v>8</v>
      </c>
      <c r="H535" t="n">
        <v>0</v>
      </c>
      <c r="I535" t="n">
        <v>0</v>
      </c>
      <c r="J535" t="n">
        <v>0</v>
      </c>
      <c r="K535" t="n">
        <v>0</v>
      </c>
      <c r="L535" t="n">
        <v>0</v>
      </c>
      <c r="M535" t="n">
        <v>0</v>
      </c>
      <c r="N535" t="n">
        <v>0</v>
      </c>
      <c r="O535" t="n">
        <v>0</v>
      </c>
      <c r="P535" t="n">
        <v>0</v>
      </c>
      <c r="Q535" t="n">
        <v>0</v>
      </c>
      <c r="R535" s="2" t="inlineStr"/>
    </row>
    <row r="536" ht="15" customHeight="1">
      <c r="A536" t="inlineStr">
        <is>
          <t>A 15757-2023</t>
        </is>
      </c>
      <c r="B536" s="1" t="n">
        <v>45021</v>
      </c>
      <c r="C536" s="1" t="n">
        <v>45811</v>
      </c>
      <c r="D536" t="inlineStr">
        <is>
          <t>UPPSALA LÄN</t>
        </is>
      </c>
      <c r="E536" t="inlineStr">
        <is>
          <t>ENKÖPING</t>
        </is>
      </c>
      <c r="G536" t="n">
        <v>3</v>
      </c>
      <c r="H536" t="n">
        <v>0</v>
      </c>
      <c r="I536" t="n">
        <v>0</v>
      </c>
      <c r="J536" t="n">
        <v>0</v>
      </c>
      <c r="K536" t="n">
        <v>0</v>
      </c>
      <c r="L536" t="n">
        <v>0</v>
      </c>
      <c r="M536" t="n">
        <v>0</v>
      </c>
      <c r="N536" t="n">
        <v>0</v>
      </c>
      <c r="O536" t="n">
        <v>0</v>
      </c>
      <c r="P536" t="n">
        <v>0</v>
      </c>
      <c r="Q536" t="n">
        <v>0</v>
      </c>
      <c r="R536" s="2" t="inlineStr"/>
    </row>
    <row r="537" ht="15" customHeight="1">
      <c r="A537" t="inlineStr">
        <is>
          <t>A 16320-2023</t>
        </is>
      </c>
      <c r="B537" s="1" t="n">
        <v>45028</v>
      </c>
      <c r="C537" s="1" t="n">
        <v>45811</v>
      </c>
      <c r="D537" t="inlineStr">
        <is>
          <t>UPPSALA LÄN</t>
        </is>
      </c>
      <c r="E537" t="inlineStr">
        <is>
          <t>ENKÖPING</t>
        </is>
      </c>
      <c r="G537" t="n">
        <v>5.2</v>
      </c>
      <c r="H537" t="n">
        <v>0</v>
      </c>
      <c r="I537" t="n">
        <v>0</v>
      </c>
      <c r="J537" t="n">
        <v>0</v>
      </c>
      <c r="K537" t="n">
        <v>0</v>
      </c>
      <c r="L537" t="n">
        <v>0</v>
      </c>
      <c r="M537" t="n">
        <v>0</v>
      </c>
      <c r="N537" t="n">
        <v>0</v>
      </c>
      <c r="O537" t="n">
        <v>0</v>
      </c>
      <c r="P537" t="n">
        <v>0</v>
      </c>
      <c r="Q537" t="n">
        <v>0</v>
      </c>
      <c r="R537" s="2" t="inlineStr"/>
    </row>
    <row r="538" ht="15" customHeight="1">
      <c r="A538" t="inlineStr">
        <is>
          <t>A 16905-2023</t>
        </is>
      </c>
      <c r="B538" s="1" t="n">
        <v>45033</v>
      </c>
      <c r="C538" s="1" t="n">
        <v>45811</v>
      </c>
      <c r="D538" t="inlineStr">
        <is>
          <t>UPPSALA LÄN</t>
        </is>
      </c>
      <c r="E538" t="inlineStr">
        <is>
          <t>ENKÖPING</t>
        </is>
      </c>
      <c r="G538" t="n">
        <v>3.6</v>
      </c>
      <c r="H538" t="n">
        <v>0</v>
      </c>
      <c r="I538" t="n">
        <v>0</v>
      </c>
      <c r="J538" t="n">
        <v>0</v>
      </c>
      <c r="K538" t="n">
        <v>0</v>
      </c>
      <c r="L538" t="n">
        <v>0</v>
      </c>
      <c r="M538" t="n">
        <v>0</v>
      </c>
      <c r="N538" t="n">
        <v>0</v>
      </c>
      <c r="O538" t="n">
        <v>0</v>
      </c>
      <c r="P538" t="n">
        <v>0</v>
      </c>
      <c r="Q538" t="n">
        <v>0</v>
      </c>
      <c r="R538" s="2" t="inlineStr"/>
    </row>
    <row r="539" ht="15" customHeight="1">
      <c r="A539" t="inlineStr">
        <is>
          <t>A 16916-2023</t>
        </is>
      </c>
      <c r="B539" s="1" t="n">
        <v>45033</v>
      </c>
      <c r="C539" s="1" t="n">
        <v>45811</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16920-2023</t>
        </is>
      </c>
      <c r="B540" s="1" t="n">
        <v>45033</v>
      </c>
      <c r="C540" s="1" t="n">
        <v>45811</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17254-2023</t>
        </is>
      </c>
      <c r="B541" s="1" t="n">
        <v>45034</v>
      </c>
      <c r="C541" s="1" t="n">
        <v>45811</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17511-2023</t>
        </is>
      </c>
      <c r="B542" s="1" t="n">
        <v>45034</v>
      </c>
      <c r="C542" s="1" t="n">
        <v>45811</v>
      </c>
      <c r="D542" t="inlineStr">
        <is>
          <t>UPPSALA LÄN</t>
        </is>
      </c>
      <c r="E542" t="inlineStr">
        <is>
          <t>ENKÖPING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17373-2023</t>
        </is>
      </c>
      <c r="B543" s="1" t="n">
        <v>45035</v>
      </c>
      <c r="C543" s="1" t="n">
        <v>45811</v>
      </c>
      <c r="D543" t="inlineStr">
        <is>
          <t>UPPSALA LÄN</t>
        </is>
      </c>
      <c r="E543" t="inlineStr">
        <is>
          <t>ENKÖPING</t>
        </is>
      </c>
      <c r="G543" t="n">
        <v>3.1</v>
      </c>
      <c r="H543" t="n">
        <v>0</v>
      </c>
      <c r="I543" t="n">
        <v>0</v>
      </c>
      <c r="J543" t="n">
        <v>0</v>
      </c>
      <c r="K543" t="n">
        <v>0</v>
      </c>
      <c r="L543" t="n">
        <v>0</v>
      </c>
      <c r="M543" t="n">
        <v>0</v>
      </c>
      <c r="N543" t="n">
        <v>0</v>
      </c>
      <c r="O543" t="n">
        <v>0</v>
      </c>
      <c r="P543" t="n">
        <v>0</v>
      </c>
      <c r="Q543" t="n">
        <v>0</v>
      </c>
      <c r="R543" s="2" t="inlineStr"/>
    </row>
    <row r="544" ht="15" customHeight="1">
      <c r="A544" t="inlineStr">
        <is>
          <t>A 17729-2023</t>
        </is>
      </c>
      <c r="B544" s="1" t="n">
        <v>45037</v>
      </c>
      <c r="C544" s="1" t="n">
        <v>45811</v>
      </c>
      <c r="D544" t="inlineStr">
        <is>
          <t>UPPSALA LÄN</t>
        </is>
      </c>
      <c r="E544" t="inlineStr">
        <is>
          <t>ENKÖPING</t>
        </is>
      </c>
      <c r="G544" t="n">
        <v>10.2</v>
      </c>
      <c r="H544" t="n">
        <v>0</v>
      </c>
      <c r="I544" t="n">
        <v>0</v>
      </c>
      <c r="J544" t="n">
        <v>0</v>
      </c>
      <c r="K544" t="n">
        <v>0</v>
      </c>
      <c r="L544" t="n">
        <v>0</v>
      </c>
      <c r="M544" t="n">
        <v>0</v>
      </c>
      <c r="N544" t="n">
        <v>0</v>
      </c>
      <c r="O544" t="n">
        <v>0</v>
      </c>
      <c r="P544" t="n">
        <v>0</v>
      </c>
      <c r="Q544" t="n">
        <v>0</v>
      </c>
      <c r="R544" s="2" t="inlineStr"/>
    </row>
    <row r="545" ht="15" customHeight="1">
      <c r="A545" t="inlineStr">
        <is>
          <t>A 17813-2023</t>
        </is>
      </c>
      <c r="B545" s="1" t="n">
        <v>45037</v>
      </c>
      <c r="C545" s="1" t="n">
        <v>45811</v>
      </c>
      <c r="D545" t="inlineStr">
        <is>
          <t>UPPSALA LÄN</t>
        </is>
      </c>
      <c r="E545" t="inlineStr">
        <is>
          <t>ENKÖPING</t>
        </is>
      </c>
      <c r="G545" t="n">
        <v>1.9</v>
      </c>
      <c r="H545" t="n">
        <v>0</v>
      </c>
      <c r="I545" t="n">
        <v>0</v>
      </c>
      <c r="J545" t="n">
        <v>0</v>
      </c>
      <c r="K545" t="n">
        <v>0</v>
      </c>
      <c r="L545" t="n">
        <v>0</v>
      </c>
      <c r="M545" t="n">
        <v>0</v>
      </c>
      <c r="N545" t="n">
        <v>0</v>
      </c>
      <c r="O545" t="n">
        <v>0</v>
      </c>
      <c r="P545" t="n">
        <v>0</v>
      </c>
      <c r="Q545" t="n">
        <v>0</v>
      </c>
      <c r="R545" s="2" t="inlineStr"/>
    </row>
    <row r="546" ht="15" customHeight="1">
      <c r="A546" t="inlineStr">
        <is>
          <t>A 18030-2023</t>
        </is>
      </c>
      <c r="B546" s="1" t="n">
        <v>45040</v>
      </c>
      <c r="C546" s="1" t="n">
        <v>45811</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18696-2023</t>
        </is>
      </c>
      <c r="B547" s="1" t="n">
        <v>45043</v>
      </c>
      <c r="C547" s="1" t="n">
        <v>45811</v>
      </c>
      <c r="D547" t="inlineStr">
        <is>
          <t>UPPSALA LÄN</t>
        </is>
      </c>
      <c r="E547" t="inlineStr">
        <is>
          <t>ENKÖPING</t>
        </is>
      </c>
      <c r="G547" t="n">
        <v>0.8</v>
      </c>
      <c r="H547" t="n">
        <v>0</v>
      </c>
      <c r="I547" t="n">
        <v>0</v>
      </c>
      <c r="J547" t="n">
        <v>0</v>
      </c>
      <c r="K547" t="n">
        <v>0</v>
      </c>
      <c r="L547" t="n">
        <v>0</v>
      </c>
      <c r="M547" t="n">
        <v>0</v>
      </c>
      <c r="N547" t="n">
        <v>0</v>
      </c>
      <c r="O547" t="n">
        <v>0</v>
      </c>
      <c r="P547" t="n">
        <v>0</v>
      </c>
      <c r="Q547" t="n">
        <v>0</v>
      </c>
      <c r="R547" s="2" t="inlineStr"/>
    </row>
    <row r="548" ht="15" customHeight="1">
      <c r="A548" t="inlineStr">
        <is>
          <t>A 18821-2023</t>
        </is>
      </c>
      <c r="B548" s="1" t="n">
        <v>45044</v>
      </c>
      <c r="C548" s="1" t="n">
        <v>45811</v>
      </c>
      <c r="D548" t="inlineStr">
        <is>
          <t>UPPSALA LÄN</t>
        </is>
      </c>
      <c r="E548" t="inlineStr">
        <is>
          <t>ENKÖPING</t>
        </is>
      </c>
      <c r="G548" t="n">
        <v>6</v>
      </c>
      <c r="H548" t="n">
        <v>0</v>
      </c>
      <c r="I548" t="n">
        <v>0</v>
      </c>
      <c r="J548" t="n">
        <v>0</v>
      </c>
      <c r="K548" t="n">
        <v>0</v>
      </c>
      <c r="L548" t="n">
        <v>0</v>
      </c>
      <c r="M548" t="n">
        <v>0</v>
      </c>
      <c r="N548" t="n">
        <v>0</v>
      </c>
      <c r="O548" t="n">
        <v>0</v>
      </c>
      <c r="P548" t="n">
        <v>0</v>
      </c>
      <c r="Q548" t="n">
        <v>0</v>
      </c>
      <c r="R548" s="2" t="inlineStr"/>
    </row>
    <row r="549" ht="15" customHeight="1">
      <c r="A549" t="inlineStr">
        <is>
          <t>A 18831-2023</t>
        </is>
      </c>
      <c r="B549" s="1" t="n">
        <v>45044</v>
      </c>
      <c r="C549" s="1" t="n">
        <v>45811</v>
      </c>
      <c r="D549" t="inlineStr">
        <is>
          <t>UPPSALA LÄN</t>
        </is>
      </c>
      <c r="E549" t="inlineStr">
        <is>
          <t>ENKÖPING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19298-2023</t>
        </is>
      </c>
      <c r="B550" s="1" t="n">
        <v>45048</v>
      </c>
      <c r="C550" s="1" t="n">
        <v>45811</v>
      </c>
      <c r="D550" t="inlineStr">
        <is>
          <t>UPPSALA LÄN</t>
        </is>
      </c>
      <c r="E550" t="inlineStr">
        <is>
          <t>ENKÖPING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19301-2023</t>
        </is>
      </c>
      <c r="B551" s="1" t="n">
        <v>45048</v>
      </c>
      <c r="C551" s="1" t="n">
        <v>45811</v>
      </c>
      <c r="D551" t="inlineStr">
        <is>
          <t>UPPSALA LÄN</t>
        </is>
      </c>
      <c r="E551" t="inlineStr">
        <is>
          <t>ENKÖPING</t>
        </is>
      </c>
      <c r="G551" t="n">
        <v>1.8</v>
      </c>
      <c r="H551" t="n">
        <v>0</v>
      </c>
      <c r="I551" t="n">
        <v>0</v>
      </c>
      <c r="J551" t="n">
        <v>0</v>
      </c>
      <c r="K551" t="n">
        <v>0</v>
      </c>
      <c r="L551" t="n">
        <v>0</v>
      </c>
      <c r="M551" t="n">
        <v>0</v>
      </c>
      <c r="N551" t="n">
        <v>0</v>
      </c>
      <c r="O551" t="n">
        <v>0</v>
      </c>
      <c r="P551" t="n">
        <v>0</v>
      </c>
      <c r="Q551" t="n">
        <v>0</v>
      </c>
      <c r="R551" s="2" t="inlineStr"/>
    </row>
    <row r="552" ht="15" customHeight="1">
      <c r="A552" t="inlineStr">
        <is>
          <t>A 19415-2023</t>
        </is>
      </c>
      <c r="B552" s="1" t="n">
        <v>45049</v>
      </c>
      <c r="C552" s="1" t="n">
        <v>45811</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20431-2023</t>
        </is>
      </c>
      <c r="B553" s="1" t="n">
        <v>45054</v>
      </c>
      <c r="C553" s="1" t="n">
        <v>45811</v>
      </c>
      <c r="D553" t="inlineStr">
        <is>
          <t>UPPSALA LÄN</t>
        </is>
      </c>
      <c r="E553" t="inlineStr">
        <is>
          <t>ENKÖPING</t>
        </is>
      </c>
      <c r="F553" t="inlineStr">
        <is>
          <t>Övriga statliga verk och myndigheter</t>
        </is>
      </c>
      <c r="G553" t="n">
        <v>3.3</v>
      </c>
      <c r="H553" t="n">
        <v>0</v>
      </c>
      <c r="I553" t="n">
        <v>0</v>
      </c>
      <c r="J553" t="n">
        <v>0</v>
      </c>
      <c r="K553" t="n">
        <v>0</v>
      </c>
      <c r="L553" t="n">
        <v>0</v>
      </c>
      <c r="M553" t="n">
        <v>0</v>
      </c>
      <c r="N553" t="n">
        <v>0</v>
      </c>
      <c r="O553" t="n">
        <v>0</v>
      </c>
      <c r="P553" t="n">
        <v>0</v>
      </c>
      <c r="Q553" t="n">
        <v>0</v>
      </c>
      <c r="R553" s="2" t="inlineStr"/>
    </row>
    <row r="554" ht="15" customHeight="1">
      <c r="A554" t="inlineStr">
        <is>
          <t>A 20179-2023</t>
        </is>
      </c>
      <c r="B554" s="1" t="n">
        <v>45055</v>
      </c>
      <c r="C554" s="1" t="n">
        <v>45811</v>
      </c>
      <c r="D554" t="inlineStr">
        <is>
          <t>UPPSALA LÄN</t>
        </is>
      </c>
      <c r="E554" t="inlineStr">
        <is>
          <t>ENKÖPING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20184-2023</t>
        </is>
      </c>
      <c r="B555" s="1" t="n">
        <v>45055</v>
      </c>
      <c r="C555" s="1" t="n">
        <v>45811</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20188-2023</t>
        </is>
      </c>
      <c r="B556" s="1" t="n">
        <v>45055</v>
      </c>
      <c r="C556" s="1" t="n">
        <v>45811</v>
      </c>
      <c r="D556" t="inlineStr">
        <is>
          <t>UPPSALA LÄN</t>
        </is>
      </c>
      <c r="E556" t="inlineStr">
        <is>
          <t>ENKÖPING</t>
        </is>
      </c>
      <c r="G556" t="n">
        <v>4.9</v>
      </c>
      <c r="H556" t="n">
        <v>0</v>
      </c>
      <c r="I556" t="n">
        <v>0</v>
      </c>
      <c r="J556" t="n">
        <v>0</v>
      </c>
      <c r="K556" t="n">
        <v>0</v>
      </c>
      <c r="L556" t="n">
        <v>0</v>
      </c>
      <c r="M556" t="n">
        <v>0</v>
      </c>
      <c r="N556" t="n">
        <v>0</v>
      </c>
      <c r="O556" t="n">
        <v>0</v>
      </c>
      <c r="P556" t="n">
        <v>0</v>
      </c>
      <c r="Q556" t="n">
        <v>0</v>
      </c>
      <c r="R556" s="2" t="inlineStr"/>
    </row>
    <row r="557" ht="15" customHeight="1">
      <c r="A557" t="inlineStr">
        <is>
          <t>A 20201-2023</t>
        </is>
      </c>
      <c r="B557" s="1" t="n">
        <v>45055</v>
      </c>
      <c r="C557" s="1" t="n">
        <v>45811</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20181-2023</t>
        </is>
      </c>
      <c r="B558" s="1" t="n">
        <v>45055</v>
      </c>
      <c r="C558" s="1" t="n">
        <v>45811</v>
      </c>
      <c r="D558" t="inlineStr">
        <is>
          <t>UPPSALA LÄN</t>
        </is>
      </c>
      <c r="E558" t="inlineStr">
        <is>
          <t>ENKÖPING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20186-2023</t>
        </is>
      </c>
      <c r="B559" s="1" t="n">
        <v>45055</v>
      </c>
      <c r="C559" s="1" t="n">
        <v>45811</v>
      </c>
      <c r="D559" t="inlineStr">
        <is>
          <t>UPPSALA LÄN</t>
        </is>
      </c>
      <c r="E559" t="inlineStr">
        <is>
          <t>ENKÖPING</t>
        </is>
      </c>
      <c r="G559" t="n">
        <v>4.3</v>
      </c>
      <c r="H559" t="n">
        <v>0</v>
      </c>
      <c r="I559" t="n">
        <v>0</v>
      </c>
      <c r="J559" t="n">
        <v>0</v>
      </c>
      <c r="K559" t="n">
        <v>0</v>
      </c>
      <c r="L559" t="n">
        <v>0</v>
      </c>
      <c r="M559" t="n">
        <v>0</v>
      </c>
      <c r="N559" t="n">
        <v>0</v>
      </c>
      <c r="O559" t="n">
        <v>0</v>
      </c>
      <c r="P559" t="n">
        <v>0</v>
      </c>
      <c r="Q559" t="n">
        <v>0</v>
      </c>
      <c r="R559" s="2" t="inlineStr"/>
    </row>
    <row r="560" ht="15" customHeight="1">
      <c r="A560" t="inlineStr">
        <is>
          <t>A 20199-2023</t>
        </is>
      </c>
      <c r="B560" s="1" t="n">
        <v>45055</v>
      </c>
      <c r="C560" s="1" t="n">
        <v>45811</v>
      </c>
      <c r="D560" t="inlineStr">
        <is>
          <t>UPPSALA LÄN</t>
        </is>
      </c>
      <c r="E560" t="inlineStr">
        <is>
          <t>ENKÖPING</t>
        </is>
      </c>
      <c r="G560" t="n">
        <v>1.2</v>
      </c>
      <c r="H560" t="n">
        <v>0</v>
      </c>
      <c r="I560" t="n">
        <v>0</v>
      </c>
      <c r="J560" t="n">
        <v>0</v>
      </c>
      <c r="K560" t="n">
        <v>0</v>
      </c>
      <c r="L560" t="n">
        <v>0</v>
      </c>
      <c r="M560" t="n">
        <v>0</v>
      </c>
      <c r="N560" t="n">
        <v>0</v>
      </c>
      <c r="O560" t="n">
        <v>0</v>
      </c>
      <c r="P560" t="n">
        <v>0</v>
      </c>
      <c r="Q560" t="n">
        <v>0</v>
      </c>
      <c r="R560" s="2" t="inlineStr"/>
    </row>
    <row r="561" ht="15" customHeight="1">
      <c r="A561" t="inlineStr">
        <is>
          <t>A 20261-2023</t>
        </is>
      </c>
      <c r="B561" s="1" t="n">
        <v>45055</v>
      </c>
      <c r="C561" s="1" t="n">
        <v>45811</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20396-2023</t>
        </is>
      </c>
      <c r="B562" s="1" t="n">
        <v>45056</v>
      </c>
      <c r="C562" s="1" t="n">
        <v>45811</v>
      </c>
      <c r="D562" t="inlineStr">
        <is>
          <t>UPPSALA LÄN</t>
        </is>
      </c>
      <c r="E562" t="inlineStr">
        <is>
          <t>ENKÖPING</t>
        </is>
      </c>
      <c r="G562" t="n">
        <v>3.2</v>
      </c>
      <c r="H562" t="n">
        <v>0</v>
      </c>
      <c r="I562" t="n">
        <v>0</v>
      </c>
      <c r="J562" t="n">
        <v>0</v>
      </c>
      <c r="K562" t="n">
        <v>0</v>
      </c>
      <c r="L562" t="n">
        <v>0</v>
      </c>
      <c r="M562" t="n">
        <v>0</v>
      </c>
      <c r="N562" t="n">
        <v>0</v>
      </c>
      <c r="O562" t="n">
        <v>0</v>
      </c>
      <c r="P562" t="n">
        <v>0</v>
      </c>
      <c r="Q562" t="n">
        <v>0</v>
      </c>
      <c r="R562" s="2" t="inlineStr"/>
    </row>
    <row r="563" ht="15" customHeight="1">
      <c r="A563" t="inlineStr">
        <is>
          <t>A 20845-2023</t>
        </is>
      </c>
      <c r="B563" s="1" t="n">
        <v>45056</v>
      </c>
      <c r="C563" s="1" t="n">
        <v>45811</v>
      </c>
      <c r="D563" t="inlineStr">
        <is>
          <t>UPPSALA LÄN</t>
        </is>
      </c>
      <c r="E563" t="inlineStr">
        <is>
          <t>ENKÖPING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20897-2023</t>
        </is>
      </c>
      <c r="B564" s="1" t="n">
        <v>45059</v>
      </c>
      <c r="C564" s="1" t="n">
        <v>45811</v>
      </c>
      <c r="D564" t="inlineStr">
        <is>
          <t>UPPSALA LÄN</t>
        </is>
      </c>
      <c r="E564" t="inlineStr">
        <is>
          <t>ENKÖPING</t>
        </is>
      </c>
      <c r="G564" t="n">
        <v>2</v>
      </c>
      <c r="H564" t="n">
        <v>0</v>
      </c>
      <c r="I564" t="n">
        <v>0</v>
      </c>
      <c r="J564" t="n">
        <v>0</v>
      </c>
      <c r="K564" t="n">
        <v>0</v>
      </c>
      <c r="L564" t="n">
        <v>0</v>
      </c>
      <c r="M564" t="n">
        <v>0</v>
      </c>
      <c r="N564" t="n">
        <v>0</v>
      </c>
      <c r="O564" t="n">
        <v>0</v>
      </c>
      <c r="P564" t="n">
        <v>0</v>
      </c>
      <c r="Q564" t="n">
        <v>0</v>
      </c>
      <c r="R564" s="2" t="inlineStr"/>
    </row>
    <row r="565" ht="15" customHeight="1">
      <c r="A565" t="inlineStr">
        <is>
          <t>A 21020-2023</t>
        </is>
      </c>
      <c r="B565" s="1" t="n">
        <v>45061</v>
      </c>
      <c r="C565" s="1" t="n">
        <v>45811</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21017-2023</t>
        </is>
      </c>
      <c r="B566" s="1" t="n">
        <v>45061</v>
      </c>
      <c r="C566" s="1" t="n">
        <v>45811</v>
      </c>
      <c r="D566" t="inlineStr">
        <is>
          <t>UPPSALA LÄN</t>
        </is>
      </c>
      <c r="E566" t="inlineStr">
        <is>
          <t>ENKÖPING</t>
        </is>
      </c>
      <c r="G566" t="n">
        <v>4.8</v>
      </c>
      <c r="H566" t="n">
        <v>0</v>
      </c>
      <c r="I566" t="n">
        <v>0</v>
      </c>
      <c r="J566" t="n">
        <v>0</v>
      </c>
      <c r="K566" t="n">
        <v>0</v>
      </c>
      <c r="L566" t="n">
        <v>0</v>
      </c>
      <c r="M566" t="n">
        <v>0</v>
      </c>
      <c r="N566" t="n">
        <v>0</v>
      </c>
      <c r="O566" t="n">
        <v>0</v>
      </c>
      <c r="P566" t="n">
        <v>0</v>
      </c>
      <c r="Q566" t="n">
        <v>0</v>
      </c>
      <c r="R566" s="2" t="inlineStr"/>
    </row>
    <row r="567" ht="15" customHeight="1">
      <c r="A567" t="inlineStr">
        <is>
          <t>A 21620-2023</t>
        </is>
      </c>
      <c r="B567" s="1" t="n">
        <v>45063</v>
      </c>
      <c r="C567" s="1" t="n">
        <v>45811</v>
      </c>
      <c r="D567" t="inlineStr">
        <is>
          <t>UPPSALA LÄN</t>
        </is>
      </c>
      <c r="E567" t="inlineStr">
        <is>
          <t>ENKÖPING</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row>
    <row r="568" ht="15" customHeight="1">
      <c r="A568" t="inlineStr">
        <is>
          <t>A 21612-2023</t>
        </is>
      </c>
      <c r="B568" s="1" t="n">
        <v>45063</v>
      </c>
      <c r="C568" s="1" t="n">
        <v>45811</v>
      </c>
      <c r="D568" t="inlineStr">
        <is>
          <t>UPPSALA LÄN</t>
        </is>
      </c>
      <c r="E568" t="inlineStr">
        <is>
          <t>ENKÖPING</t>
        </is>
      </c>
      <c r="F568" t="inlineStr">
        <is>
          <t>Allmännings- och besparingsskogar</t>
        </is>
      </c>
      <c r="G568" t="n">
        <v>1</v>
      </c>
      <c r="H568" t="n">
        <v>0</v>
      </c>
      <c r="I568" t="n">
        <v>0</v>
      </c>
      <c r="J568" t="n">
        <v>0</v>
      </c>
      <c r="K568" t="n">
        <v>0</v>
      </c>
      <c r="L568" t="n">
        <v>0</v>
      </c>
      <c r="M568" t="n">
        <v>0</v>
      </c>
      <c r="N568" t="n">
        <v>0</v>
      </c>
      <c r="O568" t="n">
        <v>0</v>
      </c>
      <c r="P568" t="n">
        <v>0</v>
      </c>
      <c r="Q568" t="n">
        <v>0</v>
      </c>
      <c r="R568" s="2" t="inlineStr"/>
    </row>
    <row r="569" ht="15" customHeight="1">
      <c r="A569" t="inlineStr">
        <is>
          <t>A 22094-2023</t>
        </is>
      </c>
      <c r="B569" s="1" t="n">
        <v>45069</v>
      </c>
      <c r="C569" s="1" t="n">
        <v>45811</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25333-2023</t>
        </is>
      </c>
      <c r="B570" s="1" t="n">
        <v>45083</v>
      </c>
      <c r="C570" s="1" t="n">
        <v>45811</v>
      </c>
      <c r="D570" t="inlineStr">
        <is>
          <t>UPPSALA LÄN</t>
        </is>
      </c>
      <c r="E570" t="inlineStr">
        <is>
          <t>ENKÖPING</t>
        </is>
      </c>
      <c r="G570" t="n">
        <v>2.7</v>
      </c>
      <c r="H570" t="n">
        <v>0</v>
      </c>
      <c r="I570" t="n">
        <v>0</v>
      </c>
      <c r="J570" t="n">
        <v>0</v>
      </c>
      <c r="K570" t="n">
        <v>0</v>
      </c>
      <c r="L570" t="n">
        <v>0</v>
      </c>
      <c r="M570" t="n">
        <v>0</v>
      </c>
      <c r="N570" t="n">
        <v>0</v>
      </c>
      <c r="O570" t="n">
        <v>0</v>
      </c>
      <c r="P570" t="n">
        <v>0</v>
      </c>
      <c r="Q570" t="n">
        <v>0</v>
      </c>
      <c r="R570" s="2" t="inlineStr"/>
    </row>
    <row r="571" ht="15" customHeight="1">
      <c r="A571" t="inlineStr">
        <is>
          <t>A 25334-2023</t>
        </is>
      </c>
      <c r="B571" s="1" t="n">
        <v>45083</v>
      </c>
      <c r="C571" s="1" t="n">
        <v>45811</v>
      </c>
      <c r="D571" t="inlineStr">
        <is>
          <t>UPPSALA LÄN</t>
        </is>
      </c>
      <c r="E571" t="inlineStr">
        <is>
          <t>ENKÖPING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24962-2023</t>
        </is>
      </c>
      <c r="B572" s="1" t="n">
        <v>45085</v>
      </c>
      <c r="C572" s="1" t="n">
        <v>45811</v>
      </c>
      <c r="D572" t="inlineStr">
        <is>
          <t>UPPSALA LÄN</t>
        </is>
      </c>
      <c r="E572" t="inlineStr">
        <is>
          <t>ENKÖPING</t>
        </is>
      </c>
      <c r="G572" t="n">
        <v>2.8</v>
      </c>
      <c r="H572" t="n">
        <v>0</v>
      </c>
      <c r="I572" t="n">
        <v>0</v>
      </c>
      <c r="J572" t="n">
        <v>0</v>
      </c>
      <c r="K572" t="n">
        <v>0</v>
      </c>
      <c r="L572" t="n">
        <v>0</v>
      </c>
      <c r="M572" t="n">
        <v>0</v>
      </c>
      <c r="N572" t="n">
        <v>0</v>
      </c>
      <c r="O572" t="n">
        <v>0</v>
      </c>
      <c r="P572" t="n">
        <v>0</v>
      </c>
      <c r="Q572" t="n">
        <v>0</v>
      </c>
      <c r="R572" s="2" t="inlineStr"/>
    </row>
    <row r="573" ht="15" customHeight="1">
      <c r="A573" t="inlineStr">
        <is>
          <t>A 24960-2023</t>
        </is>
      </c>
      <c r="B573" s="1" t="n">
        <v>45085</v>
      </c>
      <c r="C573" s="1" t="n">
        <v>45811</v>
      </c>
      <c r="D573" t="inlineStr">
        <is>
          <t>UPPSALA LÄN</t>
        </is>
      </c>
      <c r="E573" t="inlineStr">
        <is>
          <t>ENKÖPING</t>
        </is>
      </c>
      <c r="G573" t="n">
        <v>2.1</v>
      </c>
      <c r="H573" t="n">
        <v>0</v>
      </c>
      <c r="I573" t="n">
        <v>0</v>
      </c>
      <c r="J573" t="n">
        <v>0</v>
      </c>
      <c r="K573" t="n">
        <v>0</v>
      </c>
      <c r="L573" t="n">
        <v>0</v>
      </c>
      <c r="M573" t="n">
        <v>0</v>
      </c>
      <c r="N573" t="n">
        <v>0</v>
      </c>
      <c r="O573" t="n">
        <v>0</v>
      </c>
      <c r="P573" t="n">
        <v>0</v>
      </c>
      <c r="Q573" t="n">
        <v>0</v>
      </c>
      <c r="R573" s="2" t="inlineStr"/>
    </row>
    <row r="574" ht="15" customHeight="1">
      <c r="A574" t="inlineStr">
        <is>
          <t>A 24974-2023</t>
        </is>
      </c>
      <c r="B574" s="1" t="n">
        <v>45085</v>
      </c>
      <c r="C574" s="1" t="n">
        <v>45811</v>
      </c>
      <c r="D574" t="inlineStr">
        <is>
          <t>UPPSALA LÄN</t>
        </is>
      </c>
      <c r="E574" t="inlineStr">
        <is>
          <t>ENKÖPING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24978-2023</t>
        </is>
      </c>
      <c r="B575" s="1" t="n">
        <v>45085</v>
      </c>
      <c r="C575" s="1" t="n">
        <v>45811</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26577-2023</t>
        </is>
      </c>
      <c r="B576" s="1" t="n">
        <v>45092</v>
      </c>
      <c r="C576" s="1" t="n">
        <v>45811</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27178-2023</t>
        </is>
      </c>
      <c r="B577" s="1" t="n">
        <v>45096</v>
      </c>
      <c r="C577" s="1" t="n">
        <v>45811</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27538-2023</t>
        </is>
      </c>
      <c r="B578" s="1" t="n">
        <v>45097</v>
      </c>
      <c r="C578" s="1" t="n">
        <v>45811</v>
      </c>
      <c r="D578" t="inlineStr">
        <is>
          <t>UPPSALA LÄN</t>
        </is>
      </c>
      <c r="E578" t="inlineStr">
        <is>
          <t>ENKÖPING</t>
        </is>
      </c>
      <c r="G578" t="n">
        <v>5.8</v>
      </c>
      <c r="H578" t="n">
        <v>0</v>
      </c>
      <c r="I578" t="n">
        <v>0</v>
      </c>
      <c r="J578" t="n">
        <v>0</v>
      </c>
      <c r="K578" t="n">
        <v>0</v>
      </c>
      <c r="L578" t="n">
        <v>0</v>
      </c>
      <c r="M578" t="n">
        <v>0</v>
      </c>
      <c r="N578" t="n">
        <v>0</v>
      </c>
      <c r="O578" t="n">
        <v>0</v>
      </c>
      <c r="P578" t="n">
        <v>0</v>
      </c>
      <c r="Q578" t="n">
        <v>0</v>
      </c>
      <c r="R578" s="2" t="inlineStr"/>
    </row>
    <row r="579" ht="15" customHeight="1">
      <c r="A579" t="inlineStr">
        <is>
          <t>A 27730-2023</t>
        </is>
      </c>
      <c r="B579" s="1" t="n">
        <v>45097</v>
      </c>
      <c r="C579" s="1" t="n">
        <v>45811</v>
      </c>
      <c r="D579" t="inlineStr">
        <is>
          <t>UPPSALA LÄN</t>
        </is>
      </c>
      <c r="E579" t="inlineStr">
        <is>
          <t>ENKÖPING</t>
        </is>
      </c>
      <c r="G579" t="n">
        <v>1.3</v>
      </c>
      <c r="H579" t="n">
        <v>0</v>
      </c>
      <c r="I579" t="n">
        <v>0</v>
      </c>
      <c r="J579" t="n">
        <v>0</v>
      </c>
      <c r="K579" t="n">
        <v>0</v>
      </c>
      <c r="L579" t="n">
        <v>0</v>
      </c>
      <c r="M579" t="n">
        <v>0</v>
      </c>
      <c r="N579" t="n">
        <v>0</v>
      </c>
      <c r="O579" t="n">
        <v>0</v>
      </c>
      <c r="P579" t="n">
        <v>0</v>
      </c>
      <c r="Q579" t="n">
        <v>0</v>
      </c>
      <c r="R579" s="2" t="inlineStr"/>
    </row>
    <row r="580" ht="15" customHeight="1">
      <c r="A580" t="inlineStr">
        <is>
          <t>A 27805-2023</t>
        </is>
      </c>
      <c r="B580" s="1" t="n">
        <v>45098</v>
      </c>
      <c r="C580" s="1" t="n">
        <v>45811</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27839-2023</t>
        </is>
      </c>
      <c r="B581" s="1" t="n">
        <v>45098</v>
      </c>
      <c r="C581" s="1" t="n">
        <v>45811</v>
      </c>
      <c r="D581" t="inlineStr">
        <is>
          <t>UPPSALA LÄN</t>
        </is>
      </c>
      <c r="E581" t="inlineStr">
        <is>
          <t>ENKÖPING</t>
        </is>
      </c>
      <c r="G581" t="n">
        <v>0.7</v>
      </c>
      <c r="H581" t="n">
        <v>0</v>
      </c>
      <c r="I581" t="n">
        <v>0</v>
      </c>
      <c r="J581" t="n">
        <v>0</v>
      </c>
      <c r="K581" t="n">
        <v>0</v>
      </c>
      <c r="L581" t="n">
        <v>0</v>
      </c>
      <c r="M581" t="n">
        <v>0</v>
      </c>
      <c r="N581" t="n">
        <v>0</v>
      </c>
      <c r="O581" t="n">
        <v>0</v>
      </c>
      <c r="P581" t="n">
        <v>0</v>
      </c>
      <c r="Q581" t="n">
        <v>0</v>
      </c>
      <c r="R581" s="2" t="inlineStr"/>
    </row>
    <row r="582" ht="15" customHeight="1">
      <c r="A582" t="inlineStr">
        <is>
          <t>A 27786-2023</t>
        </is>
      </c>
      <c r="B582" s="1" t="n">
        <v>45098</v>
      </c>
      <c r="C582" s="1" t="n">
        <v>45811</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27855-2023</t>
        </is>
      </c>
      <c r="B583" s="1" t="n">
        <v>45098</v>
      </c>
      <c r="C583" s="1" t="n">
        <v>45811</v>
      </c>
      <c r="D583" t="inlineStr">
        <is>
          <t>UPPSALA LÄN</t>
        </is>
      </c>
      <c r="E583" t="inlineStr">
        <is>
          <t>ENKÖPING</t>
        </is>
      </c>
      <c r="G583" t="n">
        <v>2.4</v>
      </c>
      <c r="H583" t="n">
        <v>0</v>
      </c>
      <c r="I583" t="n">
        <v>0</v>
      </c>
      <c r="J583" t="n">
        <v>0</v>
      </c>
      <c r="K583" t="n">
        <v>0</v>
      </c>
      <c r="L583" t="n">
        <v>0</v>
      </c>
      <c r="M583" t="n">
        <v>0</v>
      </c>
      <c r="N583" t="n">
        <v>0</v>
      </c>
      <c r="O583" t="n">
        <v>0</v>
      </c>
      <c r="P583" t="n">
        <v>0</v>
      </c>
      <c r="Q583" t="n">
        <v>0</v>
      </c>
      <c r="R583" s="2" t="inlineStr"/>
    </row>
    <row r="584" ht="15" customHeight="1">
      <c r="A584" t="inlineStr">
        <is>
          <t>A 27928-2023</t>
        </is>
      </c>
      <c r="B584" s="1" t="n">
        <v>45098</v>
      </c>
      <c r="C584" s="1" t="n">
        <v>45811</v>
      </c>
      <c r="D584" t="inlineStr">
        <is>
          <t>UPPSALA LÄN</t>
        </is>
      </c>
      <c r="E584" t="inlineStr">
        <is>
          <t>ENKÖPING</t>
        </is>
      </c>
      <c r="G584" t="n">
        <v>11.5</v>
      </c>
      <c r="H584" t="n">
        <v>0</v>
      </c>
      <c r="I584" t="n">
        <v>0</v>
      </c>
      <c r="J584" t="n">
        <v>0</v>
      </c>
      <c r="K584" t="n">
        <v>0</v>
      </c>
      <c r="L584" t="n">
        <v>0</v>
      </c>
      <c r="M584" t="n">
        <v>0</v>
      </c>
      <c r="N584" t="n">
        <v>0</v>
      </c>
      <c r="O584" t="n">
        <v>0</v>
      </c>
      <c r="P584" t="n">
        <v>0</v>
      </c>
      <c r="Q584" t="n">
        <v>0</v>
      </c>
      <c r="R584" s="2" t="inlineStr"/>
    </row>
    <row r="585" ht="15" customHeight="1">
      <c r="A585" t="inlineStr">
        <is>
          <t>A 28243-2023</t>
        </is>
      </c>
      <c r="B585" s="1" t="n">
        <v>45099</v>
      </c>
      <c r="C585" s="1" t="n">
        <v>45811</v>
      </c>
      <c r="D585" t="inlineStr">
        <is>
          <t>UPPSALA LÄN</t>
        </is>
      </c>
      <c r="E585" t="inlineStr">
        <is>
          <t>ENKÖPING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29917-2023</t>
        </is>
      </c>
      <c r="B586" s="1" t="n">
        <v>45099</v>
      </c>
      <c r="C586" s="1" t="n">
        <v>45811</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29918-2023</t>
        </is>
      </c>
      <c r="B587" s="1" t="n">
        <v>45099</v>
      </c>
      <c r="C587" s="1" t="n">
        <v>45811</v>
      </c>
      <c r="D587" t="inlineStr">
        <is>
          <t>UPPSALA LÄN</t>
        </is>
      </c>
      <c r="E587" t="inlineStr">
        <is>
          <t>ENKÖPING</t>
        </is>
      </c>
      <c r="G587" t="n">
        <v>0.5</v>
      </c>
      <c r="H587" t="n">
        <v>0</v>
      </c>
      <c r="I587" t="n">
        <v>0</v>
      </c>
      <c r="J587" t="n">
        <v>0</v>
      </c>
      <c r="K587" t="n">
        <v>0</v>
      </c>
      <c r="L587" t="n">
        <v>0</v>
      </c>
      <c r="M587" t="n">
        <v>0</v>
      </c>
      <c r="N587" t="n">
        <v>0</v>
      </c>
      <c r="O587" t="n">
        <v>0</v>
      </c>
      <c r="P587" t="n">
        <v>0</v>
      </c>
      <c r="Q587" t="n">
        <v>0</v>
      </c>
      <c r="R587" s="2" t="inlineStr"/>
    </row>
    <row r="588" ht="15" customHeight="1">
      <c r="A588" t="inlineStr">
        <is>
          <t>A 31573-2023</t>
        </is>
      </c>
      <c r="B588" s="1" t="n">
        <v>45104</v>
      </c>
      <c r="C588" s="1" t="n">
        <v>45811</v>
      </c>
      <c r="D588" t="inlineStr">
        <is>
          <t>UPPSALA LÄN</t>
        </is>
      </c>
      <c r="E588" t="inlineStr">
        <is>
          <t>ENKÖPING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30950-2023</t>
        </is>
      </c>
      <c r="B589" s="1" t="n">
        <v>45113</v>
      </c>
      <c r="C589" s="1" t="n">
        <v>45811</v>
      </c>
      <c r="D589" t="inlineStr">
        <is>
          <t>UPPSALA LÄN</t>
        </is>
      </c>
      <c r="E589" t="inlineStr">
        <is>
          <t>ENKÖPING</t>
        </is>
      </c>
      <c r="G589" t="n">
        <v>6.8</v>
      </c>
      <c r="H589" t="n">
        <v>0</v>
      </c>
      <c r="I589" t="n">
        <v>0</v>
      </c>
      <c r="J589" t="n">
        <v>0</v>
      </c>
      <c r="K589" t="n">
        <v>0</v>
      </c>
      <c r="L589" t="n">
        <v>0</v>
      </c>
      <c r="M589" t="n">
        <v>0</v>
      </c>
      <c r="N589" t="n">
        <v>0</v>
      </c>
      <c r="O589" t="n">
        <v>0</v>
      </c>
      <c r="P589" t="n">
        <v>0</v>
      </c>
      <c r="Q589" t="n">
        <v>0</v>
      </c>
      <c r="R589" s="2" t="inlineStr"/>
    </row>
    <row r="590" ht="15" customHeight="1">
      <c r="A590" t="inlineStr">
        <is>
          <t>A 31163-2023</t>
        </is>
      </c>
      <c r="B590" s="1" t="n">
        <v>45113</v>
      </c>
      <c r="C590" s="1" t="n">
        <v>45811</v>
      </c>
      <c r="D590" t="inlineStr">
        <is>
          <t>UPPSALA LÄN</t>
        </is>
      </c>
      <c r="E590" t="inlineStr">
        <is>
          <t>ENKÖPING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31557-2023</t>
        </is>
      </c>
      <c r="B591" s="1" t="n">
        <v>45117</v>
      </c>
      <c r="C591" s="1" t="n">
        <v>45811</v>
      </c>
      <c r="D591" t="inlineStr">
        <is>
          <t>UPPSALA LÄN</t>
        </is>
      </c>
      <c r="E591" t="inlineStr">
        <is>
          <t>ENKÖPING</t>
        </is>
      </c>
      <c r="G591" t="n">
        <v>2.3</v>
      </c>
      <c r="H591" t="n">
        <v>0</v>
      </c>
      <c r="I591" t="n">
        <v>0</v>
      </c>
      <c r="J591" t="n">
        <v>0</v>
      </c>
      <c r="K591" t="n">
        <v>0</v>
      </c>
      <c r="L591" t="n">
        <v>0</v>
      </c>
      <c r="M591" t="n">
        <v>0</v>
      </c>
      <c r="N591" t="n">
        <v>0</v>
      </c>
      <c r="O591" t="n">
        <v>0</v>
      </c>
      <c r="P591" t="n">
        <v>0</v>
      </c>
      <c r="Q591" t="n">
        <v>0</v>
      </c>
      <c r="R591" s="2" t="inlineStr"/>
    </row>
    <row r="592" ht="15" customHeight="1">
      <c r="A592" t="inlineStr">
        <is>
          <t>A 31559-2023</t>
        </is>
      </c>
      <c r="B592" s="1" t="n">
        <v>45117</v>
      </c>
      <c r="C592" s="1" t="n">
        <v>45811</v>
      </c>
      <c r="D592" t="inlineStr">
        <is>
          <t>UPPSALA LÄN</t>
        </is>
      </c>
      <c r="E592" t="inlineStr">
        <is>
          <t>ENKÖPING</t>
        </is>
      </c>
      <c r="G592" t="n">
        <v>0.6</v>
      </c>
      <c r="H592" t="n">
        <v>0</v>
      </c>
      <c r="I592" t="n">
        <v>0</v>
      </c>
      <c r="J592" t="n">
        <v>0</v>
      </c>
      <c r="K592" t="n">
        <v>0</v>
      </c>
      <c r="L592" t="n">
        <v>0</v>
      </c>
      <c r="M592" t="n">
        <v>0</v>
      </c>
      <c r="N592" t="n">
        <v>0</v>
      </c>
      <c r="O592" t="n">
        <v>0</v>
      </c>
      <c r="P592" t="n">
        <v>0</v>
      </c>
      <c r="Q592" t="n">
        <v>0</v>
      </c>
      <c r="R592" s="2" t="inlineStr"/>
    </row>
    <row r="593" ht="15" customHeight="1">
      <c r="A593" t="inlineStr">
        <is>
          <t>A 31604-2023</t>
        </is>
      </c>
      <c r="B593" s="1" t="n">
        <v>45117</v>
      </c>
      <c r="C593" s="1" t="n">
        <v>45811</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31636-2023</t>
        </is>
      </c>
      <c r="B594" s="1" t="n">
        <v>45117</v>
      </c>
      <c r="C594" s="1" t="n">
        <v>45811</v>
      </c>
      <c r="D594" t="inlineStr">
        <is>
          <t>UPPSALA LÄN</t>
        </is>
      </c>
      <c r="E594" t="inlineStr">
        <is>
          <t>ENKÖPING</t>
        </is>
      </c>
      <c r="G594" t="n">
        <v>22.1</v>
      </c>
      <c r="H594" t="n">
        <v>0</v>
      </c>
      <c r="I594" t="n">
        <v>0</v>
      </c>
      <c r="J594" t="n">
        <v>0</v>
      </c>
      <c r="K594" t="n">
        <v>0</v>
      </c>
      <c r="L594" t="n">
        <v>0</v>
      </c>
      <c r="M594" t="n">
        <v>0</v>
      </c>
      <c r="N594" t="n">
        <v>0</v>
      </c>
      <c r="O594" t="n">
        <v>0</v>
      </c>
      <c r="P594" t="n">
        <v>0</v>
      </c>
      <c r="Q594" t="n">
        <v>0</v>
      </c>
      <c r="R594" s="2" t="inlineStr"/>
    </row>
    <row r="595" ht="15" customHeight="1">
      <c r="A595" t="inlineStr">
        <is>
          <t>A 31642-2023</t>
        </is>
      </c>
      <c r="B595" s="1" t="n">
        <v>45117</v>
      </c>
      <c r="C595" s="1" t="n">
        <v>45811</v>
      </c>
      <c r="D595" t="inlineStr">
        <is>
          <t>UPPSALA LÄN</t>
        </is>
      </c>
      <c r="E595" t="inlineStr">
        <is>
          <t>ENKÖPING</t>
        </is>
      </c>
      <c r="G595" t="n">
        <v>3.9</v>
      </c>
      <c r="H595" t="n">
        <v>0</v>
      </c>
      <c r="I595" t="n">
        <v>0</v>
      </c>
      <c r="J595" t="n">
        <v>0</v>
      </c>
      <c r="K595" t="n">
        <v>0</v>
      </c>
      <c r="L595" t="n">
        <v>0</v>
      </c>
      <c r="M595" t="n">
        <v>0</v>
      </c>
      <c r="N595" t="n">
        <v>0</v>
      </c>
      <c r="O595" t="n">
        <v>0</v>
      </c>
      <c r="P595" t="n">
        <v>0</v>
      </c>
      <c r="Q595" t="n">
        <v>0</v>
      </c>
      <c r="R595" s="2" t="inlineStr"/>
    </row>
    <row r="596" ht="15" customHeight="1">
      <c r="A596" t="inlineStr">
        <is>
          <t>A 31648-2023</t>
        </is>
      </c>
      <c r="B596" s="1" t="n">
        <v>45117</v>
      </c>
      <c r="C596" s="1" t="n">
        <v>45811</v>
      </c>
      <c r="D596" t="inlineStr">
        <is>
          <t>UPPSALA LÄN</t>
        </is>
      </c>
      <c r="E596" t="inlineStr">
        <is>
          <t>ENKÖPING</t>
        </is>
      </c>
      <c r="G596" t="n">
        <v>12.9</v>
      </c>
      <c r="H596" t="n">
        <v>0</v>
      </c>
      <c r="I596" t="n">
        <v>0</v>
      </c>
      <c r="J596" t="n">
        <v>0</v>
      </c>
      <c r="K596" t="n">
        <v>0</v>
      </c>
      <c r="L596" t="n">
        <v>0</v>
      </c>
      <c r="M596" t="n">
        <v>0</v>
      </c>
      <c r="N596" t="n">
        <v>0</v>
      </c>
      <c r="O596" t="n">
        <v>0</v>
      </c>
      <c r="P596" t="n">
        <v>0</v>
      </c>
      <c r="Q596" t="n">
        <v>0</v>
      </c>
      <c r="R596" s="2" t="inlineStr"/>
    </row>
    <row r="597" ht="15" customHeight="1">
      <c r="A597" t="inlineStr">
        <is>
          <t>A 33581-2023</t>
        </is>
      </c>
      <c r="B597" s="1" t="n">
        <v>45131</v>
      </c>
      <c r="C597" s="1" t="n">
        <v>45811</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34735-2023</t>
        </is>
      </c>
      <c r="B598" s="1" t="n">
        <v>45139</v>
      </c>
      <c r="C598" s="1" t="n">
        <v>45811</v>
      </c>
      <c r="D598" t="inlineStr">
        <is>
          <t>UPPSALA LÄN</t>
        </is>
      </c>
      <c r="E598" t="inlineStr">
        <is>
          <t>ENKÖPING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34743-2023</t>
        </is>
      </c>
      <c r="B599" s="1" t="n">
        <v>45141</v>
      </c>
      <c r="C599" s="1" t="n">
        <v>45811</v>
      </c>
      <c r="D599" t="inlineStr">
        <is>
          <t>UPPSALA LÄN</t>
        </is>
      </c>
      <c r="E599" t="inlineStr">
        <is>
          <t>ENKÖPING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34961-2023</t>
        </is>
      </c>
      <c r="B600" s="1" t="n">
        <v>45142</v>
      </c>
      <c r="C600" s="1" t="n">
        <v>45811</v>
      </c>
      <c r="D600" t="inlineStr">
        <is>
          <t>UPPSALA LÄN</t>
        </is>
      </c>
      <c r="E600" t="inlineStr">
        <is>
          <t>ENKÖPING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34960-2023</t>
        </is>
      </c>
      <c r="B601" s="1" t="n">
        <v>45142</v>
      </c>
      <c r="C601" s="1" t="n">
        <v>45811</v>
      </c>
      <c r="D601" t="inlineStr">
        <is>
          <t>UPPSALA LÄN</t>
        </is>
      </c>
      <c r="E601" t="inlineStr">
        <is>
          <t>ENKÖPING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35367-2023</t>
        </is>
      </c>
      <c r="B602" s="1" t="n">
        <v>45146</v>
      </c>
      <c r="C602" s="1" t="n">
        <v>45811</v>
      </c>
      <c r="D602" t="inlineStr">
        <is>
          <t>UPPSALA LÄN</t>
        </is>
      </c>
      <c r="E602" t="inlineStr">
        <is>
          <t>ENKÖPING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35684-2023</t>
        </is>
      </c>
      <c r="B603" s="1" t="n">
        <v>45147</v>
      </c>
      <c r="C603" s="1" t="n">
        <v>45811</v>
      </c>
      <c r="D603" t="inlineStr">
        <is>
          <t>UPPSALA LÄN</t>
        </is>
      </c>
      <c r="E603" t="inlineStr">
        <is>
          <t>ENKÖPING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37032-2023</t>
        </is>
      </c>
      <c r="B604" s="1" t="n">
        <v>45155</v>
      </c>
      <c r="C604" s="1" t="n">
        <v>45811</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37035-2023</t>
        </is>
      </c>
      <c r="B605" s="1" t="n">
        <v>45155</v>
      </c>
      <c r="C605" s="1" t="n">
        <v>45811</v>
      </c>
      <c r="D605" t="inlineStr">
        <is>
          <t>UPPSALA LÄN</t>
        </is>
      </c>
      <c r="E605" t="inlineStr">
        <is>
          <t>ENKÖPING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37350-2023</t>
        </is>
      </c>
      <c r="B606" s="1" t="n">
        <v>45156</v>
      </c>
      <c r="C606" s="1" t="n">
        <v>45811</v>
      </c>
      <c r="D606" t="inlineStr">
        <is>
          <t>UPPSALA LÄN</t>
        </is>
      </c>
      <c r="E606" t="inlineStr">
        <is>
          <t>ENKÖPING</t>
        </is>
      </c>
      <c r="G606" t="n">
        <v>3.4</v>
      </c>
      <c r="H606" t="n">
        <v>0</v>
      </c>
      <c r="I606" t="n">
        <v>0</v>
      </c>
      <c r="J606" t="n">
        <v>0</v>
      </c>
      <c r="K606" t="n">
        <v>0</v>
      </c>
      <c r="L606" t="n">
        <v>0</v>
      </c>
      <c r="M606" t="n">
        <v>0</v>
      </c>
      <c r="N606" t="n">
        <v>0</v>
      </c>
      <c r="O606" t="n">
        <v>0</v>
      </c>
      <c r="P606" t="n">
        <v>0</v>
      </c>
      <c r="Q606" t="n">
        <v>0</v>
      </c>
      <c r="R606" s="2" t="inlineStr"/>
    </row>
    <row r="607" ht="15" customHeight="1">
      <c r="A607" t="inlineStr">
        <is>
          <t>A 37353-2023</t>
        </is>
      </c>
      <c r="B607" s="1" t="n">
        <v>45156</v>
      </c>
      <c r="C607" s="1" t="n">
        <v>45811</v>
      </c>
      <c r="D607" t="inlineStr">
        <is>
          <t>UPPSALA LÄN</t>
        </is>
      </c>
      <c r="E607" t="inlineStr">
        <is>
          <t>ENKÖPING</t>
        </is>
      </c>
      <c r="G607" t="n">
        <v>5.8</v>
      </c>
      <c r="H607" t="n">
        <v>0</v>
      </c>
      <c r="I607" t="n">
        <v>0</v>
      </c>
      <c r="J607" t="n">
        <v>0</v>
      </c>
      <c r="K607" t="n">
        <v>0</v>
      </c>
      <c r="L607" t="n">
        <v>0</v>
      </c>
      <c r="M607" t="n">
        <v>0</v>
      </c>
      <c r="N607" t="n">
        <v>0</v>
      </c>
      <c r="O607" t="n">
        <v>0</v>
      </c>
      <c r="P607" t="n">
        <v>0</v>
      </c>
      <c r="Q607" t="n">
        <v>0</v>
      </c>
      <c r="R607" s="2" t="inlineStr"/>
    </row>
    <row r="608" ht="15" customHeight="1">
      <c r="A608" t="inlineStr">
        <is>
          <t>A 37347-2023</t>
        </is>
      </c>
      <c r="B608" s="1" t="n">
        <v>45156</v>
      </c>
      <c r="C608" s="1" t="n">
        <v>45811</v>
      </c>
      <c r="D608" t="inlineStr">
        <is>
          <t>UPPSALA LÄN</t>
        </is>
      </c>
      <c r="E608" t="inlineStr">
        <is>
          <t>ENKÖPING</t>
        </is>
      </c>
      <c r="G608" t="n">
        <v>3.7</v>
      </c>
      <c r="H608" t="n">
        <v>0</v>
      </c>
      <c r="I608" t="n">
        <v>0</v>
      </c>
      <c r="J608" t="n">
        <v>0</v>
      </c>
      <c r="K608" t="n">
        <v>0</v>
      </c>
      <c r="L608" t="n">
        <v>0</v>
      </c>
      <c r="M608" t="n">
        <v>0</v>
      </c>
      <c r="N608" t="n">
        <v>0</v>
      </c>
      <c r="O608" t="n">
        <v>0</v>
      </c>
      <c r="P608" t="n">
        <v>0</v>
      </c>
      <c r="Q608" t="n">
        <v>0</v>
      </c>
      <c r="R608" s="2" t="inlineStr"/>
    </row>
    <row r="609" ht="15" customHeight="1">
      <c r="A609" t="inlineStr">
        <is>
          <t>A 37866-2023</t>
        </is>
      </c>
      <c r="B609" s="1" t="n">
        <v>45160</v>
      </c>
      <c r="C609" s="1" t="n">
        <v>45811</v>
      </c>
      <c r="D609" t="inlineStr">
        <is>
          <t>UPPSALA LÄN</t>
        </is>
      </c>
      <c r="E609" t="inlineStr">
        <is>
          <t>ENKÖPING</t>
        </is>
      </c>
      <c r="G609" t="n">
        <v>7.2</v>
      </c>
      <c r="H609" t="n">
        <v>0</v>
      </c>
      <c r="I609" t="n">
        <v>0</v>
      </c>
      <c r="J609" t="n">
        <v>0</v>
      </c>
      <c r="K609" t="n">
        <v>0</v>
      </c>
      <c r="L609" t="n">
        <v>0</v>
      </c>
      <c r="M609" t="n">
        <v>0</v>
      </c>
      <c r="N609" t="n">
        <v>0</v>
      </c>
      <c r="O609" t="n">
        <v>0</v>
      </c>
      <c r="P609" t="n">
        <v>0</v>
      </c>
      <c r="Q609" t="n">
        <v>0</v>
      </c>
      <c r="R609" s="2" t="inlineStr"/>
    </row>
    <row r="610" ht="15" customHeight="1">
      <c r="A610" t="inlineStr">
        <is>
          <t>A 37870-2023</t>
        </is>
      </c>
      <c r="B610" s="1" t="n">
        <v>45160</v>
      </c>
      <c r="C610" s="1" t="n">
        <v>45811</v>
      </c>
      <c r="D610" t="inlineStr">
        <is>
          <t>UPPSALA LÄN</t>
        </is>
      </c>
      <c r="E610" t="inlineStr">
        <is>
          <t>ENKÖPING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39624-2023</t>
        </is>
      </c>
      <c r="B611" s="1" t="n">
        <v>45164</v>
      </c>
      <c r="C611" s="1" t="n">
        <v>45811</v>
      </c>
      <c r="D611" t="inlineStr">
        <is>
          <t>UPPSALA LÄN</t>
        </is>
      </c>
      <c r="E611" t="inlineStr">
        <is>
          <t>ENKÖPING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40306-2023</t>
        </is>
      </c>
      <c r="B612" s="1" t="n">
        <v>45169</v>
      </c>
      <c r="C612" s="1" t="n">
        <v>45811</v>
      </c>
      <c r="D612" t="inlineStr">
        <is>
          <t>UPPSALA LÄN</t>
        </is>
      </c>
      <c r="E612" t="inlineStr">
        <is>
          <t>ENKÖPING</t>
        </is>
      </c>
      <c r="G612" t="n">
        <v>3.1</v>
      </c>
      <c r="H612" t="n">
        <v>0</v>
      </c>
      <c r="I612" t="n">
        <v>0</v>
      </c>
      <c r="J612" t="n">
        <v>0</v>
      </c>
      <c r="K612" t="n">
        <v>0</v>
      </c>
      <c r="L612" t="n">
        <v>0</v>
      </c>
      <c r="M612" t="n">
        <v>0</v>
      </c>
      <c r="N612" t="n">
        <v>0</v>
      </c>
      <c r="O612" t="n">
        <v>0</v>
      </c>
      <c r="P612" t="n">
        <v>0</v>
      </c>
      <c r="Q612" t="n">
        <v>0</v>
      </c>
      <c r="R612" s="2" t="inlineStr"/>
    </row>
    <row r="613" ht="15" customHeight="1">
      <c r="A613" t="inlineStr">
        <is>
          <t>A 41478-2023</t>
        </is>
      </c>
      <c r="B613" s="1" t="n">
        <v>45173</v>
      </c>
      <c r="C613" s="1" t="n">
        <v>45811</v>
      </c>
      <c r="D613" t="inlineStr">
        <is>
          <t>UPPSALA LÄN</t>
        </is>
      </c>
      <c r="E613" t="inlineStr">
        <is>
          <t>ENKÖPING</t>
        </is>
      </c>
      <c r="G613" t="n">
        <v>3.3</v>
      </c>
      <c r="H613" t="n">
        <v>0</v>
      </c>
      <c r="I613" t="n">
        <v>0</v>
      </c>
      <c r="J613" t="n">
        <v>0</v>
      </c>
      <c r="K613" t="n">
        <v>0</v>
      </c>
      <c r="L613" t="n">
        <v>0</v>
      </c>
      <c r="M613" t="n">
        <v>0</v>
      </c>
      <c r="N613" t="n">
        <v>0</v>
      </c>
      <c r="O613" t="n">
        <v>0</v>
      </c>
      <c r="P613" t="n">
        <v>0</v>
      </c>
      <c r="Q613" t="n">
        <v>0</v>
      </c>
      <c r="R613" s="2" t="inlineStr"/>
    </row>
    <row r="614" ht="15" customHeight="1">
      <c r="A614" t="inlineStr">
        <is>
          <t>A 41549-2023</t>
        </is>
      </c>
      <c r="B614" s="1" t="n">
        <v>45173</v>
      </c>
      <c r="C614" s="1" t="n">
        <v>45811</v>
      </c>
      <c r="D614" t="inlineStr">
        <is>
          <t>UPPSALA LÄN</t>
        </is>
      </c>
      <c r="E614" t="inlineStr">
        <is>
          <t>ENKÖPING</t>
        </is>
      </c>
      <c r="G614" t="n">
        <v>4.5</v>
      </c>
      <c r="H614" t="n">
        <v>0</v>
      </c>
      <c r="I614" t="n">
        <v>0</v>
      </c>
      <c r="J614" t="n">
        <v>0</v>
      </c>
      <c r="K614" t="n">
        <v>0</v>
      </c>
      <c r="L614" t="n">
        <v>0</v>
      </c>
      <c r="M614" t="n">
        <v>0</v>
      </c>
      <c r="N614" t="n">
        <v>0</v>
      </c>
      <c r="O614" t="n">
        <v>0</v>
      </c>
      <c r="P614" t="n">
        <v>0</v>
      </c>
      <c r="Q614" t="n">
        <v>0</v>
      </c>
      <c r="R614" s="2" t="inlineStr"/>
    </row>
    <row r="615" ht="15" customHeight="1">
      <c r="A615" t="inlineStr">
        <is>
          <t>A 41945-2023</t>
        </is>
      </c>
      <c r="B615" s="1" t="n">
        <v>45177</v>
      </c>
      <c r="C615" s="1" t="n">
        <v>45811</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43494-2023</t>
        </is>
      </c>
      <c r="B616" s="1" t="n">
        <v>45181</v>
      </c>
      <c r="C616" s="1" t="n">
        <v>45811</v>
      </c>
      <c r="D616" t="inlineStr">
        <is>
          <t>UPPSALA LÄN</t>
        </is>
      </c>
      <c r="E616" t="inlineStr">
        <is>
          <t>ENKÖPING</t>
        </is>
      </c>
      <c r="G616" t="n">
        <v>2.5</v>
      </c>
      <c r="H616" t="n">
        <v>0</v>
      </c>
      <c r="I616" t="n">
        <v>0</v>
      </c>
      <c r="J616" t="n">
        <v>0</v>
      </c>
      <c r="K616" t="n">
        <v>0</v>
      </c>
      <c r="L616" t="n">
        <v>0</v>
      </c>
      <c r="M616" t="n">
        <v>0</v>
      </c>
      <c r="N616" t="n">
        <v>0</v>
      </c>
      <c r="O616" t="n">
        <v>0</v>
      </c>
      <c r="P616" t="n">
        <v>0</v>
      </c>
      <c r="Q616" t="n">
        <v>0</v>
      </c>
      <c r="R616" s="2" t="inlineStr"/>
    </row>
    <row r="617" ht="15" customHeight="1">
      <c r="A617" t="inlineStr">
        <is>
          <t>A 43510-2023</t>
        </is>
      </c>
      <c r="B617" s="1" t="n">
        <v>45181</v>
      </c>
      <c r="C617" s="1" t="n">
        <v>45811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43506-2023</t>
        </is>
      </c>
      <c r="B618" s="1" t="n">
        <v>45181</v>
      </c>
      <c r="C618" s="1" t="n">
        <v>45811</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43488-2023</t>
        </is>
      </c>
      <c r="B619" s="1" t="n">
        <v>45181</v>
      </c>
      <c r="C619" s="1" t="n">
        <v>45811</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43492-2023</t>
        </is>
      </c>
      <c r="B620" s="1" t="n">
        <v>45181</v>
      </c>
      <c r="C620" s="1" t="n">
        <v>45811</v>
      </c>
      <c r="D620" t="inlineStr">
        <is>
          <t>UPPSALA LÄN</t>
        </is>
      </c>
      <c r="E620" t="inlineStr">
        <is>
          <t>ENKÖPING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43499-2023</t>
        </is>
      </c>
      <c r="B621" s="1" t="n">
        <v>45181</v>
      </c>
      <c r="C621" s="1" t="n">
        <v>45811</v>
      </c>
      <c r="D621" t="inlineStr">
        <is>
          <t>UPPSALA LÄN</t>
        </is>
      </c>
      <c r="E621" t="inlineStr">
        <is>
          <t>ENKÖPING</t>
        </is>
      </c>
      <c r="G621" t="n">
        <v>7.3</v>
      </c>
      <c r="H621" t="n">
        <v>0</v>
      </c>
      <c r="I621" t="n">
        <v>0</v>
      </c>
      <c r="J621" t="n">
        <v>0</v>
      </c>
      <c r="K621" t="n">
        <v>0</v>
      </c>
      <c r="L621" t="n">
        <v>0</v>
      </c>
      <c r="M621" t="n">
        <v>0</v>
      </c>
      <c r="N621" t="n">
        <v>0</v>
      </c>
      <c r="O621" t="n">
        <v>0</v>
      </c>
      <c r="P621" t="n">
        <v>0</v>
      </c>
      <c r="Q621" t="n">
        <v>0</v>
      </c>
      <c r="R621" s="2" t="inlineStr"/>
    </row>
    <row r="622" ht="15" customHeight="1">
      <c r="A622" t="inlineStr">
        <is>
          <t>A 43230-2023</t>
        </is>
      </c>
      <c r="B622" s="1" t="n">
        <v>45183</v>
      </c>
      <c r="C622" s="1" t="n">
        <v>45811</v>
      </c>
      <c r="D622" t="inlineStr">
        <is>
          <t>UPPSALA LÄN</t>
        </is>
      </c>
      <c r="E622" t="inlineStr">
        <is>
          <t>ENKÖPING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44131-2023</t>
        </is>
      </c>
      <c r="B623" s="1" t="n">
        <v>45188</v>
      </c>
      <c r="C623" s="1" t="n">
        <v>45811</v>
      </c>
      <c r="D623" t="inlineStr">
        <is>
          <t>UPPSALA LÄN</t>
        </is>
      </c>
      <c r="E623" t="inlineStr">
        <is>
          <t>ENKÖPING</t>
        </is>
      </c>
      <c r="G623" t="n">
        <v>0.3</v>
      </c>
      <c r="H623" t="n">
        <v>0</v>
      </c>
      <c r="I623" t="n">
        <v>0</v>
      </c>
      <c r="J623" t="n">
        <v>0</v>
      </c>
      <c r="K623" t="n">
        <v>0</v>
      </c>
      <c r="L623" t="n">
        <v>0</v>
      </c>
      <c r="M623" t="n">
        <v>0</v>
      </c>
      <c r="N623" t="n">
        <v>0</v>
      </c>
      <c r="O623" t="n">
        <v>0</v>
      </c>
      <c r="P623" t="n">
        <v>0</v>
      </c>
      <c r="Q623" t="n">
        <v>0</v>
      </c>
      <c r="R623" s="2" t="inlineStr"/>
    </row>
    <row r="624" ht="15" customHeight="1">
      <c r="A624" t="inlineStr">
        <is>
          <t>A 44326-2023</t>
        </is>
      </c>
      <c r="B624" s="1" t="n">
        <v>45188</v>
      </c>
      <c r="C624" s="1" t="n">
        <v>45811</v>
      </c>
      <c r="D624" t="inlineStr">
        <is>
          <t>UPPSALA LÄN</t>
        </is>
      </c>
      <c r="E624" t="inlineStr">
        <is>
          <t>ENKÖPING</t>
        </is>
      </c>
      <c r="G624" t="n">
        <v>2.3</v>
      </c>
      <c r="H624" t="n">
        <v>0</v>
      </c>
      <c r="I624" t="n">
        <v>0</v>
      </c>
      <c r="J624" t="n">
        <v>0</v>
      </c>
      <c r="K624" t="n">
        <v>0</v>
      </c>
      <c r="L624" t="n">
        <v>0</v>
      </c>
      <c r="M624" t="n">
        <v>0</v>
      </c>
      <c r="N624" t="n">
        <v>0</v>
      </c>
      <c r="O624" t="n">
        <v>0</v>
      </c>
      <c r="P624" t="n">
        <v>0</v>
      </c>
      <c r="Q624" t="n">
        <v>0</v>
      </c>
      <c r="R624" s="2" t="inlineStr"/>
    </row>
    <row r="625" ht="15" customHeight="1">
      <c r="A625" t="inlineStr">
        <is>
          <t>A 46103-2023</t>
        </is>
      </c>
      <c r="B625" s="1" t="n">
        <v>45190</v>
      </c>
      <c r="C625" s="1" t="n">
        <v>45811</v>
      </c>
      <c r="D625" t="inlineStr">
        <is>
          <t>UPPSALA LÄN</t>
        </is>
      </c>
      <c r="E625" t="inlineStr">
        <is>
          <t>ENKÖPING</t>
        </is>
      </c>
      <c r="G625" t="n">
        <v>4.6</v>
      </c>
      <c r="H625" t="n">
        <v>0</v>
      </c>
      <c r="I625" t="n">
        <v>0</v>
      </c>
      <c r="J625" t="n">
        <v>0</v>
      </c>
      <c r="K625" t="n">
        <v>0</v>
      </c>
      <c r="L625" t="n">
        <v>0</v>
      </c>
      <c r="M625" t="n">
        <v>0</v>
      </c>
      <c r="N625" t="n">
        <v>0</v>
      </c>
      <c r="O625" t="n">
        <v>0</v>
      </c>
      <c r="P625" t="n">
        <v>0</v>
      </c>
      <c r="Q625" t="n">
        <v>0</v>
      </c>
      <c r="R625" s="2" t="inlineStr"/>
    </row>
    <row r="626" ht="15" customHeight="1">
      <c r="A626" t="inlineStr">
        <is>
          <t>A 45058-2023</t>
        </is>
      </c>
      <c r="B626" s="1" t="n">
        <v>45191</v>
      </c>
      <c r="C626" s="1" t="n">
        <v>45811</v>
      </c>
      <c r="D626" t="inlineStr">
        <is>
          <t>UPPSALA LÄN</t>
        </is>
      </c>
      <c r="E626" t="inlineStr">
        <is>
          <t>ENKÖPING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45142-2023</t>
        </is>
      </c>
      <c r="B627" s="1" t="n">
        <v>45191</v>
      </c>
      <c r="C627" s="1" t="n">
        <v>45811</v>
      </c>
      <c r="D627" t="inlineStr">
        <is>
          <t>UPPSALA LÄN</t>
        </is>
      </c>
      <c r="E627" t="inlineStr">
        <is>
          <t>ENKÖPING</t>
        </is>
      </c>
      <c r="G627" t="n">
        <v>1.8</v>
      </c>
      <c r="H627" t="n">
        <v>0</v>
      </c>
      <c r="I627" t="n">
        <v>0</v>
      </c>
      <c r="J627" t="n">
        <v>0</v>
      </c>
      <c r="K627" t="n">
        <v>0</v>
      </c>
      <c r="L627" t="n">
        <v>0</v>
      </c>
      <c r="M627" t="n">
        <v>0</v>
      </c>
      <c r="N627" t="n">
        <v>0</v>
      </c>
      <c r="O627" t="n">
        <v>0</v>
      </c>
      <c r="P627" t="n">
        <v>0</v>
      </c>
      <c r="Q627" t="n">
        <v>0</v>
      </c>
      <c r="R627" s="2" t="inlineStr"/>
    </row>
    <row r="628" ht="15" customHeight="1">
      <c r="A628" t="inlineStr">
        <is>
          <t>A 45095-2023</t>
        </is>
      </c>
      <c r="B628" s="1" t="n">
        <v>45191</v>
      </c>
      <c r="C628" s="1" t="n">
        <v>45811</v>
      </c>
      <c r="D628" t="inlineStr">
        <is>
          <t>UPPSALA LÄN</t>
        </is>
      </c>
      <c r="E628" t="inlineStr">
        <is>
          <t>ENKÖPING</t>
        </is>
      </c>
      <c r="G628" t="n">
        <v>4.1</v>
      </c>
      <c r="H628" t="n">
        <v>0</v>
      </c>
      <c r="I628" t="n">
        <v>0</v>
      </c>
      <c r="J628" t="n">
        <v>0</v>
      </c>
      <c r="K628" t="n">
        <v>0</v>
      </c>
      <c r="L628" t="n">
        <v>0</v>
      </c>
      <c r="M628" t="n">
        <v>0</v>
      </c>
      <c r="N628" t="n">
        <v>0</v>
      </c>
      <c r="O628" t="n">
        <v>0</v>
      </c>
      <c r="P628" t="n">
        <v>0</v>
      </c>
      <c r="Q628" t="n">
        <v>0</v>
      </c>
      <c r="R628" s="2" t="inlineStr"/>
    </row>
    <row r="629" ht="15" customHeight="1">
      <c r="A629" t="inlineStr">
        <is>
          <t>A 45208-2023</t>
        </is>
      </c>
      <c r="B629" s="1" t="n">
        <v>45191</v>
      </c>
      <c r="C629" s="1" t="n">
        <v>45811</v>
      </c>
      <c r="D629" t="inlineStr">
        <is>
          <t>UPPSALA LÄN</t>
        </is>
      </c>
      <c r="E629" t="inlineStr">
        <is>
          <t>ENKÖPING</t>
        </is>
      </c>
      <c r="G629" t="n">
        <v>2.7</v>
      </c>
      <c r="H629" t="n">
        <v>0</v>
      </c>
      <c r="I629" t="n">
        <v>0</v>
      </c>
      <c r="J629" t="n">
        <v>0</v>
      </c>
      <c r="K629" t="n">
        <v>0</v>
      </c>
      <c r="L629" t="n">
        <v>0</v>
      </c>
      <c r="M629" t="n">
        <v>0</v>
      </c>
      <c r="N629" t="n">
        <v>0</v>
      </c>
      <c r="O629" t="n">
        <v>0</v>
      </c>
      <c r="P629" t="n">
        <v>0</v>
      </c>
      <c r="Q629" t="n">
        <v>0</v>
      </c>
      <c r="R629" s="2" t="inlineStr"/>
    </row>
    <row r="630" ht="15" customHeight="1">
      <c r="A630" t="inlineStr">
        <is>
          <t>A 46186-2023</t>
        </is>
      </c>
      <c r="B630" s="1" t="n">
        <v>45196</v>
      </c>
      <c r="C630" s="1" t="n">
        <v>45811</v>
      </c>
      <c r="D630" t="inlineStr">
        <is>
          <t>UPPSALA LÄN</t>
        </is>
      </c>
      <c r="E630" t="inlineStr">
        <is>
          <t>ENKÖPING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47428-2023</t>
        </is>
      </c>
      <c r="B631" s="1" t="n">
        <v>45202</v>
      </c>
      <c r="C631" s="1" t="n">
        <v>45811</v>
      </c>
      <c r="D631" t="inlineStr">
        <is>
          <t>UPPSALA LÄN</t>
        </is>
      </c>
      <c r="E631" t="inlineStr">
        <is>
          <t>ENKÖPING</t>
        </is>
      </c>
      <c r="G631" t="n">
        <v>3</v>
      </c>
      <c r="H631" t="n">
        <v>0</v>
      </c>
      <c r="I631" t="n">
        <v>0</v>
      </c>
      <c r="J631" t="n">
        <v>0</v>
      </c>
      <c r="K631" t="n">
        <v>0</v>
      </c>
      <c r="L631" t="n">
        <v>0</v>
      </c>
      <c r="M631" t="n">
        <v>0</v>
      </c>
      <c r="N631" t="n">
        <v>0</v>
      </c>
      <c r="O631" t="n">
        <v>0</v>
      </c>
      <c r="P631" t="n">
        <v>0</v>
      </c>
      <c r="Q631" t="n">
        <v>0</v>
      </c>
      <c r="R631" s="2" t="inlineStr"/>
    </row>
    <row r="632" ht="15" customHeight="1">
      <c r="A632" t="inlineStr">
        <is>
          <t>A 47553-2023</t>
        </is>
      </c>
      <c r="B632" s="1" t="n">
        <v>45203</v>
      </c>
      <c r="C632" s="1" t="n">
        <v>45811</v>
      </c>
      <c r="D632" t="inlineStr">
        <is>
          <t>UPPSALA LÄN</t>
        </is>
      </c>
      <c r="E632" t="inlineStr">
        <is>
          <t>ENKÖPING</t>
        </is>
      </c>
      <c r="G632" t="n">
        <v>13.3</v>
      </c>
      <c r="H632" t="n">
        <v>0</v>
      </c>
      <c r="I632" t="n">
        <v>0</v>
      </c>
      <c r="J632" t="n">
        <v>0</v>
      </c>
      <c r="K632" t="n">
        <v>0</v>
      </c>
      <c r="L632" t="n">
        <v>0</v>
      </c>
      <c r="M632" t="n">
        <v>0</v>
      </c>
      <c r="N632" t="n">
        <v>0</v>
      </c>
      <c r="O632" t="n">
        <v>0</v>
      </c>
      <c r="P632" t="n">
        <v>0</v>
      </c>
      <c r="Q632" t="n">
        <v>0</v>
      </c>
      <c r="R632" s="2" t="inlineStr"/>
    </row>
    <row r="633" ht="15" customHeight="1">
      <c r="A633" t="inlineStr">
        <is>
          <t>A 48843-2023</t>
        </is>
      </c>
      <c r="B633" s="1" t="n">
        <v>45209</v>
      </c>
      <c r="C633" s="1" t="n">
        <v>45811</v>
      </c>
      <c r="D633" t="inlineStr">
        <is>
          <t>UPPSALA LÄN</t>
        </is>
      </c>
      <c r="E633" t="inlineStr">
        <is>
          <t>ENKÖPING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50006-2023</t>
        </is>
      </c>
      <c r="B634" s="1" t="n">
        <v>45215</v>
      </c>
      <c r="C634" s="1" t="n">
        <v>45811</v>
      </c>
      <c r="D634" t="inlineStr">
        <is>
          <t>UPPSALA LÄN</t>
        </is>
      </c>
      <c r="E634" t="inlineStr">
        <is>
          <t>ENKÖPING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50419-2023</t>
        </is>
      </c>
      <c r="B635" s="1" t="n">
        <v>45216</v>
      </c>
      <c r="C635" s="1" t="n">
        <v>45811</v>
      </c>
      <c r="D635" t="inlineStr">
        <is>
          <t>UPPSALA LÄN</t>
        </is>
      </c>
      <c r="E635" t="inlineStr">
        <is>
          <t>ENKÖPING</t>
        </is>
      </c>
      <c r="G635" t="n">
        <v>0.7</v>
      </c>
      <c r="H635" t="n">
        <v>0</v>
      </c>
      <c r="I635" t="n">
        <v>0</v>
      </c>
      <c r="J635" t="n">
        <v>0</v>
      </c>
      <c r="K635" t="n">
        <v>0</v>
      </c>
      <c r="L635" t="n">
        <v>0</v>
      </c>
      <c r="M635" t="n">
        <v>0</v>
      </c>
      <c r="N635" t="n">
        <v>0</v>
      </c>
      <c r="O635" t="n">
        <v>0</v>
      </c>
      <c r="P635" t="n">
        <v>0</v>
      </c>
      <c r="Q635" t="n">
        <v>0</v>
      </c>
      <c r="R635" s="2" t="inlineStr"/>
    </row>
    <row r="636" ht="15" customHeight="1">
      <c r="A636" t="inlineStr">
        <is>
          <t>A 51120-2023</t>
        </is>
      </c>
      <c r="B636" s="1" t="n">
        <v>45219</v>
      </c>
      <c r="C636" s="1" t="n">
        <v>45811</v>
      </c>
      <c r="D636" t="inlineStr">
        <is>
          <t>UPPSALA LÄN</t>
        </is>
      </c>
      <c r="E636" t="inlineStr">
        <is>
          <t>ENKÖPING</t>
        </is>
      </c>
      <c r="G636" t="n">
        <v>1.4</v>
      </c>
      <c r="H636" t="n">
        <v>0</v>
      </c>
      <c r="I636" t="n">
        <v>0</v>
      </c>
      <c r="J636" t="n">
        <v>0</v>
      </c>
      <c r="K636" t="n">
        <v>0</v>
      </c>
      <c r="L636" t="n">
        <v>0</v>
      </c>
      <c r="M636" t="n">
        <v>0</v>
      </c>
      <c r="N636" t="n">
        <v>0</v>
      </c>
      <c r="O636" t="n">
        <v>0</v>
      </c>
      <c r="P636" t="n">
        <v>0</v>
      </c>
      <c r="Q636" t="n">
        <v>0</v>
      </c>
      <c r="R636" s="2" t="inlineStr"/>
    </row>
    <row r="637" ht="15" customHeight="1">
      <c r="A637" t="inlineStr">
        <is>
          <t>A 51313-2023</t>
        </is>
      </c>
      <c r="B637" s="1" t="n">
        <v>45219</v>
      </c>
      <c r="C637" s="1" t="n">
        <v>45811</v>
      </c>
      <c r="D637" t="inlineStr">
        <is>
          <t>UPPSALA LÄN</t>
        </is>
      </c>
      <c r="E637" t="inlineStr">
        <is>
          <t>ENKÖPING</t>
        </is>
      </c>
      <c r="F637" t="inlineStr">
        <is>
          <t>Allmännings- och besparingsskogar</t>
        </is>
      </c>
      <c r="G637" t="n">
        <v>7.7</v>
      </c>
      <c r="H637" t="n">
        <v>0</v>
      </c>
      <c r="I637" t="n">
        <v>0</v>
      </c>
      <c r="J637" t="n">
        <v>0</v>
      </c>
      <c r="K637" t="n">
        <v>0</v>
      </c>
      <c r="L637" t="n">
        <v>0</v>
      </c>
      <c r="M637" t="n">
        <v>0</v>
      </c>
      <c r="N637" t="n">
        <v>0</v>
      </c>
      <c r="O637" t="n">
        <v>0</v>
      </c>
      <c r="P637" t="n">
        <v>0</v>
      </c>
      <c r="Q637" t="n">
        <v>0</v>
      </c>
      <c r="R637" s="2" t="inlineStr"/>
    </row>
    <row r="638" ht="15" customHeight="1">
      <c r="A638" t="inlineStr">
        <is>
          <t>A 51688-2023</t>
        </is>
      </c>
      <c r="B638" s="1" t="n">
        <v>45222</v>
      </c>
      <c r="C638" s="1" t="n">
        <v>45811</v>
      </c>
      <c r="D638" t="inlineStr">
        <is>
          <t>UPPSALA LÄN</t>
        </is>
      </c>
      <c r="E638" t="inlineStr">
        <is>
          <t>ENKÖPING</t>
        </is>
      </c>
      <c r="G638" t="n">
        <v>2</v>
      </c>
      <c r="H638" t="n">
        <v>0</v>
      </c>
      <c r="I638" t="n">
        <v>0</v>
      </c>
      <c r="J638" t="n">
        <v>0</v>
      </c>
      <c r="K638" t="n">
        <v>0</v>
      </c>
      <c r="L638" t="n">
        <v>0</v>
      </c>
      <c r="M638" t="n">
        <v>0</v>
      </c>
      <c r="N638" t="n">
        <v>0</v>
      </c>
      <c r="O638" t="n">
        <v>0</v>
      </c>
      <c r="P638" t="n">
        <v>0</v>
      </c>
      <c r="Q638" t="n">
        <v>0</v>
      </c>
      <c r="R638" s="2" t="inlineStr"/>
    </row>
    <row r="639" ht="15" customHeight="1">
      <c r="A639" t="inlineStr">
        <is>
          <t>A 51835-2023</t>
        </is>
      </c>
      <c r="B639" s="1" t="n">
        <v>45223</v>
      </c>
      <c r="C639" s="1" t="n">
        <v>45811</v>
      </c>
      <c r="D639" t="inlineStr">
        <is>
          <t>UPPSALA LÄN</t>
        </is>
      </c>
      <c r="E639" t="inlineStr">
        <is>
          <t>ENKÖPING</t>
        </is>
      </c>
      <c r="G639" t="n">
        <v>4.7</v>
      </c>
      <c r="H639" t="n">
        <v>0</v>
      </c>
      <c r="I639" t="n">
        <v>0</v>
      </c>
      <c r="J639" t="n">
        <v>0</v>
      </c>
      <c r="K639" t="n">
        <v>0</v>
      </c>
      <c r="L639" t="n">
        <v>0</v>
      </c>
      <c r="M639" t="n">
        <v>0</v>
      </c>
      <c r="N639" t="n">
        <v>0</v>
      </c>
      <c r="O639" t="n">
        <v>0</v>
      </c>
      <c r="P639" t="n">
        <v>0</v>
      </c>
      <c r="Q639" t="n">
        <v>0</v>
      </c>
      <c r="R639" s="2" t="inlineStr"/>
    </row>
    <row r="640" ht="15" customHeight="1">
      <c r="A640" t="inlineStr">
        <is>
          <t>A 53595-2023</t>
        </is>
      </c>
      <c r="B640" s="1" t="n">
        <v>45223</v>
      </c>
      <c r="C640" s="1" t="n">
        <v>45811</v>
      </c>
      <c r="D640" t="inlineStr">
        <is>
          <t>UPPSALA LÄN</t>
        </is>
      </c>
      <c r="E640" t="inlineStr">
        <is>
          <t>ENKÖPING</t>
        </is>
      </c>
      <c r="G640" t="n">
        <v>2.6</v>
      </c>
      <c r="H640" t="n">
        <v>0</v>
      </c>
      <c r="I640" t="n">
        <v>0</v>
      </c>
      <c r="J640" t="n">
        <v>0</v>
      </c>
      <c r="K640" t="n">
        <v>0</v>
      </c>
      <c r="L640" t="n">
        <v>0</v>
      </c>
      <c r="M640" t="n">
        <v>0</v>
      </c>
      <c r="N640" t="n">
        <v>0</v>
      </c>
      <c r="O640" t="n">
        <v>0</v>
      </c>
      <c r="P640" t="n">
        <v>0</v>
      </c>
      <c r="Q640" t="n">
        <v>0</v>
      </c>
      <c r="R640" s="2" t="inlineStr"/>
    </row>
    <row r="641" ht="15" customHeight="1">
      <c r="A641" t="inlineStr">
        <is>
          <t>A 52299-2023</t>
        </is>
      </c>
      <c r="B641" s="1" t="n">
        <v>45224</v>
      </c>
      <c r="C641" s="1" t="n">
        <v>45811</v>
      </c>
      <c r="D641" t="inlineStr">
        <is>
          <t>UPPSALA LÄN</t>
        </is>
      </c>
      <c r="E641" t="inlineStr">
        <is>
          <t>ENKÖPING</t>
        </is>
      </c>
      <c r="G641" t="n">
        <v>2.2</v>
      </c>
      <c r="H641" t="n">
        <v>0</v>
      </c>
      <c r="I641" t="n">
        <v>0</v>
      </c>
      <c r="J641" t="n">
        <v>0</v>
      </c>
      <c r="K641" t="n">
        <v>0</v>
      </c>
      <c r="L641" t="n">
        <v>0</v>
      </c>
      <c r="M641" t="n">
        <v>0</v>
      </c>
      <c r="N641" t="n">
        <v>0</v>
      </c>
      <c r="O641" t="n">
        <v>0</v>
      </c>
      <c r="P641" t="n">
        <v>0</v>
      </c>
      <c r="Q641" t="n">
        <v>0</v>
      </c>
      <c r="R641" s="2" t="inlineStr"/>
    </row>
    <row r="642" ht="15" customHeight="1">
      <c r="A642" t="inlineStr">
        <is>
          <t>A 52366-2023</t>
        </is>
      </c>
      <c r="B642" s="1" t="n">
        <v>45224</v>
      </c>
      <c r="C642" s="1" t="n">
        <v>45811</v>
      </c>
      <c r="D642" t="inlineStr">
        <is>
          <t>UPPSALA LÄN</t>
        </is>
      </c>
      <c r="E642" t="inlineStr">
        <is>
          <t>ENKÖPING</t>
        </is>
      </c>
      <c r="G642" t="n">
        <v>2.3</v>
      </c>
      <c r="H642" t="n">
        <v>0</v>
      </c>
      <c r="I642" t="n">
        <v>0</v>
      </c>
      <c r="J642" t="n">
        <v>0</v>
      </c>
      <c r="K642" t="n">
        <v>0</v>
      </c>
      <c r="L642" t="n">
        <v>0</v>
      </c>
      <c r="M642" t="n">
        <v>0</v>
      </c>
      <c r="N642" t="n">
        <v>0</v>
      </c>
      <c r="O642" t="n">
        <v>0</v>
      </c>
      <c r="P642" t="n">
        <v>0</v>
      </c>
      <c r="Q642" t="n">
        <v>0</v>
      </c>
      <c r="R642" s="2" t="inlineStr"/>
    </row>
    <row r="643" ht="15" customHeight="1">
      <c r="A643" t="inlineStr">
        <is>
          <t>A 54356-2023</t>
        </is>
      </c>
      <c r="B643" s="1" t="n">
        <v>45225</v>
      </c>
      <c r="C643" s="1" t="n">
        <v>45811</v>
      </c>
      <c r="D643" t="inlineStr">
        <is>
          <t>UPPSALA LÄN</t>
        </is>
      </c>
      <c r="E643" t="inlineStr">
        <is>
          <t>ENKÖPING</t>
        </is>
      </c>
      <c r="G643" t="n">
        <v>2.4</v>
      </c>
      <c r="H643" t="n">
        <v>0</v>
      </c>
      <c r="I643" t="n">
        <v>0</v>
      </c>
      <c r="J643" t="n">
        <v>0</v>
      </c>
      <c r="K643" t="n">
        <v>0</v>
      </c>
      <c r="L643" t="n">
        <v>0</v>
      </c>
      <c r="M643" t="n">
        <v>0</v>
      </c>
      <c r="N643" t="n">
        <v>0</v>
      </c>
      <c r="O643" t="n">
        <v>0</v>
      </c>
      <c r="P643" t="n">
        <v>0</v>
      </c>
      <c r="Q643" t="n">
        <v>0</v>
      </c>
      <c r="R643" s="2" t="inlineStr"/>
    </row>
    <row r="644" ht="15" customHeight="1">
      <c r="A644" t="inlineStr">
        <is>
          <t>A 54357-2023</t>
        </is>
      </c>
      <c r="B644" s="1" t="n">
        <v>45225</v>
      </c>
      <c r="C644" s="1" t="n">
        <v>45811</v>
      </c>
      <c r="D644" t="inlineStr">
        <is>
          <t>UPPSALA LÄN</t>
        </is>
      </c>
      <c r="E644" t="inlineStr">
        <is>
          <t>ENKÖPING</t>
        </is>
      </c>
      <c r="G644" t="n">
        <v>1.8</v>
      </c>
      <c r="H644" t="n">
        <v>0</v>
      </c>
      <c r="I644" t="n">
        <v>0</v>
      </c>
      <c r="J644" t="n">
        <v>0</v>
      </c>
      <c r="K644" t="n">
        <v>0</v>
      </c>
      <c r="L644" t="n">
        <v>0</v>
      </c>
      <c r="M644" t="n">
        <v>0</v>
      </c>
      <c r="N644" t="n">
        <v>0</v>
      </c>
      <c r="O644" t="n">
        <v>0</v>
      </c>
      <c r="P644" t="n">
        <v>0</v>
      </c>
      <c r="Q644" t="n">
        <v>0</v>
      </c>
      <c r="R644" s="2" t="inlineStr"/>
    </row>
    <row r="645" ht="15" customHeight="1">
      <c r="A645" t="inlineStr">
        <is>
          <t>A 53208-2023</t>
        </is>
      </c>
      <c r="B645" s="1" t="n">
        <v>45226</v>
      </c>
      <c r="C645" s="1" t="n">
        <v>45811</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53333-2023</t>
        </is>
      </c>
      <c r="B646" s="1" t="n">
        <v>45229</v>
      </c>
      <c r="C646" s="1" t="n">
        <v>45811</v>
      </c>
      <c r="D646" t="inlineStr">
        <is>
          <t>UPPSALA LÄN</t>
        </is>
      </c>
      <c r="E646" t="inlineStr">
        <is>
          <t>ENKÖPING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53338-2023</t>
        </is>
      </c>
      <c r="B647" s="1" t="n">
        <v>45229</v>
      </c>
      <c r="C647" s="1" t="n">
        <v>45811</v>
      </c>
      <c r="D647" t="inlineStr">
        <is>
          <t>UPPSALA LÄN</t>
        </is>
      </c>
      <c r="E647" t="inlineStr">
        <is>
          <t>ENKÖPING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53607-2023</t>
        </is>
      </c>
      <c r="B648" s="1" t="n">
        <v>45230</v>
      </c>
      <c r="C648" s="1" t="n">
        <v>45811</v>
      </c>
      <c r="D648" t="inlineStr">
        <is>
          <t>UPPSALA LÄN</t>
        </is>
      </c>
      <c r="E648" t="inlineStr">
        <is>
          <t>ENKÖPING</t>
        </is>
      </c>
      <c r="F648" t="inlineStr">
        <is>
          <t>Allmännings- och besparingsskogar</t>
        </is>
      </c>
      <c r="G648" t="n">
        <v>6.3</v>
      </c>
      <c r="H648" t="n">
        <v>0</v>
      </c>
      <c r="I648" t="n">
        <v>0</v>
      </c>
      <c r="J648" t="n">
        <v>0</v>
      </c>
      <c r="K648" t="n">
        <v>0</v>
      </c>
      <c r="L648" t="n">
        <v>0</v>
      </c>
      <c r="M648" t="n">
        <v>0</v>
      </c>
      <c r="N648" t="n">
        <v>0</v>
      </c>
      <c r="O648" t="n">
        <v>0</v>
      </c>
      <c r="P648" t="n">
        <v>0</v>
      </c>
      <c r="Q648" t="n">
        <v>0</v>
      </c>
      <c r="R648" s="2" t="inlineStr"/>
    </row>
    <row r="649" ht="15" customHeight="1">
      <c r="A649" t="inlineStr">
        <is>
          <t>A 54208-2023</t>
        </is>
      </c>
      <c r="B649" s="1" t="n">
        <v>45232</v>
      </c>
      <c r="C649" s="1" t="n">
        <v>45811</v>
      </c>
      <c r="D649" t="inlineStr">
        <is>
          <t>UPPSALA LÄN</t>
        </is>
      </c>
      <c r="E649" t="inlineStr">
        <is>
          <t>ENKÖPING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54224-2023</t>
        </is>
      </c>
      <c r="B650" s="1" t="n">
        <v>45232</v>
      </c>
      <c r="C650" s="1" t="n">
        <v>45811</v>
      </c>
      <c r="D650" t="inlineStr">
        <is>
          <t>UPPSALA LÄN</t>
        </is>
      </c>
      <c r="E650" t="inlineStr">
        <is>
          <t>ENKÖPING</t>
        </is>
      </c>
      <c r="G650" t="n">
        <v>5.4</v>
      </c>
      <c r="H650" t="n">
        <v>0</v>
      </c>
      <c r="I650" t="n">
        <v>0</v>
      </c>
      <c r="J650" t="n">
        <v>0</v>
      </c>
      <c r="K650" t="n">
        <v>0</v>
      </c>
      <c r="L650" t="n">
        <v>0</v>
      </c>
      <c r="M650" t="n">
        <v>0</v>
      </c>
      <c r="N650" t="n">
        <v>0</v>
      </c>
      <c r="O650" t="n">
        <v>0</v>
      </c>
      <c r="P650" t="n">
        <v>0</v>
      </c>
      <c r="Q650" t="n">
        <v>0</v>
      </c>
      <c r="R650" s="2" t="inlineStr"/>
    </row>
    <row r="651" ht="15" customHeight="1">
      <c r="A651" t="inlineStr">
        <is>
          <t>A 55609-2023</t>
        </is>
      </c>
      <c r="B651" s="1" t="n">
        <v>45238</v>
      </c>
      <c r="C651" s="1" t="n">
        <v>45811</v>
      </c>
      <c r="D651" t="inlineStr">
        <is>
          <t>UPPSALA LÄN</t>
        </is>
      </c>
      <c r="E651" t="inlineStr">
        <is>
          <t>ENKÖPING</t>
        </is>
      </c>
      <c r="F651" t="inlineStr">
        <is>
          <t>Allmännings- och besparingsskogar</t>
        </is>
      </c>
      <c r="G651" t="n">
        <v>13.3</v>
      </c>
      <c r="H651" t="n">
        <v>0</v>
      </c>
      <c r="I651" t="n">
        <v>0</v>
      </c>
      <c r="J651" t="n">
        <v>0</v>
      </c>
      <c r="K651" t="n">
        <v>0</v>
      </c>
      <c r="L651" t="n">
        <v>0</v>
      </c>
      <c r="M651" t="n">
        <v>0</v>
      </c>
      <c r="N651" t="n">
        <v>0</v>
      </c>
      <c r="O651" t="n">
        <v>0</v>
      </c>
      <c r="P651" t="n">
        <v>0</v>
      </c>
      <c r="Q651" t="n">
        <v>0</v>
      </c>
      <c r="R651" s="2" t="inlineStr"/>
    </row>
    <row r="652" ht="15" customHeight="1">
      <c r="A652" t="inlineStr">
        <is>
          <t>A 56886-2023</t>
        </is>
      </c>
      <c r="B652" s="1" t="n">
        <v>45239</v>
      </c>
      <c r="C652" s="1" t="n">
        <v>45811</v>
      </c>
      <c r="D652" t="inlineStr">
        <is>
          <t>UPPSALA LÄN</t>
        </is>
      </c>
      <c r="E652" t="inlineStr">
        <is>
          <t>ENKÖPING</t>
        </is>
      </c>
      <c r="G652" t="n">
        <v>2</v>
      </c>
      <c r="H652" t="n">
        <v>0</v>
      </c>
      <c r="I652" t="n">
        <v>0</v>
      </c>
      <c r="J652" t="n">
        <v>0</v>
      </c>
      <c r="K652" t="n">
        <v>0</v>
      </c>
      <c r="L652" t="n">
        <v>0</v>
      </c>
      <c r="M652" t="n">
        <v>0</v>
      </c>
      <c r="N652" t="n">
        <v>0</v>
      </c>
      <c r="O652" t="n">
        <v>0</v>
      </c>
      <c r="P652" t="n">
        <v>0</v>
      </c>
      <c r="Q652" t="n">
        <v>0</v>
      </c>
      <c r="R652" s="2" t="inlineStr"/>
    </row>
    <row r="653" ht="15" customHeight="1">
      <c r="A653" t="inlineStr">
        <is>
          <t>A 57018-2023</t>
        </is>
      </c>
      <c r="B653" s="1" t="n">
        <v>45244</v>
      </c>
      <c r="C653" s="1" t="n">
        <v>45811</v>
      </c>
      <c r="D653" t="inlineStr">
        <is>
          <t>UPPSALA LÄN</t>
        </is>
      </c>
      <c r="E653" t="inlineStr">
        <is>
          <t>ENKÖPING</t>
        </is>
      </c>
      <c r="G653" t="n">
        <v>3.9</v>
      </c>
      <c r="H653" t="n">
        <v>0</v>
      </c>
      <c r="I653" t="n">
        <v>0</v>
      </c>
      <c r="J653" t="n">
        <v>0</v>
      </c>
      <c r="K653" t="n">
        <v>0</v>
      </c>
      <c r="L653" t="n">
        <v>0</v>
      </c>
      <c r="M653" t="n">
        <v>0</v>
      </c>
      <c r="N653" t="n">
        <v>0</v>
      </c>
      <c r="O653" t="n">
        <v>0</v>
      </c>
      <c r="P653" t="n">
        <v>0</v>
      </c>
      <c r="Q653" t="n">
        <v>0</v>
      </c>
      <c r="R653" s="2" t="inlineStr"/>
    </row>
    <row r="654" ht="15" customHeight="1">
      <c r="A654" t="inlineStr">
        <is>
          <t>A 57662-2023</t>
        </is>
      </c>
      <c r="B654" s="1" t="n">
        <v>45246</v>
      </c>
      <c r="C654" s="1" t="n">
        <v>45811</v>
      </c>
      <c r="D654" t="inlineStr">
        <is>
          <t>UPPSALA LÄN</t>
        </is>
      </c>
      <c r="E654" t="inlineStr">
        <is>
          <t>ENKÖPING</t>
        </is>
      </c>
      <c r="G654" t="n">
        <v>10.9</v>
      </c>
      <c r="H654" t="n">
        <v>0</v>
      </c>
      <c r="I654" t="n">
        <v>0</v>
      </c>
      <c r="J654" t="n">
        <v>0</v>
      </c>
      <c r="K654" t="n">
        <v>0</v>
      </c>
      <c r="L654" t="n">
        <v>0</v>
      </c>
      <c r="M654" t="n">
        <v>0</v>
      </c>
      <c r="N654" t="n">
        <v>0</v>
      </c>
      <c r="O654" t="n">
        <v>0</v>
      </c>
      <c r="P654" t="n">
        <v>0</v>
      </c>
      <c r="Q654" t="n">
        <v>0</v>
      </c>
      <c r="R654" s="2" t="inlineStr"/>
    </row>
    <row r="655" ht="15" customHeight="1">
      <c r="A655" t="inlineStr">
        <is>
          <t>A 58114-2023</t>
        </is>
      </c>
      <c r="B655" s="1" t="n">
        <v>45249</v>
      </c>
      <c r="C655" s="1" t="n">
        <v>45811</v>
      </c>
      <c r="D655" t="inlineStr">
        <is>
          <t>UPPSALA LÄN</t>
        </is>
      </c>
      <c r="E655" t="inlineStr">
        <is>
          <t>ENKÖPING</t>
        </is>
      </c>
      <c r="G655" t="n">
        <v>15.4</v>
      </c>
      <c r="H655" t="n">
        <v>0</v>
      </c>
      <c r="I655" t="n">
        <v>0</v>
      </c>
      <c r="J655" t="n">
        <v>0</v>
      </c>
      <c r="K655" t="n">
        <v>0</v>
      </c>
      <c r="L655" t="n">
        <v>0</v>
      </c>
      <c r="M655" t="n">
        <v>0</v>
      </c>
      <c r="N655" t="n">
        <v>0</v>
      </c>
      <c r="O655" t="n">
        <v>0</v>
      </c>
      <c r="P655" t="n">
        <v>0</v>
      </c>
      <c r="Q655" t="n">
        <v>0</v>
      </c>
      <c r="R655" s="2" t="inlineStr"/>
    </row>
    <row r="656" ht="15" customHeight="1">
      <c r="A656" t="inlineStr">
        <is>
          <t>A 59866-2023</t>
        </is>
      </c>
      <c r="B656" s="1" t="n">
        <v>45257</v>
      </c>
      <c r="C656" s="1" t="n">
        <v>45811</v>
      </c>
      <c r="D656" t="inlineStr">
        <is>
          <t>UPPSALA LÄN</t>
        </is>
      </c>
      <c r="E656" t="inlineStr">
        <is>
          <t>ENKÖPING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60200-2023</t>
        </is>
      </c>
      <c r="B657" s="1" t="n">
        <v>45258</v>
      </c>
      <c r="C657" s="1" t="n">
        <v>45811</v>
      </c>
      <c r="D657" t="inlineStr">
        <is>
          <t>UPPSALA LÄN</t>
        </is>
      </c>
      <c r="E657" t="inlineStr">
        <is>
          <t>ENKÖPING</t>
        </is>
      </c>
      <c r="F657" t="inlineStr">
        <is>
          <t>Allmännings- och besparingsskogar</t>
        </is>
      </c>
      <c r="G657" t="n">
        <v>9.4</v>
      </c>
      <c r="H657" t="n">
        <v>0</v>
      </c>
      <c r="I657" t="n">
        <v>0</v>
      </c>
      <c r="J657" t="n">
        <v>0</v>
      </c>
      <c r="K657" t="n">
        <v>0</v>
      </c>
      <c r="L657" t="n">
        <v>0</v>
      </c>
      <c r="M657" t="n">
        <v>0</v>
      </c>
      <c r="N657" t="n">
        <v>0</v>
      </c>
      <c r="O657" t="n">
        <v>0</v>
      </c>
      <c r="P657" t="n">
        <v>0</v>
      </c>
      <c r="Q657" t="n">
        <v>0</v>
      </c>
      <c r="R657" s="2" t="inlineStr"/>
    </row>
    <row r="658" ht="15" customHeight="1">
      <c r="A658" t="inlineStr">
        <is>
          <t>A 60641-2023</t>
        </is>
      </c>
      <c r="B658" s="1" t="n">
        <v>45260</v>
      </c>
      <c r="C658" s="1" t="n">
        <v>45811</v>
      </c>
      <c r="D658" t="inlineStr">
        <is>
          <t>UPPSALA LÄN</t>
        </is>
      </c>
      <c r="E658" t="inlineStr">
        <is>
          <t>ENKÖPING</t>
        </is>
      </c>
      <c r="G658" t="n">
        <v>13.1</v>
      </c>
      <c r="H658" t="n">
        <v>0</v>
      </c>
      <c r="I658" t="n">
        <v>0</v>
      </c>
      <c r="J658" t="n">
        <v>0</v>
      </c>
      <c r="K658" t="n">
        <v>0</v>
      </c>
      <c r="L658" t="n">
        <v>0</v>
      </c>
      <c r="M658" t="n">
        <v>0</v>
      </c>
      <c r="N658" t="n">
        <v>0</v>
      </c>
      <c r="O658" t="n">
        <v>0</v>
      </c>
      <c r="P658" t="n">
        <v>0</v>
      </c>
      <c r="Q658" t="n">
        <v>0</v>
      </c>
      <c r="R658" s="2" t="inlineStr"/>
    </row>
    <row r="659" ht="15" customHeight="1">
      <c r="A659" t="inlineStr">
        <is>
          <t>A 61040-2023</t>
        </is>
      </c>
      <c r="B659" s="1" t="n">
        <v>45260</v>
      </c>
      <c r="C659" s="1" t="n">
        <v>45811</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60874-2023</t>
        </is>
      </c>
      <c r="B660" s="1" t="n">
        <v>45261</v>
      </c>
      <c r="C660" s="1" t="n">
        <v>45811</v>
      </c>
      <c r="D660" t="inlineStr">
        <is>
          <t>UPPSALA LÄN</t>
        </is>
      </c>
      <c r="E660" t="inlineStr">
        <is>
          <t>ENKÖPING</t>
        </is>
      </c>
      <c r="G660" t="n">
        <v>1.5</v>
      </c>
      <c r="H660" t="n">
        <v>0</v>
      </c>
      <c r="I660" t="n">
        <v>0</v>
      </c>
      <c r="J660" t="n">
        <v>0</v>
      </c>
      <c r="K660" t="n">
        <v>0</v>
      </c>
      <c r="L660" t="n">
        <v>0</v>
      </c>
      <c r="M660" t="n">
        <v>0</v>
      </c>
      <c r="N660" t="n">
        <v>0</v>
      </c>
      <c r="O660" t="n">
        <v>0</v>
      </c>
      <c r="P660" t="n">
        <v>0</v>
      </c>
      <c r="Q660" t="n">
        <v>0</v>
      </c>
      <c r="R660" s="2" t="inlineStr"/>
    </row>
    <row r="661" ht="15" customHeight="1">
      <c r="A661" t="inlineStr">
        <is>
          <t>A 61207-2023</t>
        </is>
      </c>
      <c r="B661" s="1" t="n">
        <v>45264</v>
      </c>
      <c r="C661" s="1" t="n">
        <v>45811</v>
      </c>
      <c r="D661" t="inlineStr">
        <is>
          <t>UPPSALA LÄN</t>
        </is>
      </c>
      <c r="E661" t="inlineStr">
        <is>
          <t>ENKÖPING</t>
        </is>
      </c>
      <c r="G661" t="n">
        <v>10.8</v>
      </c>
      <c r="H661" t="n">
        <v>0</v>
      </c>
      <c r="I661" t="n">
        <v>0</v>
      </c>
      <c r="J661" t="n">
        <v>0</v>
      </c>
      <c r="K661" t="n">
        <v>0</v>
      </c>
      <c r="L661" t="n">
        <v>0</v>
      </c>
      <c r="M661" t="n">
        <v>0</v>
      </c>
      <c r="N661" t="n">
        <v>0</v>
      </c>
      <c r="O661" t="n">
        <v>0</v>
      </c>
      <c r="P661" t="n">
        <v>0</v>
      </c>
      <c r="Q661" t="n">
        <v>0</v>
      </c>
      <c r="R661" s="2" t="inlineStr"/>
    </row>
    <row r="662" ht="15" customHeight="1">
      <c r="A662" t="inlineStr">
        <is>
          <t>A 61710-2023</t>
        </is>
      </c>
      <c r="B662" s="1" t="n">
        <v>45265</v>
      </c>
      <c r="C662" s="1" t="n">
        <v>45811</v>
      </c>
      <c r="D662" t="inlineStr">
        <is>
          <t>UPPSALA LÄN</t>
        </is>
      </c>
      <c r="E662" t="inlineStr">
        <is>
          <t>ENKÖPING</t>
        </is>
      </c>
      <c r="G662" t="n">
        <v>2.4</v>
      </c>
      <c r="H662" t="n">
        <v>0</v>
      </c>
      <c r="I662" t="n">
        <v>0</v>
      </c>
      <c r="J662" t="n">
        <v>0</v>
      </c>
      <c r="K662" t="n">
        <v>0</v>
      </c>
      <c r="L662" t="n">
        <v>0</v>
      </c>
      <c r="M662" t="n">
        <v>0</v>
      </c>
      <c r="N662" t="n">
        <v>0</v>
      </c>
      <c r="O662" t="n">
        <v>0</v>
      </c>
      <c r="P662" t="n">
        <v>0</v>
      </c>
      <c r="Q662" t="n">
        <v>0</v>
      </c>
      <c r="R662" s="2" t="inlineStr"/>
    </row>
    <row r="663" ht="15" customHeight="1">
      <c r="A663" t="inlineStr">
        <is>
          <t>A 62158-2023</t>
        </is>
      </c>
      <c r="B663" s="1" t="n">
        <v>45267</v>
      </c>
      <c r="C663" s="1" t="n">
        <v>45811</v>
      </c>
      <c r="D663" t="inlineStr">
        <is>
          <t>UPPSALA LÄN</t>
        </is>
      </c>
      <c r="E663" t="inlineStr">
        <is>
          <t>ENKÖPING</t>
        </is>
      </c>
      <c r="G663" t="n">
        <v>1.4</v>
      </c>
      <c r="H663" t="n">
        <v>0</v>
      </c>
      <c r="I663" t="n">
        <v>0</v>
      </c>
      <c r="J663" t="n">
        <v>0</v>
      </c>
      <c r="K663" t="n">
        <v>0</v>
      </c>
      <c r="L663" t="n">
        <v>0</v>
      </c>
      <c r="M663" t="n">
        <v>0</v>
      </c>
      <c r="N663" t="n">
        <v>0</v>
      </c>
      <c r="O663" t="n">
        <v>0</v>
      </c>
      <c r="P663" t="n">
        <v>0</v>
      </c>
      <c r="Q663" t="n">
        <v>0</v>
      </c>
      <c r="R663" s="2" t="inlineStr"/>
    </row>
    <row r="664" ht="15" customHeight="1">
      <c r="A664" t="inlineStr">
        <is>
          <t>A 62265-2023</t>
        </is>
      </c>
      <c r="B664" s="1" t="n">
        <v>45267</v>
      </c>
      <c r="C664" s="1" t="n">
        <v>45811</v>
      </c>
      <c r="D664" t="inlineStr">
        <is>
          <t>UPPSALA LÄN</t>
        </is>
      </c>
      <c r="E664" t="inlineStr">
        <is>
          <t>ENKÖPING</t>
        </is>
      </c>
      <c r="G664" t="n">
        <v>4.5</v>
      </c>
      <c r="H664" t="n">
        <v>0</v>
      </c>
      <c r="I664" t="n">
        <v>0</v>
      </c>
      <c r="J664" t="n">
        <v>0</v>
      </c>
      <c r="K664" t="n">
        <v>0</v>
      </c>
      <c r="L664" t="n">
        <v>0</v>
      </c>
      <c r="M664" t="n">
        <v>0</v>
      </c>
      <c r="N664" t="n">
        <v>0</v>
      </c>
      <c r="O664" t="n">
        <v>0</v>
      </c>
      <c r="P664" t="n">
        <v>0</v>
      </c>
      <c r="Q664" t="n">
        <v>0</v>
      </c>
      <c r="R664" s="2" t="inlineStr"/>
    </row>
    <row r="665" ht="15" customHeight="1">
      <c r="A665" t="inlineStr">
        <is>
          <t>A 63431-2023</t>
        </is>
      </c>
      <c r="B665" s="1" t="n">
        <v>45274</v>
      </c>
      <c r="C665" s="1" t="n">
        <v>45811</v>
      </c>
      <c r="D665" t="inlineStr">
        <is>
          <t>UPPSALA LÄN</t>
        </is>
      </c>
      <c r="E665" t="inlineStr">
        <is>
          <t>ENKÖPING</t>
        </is>
      </c>
      <c r="G665" t="n">
        <v>1.8</v>
      </c>
      <c r="H665" t="n">
        <v>0</v>
      </c>
      <c r="I665" t="n">
        <v>0</v>
      </c>
      <c r="J665" t="n">
        <v>0</v>
      </c>
      <c r="K665" t="n">
        <v>0</v>
      </c>
      <c r="L665" t="n">
        <v>0</v>
      </c>
      <c r="M665" t="n">
        <v>0</v>
      </c>
      <c r="N665" t="n">
        <v>0</v>
      </c>
      <c r="O665" t="n">
        <v>0</v>
      </c>
      <c r="P665" t="n">
        <v>0</v>
      </c>
      <c r="Q665" t="n">
        <v>0</v>
      </c>
      <c r="R665" s="2" t="inlineStr"/>
    </row>
    <row r="666" ht="15" customHeight="1">
      <c r="A666" t="inlineStr">
        <is>
          <t>A 63404-2023</t>
        </is>
      </c>
      <c r="B666" s="1" t="n">
        <v>45274</v>
      </c>
      <c r="C666" s="1" t="n">
        <v>45811</v>
      </c>
      <c r="D666" t="inlineStr">
        <is>
          <t>UPPSALA LÄN</t>
        </is>
      </c>
      <c r="E666" t="inlineStr">
        <is>
          <t>ENKÖPING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63402-2023</t>
        </is>
      </c>
      <c r="B667" s="1" t="n">
        <v>45274</v>
      </c>
      <c r="C667" s="1" t="n">
        <v>45811</v>
      </c>
      <c r="D667" t="inlineStr">
        <is>
          <t>UPPSALA LÄN</t>
        </is>
      </c>
      <c r="E667" t="inlineStr">
        <is>
          <t>ENKÖPING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63406-2023</t>
        </is>
      </c>
      <c r="B668" s="1" t="n">
        <v>45274</v>
      </c>
      <c r="C668" s="1" t="n">
        <v>45811</v>
      </c>
      <c r="D668" t="inlineStr">
        <is>
          <t>UPPSALA LÄN</t>
        </is>
      </c>
      <c r="E668" t="inlineStr">
        <is>
          <t>ENKÖPING</t>
        </is>
      </c>
      <c r="G668" t="n">
        <v>0.3</v>
      </c>
      <c r="H668" t="n">
        <v>0</v>
      </c>
      <c r="I668" t="n">
        <v>0</v>
      </c>
      <c r="J668" t="n">
        <v>0</v>
      </c>
      <c r="K668" t="n">
        <v>0</v>
      </c>
      <c r="L668" t="n">
        <v>0</v>
      </c>
      <c r="M668" t="n">
        <v>0</v>
      </c>
      <c r="N668" t="n">
        <v>0</v>
      </c>
      <c r="O668" t="n">
        <v>0</v>
      </c>
      <c r="P668" t="n">
        <v>0</v>
      </c>
      <c r="Q668" t="n">
        <v>0</v>
      </c>
      <c r="R668" s="2" t="inlineStr"/>
    </row>
    <row r="669" ht="15" customHeight="1">
      <c r="A669" t="inlineStr">
        <is>
          <t>A 64800-2023</t>
        </is>
      </c>
      <c r="B669" s="1" t="n">
        <v>45282</v>
      </c>
      <c r="C669" s="1" t="n">
        <v>45811</v>
      </c>
      <c r="D669" t="inlineStr">
        <is>
          <t>UPPSALA LÄN</t>
        </is>
      </c>
      <c r="E669" t="inlineStr">
        <is>
          <t>ENKÖPING</t>
        </is>
      </c>
      <c r="G669" t="n">
        <v>2.1</v>
      </c>
      <c r="H669" t="n">
        <v>0</v>
      </c>
      <c r="I669" t="n">
        <v>0</v>
      </c>
      <c r="J669" t="n">
        <v>0</v>
      </c>
      <c r="K669" t="n">
        <v>0</v>
      </c>
      <c r="L669" t="n">
        <v>0</v>
      </c>
      <c r="M669" t="n">
        <v>0</v>
      </c>
      <c r="N669" t="n">
        <v>0</v>
      </c>
      <c r="O669" t="n">
        <v>0</v>
      </c>
      <c r="P669" t="n">
        <v>0</v>
      </c>
      <c r="Q669" t="n">
        <v>0</v>
      </c>
      <c r="R669" s="2" t="inlineStr"/>
    </row>
    <row r="670" ht="15" customHeight="1">
      <c r="A670" t="inlineStr">
        <is>
          <t>A 351-2024</t>
        </is>
      </c>
      <c r="B670" s="1" t="n">
        <v>45295</v>
      </c>
      <c r="C670" s="1" t="n">
        <v>45811</v>
      </c>
      <c r="D670" t="inlineStr">
        <is>
          <t>UPPSALA LÄN</t>
        </is>
      </c>
      <c r="E670" t="inlineStr">
        <is>
          <t>ENKÖPING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352-2024</t>
        </is>
      </c>
      <c r="B671" s="1" t="n">
        <v>45295</v>
      </c>
      <c r="C671" s="1" t="n">
        <v>45811</v>
      </c>
      <c r="D671" t="inlineStr">
        <is>
          <t>UPPSALA LÄN</t>
        </is>
      </c>
      <c r="E671" t="inlineStr">
        <is>
          <t>ENKÖPING</t>
        </is>
      </c>
      <c r="G671" t="n">
        <v>3.9</v>
      </c>
      <c r="H671" t="n">
        <v>0</v>
      </c>
      <c r="I671" t="n">
        <v>0</v>
      </c>
      <c r="J671" t="n">
        <v>0</v>
      </c>
      <c r="K671" t="n">
        <v>0</v>
      </c>
      <c r="L671" t="n">
        <v>0</v>
      </c>
      <c r="M671" t="n">
        <v>0</v>
      </c>
      <c r="N671" t="n">
        <v>0</v>
      </c>
      <c r="O671" t="n">
        <v>0</v>
      </c>
      <c r="P671" t="n">
        <v>0</v>
      </c>
      <c r="Q671" t="n">
        <v>0</v>
      </c>
      <c r="R671" s="2" t="inlineStr"/>
    </row>
    <row r="672" ht="15" customHeight="1">
      <c r="A672" t="inlineStr">
        <is>
          <t>A 353-2024</t>
        </is>
      </c>
      <c r="B672" s="1" t="n">
        <v>45295</v>
      </c>
      <c r="C672" s="1" t="n">
        <v>45811</v>
      </c>
      <c r="D672" t="inlineStr">
        <is>
          <t>UPPSALA LÄN</t>
        </is>
      </c>
      <c r="E672" t="inlineStr">
        <is>
          <t>ENKÖPING</t>
        </is>
      </c>
      <c r="G672" t="n">
        <v>4.3</v>
      </c>
      <c r="H672" t="n">
        <v>0</v>
      </c>
      <c r="I672" t="n">
        <v>0</v>
      </c>
      <c r="J672" t="n">
        <v>0</v>
      </c>
      <c r="K672" t="n">
        <v>0</v>
      </c>
      <c r="L672" t="n">
        <v>0</v>
      </c>
      <c r="M672" t="n">
        <v>0</v>
      </c>
      <c r="N672" t="n">
        <v>0</v>
      </c>
      <c r="O672" t="n">
        <v>0</v>
      </c>
      <c r="P672" t="n">
        <v>0</v>
      </c>
      <c r="Q672" t="n">
        <v>0</v>
      </c>
      <c r="R672" s="2" t="inlineStr"/>
    </row>
    <row r="673" ht="15" customHeight="1">
      <c r="A673" t="inlineStr">
        <is>
          <t>A 422-2024</t>
        </is>
      </c>
      <c r="B673" s="1" t="n">
        <v>45296</v>
      </c>
      <c r="C673" s="1" t="n">
        <v>45811</v>
      </c>
      <c r="D673" t="inlineStr">
        <is>
          <t>UPPSALA LÄN</t>
        </is>
      </c>
      <c r="E673" t="inlineStr">
        <is>
          <t>ENKÖPING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420-2024</t>
        </is>
      </c>
      <c r="B674" s="1" t="n">
        <v>45296</v>
      </c>
      <c r="C674" s="1" t="n">
        <v>45811</v>
      </c>
      <c r="D674" t="inlineStr">
        <is>
          <t>UPPSALA LÄN</t>
        </is>
      </c>
      <c r="E674" t="inlineStr">
        <is>
          <t>ENKÖPING</t>
        </is>
      </c>
      <c r="G674" t="n">
        <v>2.8</v>
      </c>
      <c r="H674" t="n">
        <v>0</v>
      </c>
      <c r="I674" t="n">
        <v>0</v>
      </c>
      <c r="J674" t="n">
        <v>0</v>
      </c>
      <c r="K674" t="n">
        <v>0</v>
      </c>
      <c r="L674" t="n">
        <v>0</v>
      </c>
      <c r="M674" t="n">
        <v>0</v>
      </c>
      <c r="N674" t="n">
        <v>0</v>
      </c>
      <c r="O674" t="n">
        <v>0</v>
      </c>
      <c r="P674" t="n">
        <v>0</v>
      </c>
      <c r="Q674" t="n">
        <v>0</v>
      </c>
      <c r="R674" s="2" t="inlineStr"/>
    </row>
    <row r="675" ht="15" customHeight="1">
      <c r="A675" t="inlineStr">
        <is>
          <t>A 582-2024</t>
        </is>
      </c>
      <c r="B675" s="1" t="n">
        <v>45299</v>
      </c>
      <c r="C675" s="1" t="n">
        <v>45811</v>
      </c>
      <c r="D675" t="inlineStr">
        <is>
          <t>UPPSALA LÄN</t>
        </is>
      </c>
      <c r="E675" t="inlineStr">
        <is>
          <t>ENKÖPING</t>
        </is>
      </c>
      <c r="G675" t="n">
        <v>3.7</v>
      </c>
      <c r="H675" t="n">
        <v>0</v>
      </c>
      <c r="I675" t="n">
        <v>0</v>
      </c>
      <c r="J675" t="n">
        <v>0</v>
      </c>
      <c r="K675" t="n">
        <v>0</v>
      </c>
      <c r="L675" t="n">
        <v>0</v>
      </c>
      <c r="M675" t="n">
        <v>0</v>
      </c>
      <c r="N675" t="n">
        <v>0</v>
      </c>
      <c r="O675" t="n">
        <v>0</v>
      </c>
      <c r="P675" t="n">
        <v>0</v>
      </c>
      <c r="Q675" t="n">
        <v>0</v>
      </c>
      <c r="R675" s="2" t="inlineStr"/>
    </row>
    <row r="676" ht="15" customHeight="1">
      <c r="A676" t="inlineStr">
        <is>
          <t>A 580-2024</t>
        </is>
      </c>
      <c r="B676" s="1" t="n">
        <v>45299</v>
      </c>
      <c r="C676" s="1" t="n">
        <v>45811</v>
      </c>
      <c r="D676" t="inlineStr">
        <is>
          <t>UPPSALA LÄN</t>
        </is>
      </c>
      <c r="E676" t="inlineStr">
        <is>
          <t>ENKÖPING</t>
        </is>
      </c>
      <c r="G676" t="n">
        <v>3.3</v>
      </c>
      <c r="H676" t="n">
        <v>0</v>
      </c>
      <c r="I676" t="n">
        <v>0</v>
      </c>
      <c r="J676" t="n">
        <v>0</v>
      </c>
      <c r="K676" t="n">
        <v>0</v>
      </c>
      <c r="L676" t="n">
        <v>0</v>
      </c>
      <c r="M676" t="n">
        <v>0</v>
      </c>
      <c r="N676" t="n">
        <v>0</v>
      </c>
      <c r="O676" t="n">
        <v>0</v>
      </c>
      <c r="P676" t="n">
        <v>0</v>
      </c>
      <c r="Q676" t="n">
        <v>0</v>
      </c>
      <c r="R676" s="2" t="inlineStr"/>
    </row>
    <row r="677" ht="15" customHeight="1">
      <c r="A677" t="inlineStr">
        <is>
          <t>A 1536-2024</t>
        </is>
      </c>
      <c r="B677" s="1" t="n">
        <v>45306</v>
      </c>
      <c r="C677" s="1" t="n">
        <v>45811</v>
      </c>
      <c r="D677" t="inlineStr">
        <is>
          <t>UPPSALA LÄN</t>
        </is>
      </c>
      <c r="E677" t="inlineStr">
        <is>
          <t>ENKÖPING</t>
        </is>
      </c>
      <c r="F677" t="inlineStr">
        <is>
          <t>Kyrkan</t>
        </is>
      </c>
      <c r="G677" t="n">
        <v>5.6</v>
      </c>
      <c r="H677" t="n">
        <v>0</v>
      </c>
      <c r="I677" t="n">
        <v>0</v>
      </c>
      <c r="J677" t="n">
        <v>0</v>
      </c>
      <c r="K677" t="n">
        <v>0</v>
      </c>
      <c r="L677" t="n">
        <v>0</v>
      </c>
      <c r="M677" t="n">
        <v>0</v>
      </c>
      <c r="N677" t="n">
        <v>0</v>
      </c>
      <c r="O677" t="n">
        <v>0</v>
      </c>
      <c r="P677" t="n">
        <v>0</v>
      </c>
      <c r="Q677" t="n">
        <v>0</v>
      </c>
      <c r="R677" s="2" t="inlineStr"/>
    </row>
    <row r="678" ht="15" customHeight="1">
      <c r="A678" t="inlineStr">
        <is>
          <t>A 1651-2024</t>
        </is>
      </c>
      <c r="B678" s="1" t="n">
        <v>45306</v>
      </c>
      <c r="C678" s="1" t="n">
        <v>45811</v>
      </c>
      <c r="D678" t="inlineStr">
        <is>
          <t>UPPSALA LÄN</t>
        </is>
      </c>
      <c r="E678" t="inlineStr">
        <is>
          <t>ENKÖPING</t>
        </is>
      </c>
      <c r="G678" t="n">
        <v>10.2</v>
      </c>
      <c r="H678" t="n">
        <v>0</v>
      </c>
      <c r="I678" t="n">
        <v>0</v>
      </c>
      <c r="J678" t="n">
        <v>0</v>
      </c>
      <c r="K678" t="n">
        <v>0</v>
      </c>
      <c r="L678" t="n">
        <v>0</v>
      </c>
      <c r="M678" t="n">
        <v>0</v>
      </c>
      <c r="N678" t="n">
        <v>0</v>
      </c>
      <c r="O678" t="n">
        <v>0</v>
      </c>
      <c r="P678" t="n">
        <v>0</v>
      </c>
      <c r="Q678" t="n">
        <v>0</v>
      </c>
      <c r="R678" s="2" t="inlineStr"/>
    </row>
    <row r="679" ht="15" customHeight="1">
      <c r="A679" t="inlineStr">
        <is>
          <t>A 2221-2024</t>
        </is>
      </c>
      <c r="B679" s="1" t="n">
        <v>45309</v>
      </c>
      <c r="C679" s="1" t="n">
        <v>45811</v>
      </c>
      <c r="D679" t="inlineStr">
        <is>
          <t>UPPSALA LÄN</t>
        </is>
      </c>
      <c r="E679" t="inlineStr">
        <is>
          <t>ENKÖPING</t>
        </is>
      </c>
      <c r="G679" t="n">
        <v>1.3</v>
      </c>
      <c r="H679" t="n">
        <v>0</v>
      </c>
      <c r="I679" t="n">
        <v>0</v>
      </c>
      <c r="J679" t="n">
        <v>0</v>
      </c>
      <c r="K679" t="n">
        <v>0</v>
      </c>
      <c r="L679" t="n">
        <v>0</v>
      </c>
      <c r="M679" t="n">
        <v>0</v>
      </c>
      <c r="N679" t="n">
        <v>0</v>
      </c>
      <c r="O679" t="n">
        <v>0</v>
      </c>
      <c r="P679" t="n">
        <v>0</v>
      </c>
      <c r="Q679" t="n">
        <v>0</v>
      </c>
      <c r="R679" s="2" t="inlineStr"/>
    </row>
    <row r="680" ht="15" customHeight="1">
      <c r="A680" t="inlineStr">
        <is>
          <t>A 2322-2024</t>
        </is>
      </c>
      <c r="B680" s="1" t="n">
        <v>45309</v>
      </c>
      <c r="C680" s="1" t="n">
        <v>45811</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2456-2024</t>
        </is>
      </c>
      <c r="B681" s="1" t="n">
        <v>45312</v>
      </c>
      <c r="C681" s="1" t="n">
        <v>45811</v>
      </c>
      <c r="D681" t="inlineStr">
        <is>
          <t>UPPSALA LÄN</t>
        </is>
      </c>
      <c r="E681" t="inlineStr">
        <is>
          <t>ENKÖPING</t>
        </is>
      </c>
      <c r="G681" t="n">
        <v>2.6</v>
      </c>
      <c r="H681" t="n">
        <v>0</v>
      </c>
      <c r="I681" t="n">
        <v>0</v>
      </c>
      <c r="J681" t="n">
        <v>0</v>
      </c>
      <c r="K681" t="n">
        <v>0</v>
      </c>
      <c r="L681" t="n">
        <v>0</v>
      </c>
      <c r="M681" t="n">
        <v>0</v>
      </c>
      <c r="N681" t="n">
        <v>0</v>
      </c>
      <c r="O681" t="n">
        <v>0</v>
      </c>
      <c r="P681" t="n">
        <v>0</v>
      </c>
      <c r="Q681" t="n">
        <v>0</v>
      </c>
      <c r="R681" s="2" t="inlineStr"/>
    </row>
    <row r="682" ht="15" customHeight="1">
      <c r="A682" t="inlineStr">
        <is>
          <t>A 2983-2024</t>
        </is>
      </c>
      <c r="B682" s="1" t="n">
        <v>45315</v>
      </c>
      <c r="C682" s="1" t="n">
        <v>45811</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3051-2024</t>
        </is>
      </c>
      <c r="B683" s="1" t="n">
        <v>45316</v>
      </c>
      <c r="C683" s="1" t="n">
        <v>45811</v>
      </c>
      <c r="D683" t="inlineStr">
        <is>
          <t>UPPSALA LÄN</t>
        </is>
      </c>
      <c r="E683" t="inlineStr">
        <is>
          <t>ENKÖPING</t>
        </is>
      </c>
      <c r="G683" t="n">
        <v>2.1</v>
      </c>
      <c r="H683" t="n">
        <v>0</v>
      </c>
      <c r="I683" t="n">
        <v>0</v>
      </c>
      <c r="J683" t="n">
        <v>0</v>
      </c>
      <c r="K683" t="n">
        <v>0</v>
      </c>
      <c r="L683" t="n">
        <v>0</v>
      </c>
      <c r="M683" t="n">
        <v>0</v>
      </c>
      <c r="N683" t="n">
        <v>0</v>
      </c>
      <c r="O683" t="n">
        <v>0</v>
      </c>
      <c r="P683" t="n">
        <v>0</v>
      </c>
      <c r="Q683" t="n">
        <v>0</v>
      </c>
      <c r="R683" s="2" t="inlineStr"/>
    </row>
    <row r="684" ht="15" customHeight="1">
      <c r="A684" t="inlineStr">
        <is>
          <t>A 3130-2024</t>
        </is>
      </c>
      <c r="B684" s="1" t="n">
        <v>45316</v>
      </c>
      <c r="C684" s="1" t="n">
        <v>45811</v>
      </c>
      <c r="D684" t="inlineStr">
        <is>
          <t>UPPSALA LÄN</t>
        </is>
      </c>
      <c r="E684" t="inlineStr">
        <is>
          <t>ENKÖPING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3977-2024</t>
        </is>
      </c>
      <c r="B685" s="1" t="n">
        <v>45322</v>
      </c>
      <c r="C685" s="1" t="n">
        <v>45811</v>
      </c>
      <c r="D685" t="inlineStr">
        <is>
          <t>UPPSALA LÄN</t>
        </is>
      </c>
      <c r="E685" t="inlineStr">
        <is>
          <t>ENKÖPING</t>
        </is>
      </c>
      <c r="G685" t="n">
        <v>1.9</v>
      </c>
      <c r="H685" t="n">
        <v>0</v>
      </c>
      <c r="I685" t="n">
        <v>0</v>
      </c>
      <c r="J685" t="n">
        <v>0</v>
      </c>
      <c r="K685" t="n">
        <v>0</v>
      </c>
      <c r="L685" t="n">
        <v>0</v>
      </c>
      <c r="M685" t="n">
        <v>0</v>
      </c>
      <c r="N685" t="n">
        <v>0</v>
      </c>
      <c r="O685" t="n">
        <v>0</v>
      </c>
      <c r="P685" t="n">
        <v>0</v>
      </c>
      <c r="Q685" t="n">
        <v>0</v>
      </c>
      <c r="R685" s="2" t="inlineStr"/>
    </row>
    <row r="686" ht="15" customHeight="1">
      <c r="A686" t="inlineStr">
        <is>
          <t>A 4044-2024</t>
        </is>
      </c>
      <c r="B686" s="1" t="n">
        <v>45323</v>
      </c>
      <c r="C686" s="1" t="n">
        <v>45811</v>
      </c>
      <c r="D686" t="inlineStr">
        <is>
          <t>UPPSALA LÄN</t>
        </is>
      </c>
      <c r="E686" t="inlineStr">
        <is>
          <t>ENKÖPING</t>
        </is>
      </c>
      <c r="G686" t="n">
        <v>2.1</v>
      </c>
      <c r="H686" t="n">
        <v>0</v>
      </c>
      <c r="I686" t="n">
        <v>0</v>
      </c>
      <c r="J686" t="n">
        <v>0</v>
      </c>
      <c r="K686" t="n">
        <v>0</v>
      </c>
      <c r="L686" t="n">
        <v>0</v>
      </c>
      <c r="M686" t="n">
        <v>0</v>
      </c>
      <c r="N686" t="n">
        <v>0</v>
      </c>
      <c r="O686" t="n">
        <v>0</v>
      </c>
      <c r="P686" t="n">
        <v>0</v>
      </c>
      <c r="Q686" t="n">
        <v>0</v>
      </c>
      <c r="R686" s="2" t="inlineStr"/>
    </row>
    <row r="687" ht="15" customHeight="1">
      <c r="A687" t="inlineStr">
        <is>
          <t>A 5211-2024</t>
        </is>
      </c>
      <c r="B687" s="1" t="n">
        <v>45330</v>
      </c>
      <c r="C687" s="1" t="n">
        <v>45811</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5521-2024</t>
        </is>
      </c>
      <c r="B688" s="1" t="n">
        <v>45334</v>
      </c>
      <c r="C688" s="1" t="n">
        <v>45811</v>
      </c>
      <c r="D688" t="inlineStr">
        <is>
          <t>UPPSALA LÄN</t>
        </is>
      </c>
      <c r="E688" t="inlineStr">
        <is>
          <t>ENKÖPING</t>
        </is>
      </c>
      <c r="G688" t="n">
        <v>8.4</v>
      </c>
      <c r="H688" t="n">
        <v>0</v>
      </c>
      <c r="I688" t="n">
        <v>0</v>
      </c>
      <c r="J688" t="n">
        <v>0</v>
      </c>
      <c r="K688" t="n">
        <v>0</v>
      </c>
      <c r="L688" t="n">
        <v>0</v>
      </c>
      <c r="M688" t="n">
        <v>0</v>
      </c>
      <c r="N688" t="n">
        <v>0</v>
      </c>
      <c r="O688" t="n">
        <v>0</v>
      </c>
      <c r="P688" t="n">
        <v>0</v>
      </c>
      <c r="Q688" t="n">
        <v>0</v>
      </c>
      <c r="R688" s="2" t="inlineStr"/>
    </row>
    <row r="689" ht="15" customHeight="1">
      <c r="A689" t="inlineStr">
        <is>
          <t>A 6247-2024</t>
        </is>
      </c>
      <c r="B689" s="1" t="n">
        <v>45337</v>
      </c>
      <c r="C689" s="1" t="n">
        <v>45811</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6144-2024</t>
        </is>
      </c>
      <c r="B690" s="1" t="n">
        <v>45337</v>
      </c>
      <c r="C690" s="1" t="n">
        <v>45811</v>
      </c>
      <c r="D690" t="inlineStr">
        <is>
          <t>UPPSALA LÄN</t>
        </is>
      </c>
      <c r="E690" t="inlineStr">
        <is>
          <t>ENKÖPING</t>
        </is>
      </c>
      <c r="G690" t="n">
        <v>13.8</v>
      </c>
      <c r="H690" t="n">
        <v>0</v>
      </c>
      <c r="I690" t="n">
        <v>0</v>
      </c>
      <c r="J690" t="n">
        <v>0</v>
      </c>
      <c r="K690" t="n">
        <v>0</v>
      </c>
      <c r="L690" t="n">
        <v>0</v>
      </c>
      <c r="M690" t="n">
        <v>0</v>
      </c>
      <c r="N690" t="n">
        <v>0</v>
      </c>
      <c r="O690" t="n">
        <v>0</v>
      </c>
      <c r="P690" t="n">
        <v>0</v>
      </c>
      <c r="Q690" t="n">
        <v>0</v>
      </c>
      <c r="R690" s="2" t="inlineStr"/>
    </row>
    <row r="691" ht="15" customHeight="1">
      <c r="A691" t="inlineStr">
        <is>
          <t>A 7868-2024</t>
        </is>
      </c>
      <c r="B691" s="1" t="n">
        <v>45350</v>
      </c>
      <c r="C691" s="1" t="n">
        <v>45811</v>
      </c>
      <c r="D691" t="inlineStr">
        <is>
          <t>UPPSALA LÄN</t>
        </is>
      </c>
      <c r="E691" t="inlineStr">
        <is>
          <t>ENKÖPING</t>
        </is>
      </c>
      <c r="G691" t="n">
        <v>0.3</v>
      </c>
      <c r="H691" t="n">
        <v>0</v>
      </c>
      <c r="I691" t="n">
        <v>0</v>
      </c>
      <c r="J691" t="n">
        <v>0</v>
      </c>
      <c r="K691" t="n">
        <v>0</v>
      </c>
      <c r="L691" t="n">
        <v>0</v>
      </c>
      <c r="M691" t="n">
        <v>0</v>
      </c>
      <c r="N691" t="n">
        <v>0</v>
      </c>
      <c r="O691" t="n">
        <v>0</v>
      </c>
      <c r="P691" t="n">
        <v>0</v>
      </c>
      <c r="Q691" t="n">
        <v>0</v>
      </c>
      <c r="R691" s="2" t="inlineStr"/>
    </row>
    <row r="692" ht="15" customHeight="1">
      <c r="A692" t="inlineStr">
        <is>
          <t>A 7866-2024</t>
        </is>
      </c>
      <c r="B692" s="1" t="n">
        <v>45350</v>
      </c>
      <c r="C692" s="1" t="n">
        <v>45811</v>
      </c>
      <c r="D692" t="inlineStr">
        <is>
          <t>UPPSALA LÄN</t>
        </is>
      </c>
      <c r="E692" t="inlineStr">
        <is>
          <t>ENKÖPING</t>
        </is>
      </c>
      <c r="G692" t="n">
        <v>3.5</v>
      </c>
      <c r="H692" t="n">
        <v>0</v>
      </c>
      <c r="I692" t="n">
        <v>0</v>
      </c>
      <c r="J692" t="n">
        <v>0</v>
      </c>
      <c r="K692" t="n">
        <v>0</v>
      </c>
      <c r="L692" t="n">
        <v>0</v>
      </c>
      <c r="M692" t="n">
        <v>0</v>
      </c>
      <c r="N692" t="n">
        <v>0</v>
      </c>
      <c r="O692" t="n">
        <v>0</v>
      </c>
      <c r="P692" t="n">
        <v>0</v>
      </c>
      <c r="Q692" t="n">
        <v>0</v>
      </c>
      <c r="R692" s="2" t="inlineStr"/>
    </row>
    <row r="693" ht="15" customHeight="1">
      <c r="A693" t="inlineStr">
        <is>
          <t>A 7870-2024</t>
        </is>
      </c>
      <c r="B693" s="1" t="n">
        <v>45350</v>
      </c>
      <c r="C693" s="1" t="n">
        <v>45811</v>
      </c>
      <c r="D693" t="inlineStr">
        <is>
          <t>UPPSALA LÄN</t>
        </is>
      </c>
      <c r="E693" t="inlineStr">
        <is>
          <t>ENKÖPING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8103-2024</t>
        </is>
      </c>
      <c r="B694" s="1" t="n">
        <v>45351</v>
      </c>
      <c r="C694" s="1" t="n">
        <v>45811</v>
      </c>
      <c r="D694" t="inlineStr">
        <is>
          <t>UPPSALA LÄN</t>
        </is>
      </c>
      <c r="E694" t="inlineStr">
        <is>
          <t>ENKÖPING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8217-2024</t>
        </is>
      </c>
      <c r="B695" s="1" t="n">
        <v>45351</v>
      </c>
      <c r="C695" s="1" t="n">
        <v>45811</v>
      </c>
      <c r="D695" t="inlineStr">
        <is>
          <t>UPPSALA LÄN</t>
        </is>
      </c>
      <c r="E695" t="inlineStr">
        <is>
          <t>ENKÖPING</t>
        </is>
      </c>
      <c r="G695" t="n">
        <v>3.1</v>
      </c>
      <c r="H695" t="n">
        <v>0</v>
      </c>
      <c r="I695" t="n">
        <v>0</v>
      </c>
      <c r="J695" t="n">
        <v>0</v>
      </c>
      <c r="K695" t="n">
        <v>0</v>
      </c>
      <c r="L695" t="n">
        <v>0</v>
      </c>
      <c r="M695" t="n">
        <v>0</v>
      </c>
      <c r="N695" t="n">
        <v>0</v>
      </c>
      <c r="O695" t="n">
        <v>0</v>
      </c>
      <c r="P695" t="n">
        <v>0</v>
      </c>
      <c r="Q695" t="n">
        <v>0</v>
      </c>
      <c r="R695" s="2" t="inlineStr"/>
    </row>
    <row r="696" ht="15" customHeight="1">
      <c r="A696" t="inlineStr">
        <is>
          <t>A 9185-2024</t>
        </is>
      </c>
      <c r="B696" s="1" t="n">
        <v>45358</v>
      </c>
      <c r="C696" s="1" t="n">
        <v>45811</v>
      </c>
      <c r="D696" t="inlineStr">
        <is>
          <t>UPPSALA LÄN</t>
        </is>
      </c>
      <c r="E696" t="inlineStr">
        <is>
          <t>ENKÖPING</t>
        </is>
      </c>
      <c r="G696" t="n">
        <v>4.4</v>
      </c>
      <c r="H696" t="n">
        <v>0</v>
      </c>
      <c r="I696" t="n">
        <v>0</v>
      </c>
      <c r="J696" t="n">
        <v>0</v>
      </c>
      <c r="K696" t="n">
        <v>0</v>
      </c>
      <c r="L696" t="n">
        <v>0</v>
      </c>
      <c r="M696" t="n">
        <v>0</v>
      </c>
      <c r="N696" t="n">
        <v>0</v>
      </c>
      <c r="O696" t="n">
        <v>0</v>
      </c>
      <c r="P696" t="n">
        <v>0</v>
      </c>
      <c r="Q696" t="n">
        <v>0</v>
      </c>
      <c r="R696" s="2" t="inlineStr"/>
    </row>
    <row r="697" ht="15" customHeight="1">
      <c r="A697" t="inlineStr">
        <is>
          <t>A 9174-2024</t>
        </is>
      </c>
      <c r="B697" s="1" t="n">
        <v>45358</v>
      </c>
      <c r="C697" s="1" t="n">
        <v>45811</v>
      </c>
      <c r="D697" t="inlineStr">
        <is>
          <t>UPPSALA LÄN</t>
        </is>
      </c>
      <c r="E697" t="inlineStr">
        <is>
          <t>ENKÖPING</t>
        </is>
      </c>
      <c r="G697" t="n">
        <v>3.3</v>
      </c>
      <c r="H697" t="n">
        <v>0</v>
      </c>
      <c r="I697" t="n">
        <v>0</v>
      </c>
      <c r="J697" t="n">
        <v>0</v>
      </c>
      <c r="K697" t="n">
        <v>0</v>
      </c>
      <c r="L697" t="n">
        <v>0</v>
      </c>
      <c r="M697" t="n">
        <v>0</v>
      </c>
      <c r="N697" t="n">
        <v>0</v>
      </c>
      <c r="O697" t="n">
        <v>0</v>
      </c>
      <c r="P697" t="n">
        <v>0</v>
      </c>
      <c r="Q697" t="n">
        <v>0</v>
      </c>
      <c r="R697" s="2" t="inlineStr"/>
    </row>
    <row r="698" ht="15" customHeight="1">
      <c r="A698" t="inlineStr">
        <is>
          <t>A 9171-2024</t>
        </is>
      </c>
      <c r="B698" s="1" t="n">
        <v>45358</v>
      </c>
      <c r="C698" s="1" t="n">
        <v>45811</v>
      </c>
      <c r="D698" t="inlineStr">
        <is>
          <t>UPPSALA LÄN</t>
        </is>
      </c>
      <c r="E698" t="inlineStr">
        <is>
          <t>ENKÖPING</t>
        </is>
      </c>
      <c r="G698" t="n">
        <v>1.8</v>
      </c>
      <c r="H698" t="n">
        <v>0</v>
      </c>
      <c r="I698" t="n">
        <v>0</v>
      </c>
      <c r="J698" t="n">
        <v>0</v>
      </c>
      <c r="K698" t="n">
        <v>0</v>
      </c>
      <c r="L698" t="n">
        <v>0</v>
      </c>
      <c r="M698" t="n">
        <v>0</v>
      </c>
      <c r="N698" t="n">
        <v>0</v>
      </c>
      <c r="O698" t="n">
        <v>0</v>
      </c>
      <c r="P698" t="n">
        <v>0</v>
      </c>
      <c r="Q698" t="n">
        <v>0</v>
      </c>
      <c r="R698" s="2" t="inlineStr"/>
    </row>
    <row r="699" ht="15" customHeight="1">
      <c r="A699" t="inlineStr">
        <is>
          <t>A 9175-2024</t>
        </is>
      </c>
      <c r="B699" s="1" t="n">
        <v>45358</v>
      </c>
      <c r="C699" s="1" t="n">
        <v>45811</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9192-2024</t>
        </is>
      </c>
      <c r="B700" s="1" t="n">
        <v>45358</v>
      </c>
      <c r="C700" s="1" t="n">
        <v>45811</v>
      </c>
      <c r="D700" t="inlineStr">
        <is>
          <t>UPPSALA LÄN</t>
        </is>
      </c>
      <c r="E700" t="inlineStr">
        <is>
          <t>ENKÖPING</t>
        </is>
      </c>
      <c r="G700" t="n">
        <v>0.7</v>
      </c>
      <c r="H700" t="n">
        <v>0</v>
      </c>
      <c r="I700" t="n">
        <v>0</v>
      </c>
      <c r="J700" t="n">
        <v>0</v>
      </c>
      <c r="K700" t="n">
        <v>0</v>
      </c>
      <c r="L700" t="n">
        <v>0</v>
      </c>
      <c r="M700" t="n">
        <v>0</v>
      </c>
      <c r="N700" t="n">
        <v>0</v>
      </c>
      <c r="O700" t="n">
        <v>0</v>
      </c>
      <c r="P700" t="n">
        <v>0</v>
      </c>
      <c r="Q700" t="n">
        <v>0</v>
      </c>
      <c r="R700" s="2" t="inlineStr"/>
    </row>
    <row r="701" ht="15" customHeight="1">
      <c r="A701" t="inlineStr">
        <is>
          <t>A 9667-2024</t>
        </is>
      </c>
      <c r="B701" s="1" t="n">
        <v>45362</v>
      </c>
      <c r="C701" s="1" t="n">
        <v>45811</v>
      </c>
      <c r="D701" t="inlineStr">
        <is>
          <t>UPPSALA LÄN</t>
        </is>
      </c>
      <c r="E701" t="inlineStr">
        <is>
          <t>ENKÖPING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10829-2024</t>
        </is>
      </c>
      <c r="B702" s="1" t="n">
        <v>45369</v>
      </c>
      <c r="C702" s="1" t="n">
        <v>45811</v>
      </c>
      <c r="D702" t="inlineStr">
        <is>
          <t>UPPSALA LÄN</t>
        </is>
      </c>
      <c r="E702" t="inlineStr">
        <is>
          <t>ENKÖPING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10756-2024</t>
        </is>
      </c>
      <c r="B703" s="1" t="n">
        <v>45369</v>
      </c>
      <c r="C703" s="1" t="n">
        <v>45811</v>
      </c>
      <c r="D703" t="inlineStr">
        <is>
          <t>UPPSALA LÄN</t>
        </is>
      </c>
      <c r="E703" t="inlineStr">
        <is>
          <t>ENKÖPING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10752-2024</t>
        </is>
      </c>
      <c r="B704" s="1" t="n">
        <v>45369</v>
      </c>
      <c r="C704" s="1" t="n">
        <v>45811</v>
      </c>
      <c r="D704" t="inlineStr">
        <is>
          <t>UPPSALA LÄN</t>
        </is>
      </c>
      <c r="E704" t="inlineStr">
        <is>
          <t>ENKÖPING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10832-2024</t>
        </is>
      </c>
      <c r="B705" s="1" t="n">
        <v>45369</v>
      </c>
      <c r="C705" s="1" t="n">
        <v>45811</v>
      </c>
      <c r="D705" t="inlineStr">
        <is>
          <t>UPPSALA LÄN</t>
        </is>
      </c>
      <c r="E705" t="inlineStr">
        <is>
          <t>ENKÖPING</t>
        </is>
      </c>
      <c r="G705" t="n">
        <v>7.3</v>
      </c>
      <c r="H705" t="n">
        <v>0</v>
      </c>
      <c r="I705" t="n">
        <v>0</v>
      </c>
      <c r="J705" t="n">
        <v>0</v>
      </c>
      <c r="K705" t="n">
        <v>0</v>
      </c>
      <c r="L705" t="n">
        <v>0</v>
      </c>
      <c r="M705" t="n">
        <v>0</v>
      </c>
      <c r="N705" t="n">
        <v>0</v>
      </c>
      <c r="O705" t="n">
        <v>0</v>
      </c>
      <c r="P705" t="n">
        <v>0</v>
      </c>
      <c r="Q705" t="n">
        <v>0</v>
      </c>
      <c r="R705" s="2" t="inlineStr"/>
    </row>
    <row r="706" ht="15" customHeight="1">
      <c r="A706" t="inlineStr">
        <is>
          <t>A 10831-2024</t>
        </is>
      </c>
      <c r="B706" s="1" t="n">
        <v>45369</v>
      </c>
      <c r="C706" s="1" t="n">
        <v>45811</v>
      </c>
      <c r="D706" t="inlineStr">
        <is>
          <t>UPPSALA LÄN</t>
        </is>
      </c>
      <c r="E706" t="inlineStr">
        <is>
          <t>ENKÖPING</t>
        </is>
      </c>
      <c r="G706" t="n">
        <v>2.9</v>
      </c>
      <c r="H706" t="n">
        <v>0</v>
      </c>
      <c r="I706" t="n">
        <v>0</v>
      </c>
      <c r="J706" t="n">
        <v>0</v>
      </c>
      <c r="K706" t="n">
        <v>0</v>
      </c>
      <c r="L706" t="n">
        <v>0</v>
      </c>
      <c r="M706" t="n">
        <v>0</v>
      </c>
      <c r="N706" t="n">
        <v>0</v>
      </c>
      <c r="O706" t="n">
        <v>0</v>
      </c>
      <c r="P706" t="n">
        <v>0</v>
      </c>
      <c r="Q706" t="n">
        <v>0</v>
      </c>
      <c r="R706" s="2" t="inlineStr"/>
    </row>
    <row r="707" ht="15" customHeight="1">
      <c r="A707" t="inlineStr">
        <is>
          <t>A 11503-2024</t>
        </is>
      </c>
      <c r="B707" s="1" t="n">
        <v>45372</v>
      </c>
      <c r="C707" s="1" t="n">
        <v>45811</v>
      </c>
      <c r="D707" t="inlineStr">
        <is>
          <t>UPPSALA LÄN</t>
        </is>
      </c>
      <c r="E707" t="inlineStr">
        <is>
          <t>ENKÖPING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11908-2024</t>
        </is>
      </c>
      <c r="B708" s="1" t="n">
        <v>45376</v>
      </c>
      <c r="C708" s="1" t="n">
        <v>45811</v>
      </c>
      <c r="D708" t="inlineStr">
        <is>
          <t>UPPSALA LÄN</t>
        </is>
      </c>
      <c r="E708" t="inlineStr">
        <is>
          <t>ENKÖPING</t>
        </is>
      </c>
      <c r="G708" t="n">
        <v>7.9</v>
      </c>
      <c r="H708" t="n">
        <v>0</v>
      </c>
      <c r="I708" t="n">
        <v>0</v>
      </c>
      <c r="J708" t="n">
        <v>0</v>
      </c>
      <c r="K708" t="n">
        <v>0</v>
      </c>
      <c r="L708" t="n">
        <v>0</v>
      </c>
      <c r="M708" t="n">
        <v>0</v>
      </c>
      <c r="N708" t="n">
        <v>0</v>
      </c>
      <c r="O708" t="n">
        <v>0</v>
      </c>
      <c r="P708" t="n">
        <v>0</v>
      </c>
      <c r="Q708" t="n">
        <v>0</v>
      </c>
      <c r="R708" s="2" t="inlineStr"/>
    </row>
    <row r="709" ht="15" customHeight="1">
      <c r="A709" t="inlineStr">
        <is>
          <t>A 12020-2024</t>
        </is>
      </c>
      <c r="B709" s="1" t="n">
        <v>45377</v>
      </c>
      <c r="C709" s="1" t="n">
        <v>45811</v>
      </c>
      <c r="D709" t="inlineStr">
        <is>
          <t>UPPSALA LÄN</t>
        </is>
      </c>
      <c r="E709" t="inlineStr">
        <is>
          <t>ENKÖPING</t>
        </is>
      </c>
      <c r="G709" t="n">
        <v>2</v>
      </c>
      <c r="H709" t="n">
        <v>0</v>
      </c>
      <c r="I709" t="n">
        <v>0</v>
      </c>
      <c r="J709" t="n">
        <v>0</v>
      </c>
      <c r="K709" t="n">
        <v>0</v>
      </c>
      <c r="L709" t="n">
        <v>0</v>
      </c>
      <c r="M709" t="n">
        <v>0</v>
      </c>
      <c r="N709" t="n">
        <v>0</v>
      </c>
      <c r="O709" t="n">
        <v>0</v>
      </c>
      <c r="P709" t="n">
        <v>0</v>
      </c>
      <c r="Q709" t="n">
        <v>0</v>
      </c>
      <c r="R709" s="2" t="inlineStr"/>
    </row>
    <row r="710" ht="15" customHeight="1">
      <c r="A710" t="inlineStr">
        <is>
          <t>A 12102-2024</t>
        </is>
      </c>
      <c r="B710" s="1" t="n">
        <v>45377</v>
      </c>
      <c r="C710" s="1" t="n">
        <v>45811</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12751-2024</t>
        </is>
      </c>
      <c r="B711" s="1" t="n">
        <v>45384</v>
      </c>
      <c r="C711" s="1" t="n">
        <v>45811</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12958-2024</t>
        </is>
      </c>
      <c r="B712" s="1" t="n">
        <v>45385</v>
      </c>
      <c r="C712" s="1" t="n">
        <v>45811</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13247-2024</t>
        </is>
      </c>
      <c r="B713" s="1" t="n">
        <v>45386</v>
      </c>
      <c r="C713" s="1" t="n">
        <v>45811</v>
      </c>
      <c r="D713" t="inlineStr">
        <is>
          <t>UPPSALA LÄN</t>
        </is>
      </c>
      <c r="E713" t="inlineStr">
        <is>
          <t>ENKÖPING</t>
        </is>
      </c>
      <c r="G713" t="n">
        <v>2.3</v>
      </c>
      <c r="H713" t="n">
        <v>0</v>
      </c>
      <c r="I713" t="n">
        <v>0</v>
      </c>
      <c r="J713" t="n">
        <v>0</v>
      </c>
      <c r="K713" t="n">
        <v>0</v>
      </c>
      <c r="L713" t="n">
        <v>0</v>
      </c>
      <c r="M713" t="n">
        <v>0</v>
      </c>
      <c r="N713" t="n">
        <v>0</v>
      </c>
      <c r="O713" t="n">
        <v>0</v>
      </c>
      <c r="P713" t="n">
        <v>0</v>
      </c>
      <c r="Q713" t="n">
        <v>0</v>
      </c>
      <c r="R713" s="2" t="inlineStr"/>
    </row>
    <row r="714" ht="15" customHeight="1">
      <c r="A714" t="inlineStr">
        <is>
          <t>A 13168-2024</t>
        </is>
      </c>
      <c r="B714" s="1" t="n">
        <v>45386</v>
      </c>
      <c r="C714" s="1" t="n">
        <v>45811</v>
      </c>
      <c r="D714" t="inlineStr">
        <is>
          <t>UPPSALA LÄN</t>
        </is>
      </c>
      <c r="E714" t="inlineStr">
        <is>
          <t>ENKÖPING</t>
        </is>
      </c>
      <c r="G714" t="n">
        <v>3.5</v>
      </c>
      <c r="H714" t="n">
        <v>0</v>
      </c>
      <c r="I714" t="n">
        <v>0</v>
      </c>
      <c r="J714" t="n">
        <v>0</v>
      </c>
      <c r="K714" t="n">
        <v>0</v>
      </c>
      <c r="L714" t="n">
        <v>0</v>
      </c>
      <c r="M714" t="n">
        <v>0</v>
      </c>
      <c r="N714" t="n">
        <v>0</v>
      </c>
      <c r="O714" t="n">
        <v>0</v>
      </c>
      <c r="P714" t="n">
        <v>0</v>
      </c>
      <c r="Q714" t="n">
        <v>0</v>
      </c>
      <c r="R714" s="2" t="inlineStr"/>
    </row>
    <row r="715" ht="15" customHeight="1">
      <c r="A715" t="inlineStr">
        <is>
          <t>A 13530-2024</t>
        </is>
      </c>
      <c r="B715" s="1" t="n">
        <v>45387</v>
      </c>
      <c r="C715" s="1" t="n">
        <v>45811</v>
      </c>
      <c r="D715" t="inlineStr">
        <is>
          <t>UPPSALA LÄN</t>
        </is>
      </c>
      <c r="E715" t="inlineStr">
        <is>
          <t>ENKÖPING</t>
        </is>
      </c>
      <c r="G715" t="n">
        <v>2.6</v>
      </c>
      <c r="H715" t="n">
        <v>0</v>
      </c>
      <c r="I715" t="n">
        <v>0</v>
      </c>
      <c r="J715" t="n">
        <v>0</v>
      </c>
      <c r="K715" t="n">
        <v>0</v>
      </c>
      <c r="L715" t="n">
        <v>0</v>
      </c>
      <c r="M715" t="n">
        <v>0</v>
      </c>
      <c r="N715" t="n">
        <v>0</v>
      </c>
      <c r="O715" t="n">
        <v>0</v>
      </c>
      <c r="P715" t="n">
        <v>0</v>
      </c>
      <c r="Q715" t="n">
        <v>0</v>
      </c>
      <c r="R715" s="2" t="inlineStr"/>
    </row>
    <row r="716" ht="15" customHeight="1">
      <c r="A716" t="inlineStr">
        <is>
          <t>A 13528-2024</t>
        </is>
      </c>
      <c r="B716" s="1" t="n">
        <v>45387</v>
      </c>
      <c r="C716" s="1" t="n">
        <v>45811</v>
      </c>
      <c r="D716" t="inlineStr">
        <is>
          <t>UPPSALA LÄN</t>
        </is>
      </c>
      <c r="E716" t="inlineStr">
        <is>
          <t>ENKÖPING</t>
        </is>
      </c>
      <c r="G716" t="n">
        <v>5.7</v>
      </c>
      <c r="H716" t="n">
        <v>0</v>
      </c>
      <c r="I716" t="n">
        <v>0</v>
      </c>
      <c r="J716" t="n">
        <v>0</v>
      </c>
      <c r="K716" t="n">
        <v>0</v>
      </c>
      <c r="L716" t="n">
        <v>0</v>
      </c>
      <c r="M716" t="n">
        <v>0</v>
      </c>
      <c r="N716" t="n">
        <v>0</v>
      </c>
      <c r="O716" t="n">
        <v>0</v>
      </c>
      <c r="P716" t="n">
        <v>0</v>
      </c>
      <c r="Q716" t="n">
        <v>0</v>
      </c>
      <c r="R716" s="2" t="inlineStr"/>
    </row>
    <row r="717" ht="15" customHeight="1">
      <c r="A717" t="inlineStr">
        <is>
          <t>A 14334-2024</t>
        </is>
      </c>
      <c r="B717" s="1" t="n">
        <v>45393</v>
      </c>
      <c r="C717" s="1" t="n">
        <v>45811</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14332-2024</t>
        </is>
      </c>
      <c r="B718" s="1" t="n">
        <v>45393</v>
      </c>
      <c r="C718" s="1" t="n">
        <v>45811</v>
      </c>
      <c r="D718" t="inlineStr">
        <is>
          <t>UPPSALA LÄN</t>
        </is>
      </c>
      <c r="E718" t="inlineStr">
        <is>
          <t>ENKÖPING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15823-2024</t>
        </is>
      </c>
      <c r="B719" s="1" t="n">
        <v>45404</v>
      </c>
      <c r="C719" s="1" t="n">
        <v>45811</v>
      </c>
      <c r="D719" t="inlineStr">
        <is>
          <t>UPPSALA LÄN</t>
        </is>
      </c>
      <c r="E719" t="inlineStr">
        <is>
          <t>ENKÖPING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15816-2024</t>
        </is>
      </c>
      <c r="B720" s="1" t="n">
        <v>45404</v>
      </c>
      <c r="C720" s="1" t="n">
        <v>45811</v>
      </c>
      <c r="D720" t="inlineStr">
        <is>
          <t>UPPSALA LÄN</t>
        </is>
      </c>
      <c r="E720" t="inlineStr">
        <is>
          <t>ENKÖPING</t>
        </is>
      </c>
      <c r="G720" t="n">
        <v>0.6</v>
      </c>
      <c r="H720" t="n">
        <v>0</v>
      </c>
      <c r="I720" t="n">
        <v>0</v>
      </c>
      <c r="J720" t="n">
        <v>0</v>
      </c>
      <c r="K720" t="n">
        <v>0</v>
      </c>
      <c r="L720" t="n">
        <v>0</v>
      </c>
      <c r="M720" t="n">
        <v>0</v>
      </c>
      <c r="N720" t="n">
        <v>0</v>
      </c>
      <c r="O720" t="n">
        <v>0</v>
      </c>
      <c r="P720" t="n">
        <v>0</v>
      </c>
      <c r="Q720" t="n">
        <v>0</v>
      </c>
      <c r="R720" s="2" t="inlineStr"/>
    </row>
    <row r="721" ht="15" customHeight="1">
      <c r="A721" t="inlineStr">
        <is>
          <t>A 15824-2024</t>
        </is>
      </c>
      <c r="B721" s="1" t="n">
        <v>45404</v>
      </c>
      <c r="C721" s="1" t="n">
        <v>45811</v>
      </c>
      <c r="D721" t="inlineStr">
        <is>
          <t>UPPSALA LÄN</t>
        </is>
      </c>
      <c r="E721" t="inlineStr">
        <is>
          <t>ENKÖPING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15814-2024</t>
        </is>
      </c>
      <c r="B722" s="1" t="n">
        <v>45404</v>
      </c>
      <c r="C722" s="1" t="n">
        <v>45811</v>
      </c>
      <c r="D722" t="inlineStr">
        <is>
          <t>UPPSALA LÄN</t>
        </is>
      </c>
      <c r="E722" t="inlineStr">
        <is>
          <t>ENKÖPING</t>
        </is>
      </c>
      <c r="G722" t="n">
        <v>3.3</v>
      </c>
      <c r="H722" t="n">
        <v>0</v>
      </c>
      <c r="I722" t="n">
        <v>0</v>
      </c>
      <c r="J722" t="n">
        <v>0</v>
      </c>
      <c r="K722" t="n">
        <v>0</v>
      </c>
      <c r="L722" t="n">
        <v>0</v>
      </c>
      <c r="M722" t="n">
        <v>0</v>
      </c>
      <c r="N722" t="n">
        <v>0</v>
      </c>
      <c r="O722" t="n">
        <v>0</v>
      </c>
      <c r="P722" t="n">
        <v>0</v>
      </c>
      <c r="Q722" t="n">
        <v>0</v>
      </c>
      <c r="R722" s="2" t="inlineStr"/>
    </row>
    <row r="723" ht="15" customHeight="1">
      <c r="A723" t="inlineStr">
        <is>
          <t>A 15826-2024</t>
        </is>
      </c>
      <c r="B723" s="1" t="n">
        <v>45404</v>
      </c>
      <c r="C723" s="1" t="n">
        <v>45811</v>
      </c>
      <c r="D723" t="inlineStr">
        <is>
          <t>UPPSALA LÄN</t>
        </is>
      </c>
      <c r="E723" t="inlineStr">
        <is>
          <t>ENKÖPING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15813-2024</t>
        </is>
      </c>
      <c r="B724" s="1" t="n">
        <v>45404</v>
      </c>
      <c r="C724" s="1" t="n">
        <v>45811</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15878-2024</t>
        </is>
      </c>
      <c r="B725" s="1" t="n">
        <v>45405</v>
      </c>
      <c r="C725" s="1" t="n">
        <v>45811</v>
      </c>
      <c r="D725" t="inlineStr">
        <is>
          <t>UPPSALA LÄN</t>
        </is>
      </c>
      <c r="E725" t="inlineStr">
        <is>
          <t>ENKÖPING</t>
        </is>
      </c>
      <c r="G725" t="n">
        <v>2.1</v>
      </c>
      <c r="H725" t="n">
        <v>0</v>
      </c>
      <c r="I725" t="n">
        <v>0</v>
      </c>
      <c r="J725" t="n">
        <v>0</v>
      </c>
      <c r="K725" t="n">
        <v>0</v>
      </c>
      <c r="L725" t="n">
        <v>0</v>
      </c>
      <c r="M725" t="n">
        <v>0</v>
      </c>
      <c r="N725" t="n">
        <v>0</v>
      </c>
      <c r="O725" t="n">
        <v>0</v>
      </c>
      <c r="P725" t="n">
        <v>0</v>
      </c>
      <c r="Q725" t="n">
        <v>0</v>
      </c>
      <c r="R725" s="2" t="inlineStr"/>
    </row>
    <row r="726" ht="15" customHeight="1">
      <c r="A726" t="inlineStr">
        <is>
          <t>A 15893-2024</t>
        </is>
      </c>
      <c r="B726" s="1" t="n">
        <v>45405</v>
      </c>
      <c r="C726" s="1" t="n">
        <v>45811</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19147-2024</t>
        </is>
      </c>
      <c r="B727" s="1" t="n">
        <v>45428</v>
      </c>
      <c r="C727" s="1" t="n">
        <v>45811</v>
      </c>
      <c r="D727" t="inlineStr">
        <is>
          <t>UPPSALA LÄN</t>
        </is>
      </c>
      <c r="E727" t="inlineStr">
        <is>
          <t>ENKÖPING</t>
        </is>
      </c>
      <c r="G727" t="n">
        <v>1.9</v>
      </c>
      <c r="H727" t="n">
        <v>0</v>
      </c>
      <c r="I727" t="n">
        <v>0</v>
      </c>
      <c r="J727" t="n">
        <v>0</v>
      </c>
      <c r="K727" t="n">
        <v>0</v>
      </c>
      <c r="L727" t="n">
        <v>0</v>
      </c>
      <c r="M727" t="n">
        <v>0</v>
      </c>
      <c r="N727" t="n">
        <v>0</v>
      </c>
      <c r="O727" t="n">
        <v>0</v>
      </c>
      <c r="P727" t="n">
        <v>0</v>
      </c>
      <c r="Q727" t="n">
        <v>0</v>
      </c>
      <c r="R727" s="2" t="inlineStr"/>
    </row>
    <row r="728" ht="15" customHeight="1">
      <c r="A728" t="inlineStr">
        <is>
          <t>A 19378-2024</t>
        </is>
      </c>
      <c r="B728" s="1" t="n">
        <v>45429</v>
      </c>
      <c r="C728" s="1" t="n">
        <v>45811</v>
      </c>
      <c r="D728" t="inlineStr">
        <is>
          <t>UPPSALA LÄN</t>
        </is>
      </c>
      <c r="E728" t="inlineStr">
        <is>
          <t>ENKÖPING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19376-2024</t>
        </is>
      </c>
      <c r="B729" s="1" t="n">
        <v>45429</v>
      </c>
      <c r="C729" s="1" t="n">
        <v>45811</v>
      </c>
      <c r="D729" t="inlineStr">
        <is>
          <t>UPPSALA LÄN</t>
        </is>
      </c>
      <c r="E729" t="inlineStr">
        <is>
          <t>ENKÖPING</t>
        </is>
      </c>
      <c r="G729" t="n">
        <v>1.6</v>
      </c>
      <c r="H729" t="n">
        <v>0</v>
      </c>
      <c r="I729" t="n">
        <v>0</v>
      </c>
      <c r="J729" t="n">
        <v>0</v>
      </c>
      <c r="K729" t="n">
        <v>0</v>
      </c>
      <c r="L729" t="n">
        <v>0</v>
      </c>
      <c r="M729" t="n">
        <v>0</v>
      </c>
      <c r="N729" t="n">
        <v>0</v>
      </c>
      <c r="O729" t="n">
        <v>0</v>
      </c>
      <c r="P729" t="n">
        <v>0</v>
      </c>
      <c r="Q729" t="n">
        <v>0</v>
      </c>
      <c r="R729" s="2" t="inlineStr"/>
    </row>
    <row r="730" ht="15" customHeight="1">
      <c r="A730" t="inlineStr">
        <is>
          <t>A 20112-2024</t>
        </is>
      </c>
      <c r="B730" s="1" t="n">
        <v>45434</v>
      </c>
      <c r="C730" s="1" t="n">
        <v>45811</v>
      </c>
      <c r="D730" t="inlineStr">
        <is>
          <t>UPPSALA LÄN</t>
        </is>
      </c>
      <c r="E730" t="inlineStr">
        <is>
          <t>ENKÖPING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20105-2024</t>
        </is>
      </c>
      <c r="B731" s="1" t="n">
        <v>45434</v>
      </c>
      <c r="C731" s="1" t="n">
        <v>45811</v>
      </c>
      <c r="D731" t="inlineStr">
        <is>
          <t>UPPSALA LÄN</t>
        </is>
      </c>
      <c r="E731" t="inlineStr">
        <is>
          <t>ENKÖPING</t>
        </is>
      </c>
      <c r="G731" t="n">
        <v>2.4</v>
      </c>
      <c r="H731" t="n">
        <v>0</v>
      </c>
      <c r="I731" t="n">
        <v>0</v>
      </c>
      <c r="J731" t="n">
        <v>0</v>
      </c>
      <c r="K731" t="n">
        <v>0</v>
      </c>
      <c r="L731" t="n">
        <v>0</v>
      </c>
      <c r="M731" t="n">
        <v>0</v>
      </c>
      <c r="N731" t="n">
        <v>0</v>
      </c>
      <c r="O731" t="n">
        <v>0</v>
      </c>
      <c r="P731" t="n">
        <v>0</v>
      </c>
      <c r="Q731" t="n">
        <v>0</v>
      </c>
      <c r="R731" s="2" t="inlineStr"/>
    </row>
    <row r="732" ht="15" customHeight="1">
      <c r="A732" t="inlineStr">
        <is>
          <t>A 21435-2024</t>
        </is>
      </c>
      <c r="B732" s="1" t="n">
        <v>45441</v>
      </c>
      <c r="C732" s="1" t="n">
        <v>45811</v>
      </c>
      <c r="D732" t="inlineStr">
        <is>
          <t>UPPSALA LÄN</t>
        </is>
      </c>
      <c r="E732" t="inlineStr">
        <is>
          <t>ENKÖPING</t>
        </is>
      </c>
      <c r="G732" t="n">
        <v>2.6</v>
      </c>
      <c r="H732" t="n">
        <v>0</v>
      </c>
      <c r="I732" t="n">
        <v>0</v>
      </c>
      <c r="J732" t="n">
        <v>0</v>
      </c>
      <c r="K732" t="n">
        <v>0</v>
      </c>
      <c r="L732" t="n">
        <v>0</v>
      </c>
      <c r="M732" t="n">
        <v>0</v>
      </c>
      <c r="N732" t="n">
        <v>0</v>
      </c>
      <c r="O732" t="n">
        <v>0</v>
      </c>
      <c r="P732" t="n">
        <v>0</v>
      </c>
      <c r="Q732" t="n">
        <v>0</v>
      </c>
      <c r="R732" s="2" t="inlineStr"/>
    </row>
    <row r="733" ht="15" customHeight="1">
      <c r="A733" t="inlineStr">
        <is>
          <t>A 22912-2024</t>
        </is>
      </c>
      <c r="B733" s="1" t="n">
        <v>45448</v>
      </c>
      <c r="C733" s="1" t="n">
        <v>45811</v>
      </c>
      <c r="D733" t="inlineStr">
        <is>
          <t>UPPSALA LÄN</t>
        </is>
      </c>
      <c r="E733" t="inlineStr">
        <is>
          <t>ENKÖPING</t>
        </is>
      </c>
      <c r="G733" t="n">
        <v>2.8</v>
      </c>
      <c r="H733" t="n">
        <v>0</v>
      </c>
      <c r="I733" t="n">
        <v>0</v>
      </c>
      <c r="J733" t="n">
        <v>0</v>
      </c>
      <c r="K733" t="n">
        <v>0</v>
      </c>
      <c r="L733" t="n">
        <v>0</v>
      </c>
      <c r="M733" t="n">
        <v>0</v>
      </c>
      <c r="N733" t="n">
        <v>0</v>
      </c>
      <c r="O733" t="n">
        <v>0</v>
      </c>
      <c r="P733" t="n">
        <v>0</v>
      </c>
      <c r="Q733" t="n">
        <v>0</v>
      </c>
      <c r="R733" s="2" t="inlineStr"/>
    </row>
    <row r="734" ht="15" customHeight="1">
      <c r="A734" t="inlineStr">
        <is>
          <t>A 23301-2024</t>
        </is>
      </c>
      <c r="B734" s="1" t="n">
        <v>45453</v>
      </c>
      <c r="C734" s="1" t="n">
        <v>45811</v>
      </c>
      <c r="D734" t="inlineStr">
        <is>
          <t>UPPSALA LÄN</t>
        </is>
      </c>
      <c r="E734" t="inlineStr">
        <is>
          <t>ENKÖPING</t>
        </is>
      </c>
      <c r="G734" t="n">
        <v>4.3</v>
      </c>
      <c r="H734" t="n">
        <v>0</v>
      </c>
      <c r="I734" t="n">
        <v>0</v>
      </c>
      <c r="J734" t="n">
        <v>0</v>
      </c>
      <c r="K734" t="n">
        <v>0</v>
      </c>
      <c r="L734" t="n">
        <v>0</v>
      </c>
      <c r="M734" t="n">
        <v>0</v>
      </c>
      <c r="N734" t="n">
        <v>0</v>
      </c>
      <c r="O734" t="n">
        <v>0</v>
      </c>
      <c r="P734" t="n">
        <v>0</v>
      </c>
      <c r="Q734" t="n">
        <v>0</v>
      </c>
      <c r="R734" s="2" t="inlineStr"/>
    </row>
    <row r="735" ht="15" customHeight="1">
      <c r="A735" t="inlineStr">
        <is>
          <t>A 23264-2024</t>
        </is>
      </c>
      <c r="B735" s="1" t="n">
        <v>45453</v>
      </c>
      <c r="C735" s="1" t="n">
        <v>45811</v>
      </c>
      <c r="D735" t="inlineStr">
        <is>
          <t>UPPSALA LÄN</t>
        </is>
      </c>
      <c r="E735" t="inlineStr">
        <is>
          <t>ENKÖPING</t>
        </is>
      </c>
      <c r="G735" t="n">
        <v>9.4</v>
      </c>
      <c r="H735" t="n">
        <v>0</v>
      </c>
      <c r="I735" t="n">
        <v>0</v>
      </c>
      <c r="J735" t="n">
        <v>0</v>
      </c>
      <c r="K735" t="n">
        <v>0</v>
      </c>
      <c r="L735" t="n">
        <v>0</v>
      </c>
      <c r="M735" t="n">
        <v>0</v>
      </c>
      <c r="N735" t="n">
        <v>0</v>
      </c>
      <c r="O735" t="n">
        <v>0</v>
      </c>
      <c r="P735" t="n">
        <v>0</v>
      </c>
      <c r="Q735" t="n">
        <v>0</v>
      </c>
      <c r="R735" s="2" t="inlineStr"/>
    </row>
    <row r="736" ht="15" customHeight="1">
      <c r="A736" t="inlineStr">
        <is>
          <t>A 24306-2024</t>
        </is>
      </c>
      <c r="B736" s="1" t="n">
        <v>45457</v>
      </c>
      <c r="C736" s="1" t="n">
        <v>45811</v>
      </c>
      <c r="D736" t="inlineStr">
        <is>
          <t>UPPSALA LÄN</t>
        </is>
      </c>
      <c r="E736" t="inlineStr">
        <is>
          <t>ENKÖPING</t>
        </is>
      </c>
      <c r="G736" t="n">
        <v>0.6</v>
      </c>
      <c r="H736" t="n">
        <v>0</v>
      </c>
      <c r="I736" t="n">
        <v>0</v>
      </c>
      <c r="J736" t="n">
        <v>0</v>
      </c>
      <c r="K736" t="n">
        <v>0</v>
      </c>
      <c r="L736" t="n">
        <v>0</v>
      </c>
      <c r="M736" t="n">
        <v>0</v>
      </c>
      <c r="N736" t="n">
        <v>0</v>
      </c>
      <c r="O736" t="n">
        <v>0</v>
      </c>
      <c r="P736" t="n">
        <v>0</v>
      </c>
      <c r="Q736" t="n">
        <v>0</v>
      </c>
      <c r="R736" s="2" t="inlineStr"/>
    </row>
    <row r="737" ht="15" customHeight="1">
      <c r="A737" t="inlineStr">
        <is>
          <t>A 24259-2024</t>
        </is>
      </c>
      <c r="B737" s="1" t="n">
        <v>45457</v>
      </c>
      <c r="C737" s="1" t="n">
        <v>45811</v>
      </c>
      <c r="D737" t="inlineStr">
        <is>
          <t>UPPSALA LÄN</t>
        </is>
      </c>
      <c r="E737" t="inlineStr">
        <is>
          <t>ENKÖPING</t>
        </is>
      </c>
      <c r="G737" t="n">
        <v>1.1</v>
      </c>
      <c r="H737" t="n">
        <v>0</v>
      </c>
      <c r="I737" t="n">
        <v>0</v>
      </c>
      <c r="J737" t="n">
        <v>0</v>
      </c>
      <c r="K737" t="n">
        <v>0</v>
      </c>
      <c r="L737" t="n">
        <v>0</v>
      </c>
      <c r="M737" t="n">
        <v>0</v>
      </c>
      <c r="N737" t="n">
        <v>0</v>
      </c>
      <c r="O737" t="n">
        <v>0</v>
      </c>
      <c r="P737" t="n">
        <v>0</v>
      </c>
      <c r="Q737" t="n">
        <v>0</v>
      </c>
      <c r="R737" s="2" t="inlineStr"/>
    </row>
    <row r="738" ht="15" customHeight="1">
      <c r="A738" t="inlineStr">
        <is>
          <t>A 24291-2024</t>
        </is>
      </c>
      <c r="B738" s="1" t="n">
        <v>45457</v>
      </c>
      <c r="C738" s="1" t="n">
        <v>45811</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24411-2024</t>
        </is>
      </c>
      <c r="B739" s="1" t="n">
        <v>45457</v>
      </c>
      <c r="C739" s="1" t="n">
        <v>45811</v>
      </c>
      <c r="D739" t="inlineStr">
        <is>
          <t>UPPSALA LÄN</t>
        </is>
      </c>
      <c r="E739" t="inlineStr">
        <is>
          <t>ENKÖPING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25607-2024</t>
        </is>
      </c>
      <c r="B740" s="1" t="n">
        <v>45463</v>
      </c>
      <c r="C740" s="1" t="n">
        <v>45811</v>
      </c>
      <c r="D740" t="inlineStr">
        <is>
          <t>UPPSALA LÄN</t>
        </is>
      </c>
      <c r="E740" t="inlineStr">
        <is>
          <t>ENKÖPING</t>
        </is>
      </c>
      <c r="G740" t="n">
        <v>6.3</v>
      </c>
      <c r="H740" t="n">
        <v>0</v>
      </c>
      <c r="I740" t="n">
        <v>0</v>
      </c>
      <c r="J740" t="n">
        <v>0</v>
      </c>
      <c r="K740" t="n">
        <v>0</v>
      </c>
      <c r="L740" t="n">
        <v>0</v>
      </c>
      <c r="M740" t="n">
        <v>0</v>
      </c>
      <c r="N740" t="n">
        <v>0</v>
      </c>
      <c r="O740" t="n">
        <v>0</v>
      </c>
      <c r="P740" t="n">
        <v>0</v>
      </c>
      <c r="Q740" t="n">
        <v>0</v>
      </c>
      <c r="R740" s="2" t="inlineStr"/>
    </row>
    <row r="741" ht="15" customHeight="1">
      <c r="A741" t="inlineStr">
        <is>
          <t>A 25595-2024</t>
        </is>
      </c>
      <c r="B741" s="1" t="n">
        <v>45463</v>
      </c>
      <c r="C741" s="1" t="n">
        <v>45811</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25601-2024</t>
        </is>
      </c>
      <c r="B742" s="1" t="n">
        <v>45463</v>
      </c>
      <c r="C742" s="1" t="n">
        <v>45811</v>
      </c>
      <c r="D742" t="inlineStr">
        <is>
          <t>UPPSALA LÄN</t>
        </is>
      </c>
      <c r="E742" t="inlineStr">
        <is>
          <t>ENKÖPING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25930-2024</t>
        </is>
      </c>
      <c r="B743" s="1" t="n">
        <v>45467</v>
      </c>
      <c r="C743" s="1" t="n">
        <v>45811</v>
      </c>
      <c r="D743" t="inlineStr">
        <is>
          <t>UPPSALA LÄN</t>
        </is>
      </c>
      <c r="E743" t="inlineStr">
        <is>
          <t>ENKÖPING</t>
        </is>
      </c>
      <c r="G743" t="n">
        <v>5.7</v>
      </c>
      <c r="H743" t="n">
        <v>0</v>
      </c>
      <c r="I743" t="n">
        <v>0</v>
      </c>
      <c r="J743" t="n">
        <v>0</v>
      </c>
      <c r="K743" t="n">
        <v>0</v>
      </c>
      <c r="L743" t="n">
        <v>0</v>
      </c>
      <c r="M743" t="n">
        <v>0</v>
      </c>
      <c r="N743" t="n">
        <v>0</v>
      </c>
      <c r="O743" t="n">
        <v>0</v>
      </c>
      <c r="P743" t="n">
        <v>0</v>
      </c>
      <c r="Q743" t="n">
        <v>0</v>
      </c>
      <c r="R743" s="2" t="inlineStr"/>
    </row>
    <row r="744" ht="15" customHeight="1">
      <c r="A744" t="inlineStr">
        <is>
          <t>A 27172-2024</t>
        </is>
      </c>
      <c r="B744" s="1" t="n">
        <v>45471</v>
      </c>
      <c r="C744" s="1" t="n">
        <v>45811</v>
      </c>
      <c r="D744" t="inlineStr">
        <is>
          <t>UPPSALA LÄN</t>
        </is>
      </c>
      <c r="E744" t="inlineStr">
        <is>
          <t>ENKÖPING</t>
        </is>
      </c>
      <c r="G744" t="n">
        <v>2.3</v>
      </c>
      <c r="H744" t="n">
        <v>0</v>
      </c>
      <c r="I744" t="n">
        <v>0</v>
      </c>
      <c r="J744" t="n">
        <v>0</v>
      </c>
      <c r="K744" t="n">
        <v>0</v>
      </c>
      <c r="L744" t="n">
        <v>0</v>
      </c>
      <c r="M744" t="n">
        <v>0</v>
      </c>
      <c r="N744" t="n">
        <v>0</v>
      </c>
      <c r="O744" t="n">
        <v>0</v>
      </c>
      <c r="P744" t="n">
        <v>0</v>
      </c>
      <c r="Q744" t="n">
        <v>0</v>
      </c>
      <c r="R744" s="2" t="inlineStr"/>
    </row>
    <row r="745" ht="15" customHeight="1">
      <c r="A745" t="inlineStr">
        <is>
          <t>A 27998-2024</t>
        </is>
      </c>
      <c r="B745" s="1" t="n">
        <v>45476</v>
      </c>
      <c r="C745" s="1" t="n">
        <v>45811</v>
      </c>
      <c r="D745" t="inlineStr">
        <is>
          <t>UPPSALA LÄN</t>
        </is>
      </c>
      <c r="E745" t="inlineStr">
        <is>
          <t>ENKÖPING</t>
        </is>
      </c>
      <c r="G745" t="n">
        <v>0.9</v>
      </c>
      <c r="H745" t="n">
        <v>0</v>
      </c>
      <c r="I745" t="n">
        <v>0</v>
      </c>
      <c r="J745" t="n">
        <v>0</v>
      </c>
      <c r="K745" t="n">
        <v>0</v>
      </c>
      <c r="L745" t="n">
        <v>0</v>
      </c>
      <c r="M745" t="n">
        <v>0</v>
      </c>
      <c r="N745" t="n">
        <v>0</v>
      </c>
      <c r="O745" t="n">
        <v>0</v>
      </c>
      <c r="P745" t="n">
        <v>0</v>
      </c>
      <c r="Q745" t="n">
        <v>0</v>
      </c>
      <c r="R745" s="2" t="inlineStr"/>
    </row>
    <row r="746" ht="15" customHeight="1">
      <c r="A746" t="inlineStr">
        <is>
          <t>A 27983-2024</t>
        </is>
      </c>
      <c r="B746" s="1" t="n">
        <v>45476</v>
      </c>
      <c r="C746" s="1" t="n">
        <v>45811</v>
      </c>
      <c r="D746" t="inlineStr">
        <is>
          <t>UPPSALA LÄN</t>
        </is>
      </c>
      <c r="E746" t="inlineStr">
        <is>
          <t>ENKÖPING</t>
        </is>
      </c>
      <c r="G746" t="n">
        <v>3.2</v>
      </c>
      <c r="H746" t="n">
        <v>0</v>
      </c>
      <c r="I746" t="n">
        <v>0</v>
      </c>
      <c r="J746" t="n">
        <v>0</v>
      </c>
      <c r="K746" t="n">
        <v>0</v>
      </c>
      <c r="L746" t="n">
        <v>0</v>
      </c>
      <c r="M746" t="n">
        <v>0</v>
      </c>
      <c r="N746" t="n">
        <v>0</v>
      </c>
      <c r="O746" t="n">
        <v>0</v>
      </c>
      <c r="P746" t="n">
        <v>0</v>
      </c>
      <c r="Q746" t="n">
        <v>0</v>
      </c>
      <c r="R746" s="2" t="inlineStr"/>
    </row>
    <row r="747" ht="15" customHeight="1">
      <c r="A747" t="inlineStr">
        <is>
          <t>A 27993-2024</t>
        </is>
      </c>
      <c r="B747" s="1" t="n">
        <v>45476</v>
      </c>
      <c r="C747" s="1" t="n">
        <v>45811</v>
      </c>
      <c r="D747" t="inlineStr">
        <is>
          <t>UPPSALA LÄN</t>
        </is>
      </c>
      <c r="E747" t="inlineStr">
        <is>
          <t>ENKÖPING</t>
        </is>
      </c>
      <c r="G747" t="n">
        <v>3.3</v>
      </c>
      <c r="H747" t="n">
        <v>0</v>
      </c>
      <c r="I747" t="n">
        <v>0</v>
      </c>
      <c r="J747" t="n">
        <v>0</v>
      </c>
      <c r="K747" t="n">
        <v>0</v>
      </c>
      <c r="L747" t="n">
        <v>0</v>
      </c>
      <c r="M747" t="n">
        <v>0</v>
      </c>
      <c r="N747" t="n">
        <v>0</v>
      </c>
      <c r="O747" t="n">
        <v>0</v>
      </c>
      <c r="P747" t="n">
        <v>0</v>
      </c>
      <c r="Q747" t="n">
        <v>0</v>
      </c>
      <c r="R747" s="2" t="inlineStr"/>
    </row>
    <row r="748" ht="15" customHeight="1">
      <c r="A748" t="inlineStr">
        <is>
          <t>A 28325-2024</t>
        </is>
      </c>
      <c r="B748" s="1" t="n">
        <v>45477</v>
      </c>
      <c r="C748" s="1" t="n">
        <v>45811</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28518-2024</t>
        </is>
      </c>
      <c r="B749" s="1" t="n">
        <v>45477</v>
      </c>
      <c r="C749" s="1" t="n">
        <v>45811</v>
      </c>
      <c r="D749" t="inlineStr">
        <is>
          <t>UPPSALA LÄN</t>
        </is>
      </c>
      <c r="E749" t="inlineStr">
        <is>
          <t>ENKÖPING</t>
        </is>
      </c>
      <c r="G749" t="n">
        <v>3.4</v>
      </c>
      <c r="H749" t="n">
        <v>0</v>
      </c>
      <c r="I749" t="n">
        <v>0</v>
      </c>
      <c r="J749" t="n">
        <v>0</v>
      </c>
      <c r="K749" t="n">
        <v>0</v>
      </c>
      <c r="L749" t="n">
        <v>0</v>
      </c>
      <c r="M749" t="n">
        <v>0</v>
      </c>
      <c r="N749" t="n">
        <v>0</v>
      </c>
      <c r="O749" t="n">
        <v>0</v>
      </c>
      <c r="P749" t="n">
        <v>0</v>
      </c>
      <c r="Q749" t="n">
        <v>0</v>
      </c>
      <c r="R749" s="2" t="inlineStr"/>
    </row>
    <row r="750" ht="15" customHeight="1">
      <c r="A750" t="inlineStr">
        <is>
          <t>A 28318-2024</t>
        </is>
      </c>
      <c r="B750" s="1" t="n">
        <v>45477</v>
      </c>
      <c r="C750" s="1" t="n">
        <v>45811</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28515-2024</t>
        </is>
      </c>
      <c r="B751" s="1" t="n">
        <v>45477</v>
      </c>
      <c r="C751" s="1" t="n">
        <v>45811</v>
      </c>
      <c r="D751" t="inlineStr">
        <is>
          <t>UPPSALA LÄN</t>
        </is>
      </c>
      <c r="E751" t="inlineStr">
        <is>
          <t>ENKÖPING</t>
        </is>
      </c>
      <c r="G751" t="n">
        <v>5.9</v>
      </c>
      <c r="H751" t="n">
        <v>0</v>
      </c>
      <c r="I751" t="n">
        <v>0</v>
      </c>
      <c r="J751" t="n">
        <v>0</v>
      </c>
      <c r="K751" t="n">
        <v>0</v>
      </c>
      <c r="L751" t="n">
        <v>0</v>
      </c>
      <c r="M751" t="n">
        <v>0</v>
      </c>
      <c r="N751" t="n">
        <v>0</v>
      </c>
      <c r="O751" t="n">
        <v>0</v>
      </c>
      <c r="P751" t="n">
        <v>0</v>
      </c>
      <c r="Q751" t="n">
        <v>0</v>
      </c>
      <c r="R751" s="2" t="inlineStr"/>
    </row>
    <row r="752" ht="15" customHeight="1">
      <c r="A752" t="inlineStr">
        <is>
          <t>A 28848-2024</t>
        </is>
      </c>
      <c r="B752" s="1" t="n">
        <v>45478</v>
      </c>
      <c r="C752" s="1" t="n">
        <v>45811</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30092-2024</t>
        </is>
      </c>
      <c r="B753" s="1" t="n">
        <v>45489</v>
      </c>
      <c r="C753" s="1" t="n">
        <v>45811</v>
      </c>
      <c r="D753" t="inlineStr">
        <is>
          <t>UPPSALA LÄN</t>
        </is>
      </c>
      <c r="E753" t="inlineStr">
        <is>
          <t>ENKÖPING</t>
        </is>
      </c>
      <c r="G753" t="n">
        <v>2.3</v>
      </c>
      <c r="H753" t="n">
        <v>0</v>
      </c>
      <c r="I753" t="n">
        <v>0</v>
      </c>
      <c r="J753" t="n">
        <v>0</v>
      </c>
      <c r="K753" t="n">
        <v>0</v>
      </c>
      <c r="L753" t="n">
        <v>0</v>
      </c>
      <c r="M753" t="n">
        <v>0</v>
      </c>
      <c r="N753" t="n">
        <v>0</v>
      </c>
      <c r="O753" t="n">
        <v>0</v>
      </c>
      <c r="P753" t="n">
        <v>0</v>
      </c>
      <c r="Q753" t="n">
        <v>0</v>
      </c>
      <c r="R753" s="2" t="inlineStr"/>
    </row>
    <row r="754" ht="15" customHeight="1">
      <c r="A754" t="inlineStr">
        <is>
          <t>A 30109-2024</t>
        </is>
      </c>
      <c r="B754" s="1" t="n">
        <v>45489</v>
      </c>
      <c r="C754" s="1" t="n">
        <v>45811</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30098-2024</t>
        </is>
      </c>
      <c r="B755" s="1" t="n">
        <v>45489</v>
      </c>
      <c r="C755" s="1" t="n">
        <v>45811</v>
      </c>
      <c r="D755" t="inlineStr">
        <is>
          <t>UPPSALA LÄN</t>
        </is>
      </c>
      <c r="E755" t="inlineStr">
        <is>
          <t>ENKÖPING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30087-2024</t>
        </is>
      </c>
      <c r="B756" s="1" t="n">
        <v>45489</v>
      </c>
      <c r="C756" s="1" t="n">
        <v>45811</v>
      </c>
      <c r="D756" t="inlineStr">
        <is>
          <t>UPPSALA LÄN</t>
        </is>
      </c>
      <c r="E756" t="inlineStr">
        <is>
          <t>ENKÖPING</t>
        </is>
      </c>
      <c r="G756" t="n">
        <v>1.4</v>
      </c>
      <c r="H756" t="n">
        <v>0</v>
      </c>
      <c r="I756" t="n">
        <v>0</v>
      </c>
      <c r="J756" t="n">
        <v>0</v>
      </c>
      <c r="K756" t="n">
        <v>0</v>
      </c>
      <c r="L756" t="n">
        <v>0</v>
      </c>
      <c r="M756" t="n">
        <v>0</v>
      </c>
      <c r="N756" t="n">
        <v>0</v>
      </c>
      <c r="O756" t="n">
        <v>0</v>
      </c>
      <c r="P756" t="n">
        <v>0</v>
      </c>
      <c r="Q756" t="n">
        <v>0</v>
      </c>
      <c r="R756" s="2" t="inlineStr"/>
    </row>
    <row r="757" ht="15" customHeight="1">
      <c r="A757" t="inlineStr">
        <is>
          <t>A 30394-2024</t>
        </is>
      </c>
      <c r="B757" s="1" t="n">
        <v>45491</v>
      </c>
      <c r="C757" s="1" t="n">
        <v>45811</v>
      </c>
      <c r="D757" t="inlineStr">
        <is>
          <t>UPPSALA LÄN</t>
        </is>
      </c>
      <c r="E757" t="inlineStr">
        <is>
          <t>ENKÖPING</t>
        </is>
      </c>
      <c r="G757" t="n">
        <v>4.8</v>
      </c>
      <c r="H757" t="n">
        <v>0</v>
      </c>
      <c r="I757" t="n">
        <v>0</v>
      </c>
      <c r="J757" t="n">
        <v>0</v>
      </c>
      <c r="K757" t="n">
        <v>0</v>
      </c>
      <c r="L757" t="n">
        <v>0</v>
      </c>
      <c r="M757" t="n">
        <v>0</v>
      </c>
      <c r="N757" t="n">
        <v>0</v>
      </c>
      <c r="O757" t="n">
        <v>0</v>
      </c>
      <c r="P757" t="n">
        <v>0</v>
      </c>
      <c r="Q757" t="n">
        <v>0</v>
      </c>
      <c r="R757" s="2" t="inlineStr"/>
    </row>
    <row r="758" ht="15" customHeight="1">
      <c r="A758" t="inlineStr">
        <is>
          <t>A 31241-2024</t>
        </is>
      </c>
      <c r="B758" s="1" t="n">
        <v>45503</v>
      </c>
      <c r="C758" s="1" t="n">
        <v>45811</v>
      </c>
      <c r="D758" t="inlineStr">
        <is>
          <t>UPPSALA LÄN</t>
        </is>
      </c>
      <c r="E758" t="inlineStr">
        <is>
          <t>ENKÖPING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31252-2024</t>
        </is>
      </c>
      <c r="B759" s="1" t="n">
        <v>45503</v>
      </c>
      <c r="C759" s="1" t="n">
        <v>45811</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31240-2024</t>
        </is>
      </c>
      <c r="B760" s="1" t="n">
        <v>45503</v>
      </c>
      <c r="C760" s="1" t="n">
        <v>45811</v>
      </c>
      <c r="D760" t="inlineStr">
        <is>
          <t>UPPSALA LÄN</t>
        </is>
      </c>
      <c r="E760" t="inlineStr">
        <is>
          <t>ENKÖPING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31253-2024</t>
        </is>
      </c>
      <c r="B761" s="1" t="n">
        <v>45503</v>
      </c>
      <c r="C761" s="1" t="n">
        <v>45811</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32028-2024</t>
        </is>
      </c>
      <c r="B762" s="1" t="n">
        <v>45510</v>
      </c>
      <c r="C762" s="1" t="n">
        <v>45811</v>
      </c>
      <c r="D762" t="inlineStr">
        <is>
          <t>UPPSALA LÄN</t>
        </is>
      </c>
      <c r="E762" t="inlineStr">
        <is>
          <t>ENKÖPING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32083-2024</t>
        </is>
      </c>
      <c r="B763" s="1" t="n">
        <v>45511</v>
      </c>
      <c r="C763" s="1" t="n">
        <v>45811</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32086-2024</t>
        </is>
      </c>
      <c r="B764" s="1" t="n">
        <v>45511</v>
      </c>
      <c r="C764" s="1" t="n">
        <v>45811</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32080-2024</t>
        </is>
      </c>
      <c r="B765" s="1" t="n">
        <v>45511</v>
      </c>
      <c r="C765" s="1" t="n">
        <v>45811</v>
      </c>
      <c r="D765" t="inlineStr">
        <is>
          <t>UPPSALA LÄN</t>
        </is>
      </c>
      <c r="E765" t="inlineStr">
        <is>
          <t>ENKÖPING</t>
        </is>
      </c>
      <c r="G765" t="n">
        <v>2.9</v>
      </c>
      <c r="H765" t="n">
        <v>0</v>
      </c>
      <c r="I765" t="n">
        <v>0</v>
      </c>
      <c r="J765" t="n">
        <v>0</v>
      </c>
      <c r="K765" t="n">
        <v>0</v>
      </c>
      <c r="L765" t="n">
        <v>0</v>
      </c>
      <c r="M765" t="n">
        <v>0</v>
      </c>
      <c r="N765" t="n">
        <v>0</v>
      </c>
      <c r="O765" t="n">
        <v>0</v>
      </c>
      <c r="P765" t="n">
        <v>0</v>
      </c>
      <c r="Q765" t="n">
        <v>0</v>
      </c>
      <c r="R765" s="2" t="inlineStr"/>
    </row>
    <row r="766" ht="15" customHeight="1">
      <c r="A766" t="inlineStr">
        <is>
          <t>A 32085-2024</t>
        </is>
      </c>
      <c r="B766" s="1" t="n">
        <v>45511</v>
      </c>
      <c r="C766" s="1" t="n">
        <v>45811</v>
      </c>
      <c r="D766" t="inlineStr">
        <is>
          <t>UPPSALA LÄN</t>
        </is>
      </c>
      <c r="E766" t="inlineStr">
        <is>
          <t>ENKÖPING</t>
        </is>
      </c>
      <c r="G766" t="n">
        <v>7.1</v>
      </c>
      <c r="H766" t="n">
        <v>0</v>
      </c>
      <c r="I766" t="n">
        <v>0</v>
      </c>
      <c r="J766" t="n">
        <v>0</v>
      </c>
      <c r="K766" t="n">
        <v>0</v>
      </c>
      <c r="L766" t="n">
        <v>0</v>
      </c>
      <c r="M766" t="n">
        <v>0</v>
      </c>
      <c r="N766" t="n">
        <v>0</v>
      </c>
      <c r="O766" t="n">
        <v>0</v>
      </c>
      <c r="P766" t="n">
        <v>0</v>
      </c>
      <c r="Q766" t="n">
        <v>0</v>
      </c>
      <c r="R766" s="2" t="inlineStr"/>
    </row>
    <row r="767" ht="15" customHeight="1">
      <c r="A767" t="inlineStr">
        <is>
          <t>A 32081-2024</t>
        </is>
      </c>
      <c r="B767" s="1" t="n">
        <v>45511</v>
      </c>
      <c r="C767" s="1" t="n">
        <v>45811</v>
      </c>
      <c r="D767" t="inlineStr">
        <is>
          <t>UPPSALA LÄN</t>
        </is>
      </c>
      <c r="E767" t="inlineStr">
        <is>
          <t>ENKÖPING</t>
        </is>
      </c>
      <c r="G767" t="n">
        <v>5.4</v>
      </c>
      <c r="H767" t="n">
        <v>0</v>
      </c>
      <c r="I767" t="n">
        <v>0</v>
      </c>
      <c r="J767" t="n">
        <v>0</v>
      </c>
      <c r="K767" t="n">
        <v>0</v>
      </c>
      <c r="L767" t="n">
        <v>0</v>
      </c>
      <c r="M767" t="n">
        <v>0</v>
      </c>
      <c r="N767" t="n">
        <v>0</v>
      </c>
      <c r="O767" t="n">
        <v>0</v>
      </c>
      <c r="P767" t="n">
        <v>0</v>
      </c>
      <c r="Q767" t="n">
        <v>0</v>
      </c>
      <c r="R767" s="2" t="inlineStr"/>
    </row>
    <row r="768" ht="15" customHeight="1">
      <c r="A768" t="inlineStr">
        <is>
          <t>A 33349-2024</t>
        </is>
      </c>
      <c r="B768" s="1" t="n">
        <v>45519</v>
      </c>
      <c r="C768" s="1" t="n">
        <v>45811</v>
      </c>
      <c r="D768" t="inlineStr">
        <is>
          <t>UPPSALA LÄN</t>
        </is>
      </c>
      <c r="E768" t="inlineStr">
        <is>
          <t>ENKÖPING</t>
        </is>
      </c>
      <c r="G768" t="n">
        <v>3.6</v>
      </c>
      <c r="H768" t="n">
        <v>0</v>
      </c>
      <c r="I768" t="n">
        <v>0</v>
      </c>
      <c r="J768" t="n">
        <v>0</v>
      </c>
      <c r="K768" t="n">
        <v>0</v>
      </c>
      <c r="L768" t="n">
        <v>0</v>
      </c>
      <c r="M768" t="n">
        <v>0</v>
      </c>
      <c r="N768" t="n">
        <v>0</v>
      </c>
      <c r="O768" t="n">
        <v>0</v>
      </c>
      <c r="P768" t="n">
        <v>0</v>
      </c>
      <c r="Q768" t="n">
        <v>0</v>
      </c>
      <c r="R768" s="2" t="inlineStr"/>
    </row>
    <row r="769" ht="15" customHeight="1">
      <c r="A769" t="inlineStr">
        <is>
          <t>A 33343-2024</t>
        </is>
      </c>
      <c r="B769" s="1" t="n">
        <v>45519</v>
      </c>
      <c r="C769" s="1" t="n">
        <v>45811</v>
      </c>
      <c r="D769" t="inlineStr">
        <is>
          <t>UPPSALA LÄN</t>
        </is>
      </c>
      <c r="E769" t="inlineStr">
        <is>
          <t>ENKÖPING</t>
        </is>
      </c>
      <c r="G769" t="n">
        <v>2</v>
      </c>
      <c r="H769" t="n">
        <v>0</v>
      </c>
      <c r="I769" t="n">
        <v>0</v>
      </c>
      <c r="J769" t="n">
        <v>0</v>
      </c>
      <c r="K769" t="n">
        <v>0</v>
      </c>
      <c r="L769" t="n">
        <v>0</v>
      </c>
      <c r="M769" t="n">
        <v>0</v>
      </c>
      <c r="N769" t="n">
        <v>0</v>
      </c>
      <c r="O769" t="n">
        <v>0</v>
      </c>
      <c r="P769" t="n">
        <v>0</v>
      </c>
      <c r="Q769" t="n">
        <v>0</v>
      </c>
      <c r="R769" s="2" t="inlineStr"/>
    </row>
    <row r="770" ht="15" customHeight="1">
      <c r="A770" t="inlineStr">
        <is>
          <t>A 33448-2024</t>
        </is>
      </c>
      <c r="B770" s="1" t="n">
        <v>45519</v>
      </c>
      <c r="C770" s="1" t="n">
        <v>45811</v>
      </c>
      <c r="D770" t="inlineStr">
        <is>
          <t>UPPSALA LÄN</t>
        </is>
      </c>
      <c r="E770" t="inlineStr">
        <is>
          <t>ENKÖPING</t>
        </is>
      </c>
      <c r="G770" t="n">
        <v>6.1</v>
      </c>
      <c r="H770" t="n">
        <v>0</v>
      </c>
      <c r="I770" t="n">
        <v>0</v>
      </c>
      <c r="J770" t="n">
        <v>0</v>
      </c>
      <c r="K770" t="n">
        <v>0</v>
      </c>
      <c r="L770" t="n">
        <v>0</v>
      </c>
      <c r="M770" t="n">
        <v>0</v>
      </c>
      <c r="N770" t="n">
        <v>0</v>
      </c>
      <c r="O770" t="n">
        <v>0</v>
      </c>
      <c r="P770" t="n">
        <v>0</v>
      </c>
      <c r="Q770" t="n">
        <v>0</v>
      </c>
      <c r="R770" s="2" t="inlineStr"/>
    </row>
    <row r="771" ht="15" customHeight="1">
      <c r="A771" t="inlineStr">
        <is>
          <t>A 33665-2024</t>
        </is>
      </c>
      <c r="B771" s="1" t="n">
        <v>45520</v>
      </c>
      <c r="C771" s="1" t="n">
        <v>45811</v>
      </c>
      <c r="D771" t="inlineStr">
        <is>
          <t>UPPSALA LÄN</t>
        </is>
      </c>
      <c r="E771" t="inlineStr">
        <is>
          <t>ENKÖPING</t>
        </is>
      </c>
      <c r="G771" t="n">
        <v>0.7</v>
      </c>
      <c r="H771" t="n">
        <v>0</v>
      </c>
      <c r="I771" t="n">
        <v>0</v>
      </c>
      <c r="J771" t="n">
        <v>0</v>
      </c>
      <c r="K771" t="n">
        <v>0</v>
      </c>
      <c r="L771" t="n">
        <v>0</v>
      </c>
      <c r="M771" t="n">
        <v>0</v>
      </c>
      <c r="N771" t="n">
        <v>0</v>
      </c>
      <c r="O771" t="n">
        <v>0</v>
      </c>
      <c r="P771" t="n">
        <v>0</v>
      </c>
      <c r="Q771" t="n">
        <v>0</v>
      </c>
      <c r="R771" s="2" t="inlineStr"/>
    </row>
    <row r="772" ht="15" customHeight="1">
      <c r="A772" t="inlineStr">
        <is>
          <t>A 33669-2024</t>
        </is>
      </c>
      <c r="B772" s="1" t="n">
        <v>45520</v>
      </c>
      <c r="C772" s="1" t="n">
        <v>45811</v>
      </c>
      <c r="D772" t="inlineStr">
        <is>
          <t>UPPSALA LÄN</t>
        </is>
      </c>
      <c r="E772" t="inlineStr">
        <is>
          <t>ENKÖPING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33663-2024</t>
        </is>
      </c>
      <c r="B773" s="1" t="n">
        <v>45520</v>
      </c>
      <c r="C773" s="1" t="n">
        <v>45811</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33670-2024</t>
        </is>
      </c>
      <c r="B774" s="1" t="n">
        <v>45520</v>
      </c>
      <c r="C774" s="1" t="n">
        <v>45811</v>
      </c>
      <c r="D774" t="inlineStr">
        <is>
          <t>UPPSALA LÄN</t>
        </is>
      </c>
      <c r="E774" t="inlineStr">
        <is>
          <t>ENKÖPING</t>
        </is>
      </c>
      <c r="G774" t="n">
        <v>1.9</v>
      </c>
      <c r="H774" t="n">
        <v>0</v>
      </c>
      <c r="I774" t="n">
        <v>0</v>
      </c>
      <c r="J774" t="n">
        <v>0</v>
      </c>
      <c r="K774" t="n">
        <v>0</v>
      </c>
      <c r="L774" t="n">
        <v>0</v>
      </c>
      <c r="M774" t="n">
        <v>0</v>
      </c>
      <c r="N774" t="n">
        <v>0</v>
      </c>
      <c r="O774" t="n">
        <v>0</v>
      </c>
      <c r="P774" t="n">
        <v>0</v>
      </c>
      <c r="Q774" t="n">
        <v>0</v>
      </c>
      <c r="R774" s="2" t="inlineStr"/>
    </row>
    <row r="775" ht="15" customHeight="1">
      <c r="A775" t="inlineStr">
        <is>
          <t>A 33956-2024</t>
        </is>
      </c>
      <c r="B775" s="1" t="n">
        <v>45523</v>
      </c>
      <c r="C775" s="1" t="n">
        <v>45811</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33951-2024</t>
        </is>
      </c>
      <c r="B776" s="1" t="n">
        <v>45523</v>
      </c>
      <c r="C776" s="1" t="n">
        <v>45811</v>
      </c>
      <c r="D776" t="inlineStr">
        <is>
          <t>UPPSALA LÄN</t>
        </is>
      </c>
      <c r="E776" t="inlineStr">
        <is>
          <t>ENKÖPING</t>
        </is>
      </c>
      <c r="G776" t="n">
        <v>3.5</v>
      </c>
      <c r="H776" t="n">
        <v>0</v>
      </c>
      <c r="I776" t="n">
        <v>0</v>
      </c>
      <c r="J776" t="n">
        <v>0</v>
      </c>
      <c r="K776" t="n">
        <v>0</v>
      </c>
      <c r="L776" t="n">
        <v>0</v>
      </c>
      <c r="M776" t="n">
        <v>0</v>
      </c>
      <c r="N776" t="n">
        <v>0</v>
      </c>
      <c r="O776" t="n">
        <v>0</v>
      </c>
      <c r="P776" t="n">
        <v>0</v>
      </c>
      <c r="Q776" t="n">
        <v>0</v>
      </c>
      <c r="R776" s="2" t="inlineStr"/>
    </row>
    <row r="777" ht="15" customHeight="1">
      <c r="A777" t="inlineStr">
        <is>
          <t>A 33955-2024</t>
        </is>
      </c>
      <c r="B777" s="1" t="n">
        <v>45523</v>
      </c>
      <c r="C777" s="1" t="n">
        <v>45811</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34060-2024</t>
        </is>
      </c>
      <c r="B778" s="1" t="n">
        <v>45523</v>
      </c>
      <c r="C778" s="1" t="n">
        <v>45811</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34805-2024</t>
        </is>
      </c>
      <c r="B779" s="1" t="n">
        <v>45526</v>
      </c>
      <c r="C779" s="1" t="n">
        <v>45811</v>
      </c>
      <c r="D779" t="inlineStr">
        <is>
          <t>UPPSALA LÄN</t>
        </is>
      </c>
      <c r="E779" t="inlineStr">
        <is>
          <t>ENKÖPING</t>
        </is>
      </c>
      <c r="G779" t="n">
        <v>3.6</v>
      </c>
      <c r="H779" t="n">
        <v>0</v>
      </c>
      <c r="I779" t="n">
        <v>0</v>
      </c>
      <c r="J779" t="n">
        <v>0</v>
      </c>
      <c r="K779" t="n">
        <v>0</v>
      </c>
      <c r="L779" t="n">
        <v>0</v>
      </c>
      <c r="M779" t="n">
        <v>0</v>
      </c>
      <c r="N779" t="n">
        <v>0</v>
      </c>
      <c r="O779" t="n">
        <v>0</v>
      </c>
      <c r="P779" t="n">
        <v>0</v>
      </c>
      <c r="Q779" t="n">
        <v>0</v>
      </c>
      <c r="R779" s="2" t="inlineStr"/>
    </row>
    <row r="780" ht="15" customHeight="1">
      <c r="A780" t="inlineStr">
        <is>
          <t>A 35052-2024</t>
        </is>
      </c>
      <c r="B780" s="1" t="n">
        <v>45527</v>
      </c>
      <c r="C780" s="1" t="n">
        <v>45811</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35056-2024</t>
        </is>
      </c>
      <c r="B781" s="1" t="n">
        <v>45527</v>
      </c>
      <c r="C781" s="1" t="n">
        <v>45811</v>
      </c>
      <c r="D781" t="inlineStr">
        <is>
          <t>UPPSALA LÄN</t>
        </is>
      </c>
      <c r="E781" t="inlineStr">
        <is>
          <t>ENKÖPING</t>
        </is>
      </c>
      <c r="G781" t="n">
        <v>0.9</v>
      </c>
      <c r="H781" t="n">
        <v>0</v>
      </c>
      <c r="I781" t="n">
        <v>0</v>
      </c>
      <c r="J781" t="n">
        <v>0</v>
      </c>
      <c r="K781" t="n">
        <v>0</v>
      </c>
      <c r="L781" t="n">
        <v>0</v>
      </c>
      <c r="M781" t="n">
        <v>0</v>
      </c>
      <c r="N781" t="n">
        <v>0</v>
      </c>
      <c r="O781" t="n">
        <v>0</v>
      </c>
      <c r="P781" t="n">
        <v>0</v>
      </c>
      <c r="Q781" t="n">
        <v>0</v>
      </c>
      <c r="R781" s="2" t="inlineStr"/>
    </row>
    <row r="782" ht="15" customHeight="1">
      <c r="A782" t="inlineStr">
        <is>
          <t>A 35064-2024</t>
        </is>
      </c>
      <c r="B782" s="1" t="n">
        <v>45527</v>
      </c>
      <c r="C782" s="1" t="n">
        <v>45811</v>
      </c>
      <c r="D782" t="inlineStr">
        <is>
          <t>UPPSALA LÄN</t>
        </is>
      </c>
      <c r="E782" t="inlineStr">
        <is>
          <t>ENKÖPING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35072-2024</t>
        </is>
      </c>
      <c r="B783" s="1" t="n">
        <v>45527</v>
      </c>
      <c r="C783" s="1" t="n">
        <v>45811</v>
      </c>
      <c r="D783" t="inlineStr">
        <is>
          <t>UPPSALA LÄN</t>
        </is>
      </c>
      <c r="E783" t="inlineStr">
        <is>
          <t>ENKÖPING</t>
        </is>
      </c>
      <c r="G783" t="n">
        <v>0.6</v>
      </c>
      <c r="H783" t="n">
        <v>0</v>
      </c>
      <c r="I783" t="n">
        <v>0</v>
      </c>
      <c r="J783" t="n">
        <v>0</v>
      </c>
      <c r="K783" t="n">
        <v>0</v>
      </c>
      <c r="L783" t="n">
        <v>0</v>
      </c>
      <c r="M783" t="n">
        <v>0</v>
      </c>
      <c r="N783" t="n">
        <v>0</v>
      </c>
      <c r="O783" t="n">
        <v>0</v>
      </c>
      <c r="P783" t="n">
        <v>0</v>
      </c>
      <c r="Q783" t="n">
        <v>0</v>
      </c>
      <c r="R783" s="2" t="inlineStr"/>
    </row>
    <row r="784" ht="15" customHeight="1">
      <c r="A784" t="inlineStr">
        <is>
          <t>A 35067-2024</t>
        </is>
      </c>
      <c r="B784" s="1" t="n">
        <v>45527</v>
      </c>
      <c r="C784" s="1" t="n">
        <v>45811</v>
      </c>
      <c r="D784" t="inlineStr">
        <is>
          <t>UPPSALA LÄN</t>
        </is>
      </c>
      <c r="E784" t="inlineStr">
        <is>
          <t>ENKÖPING</t>
        </is>
      </c>
      <c r="G784" t="n">
        <v>1</v>
      </c>
      <c r="H784" t="n">
        <v>0</v>
      </c>
      <c r="I784" t="n">
        <v>0</v>
      </c>
      <c r="J784" t="n">
        <v>0</v>
      </c>
      <c r="K784" t="n">
        <v>0</v>
      </c>
      <c r="L784" t="n">
        <v>0</v>
      </c>
      <c r="M784" t="n">
        <v>0</v>
      </c>
      <c r="N784" t="n">
        <v>0</v>
      </c>
      <c r="O784" t="n">
        <v>0</v>
      </c>
      <c r="P784" t="n">
        <v>0</v>
      </c>
      <c r="Q784" t="n">
        <v>0</v>
      </c>
      <c r="R784" s="2" t="inlineStr"/>
    </row>
    <row r="785" ht="15" customHeight="1">
      <c r="A785" t="inlineStr">
        <is>
          <t>A 35079-2024</t>
        </is>
      </c>
      <c r="B785" s="1" t="n">
        <v>45527</v>
      </c>
      <c r="C785" s="1" t="n">
        <v>45811</v>
      </c>
      <c r="D785" t="inlineStr">
        <is>
          <t>UPPSALA LÄN</t>
        </is>
      </c>
      <c r="E785" t="inlineStr">
        <is>
          <t>ENKÖPING</t>
        </is>
      </c>
      <c r="G785" t="n">
        <v>0.5</v>
      </c>
      <c r="H785" t="n">
        <v>0</v>
      </c>
      <c r="I785" t="n">
        <v>0</v>
      </c>
      <c r="J785" t="n">
        <v>0</v>
      </c>
      <c r="K785" t="n">
        <v>0</v>
      </c>
      <c r="L785" t="n">
        <v>0</v>
      </c>
      <c r="M785" t="n">
        <v>0</v>
      </c>
      <c r="N785" t="n">
        <v>0</v>
      </c>
      <c r="O785" t="n">
        <v>0</v>
      </c>
      <c r="P785" t="n">
        <v>0</v>
      </c>
      <c r="Q785" t="n">
        <v>0</v>
      </c>
      <c r="R785" s="2" t="inlineStr"/>
    </row>
    <row r="786" ht="15" customHeight="1">
      <c r="A786" t="inlineStr">
        <is>
          <t>A 35680-2024</t>
        </is>
      </c>
      <c r="B786" s="1" t="n">
        <v>45532</v>
      </c>
      <c r="C786" s="1" t="n">
        <v>45811</v>
      </c>
      <c r="D786" t="inlineStr">
        <is>
          <t>UPPSALA LÄN</t>
        </is>
      </c>
      <c r="E786" t="inlineStr">
        <is>
          <t>ENKÖPING</t>
        </is>
      </c>
      <c r="G786" t="n">
        <v>1.6</v>
      </c>
      <c r="H786" t="n">
        <v>0</v>
      </c>
      <c r="I786" t="n">
        <v>0</v>
      </c>
      <c r="J786" t="n">
        <v>0</v>
      </c>
      <c r="K786" t="n">
        <v>0</v>
      </c>
      <c r="L786" t="n">
        <v>0</v>
      </c>
      <c r="M786" t="n">
        <v>0</v>
      </c>
      <c r="N786" t="n">
        <v>0</v>
      </c>
      <c r="O786" t="n">
        <v>0</v>
      </c>
      <c r="P786" t="n">
        <v>0</v>
      </c>
      <c r="Q786" t="n">
        <v>0</v>
      </c>
      <c r="R786" s="2" t="inlineStr"/>
    </row>
    <row r="787" ht="15" customHeight="1">
      <c r="A787" t="inlineStr">
        <is>
          <t>A 36007-2024</t>
        </is>
      </c>
      <c r="B787" s="1" t="n">
        <v>45533</v>
      </c>
      <c r="C787" s="1" t="n">
        <v>45811</v>
      </c>
      <c r="D787" t="inlineStr">
        <is>
          <t>UPPSALA LÄN</t>
        </is>
      </c>
      <c r="E787" t="inlineStr">
        <is>
          <t>ENKÖPING</t>
        </is>
      </c>
      <c r="G787" t="n">
        <v>3.1</v>
      </c>
      <c r="H787" t="n">
        <v>0</v>
      </c>
      <c r="I787" t="n">
        <v>0</v>
      </c>
      <c r="J787" t="n">
        <v>0</v>
      </c>
      <c r="K787" t="n">
        <v>0</v>
      </c>
      <c r="L787" t="n">
        <v>0</v>
      </c>
      <c r="M787" t="n">
        <v>0</v>
      </c>
      <c r="N787" t="n">
        <v>0</v>
      </c>
      <c r="O787" t="n">
        <v>0</v>
      </c>
      <c r="P787" t="n">
        <v>0</v>
      </c>
      <c r="Q787" t="n">
        <v>0</v>
      </c>
      <c r="R787" s="2" t="inlineStr"/>
    </row>
    <row r="788" ht="15" customHeight="1">
      <c r="A788" t="inlineStr">
        <is>
          <t>A 37115-2024</t>
        </is>
      </c>
      <c r="B788" s="1" t="n">
        <v>45539</v>
      </c>
      <c r="C788" s="1" t="n">
        <v>45811</v>
      </c>
      <c r="D788" t="inlineStr">
        <is>
          <t>UPPSALA LÄN</t>
        </is>
      </c>
      <c r="E788" t="inlineStr">
        <is>
          <t>ENKÖPING</t>
        </is>
      </c>
      <c r="G788" t="n">
        <v>1.8</v>
      </c>
      <c r="H788" t="n">
        <v>0</v>
      </c>
      <c r="I788" t="n">
        <v>0</v>
      </c>
      <c r="J788" t="n">
        <v>0</v>
      </c>
      <c r="K788" t="n">
        <v>0</v>
      </c>
      <c r="L788" t="n">
        <v>0</v>
      </c>
      <c r="M788" t="n">
        <v>0</v>
      </c>
      <c r="N788" t="n">
        <v>0</v>
      </c>
      <c r="O788" t="n">
        <v>0</v>
      </c>
      <c r="P788" t="n">
        <v>0</v>
      </c>
      <c r="Q788" t="n">
        <v>0</v>
      </c>
      <c r="R788" s="2" t="inlineStr"/>
    </row>
    <row r="789" ht="15" customHeight="1">
      <c r="A789" t="inlineStr">
        <is>
          <t>A 37465-2024</t>
        </is>
      </c>
      <c r="B789" s="1" t="n">
        <v>45540</v>
      </c>
      <c r="C789" s="1" t="n">
        <v>45811</v>
      </c>
      <c r="D789" t="inlineStr">
        <is>
          <t>UPPSALA LÄN</t>
        </is>
      </c>
      <c r="E789" t="inlineStr">
        <is>
          <t>ENKÖPING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37466-2024</t>
        </is>
      </c>
      <c r="B790" s="1" t="n">
        <v>45540</v>
      </c>
      <c r="C790" s="1" t="n">
        <v>45811</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37704-2024</t>
        </is>
      </c>
      <c r="B791" s="1" t="n">
        <v>45541</v>
      </c>
      <c r="C791" s="1" t="n">
        <v>45811</v>
      </c>
      <c r="D791" t="inlineStr">
        <is>
          <t>UPPSALA LÄN</t>
        </is>
      </c>
      <c r="E791" t="inlineStr">
        <is>
          <t>ENKÖPING</t>
        </is>
      </c>
      <c r="G791" t="n">
        <v>4.7</v>
      </c>
      <c r="H791" t="n">
        <v>0</v>
      </c>
      <c r="I791" t="n">
        <v>0</v>
      </c>
      <c r="J791" t="n">
        <v>0</v>
      </c>
      <c r="K791" t="n">
        <v>0</v>
      </c>
      <c r="L791" t="n">
        <v>0</v>
      </c>
      <c r="M791" t="n">
        <v>0</v>
      </c>
      <c r="N791" t="n">
        <v>0</v>
      </c>
      <c r="O791" t="n">
        <v>0</v>
      </c>
      <c r="P791" t="n">
        <v>0</v>
      </c>
      <c r="Q791" t="n">
        <v>0</v>
      </c>
      <c r="R791" s="2" t="inlineStr"/>
    </row>
    <row r="792" ht="15" customHeight="1">
      <c r="A792" t="inlineStr">
        <is>
          <t>A 39009-2024</t>
        </is>
      </c>
      <c r="B792" s="1" t="n">
        <v>45548</v>
      </c>
      <c r="C792" s="1" t="n">
        <v>45811</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39115-2024</t>
        </is>
      </c>
      <c r="B793" s="1" t="n">
        <v>45548</v>
      </c>
      <c r="C793" s="1" t="n">
        <v>45811</v>
      </c>
      <c r="D793" t="inlineStr">
        <is>
          <t>UPPSALA LÄN</t>
        </is>
      </c>
      <c r="E793" t="inlineStr">
        <is>
          <t>ENKÖPING</t>
        </is>
      </c>
      <c r="G793" t="n">
        <v>1.3</v>
      </c>
      <c r="H793" t="n">
        <v>0</v>
      </c>
      <c r="I793" t="n">
        <v>0</v>
      </c>
      <c r="J793" t="n">
        <v>0</v>
      </c>
      <c r="K793" t="n">
        <v>0</v>
      </c>
      <c r="L793" t="n">
        <v>0</v>
      </c>
      <c r="M793" t="n">
        <v>0</v>
      </c>
      <c r="N793" t="n">
        <v>0</v>
      </c>
      <c r="O793" t="n">
        <v>0</v>
      </c>
      <c r="P793" t="n">
        <v>0</v>
      </c>
      <c r="Q793" t="n">
        <v>0</v>
      </c>
      <c r="R793" s="2" t="inlineStr"/>
    </row>
    <row r="794" ht="15" customHeight="1">
      <c r="A794" t="inlineStr">
        <is>
          <t>A 39858-2024</t>
        </is>
      </c>
      <c r="B794" s="1" t="n">
        <v>45553</v>
      </c>
      <c r="C794" s="1" t="n">
        <v>45811</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40217-2024</t>
        </is>
      </c>
      <c r="B795" s="1" t="n">
        <v>45554</v>
      </c>
      <c r="C795" s="1" t="n">
        <v>45811</v>
      </c>
      <c r="D795" t="inlineStr">
        <is>
          <t>UPPSALA LÄN</t>
        </is>
      </c>
      <c r="E795" t="inlineStr">
        <is>
          <t>ENKÖPING</t>
        </is>
      </c>
      <c r="G795" t="n">
        <v>4</v>
      </c>
      <c r="H795" t="n">
        <v>0</v>
      </c>
      <c r="I795" t="n">
        <v>0</v>
      </c>
      <c r="J795" t="n">
        <v>0</v>
      </c>
      <c r="K795" t="n">
        <v>0</v>
      </c>
      <c r="L795" t="n">
        <v>0</v>
      </c>
      <c r="M795" t="n">
        <v>0</v>
      </c>
      <c r="N795" t="n">
        <v>0</v>
      </c>
      <c r="O795" t="n">
        <v>0</v>
      </c>
      <c r="P795" t="n">
        <v>0</v>
      </c>
      <c r="Q795" t="n">
        <v>0</v>
      </c>
      <c r="R795" s="2" t="inlineStr"/>
    </row>
    <row r="796" ht="15" customHeight="1">
      <c r="A796" t="inlineStr">
        <is>
          <t>A 40223-2024</t>
        </is>
      </c>
      <c r="B796" s="1" t="n">
        <v>45554</v>
      </c>
      <c r="C796" s="1" t="n">
        <v>45811</v>
      </c>
      <c r="D796" t="inlineStr">
        <is>
          <t>UPPSALA LÄN</t>
        </is>
      </c>
      <c r="E796" t="inlineStr">
        <is>
          <t>ENKÖPING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40202-2024</t>
        </is>
      </c>
      <c r="B797" s="1" t="n">
        <v>45554</v>
      </c>
      <c r="C797" s="1" t="n">
        <v>45811</v>
      </c>
      <c r="D797" t="inlineStr">
        <is>
          <t>UPPSALA LÄN</t>
        </is>
      </c>
      <c r="E797" t="inlineStr">
        <is>
          <t>ENKÖPING</t>
        </is>
      </c>
      <c r="G797" t="n">
        <v>6.2</v>
      </c>
      <c r="H797" t="n">
        <v>0</v>
      </c>
      <c r="I797" t="n">
        <v>0</v>
      </c>
      <c r="J797" t="n">
        <v>0</v>
      </c>
      <c r="K797" t="n">
        <v>0</v>
      </c>
      <c r="L797" t="n">
        <v>0</v>
      </c>
      <c r="M797" t="n">
        <v>0</v>
      </c>
      <c r="N797" t="n">
        <v>0</v>
      </c>
      <c r="O797" t="n">
        <v>0</v>
      </c>
      <c r="P797" t="n">
        <v>0</v>
      </c>
      <c r="Q797" t="n">
        <v>0</v>
      </c>
      <c r="R797" s="2" t="inlineStr"/>
    </row>
    <row r="798" ht="15" customHeight="1">
      <c r="A798" t="inlineStr">
        <is>
          <t>A 41828-2024</t>
        </is>
      </c>
      <c r="B798" s="1" t="n">
        <v>45561</v>
      </c>
      <c r="C798" s="1" t="n">
        <v>45811</v>
      </c>
      <c r="D798" t="inlineStr">
        <is>
          <t>UPPSALA LÄN</t>
        </is>
      </c>
      <c r="E798" t="inlineStr">
        <is>
          <t>ENKÖPING</t>
        </is>
      </c>
      <c r="G798" t="n">
        <v>2.5</v>
      </c>
      <c r="H798" t="n">
        <v>0</v>
      </c>
      <c r="I798" t="n">
        <v>0</v>
      </c>
      <c r="J798" t="n">
        <v>0</v>
      </c>
      <c r="K798" t="n">
        <v>0</v>
      </c>
      <c r="L798" t="n">
        <v>0</v>
      </c>
      <c r="M798" t="n">
        <v>0</v>
      </c>
      <c r="N798" t="n">
        <v>0</v>
      </c>
      <c r="O798" t="n">
        <v>0</v>
      </c>
      <c r="P798" t="n">
        <v>0</v>
      </c>
      <c r="Q798" t="n">
        <v>0</v>
      </c>
      <c r="R798" s="2" t="inlineStr"/>
    </row>
    <row r="799" ht="15" customHeight="1">
      <c r="A799" t="inlineStr">
        <is>
          <t>A 41856-2024</t>
        </is>
      </c>
      <c r="B799" s="1" t="n">
        <v>45561</v>
      </c>
      <c r="C799" s="1" t="n">
        <v>45811</v>
      </c>
      <c r="D799" t="inlineStr">
        <is>
          <t>UPPSALA LÄN</t>
        </is>
      </c>
      <c r="E799" t="inlineStr">
        <is>
          <t>ENKÖPING</t>
        </is>
      </c>
      <c r="G799" t="n">
        <v>1.1</v>
      </c>
      <c r="H799" t="n">
        <v>0</v>
      </c>
      <c r="I799" t="n">
        <v>0</v>
      </c>
      <c r="J799" t="n">
        <v>0</v>
      </c>
      <c r="K799" t="n">
        <v>0</v>
      </c>
      <c r="L799" t="n">
        <v>0</v>
      </c>
      <c r="M799" t="n">
        <v>0</v>
      </c>
      <c r="N799" t="n">
        <v>0</v>
      </c>
      <c r="O799" t="n">
        <v>0</v>
      </c>
      <c r="P799" t="n">
        <v>0</v>
      </c>
      <c r="Q799" t="n">
        <v>0</v>
      </c>
      <c r="R799" s="2" t="inlineStr"/>
    </row>
    <row r="800" ht="15" customHeight="1">
      <c r="A800" t="inlineStr">
        <is>
          <t>A 41826-2024</t>
        </is>
      </c>
      <c r="B800" s="1" t="n">
        <v>45561</v>
      </c>
      <c r="C800" s="1" t="n">
        <v>45811</v>
      </c>
      <c r="D800" t="inlineStr">
        <is>
          <t>UPPSALA LÄN</t>
        </is>
      </c>
      <c r="E800" t="inlineStr">
        <is>
          <t>ENKÖPING</t>
        </is>
      </c>
      <c r="G800" t="n">
        <v>0.5</v>
      </c>
      <c r="H800" t="n">
        <v>0</v>
      </c>
      <c r="I800" t="n">
        <v>0</v>
      </c>
      <c r="J800" t="n">
        <v>0</v>
      </c>
      <c r="K800" t="n">
        <v>0</v>
      </c>
      <c r="L800" t="n">
        <v>0</v>
      </c>
      <c r="M800" t="n">
        <v>0</v>
      </c>
      <c r="N800" t="n">
        <v>0</v>
      </c>
      <c r="O800" t="n">
        <v>0</v>
      </c>
      <c r="P800" t="n">
        <v>0</v>
      </c>
      <c r="Q800" t="n">
        <v>0</v>
      </c>
      <c r="R800" s="2" t="inlineStr"/>
    </row>
    <row r="801" ht="15" customHeight="1">
      <c r="A801" t="inlineStr">
        <is>
          <t>A 41850-2024</t>
        </is>
      </c>
      <c r="B801" s="1" t="n">
        <v>45561</v>
      </c>
      <c r="C801" s="1" t="n">
        <v>45811</v>
      </c>
      <c r="D801" t="inlineStr">
        <is>
          <t>UPPSALA LÄN</t>
        </is>
      </c>
      <c r="E801" t="inlineStr">
        <is>
          <t>ENKÖPING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42564-2024</t>
        </is>
      </c>
      <c r="B802" s="1" t="n">
        <v>45565</v>
      </c>
      <c r="C802" s="1" t="n">
        <v>45811</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42459-2024</t>
        </is>
      </c>
      <c r="B803" s="1" t="n">
        <v>45565</v>
      </c>
      <c r="C803" s="1" t="n">
        <v>45811</v>
      </c>
      <c r="D803" t="inlineStr">
        <is>
          <t>UPPSALA LÄN</t>
        </is>
      </c>
      <c r="E803" t="inlineStr">
        <is>
          <t>ENKÖPING</t>
        </is>
      </c>
      <c r="G803" t="n">
        <v>3.6</v>
      </c>
      <c r="H803" t="n">
        <v>0</v>
      </c>
      <c r="I803" t="n">
        <v>0</v>
      </c>
      <c r="J803" t="n">
        <v>0</v>
      </c>
      <c r="K803" t="n">
        <v>0</v>
      </c>
      <c r="L803" t="n">
        <v>0</v>
      </c>
      <c r="M803" t="n">
        <v>0</v>
      </c>
      <c r="N803" t="n">
        <v>0</v>
      </c>
      <c r="O803" t="n">
        <v>0</v>
      </c>
      <c r="P803" t="n">
        <v>0</v>
      </c>
      <c r="Q803" t="n">
        <v>0</v>
      </c>
      <c r="R803" s="2" t="inlineStr"/>
    </row>
    <row r="804" ht="15" customHeight="1">
      <c r="A804" t="inlineStr">
        <is>
          <t>A 43205-2024</t>
        </is>
      </c>
      <c r="B804" s="1" t="n">
        <v>45567</v>
      </c>
      <c r="C804" s="1" t="n">
        <v>45811</v>
      </c>
      <c r="D804" t="inlineStr">
        <is>
          <t>UPPSALA LÄN</t>
        </is>
      </c>
      <c r="E804" t="inlineStr">
        <is>
          <t>ENKÖPING</t>
        </is>
      </c>
      <c r="G804" t="n">
        <v>4.8</v>
      </c>
      <c r="H804" t="n">
        <v>0</v>
      </c>
      <c r="I804" t="n">
        <v>0</v>
      </c>
      <c r="J804" t="n">
        <v>0</v>
      </c>
      <c r="K804" t="n">
        <v>0</v>
      </c>
      <c r="L804" t="n">
        <v>0</v>
      </c>
      <c r="M804" t="n">
        <v>0</v>
      </c>
      <c r="N804" t="n">
        <v>0</v>
      </c>
      <c r="O804" t="n">
        <v>0</v>
      </c>
      <c r="P804" t="n">
        <v>0</v>
      </c>
      <c r="Q804" t="n">
        <v>0</v>
      </c>
      <c r="R804" s="2" t="inlineStr"/>
    </row>
    <row r="805" ht="15" customHeight="1">
      <c r="A805" t="inlineStr">
        <is>
          <t>A 43697-2024</t>
        </is>
      </c>
      <c r="B805" s="1" t="n">
        <v>45569</v>
      </c>
      <c r="C805" s="1" t="n">
        <v>45811</v>
      </c>
      <c r="D805" t="inlineStr">
        <is>
          <t>UPPSALA LÄN</t>
        </is>
      </c>
      <c r="E805" t="inlineStr">
        <is>
          <t>ENKÖPING</t>
        </is>
      </c>
      <c r="G805" t="n">
        <v>2.1</v>
      </c>
      <c r="H805" t="n">
        <v>0</v>
      </c>
      <c r="I805" t="n">
        <v>0</v>
      </c>
      <c r="J805" t="n">
        <v>0</v>
      </c>
      <c r="K805" t="n">
        <v>0</v>
      </c>
      <c r="L805" t="n">
        <v>0</v>
      </c>
      <c r="M805" t="n">
        <v>0</v>
      </c>
      <c r="N805" t="n">
        <v>0</v>
      </c>
      <c r="O805" t="n">
        <v>0</v>
      </c>
      <c r="P805" t="n">
        <v>0</v>
      </c>
      <c r="Q805" t="n">
        <v>0</v>
      </c>
      <c r="R805" s="2" t="inlineStr"/>
    </row>
    <row r="806" ht="15" customHeight="1">
      <c r="A806" t="inlineStr">
        <is>
          <t>A 43691-2024</t>
        </is>
      </c>
      <c r="B806" s="1" t="n">
        <v>45569</v>
      </c>
      <c r="C806" s="1" t="n">
        <v>45811</v>
      </c>
      <c r="D806" t="inlineStr">
        <is>
          <t>UPPSALA LÄN</t>
        </is>
      </c>
      <c r="E806" t="inlineStr">
        <is>
          <t>ENKÖPING</t>
        </is>
      </c>
      <c r="G806" t="n">
        <v>1.8</v>
      </c>
      <c r="H806" t="n">
        <v>0</v>
      </c>
      <c r="I806" t="n">
        <v>0</v>
      </c>
      <c r="J806" t="n">
        <v>0</v>
      </c>
      <c r="K806" t="n">
        <v>0</v>
      </c>
      <c r="L806" t="n">
        <v>0</v>
      </c>
      <c r="M806" t="n">
        <v>0</v>
      </c>
      <c r="N806" t="n">
        <v>0</v>
      </c>
      <c r="O806" t="n">
        <v>0</v>
      </c>
      <c r="P806" t="n">
        <v>0</v>
      </c>
      <c r="Q806" t="n">
        <v>0</v>
      </c>
      <c r="R806" s="2" t="inlineStr"/>
    </row>
    <row r="807" ht="15" customHeight="1">
      <c r="A807" t="inlineStr">
        <is>
          <t>A 44024-2024</t>
        </is>
      </c>
      <c r="B807" s="1" t="n">
        <v>45572</v>
      </c>
      <c r="C807" s="1" t="n">
        <v>45811</v>
      </c>
      <c r="D807" t="inlineStr">
        <is>
          <t>UPPSALA LÄN</t>
        </is>
      </c>
      <c r="E807" t="inlineStr">
        <is>
          <t>ENKÖPING</t>
        </is>
      </c>
      <c r="G807" t="n">
        <v>9.800000000000001</v>
      </c>
      <c r="H807" t="n">
        <v>0</v>
      </c>
      <c r="I807" t="n">
        <v>0</v>
      </c>
      <c r="J807" t="n">
        <v>0</v>
      </c>
      <c r="K807" t="n">
        <v>0</v>
      </c>
      <c r="L807" t="n">
        <v>0</v>
      </c>
      <c r="M807" t="n">
        <v>0</v>
      </c>
      <c r="N807" t="n">
        <v>0</v>
      </c>
      <c r="O807" t="n">
        <v>0</v>
      </c>
      <c r="P807" t="n">
        <v>0</v>
      </c>
      <c r="Q807" t="n">
        <v>0</v>
      </c>
      <c r="R807" s="2" t="inlineStr"/>
    </row>
    <row r="808" ht="15" customHeight="1">
      <c r="A808" t="inlineStr">
        <is>
          <t>A 44074-2024</t>
        </is>
      </c>
      <c r="B808" s="1" t="n">
        <v>45572</v>
      </c>
      <c r="C808" s="1" t="n">
        <v>45811</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44115-2024</t>
        </is>
      </c>
      <c r="B809" s="1" t="n">
        <v>45572</v>
      </c>
      <c r="C809" s="1" t="n">
        <v>45811</v>
      </c>
      <c r="D809" t="inlineStr">
        <is>
          <t>UPPSALA LÄN</t>
        </is>
      </c>
      <c r="E809" t="inlineStr">
        <is>
          <t>ENKÖPING</t>
        </is>
      </c>
      <c r="G809" t="n">
        <v>0.8</v>
      </c>
      <c r="H809" t="n">
        <v>0</v>
      </c>
      <c r="I809" t="n">
        <v>0</v>
      </c>
      <c r="J809" t="n">
        <v>0</v>
      </c>
      <c r="K809" t="n">
        <v>0</v>
      </c>
      <c r="L809" t="n">
        <v>0</v>
      </c>
      <c r="M809" t="n">
        <v>0</v>
      </c>
      <c r="N809" t="n">
        <v>0</v>
      </c>
      <c r="O809" t="n">
        <v>0</v>
      </c>
      <c r="P809" t="n">
        <v>0</v>
      </c>
      <c r="Q809" t="n">
        <v>0</v>
      </c>
      <c r="R809" s="2" t="inlineStr"/>
    </row>
    <row r="810" ht="15" customHeight="1">
      <c r="A810" t="inlineStr">
        <is>
          <t>A 44055-2024</t>
        </is>
      </c>
      <c r="B810" s="1" t="n">
        <v>45572</v>
      </c>
      <c r="C810" s="1" t="n">
        <v>45811</v>
      </c>
      <c r="D810" t="inlineStr">
        <is>
          <t>UPPSALA LÄN</t>
        </is>
      </c>
      <c r="E810" t="inlineStr">
        <is>
          <t>ENKÖPING</t>
        </is>
      </c>
      <c r="G810" t="n">
        <v>2.6</v>
      </c>
      <c r="H810" t="n">
        <v>0</v>
      </c>
      <c r="I810" t="n">
        <v>0</v>
      </c>
      <c r="J810" t="n">
        <v>0</v>
      </c>
      <c r="K810" t="n">
        <v>0</v>
      </c>
      <c r="L810" t="n">
        <v>0</v>
      </c>
      <c r="M810" t="n">
        <v>0</v>
      </c>
      <c r="N810" t="n">
        <v>0</v>
      </c>
      <c r="O810" t="n">
        <v>0</v>
      </c>
      <c r="P810" t="n">
        <v>0</v>
      </c>
      <c r="Q810" t="n">
        <v>0</v>
      </c>
      <c r="R810" s="2" t="inlineStr"/>
    </row>
    <row r="811" ht="15" customHeight="1">
      <c r="A811" t="inlineStr">
        <is>
          <t>A 44067-2024</t>
        </is>
      </c>
      <c r="B811" s="1" t="n">
        <v>45572</v>
      </c>
      <c r="C811" s="1" t="n">
        <v>45811</v>
      </c>
      <c r="D811" t="inlineStr">
        <is>
          <t>UPPSALA LÄN</t>
        </is>
      </c>
      <c r="E811" t="inlineStr">
        <is>
          <t>ENKÖPING</t>
        </is>
      </c>
      <c r="G811" t="n">
        <v>2.9</v>
      </c>
      <c r="H811" t="n">
        <v>0</v>
      </c>
      <c r="I811" t="n">
        <v>0</v>
      </c>
      <c r="J811" t="n">
        <v>0</v>
      </c>
      <c r="K811" t="n">
        <v>0</v>
      </c>
      <c r="L811" t="n">
        <v>0</v>
      </c>
      <c r="M811" t="n">
        <v>0</v>
      </c>
      <c r="N811" t="n">
        <v>0</v>
      </c>
      <c r="O811" t="n">
        <v>0</v>
      </c>
      <c r="P811" t="n">
        <v>0</v>
      </c>
      <c r="Q811" t="n">
        <v>0</v>
      </c>
      <c r="R811" s="2" t="inlineStr"/>
    </row>
    <row r="812" ht="15" customHeight="1">
      <c r="A812" t="inlineStr">
        <is>
          <t>A 44084-2024</t>
        </is>
      </c>
      <c r="B812" s="1" t="n">
        <v>45572</v>
      </c>
      <c r="C812" s="1" t="n">
        <v>45811</v>
      </c>
      <c r="D812" t="inlineStr">
        <is>
          <t>UPPSALA LÄN</t>
        </is>
      </c>
      <c r="E812" t="inlineStr">
        <is>
          <t>ENKÖPING</t>
        </is>
      </c>
      <c r="G812" t="n">
        <v>1.2</v>
      </c>
      <c r="H812" t="n">
        <v>0</v>
      </c>
      <c r="I812" t="n">
        <v>0</v>
      </c>
      <c r="J812" t="n">
        <v>0</v>
      </c>
      <c r="K812" t="n">
        <v>0</v>
      </c>
      <c r="L812" t="n">
        <v>0</v>
      </c>
      <c r="M812" t="n">
        <v>0</v>
      </c>
      <c r="N812" t="n">
        <v>0</v>
      </c>
      <c r="O812" t="n">
        <v>0</v>
      </c>
      <c r="P812" t="n">
        <v>0</v>
      </c>
      <c r="Q812" t="n">
        <v>0</v>
      </c>
      <c r="R812" s="2" t="inlineStr"/>
    </row>
    <row r="813" ht="15" customHeight="1">
      <c r="A813" t="inlineStr">
        <is>
          <t>A 45155-2024</t>
        </is>
      </c>
      <c r="B813" s="1" t="n">
        <v>45575</v>
      </c>
      <c r="C813" s="1" t="n">
        <v>45811</v>
      </c>
      <c r="D813" t="inlineStr">
        <is>
          <t>UPPSALA LÄN</t>
        </is>
      </c>
      <c r="E813" t="inlineStr">
        <is>
          <t>ENKÖPING</t>
        </is>
      </c>
      <c r="G813" t="n">
        <v>3.9</v>
      </c>
      <c r="H813" t="n">
        <v>0</v>
      </c>
      <c r="I813" t="n">
        <v>0</v>
      </c>
      <c r="J813" t="n">
        <v>0</v>
      </c>
      <c r="K813" t="n">
        <v>0</v>
      </c>
      <c r="L813" t="n">
        <v>0</v>
      </c>
      <c r="M813" t="n">
        <v>0</v>
      </c>
      <c r="N813" t="n">
        <v>0</v>
      </c>
      <c r="O813" t="n">
        <v>0</v>
      </c>
      <c r="P813" t="n">
        <v>0</v>
      </c>
      <c r="Q813" t="n">
        <v>0</v>
      </c>
      <c r="R813" s="2" t="inlineStr"/>
    </row>
    <row r="814" ht="15" customHeight="1">
      <c r="A814" t="inlineStr">
        <is>
          <t>A 45064-2024</t>
        </is>
      </c>
      <c r="B814" s="1" t="n">
        <v>45575</v>
      </c>
      <c r="C814" s="1" t="n">
        <v>45811</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45615-2024</t>
        </is>
      </c>
      <c r="B815" s="1" t="n">
        <v>45579</v>
      </c>
      <c r="C815" s="1" t="n">
        <v>45811</v>
      </c>
      <c r="D815" t="inlineStr">
        <is>
          <t>UPPSALA LÄN</t>
        </is>
      </c>
      <c r="E815" t="inlineStr">
        <is>
          <t>ENKÖPING</t>
        </is>
      </c>
      <c r="G815" t="n">
        <v>3.2</v>
      </c>
      <c r="H815" t="n">
        <v>0</v>
      </c>
      <c r="I815" t="n">
        <v>0</v>
      </c>
      <c r="J815" t="n">
        <v>0</v>
      </c>
      <c r="K815" t="n">
        <v>0</v>
      </c>
      <c r="L815" t="n">
        <v>0</v>
      </c>
      <c r="M815" t="n">
        <v>0</v>
      </c>
      <c r="N815" t="n">
        <v>0</v>
      </c>
      <c r="O815" t="n">
        <v>0</v>
      </c>
      <c r="P815" t="n">
        <v>0</v>
      </c>
      <c r="Q815" t="n">
        <v>0</v>
      </c>
      <c r="R815" s="2" t="inlineStr"/>
    </row>
    <row r="816" ht="15" customHeight="1">
      <c r="A816" t="inlineStr">
        <is>
          <t>A 45996-2024</t>
        </is>
      </c>
      <c r="B816" s="1" t="n">
        <v>45580</v>
      </c>
      <c r="C816" s="1" t="n">
        <v>45811</v>
      </c>
      <c r="D816" t="inlineStr">
        <is>
          <t>UPPSALA LÄN</t>
        </is>
      </c>
      <c r="E816" t="inlineStr">
        <is>
          <t>ENKÖPING</t>
        </is>
      </c>
      <c r="G816" t="n">
        <v>1.6</v>
      </c>
      <c r="H816" t="n">
        <v>0</v>
      </c>
      <c r="I816" t="n">
        <v>0</v>
      </c>
      <c r="J816" t="n">
        <v>0</v>
      </c>
      <c r="K816" t="n">
        <v>0</v>
      </c>
      <c r="L816" t="n">
        <v>0</v>
      </c>
      <c r="M816" t="n">
        <v>0</v>
      </c>
      <c r="N816" t="n">
        <v>0</v>
      </c>
      <c r="O816" t="n">
        <v>0</v>
      </c>
      <c r="P816" t="n">
        <v>0</v>
      </c>
      <c r="Q816" t="n">
        <v>0</v>
      </c>
      <c r="R816" s="2" t="inlineStr"/>
    </row>
    <row r="817" ht="15" customHeight="1">
      <c r="A817" t="inlineStr">
        <is>
          <t>A 45956-2024</t>
        </is>
      </c>
      <c r="B817" s="1" t="n">
        <v>45580</v>
      </c>
      <c r="C817" s="1" t="n">
        <v>45811</v>
      </c>
      <c r="D817" t="inlineStr">
        <is>
          <t>UPPSALA LÄN</t>
        </is>
      </c>
      <c r="E817" t="inlineStr">
        <is>
          <t>ENKÖPING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47101-2024</t>
        </is>
      </c>
      <c r="B818" s="1" t="n">
        <v>45586</v>
      </c>
      <c r="C818" s="1" t="n">
        <v>45811</v>
      </c>
      <c r="D818" t="inlineStr">
        <is>
          <t>UPPSALA LÄN</t>
        </is>
      </c>
      <c r="E818" t="inlineStr">
        <is>
          <t>ENKÖPING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47681-2024</t>
        </is>
      </c>
      <c r="B819" s="1" t="n">
        <v>45588</v>
      </c>
      <c r="C819" s="1" t="n">
        <v>45811</v>
      </c>
      <c r="D819" t="inlineStr">
        <is>
          <t>UPPSALA LÄN</t>
        </is>
      </c>
      <c r="E819" t="inlineStr">
        <is>
          <t>ENKÖPING</t>
        </is>
      </c>
      <c r="G819" t="n">
        <v>4.2</v>
      </c>
      <c r="H819" t="n">
        <v>0</v>
      </c>
      <c r="I819" t="n">
        <v>0</v>
      </c>
      <c r="J819" t="n">
        <v>0</v>
      </c>
      <c r="K819" t="n">
        <v>0</v>
      </c>
      <c r="L819" t="n">
        <v>0</v>
      </c>
      <c r="M819" t="n">
        <v>0</v>
      </c>
      <c r="N819" t="n">
        <v>0</v>
      </c>
      <c r="O819" t="n">
        <v>0</v>
      </c>
      <c r="P819" t="n">
        <v>0</v>
      </c>
      <c r="Q819" t="n">
        <v>0</v>
      </c>
      <c r="R819" s="2" t="inlineStr"/>
    </row>
    <row r="820" ht="15" customHeight="1">
      <c r="A820" t="inlineStr">
        <is>
          <t>A 48060-2024</t>
        </is>
      </c>
      <c r="B820" s="1" t="n">
        <v>45589</v>
      </c>
      <c r="C820" s="1" t="n">
        <v>45811</v>
      </c>
      <c r="D820" t="inlineStr">
        <is>
          <t>UPPSALA LÄN</t>
        </is>
      </c>
      <c r="E820" t="inlineStr">
        <is>
          <t>ENKÖPING</t>
        </is>
      </c>
      <c r="G820" t="n">
        <v>1.7</v>
      </c>
      <c r="H820" t="n">
        <v>0</v>
      </c>
      <c r="I820" t="n">
        <v>0</v>
      </c>
      <c r="J820" t="n">
        <v>0</v>
      </c>
      <c r="K820" t="n">
        <v>0</v>
      </c>
      <c r="L820" t="n">
        <v>0</v>
      </c>
      <c r="M820" t="n">
        <v>0</v>
      </c>
      <c r="N820" t="n">
        <v>0</v>
      </c>
      <c r="O820" t="n">
        <v>0</v>
      </c>
      <c r="P820" t="n">
        <v>0</v>
      </c>
      <c r="Q820" t="n">
        <v>0</v>
      </c>
      <c r="R820" s="2" t="inlineStr"/>
    </row>
    <row r="821" ht="15" customHeight="1">
      <c r="A821" t="inlineStr">
        <is>
          <t>A 47909-2024</t>
        </is>
      </c>
      <c r="B821" s="1" t="n">
        <v>45589</v>
      </c>
      <c r="C821" s="1" t="n">
        <v>45811</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48450-2024</t>
        </is>
      </c>
      <c r="B822" s="1" t="n">
        <v>45590</v>
      </c>
      <c r="C822" s="1" t="n">
        <v>45811</v>
      </c>
      <c r="D822" t="inlineStr">
        <is>
          <t>UPPSALA LÄN</t>
        </is>
      </c>
      <c r="E822" t="inlineStr">
        <is>
          <t>ENKÖPING</t>
        </is>
      </c>
      <c r="F822" t="inlineStr">
        <is>
          <t>Allmännings- och besparingsskogar</t>
        </is>
      </c>
      <c r="G822" t="n">
        <v>7.8</v>
      </c>
      <c r="H822" t="n">
        <v>0</v>
      </c>
      <c r="I822" t="n">
        <v>0</v>
      </c>
      <c r="J822" t="n">
        <v>0</v>
      </c>
      <c r="K822" t="n">
        <v>0</v>
      </c>
      <c r="L822" t="n">
        <v>0</v>
      </c>
      <c r="M822" t="n">
        <v>0</v>
      </c>
      <c r="N822" t="n">
        <v>0</v>
      </c>
      <c r="O822" t="n">
        <v>0</v>
      </c>
      <c r="P822" t="n">
        <v>0</v>
      </c>
      <c r="Q822" t="n">
        <v>0</v>
      </c>
      <c r="R822" s="2" t="inlineStr"/>
    </row>
    <row r="823" ht="15" customHeight="1">
      <c r="A823" t="inlineStr">
        <is>
          <t>A 48447-2024</t>
        </is>
      </c>
      <c r="B823" s="1" t="n">
        <v>45590</v>
      </c>
      <c r="C823" s="1" t="n">
        <v>45811</v>
      </c>
      <c r="D823" t="inlineStr">
        <is>
          <t>UPPSALA LÄN</t>
        </is>
      </c>
      <c r="E823" t="inlineStr">
        <is>
          <t>ENKÖPING</t>
        </is>
      </c>
      <c r="F823" t="inlineStr">
        <is>
          <t>Allmännings- och besparingsskogar</t>
        </is>
      </c>
      <c r="G823" t="n">
        <v>3.7</v>
      </c>
      <c r="H823" t="n">
        <v>0</v>
      </c>
      <c r="I823" t="n">
        <v>0</v>
      </c>
      <c r="J823" t="n">
        <v>0</v>
      </c>
      <c r="K823" t="n">
        <v>0</v>
      </c>
      <c r="L823" t="n">
        <v>0</v>
      </c>
      <c r="M823" t="n">
        <v>0</v>
      </c>
      <c r="N823" t="n">
        <v>0</v>
      </c>
      <c r="O823" t="n">
        <v>0</v>
      </c>
      <c r="P823" t="n">
        <v>0</v>
      </c>
      <c r="Q823" t="n">
        <v>0</v>
      </c>
      <c r="R823" s="2" t="inlineStr"/>
    </row>
    <row r="824" ht="15" customHeight="1">
      <c r="A824" t="inlineStr">
        <is>
          <t>A 49063-2024</t>
        </is>
      </c>
      <c r="B824" s="1" t="n">
        <v>45594</v>
      </c>
      <c r="C824" s="1" t="n">
        <v>45811</v>
      </c>
      <c r="D824" t="inlineStr">
        <is>
          <t>UPPSALA LÄN</t>
        </is>
      </c>
      <c r="E824" t="inlineStr">
        <is>
          <t>ENKÖPING</t>
        </is>
      </c>
      <c r="G824" t="n">
        <v>1.5</v>
      </c>
      <c r="H824" t="n">
        <v>0</v>
      </c>
      <c r="I824" t="n">
        <v>0</v>
      </c>
      <c r="J824" t="n">
        <v>0</v>
      </c>
      <c r="K824" t="n">
        <v>0</v>
      </c>
      <c r="L824" t="n">
        <v>0</v>
      </c>
      <c r="M824" t="n">
        <v>0</v>
      </c>
      <c r="N824" t="n">
        <v>0</v>
      </c>
      <c r="O824" t="n">
        <v>0</v>
      </c>
      <c r="P824" t="n">
        <v>0</v>
      </c>
      <c r="Q824" t="n">
        <v>0</v>
      </c>
      <c r="R824" s="2" t="inlineStr"/>
    </row>
    <row r="825" ht="15" customHeight="1">
      <c r="A825" t="inlineStr">
        <is>
          <t>A 49340-2024</t>
        </is>
      </c>
      <c r="B825" s="1" t="n">
        <v>45595</v>
      </c>
      <c r="C825" s="1" t="n">
        <v>45811</v>
      </c>
      <c r="D825" t="inlineStr">
        <is>
          <t>UPPSALA LÄN</t>
        </is>
      </c>
      <c r="E825" t="inlineStr">
        <is>
          <t>ENKÖPING</t>
        </is>
      </c>
      <c r="G825" t="n">
        <v>2.8</v>
      </c>
      <c r="H825" t="n">
        <v>0</v>
      </c>
      <c r="I825" t="n">
        <v>0</v>
      </c>
      <c r="J825" t="n">
        <v>0</v>
      </c>
      <c r="K825" t="n">
        <v>0</v>
      </c>
      <c r="L825" t="n">
        <v>0</v>
      </c>
      <c r="M825" t="n">
        <v>0</v>
      </c>
      <c r="N825" t="n">
        <v>0</v>
      </c>
      <c r="O825" t="n">
        <v>0</v>
      </c>
      <c r="P825" t="n">
        <v>0</v>
      </c>
      <c r="Q825" t="n">
        <v>0</v>
      </c>
      <c r="R825" s="2" t="inlineStr"/>
    </row>
    <row r="826" ht="15" customHeight="1">
      <c r="A826" t="inlineStr">
        <is>
          <t>A 49601-2024</t>
        </is>
      </c>
      <c r="B826" s="1" t="n">
        <v>45596</v>
      </c>
      <c r="C826" s="1" t="n">
        <v>45811</v>
      </c>
      <c r="D826" t="inlineStr">
        <is>
          <t>UPPSALA LÄN</t>
        </is>
      </c>
      <c r="E826" t="inlineStr">
        <is>
          <t>ENKÖPING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49614-2024</t>
        </is>
      </c>
      <c r="B827" s="1" t="n">
        <v>45596</v>
      </c>
      <c r="C827" s="1" t="n">
        <v>45811</v>
      </c>
      <c r="D827" t="inlineStr">
        <is>
          <t>UPPSALA LÄN</t>
        </is>
      </c>
      <c r="E827" t="inlineStr">
        <is>
          <t>ENKÖPING</t>
        </is>
      </c>
      <c r="G827" t="n">
        <v>0.5</v>
      </c>
      <c r="H827" t="n">
        <v>0</v>
      </c>
      <c r="I827" t="n">
        <v>0</v>
      </c>
      <c r="J827" t="n">
        <v>0</v>
      </c>
      <c r="K827" t="n">
        <v>0</v>
      </c>
      <c r="L827" t="n">
        <v>0</v>
      </c>
      <c r="M827" t="n">
        <v>0</v>
      </c>
      <c r="N827" t="n">
        <v>0</v>
      </c>
      <c r="O827" t="n">
        <v>0</v>
      </c>
      <c r="P827" t="n">
        <v>0</v>
      </c>
      <c r="Q827" t="n">
        <v>0</v>
      </c>
      <c r="R827" s="2" t="inlineStr"/>
    </row>
    <row r="828" ht="15" customHeight="1">
      <c r="A828" t="inlineStr">
        <is>
          <t>A 49623-2024</t>
        </is>
      </c>
      <c r="B828" s="1" t="n">
        <v>45596</v>
      </c>
      <c r="C828" s="1" t="n">
        <v>45811</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49627-2024</t>
        </is>
      </c>
      <c r="B829" s="1" t="n">
        <v>45596</v>
      </c>
      <c r="C829" s="1" t="n">
        <v>45811</v>
      </c>
      <c r="D829" t="inlineStr">
        <is>
          <t>UPPSALA LÄN</t>
        </is>
      </c>
      <c r="E829" t="inlineStr">
        <is>
          <t>ENKÖPING</t>
        </is>
      </c>
      <c r="G829" t="n">
        <v>0.4</v>
      </c>
      <c r="H829" t="n">
        <v>0</v>
      </c>
      <c r="I829" t="n">
        <v>0</v>
      </c>
      <c r="J829" t="n">
        <v>0</v>
      </c>
      <c r="K829" t="n">
        <v>0</v>
      </c>
      <c r="L829" t="n">
        <v>0</v>
      </c>
      <c r="M829" t="n">
        <v>0</v>
      </c>
      <c r="N829" t="n">
        <v>0</v>
      </c>
      <c r="O829" t="n">
        <v>0</v>
      </c>
      <c r="P829" t="n">
        <v>0</v>
      </c>
      <c r="Q829" t="n">
        <v>0</v>
      </c>
      <c r="R829" s="2" t="inlineStr"/>
    </row>
    <row r="830" ht="15" customHeight="1">
      <c r="A830" t="inlineStr">
        <is>
          <t>A 49632-2024</t>
        </is>
      </c>
      <c r="B830" s="1" t="n">
        <v>45596</v>
      </c>
      <c r="C830" s="1" t="n">
        <v>45811</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49597-2024</t>
        </is>
      </c>
      <c r="B831" s="1" t="n">
        <v>45596</v>
      </c>
      <c r="C831" s="1" t="n">
        <v>45811</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49613-2024</t>
        </is>
      </c>
      <c r="B832" s="1" t="n">
        <v>45596</v>
      </c>
      <c r="C832" s="1" t="n">
        <v>45811</v>
      </c>
      <c r="D832" t="inlineStr">
        <is>
          <t>UPPSALA LÄN</t>
        </is>
      </c>
      <c r="E832" t="inlineStr">
        <is>
          <t>ENKÖPING</t>
        </is>
      </c>
      <c r="G832" t="n">
        <v>2.5</v>
      </c>
      <c r="H832" t="n">
        <v>0</v>
      </c>
      <c r="I832" t="n">
        <v>0</v>
      </c>
      <c r="J832" t="n">
        <v>0</v>
      </c>
      <c r="K832" t="n">
        <v>0</v>
      </c>
      <c r="L832" t="n">
        <v>0</v>
      </c>
      <c r="M832" t="n">
        <v>0</v>
      </c>
      <c r="N832" t="n">
        <v>0</v>
      </c>
      <c r="O832" t="n">
        <v>0</v>
      </c>
      <c r="P832" t="n">
        <v>0</v>
      </c>
      <c r="Q832" t="n">
        <v>0</v>
      </c>
      <c r="R832" s="2" t="inlineStr"/>
    </row>
    <row r="833" ht="15" customHeight="1">
      <c r="A833" t="inlineStr">
        <is>
          <t>A 49622-2024</t>
        </is>
      </c>
      <c r="B833" s="1" t="n">
        <v>45596</v>
      </c>
      <c r="C833" s="1" t="n">
        <v>45811</v>
      </c>
      <c r="D833" t="inlineStr">
        <is>
          <t>UPPSALA LÄN</t>
        </is>
      </c>
      <c r="E833" t="inlineStr">
        <is>
          <t>ENKÖPING</t>
        </is>
      </c>
      <c r="G833" t="n">
        <v>1.3</v>
      </c>
      <c r="H833" t="n">
        <v>0</v>
      </c>
      <c r="I833" t="n">
        <v>0</v>
      </c>
      <c r="J833" t="n">
        <v>0</v>
      </c>
      <c r="K833" t="n">
        <v>0</v>
      </c>
      <c r="L833" t="n">
        <v>0</v>
      </c>
      <c r="M833" t="n">
        <v>0</v>
      </c>
      <c r="N833" t="n">
        <v>0</v>
      </c>
      <c r="O833" t="n">
        <v>0</v>
      </c>
      <c r="P833" t="n">
        <v>0</v>
      </c>
      <c r="Q833" t="n">
        <v>0</v>
      </c>
      <c r="R833" s="2" t="inlineStr"/>
    </row>
    <row r="834" ht="15" customHeight="1">
      <c r="A834" t="inlineStr">
        <is>
          <t>A 49617-2024</t>
        </is>
      </c>
      <c r="B834" s="1" t="n">
        <v>45596</v>
      </c>
      <c r="C834" s="1" t="n">
        <v>45811</v>
      </c>
      <c r="D834" t="inlineStr">
        <is>
          <t>UPPSALA LÄN</t>
        </is>
      </c>
      <c r="E834" t="inlineStr">
        <is>
          <t>ENKÖPING</t>
        </is>
      </c>
      <c r="G834" t="n">
        <v>3.5</v>
      </c>
      <c r="H834" t="n">
        <v>0</v>
      </c>
      <c r="I834" t="n">
        <v>0</v>
      </c>
      <c r="J834" t="n">
        <v>0</v>
      </c>
      <c r="K834" t="n">
        <v>0</v>
      </c>
      <c r="L834" t="n">
        <v>0</v>
      </c>
      <c r="M834" t="n">
        <v>0</v>
      </c>
      <c r="N834" t="n">
        <v>0</v>
      </c>
      <c r="O834" t="n">
        <v>0</v>
      </c>
      <c r="P834" t="n">
        <v>0</v>
      </c>
      <c r="Q834" t="n">
        <v>0</v>
      </c>
      <c r="R834" s="2" t="inlineStr"/>
    </row>
    <row r="835" ht="15" customHeight="1">
      <c r="A835" t="inlineStr">
        <is>
          <t>A 49625-2024</t>
        </is>
      </c>
      <c r="B835" s="1" t="n">
        <v>45596</v>
      </c>
      <c r="C835" s="1" t="n">
        <v>45811</v>
      </c>
      <c r="D835" t="inlineStr">
        <is>
          <t>UPPSALA LÄN</t>
        </is>
      </c>
      <c r="E835" t="inlineStr">
        <is>
          <t>ENKÖPING</t>
        </is>
      </c>
      <c r="G835" t="n">
        <v>2.4</v>
      </c>
      <c r="H835" t="n">
        <v>0</v>
      </c>
      <c r="I835" t="n">
        <v>0</v>
      </c>
      <c r="J835" t="n">
        <v>0</v>
      </c>
      <c r="K835" t="n">
        <v>0</v>
      </c>
      <c r="L835" t="n">
        <v>0</v>
      </c>
      <c r="M835" t="n">
        <v>0</v>
      </c>
      <c r="N835" t="n">
        <v>0</v>
      </c>
      <c r="O835" t="n">
        <v>0</v>
      </c>
      <c r="P835" t="n">
        <v>0</v>
      </c>
      <c r="Q835" t="n">
        <v>0</v>
      </c>
      <c r="R835" s="2" t="inlineStr"/>
    </row>
    <row r="836" ht="15" customHeight="1">
      <c r="A836" t="inlineStr">
        <is>
          <t>A 49637-2024</t>
        </is>
      </c>
      <c r="B836" s="1" t="n">
        <v>45596</v>
      </c>
      <c r="C836" s="1" t="n">
        <v>45811</v>
      </c>
      <c r="D836" t="inlineStr">
        <is>
          <t>UPPSALA LÄN</t>
        </is>
      </c>
      <c r="E836" t="inlineStr">
        <is>
          <t>ENKÖPING</t>
        </is>
      </c>
      <c r="G836" t="n">
        <v>4.9</v>
      </c>
      <c r="H836" t="n">
        <v>0</v>
      </c>
      <c r="I836" t="n">
        <v>0</v>
      </c>
      <c r="J836" t="n">
        <v>0</v>
      </c>
      <c r="K836" t="n">
        <v>0</v>
      </c>
      <c r="L836" t="n">
        <v>0</v>
      </c>
      <c r="M836" t="n">
        <v>0</v>
      </c>
      <c r="N836" t="n">
        <v>0</v>
      </c>
      <c r="O836" t="n">
        <v>0</v>
      </c>
      <c r="P836" t="n">
        <v>0</v>
      </c>
      <c r="Q836" t="n">
        <v>0</v>
      </c>
      <c r="R836" s="2" t="inlineStr"/>
    </row>
    <row r="837" ht="15" customHeight="1">
      <c r="A837" t="inlineStr">
        <is>
          <t>A 50394-2024</t>
        </is>
      </c>
      <c r="B837" s="1" t="n">
        <v>45600</v>
      </c>
      <c r="C837" s="1" t="n">
        <v>45811</v>
      </c>
      <c r="D837" t="inlineStr">
        <is>
          <t>UPPSALA LÄN</t>
        </is>
      </c>
      <c r="E837" t="inlineStr">
        <is>
          <t>ENKÖPING</t>
        </is>
      </c>
      <c r="G837" t="n">
        <v>1.2</v>
      </c>
      <c r="H837" t="n">
        <v>0</v>
      </c>
      <c r="I837" t="n">
        <v>0</v>
      </c>
      <c r="J837" t="n">
        <v>0</v>
      </c>
      <c r="K837" t="n">
        <v>0</v>
      </c>
      <c r="L837" t="n">
        <v>0</v>
      </c>
      <c r="M837" t="n">
        <v>0</v>
      </c>
      <c r="N837" t="n">
        <v>0</v>
      </c>
      <c r="O837" t="n">
        <v>0</v>
      </c>
      <c r="P837" t="n">
        <v>0</v>
      </c>
      <c r="Q837" t="n">
        <v>0</v>
      </c>
      <c r="R837" s="2" t="inlineStr"/>
    </row>
    <row r="838" ht="15" customHeight="1">
      <c r="A838" t="inlineStr">
        <is>
          <t>A 50248-2024</t>
        </is>
      </c>
      <c r="B838" s="1" t="n">
        <v>45600</v>
      </c>
      <c r="C838" s="1" t="n">
        <v>45811</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50247-2024</t>
        </is>
      </c>
      <c r="B839" s="1" t="n">
        <v>45600</v>
      </c>
      <c r="C839" s="1" t="n">
        <v>45811</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51010-2024</t>
        </is>
      </c>
      <c r="B840" s="1" t="n">
        <v>45603</v>
      </c>
      <c r="C840" s="1" t="n">
        <v>45811</v>
      </c>
      <c r="D840" t="inlineStr">
        <is>
          <t>UPPSALA LÄN</t>
        </is>
      </c>
      <c r="E840" t="inlineStr">
        <is>
          <t>ENKÖPING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51030-2024</t>
        </is>
      </c>
      <c r="B841" s="1" t="n">
        <v>45603</v>
      </c>
      <c r="C841" s="1" t="n">
        <v>45811</v>
      </c>
      <c r="D841" t="inlineStr">
        <is>
          <t>UPPSALA LÄN</t>
        </is>
      </c>
      <c r="E841" t="inlineStr">
        <is>
          <t>ENKÖPING</t>
        </is>
      </c>
      <c r="G841" t="n">
        <v>2</v>
      </c>
      <c r="H841" t="n">
        <v>0</v>
      </c>
      <c r="I841" t="n">
        <v>0</v>
      </c>
      <c r="J841" t="n">
        <v>0</v>
      </c>
      <c r="K841" t="n">
        <v>0</v>
      </c>
      <c r="L841" t="n">
        <v>0</v>
      </c>
      <c r="M841" t="n">
        <v>0</v>
      </c>
      <c r="N841" t="n">
        <v>0</v>
      </c>
      <c r="O841" t="n">
        <v>0</v>
      </c>
      <c r="P841" t="n">
        <v>0</v>
      </c>
      <c r="Q841" t="n">
        <v>0</v>
      </c>
      <c r="R841" s="2" t="inlineStr"/>
    </row>
    <row r="842" ht="15" customHeight="1">
      <c r="A842" t="inlineStr">
        <is>
          <t>A 51034-2024</t>
        </is>
      </c>
      <c r="B842" s="1" t="n">
        <v>45603</v>
      </c>
      <c r="C842" s="1" t="n">
        <v>45811</v>
      </c>
      <c r="D842" t="inlineStr">
        <is>
          <t>UPPSALA LÄN</t>
        </is>
      </c>
      <c r="E842" t="inlineStr">
        <is>
          <t>ENKÖPING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51042-2024</t>
        </is>
      </c>
      <c r="B843" s="1" t="n">
        <v>45603</v>
      </c>
      <c r="C843" s="1" t="n">
        <v>45811</v>
      </c>
      <c r="D843" t="inlineStr">
        <is>
          <t>UPPSALA LÄN</t>
        </is>
      </c>
      <c r="E843" t="inlineStr">
        <is>
          <t>ENKÖPING</t>
        </is>
      </c>
      <c r="G843" t="n">
        <v>4.6</v>
      </c>
      <c r="H843" t="n">
        <v>0</v>
      </c>
      <c r="I843" t="n">
        <v>0</v>
      </c>
      <c r="J843" t="n">
        <v>0</v>
      </c>
      <c r="K843" t="n">
        <v>0</v>
      </c>
      <c r="L843" t="n">
        <v>0</v>
      </c>
      <c r="M843" t="n">
        <v>0</v>
      </c>
      <c r="N843" t="n">
        <v>0</v>
      </c>
      <c r="O843" t="n">
        <v>0</v>
      </c>
      <c r="P843" t="n">
        <v>0</v>
      </c>
      <c r="Q843" t="n">
        <v>0</v>
      </c>
      <c r="R843" s="2" t="inlineStr"/>
    </row>
    <row r="844" ht="15" customHeight="1">
      <c r="A844" t="inlineStr">
        <is>
          <t>A 51011-2024</t>
        </is>
      </c>
      <c r="B844" s="1" t="n">
        <v>45603</v>
      </c>
      <c r="C844" s="1" t="n">
        <v>45811</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51027-2024</t>
        </is>
      </c>
      <c r="B845" s="1" t="n">
        <v>45603</v>
      </c>
      <c r="C845" s="1" t="n">
        <v>45811</v>
      </c>
      <c r="D845" t="inlineStr">
        <is>
          <t>UPPSALA LÄN</t>
        </is>
      </c>
      <c r="E845" t="inlineStr">
        <is>
          <t>ENKÖPING</t>
        </is>
      </c>
      <c r="G845" t="n">
        <v>3.5</v>
      </c>
      <c r="H845" t="n">
        <v>0</v>
      </c>
      <c r="I845" t="n">
        <v>0</v>
      </c>
      <c r="J845" t="n">
        <v>0</v>
      </c>
      <c r="K845" t="n">
        <v>0</v>
      </c>
      <c r="L845" t="n">
        <v>0</v>
      </c>
      <c r="M845" t="n">
        <v>0</v>
      </c>
      <c r="N845" t="n">
        <v>0</v>
      </c>
      <c r="O845" t="n">
        <v>0</v>
      </c>
      <c r="P845" t="n">
        <v>0</v>
      </c>
      <c r="Q845" t="n">
        <v>0</v>
      </c>
      <c r="R845" s="2" t="inlineStr"/>
    </row>
    <row r="846" ht="15" customHeight="1">
      <c r="A846" t="inlineStr">
        <is>
          <t>A 51008-2024</t>
        </is>
      </c>
      <c r="B846" s="1" t="n">
        <v>45603</v>
      </c>
      <c r="C846" s="1" t="n">
        <v>45811</v>
      </c>
      <c r="D846" t="inlineStr">
        <is>
          <t>UPPSALA LÄN</t>
        </is>
      </c>
      <c r="E846" t="inlineStr">
        <is>
          <t>ENKÖPING</t>
        </is>
      </c>
      <c r="G846" t="n">
        <v>2.4</v>
      </c>
      <c r="H846" t="n">
        <v>0</v>
      </c>
      <c r="I846" t="n">
        <v>0</v>
      </c>
      <c r="J846" t="n">
        <v>0</v>
      </c>
      <c r="K846" t="n">
        <v>0</v>
      </c>
      <c r="L846" t="n">
        <v>0</v>
      </c>
      <c r="M846" t="n">
        <v>0</v>
      </c>
      <c r="N846" t="n">
        <v>0</v>
      </c>
      <c r="O846" t="n">
        <v>0</v>
      </c>
      <c r="P846" t="n">
        <v>0</v>
      </c>
      <c r="Q846" t="n">
        <v>0</v>
      </c>
      <c r="R846" s="2" t="inlineStr"/>
    </row>
    <row r="847" ht="15" customHeight="1">
      <c r="A847" t="inlineStr">
        <is>
          <t>A 51012-2024</t>
        </is>
      </c>
      <c r="B847" s="1" t="n">
        <v>45603</v>
      </c>
      <c r="C847" s="1" t="n">
        <v>45811</v>
      </c>
      <c r="D847" t="inlineStr">
        <is>
          <t>UPPSALA LÄN</t>
        </is>
      </c>
      <c r="E847" t="inlineStr">
        <is>
          <t>ENKÖPING</t>
        </is>
      </c>
      <c r="G847" t="n">
        <v>2.7</v>
      </c>
      <c r="H847" t="n">
        <v>0</v>
      </c>
      <c r="I847" t="n">
        <v>0</v>
      </c>
      <c r="J847" t="n">
        <v>0</v>
      </c>
      <c r="K847" t="n">
        <v>0</v>
      </c>
      <c r="L847" t="n">
        <v>0</v>
      </c>
      <c r="M847" t="n">
        <v>0</v>
      </c>
      <c r="N847" t="n">
        <v>0</v>
      </c>
      <c r="O847" t="n">
        <v>0</v>
      </c>
      <c r="P847" t="n">
        <v>0</v>
      </c>
      <c r="Q847" t="n">
        <v>0</v>
      </c>
      <c r="R847" s="2" t="inlineStr"/>
    </row>
    <row r="848" ht="15" customHeight="1">
      <c r="A848" t="inlineStr">
        <is>
          <t>A 51036-2024</t>
        </is>
      </c>
      <c r="B848" s="1" t="n">
        <v>45603</v>
      </c>
      <c r="C848" s="1" t="n">
        <v>45811</v>
      </c>
      <c r="D848" t="inlineStr">
        <is>
          <t>UPPSALA LÄN</t>
        </is>
      </c>
      <c r="E848" t="inlineStr">
        <is>
          <t>ENKÖPING</t>
        </is>
      </c>
      <c r="G848" t="n">
        <v>2.6</v>
      </c>
      <c r="H848" t="n">
        <v>0</v>
      </c>
      <c r="I848" t="n">
        <v>0</v>
      </c>
      <c r="J848" t="n">
        <v>0</v>
      </c>
      <c r="K848" t="n">
        <v>0</v>
      </c>
      <c r="L848" t="n">
        <v>0</v>
      </c>
      <c r="M848" t="n">
        <v>0</v>
      </c>
      <c r="N848" t="n">
        <v>0</v>
      </c>
      <c r="O848" t="n">
        <v>0</v>
      </c>
      <c r="P848" t="n">
        <v>0</v>
      </c>
      <c r="Q848" t="n">
        <v>0</v>
      </c>
      <c r="R848" s="2" t="inlineStr"/>
    </row>
    <row r="849" ht="15" customHeight="1">
      <c r="A849" t="inlineStr">
        <is>
          <t>A 51037-2024</t>
        </is>
      </c>
      <c r="B849" s="1" t="n">
        <v>45603</v>
      </c>
      <c r="C849" s="1" t="n">
        <v>45811</v>
      </c>
      <c r="D849" t="inlineStr">
        <is>
          <t>UPPSALA LÄN</t>
        </is>
      </c>
      <c r="E849" t="inlineStr">
        <is>
          <t>ENKÖPING</t>
        </is>
      </c>
      <c r="G849" t="n">
        <v>5.7</v>
      </c>
      <c r="H849" t="n">
        <v>0</v>
      </c>
      <c r="I849" t="n">
        <v>0</v>
      </c>
      <c r="J849" t="n">
        <v>0</v>
      </c>
      <c r="K849" t="n">
        <v>0</v>
      </c>
      <c r="L849" t="n">
        <v>0</v>
      </c>
      <c r="M849" t="n">
        <v>0</v>
      </c>
      <c r="N849" t="n">
        <v>0</v>
      </c>
      <c r="O849" t="n">
        <v>0</v>
      </c>
      <c r="P849" t="n">
        <v>0</v>
      </c>
      <c r="Q849" t="n">
        <v>0</v>
      </c>
      <c r="R849" s="2" t="inlineStr"/>
    </row>
    <row r="850" ht="15" customHeight="1">
      <c r="A850" t="inlineStr">
        <is>
          <t>A 52005-2024</t>
        </is>
      </c>
      <c r="B850" s="1" t="n">
        <v>45607</v>
      </c>
      <c r="C850" s="1" t="n">
        <v>45811</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52219-2024</t>
        </is>
      </c>
      <c r="B851" s="1" t="n">
        <v>45608</v>
      </c>
      <c r="C851" s="1" t="n">
        <v>45811</v>
      </c>
      <c r="D851" t="inlineStr">
        <is>
          <t>UPPSALA LÄN</t>
        </is>
      </c>
      <c r="E851" t="inlineStr">
        <is>
          <t>ENKÖPING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52388-2024</t>
        </is>
      </c>
      <c r="B852" s="1" t="n">
        <v>45609</v>
      </c>
      <c r="C852" s="1" t="n">
        <v>45811</v>
      </c>
      <c r="D852" t="inlineStr">
        <is>
          <t>UPPSALA LÄN</t>
        </is>
      </c>
      <c r="E852" t="inlineStr">
        <is>
          <t>ENKÖPING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52380-2024</t>
        </is>
      </c>
      <c r="B853" s="1" t="n">
        <v>45609</v>
      </c>
      <c r="C853" s="1" t="n">
        <v>45811</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53587-2024</t>
        </is>
      </c>
      <c r="B854" s="1" t="n">
        <v>45614</v>
      </c>
      <c r="C854" s="1" t="n">
        <v>45811</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53586-2024</t>
        </is>
      </c>
      <c r="B855" s="1" t="n">
        <v>45614</v>
      </c>
      <c r="C855" s="1" t="n">
        <v>45811</v>
      </c>
      <c r="D855" t="inlineStr">
        <is>
          <t>UPPSALA LÄN</t>
        </is>
      </c>
      <c r="E855" t="inlineStr">
        <is>
          <t>ENKÖPING</t>
        </is>
      </c>
      <c r="G855" t="n">
        <v>6.6</v>
      </c>
      <c r="H855" t="n">
        <v>0</v>
      </c>
      <c r="I855" t="n">
        <v>0</v>
      </c>
      <c r="J855" t="n">
        <v>0</v>
      </c>
      <c r="K855" t="n">
        <v>0</v>
      </c>
      <c r="L855" t="n">
        <v>0</v>
      </c>
      <c r="M855" t="n">
        <v>0</v>
      </c>
      <c r="N855" t="n">
        <v>0</v>
      </c>
      <c r="O855" t="n">
        <v>0</v>
      </c>
      <c r="P855" t="n">
        <v>0</v>
      </c>
      <c r="Q855" t="n">
        <v>0</v>
      </c>
      <c r="R855" s="2" t="inlineStr"/>
    </row>
    <row r="856" ht="15" customHeight="1">
      <c r="A856" t="inlineStr">
        <is>
          <t>A 53590-2024</t>
        </is>
      </c>
      <c r="B856" s="1" t="n">
        <v>45614</v>
      </c>
      <c r="C856" s="1" t="n">
        <v>45811</v>
      </c>
      <c r="D856" t="inlineStr">
        <is>
          <t>UPPSALA LÄN</t>
        </is>
      </c>
      <c r="E856" t="inlineStr">
        <is>
          <t>ENKÖPING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53557-2024</t>
        </is>
      </c>
      <c r="B857" s="1" t="n">
        <v>45614</v>
      </c>
      <c r="C857" s="1" t="n">
        <v>45811</v>
      </c>
      <c r="D857" t="inlineStr">
        <is>
          <t>UPPSALA LÄN</t>
        </is>
      </c>
      <c r="E857" t="inlineStr">
        <is>
          <t>ENKÖPING</t>
        </is>
      </c>
      <c r="G857" t="n">
        <v>1.5</v>
      </c>
      <c r="H857" t="n">
        <v>0</v>
      </c>
      <c r="I857" t="n">
        <v>0</v>
      </c>
      <c r="J857" t="n">
        <v>0</v>
      </c>
      <c r="K857" t="n">
        <v>0</v>
      </c>
      <c r="L857" t="n">
        <v>0</v>
      </c>
      <c r="M857" t="n">
        <v>0</v>
      </c>
      <c r="N857" t="n">
        <v>0</v>
      </c>
      <c r="O857" t="n">
        <v>0</v>
      </c>
      <c r="P857" t="n">
        <v>0</v>
      </c>
      <c r="Q857" t="n">
        <v>0</v>
      </c>
      <c r="R857" s="2" t="inlineStr"/>
    </row>
    <row r="858" ht="15" customHeight="1">
      <c r="A858" t="inlineStr">
        <is>
          <t>A 53348-2024</t>
        </is>
      </c>
      <c r="B858" s="1" t="n">
        <v>45614</v>
      </c>
      <c r="C858" s="1" t="n">
        <v>45811</v>
      </c>
      <c r="D858" t="inlineStr">
        <is>
          <t>UPPSALA LÄN</t>
        </is>
      </c>
      <c r="E858" t="inlineStr">
        <is>
          <t>ENKÖPING</t>
        </is>
      </c>
      <c r="G858" t="n">
        <v>6.2</v>
      </c>
      <c r="H858" t="n">
        <v>0</v>
      </c>
      <c r="I858" t="n">
        <v>0</v>
      </c>
      <c r="J858" t="n">
        <v>0</v>
      </c>
      <c r="K858" t="n">
        <v>0</v>
      </c>
      <c r="L858" t="n">
        <v>0</v>
      </c>
      <c r="M858" t="n">
        <v>0</v>
      </c>
      <c r="N858" t="n">
        <v>0</v>
      </c>
      <c r="O858" t="n">
        <v>0</v>
      </c>
      <c r="P858" t="n">
        <v>0</v>
      </c>
      <c r="Q858" t="n">
        <v>0</v>
      </c>
      <c r="R858" s="2" t="inlineStr"/>
    </row>
    <row r="859" ht="15" customHeight="1">
      <c r="A859" t="inlineStr">
        <is>
          <t>A 54010-2024</t>
        </is>
      </c>
      <c r="B859" s="1" t="n">
        <v>45616</v>
      </c>
      <c r="C859" s="1" t="n">
        <v>45811</v>
      </c>
      <c r="D859" t="inlineStr">
        <is>
          <t>UPPSALA LÄN</t>
        </is>
      </c>
      <c r="E859" t="inlineStr">
        <is>
          <t>ENKÖPING</t>
        </is>
      </c>
      <c r="G859" t="n">
        <v>2</v>
      </c>
      <c r="H859" t="n">
        <v>0</v>
      </c>
      <c r="I859" t="n">
        <v>0</v>
      </c>
      <c r="J859" t="n">
        <v>0</v>
      </c>
      <c r="K859" t="n">
        <v>0</v>
      </c>
      <c r="L859" t="n">
        <v>0</v>
      </c>
      <c r="M859" t="n">
        <v>0</v>
      </c>
      <c r="N859" t="n">
        <v>0</v>
      </c>
      <c r="O859" t="n">
        <v>0</v>
      </c>
      <c r="P859" t="n">
        <v>0</v>
      </c>
      <c r="Q859" t="n">
        <v>0</v>
      </c>
      <c r="R859" s="2" t="inlineStr"/>
    </row>
    <row r="860" ht="15" customHeight="1">
      <c r="A860" t="inlineStr">
        <is>
          <t>A 54588-2024</t>
        </is>
      </c>
      <c r="B860" s="1" t="n">
        <v>45617</v>
      </c>
      <c r="C860" s="1" t="n">
        <v>45811</v>
      </c>
      <c r="D860" t="inlineStr">
        <is>
          <t>UPPSALA LÄN</t>
        </is>
      </c>
      <c r="E860" t="inlineStr">
        <is>
          <t>ENKÖPING</t>
        </is>
      </c>
      <c r="G860" t="n">
        <v>3.7</v>
      </c>
      <c r="H860" t="n">
        <v>0</v>
      </c>
      <c r="I860" t="n">
        <v>0</v>
      </c>
      <c r="J860" t="n">
        <v>0</v>
      </c>
      <c r="K860" t="n">
        <v>0</v>
      </c>
      <c r="L860" t="n">
        <v>0</v>
      </c>
      <c r="M860" t="n">
        <v>0</v>
      </c>
      <c r="N860" t="n">
        <v>0</v>
      </c>
      <c r="O860" t="n">
        <v>0</v>
      </c>
      <c r="P860" t="n">
        <v>0</v>
      </c>
      <c r="Q860" t="n">
        <v>0</v>
      </c>
      <c r="R860" s="2" t="inlineStr"/>
    </row>
    <row r="861" ht="15" customHeight="1">
      <c r="A861" t="inlineStr">
        <is>
          <t>A 54776-2024</t>
        </is>
      </c>
      <c r="B861" s="1" t="n">
        <v>45618</v>
      </c>
      <c r="C861" s="1" t="n">
        <v>45811</v>
      </c>
      <c r="D861" t="inlineStr">
        <is>
          <t>UPPSALA LÄN</t>
        </is>
      </c>
      <c r="E861" t="inlineStr">
        <is>
          <t>ENKÖPING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55863-2024</t>
        </is>
      </c>
      <c r="B862" s="1" t="n">
        <v>45623</v>
      </c>
      <c r="C862" s="1" t="n">
        <v>45811</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55876-2024</t>
        </is>
      </c>
      <c r="B863" s="1" t="n">
        <v>45623</v>
      </c>
      <c r="C863" s="1" t="n">
        <v>45811</v>
      </c>
      <c r="D863" t="inlineStr">
        <is>
          <t>UPPSALA LÄN</t>
        </is>
      </c>
      <c r="E863" t="inlineStr">
        <is>
          <t>ENKÖPING</t>
        </is>
      </c>
      <c r="G863" t="n">
        <v>0.7</v>
      </c>
      <c r="H863" t="n">
        <v>0</v>
      </c>
      <c r="I863" t="n">
        <v>0</v>
      </c>
      <c r="J863" t="n">
        <v>0</v>
      </c>
      <c r="K863" t="n">
        <v>0</v>
      </c>
      <c r="L863" t="n">
        <v>0</v>
      </c>
      <c r="M863" t="n">
        <v>0</v>
      </c>
      <c r="N863" t="n">
        <v>0</v>
      </c>
      <c r="O863" t="n">
        <v>0</v>
      </c>
      <c r="P863" t="n">
        <v>0</v>
      </c>
      <c r="Q863" t="n">
        <v>0</v>
      </c>
      <c r="R863" s="2" t="inlineStr"/>
    </row>
    <row r="864" ht="15" customHeight="1">
      <c r="A864" t="inlineStr">
        <is>
          <t>A 55862-2024</t>
        </is>
      </c>
      <c r="B864" s="1" t="n">
        <v>45623</v>
      </c>
      <c r="C864" s="1" t="n">
        <v>45811</v>
      </c>
      <c r="D864" t="inlineStr">
        <is>
          <t>UPPSALA LÄN</t>
        </is>
      </c>
      <c r="E864" t="inlineStr">
        <is>
          <t>ENKÖPING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56225-2024</t>
        </is>
      </c>
      <c r="B865" s="1" t="n">
        <v>45624</v>
      </c>
      <c r="C865" s="1" t="n">
        <v>45811</v>
      </c>
      <c r="D865" t="inlineStr">
        <is>
          <t>UPPSALA LÄN</t>
        </is>
      </c>
      <c r="E865" t="inlineStr">
        <is>
          <t>ENKÖPING</t>
        </is>
      </c>
      <c r="G865" t="n">
        <v>11.7</v>
      </c>
      <c r="H865" t="n">
        <v>0</v>
      </c>
      <c r="I865" t="n">
        <v>0</v>
      </c>
      <c r="J865" t="n">
        <v>0</v>
      </c>
      <c r="K865" t="n">
        <v>0</v>
      </c>
      <c r="L865" t="n">
        <v>0</v>
      </c>
      <c r="M865" t="n">
        <v>0</v>
      </c>
      <c r="N865" t="n">
        <v>0</v>
      </c>
      <c r="O865" t="n">
        <v>0</v>
      </c>
      <c r="P865" t="n">
        <v>0</v>
      </c>
      <c r="Q865" t="n">
        <v>0</v>
      </c>
      <c r="R865" s="2" t="inlineStr"/>
    </row>
    <row r="866" ht="15" customHeight="1">
      <c r="A866" t="inlineStr">
        <is>
          <t>A 56837-2024</t>
        </is>
      </c>
      <c r="B866" s="1" t="n">
        <v>45628</v>
      </c>
      <c r="C866" s="1" t="n">
        <v>45811</v>
      </c>
      <c r="D866" t="inlineStr">
        <is>
          <t>UPPSALA LÄN</t>
        </is>
      </c>
      <c r="E866" t="inlineStr">
        <is>
          <t>ENKÖPING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56713-2024</t>
        </is>
      </c>
      <c r="B867" s="1" t="n">
        <v>45628</v>
      </c>
      <c r="C867" s="1" t="n">
        <v>45811</v>
      </c>
      <c r="D867" t="inlineStr">
        <is>
          <t>UPPSALA LÄN</t>
        </is>
      </c>
      <c r="E867" t="inlineStr">
        <is>
          <t>ENKÖPING</t>
        </is>
      </c>
      <c r="G867" t="n">
        <v>1.7</v>
      </c>
      <c r="H867" t="n">
        <v>0</v>
      </c>
      <c r="I867" t="n">
        <v>0</v>
      </c>
      <c r="J867" t="n">
        <v>0</v>
      </c>
      <c r="K867" t="n">
        <v>0</v>
      </c>
      <c r="L867" t="n">
        <v>0</v>
      </c>
      <c r="M867" t="n">
        <v>0</v>
      </c>
      <c r="N867" t="n">
        <v>0</v>
      </c>
      <c r="O867" t="n">
        <v>0</v>
      </c>
      <c r="P867" t="n">
        <v>0</v>
      </c>
      <c r="Q867" t="n">
        <v>0</v>
      </c>
      <c r="R867" s="2" t="inlineStr"/>
    </row>
    <row r="868" ht="15" customHeight="1">
      <c r="A868" t="inlineStr">
        <is>
          <t>A 57209-2024</t>
        </is>
      </c>
      <c r="B868" s="1" t="n">
        <v>45629</v>
      </c>
      <c r="C868" s="1" t="n">
        <v>45811</v>
      </c>
      <c r="D868" t="inlineStr">
        <is>
          <t>UPPSALA LÄN</t>
        </is>
      </c>
      <c r="E868" t="inlineStr">
        <is>
          <t>ENKÖPING</t>
        </is>
      </c>
      <c r="G868" t="n">
        <v>3.2</v>
      </c>
      <c r="H868" t="n">
        <v>0</v>
      </c>
      <c r="I868" t="n">
        <v>0</v>
      </c>
      <c r="J868" t="n">
        <v>0</v>
      </c>
      <c r="K868" t="n">
        <v>0</v>
      </c>
      <c r="L868" t="n">
        <v>0</v>
      </c>
      <c r="M868" t="n">
        <v>0</v>
      </c>
      <c r="N868" t="n">
        <v>0</v>
      </c>
      <c r="O868" t="n">
        <v>0</v>
      </c>
      <c r="P868" t="n">
        <v>0</v>
      </c>
      <c r="Q868" t="n">
        <v>0</v>
      </c>
      <c r="R868" s="2" t="inlineStr"/>
    </row>
    <row r="869" ht="15" customHeight="1">
      <c r="A869" t="inlineStr">
        <is>
          <t>A 57215-2024</t>
        </is>
      </c>
      <c r="B869" s="1" t="n">
        <v>45629</v>
      </c>
      <c r="C869" s="1" t="n">
        <v>45811</v>
      </c>
      <c r="D869" t="inlineStr">
        <is>
          <t>UPPSALA LÄN</t>
        </is>
      </c>
      <c r="E869" t="inlineStr">
        <is>
          <t>ENKÖPING</t>
        </is>
      </c>
      <c r="G869" t="n">
        <v>2.4</v>
      </c>
      <c r="H869" t="n">
        <v>0</v>
      </c>
      <c r="I869" t="n">
        <v>0</v>
      </c>
      <c r="J869" t="n">
        <v>0</v>
      </c>
      <c r="K869" t="n">
        <v>0</v>
      </c>
      <c r="L869" t="n">
        <v>0</v>
      </c>
      <c r="M869" t="n">
        <v>0</v>
      </c>
      <c r="N869" t="n">
        <v>0</v>
      </c>
      <c r="O869" t="n">
        <v>0</v>
      </c>
      <c r="P869" t="n">
        <v>0</v>
      </c>
      <c r="Q869" t="n">
        <v>0</v>
      </c>
      <c r="R869" s="2" t="inlineStr"/>
    </row>
    <row r="870" ht="15" customHeight="1">
      <c r="A870" t="inlineStr">
        <is>
          <t>A 57335-2024</t>
        </is>
      </c>
      <c r="B870" s="1" t="n">
        <v>45629</v>
      </c>
      <c r="C870" s="1" t="n">
        <v>45811</v>
      </c>
      <c r="D870" t="inlineStr">
        <is>
          <t>UPPSALA LÄN</t>
        </is>
      </c>
      <c r="E870" t="inlineStr">
        <is>
          <t>ENKÖPING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57214-2024</t>
        </is>
      </c>
      <c r="B871" s="1" t="n">
        <v>45629</v>
      </c>
      <c r="C871" s="1" t="n">
        <v>45811</v>
      </c>
      <c r="D871" t="inlineStr">
        <is>
          <t>UPPSALA LÄN</t>
        </is>
      </c>
      <c r="E871" t="inlineStr">
        <is>
          <t>ENKÖPING</t>
        </is>
      </c>
      <c r="G871" t="n">
        <v>1.6</v>
      </c>
      <c r="H871" t="n">
        <v>0</v>
      </c>
      <c r="I871" t="n">
        <v>0</v>
      </c>
      <c r="J871" t="n">
        <v>0</v>
      </c>
      <c r="K871" t="n">
        <v>0</v>
      </c>
      <c r="L871" t="n">
        <v>0</v>
      </c>
      <c r="M871" t="n">
        <v>0</v>
      </c>
      <c r="N871" t="n">
        <v>0</v>
      </c>
      <c r="O871" t="n">
        <v>0</v>
      </c>
      <c r="P871" t="n">
        <v>0</v>
      </c>
      <c r="Q871" t="n">
        <v>0</v>
      </c>
      <c r="R871" s="2" t="inlineStr"/>
    </row>
    <row r="872" ht="15" customHeight="1">
      <c r="A872" t="inlineStr">
        <is>
          <t>A 57218-2024</t>
        </is>
      </c>
      <c r="B872" s="1" t="n">
        <v>45629</v>
      </c>
      <c r="C872" s="1" t="n">
        <v>45811</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57415-2024</t>
        </is>
      </c>
      <c r="B873" s="1" t="n">
        <v>45629</v>
      </c>
      <c r="C873" s="1" t="n">
        <v>45811</v>
      </c>
      <c r="D873" t="inlineStr">
        <is>
          <t>UPPSALA LÄN</t>
        </is>
      </c>
      <c r="E873" t="inlineStr">
        <is>
          <t>ENKÖPING</t>
        </is>
      </c>
      <c r="F873" t="inlineStr">
        <is>
          <t>Allmännings- och besparingsskogar</t>
        </is>
      </c>
      <c r="G873" t="n">
        <v>11.8</v>
      </c>
      <c r="H873" t="n">
        <v>0</v>
      </c>
      <c r="I873" t="n">
        <v>0</v>
      </c>
      <c r="J873" t="n">
        <v>0</v>
      </c>
      <c r="K873" t="n">
        <v>0</v>
      </c>
      <c r="L873" t="n">
        <v>0</v>
      </c>
      <c r="M873" t="n">
        <v>0</v>
      </c>
      <c r="N873" t="n">
        <v>0</v>
      </c>
      <c r="O873" t="n">
        <v>0</v>
      </c>
      <c r="P873" t="n">
        <v>0</v>
      </c>
      <c r="Q873" t="n">
        <v>0</v>
      </c>
      <c r="R873" s="2" t="inlineStr"/>
    </row>
    <row r="874" ht="15" customHeight="1">
      <c r="A874" t="inlineStr">
        <is>
          <t>A 57328-2024</t>
        </is>
      </c>
      <c r="B874" s="1" t="n">
        <v>45629</v>
      </c>
      <c r="C874" s="1" t="n">
        <v>45811</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57833-2024</t>
        </is>
      </c>
      <c r="B875" s="1" t="n">
        <v>45631</v>
      </c>
      <c r="C875" s="1" t="n">
        <v>45811</v>
      </c>
      <c r="D875" t="inlineStr">
        <is>
          <t>UPPSALA LÄN</t>
        </is>
      </c>
      <c r="E875" t="inlineStr">
        <is>
          <t>ENKÖPING</t>
        </is>
      </c>
      <c r="G875" t="n">
        <v>2.8</v>
      </c>
      <c r="H875" t="n">
        <v>0</v>
      </c>
      <c r="I875" t="n">
        <v>0</v>
      </c>
      <c r="J875" t="n">
        <v>0</v>
      </c>
      <c r="K875" t="n">
        <v>0</v>
      </c>
      <c r="L875" t="n">
        <v>0</v>
      </c>
      <c r="M875" t="n">
        <v>0</v>
      </c>
      <c r="N875" t="n">
        <v>0</v>
      </c>
      <c r="O875" t="n">
        <v>0</v>
      </c>
      <c r="P875" t="n">
        <v>0</v>
      </c>
      <c r="Q875" t="n">
        <v>0</v>
      </c>
      <c r="R875" s="2" t="inlineStr"/>
    </row>
    <row r="876" ht="15" customHeight="1">
      <c r="A876" t="inlineStr">
        <is>
          <t>A 57831-2024</t>
        </is>
      </c>
      <c r="B876" s="1" t="n">
        <v>45631</v>
      </c>
      <c r="C876" s="1" t="n">
        <v>45811</v>
      </c>
      <c r="D876" t="inlineStr">
        <is>
          <t>UPPSALA LÄN</t>
        </is>
      </c>
      <c r="E876" t="inlineStr">
        <is>
          <t>ENKÖPING</t>
        </is>
      </c>
      <c r="G876" t="n">
        <v>7.2</v>
      </c>
      <c r="H876" t="n">
        <v>0</v>
      </c>
      <c r="I876" t="n">
        <v>0</v>
      </c>
      <c r="J876" t="n">
        <v>0</v>
      </c>
      <c r="K876" t="n">
        <v>0</v>
      </c>
      <c r="L876" t="n">
        <v>0</v>
      </c>
      <c r="M876" t="n">
        <v>0</v>
      </c>
      <c r="N876" t="n">
        <v>0</v>
      </c>
      <c r="O876" t="n">
        <v>0</v>
      </c>
      <c r="P876" t="n">
        <v>0</v>
      </c>
      <c r="Q876" t="n">
        <v>0</v>
      </c>
      <c r="R876" s="2" t="inlineStr"/>
    </row>
    <row r="877" ht="15" customHeight="1">
      <c r="A877" t="inlineStr">
        <is>
          <t>A 57835-2024</t>
        </is>
      </c>
      <c r="B877" s="1" t="n">
        <v>45631</v>
      </c>
      <c r="C877" s="1" t="n">
        <v>45811</v>
      </c>
      <c r="D877" t="inlineStr">
        <is>
          <t>UPPSALA LÄN</t>
        </is>
      </c>
      <c r="E877" t="inlineStr">
        <is>
          <t>ENKÖPING</t>
        </is>
      </c>
      <c r="G877" t="n">
        <v>0.8</v>
      </c>
      <c r="H877" t="n">
        <v>0</v>
      </c>
      <c r="I877" t="n">
        <v>0</v>
      </c>
      <c r="J877" t="n">
        <v>0</v>
      </c>
      <c r="K877" t="n">
        <v>0</v>
      </c>
      <c r="L877" t="n">
        <v>0</v>
      </c>
      <c r="M877" t="n">
        <v>0</v>
      </c>
      <c r="N877" t="n">
        <v>0</v>
      </c>
      <c r="O877" t="n">
        <v>0</v>
      </c>
      <c r="P877" t="n">
        <v>0</v>
      </c>
      <c r="Q877" t="n">
        <v>0</v>
      </c>
      <c r="R877" s="2" t="inlineStr"/>
    </row>
    <row r="878" ht="15" customHeight="1">
      <c r="A878" t="inlineStr">
        <is>
          <t>A 57848-2024</t>
        </is>
      </c>
      <c r="B878" s="1" t="n">
        <v>45631</v>
      </c>
      <c r="C878" s="1" t="n">
        <v>45811</v>
      </c>
      <c r="D878" t="inlineStr">
        <is>
          <t>UPPSALA LÄN</t>
        </is>
      </c>
      <c r="E878" t="inlineStr">
        <is>
          <t>ENKÖPING</t>
        </is>
      </c>
      <c r="G878" t="n">
        <v>1.2</v>
      </c>
      <c r="H878" t="n">
        <v>0</v>
      </c>
      <c r="I878" t="n">
        <v>0</v>
      </c>
      <c r="J878" t="n">
        <v>0</v>
      </c>
      <c r="K878" t="n">
        <v>0</v>
      </c>
      <c r="L878" t="n">
        <v>0</v>
      </c>
      <c r="M878" t="n">
        <v>0</v>
      </c>
      <c r="N878" t="n">
        <v>0</v>
      </c>
      <c r="O878" t="n">
        <v>0</v>
      </c>
      <c r="P878" t="n">
        <v>0</v>
      </c>
      <c r="Q878" t="n">
        <v>0</v>
      </c>
      <c r="R878" s="2" t="inlineStr"/>
    </row>
    <row r="879" ht="15" customHeight="1">
      <c r="A879" t="inlineStr">
        <is>
          <t>A 57937-2024</t>
        </is>
      </c>
      <c r="B879" s="1" t="n">
        <v>45631</v>
      </c>
      <c r="C879" s="1" t="n">
        <v>45811</v>
      </c>
      <c r="D879" t="inlineStr">
        <is>
          <t>UPPSALA LÄN</t>
        </is>
      </c>
      <c r="E879" t="inlineStr">
        <is>
          <t>ENKÖPING</t>
        </is>
      </c>
      <c r="G879" t="n">
        <v>4</v>
      </c>
      <c r="H879" t="n">
        <v>0</v>
      </c>
      <c r="I879" t="n">
        <v>0</v>
      </c>
      <c r="J879" t="n">
        <v>0</v>
      </c>
      <c r="K879" t="n">
        <v>0</v>
      </c>
      <c r="L879" t="n">
        <v>0</v>
      </c>
      <c r="M879" t="n">
        <v>0</v>
      </c>
      <c r="N879" t="n">
        <v>0</v>
      </c>
      <c r="O879" t="n">
        <v>0</v>
      </c>
      <c r="P879" t="n">
        <v>0</v>
      </c>
      <c r="Q879" t="n">
        <v>0</v>
      </c>
      <c r="R879" s="2" t="inlineStr"/>
    </row>
    <row r="880" ht="15" customHeight="1">
      <c r="A880" t="inlineStr">
        <is>
          <t>A 57841-2024</t>
        </is>
      </c>
      <c r="B880" s="1" t="n">
        <v>45631</v>
      </c>
      <c r="C880" s="1" t="n">
        <v>45811</v>
      </c>
      <c r="D880" t="inlineStr">
        <is>
          <t>UPPSALA LÄN</t>
        </is>
      </c>
      <c r="E880" t="inlineStr">
        <is>
          <t>ENKÖPING</t>
        </is>
      </c>
      <c r="G880" t="n">
        <v>3.4</v>
      </c>
      <c r="H880" t="n">
        <v>0</v>
      </c>
      <c r="I880" t="n">
        <v>0</v>
      </c>
      <c r="J880" t="n">
        <v>0</v>
      </c>
      <c r="K880" t="n">
        <v>0</v>
      </c>
      <c r="L880" t="n">
        <v>0</v>
      </c>
      <c r="M880" t="n">
        <v>0</v>
      </c>
      <c r="N880" t="n">
        <v>0</v>
      </c>
      <c r="O880" t="n">
        <v>0</v>
      </c>
      <c r="P880" t="n">
        <v>0</v>
      </c>
      <c r="Q880" t="n">
        <v>0</v>
      </c>
      <c r="R880" s="2" t="inlineStr"/>
    </row>
    <row r="881" ht="15" customHeight="1">
      <c r="A881" t="inlineStr">
        <is>
          <t>A 57998-2024</t>
        </is>
      </c>
      <c r="B881" s="1" t="n">
        <v>45631</v>
      </c>
      <c r="C881" s="1" t="n">
        <v>45811</v>
      </c>
      <c r="D881" t="inlineStr">
        <is>
          <t>UPPSALA LÄN</t>
        </is>
      </c>
      <c r="E881" t="inlineStr">
        <is>
          <t>ENKÖPING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58092-2024</t>
        </is>
      </c>
      <c r="B882" s="1" t="n">
        <v>45632</v>
      </c>
      <c r="C882" s="1" t="n">
        <v>45811</v>
      </c>
      <c r="D882" t="inlineStr">
        <is>
          <t>UPPSALA LÄN</t>
        </is>
      </c>
      <c r="E882" t="inlineStr">
        <is>
          <t>ENKÖPING</t>
        </is>
      </c>
      <c r="G882" t="n">
        <v>4.8</v>
      </c>
      <c r="H882" t="n">
        <v>0</v>
      </c>
      <c r="I882" t="n">
        <v>0</v>
      </c>
      <c r="J882" t="n">
        <v>0</v>
      </c>
      <c r="K882" t="n">
        <v>0</v>
      </c>
      <c r="L882" t="n">
        <v>0</v>
      </c>
      <c r="M882" t="n">
        <v>0</v>
      </c>
      <c r="N882" t="n">
        <v>0</v>
      </c>
      <c r="O882" t="n">
        <v>0</v>
      </c>
      <c r="P882" t="n">
        <v>0</v>
      </c>
      <c r="Q882" t="n">
        <v>0</v>
      </c>
      <c r="R882" s="2" t="inlineStr"/>
    </row>
    <row r="883" ht="15" customHeight="1">
      <c r="A883" t="inlineStr">
        <is>
          <t>A 58147-2024</t>
        </is>
      </c>
      <c r="B883" s="1" t="n">
        <v>45632</v>
      </c>
      <c r="C883" s="1" t="n">
        <v>45811</v>
      </c>
      <c r="D883" t="inlineStr">
        <is>
          <t>UPPSALA LÄN</t>
        </is>
      </c>
      <c r="E883" t="inlineStr">
        <is>
          <t>ENKÖPING</t>
        </is>
      </c>
      <c r="G883" t="n">
        <v>3</v>
      </c>
      <c r="H883" t="n">
        <v>0</v>
      </c>
      <c r="I883" t="n">
        <v>0</v>
      </c>
      <c r="J883" t="n">
        <v>0</v>
      </c>
      <c r="K883" t="n">
        <v>0</v>
      </c>
      <c r="L883" t="n">
        <v>0</v>
      </c>
      <c r="M883" t="n">
        <v>0</v>
      </c>
      <c r="N883" t="n">
        <v>0</v>
      </c>
      <c r="O883" t="n">
        <v>0</v>
      </c>
      <c r="P883" t="n">
        <v>0</v>
      </c>
      <c r="Q883" t="n">
        <v>0</v>
      </c>
      <c r="R883" s="2" t="inlineStr"/>
    </row>
    <row r="884" ht="15" customHeight="1">
      <c r="A884" t="inlineStr">
        <is>
          <t>A 58961-2024</t>
        </is>
      </c>
      <c r="B884" s="1" t="n">
        <v>45636</v>
      </c>
      <c r="C884" s="1" t="n">
        <v>45811</v>
      </c>
      <c r="D884" t="inlineStr">
        <is>
          <t>UPPSALA LÄN</t>
        </is>
      </c>
      <c r="E884" t="inlineStr">
        <is>
          <t>ENKÖPING</t>
        </is>
      </c>
      <c r="G884" t="n">
        <v>4</v>
      </c>
      <c r="H884" t="n">
        <v>0</v>
      </c>
      <c r="I884" t="n">
        <v>0</v>
      </c>
      <c r="J884" t="n">
        <v>0</v>
      </c>
      <c r="K884" t="n">
        <v>0</v>
      </c>
      <c r="L884" t="n">
        <v>0</v>
      </c>
      <c r="M884" t="n">
        <v>0</v>
      </c>
      <c r="N884" t="n">
        <v>0</v>
      </c>
      <c r="O884" t="n">
        <v>0</v>
      </c>
      <c r="P884" t="n">
        <v>0</v>
      </c>
      <c r="Q884" t="n">
        <v>0</v>
      </c>
      <c r="R884" s="2" t="inlineStr"/>
    </row>
    <row r="885" ht="15" customHeight="1">
      <c r="A885" t="inlineStr">
        <is>
          <t>A 59027-2024</t>
        </is>
      </c>
      <c r="B885" s="1" t="n">
        <v>45636</v>
      </c>
      <c r="C885" s="1" t="n">
        <v>45811</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59570-2024</t>
        </is>
      </c>
      <c r="B886" s="1" t="n">
        <v>45638</v>
      </c>
      <c r="C886" s="1" t="n">
        <v>45811</v>
      </c>
      <c r="D886" t="inlineStr">
        <is>
          <t>UPPSALA LÄN</t>
        </is>
      </c>
      <c r="E886" t="inlineStr">
        <is>
          <t>ENKÖPING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59602-2024</t>
        </is>
      </c>
      <c r="B887" s="1" t="n">
        <v>45638</v>
      </c>
      <c r="C887" s="1" t="n">
        <v>45811</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60125-2024</t>
        </is>
      </c>
      <c r="B888" s="1" t="n">
        <v>45642</v>
      </c>
      <c r="C888" s="1" t="n">
        <v>45811</v>
      </c>
      <c r="D888" t="inlineStr">
        <is>
          <t>UPPSALA LÄN</t>
        </is>
      </c>
      <c r="E888" t="inlineStr">
        <is>
          <t>ENKÖPING</t>
        </is>
      </c>
      <c r="G888" t="n">
        <v>2.1</v>
      </c>
      <c r="H888" t="n">
        <v>0</v>
      </c>
      <c r="I888" t="n">
        <v>0</v>
      </c>
      <c r="J888" t="n">
        <v>0</v>
      </c>
      <c r="K888" t="n">
        <v>0</v>
      </c>
      <c r="L888" t="n">
        <v>0</v>
      </c>
      <c r="M888" t="n">
        <v>0</v>
      </c>
      <c r="N888" t="n">
        <v>0</v>
      </c>
      <c r="O888" t="n">
        <v>0</v>
      </c>
      <c r="P888" t="n">
        <v>0</v>
      </c>
      <c r="Q888" t="n">
        <v>0</v>
      </c>
      <c r="R888" s="2" t="inlineStr"/>
    </row>
    <row r="889" ht="15" customHeight="1">
      <c r="A889" t="inlineStr">
        <is>
          <t>A 60538-2024</t>
        </is>
      </c>
      <c r="B889" s="1" t="n">
        <v>45643</v>
      </c>
      <c r="C889" s="1" t="n">
        <v>45811</v>
      </c>
      <c r="D889" t="inlineStr">
        <is>
          <t>UPPSALA LÄN</t>
        </is>
      </c>
      <c r="E889" t="inlineStr">
        <is>
          <t>ENKÖPING</t>
        </is>
      </c>
      <c r="G889" t="n">
        <v>1.6</v>
      </c>
      <c r="H889" t="n">
        <v>0</v>
      </c>
      <c r="I889" t="n">
        <v>0</v>
      </c>
      <c r="J889" t="n">
        <v>0</v>
      </c>
      <c r="K889" t="n">
        <v>0</v>
      </c>
      <c r="L889" t="n">
        <v>0</v>
      </c>
      <c r="M889" t="n">
        <v>0</v>
      </c>
      <c r="N889" t="n">
        <v>0</v>
      </c>
      <c r="O889" t="n">
        <v>0</v>
      </c>
      <c r="P889" t="n">
        <v>0</v>
      </c>
      <c r="Q889" t="n">
        <v>0</v>
      </c>
      <c r="R889" s="2" t="inlineStr"/>
    </row>
    <row r="890" ht="15" customHeight="1">
      <c r="A890" t="inlineStr">
        <is>
          <t>A 60519-2024</t>
        </is>
      </c>
      <c r="B890" s="1" t="n">
        <v>45643</v>
      </c>
      <c r="C890" s="1" t="n">
        <v>45811</v>
      </c>
      <c r="D890" t="inlineStr">
        <is>
          <t>UPPSALA LÄN</t>
        </is>
      </c>
      <c r="E890" t="inlineStr">
        <is>
          <t>ENKÖPING</t>
        </is>
      </c>
      <c r="G890" t="n">
        <v>3.7</v>
      </c>
      <c r="H890" t="n">
        <v>0</v>
      </c>
      <c r="I890" t="n">
        <v>0</v>
      </c>
      <c r="J890" t="n">
        <v>0</v>
      </c>
      <c r="K890" t="n">
        <v>0</v>
      </c>
      <c r="L890" t="n">
        <v>0</v>
      </c>
      <c r="M890" t="n">
        <v>0</v>
      </c>
      <c r="N890" t="n">
        <v>0</v>
      </c>
      <c r="O890" t="n">
        <v>0</v>
      </c>
      <c r="P890" t="n">
        <v>0</v>
      </c>
      <c r="Q890" t="n">
        <v>0</v>
      </c>
      <c r="R890" s="2" t="inlineStr"/>
    </row>
    <row r="891" ht="15" customHeight="1">
      <c r="A891" t="inlineStr">
        <is>
          <t>A 60539-2024</t>
        </is>
      </c>
      <c r="B891" s="1" t="n">
        <v>45643</v>
      </c>
      <c r="C891" s="1" t="n">
        <v>45811</v>
      </c>
      <c r="D891" t="inlineStr">
        <is>
          <t>UPPSALA LÄN</t>
        </is>
      </c>
      <c r="E891" t="inlineStr">
        <is>
          <t>ENKÖPING</t>
        </is>
      </c>
      <c r="G891" t="n">
        <v>1.4</v>
      </c>
      <c r="H891" t="n">
        <v>0</v>
      </c>
      <c r="I891" t="n">
        <v>0</v>
      </c>
      <c r="J891" t="n">
        <v>0</v>
      </c>
      <c r="K891" t="n">
        <v>0</v>
      </c>
      <c r="L891" t="n">
        <v>0</v>
      </c>
      <c r="M891" t="n">
        <v>0</v>
      </c>
      <c r="N891" t="n">
        <v>0</v>
      </c>
      <c r="O891" t="n">
        <v>0</v>
      </c>
      <c r="P891" t="n">
        <v>0</v>
      </c>
      <c r="Q891" t="n">
        <v>0</v>
      </c>
      <c r="R891" s="2" t="inlineStr"/>
    </row>
    <row r="892" ht="15" customHeight="1">
      <c r="A892" t="inlineStr">
        <is>
          <t>A 192-2025</t>
        </is>
      </c>
      <c r="B892" s="1" t="n">
        <v>45649</v>
      </c>
      <c r="C892" s="1" t="n">
        <v>45811</v>
      </c>
      <c r="D892" t="inlineStr">
        <is>
          <t>UPPSALA LÄN</t>
        </is>
      </c>
      <c r="E892" t="inlineStr">
        <is>
          <t>ENKÖPING</t>
        </is>
      </c>
      <c r="G892" t="n">
        <v>2.5</v>
      </c>
      <c r="H892" t="n">
        <v>0</v>
      </c>
      <c r="I892" t="n">
        <v>0</v>
      </c>
      <c r="J892" t="n">
        <v>0</v>
      </c>
      <c r="K892" t="n">
        <v>0</v>
      </c>
      <c r="L892" t="n">
        <v>0</v>
      </c>
      <c r="M892" t="n">
        <v>0</v>
      </c>
      <c r="N892" t="n">
        <v>0</v>
      </c>
      <c r="O892" t="n">
        <v>0</v>
      </c>
      <c r="P892" t="n">
        <v>0</v>
      </c>
      <c r="Q892" t="n">
        <v>0</v>
      </c>
      <c r="R892" s="2" t="inlineStr"/>
    </row>
    <row r="893" ht="15" customHeight="1">
      <c r="A893" t="inlineStr">
        <is>
          <t>A 314-2025</t>
        </is>
      </c>
      <c r="B893" s="1" t="n">
        <v>45656</v>
      </c>
      <c r="C893" s="1" t="n">
        <v>45811</v>
      </c>
      <c r="D893" t="inlineStr">
        <is>
          <t>UPPSALA LÄN</t>
        </is>
      </c>
      <c r="E893" t="inlineStr">
        <is>
          <t>ENKÖPING</t>
        </is>
      </c>
      <c r="G893" t="n">
        <v>9</v>
      </c>
      <c r="H893" t="n">
        <v>0</v>
      </c>
      <c r="I893" t="n">
        <v>0</v>
      </c>
      <c r="J893" t="n">
        <v>0</v>
      </c>
      <c r="K893" t="n">
        <v>0</v>
      </c>
      <c r="L893" t="n">
        <v>0</v>
      </c>
      <c r="M893" t="n">
        <v>0</v>
      </c>
      <c r="N893" t="n">
        <v>0</v>
      </c>
      <c r="O893" t="n">
        <v>0</v>
      </c>
      <c r="P893" t="n">
        <v>0</v>
      </c>
      <c r="Q893" t="n">
        <v>0</v>
      </c>
      <c r="R893" s="2" t="inlineStr"/>
    </row>
    <row r="894" ht="15" customHeight="1">
      <c r="A894" t="inlineStr">
        <is>
          <t>A 819-2025</t>
        </is>
      </c>
      <c r="B894" s="1" t="n">
        <v>45665</v>
      </c>
      <c r="C894" s="1" t="n">
        <v>45811</v>
      </c>
      <c r="D894" t="inlineStr">
        <is>
          <t>UPPSALA LÄN</t>
        </is>
      </c>
      <c r="E894" t="inlineStr">
        <is>
          <t>ENKÖPING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845-2025</t>
        </is>
      </c>
      <c r="B895" s="1" t="n">
        <v>45665</v>
      </c>
      <c r="C895" s="1" t="n">
        <v>45811</v>
      </c>
      <c r="D895" t="inlineStr">
        <is>
          <t>UPPSALA LÄN</t>
        </is>
      </c>
      <c r="E895" t="inlineStr">
        <is>
          <t>ENKÖPING</t>
        </is>
      </c>
      <c r="G895" t="n">
        <v>0.7</v>
      </c>
      <c r="H895" t="n">
        <v>0</v>
      </c>
      <c r="I895" t="n">
        <v>0</v>
      </c>
      <c r="J895" t="n">
        <v>0</v>
      </c>
      <c r="K895" t="n">
        <v>0</v>
      </c>
      <c r="L895" t="n">
        <v>0</v>
      </c>
      <c r="M895" t="n">
        <v>0</v>
      </c>
      <c r="N895" t="n">
        <v>0</v>
      </c>
      <c r="O895" t="n">
        <v>0</v>
      </c>
      <c r="P895" t="n">
        <v>0</v>
      </c>
      <c r="Q895" t="n">
        <v>0</v>
      </c>
      <c r="R895" s="2" t="inlineStr"/>
    </row>
    <row r="896" ht="15" customHeight="1">
      <c r="A896" t="inlineStr">
        <is>
          <t>A 849-2025</t>
        </is>
      </c>
      <c r="B896" s="1" t="n">
        <v>45665</v>
      </c>
      <c r="C896" s="1" t="n">
        <v>45811</v>
      </c>
      <c r="D896" t="inlineStr">
        <is>
          <t>UPPSALA LÄN</t>
        </is>
      </c>
      <c r="E896" t="inlineStr">
        <is>
          <t>ENKÖPING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840-2025</t>
        </is>
      </c>
      <c r="B897" s="1" t="n">
        <v>45665</v>
      </c>
      <c r="C897" s="1" t="n">
        <v>45811</v>
      </c>
      <c r="D897" t="inlineStr">
        <is>
          <t>UPPSALA LÄN</t>
        </is>
      </c>
      <c r="E897" t="inlineStr">
        <is>
          <t>ENKÖPING</t>
        </is>
      </c>
      <c r="G897" t="n">
        <v>0.9</v>
      </c>
      <c r="H897" t="n">
        <v>0</v>
      </c>
      <c r="I897" t="n">
        <v>0</v>
      </c>
      <c r="J897" t="n">
        <v>0</v>
      </c>
      <c r="K897" t="n">
        <v>0</v>
      </c>
      <c r="L897" t="n">
        <v>0</v>
      </c>
      <c r="M897" t="n">
        <v>0</v>
      </c>
      <c r="N897" t="n">
        <v>0</v>
      </c>
      <c r="O897" t="n">
        <v>0</v>
      </c>
      <c r="P897" t="n">
        <v>0</v>
      </c>
      <c r="Q897" t="n">
        <v>0</v>
      </c>
      <c r="R897" s="2" t="inlineStr"/>
    </row>
    <row r="898" ht="15" customHeight="1">
      <c r="A898" t="inlineStr">
        <is>
          <t>A 1695-2025</t>
        </is>
      </c>
      <c r="B898" s="1" t="n">
        <v>45670</v>
      </c>
      <c r="C898" s="1" t="n">
        <v>45811</v>
      </c>
      <c r="D898" t="inlineStr">
        <is>
          <t>UPPSALA LÄN</t>
        </is>
      </c>
      <c r="E898" t="inlineStr">
        <is>
          <t>ENKÖPING</t>
        </is>
      </c>
      <c r="G898" t="n">
        <v>0.5</v>
      </c>
      <c r="H898" t="n">
        <v>0</v>
      </c>
      <c r="I898" t="n">
        <v>0</v>
      </c>
      <c r="J898" t="n">
        <v>0</v>
      </c>
      <c r="K898" t="n">
        <v>0</v>
      </c>
      <c r="L898" t="n">
        <v>0</v>
      </c>
      <c r="M898" t="n">
        <v>0</v>
      </c>
      <c r="N898" t="n">
        <v>0</v>
      </c>
      <c r="O898" t="n">
        <v>0</v>
      </c>
      <c r="P898" t="n">
        <v>0</v>
      </c>
      <c r="Q898" t="n">
        <v>0</v>
      </c>
      <c r="R898" s="2" t="inlineStr"/>
    </row>
    <row r="899" ht="15" customHeight="1">
      <c r="A899" t="inlineStr">
        <is>
          <t>A 1656-2025</t>
        </is>
      </c>
      <c r="B899" s="1" t="n">
        <v>45670</v>
      </c>
      <c r="C899" s="1" t="n">
        <v>45811</v>
      </c>
      <c r="D899" t="inlineStr">
        <is>
          <t>UPPSALA LÄN</t>
        </is>
      </c>
      <c r="E899" t="inlineStr">
        <is>
          <t>ENKÖPING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2850-2025</t>
        </is>
      </c>
      <c r="B900" s="1" t="n">
        <v>45677</v>
      </c>
      <c r="C900" s="1" t="n">
        <v>45811</v>
      </c>
      <c r="D900" t="inlineStr">
        <is>
          <t>UPPSALA LÄN</t>
        </is>
      </c>
      <c r="E900" t="inlineStr">
        <is>
          <t>ENKÖPING</t>
        </is>
      </c>
      <c r="G900" t="n">
        <v>0.3</v>
      </c>
      <c r="H900" t="n">
        <v>0</v>
      </c>
      <c r="I900" t="n">
        <v>0</v>
      </c>
      <c r="J900" t="n">
        <v>0</v>
      </c>
      <c r="K900" t="n">
        <v>0</v>
      </c>
      <c r="L900" t="n">
        <v>0</v>
      </c>
      <c r="M900" t="n">
        <v>0</v>
      </c>
      <c r="N900" t="n">
        <v>0</v>
      </c>
      <c r="O900" t="n">
        <v>0</v>
      </c>
      <c r="P900" t="n">
        <v>0</v>
      </c>
      <c r="Q900" t="n">
        <v>0</v>
      </c>
      <c r="R900" s="2" t="inlineStr"/>
    </row>
    <row r="901" ht="15" customHeight="1">
      <c r="A901" t="inlineStr">
        <is>
          <t>A 2833-2025</t>
        </is>
      </c>
      <c r="B901" s="1" t="n">
        <v>45677</v>
      </c>
      <c r="C901" s="1" t="n">
        <v>45811</v>
      </c>
      <c r="D901" t="inlineStr">
        <is>
          <t>UPPSALA LÄN</t>
        </is>
      </c>
      <c r="E901" t="inlineStr">
        <is>
          <t>ENKÖPING</t>
        </is>
      </c>
      <c r="G901" t="n">
        <v>0.8</v>
      </c>
      <c r="H901" t="n">
        <v>0</v>
      </c>
      <c r="I901" t="n">
        <v>0</v>
      </c>
      <c r="J901" t="n">
        <v>0</v>
      </c>
      <c r="K901" t="n">
        <v>0</v>
      </c>
      <c r="L901" t="n">
        <v>0</v>
      </c>
      <c r="M901" t="n">
        <v>0</v>
      </c>
      <c r="N901" t="n">
        <v>0</v>
      </c>
      <c r="O901" t="n">
        <v>0</v>
      </c>
      <c r="P901" t="n">
        <v>0</v>
      </c>
      <c r="Q901" t="n">
        <v>0</v>
      </c>
      <c r="R901" s="2" t="inlineStr"/>
    </row>
    <row r="902" ht="15" customHeight="1">
      <c r="A902" t="inlineStr">
        <is>
          <t>A 2974-2025</t>
        </is>
      </c>
      <c r="B902" s="1" t="n">
        <v>45678</v>
      </c>
      <c r="C902" s="1" t="n">
        <v>45811</v>
      </c>
      <c r="D902" t="inlineStr">
        <is>
          <t>UPPSALA LÄN</t>
        </is>
      </c>
      <c r="E902" t="inlineStr">
        <is>
          <t>ENKÖPING</t>
        </is>
      </c>
      <c r="G902" t="n">
        <v>1.6</v>
      </c>
      <c r="H902" t="n">
        <v>0</v>
      </c>
      <c r="I902" t="n">
        <v>0</v>
      </c>
      <c r="J902" t="n">
        <v>0</v>
      </c>
      <c r="K902" t="n">
        <v>0</v>
      </c>
      <c r="L902" t="n">
        <v>0</v>
      </c>
      <c r="M902" t="n">
        <v>0</v>
      </c>
      <c r="N902" t="n">
        <v>0</v>
      </c>
      <c r="O902" t="n">
        <v>0</v>
      </c>
      <c r="P902" t="n">
        <v>0</v>
      </c>
      <c r="Q902" t="n">
        <v>0</v>
      </c>
      <c r="R902" s="2" t="inlineStr"/>
    </row>
    <row r="903" ht="15" customHeight="1">
      <c r="A903" t="inlineStr">
        <is>
          <t>A 2968-2025</t>
        </is>
      </c>
      <c r="B903" s="1" t="n">
        <v>45678</v>
      </c>
      <c r="C903" s="1" t="n">
        <v>45811</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3301-2025</t>
        </is>
      </c>
      <c r="B904" s="1" t="n">
        <v>45679</v>
      </c>
      <c r="C904" s="1" t="n">
        <v>45811</v>
      </c>
      <c r="D904" t="inlineStr">
        <is>
          <t>UPPSALA LÄN</t>
        </is>
      </c>
      <c r="E904" t="inlineStr">
        <is>
          <t>ENKÖPING</t>
        </is>
      </c>
      <c r="G904" t="n">
        <v>20.9</v>
      </c>
      <c r="H904" t="n">
        <v>0</v>
      </c>
      <c r="I904" t="n">
        <v>0</v>
      </c>
      <c r="J904" t="n">
        <v>0</v>
      </c>
      <c r="K904" t="n">
        <v>0</v>
      </c>
      <c r="L904" t="n">
        <v>0</v>
      </c>
      <c r="M904" t="n">
        <v>0</v>
      </c>
      <c r="N904" t="n">
        <v>0</v>
      </c>
      <c r="O904" t="n">
        <v>0</v>
      </c>
      <c r="P904" t="n">
        <v>0</v>
      </c>
      <c r="Q904" t="n">
        <v>0</v>
      </c>
      <c r="R904" s="2" t="inlineStr"/>
    </row>
    <row r="905" ht="15" customHeight="1">
      <c r="A905" t="inlineStr">
        <is>
          <t>A 3235-2025</t>
        </is>
      </c>
      <c r="B905" s="1" t="n">
        <v>45679</v>
      </c>
      <c r="C905" s="1" t="n">
        <v>45811</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3197-2025</t>
        </is>
      </c>
      <c r="B906" s="1" t="n">
        <v>45679</v>
      </c>
      <c r="C906" s="1" t="n">
        <v>45811</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3300-2025</t>
        </is>
      </c>
      <c r="B907" s="1" t="n">
        <v>45679</v>
      </c>
      <c r="C907" s="1" t="n">
        <v>45811</v>
      </c>
      <c r="D907" t="inlineStr">
        <is>
          <t>UPPSALA LÄN</t>
        </is>
      </c>
      <c r="E907" t="inlineStr">
        <is>
          <t>ENKÖPING</t>
        </is>
      </c>
      <c r="G907" t="n">
        <v>8.9</v>
      </c>
      <c r="H907" t="n">
        <v>0</v>
      </c>
      <c r="I907" t="n">
        <v>0</v>
      </c>
      <c r="J907" t="n">
        <v>0</v>
      </c>
      <c r="K907" t="n">
        <v>0</v>
      </c>
      <c r="L907" t="n">
        <v>0</v>
      </c>
      <c r="M907" t="n">
        <v>0</v>
      </c>
      <c r="N907" t="n">
        <v>0</v>
      </c>
      <c r="O907" t="n">
        <v>0</v>
      </c>
      <c r="P907" t="n">
        <v>0</v>
      </c>
      <c r="Q907" t="n">
        <v>0</v>
      </c>
      <c r="R907" s="2" t="inlineStr"/>
    </row>
    <row r="908" ht="15" customHeight="1">
      <c r="A908" t="inlineStr">
        <is>
          <t>A 3499-2025</t>
        </is>
      </c>
      <c r="B908" s="1" t="n">
        <v>45680</v>
      </c>
      <c r="C908" s="1" t="n">
        <v>45811</v>
      </c>
      <c r="D908" t="inlineStr">
        <is>
          <t>UPPSALA LÄN</t>
        </is>
      </c>
      <c r="E908" t="inlineStr">
        <is>
          <t>ENKÖPING</t>
        </is>
      </c>
      <c r="G908" t="n">
        <v>1.2</v>
      </c>
      <c r="H908" t="n">
        <v>0</v>
      </c>
      <c r="I908" t="n">
        <v>0</v>
      </c>
      <c r="J908" t="n">
        <v>0</v>
      </c>
      <c r="K908" t="n">
        <v>0</v>
      </c>
      <c r="L908" t="n">
        <v>0</v>
      </c>
      <c r="M908" t="n">
        <v>0</v>
      </c>
      <c r="N908" t="n">
        <v>0</v>
      </c>
      <c r="O908" t="n">
        <v>0</v>
      </c>
      <c r="P908" t="n">
        <v>0</v>
      </c>
      <c r="Q908" t="n">
        <v>0</v>
      </c>
      <c r="R908" s="2" t="inlineStr"/>
    </row>
    <row r="909" ht="15" customHeight="1">
      <c r="A909" t="inlineStr">
        <is>
          <t>A 3400-2025</t>
        </is>
      </c>
      <c r="B909" s="1" t="n">
        <v>45680</v>
      </c>
      <c r="C909" s="1" t="n">
        <v>45811</v>
      </c>
      <c r="D909" t="inlineStr">
        <is>
          <t>UPPSALA LÄN</t>
        </is>
      </c>
      <c r="E909" t="inlineStr">
        <is>
          <t>ENKÖPING</t>
        </is>
      </c>
      <c r="G909" t="n">
        <v>5.3</v>
      </c>
      <c r="H909" t="n">
        <v>0</v>
      </c>
      <c r="I909" t="n">
        <v>0</v>
      </c>
      <c r="J909" t="n">
        <v>0</v>
      </c>
      <c r="K909" t="n">
        <v>0</v>
      </c>
      <c r="L909" t="n">
        <v>0</v>
      </c>
      <c r="M909" t="n">
        <v>0</v>
      </c>
      <c r="N909" t="n">
        <v>0</v>
      </c>
      <c r="O909" t="n">
        <v>0</v>
      </c>
      <c r="P909" t="n">
        <v>0</v>
      </c>
      <c r="Q909" t="n">
        <v>0</v>
      </c>
      <c r="R909" s="2" t="inlineStr"/>
    </row>
    <row r="910" ht="15" customHeight="1">
      <c r="A910" t="inlineStr">
        <is>
          <t>A 4562-2025</t>
        </is>
      </c>
      <c r="B910" s="1" t="n">
        <v>45687</v>
      </c>
      <c r="C910" s="1" t="n">
        <v>45811</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5013-2025</t>
        </is>
      </c>
      <c r="B911" s="1" t="n">
        <v>45691</v>
      </c>
      <c r="C911" s="1" t="n">
        <v>45811</v>
      </c>
      <c r="D911" t="inlineStr">
        <is>
          <t>UPPSALA LÄN</t>
        </is>
      </c>
      <c r="E911" t="inlineStr">
        <is>
          <t>ENKÖPING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5712-2025</t>
        </is>
      </c>
      <c r="B912" s="1" t="n">
        <v>45694</v>
      </c>
      <c r="C912" s="1" t="n">
        <v>45811</v>
      </c>
      <c r="D912" t="inlineStr">
        <is>
          <t>UPPSALA LÄN</t>
        </is>
      </c>
      <c r="E912" t="inlineStr">
        <is>
          <t>ENKÖPING</t>
        </is>
      </c>
      <c r="G912" t="n">
        <v>5.1</v>
      </c>
      <c r="H912" t="n">
        <v>0</v>
      </c>
      <c r="I912" t="n">
        <v>0</v>
      </c>
      <c r="J912" t="n">
        <v>0</v>
      </c>
      <c r="K912" t="n">
        <v>0</v>
      </c>
      <c r="L912" t="n">
        <v>0</v>
      </c>
      <c r="M912" t="n">
        <v>0</v>
      </c>
      <c r="N912" t="n">
        <v>0</v>
      </c>
      <c r="O912" t="n">
        <v>0</v>
      </c>
      <c r="P912" t="n">
        <v>0</v>
      </c>
      <c r="Q912" t="n">
        <v>0</v>
      </c>
      <c r="R912" s="2" t="inlineStr"/>
    </row>
    <row r="913" ht="15" customHeight="1">
      <c r="A913" t="inlineStr">
        <is>
          <t>A 5749-2025</t>
        </is>
      </c>
      <c r="B913" s="1" t="n">
        <v>45694</v>
      </c>
      <c r="C913" s="1" t="n">
        <v>45811</v>
      </c>
      <c r="D913" t="inlineStr">
        <is>
          <t>UPPSALA LÄN</t>
        </is>
      </c>
      <c r="E913" t="inlineStr">
        <is>
          <t>ENKÖPING</t>
        </is>
      </c>
      <c r="G913" t="n">
        <v>1</v>
      </c>
      <c r="H913" t="n">
        <v>0</v>
      </c>
      <c r="I913" t="n">
        <v>0</v>
      </c>
      <c r="J913" t="n">
        <v>0</v>
      </c>
      <c r="K913" t="n">
        <v>0</v>
      </c>
      <c r="L913" t="n">
        <v>0</v>
      </c>
      <c r="M913" t="n">
        <v>0</v>
      </c>
      <c r="N913" t="n">
        <v>0</v>
      </c>
      <c r="O913" t="n">
        <v>0</v>
      </c>
      <c r="P913" t="n">
        <v>0</v>
      </c>
      <c r="Q913" t="n">
        <v>0</v>
      </c>
      <c r="R913" s="2" t="inlineStr"/>
    </row>
    <row r="914" ht="15" customHeight="1">
      <c r="A914" t="inlineStr">
        <is>
          <t>A 5699-2025</t>
        </is>
      </c>
      <c r="B914" s="1" t="n">
        <v>45694</v>
      </c>
      <c r="C914" s="1" t="n">
        <v>45811</v>
      </c>
      <c r="D914" t="inlineStr">
        <is>
          <t>UPPSALA LÄN</t>
        </is>
      </c>
      <c r="E914" t="inlineStr">
        <is>
          <t>ENKÖPING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6242-2025</t>
        </is>
      </c>
      <c r="B915" s="1" t="n">
        <v>45697</v>
      </c>
      <c r="C915" s="1" t="n">
        <v>45811</v>
      </c>
      <c r="D915" t="inlineStr">
        <is>
          <t>UPPSALA LÄN</t>
        </is>
      </c>
      <c r="E915" t="inlineStr">
        <is>
          <t>ENKÖPING</t>
        </is>
      </c>
      <c r="G915" t="n">
        <v>17.9</v>
      </c>
      <c r="H915" t="n">
        <v>0</v>
      </c>
      <c r="I915" t="n">
        <v>0</v>
      </c>
      <c r="J915" t="n">
        <v>0</v>
      </c>
      <c r="K915" t="n">
        <v>0</v>
      </c>
      <c r="L915" t="n">
        <v>0</v>
      </c>
      <c r="M915" t="n">
        <v>0</v>
      </c>
      <c r="N915" t="n">
        <v>0</v>
      </c>
      <c r="O915" t="n">
        <v>0</v>
      </c>
      <c r="P915" t="n">
        <v>0</v>
      </c>
      <c r="Q915" t="n">
        <v>0</v>
      </c>
      <c r="R915" s="2" t="inlineStr"/>
    </row>
    <row r="916" ht="15" customHeight="1">
      <c r="A916" t="inlineStr">
        <is>
          <t>A 6959-2025</t>
        </is>
      </c>
      <c r="B916" s="1" t="n">
        <v>45701</v>
      </c>
      <c r="C916" s="1" t="n">
        <v>45811</v>
      </c>
      <c r="D916" t="inlineStr">
        <is>
          <t>UPPSALA LÄN</t>
        </is>
      </c>
      <c r="E916" t="inlineStr">
        <is>
          <t>ENKÖPING</t>
        </is>
      </c>
      <c r="G916" t="n">
        <v>1.8</v>
      </c>
      <c r="H916" t="n">
        <v>0</v>
      </c>
      <c r="I916" t="n">
        <v>0</v>
      </c>
      <c r="J916" t="n">
        <v>0</v>
      </c>
      <c r="K916" t="n">
        <v>0</v>
      </c>
      <c r="L916" t="n">
        <v>0</v>
      </c>
      <c r="M916" t="n">
        <v>0</v>
      </c>
      <c r="N916" t="n">
        <v>0</v>
      </c>
      <c r="O916" t="n">
        <v>0</v>
      </c>
      <c r="P916" t="n">
        <v>0</v>
      </c>
      <c r="Q916" t="n">
        <v>0</v>
      </c>
      <c r="R916" s="2" t="inlineStr"/>
    </row>
    <row r="917" ht="15" customHeight="1">
      <c r="A917" t="inlineStr">
        <is>
          <t>A 6981-2025</t>
        </is>
      </c>
      <c r="B917" s="1" t="n">
        <v>45701</v>
      </c>
      <c r="C917" s="1" t="n">
        <v>45811</v>
      </c>
      <c r="D917" t="inlineStr">
        <is>
          <t>UPPSALA LÄN</t>
        </is>
      </c>
      <c r="E917" t="inlineStr">
        <is>
          <t>ENKÖPING</t>
        </is>
      </c>
      <c r="G917" t="n">
        <v>0.9</v>
      </c>
      <c r="H917" t="n">
        <v>0</v>
      </c>
      <c r="I917" t="n">
        <v>0</v>
      </c>
      <c r="J917" t="n">
        <v>0</v>
      </c>
      <c r="K917" t="n">
        <v>0</v>
      </c>
      <c r="L917" t="n">
        <v>0</v>
      </c>
      <c r="M917" t="n">
        <v>0</v>
      </c>
      <c r="N917" t="n">
        <v>0</v>
      </c>
      <c r="O917" t="n">
        <v>0</v>
      </c>
      <c r="P917" t="n">
        <v>0</v>
      </c>
      <c r="Q917" t="n">
        <v>0</v>
      </c>
      <c r="R917" s="2" t="inlineStr"/>
    </row>
    <row r="918" ht="15" customHeight="1">
      <c r="A918" t="inlineStr">
        <is>
          <t>A 8137-2025</t>
        </is>
      </c>
      <c r="B918" s="1" t="n">
        <v>45707</v>
      </c>
      <c r="C918" s="1" t="n">
        <v>45811</v>
      </c>
      <c r="D918" t="inlineStr">
        <is>
          <t>UPPSALA LÄN</t>
        </is>
      </c>
      <c r="E918" t="inlineStr">
        <is>
          <t>ENKÖPING</t>
        </is>
      </c>
      <c r="G918" t="n">
        <v>0.4</v>
      </c>
      <c r="H918" t="n">
        <v>0</v>
      </c>
      <c r="I918" t="n">
        <v>0</v>
      </c>
      <c r="J918" t="n">
        <v>0</v>
      </c>
      <c r="K918" t="n">
        <v>0</v>
      </c>
      <c r="L918" t="n">
        <v>0</v>
      </c>
      <c r="M918" t="n">
        <v>0</v>
      </c>
      <c r="N918" t="n">
        <v>0</v>
      </c>
      <c r="O918" t="n">
        <v>0</v>
      </c>
      <c r="P918" t="n">
        <v>0</v>
      </c>
      <c r="Q918" t="n">
        <v>0</v>
      </c>
      <c r="R918" s="2" t="inlineStr"/>
    </row>
    <row r="919" ht="15" customHeight="1">
      <c r="A919" t="inlineStr">
        <is>
          <t>A 8136-2025</t>
        </is>
      </c>
      <c r="B919" s="1" t="n">
        <v>45707</v>
      </c>
      <c r="C919" s="1" t="n">
        <v>45811</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8537-2025</t>
        </is>
      </c>
      <c r="B920" s="1" t="n">
        <v>45709</v>
      </c>
      <c r="C920" s="1" t="n">
        <v>45811</v>
      </c>
      <c r="D920" t="inlineStr">
        <is>
          <t>UPPSALA LÄN</t>
        </is>
      </c>
      <c r="E920" t="inlineStr">
        <is>
          <t>ENKÖPING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9487-2025</t>
        </is>
      </c>
      <c r="B921" s="1" t="n">
        <v>45715</v>
      </c>
      <c r="C921" s="1" t="n">
        <v>45811</v>
      </c>
      <c r="D921" t="inlineStr">
        <is>
          <t>UPPSALA LÄN</t>
        </is>
      </c>
      <c r="E921" t="inlineStr">
        <is>
          <t>ENKÖPING</t>
        </is>
      </c>
      <c r="G921" t="n">
        <v>0.8</v>
      </c>
      <c r="H921" t="n">
        <v>0</v>
      </c>
      <c r="I921" t="n">
        <v>0</v>
      </c>
      <c r="J921" t="n">
        <v>0</v>
      </c>
      <c r="K921" t="n">
        <v>0</v>
      </c>
      <c r="L921" t="n">
        <v>0</v>
      </c>
      <c r="M921" t="n">
        <v>0</v>
      </c>
      <c r="N921" t="n">
        <v>0</v>
      </c>
      <c r="O921" t="n">
        <v>0</v>
      </c>
      <c r="P921" t="n">
        <v>0</v>
      </c>
      <c r="Q921" t="n">
        <v>0</v>
      </c>
      <c r="R921" s="2" t="inlineStr"/>
    </row>
    <row r="922" ht="15" customHeight="1">
      <c r="A922" t="inlineStr">
        <is>
          <t>A 9493-2025</t>
        </is>
      </c>
      <c r="B922" s="1" t="n">
        <v>45715</v>
      </c>
      <c r="C922" s="1" t="n">
        <v>45811</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9490-2025</t>
        </is>
      </c>
      <c r="B923" s="1" t="n">
        <v>45715</v>
      </c>
      <c r="C923" s="1" t="n">
        <v>45811</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9660-2025</t>
        </is>
      </c>
      <c r="B924" s="1" t="n">
        <v>45716</v>
      </c>
      <c r="C924" s="1" t="n">
        <v>45811</v>
      </c>
      <c r="D924" t="inlineStr">
        <is>
          <t>UPPSALA LÄN</t>
        </is>
      </c>
      <c r="E924" t="inlineStr">
        <is>
          <t>ENKÖPING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9656-2025</t>
        </is>
      </c>
      <c r="B925" s="1" t="n">
        <v>45716</v>
      </c>
      <c r="C925" s="1" t="n">
        <v>45811</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9662-2025</t>
        </is>
      </c>
      <c r="B926" s="1" t="n">
        <v>45716</v>
      </c>
      <c r="C926" s="1" t="n">
        <v>45811</v>
      </c>
      <c r="D926" t="inlineStr">
        <is>
          <t>UPPSALA LÄN</t>
        </is>
      </c>
      <c r="E926" t="inlineStr">
        <is>
          <t>ENKÖPING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9658-2025</t>
        </is>
      </c>
      <c r="B927" s="1" t="n">
        <v>45716</v>
      </c>
      <c r="C927" s="1" t="n">
        <v>45811</v>
      </c>
      <c r="D927" t="inlineStr">
        <is>
          <t>UPPSALA LÄN</t>
        </is>
      </c>
      <c r="E927" t="inlineStr">
        <is>
          <t>ENKÖPING</t>
        </is>
      </c>
      <c r="G927" t="n">
        <v>1.3</v>
      </c>
      <c r="H927" t="n">
        <v>0</v>
      </c>
      <c r="I927" t="n">
        <v>0</v>
      </c>
      <c r="J927" t="n">
        <v>0</v>
      </c>
      <c r="K927" t="n">
        <v>0</v>
      </c>
      <c r="L927" t="n">
        <v>0</v>
      </c>
      <c r="M927" t="n">
        <v>0</v>
      </c>
      <c r="N927" t="n">
        <v>0</v>
      </c>
      <c r="O927" t="n">
        <v>0</v>
      </c>
      <c r="P927" t="n">
        <v>0</v>
      </c>
      <c r="Q927" t="n">
        <v>0</v>
      </c>
      <c r="R927" s="2" t="inlineStr"/>
    </row>
    <row r="928" ht="15" customHeight="1">
      <c r="A928" t="inlineStr">
        <is>
          <t>A 10212-2025</t>
        </is>
      </c>
      <c r="B928" s="1" t="n">
        <v>45719</v>
      </c>
      <c r="C928" s="1" t="n">
        <v>45811</v>
      </c>
      <c r="D928" t="inlineStr">
        <is>
          <t>UPPSALA LÄN</t>
        </is>
      </c>
      <c r="E928" t="inlineStr">
        <is>
          <t>ENKÖPING</t>
        </is>
      </c>
      <c r="G928" t="n">
        <v>1.5</v>
      </c>
      <c r="H928" t="n">
        <v>0</v>
      </c>
      <c r="I928" t="n">
        <v>0</v>
      </c>
      <c r="J928" t="n">
        <v>0</v>
      </c>
      <c r="K928" t="n">
        <v>0</v>
      </c>
      <c r="L928" t="n">
        <v>0</v>
      </c>
      <c r="M928" t="n">
        <v>0</v>
      </c>
      <c r="N928" t="n">
        <v>0</v>
      </c>
      <c r="O928" t="n">
        <v>0</v>
      </c>
      <c r="P928" t="n">
        <v>0</v>
      </c>
      <c r="Q928" t="n">
        <v>0</v>
      </c>
      <c r="R928" s="2" t="inlineStr"/>
    </row>
    <row r="929" ht="15" customHeight="1">
      <c r="A929" t="inlineStr">
        <is>
          <t>A 10468-2025</t>
        </is>
      </c>
      <c r="B929" s="1" t="n">
        <v>45720</v>
      </c>
      <c r="C929" s="1" t="n">
        <v>45811</v>
      </c>
      <c r="D929" t="inlineStr">
        <is>
          <t>UPPSALA LÄN</t>
        </is>
      </c>
      <c r="E929" t="inlineStr">
        <is>
          <t>ENKÖPING</t>
        </is>
      </c>
      <c r="G929" t="n">
        <v>1.6</v>
      </c>
      <c r="H929" t="n">
        <v>0</v>
      </c>
      <c r="I929" t="n">
        <v>0</v>
      </c>
      <c r="J929" t="n">
        <v>0</v>
      </c>
      <c r="K929" t="n">
        <v>0</v>
      </c>
      <c r="L929" t="n">
        <v>0</v>
      </c>
      <c r="M929" t="n">
        <v>0</v>
      </c>
      <c r="N929" t="n">
        <v>0</v>
      </c>
      <c r="O929" t="n">
        <v>0</v>
      </c>
      <c r="P929" t="n">
        <v>0</v>
      </c>
      <c r="Q929" t="n">
        <v>0</v>
      </c>
      <c r="R929" s="2" t="inlineStr"/>
    </row>
    <row r="930" ht="15" customHeight="1">
      <c r="A930" t="inlineStr">
        <is>
          <t>A 10409-2025</t>
        </is>
      </c>
      <c r="B930" s="1" t="n">
        <v>45720</v>
      </c>
      <c r="C930" s="1" t="n">
        <v>45811</v>
      </c>
      <c r="D930" t="inlineStr">
        <is>
          <t>UPPSALA LÄN</t>
        </is>
      </c>
      <c r="E930" t="inlineStr">
        <is>
          <t>ENKÖPING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10670-2025</t>
        </is>
      </c>
      <c r="B931" s="1" t="n">
        <v>45721</v>
      </c>
      <c r="C931" s="1" t="n">
        <v>45811</v>
      </c>
      <c r="D931" t="inlineStr">
        <is>
          <t>UPPSALA LÄN</t>
        </is>
      </c>
      <c r="E931" t="inlineStr">
        <is>
          <t>ENKÖPING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11380-2025</t>
        </is>
      </c>
      <c r="B932" s="1" t="n">
        <v>45726</v>
      </c>
      <c r="C932" s="1" t="n">
        <v>45811</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11604-2025</t>
        </is>
      </c>
      <c r="B933" s="1" t="n">
        <v>45727</v>
      </c>
      <c r="C933" s="1" t="n">
        <v>45811</v>
      </c>
      <c r="D933" t="inlineStr">
        <is>
          <t>UPPSALA LÄN</t>
        </is>
      </c>
      <c r="E933" t="inlineStr">
        <is>
          <t>ENKÖPING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11627-2025</t>
        </is>
      </c>
      <c r="B934" s="1" t="n">
        <v>45727</v>
      </c>
      <c r="C934" s="1" t="n">
        <v>45811</v>
      </c>
      <c r="D934" t="inlineStr">
        <is>
          <t>UPPSALA LÄN</t>
        </is>
      </c>
      <c r="E934" t="inlineStr">
        <is>
          <t>ENKÖPING</t>
        </is>
      </c>
      <c r="G934" t="n">
        <v>5.5</v>
      </c>
      <c r="H934" t="n">
        <v>0</v>
      </c>
      <c r="I934" t="n">
        <v>0</v>
      </c>
      <c r="J934" t="n">
        <v>0</v>
      </c>
      <c r="K934" t="n">
        <v>0</v>
      </c>
      <c r="L934" t="n">
        <v>0</v>
      </c>
      <c r="M934" t="n">
        <v>0</v>
      </c>
      <c r="N934" t="n">
        <v>0</v>
      </c>
      <c r="O934" t="n">
        <v>0</v>
      </c>
      <c r="P934" t="n">
        <v>0</v>
      </c>
      <c r="Q934" t="n">
        <v>0</v>
      </c>
      <c r="R934" s="2" t="inlineStr"/>
    </row>
    <row r="935" ht="15" customHeight="1">
      <c r="A935" t="inlineStr">
        <is>
          <t>A 11918-2025</t>
        </is>
      </c>
      <c r="B935" s="1" t="n">
        <v>45728</v>
      </c>
      <c r="C935" s="1" t="n">
        <v>45811</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12755-2025</t>
        </is>
      </c>
      <c r="B936" s="1" t="n">
        <v>45733</v>
      </c>
      <c r="C936" s="1" t="n">
        <v>45811</v>
      </c>
      <c r="D936" t="inlineStr">
        <is>
          <t>UPPSALA LÄN</t>
        </is>
      </c>
      <c r="E936" t="inlineStr">
        <is>
          <t>ENKÖPING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12754-2025</t>
        </is>
      </c>
      <c r="B937" s="1" t="n">
        <v>45733</v>
      </c>
      <c r="C937" s="1" t="n">
        <v>45811</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12878-2025</t>
        </is>
      </c>
      <c r="B938" s="1" t="n">
        <v>45733</v>
      </c>
      <c r="C938" s="1" t="n">
        <v>45811</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14243-2025</t>
        </is>
      </c>
      <c r="B939" s="1" t="n">
        <v>45740</v>
      </c>
      <c r="C939" s="1" t="n">
        <v>45811</v>
      </c>
      <c r="D939" t="inlineStr">
        <is>
          <t>UPPSALA LÄN</t>
        </is>
      </c>
      <c r="E939" t="inlineStr">
        <is>
          <t>ENKÖPING</t>
        </is>
      </c>
      <c r="G939" t="n">
        <v>2.2</v>
      </c>
      <c r="H939" t="n">
        <v>0</v>
      </c>
      <c r="I939" t="n">
        <v>0</v>
      </c>
      <c r="J939" t="n">
        <v>0</v>
      </c>
      <c r="K939" t="n">
        <v>0</v>
      </c>
      <c r="L939" t="n">
        <v>0</v>
      </c>
      <c r="M939" t="n">
        <v>0</v>
      </c>
      <c r="N939" t="n">
        <v>0</v>
      </c>
      <c r="O939" t="n">
        <v>0</v>
      </c>
      <c r="P939" t="n">
        <v>0</v>
      </c>
      <c r="Q939" t="n">
        <v>0</v>
      </c>
      <c r="R939" s="2" t="inlineStr"/>
    </row>
    <row r="940" ht="15" customHeight="1">
      <c r="A940" t="inlineStr">
        <is>
          <t>A 14083-2025</t>
        </is>
      </c>
      <c r="B940" s="1" t="n">
        <v>45740</v>
      </c>
      <c r="C940" s="1" t="n">
        <v>45811</v>
      </c>
      <c r="D940" t="inlineStr">
        <is>
          <t>UPPSALA LÄN</t>
        </is>
      </c>
      <c r="E940" t="inlineStr">
        <is>
          <t>ENKÖPING</t>
        </is>
      </c>
      <c r="G940" t="n">
        <v>1.1</v>
      </c>
      <c r="H940" t="n">
        <v>0</v>
      </c>
      <c r="I940" t="n">
        <v>0</v>
      </c>
      <c r="J940" t="n">
        <v>0</v>
      </c>
      <c r="K940" t="n">
        <v>0</v>
      </c>
      <c r="L940" t="n">
        <v>0</v>
      </c>
      <c r="M940" t="n">
        <v>0</v>
      </c>
      <c r="N940" t="n">
        <v>0</v>
      </c>
      <c r="O940" t="n">
        <v>0</v>
      </c>
      <c r="P940" t="n">
        <v>0</v>
      </c>
      <c r="Q940" t="n">
        <v>0</v>
      </c>
      <c r="R940" s="2" t="inlineStr"/>
    </row>
    <row r="941" ht="15" customHeight="1">
      <c r="A941" t="inlineStr">
        <is>
          <t>A 14104-2025</t>
        </is>
      </c>
      <c r="B941" s="1" t="n">
        <v>45740</v>
      </c>
      <c r="C941" s="1" t="n">
        <v>45811</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14517-2025</t>
        </is>
      </c>
      <c r="B942" s="1" t="n">
        <v>45741</v>
      </c>
      <c r="C942" s="1" t="n">
        <v>45811</v>
      </c>
      <c r="D942" t="inlineStr">
        <is>
          <t>UPPSALA LÄN</t>
        </is>
      </c>
      <c r="E942" t="inlineStr">
        <is>
          <t>ENKÖPING</t>
        </is>
      </c>
      <c r="G942" t="n">
        <v>2.7</v>
      </c>
      <c r="H942" t="n">
        <v>0</v>
      </c>
      <c r="I942" t="n">
        <v>0</v>
      </c>
      <c r="J942" t="n">
        <v>0</v>
      </c>
      <c r="K942" t="n">
        <v>0</v>
      </c>
      <c r="L942" t="n">
        <v>0</v>
      </c>
      <c r="M942" t="n">
        <v>0</v>
      </c>
      <c r="N942" t="n">
        <v>0</v>
      </c>
      <c r="O942" t="n">
        <v>0</v>
      </c>
      <c r="P942" t="n">
        <v>0</v>
      </c>
      <c r="Q942" t="n">
        <v>0</v>
      </c>
      <c r="R942" s="2" t="inlineStr"/>
    </row>
    <row r="943" ht="15" customHeight="1">
      <c r="A943" t="inlineStr">
        <is>
          <t>A 14518-2025</t>
        </is>
      </c>
      <c r="B943" s="1" t="n">
        <v>45741</v>
      </c>
      <c r="C943" s="1" t="n">
        <v>45811</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14519-2025</t>
        </is>
      </c>
      <c r="B944" s="1" t="n">
        <v>45741</v>
      </c>
      <c r="C944" s="1" t="n">
        <v>45811</v>
      </c>
      <c r="D944" t="inlineStr">
        <is>
          <t>UPPSALA LÄN</t>
        </is>
      </c>
      <c r="E944" t="inlineStr">
        <is>
          <t>ENKÖPING</t>
        </is>
      </c>
      <c r="G944" t="n">
        <v>0.9</v>
      </c>
      <c r="H944" t="n">
        <v>0</v>
      </c>
      <c r="I944" t="n">
        <v>0</v>
      </c>
      <c r="J944" t="n">
        <v>0</v>
      </c>
      <c r="K944" t="n">
        <v>0</v>
      </c>
      <c r="L944" t="n">
        <v>0</v>
      </c>
      <c r="M944" t="n">
        <v>0</v>
      </c>
      <c r="N944" t="n">
        <v>0</v>
      </c>
      <c r="O944" t="n">
        <v>0</v>
      </c>
      <c r="P944" t="n">
        <v>0</v>
      </c>
      <c r="Q944" t="n">
        <v>0</v>
      </c>
      <c r="R944" s="2" t="inlineStr"/>
    </row>
    <row r="945" ht="15" customHeight="1">
      <c r="A945" t="inlineStr">
        <is>
          <t>A 15162-2025</t>
        </is>
      </c>
      <c r="B945" s="1" t="n">
        <v>45744</v>
      </c>
      <c r="C945" s="1" t="n">
        <v>45811</v>
      </c>
      <c r="D945" t="inlineStr">
        <is>
          <t>UPPSALA LÄN</t>
        </is>
      </c>
      <c r="E945" t="inlineStr">
        <is>
          <t>ENKÖPING</t>
        </is>
      </c>
      <c r="G945" t="n">
        <v>4.2</v>
      </c>
      <c r="H945" t="n">
        <v>0</v>
      </c>
      <c r="I945" t="n">
        <v>0</v>
      </c>
      <c r="J945" t="n">
        <v>0</v>
      </c>
      <c r="K945" t="n">
        <v>0</v>
      </c>
      <c r="L945" t="n">
        <v>0</v>
      </c>
      <c r="M945" t="n">
        <v>0</v>
      </c>
      <c r="N945" t="n">
        <v>0</v>
      </c>
      <c r="O945" t="n">
        <v>0</v>
      </c>
      <c r="P945" t="n">
        <v>0</v>
      </c>
      <c r="Q945" t="n">
        <v>0</v>
      </c>
      <c r="R945" s="2" t="inlineStr"/>
    </row>
    <row r="946" ht="15" customHeight="1">
      <c r="A946" t="inlineStr">
        <is>
          <t>A 15409-2025</t>
        </is>
      </c>
      <c r="B946" s="1" t="n">
        <v>45747</v>
      </c>
      <c r="C946" s="1" t="n">
        <v>45811</v>
      </c>
      <c r="D946" t="inlineStr">
        <is>
          <t>UPPSALA LÄN</t>
        </is>
      </c>
      <c r="E946" t="inlineStr">
        <is>
          <t>ENKÖPING</t>
        </is>
      </c>
      <c r="G946" t="n">
        <v>2.5</v>
      </c>
      <c r="H946" t="n">
        <v>0</v>
      </c>
      <c r="I946" t="n">
        <v>0</v>
      </c>
      <c r="J946" t="n">
        <v>0</v>
      </c>
      <c r="K946" t="n">
        <v>0</v>
      </c>
      <c r="L946" t="n">
        <v>0</v>
      </c>
      <c r="M946" t="n">
        <v>0</v>
      </c>
      <c r="N946" t="n">
        <v>0</v>
      </c>
      <c r="O946" t="n">
        <v>0</v>
      </c>
      <c r="P946" t="n">
        <v>0</v>
      </c>
      <c r="Q946" t="n">
        <v>0</v>
      </c>
      <c r="R946" s="2" t="inlineStr"/>
    </row>
    <row r="947" ht="15" customHeight="1">
      <c r="A947" t="inlineStr">
        <is>
          <t>A 15405-2025</t>
        </is>
      </c>
      <c r="B947" s="1" t="n">
        <v>45747</v>
      </c>
      <c r="C947" s="1" t="n">
        <v>45811</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15764-2025</t>
        </is>
      </c>
      <c r="B948" s="1" t="n">
        <v>45748</v>
      </c>
      <c r="C948" s="1" t="n">
        <v>45811</v>
      </c>
      <c r="D948" t="inlineStr">
        <is>
          <t>UPPSALA LÄN</t>
        </is>
      </c>
      <c r="E948" t="inlineStr">
        <is>
          <t>ENKÖPING</t>
        </is>
      </c>
      <c r="G948" t="n">
        <v>2</v>
      </c>
      <c r="H948" t="n">
        <v>0</v>
      </c>
      <c r="I948" t="n">
        <v>0</v>
      </c>
      <c r="J948" t="n">
        <v>0</v>
      </c>
      <c r="K948" t="n">
        <v>0</v>
      </c>
      <c r="L948" t="n">
        <v>0</v>
      </c>
      <c r="M948" t="n">
        <v>0</v>
      </c>
      <c r="N948" t="n">
        <v>0</v>
      </c>
      <c r="O948" t="n">
        <v>0</v>
      </c>
      <c r="P948" t="n">
        <v>0</v>
      </c>
      <c r="Q948" t="n">
        <v>0</v>
      </c>
      <c r="R948" s="2" t="inlineStr"/>
    </row>
    <row r="949" ht="15" customHeight="1">
      <c r="A949" t="inlineStr">
        <is>
          <t>A 15711-2025</t>
        </is>
      </c>
      <c r="B949" s="1" t="n">
        <v>45748</v>
      </c>
      <c r="C949" s="1" t="n">
        <v>45811</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15740-2025</t>
        </is>
      </c>
      <c r="B950" s="1" t="n">
        <v>45748</v>
      </c>
      <c r="C950" s="1" t="n">
        <v>45811</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16176-2025</t>
        </is>
      </c>
      <c r="B951" s="1" t="n">
        <v>45750</v>
      </c>
      <c r="C951" s="1" t="n">
        <v>45811</v>
      </c>
      <c r="D951" t="inlineStr">
        <is>
          <t>UPPSALA LÄN</t>
        </is>
      </c>
      <c r="E951" t="inlineStr">
        <is>
          <t>ENKÖPING</t>
        </is>
      </c>
      <c r="G951" t="n">
        <v>3.9</v>
      </c>
      <c r="H951" t="n">
        <v>0</v>
      </c>
      <c r="I951" t="n">
        <v>0</v>
      </c>
      <c r="J951" t="n">
        <v>0</v>
      </c>
      <c r="K951" t="n">
        <v>0</v>
      </c>
      <c r="L951" t="n">
        <v>0</v>
      </c>
      <c r="M951" t="n">
        <v>0</v>
      </c>
      <c r="N951" t="n">
        <v>0</v>
      </c>
      <c r="O951" t="n">
        <v>0</v>
      </c>
      <c r="P951" t="n">
        <v>0</v>
      </c>
      <c r="Q951" t="n">
        <v>0</v>
      </c>
      <c r="R951" s="2" t="inlineStr"/>
    </row>
    <row r="952" ht="15" customHeight="1">
      <c r="A952" t="inlineStr">
        <is>
          <t>A 16521-2025</t>
        </is>
      </c>
      <c r="B952" s="1" t="n">
        <v>45751</v>
      </c>
      <c r="C952" s="1" t="n">
        <v>45811</v>
      </c>
      <c r="D952" t="inlineStr">
        <is>
          <t>UPPSALA LÄN</t>
        </is>
      </c>
      <c r="E952" t="inlineStr">
        <is>
          <t>ENKÖPING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17029-2025</t>
        </is>
      </c>
      <c r="B953" s="1" t="n">
        <v>45755</v>
      </c>
      <c r="C953" s="1" t="n">
        <v>45811</v>
      </c>
      <c r="D953" t="inlineStr">
        <is>
          <t>UPPSALA LÄN</t>
        </is>
      </c>
      <c r="E953" t="inlineStr">
        <is>
          <t>ENKÖPING</t>
        </is>
      </c>
      <c r="G953" t="n">
        <v>1.9</v>
      </c>
      <c r="H953" t="n">
        <v>0</v>
      </c>
      <c r="I953" t="n">
        <v>0</v>
      </c>
      <c r="J953" t="n">
        <v>0</v>
      </c>
      <c r="K953" t="n">
        <v>0</v>
      </c>
      <c r="L953" t="n">
        <v>0</v>
      </c>
      <c r="M953" t="n">
        <v>0</v>
      </c>
      <c r="N953" t="n">
        <v>0</v>
      </c>
      <c r="O953" t="n">
        <v>0</v>
      </c>
      <c r="P953" t="n">
        <v>0</v>
      </c>
      <c r="Q953" t="n">
        <v>0</v>
      </c>
      <c r="R953" s="2" t="inlineStr"/>
    </row>
    <row r="954" ht="15" customHeight="1">
      <c r="A954" t="inlineStr">
        <is>
          <t>A 17038-2025</t>
        </is>
      </c>
      <c r="B954" s="1" t="n">
        <v>45755</v>
      </c>
      <c r="C954" s="1" t="n">
        <v>45811</v>
      </c>
      <c r="D954" t="inlineStr">
        <is>
          <t>UPPSALA LÄN</t>
        </is>
      </c>
      <c r="E954" t="inlineStr">
        <is>
          <t>ENKÖPING</t>
        </is>
      </c>
      <c r="G954" t="n">
        <v>4.8</v>
      </c>
      <c r="H954" t="n">
        <v>0</v>
      </c>
      <c r="I954" t="n">
        <v>0</v>
      </c>
      <c r="J954" t="n">
        <v>0</v>
      </c>
      <c r="K954" t="n">
        <v>0</v>
      </c>
      <c r="L954" t="n">
        <v>0</v>
      </c>
      <c r="M954" t="n">
        <v>0</v>
      </c>
      <c r="N954" t="n">
        <v>0</v>
      </c>
      <c r="O954" t="n">
        <v>0</v>
      </c>
      <c r="P954" t="n">
        <v>0</v>
      </c>
      <c r="Q954" t="n">
        <v>0</v>
      </c>
      <c r="R954" s="2" t="inlineStr"/>
    </row>
    <row r="955" ht="15" customHeight="1">
      <c r="A955" t="inlineStr">
        <is>
          <t>A 17165-2025</t>
        </is>
      </c>
      <c r="B955" s="1" t="n">
        <v>45756</v>
      </c>
      <c r="C955" s="1" t="n">
        <v>45811</v>
      </c>
      <c r="D955" t="inlineStr">
        <is>
          <t>UPPSALA LÄN</t>
        </is>
      </c>
      <c r="E955" t="inlineStr">
        <is>
          <t>ENKÖPING</t>
        </is>
      </c>
      <c r="G955" t="n">
        <v>0.9</v>
      </c>
      <c r="H955" t="n">
        <v>0</v>
      </c>
      <c r="I955" t="n">
        <v>0</v>
      </c>
      <c r="J955" t="n">
        <v>0</v>
      </c>
      <c r="K955" t="n">
        <v>0</v>
      </c>
      <c r="L955" t="n">
        <v>0</v>
      </c>
      <c r="M955" t="n">
        <v>0</v>
      </c>
      <c r="N955" t="n">
        <v>0</v>
      </c>
      <c r="O955" t="n">
        <v>0</v>
      </c>
      <c r="P955" t="n">
        <v>0</v>
      </c>
      <c r="Q955" t="n">
        <v>0</v>
      </c>
      <c r="R955" s="2" t="inlineStr"/>
    </row>
    <row r="956" ht="15" customHeight="1">
      <c r="A956" t="inlineStr">
        <is>
          <t>A 17844-2025</t>
        </is>
      </c>
      <c r="B956" s="1" t="n">
        <v>45758</v>
      </c>
      <c r="C956" s="1" t="n">
        <v>45811</v>
      </c>
      <c r="D956" t="inlineStr">
        <is>
          <t>UPPSALA LÄN</t>
        </is>
      </c>
      <c r="E956" t="inlineStr">
        <is>
          <t>ENKÖPING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17657-2025</t>
        </is>
      </c>
      <c r="B957" s="1" t="n">
        <v>45758</v>
      </c>
      <c r="C957" s="1" t="n">
        <v>45811</v>
      </c>
      <c r="D957" t="inlineStr">
        <is>
          <t>UPPSALA LÄN</t>
        </is>
      </c>
      <c r="E957" t="inlineStr">
        <is>
          <t>ENKÖPING</t>
        </is>
      </c>
      <c r="G957" t="n">
        <v>3</v>
      </c>
      <c r="H957" t="n">
        <v>0</v>
      </c>
      <c r="I957" t="n">
        <v>0</v>
      </c>
      <c r="J957" t="n">
        <v>0</v>
      </c>
      <c r="K957" t="n">
        <v>0</v>
      </c>
      <c r="L957" t="n">
        <v>0</v>
      </c>
      <c r="M957" t="n">
        <v>0</v>
      </c>
      <c r="N957" t="n">
        <v>0</v>
      </c>
      <c r="O957" t="n">
        <v>0</v>
      </c>
      <c r="P957" t="n">
        <v>0</v>
      </c>
      <c r="Q957" t="n">
        <v>0</v>
      </c>
      <c r="R957" s="2" t="inlineStr"/>
    </row>
    <row r="958" ht="15" customHeight="1">
      <c r="A958" t="inlineStr">
        <is>
          <t>A 18038-2025</t>
        </is>
      </c>
      <c r="B958" s="1" t="n">
        <v>45761</v>
      </c>
      <c r="C958" s="1" t="n">
        <v>45811</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17979-2025</t>
        </is>
      </c>
      <c r="B959" s="1" t="n">
        <v>45761</v>
      </c>
      <c r="C959" s="1" t="n">
        <v>45811</v>
      </c>
      <c r="D959" t="inlineStr">
        <is>
          <t>UPPSALA LÄN</t>
        </is>
      </c>
      <c r="E959" t="inlineStr">
        <is>
          <t>ENKÖPING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18299-2025</t>
        </is>
      </c>
      <c r="B960" s="1" t="n">
        <v>45762</v>
      </c>
      <c r="C960" s="1" t="n">
        <v>45811</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18259-2025</t>
        </is>
      </c>
      <c r="B961" s="1" t="n">
        <v>45762</v>
      </c>
      <c r="C961" s="1" t="n">
        <v>45811</v>
      </c>
      <c r="D961" t="inlineStr">
        <is>
          <t>UPPSALA LÄN</t>
        </is>
      </c>
      <c r="E961" t="inlineStr">
        <is>
          <t>ENKÖPING</t>
        </is>
      </c>
      <c r="G961" t="n">
        <v>1.6</v>
      </c>
      <c r="H961" t="n">
        <v>0</v>
      </c>
      <c r="I961" t="n">
        <v>0</v>
      </c>
      <c r="J961" t="n">
        <v>0</v>
      </c>
      <c r="K961" t="n">
        <v>0</v>
      </c>
      <c r="L961" t="n">
        <v>0</v>
      </c>
      <c r="M961" t="n">
        <v>0</v>
      </c>
      <c r="N961" t="n">
        <v>0</v>
      </c>
      <c r="O961" t="n">
        <v>0</v>
      </c>
      <c r="P961" t="n">
        <v>0</v>
      </c>
      <c r="Q961" t="n">
        <v>0</v>
      </c>
      <c r="R961" s="2" t="inlineStr"/>
    </row>
    <row r="962" ht="15" customHeight="1">
      <c r="A962" t="inlineStr">
        <is>
          <t>A 18302-2025</t>
        </is>
      </c>
      <c r="B962" s="1" t="n">
        <v>45762</v>
      </c>
      <c r="C962" s="1" t="n">
        <v>45811</v>
      </c>
      <c r="D962" t="inlineStr">
        <is>
          <t>UPPSALA LÄN</t>
        </is>
      </c>
      <c r="E962" t="inlineStr">
        <is>
          <t>ENKÖPING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18986-2025</t>
        </is>
      </c>
      <c r="B963" s="1" t="n">
        <v>45764</v>
      </c>
      <c r="C963" s="1" t="n">
        <v>45811</v>
      </c>
      <c r="D963" t="inlineStr">
        <is>
          <t>UPPSALA LÄN</t>
        </is>
      </c>
      <c r="E963" t="inlineStr">
        <is>
          <t>ENKÖPING</t>
        </is>
      </c>
      <c r="G963" t="n">
        <v>6.9</v>
      </c>
      <c r="H963" t="n">
        <v>0</v>
      </c>
      <c r="I963" t="n">
        <v>0</v>
      </c>
      <c r="J963" t="n">
        <v>0</v>
      </c>
      <c r="K963" t="n">
        <v>0</v>
      </c>
      <c r="L963" t="n">
        <v>0</v>
      </c>
      <c r="M963" t="n">
        <v>0</v>
      </c>
      <c r="N963" t="n">
        <v>0</v>
      </c>
      <c r="O963" t="n">
        <v>0</v>
      </c>
      <c r="P963" t="n">
        <v>0</v>
      </c>
      <c r="Q963" t="n">
        <v>0</v>
      </c>
      <c r="R963" s="2" t="inlineStr"/>
    </row>
    <row r="964" ht="15" customHeight="1">
      <c r="A964" t="inlineStr">
        <is>
          <t>A 18994-2025</t>
        </is>
      </c>
      <c r="B964" s="1" t="n">
        <v>45764</v>
      </c>
      <c r="C964" s="1" t="n">
        <v>45811</v>
      </c>
      <c r="D964" t="inlineStr">
        <is>
          <t>UPPSALA LÄN</t>
        </is>
      </c>
      <c r="E964" t="inlineStr">
        <is>
          <t>ENKÖPING</t>
        </is>
      </c>
      <c r="G964" t="n">
        <v>3.8</v>
      </c>
      <c r="H964" t="n">
        <v>0</v>
      </c>
      <c r="I964" t="n">
        <v>0</v>
      </c>
      <c r="J964" t="n">
        <v>0</v>
      </c>
      <c r="K964" t="n">
        <v>0</v>
      </c>
      <c r="L964" t="n">
        <v>0</v>
      </c>
      <c r="M964" t="n">
        <v>0</v>
      </c>
      <c r="N964" t="n">
        <v>0</v>
      </c>
      <c r="O964" t="n">
        <v>0</v>
      </c>
      <c r="P964" t="n">
        <v>0</v>
      </c>
      <c r="Q964" t="n">
        <v>0</v>
      </c>
      <c r="R964" s="2" t="inlineStr"/>
    </row>
    <row r="965" ht="15" customHeight="1">
      <c r="A965" t="inlineStr">
        <is>
          <t>A 19014-2025</t>
        </is>
      </c>
      <c r="B965" s="1" t="n">
        <v>45764</v>
      </c>
      <c r="C965" s="1" t="n">
        <v>45811</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19013-2025</t>
        </is>
      </c>
      <c r="B966" s="1" t="n">
        <v>45764</v>
      </c>
      <c r="C966" s="1" t="n">
        <v>45811</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20440-2025</t>
        </is>
      </c>
      <c r="B967" s="1" t="n">
        <v>45775</v>
      </c>
      <c r="C967" s="1" t="n">
        <v>45811</v>
      </c>
      <c r="D967" t="inlineStr">
        <is>
          <t>UPPSALA LÄN</t>
        </is>
      </c>
      <c r="E967" t="inlineStr">
        <is>
          <t>ENKÖPING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21501-2025</t>
        </is>
      </c>
      <c r="B968" s="1" t="n">
        <v>45782</v>
      </c>
      <c r="C968" s="1" t="n">
        <v>45811</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21970-2025</t>
        </is>
      </c>
      <c r="B969" s="1" t="n">
        <v>45784</v>
      </c>
      <c r="C969" s="1" t="n">
        <v>45811</v>
      </c>
      <c r="D969" t="inlineStr">
        <is>
          <t>UPPSALA LÄN</t>
        </is>
      </c>
      <c r="E969" t="inlineStr">
        <is>
          <t>ENKÖPING</t>
        </is>
      </c>
      <c r="G969" t="n">
        <v>5.3</v>
      </c>
      <c r="H969" t="n">
        <v>0</v>
      </c>
      <c r="I969" t="n">
        <v>0</v>
      </c>
      <c r="J969" t="n">
        <v>0</v>
      </c>
      <c r="K969" t="n">
        <v>0</v>
      </c>
      <c r="L969" t="n">
        <v>0</v>
      </c>
      <c r="M969" t="n">
        <v>0</v>
      </c>
      <c r="N969" t="n">
        <v>0</v>
      </c>
      <c r="O969" t="n">
        <v>0</v>
      </c>
      <c r="P969" t="n">
        <v>0</v>
      </c>
      <c r="Q969" t="n">
        <v>0</v>
      </c>
      <c r="R969" s="2" t="inlineStr"/>
    </row>
    <row r="970" ht="15" customHeight="1">
      <c r="A970" t="inlineStr">
        <is>
          <t>A 22156-2025</t>
        </is>
      </c>
      <c r="B970" s="1" t="n">
        <v>45785</v>
      </c>
      <c r="C970" s="1" t="n">
        <v>45811</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22149-2025</t>
        </is>
      </c>
      <c r="B971" s="1" t="n">
        <v>45785</v>
      </c>
      <c r="C971" s="1" t="n">
        <v>45811</v>
      </c>
      <c r="D971" t="inlineStr">
        <is>
          <t>UPPSALA LÄN</t>
        </is>
      </c>
      <c r="E971" t="inlineStr">
        <is>
          <t>ENKÖPING</t>
        </is>
      </c>
      <c r="G971" t="n">
        <v>2.2</v>
      </c>
      <c r="H971" t="n">
        <v>0</v>
      </c>
      <c r="I971" t="n">
        <v>0</v>
      </c>
      <c r="J971" t="n">
        <v>0</v>
      </c>
      <c r="K971" t="n">
        <v>0</v>
      </c>
      <c r="L971" t="n">
        <v>0</v>
      </c>
      <c r="M971" t="n">
        <v>0</v>
      </c>
      <c r="N971" t="n">
        <v>0</v>
      </c>
      <c r="O971" t="n">
        <v>0</v>
      </c>
      <c r="P971" t="n">
        <v>0</v>
      </c>
      <c r="Q971" t="n">
        <v>0</v>
      </c>
      <c r="R971" s="2" t="inlineStr"/>
    </row>
    <row r="972" ht="15" customHeight="1">
      <c r="A972" t="inlineStr">
        <is>
          <t>A 22150-2025</t>
        </is>
      </c>
      <c r="B972" s="1" t="n">
        <v>45785</v>
      </c>
      <c r="C972" s="1" t="n">
        <v>45811</v>
      </c>
      <c r="D972" t="inlineStr">
        <is>
          <t>UPPSALA LÄN</t>
        </is>
      </c>
      <c r="E972" t="inlineStr">
        <is>
          <t>ENKÖPING</t>
        </is>
      </c>
      <c r="G972" t="n">
        <v>1.3</v>
      </c>
      <c r="H972" t="n">
        <v>0</v>
      </c>
      <c r="I972" t="n">
        <v>0</v>
      </c>
      <c r="J972" t="n">
        <v>0</v>
      </c>
      <c r="K972" t="n">
        <v>0</v>
      </c>
      <c r="L972" t="n">
        <v>0</v>
      </c>
      <c r="M972" t="n">
        <v>0</v>
      </c>
      <c r="N972" t="n">
        <v>0</v>
      </c>
      <c r="O972" t="n">
        <v>0</v>
      </c>
      <c r="P972" t="n">
        <v>0</v>
      </c>
      <c r="Q972" t="n">
        <v>0</v>
      </c>
      <c r="R972" s="2" t="inlineStr"/>
    </row>
    <row r="973" ht="15" customHeight="1">
      <c r="A973" t="inlineStr">
        <is>
          <t>A 22795-2025</t>
        </is>
      </c>
      <c r="B973" s="1" t="n">
        <v>45789</v>
      </c>
      <c r="C973" s="1" t="n">
        <v>45811</v>
      </c>
      <c r="D973" t="inlineStr">
        <is>
          <t>UPPSALA LÄN</t>
        </is>
      </c>
      <c r="E973" t="inlineStr">
        <is>
          <t>ENKÖPING</t>
        </is>
      </c>
      <c r="G973" t="n">
        <v>10.4</v>
      </c>
      <c r="H973" t="n">
        <v>0</v>
      </c>
      <c r="I973" t="n">
        <v>0</v>
      </c>
      <c r="J973" t="n">
        <v>0</v>
      </c>
      <c r="K973" t="n">
        <v>0</v>
      </c>
      <c r="L973" t="n">
        <v>0</v>
      </c>
      <c r="M973" t="n">
        <v>0</v>
      </c>
      <c r="N973" t="n">
        <v>0</v>
      </c>
      <c r="O973" t="n">
        <v>0</v>
      </c>
      <c r="P973" t="n">
        <v>0</v>
      </c>
      <c r="Q973" t="n">
        <v>0</v>
      </c>
      <c r="R973" s="2" t="inlineStr"/>
    </row>
    <row r="974" ht="15" customHeight="1">
      <c r="A974" t="inlineStr">
        <is>
          <t>A 22679-2025</t>
        </is>
      </c>
      <c r="B974" s="1" t="n">
        <v>45789</v>
      </c>
      <c r="C974" s="1" t="n">
        <v>45811</v>
      </c>
      <c r="D974" t="inlineStr">
        <is>
          <t>UPPSALA LÄN</t>
        </is>
      </c>
      <c r="E974" t="inlineStr">
        <is>
          <t>ENKÖPING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22677-2025</t>
        </is>
      </c>
      <c r="B975" s="1" t="n">
        <v>45789</v>
      </c>
      <c r="C975" s="1" t="n">
        <v>45811</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45811</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45811</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22802-2025</t>
        </is>
      </c>
      <c r="B978" s="1" t="n">
        <v>45789</v>
      </c>
      <c r="C978" s="1" t="n">
        <v>45811</v>
      </c>
      <c r="D978" t="inlineStr">
        <is>
          <t>UPPSALA LÄN</t>
        </is>
      </c>
      <c r="E978" t="inlineStr">
        <is>
          <t>ENKÖPING</t>
        </is>
      </c>
      <c r="G978" t="n">
        <v>0.5</v>
      </c>
      <c r="H978" t="n">
        <v>0</v>
      </c>
      <c r="I978" t="n">
        <v>0</v>
      </c>
      <c r="J978" t="n">
        <v>0</v>
      </c>
      <c r="K978" t="n">
        <v>0</v>
      </c>
      <c r="L978" t="n">
        <v>0</v>
      </c>
      <c r="M978" t="n">
        <v>0</v>
      </c>
      <c r="N978" t="n">
        <v>0</v>
      </c>
      <c r="O978" t="n">
        <v>0</v>
      </c>
      <c r="P978" t="n">
        <v>0</v>
      </c>
      <c r="Q978" t="n">
        <v>0</v>
      </c>
      <c r="R978" s="2" t="inlineStr"/>
    </row>
    <row r="979" ht="15" customHeight="1">
      <c r="A979" t="inlineStr">
        <is>
          <t>A 22793-2025</t>
        </is>
      </c>
      <c r="B979" s="1" t="n">
        <v>45789</v>
      </c>
      <c r="C979" s="1" t="n">
        <v>45811</v>
      </c>
      <c r="D979" t="inlineStr">
        <is>
          <t>UPPSALA LÄN</t>
        </is>
      </c>
      <c r="E979" t="inlineStr">
        <is>
          <t>ENKÖPING</t>
        </is>
      </c>
      <c r="G979" t="n">
        <v>3.2</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45811</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22725-2025</t>
        </is>
      </c>
      <c r="B981" s="1" t="n">
        <v>45789</v>
      </c>
      <c r="C981" s="1" t="n">
        <v>45811</v>
      </c>
      <c r="D981" t="inlineStr">
        <is>
          <t>UPPSALA LÄN</t>
        </is>
      </c>
      <c r="E981" t="inlineStr">
        <is>
          <t>ENKÖPING</t>
        </is>
      </c>
      <c r="G981" t="n">
        <v>4.8</v>
      </c>
      <c r="H981" t="n">
        <v>0</v>
      </c>
      <c r="I981" t="n">
        <v>0</v>
      </c>
      <c r="J981" t="n">
        <v>0</v>
      </c>
      <c r="K981" t="n">
        <v>0</v>
      </c>
      <c r="L981" t="n">
        <v>0</v>
      </c>
      <c r="M981" t="n">
        <v>0</v>
      </c>
      <c r="N981" t="n">
        <v>0</v>
      </c>
      <c r="O981" t="n">
        <v>0</v>
      </c>
      <c r="P981" t="n">
        <v>0</v>
      </c>
      <c r="Q981" t="n">
        <v>0</v>
      </c>
      <c r="R981" s="2" t="inlineStr"/>
    </row>
    <row r="982" ht="15" customHeight="1">
      <c r="A982" t="inlineStr">
        <is>
          <t>A 22770-2025</t>
        </is>
      </c>
      <c r="B982" s="1" t="n">
        <v>45789</v>
      </c>
      <c r="C982" s="1" t="n">
        <v>45811</v>
      </c>
      <c r="D982" t="inlineStr">
        <is>
          <t>UPPSALA LÄN</t>
        </is>
      </c>
      <c r="E982" t="inlineStr">
        <is>
          <t>ENKÖPING</t>
        </is>
      </c>
      <c r="G982" t="n">
        <v>4.5</v>
      </c>
      <c r="H982" t="n">
        <v>0</v>
      </c>
      <c r="I982" t="n">
        <v>0</v>
      </c>
      <c r="J982" t="n">
        <v>0</v>
      </c>
      <c r="K982" t="n">
        <v>0</v>
      </c>
      <c r="L982" t="n">
        <v>0</v>
      </c>
      <c r="M982" t="n">
        <v>0</v>
      </c>
      <c r="N982" t="n">
        <v>0</v>
      </c>
      <c r="O982" t="n">
        <v>0</v>
      </c>
      <c r="P982" t="n">
        <v>0</v>
      </c>
      <c r="Q982" t="n">
        <v>0</v>
      </c>
      <c r="R982" s="2" t="inlineStr"/>
    </row>
    <row r="983" ht="15" customHeight="1">
      <c r="A983" t="inlineStr">
        <is>
          <t>A 22786-2025</t>
        </is>
      </c>
      <c r="B983" s="1" t="n">
        <v>45789</v>
      </c>
      <c r="C983" s="1" t="n">
        <v>45811</v>
      </c>
      <c r="D983" t="inlineStr">
        <is>
          <t>UPPSALA LÄN</t>
        </is>
      </c>
      <c r="E983" t="inlineStr">
        <is>
          <t>ENKÖPING</t>
        </is>
      </c>
      <c r="G983" t="n">
        <v>0.9</v>
      </c>
      <c r="H983" t="n">
        <v>0</v>
      </c>
      <c r="I983" t="n">
        <v>0</v>
      </c>
      <c r="J983" t="n">
        <v>0</v>
      </c>
      <c r="K983" t="n">
        <v>0</v>
      </c>
      <c r="L983" t="n">
        <v>0</v>
      </c>
      <c r="M983" t="n">
        <v>0</v>
      </c>
      <c r="N983" t="n">
        <v>0</v>
      </c>
      <c r="O983" t="n">
        <v>0</v>
      </c>
      <c r="P983" t="n">
        <v>0</v>
      </c>
      <c r="Q983" t="n">
        <v>0</v>
      </c>
      <c r="R983" s="2" t="inlineStr"/>
    </row>
    <row r="984" ht="15" customHeight="1">
      <c r="A984" t="inlineStr">
        <is>
          <t>A 22800-2025</t>
        </is>
      </c>
      <c r="B984" s="1" t="n">
        <v>45789</v>
      </c>
      <c r="C984" s="1" t="n">
        <v>45811</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45811</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23020-2025</t>
        </is>
      </c>
      <c r="B986" s="1" t="n">
        <v>45790</v>
      </c>
      <c r="C986" s="1" t="n">
        <v>45811</v>
      </c>
      <c r="D986" t="inlineStr">
        <is>
          <t>UPPSALA LÄN</t>
        </is>
      </c>
      <c r="E986" t="inlineStr">
        <is>
          <t>ENKÖPING</t>
        </is>
      </c>
      <c r="G986" t="n">
        <v>5.2</v>
      </c>
      <c r="H986" t="n">
        <v>0</v>
      </c>
      <c r="I986" t="n">
        <v>0</v>
      </c>
      <c r="J986" t="n">
        <v>0</v>
      </c>
      <c r="K986" t="n">
        <v>0</v>
      </c>
      <c r="L986" t="n">
        <v>0</v>
      </c>
      <c r="M986" t="n">
        <v>0</v>
      </c>
      <c r="N986" t="n">
        <v>0</v>
      </c>
      <c r="O986" t="n">
        <v>0</v>
      </c>
      <c r="P986" t="n">
        <v>0</v>
      </c>
      <c r="Q986" t="n">
        <v>0</v>
      </c>
      <c r="R986" s="2" t="inlineStr"/>
    </row>
    <row r="987" ht="15" customHeight="1">
      <c r="A987" t="inlineStr">
        <is>
          <t>A 22981-2025</t>
        </is>
      </c>
      <c r="B987" s="1" t="n">
        <v>45790</v>
      </c>
      <c r="C987" s="1" t="n">
        <v>45811</v>
      </c>
      <c r="D987" t="inlineStr">
        <is>
          <t>UPPSALA LÄN</t>
        </is>
      </c>
      <c r="E987" t="inlineStr">
        <is>
          <t>ENKÖPING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25988-2025</t>
        </is>
      </c>
      <c r="B988" s="1" t="n">
        <v>45804</v>
      </c>
      <c r="C988" s="1" t="n">
        <v>45811</v>
      </c>
      <c r="D988" t="inlineStr">
        <is>
          <t>UPPSALA LÄN</t>
        </is>
      </c>
      <c r="E988" t="inlineStr">
        <is>
          <t>ENKÖPING</t>
        </is>
      </c>
      <c r="G988" t="n">
        <v>4.7</v>
      </c>
      <c r="H988" t="n">
        <v>0</v>
      </c>
      <c r="I988" t="n">
        <v>0</v>
      </c>
      <c r="J988" t="n">
        <v>0</v>
      </c>
      <c r="K988" t="n">
        <v>0</v>
      </c>
      <c r="L988" t="n">
        <v>0</v>
      </c>
      <c r="M988" t="n">
        <v>0</v>
      </c>
      <c r="N988" t="n">
        <v>0</v>
      </c>
      <c r="O988" t="n">
        <v>0</v>
      </c>
      <c r="P988" t="n">
        <v>0</v>
      </c>
      <c r="Q988" t="n">
        <v>0</v>
      </c>
      <c r="R988" s="2" t="inlineStr"/>
    </row>
    <row r="989" ht="15" customHeight="1">
      <c r="A989" t="inlineStr">
        <is>
          <t>A 26011-2025</t>
        </is>
      </c>
      <c r="B989" s="1" t="n">
        <v>45804</v>
      </c>
      <c r="C989" s="1" t="n">
        <v>45811</v>
      </c>
      <c r="D989" t="inlineStr">
        <is>
          <t>UPPSALA LÄN</t>
        </is>
      </c>
      <c r="E989" t="inlineStr">
        <is>
          <t>ENKÖPING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26017-2025</t>
        </is>
      </c>
      <c r="B990" s="1" t="n">
        <v>45804</v>
      </c>
      <c r="C990" s="1" t="n">
        <v>45811</v>
      </c>
      <c r="D990" t="inlineStr">
        <is>
          <t>UPPSALA LÄN</t>
        </is>
      </c>
      <c r="E990" t="inlineStr">
        <is>
          <t>ENKÖPING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25990-2025</t>
        </is>
      </c>
      <c r="B991" s="1" t="n">
        <v>45804</v>
      </c>
      <c r="C991" s="1" t="n">
        <v>45811</v>
      </c>
      <c r="D991" t="inlineStr">
        <is>
          <t>UPPSALA LÄN</t>
        </is>
      </c>
      <c r="E991" t="inlineStr">
        <is>
          <t>ENKÖPING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26005-2025</t>
        </is>
      </c>
      <c r="B992" s="1" t="n">
        <v>45804</v>
      </c>
      <c r="C992" s="1" t="n">
        <v>45811</v>
      </c>
      <c r="D992" t="inlineStr">
        <is>
          <t>UPPSALA LÄN</t>
        </is>
      </c>
      <c r="E992" t="inlineStr">
        <is>
          <t>ENKÖPING</t>
        </is>
      </c>
      <c r="G992" t="n">
        <v>0.3</v>
      </c>
      <c r="H992" t="n">
        <v>0</v>
      </c>
      <c r="I992" t="n">
        <v>0</v>
      </c>
      <c r="J992" t="n">
        <v>0</v>
      </c>
      <c r="K992" t="n">
        <v>0</v>
      </c>
      <c r="L992" t="n">
        <v>0</v>
      </c>
      <c r="M992" t="n">
        <v>0</v>
      </c>
      <c r="N992" t="n">
        <v>0</v>
      </c>
      <c r="O992" t="n">
        <v>0</v>
      </c>
      <c r="P992" t="n">
        <v>0</v>
      </c>
      <c r="Q992" t="n">
        <v>0</v>
      </c>
      <c r="R992" s="2" t="inlineStr"/>
    </row>
    <row r="993" ht="15" customHeight="1">
      <c r="A993" t="inlineStr">
        <is>
          <t>A 26024-2025</t>
        </is>
      </c>
      <c r="B993" s="1" t="n">
        <v>45804</v>
      </c>
      <c r="C993" s="1" t="n">
        <v>45811</v>
      </c>
      <c r="D993" t="inlineStr">
        <is>
          <t>UPPSALA LÄN</t>
        </is>
      </c>
      <c r="E993" t="inlineStr">
        <is>
          <t>ENKÖPING</t>
        </is>
      </c>
      <c r="G993" t="n">
        <v>0.8</v>
      </c>
      <c r="H993" t="n">
        <v>0</v>
      </c>
      <c r="I993" t="n">
        <v>0</v>
      </c>
      <c r="J993" t="n">
        <v>0</v>
      </c>
      <c r="K993" t="n">
        <v>0</v>
      </c>
      <c r="L993" t="n">
        <v>0</v>
      </c>
      <c r="M993" t="n">
        <v>0</v>
      </c>
      <c r="N993" t="n">
        <v>0</v>
      </c>
      <c r="O993" t="n">
        <v>0</v>
      </c>
      <c r="P993" t="n">
        <v>0</v>
      </c>
      <c r="Q993" t="n">
        <v>0</v>
      </c>
      <c r="R993" s="2" t="inlineStr"/>
    </row>
    <row r="994" ht="15" customHeight="1">
      <c r="A994" t="inlineStr">
        <is>
          <t>A 26030-2025</t>
        </is>
      </c>
      <c r="B994" s="1" t="n">
        <v>45804</v>
      </c>
      <c r="C994" s="1" t="n">
        <v>45811</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25989-2025</t>
        </is>
      </c>
      <c r="B995" s="1" t="n">
        <v>45804</v>
      </c>
      <c r="C995" s="1" t="n">
        <v>45811</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26026-2025</t>
        </is>
      </c>
      <c r="B996" s="1" t="n">
        <v>45804</v>
      </c>
      <c r="C996" s="1" t="n">
        <v>45811</v>
      </c>
      <c r="D996" t="inlineStr">
        <is>
          <t>UPPSALA LÄN</t>
        </is>
      </c>
      <c r="E996" t="inlineStr">
        <is>
          <t>ENKÖPING</t>
        </is>
      </c>
      <c r="G996" t="n">
        <v>1</v>
      </c>
      <c r="H996" t="n">
        <v>0</v>
      </c>
      <c r="I996" t="n">
        <v>0</v>
      </c>
      <c r="J996" t="n">
        <v>0</v>
      </c>
      <c r="K996" t="n">
        <v>0</v>
      </c>
      <c r="L996" t="n">
        <v>0</v>
      </c>
      <c r="M996" t="n">
        <v>0</v>
      </c>
      <c r="N996" t="n">
        <v>0</v>
      </c>
      <c r="O996" t="n">
        <v>0</v>
      </c>
      <c r="P996" t="n">
        <v>0</v>
      </c>
      <c r="Q996" t="n">
        <v>0</v>
      </c>
      <c r="R996" s="2" t="inlineStr"/>
    </row>
    <row r="997" ht="15" customHeight="1">
      <c r="A997" t="inlineStr">
        <is>
          <t>A 26031-2025</t>
        </is>
      </c>
      <c r="B997" s="1" t="n">
        <v>45804</v>
      </c>
      <c r="C997" s="1" t="n">
        <v>45811</v>
      </c>
      <c r="D997" t="inlineStr">
        <is>
          <t>UPPSALA LÄN</t>
        </is>
      </c>
      <c r="E997" t="inlineStr">
        <is>
          <t>ENKÖPING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26022-2025</t>
        </is>
      </c>
      <c r="B998" s="1" t="n">
        <v>45804</v>
      </c>
      <c r="C998" s="1" t="n">
        <v>45811</v>
      </c>
      <c r="D998" t="inlineStr">
        <is>
          <t>UPPSALA LÄN</t>
        </is>
      </c>
      <c r="E998" t="inlineStr">
        <is>
          <t>ENKÖPING</t>
        </is>
      </c>
      <c r="G998" t="n">
        <v>0.7</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45811</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26042-2025</t>
        </is>
      </c>
      <c r="B1000" s="1" t="n">
        <v>45804</v>
      </c>
      <c r="C1000" s="1" t="n">
        <v>45811</v>
      </c>
      <c r="D1000" t="inlineStr">
        <is>
          <t>UPPSALA LÄN</t>
        </is>
      </c>
      <c r="E1000" t="inlineStr">
        <is>
          <t>ENKÖPING</t>
        </is>
      </c>
      <c r="G1000" t="n">
        <v>1.2</v>
      </c>
      <c r="H1000" t="n">
        <v>0</v>
      </c>
      <c r="I1000" t="n">
        <v>0</v>
      </c>
      <c r="J1000" t="n">
        <v>0</v>
      </c>
      <c r="K1000" t="n">
        <v>0</v>
      </c>
      <c r="L1000" t="n">
        <v>0</v>
      </c>
      <c r="M1000" t="n">
        <v>0</v>
      </c>
      <c r="N1000" t="n">
        <v>0</v>
      </c>
      <c r="O1000" t="n">
        <v>0</v>
      </c>
      <c r="P1000" t="n">
        <v>0</v>
      </c>
      <c r="Q1000" t="n">
        <v>0</v>
      </c>
      <c r="R1000" s="2" t="inlineStr"/>
    </row>
    <row r="1001">
      <c r="A1001" t="inlineStr">
        <is>
          <t>A 26047-2025</t>
        </is>
      </c>
      <c r="B1001" s="1" t="n">
        <v>45804</v>
      </c>
      <c r="C1001" s="1" t="n">
        <v>45811</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2025-06-03T18:14:49Z</dcterms:created>
  <dcterms:modified xmlns:dcterms="http://purl.org/dc/terms/" xmlns:xsi="http://www.w3.org/2001/XMLSchema-instance" xsi:type="dcterms:W3CDTF">2025-06-03T18:14:50Z</dcterms:modified>
</cp:coreProperties>
</file>