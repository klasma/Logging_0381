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46161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46161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46161</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46161</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46161</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46161</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46161</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46161</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46161</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46161</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46161</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21970-2025</t>
        </is>
      </c>
      <c r="B13" s="1" t="n">
        <v>45784.63335648148</v>
      </c>
      <c r="C13" s="1" t="n">
        <v>46161</v>
      </c>
      <c r="D13" t="inlineStr">
        <is>
          <t>UPPSALA LÄN</t>
        </is>
      </c>
      <c r="E13" t="inlineStr">
        <is>
          <t>ENKÖPING</t>
        </is>
      </c>
      <c r="G13" t="n">
        <v>5.3</v>
      </c>
      <c r="H13" t="n">
        <v>1</v>
      </c>
      <c r="I13" t="n">
        <v>0</v>
      </c>
      <c r="J13" t="n">
        <v>1</v>
      </c>
      <c r="K13" t="n">
        <v>0</v>
      </c>
      <c r="L13" t="n">
        <v>0</v>
      </c>
      <c r="M13" t="n">
        <v>0</v>
      </c>
      <c r="N13" t="n">
        <v>0</v>
      </c>
      <c r="O13" t="n">
        <v>1</v>
      </c>
      <c r="P13" t="n">
        <v>0</v>
      </c>
      <c r="Q13" t="n">
        <v>2</v>
      </c>
      <c r="R13" s="2" t="inlineStr">
        <is>
          <t>Flattoppad klubbsvamp
Blåsippa</t>
        </is>
      </c>
      <c r="S13">
        <f>HYPERLINK("https://klasma.github.io/Logging_0381/artfynd/A 21970-2025 artfynd.xlsx", "A 21970-2025")</f>
        <v/>
      </c>
      <c r="T13">
        <f>HYPERLINK("https://klasma.github.io/Logging_0381/kartor/A 21970-2025 karta.png", "A 21970-2025")</f>
        <v/>
      </c>
      <c r="V13">
        <f>HYPERLINK("https://klasma.github.io/Logging_0381/klagomål/A 21970-2025 FSC-klagomål.docx", "A 21970-2025")</f>
        <v/>
      </c>
      <c r="W13">
        <f>HYPERLINK("https://klasma.github.io/Logging_0381/klagomålsmail/A 21970-2025 FSC-klagomål mail.docx", "A 21970-2025")</f>
        <v/>
      </c>
      <c r="X13">
        <f>HYPERLINK("https://klasma.github.io/Logging_0381/tillsyn/A 21970-2025 tillsynsbegäran.docx", "A 21970-2025")</f>
        <v/>
      </c>
      <c r="Y13">
        <f>HYPERLINK("https://klasma.github.io/Logging_0381/tillsynsmail/A 21970-2025 tillsynsbegäran mail.docx", "A 21970-2025")</f>
        <v/>
      </c>
    </row>
    <row r="14" ht="15" customHeight="1">
      <c r="A14" t="inlineStr">
        <is>
          <t>A 27073-2025</t>
        </is>
      </c>
      <c r="B14" s="1" t="n">
        <v>45811.64190972222</v>
      </c>
      <c r="C14" s="1" t="n">
        <v>46161</v>
      </c>
      <c r="D14" t="inlineStr">
        <is>
          <t>UPPSALA LÄN</t>
        </is>
      </c>
      <c r="E14" t="inlineStr">
        <is>
          <t>ENKÖPING</t>
        </is>
      </c>
      <c r="G14" t="n">
        <v>4.3</v>
      </c>
      <c r="H14" t="n">
        <v>0</v>
      </c>
      <c r="I14" t="n">
        <v>2</v>
      </c>
      <c r="J14" t="n">
        <v>0</v>
      </c>
      <c r="K14" t="n">
        <v>0</v>
      </c>
      <c r="L14" t="n">
        <v>0</v>
      </c>
      <c r="M14" t="n">
        <v>0</v>
      </c>
      <c r="N14" t="n">
        <v>0</v>
      </c>
      <c r="O14" t="n">
        <v>0</v>
      </c>
      <c r="P14" t="n">
        <v>0</v>
      </c>
      <c r="Q14" t="n">
        <v>2</v>
      </c>
      <c r="R14" s="2" t="inlineStr">
        <is>
          <t>Bågpraktmossa
Kärrkammossa</t>
        </is>
      </c>
      <c r="S14">
        <f>HYPERLINK("https://klasma.github.io/Logging_0381/artfynd/A 27073-2025 artfynd.xlsx", "A 27073-2025")</f>
        <v/>
      </c>
      <c r="T14">
        <f>HYPERLINK("https://klasma.github.io/Logging_0381/kartor/A 27073-2025 karta.png", "A 27073-2025")</f>
        <v/>
      </c>
      <c r="V14">
        <f>HYPERLINK("https://klasma.github.io/Logging_0381/klagomål/A 27073-2025 FSC-klagomål.docx", "A 27073-2025")</f>
        <v/>
      </c>
      <c r="W14">
        <f>HYPERLINK("https://klasma.github.io/Logging_0381/klagomålsmail/A 27073-2025 FSC-klagomål mail.docx", "A 27073-2025")</f>
        <v/>
      </c>
      <c r="X14">
        <f>HYPERLINK("https://klasma.github.io/Logging_0381/tillsyn/A 27073-2025 tillsynsbegäran.docx", "A 27073-2025")</f>
        <v/>
      </c>
      <c r="Y14">
        <f>HYPERLINK("https://klasma.github.io/Logging_0381/tillsynsmail/A 27073-2025 tillsynsbegäran mail.docx", "A 27073-2025")</f>
        <v/>
      </c>
    </row>
    <row r="15" ht="15" customHeight="1">
      <c r="A15" t="inlineStr">
        <is>
          <t>A 50105-2023</t>
        </is>
      </c>
      <c r="B15" s="1" t="n">
        <v>45215</v>
      </c>
      <c r="C15" s="1" t="n">
        <v>46161</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9147-2026</t>
        </is>
      </c>
      <c r="B16" s="1" t="n">
        <v>46070.30649305556</v>
      </c>
      <c r="C16" s="1" t="n">
        <v>46161</v>
      </c>
      <c r="D16" t="inlineStr">
        <is>
          <t>UPPSALA LÄN</t>
        </is>
      </c>
      <c r="E16" t="inlineStr">
        <is>
          <t>ENKÖPING</t>
        </is>
      </c>
      <c r="G16" t="n">
        <v>1.6</v>
      </c>
      <c r="H16" t="n">
        <v>0</v>
      </c>
      <c r="I16" t="n">
        <v>1</v>
      </c>
      <c r="J16" t="n">
        <v>1</v>
      </c>
      <c r="K16" t="n">
        <v>0</v>
      </c>
      <c r="L16" t="n">
        <v>0</v>
      </c>
      <c r="M16" t="n">
        <v>0</v>
      </c>
      <c r="N16" t="n">
        <v>0</v>
      </c>
      <c r="O16" t="n">
        <v>1</v>
      </c>
      <c r="P16" t="n">
        <v>0</v>
      </c>
      <c r="Q16" t="n">
        <v>2</v>
      </c>
      <c r="R16" s="2" t="inlineStr">
        <is>
          <t>Motaggsvamp
Dropptaggsvamp</t>
        </is>
      </c>
      <c r="S16">
        <f>HYPERLINK("https://klasma.github.io/Logging_0381/artfynd/A 9147-2026 artfynd.xlsx", "A 9147-2026")</f>
        <v/>
      </c>
      <c r="T16">
        <f>HYPERLINK("https://klasma.github.io/Logging_0381/kartor/A 9147-2026 karta.png", "A 9147-2026")</f>
        <v/>
      </c>
      <c r="V16">
        <f>HYPERLINK("https://klasma.github.io/Logging_0381/klagomål/A 9147-2026 FSC-klagomål.docx", "A 9147-2026")</f>
        <v/>
      </c>
      <c r="W16">
        <f>HYPERLINK("https://klasma.github.io/Logging_0381/klagomålsmail/A 9147-2026 FSC-klagomål mail.docx", "A 9147-2026")</f>
        <v/>
      </c>
      <c r="X16">
        <f>HYPERLINK("https://klasma.github.io/Logging_0381/tillsyn/A 9147-2026 tillsynsbegäran.docx", "A 9147-2026")</f>
        <v/>
      </c>
      <c r="Y16">
        <f>HYPERLINK("https://klasma.github.io/Logging_0381/tillsynsmail/A 9147-2026 tillsynsbegäran mail.docx", "A 9147-2026")</f>
        <v/>
      </c>
    </row>
    <row r="17" ht="15" customHeight="1">
      <c r="A17" t="inlineStr">
        <is>
          <t>A 21810-2026</t>
        </is>
      </c>
      <c r="B17" s="1" t="n">
        <v>46150</v>
      </c>
      <c r="C17" s="1" t="n">
        <v>46161</v>
      </c>
      <c r="D17" t="inlineStr">
        <is>
          <t>UPPSALA LÄN</t>
        </is>
      </c>
      <c r="E17" t="inlineStr">
        <is>
          <t>ENKÖPING</t>
        </is>
      </c>
      <c r="G17" t="n">
        <v>13.3</v>
      </c>
      <c r="H17" t="n">
        <v>1</v>
      </c>
      <c r="I17" t="n">
        <v>0</v>
      </c>
      <c r="J17" t="n">
        <v>1</v>
      </c>
      <c r="K17" t="n">
        <v>0</v>
      </c>
      <c r="L17" t="n">
        <v>0</v>
      </c>
      <c r="M17" t="n">
        <v>0</v>
      </c>
      <c r="N17" t="n">
        <v>0</v>
      </c>
      <c r="O17" t="n">
        <v>1</v>
      </c>
      <c r="P17" t="n">
        <v>0</v>
      </c>
      <c r="Q17" t="n">
        <v>2</v>
      </c>
      <c r="R17" s="2" t="inlineStr">
        <is>
          <t>Motaggsvamp
Kungsfågel</t>
        </is>
      </c>
      <c r="S17">
        <f>HYPERLINK("https://klasma.github.io/Logging_0381/artfynd/A 21810-2026 artfynd.xlsx", "A 21810-2026")</f>
        <v/>
      </c>
      <c r="T17">
        <f>HYPERLINK("https://klasma.github.io/Logging_0381/kartor/A 21810-2026 karta.png", "A 21810-2026")</f>
        <v/>
      </c>
      <c r="V17">
        <f>HYPERLINK("https://klasma.github.io/Logging_0381/klagomål/A 21810-2026 FSC-klagomål.docx", "A 21810-2026")</f>
        <v/>
      </c>
      <c r="W17">
        <f>HYPERLINK("https://klasma.github.io/Logging_0381/klagomålsmail/A 21810-2026 FSC-klagomål mail.docx", "A 21810-2026")</f>
        <v/>
      </c>
      <c r="X17">
        <f>HYPERLINK("https://klasma.github.io/Logging_0381/tillsyn/A 21810-2026 tillsynsbegäran.docx", "A 21810-2026")</f>
        <v/>
      </c>
      <c r="Y17">
        <f>HYPERLINK("https://klasma.github.io/Logging_0381/tillsynsmail/A 21810-2026 tillsynsbegäran mail.docx", "A 21810-2026")</f>
        <v/>
      </c>
      <c r="Z17">
        <f>HYPERLINK("https://klasma.github.io/Logging_0381/fåglar/A 21810-2026 prioriterade fågelarter.docx", "A 21810-2026")</f>
        <v/>
      </c>
    </row>
    <row r="18" ht="15" customHeight="1">
      <c r="A18" t="inlineStr">
        <is>
          <t>A 425-2024</t>
        </is>
      </c>
      <c r="B18" s="1" t="n">
        <v>45296</v>
      </c>
      <c r="C18" s="1" t="n">
        <v>46161</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46161</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46161</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17942-2024</t>
        </is>
      </c>
      <c r="B21" s="1" t="n">
        <v>45419</v>
      </c>
      <c r="C21" s="1" t="n">
        <v>46161</v>
      </c>
      <c r="D21" t="inlineStr">
        <is>
          <t>UPPSALA LÄN</t>
        </is>
      </c>
      <c r="E21" t="inlineStr">
        <is>
          <t>ENKÖPING</t>
        </is>
      </c>
      <c r="G21" t="n">
        <v>0.8</v>
      </c>
      <c r="H21" t="n">
        <v>0</v>
      </c>
      <c r="I21" t="n">
        <v>0</v>
      </c>
      <c r="J21" t="n">
        <v>1</v>
      </c>
      <c r="K21" t="n">
        <v>0</v>
      </c>
      <c r="L21" t="n">
        <v>0</v>
      </c>
      <c r="M21" t="n">
        <v>0</v>
      </c>
      <c r="N21" t="n">
        <v>0</v>
      </c>
      <c r="O21" t="n">
        <v>1</v>
      </c>
      <c r="P21" t="n">
        <v>0</v>
      </c>
      <c r="Q21" t="n">
        <v>1</v>
      </c>
      <c r="R21" s="2" t="inlineStr">
        <is>
          <t>Ängsskära</t>
        </is>
      </c>
      <c r="S21">
        <f>HYPERLINK("https://klasma.github.io/Logging_0381/artfynd/A 17942-2024 artfynd.xlsx", "A 17942-2024")</f>
        <v/>
      </c>
      <c r="T21">
        <f>HYPERLINK("https://klasma.github.io/Logging_0381/kartor/A 17942-2024 karta.png", "A 17942-2024")</f>
        <v/>
      </c>
      <c r="V21">
        <f>HYPERLINK("https://klasma.github.io/Logging_0381/klagomål/A 17942-2024 FSC-klagomål.docx", "A 17942-2024")</f>
        <v/>
      </c>
      <c r="W21">
        <f>HYPERLINK("https://klasma.github.io/Logging_0381/klagomålsmail/A 17942-2024 FSC-klagomål mail.docx", "A 17942-2024")</f>
        <v/>
      </c>
      <c r="X21">
        <f>HYPERLINK("https://klasma.github.io/Logging_0381/tillsyn/A 17942-2024 tillsynsbegäran.docx", "A 17942-2024")</f>
        <v/>
      </c>
      <c r="Y21">
        <f>HYPERLINK("https://klasma.github.io/Logging_0381/tillsynsmail/A 17942-2024 tillsynsbegäran mail.docx", "A 17942-2024")</f>
        <v/>
      </c>
    </row>
    <row r="22" ht="15" customHeight="1">
      <c r="A22" t="inlineStr">
        <is>
          <t>A 26347-2025</t>
        </is>
      </c>
      <c r="B22" s="1" t="n">
        <v>45805.7403125</v>
      </c>
      <c r="C22" s="1" t="n">
        <v>46161</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29510-2025</t>
        </is>
      </c>
      <c r="B23" s="1" t="n">
        <v>45825</v>
      </c>
      <c r="C23" s="1" t="n">
        <v>46161</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27060-2025</t>
        </is>
      </c>
      <c r="B24" s="1" t="n">
        <v>45811.63590277778</v>
      </c>
      <c r="C24" s="1" t="n">
        <v>46161</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46161</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52439-2025</t>
        </is>
      </c>
      <c r="B26" s="1" t="n">
        <v>45954.40697916667</v>
      </c>
      <c r="C26" s="1" t="n">
        <v>46161</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28900-2024</t>
        </is>
      </c>
      <c r="B27" s="1" t="n">
        <v>45480</v>
      </c>
      <c r="C27" s="1" t="n">
        <v>46161</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4166-2026</t>
        </is>
      </c>
      <c r="B28" s="1" t="n">
        <v>46044.66402777778</v>
      </c>
      <c r="C28" s="1" t="n">
        <v>46161</v>
      </c>
      <c r="D28" t="inlineStr">
        <is>
          <t>UPPSALA LÄN</t>
        </is>
      </c>
      <c r="E28" t="inlineStr">
        <is>
          <t>ENKÖPING</t>
        </is>
      </c>
      <c r="G28" t="n">
        <v>1.7</v>
      </c>
      <c r="H28" t="n">
        <v>1</v>
      </c>
      <c r="I28" t="n">
        <v>0</v>
      </c>
      <c r="J28" t="n">
        <v>1</v>
      </c>
      <c r="K28" t="n">
        <v>0</v>
      </c>
      <c r="L28" t="n">
        <v>0</v>
      </c>
      <c r="M28" t="n">
        <v>0</v>
      </c>
      <c r="N28" t="n">
        <v>0</v>
      </c>
      <c r="O28" t="n">
        <v>1</v>
      </c>
      <c r="P28" t="n">
        <v>0</v>
      </c>
      <c r="Q28" t="n">
        <v>1</v>
      </c>
      <c r="R28" s="2" t="inlineStr">
        <is>
          <t>Gulsparv</t>
        </is>
      </c>
      <c r="S28">
        <f>HYPERLINK("https://klasma.github.io/Logging_0381/artfynd/A 4166-2026 artfynd.xlsx", "A 4166-2026")</f>
        <v/>
      </c>
      <c r="T28">
        <f>HYPERLINK("https://klasma.github.io/Logging_0381/kartor/A 4166-2026 karta.png", "A 4166-2026")</f>
        <v/>
      </c>
      <c r="V28">
        <f>HYPERLINK("https://klasma.github.io/Logging_0381/klagomål/A 4166-2026 FSC-klagomål.docx", "A 4166-2026")</f>
        <v/>
      </c>
      <c r="W28">
        <f>HYPERLINK("https://klasma.github.io/Logging_0381/klagomålsmail/A 4166-2026 FSC-klagomål mail.docx", "A 4166-2026")</f>
        <v/>
      </c>
      <c r="X28">
        <f>HYPERLINK("https://klasma.github.io/Logging_0381/tillsyn/A 4166-2026 tillsynsbegäran.docx", "A 4166-2026")</f>
        <v/>
      </c>
      <c r="Y28">
        <f>HYPERLINK("https://klasma.github.io/Logging_0381/tillsynsmail/A 4166-2026 tillsynsbegäran mail.docx", "A 4166-2026")</f>
        <v/>
      </c>
      <c r="Z28">
        <f>HYPERLINK("https://klasma.github.io/Logging_0381/fåglar/A 4166-2026 prioriterade fågelarter.docx", "A 4166-2026")</f>
        <v/>
      </c>
    </row>
    <row r="29" ht="15" customHeight="1">
      <c r="A29" t="inlineStr">
        <is>
          <t>A 46749-2024</t>
        </is>
      </c>
      <c r="B29" s="1" t="n">
        <v>45583.48347222222</v>
      </c>
      <c r="C29" s="1" t="n">
        <v>46161</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Tallkötticka</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46161</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46161</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46161</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55582-2021</t>
        </is>
      </c>
      <c r="B33" s="1" t="n">
        <v>44475</v>
      </c>
      <c r="C33" s="1" t="n">
        <v>46161</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46161</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46161</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46161</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46161</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46161</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46161</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24399-2021</t>
        </is>
      </c>
      <c r="B40" s="1" t="n">
        <v>44337</v>
      </c>
      <c r="C40" s="1" t="n">
        <v>46161</v>
      </c>
      <c r="D40" t="inlineStr">
        <is>
          <t>UPPSALA LÄN</t>
        </is>
      </c>
      <c r="E40" t="inlineStr">
        <is>
          <t>ENKÖPING</t>
        </is>
      </c>
      <c r="G40" t="n">
        <v>4</v>
      </c>
      <c r="H40" t="n">
        <v>0</v>
      </c>
      <c r="I40" t="n">
        <v>0</v>
      </c>
      <c r="J40" t="n">
        <v>0</v>
      </c>
      <c r="K40" t="n">
        <v>0</v>
      </c>
      <c r="L40" t="n">
        <v>0</v>
      </c>
      <c r="M40" t="n">
        <v>0</v>
      </c>
      <c r="N40" t="n">
        <v>0</v>
      </c>
      <c r="O40" t="n">
        <v>0</v>
      </c>
      <c r="P40" t="n">
        <v>0</v>
      </c>
      <c r="Q40" t="n">
        <v>0</v>
      </c>
      <c r="R40" s="2" t="inlineStr"/>
    </row>
    <row r="41" ht="15" customHeight="1">
      <c r="A41" t="inlineStr">
        <is>
          <t>A 32748-2021</t>
        </is>
      </c>
      <c r="B41" s="1" t="n">
        <v>44375.53055555555</v>
      </c>
      <c r="C41" s="1" t="n">
        <v>46161</v>
      </c>
      <c r="D41" t="inlineStr">
        <is>
          <t>UPPSALA LÄN</t>
        </is>
      </c>
      <c r="E41" t="inlineStr">
        <is>
          <t>ENKÖPING</t>
        </is>
      </c>
      <c r="G41" t="n">
        <v>1.1</v>
      </c>
      <c r="H41" t="n">
        <v>0</v>
      </c>
      <c r="I41" t="n">
        <v>0</v>
      </c>
      <c r="J41" t="n">
        <v>0</v>
      </c>
      <c r="K41" t="n">
        <v>0</v>
      </c>
      <c r="L41" t="n">
        <v>0</v>
      </c>
      <c r="M41" t="n">
        <v>0</v>
      </c>
      <c r="N41" t="n">
        <v>0</v>
      </c>
      <c r="O41" t="n">
        <v>0</v>
      </c>
      <c r="P41" t="n">
        <v>0</v>
      </c>
      <c r="Q41" t="n">
        <v>0</v>
      </c>
      <c r="R41" s="2" t="inlineStr"/>
    </row>
    <row r="42" ht="15" customHeight="1">
      <c r="A42" t="inlineStr">
        <is>
          <t>A 54433-2021</t>
        </is>
      </c>
      <c r="B42" s="1" t="n">
        <v>44473</v>
      </c>
      <c r="C42" s="1" t="n">
        <v>46161</v>
      </c>
      <c r="D42" t="inlineStr">
        <is>
          <t>UPPSALA LÄN</t>
        </is>
      </c>
      <c r="E42" t="inlineStr">
        <is>
          <t>ENKÖPING</t>
        </is>
      </c>
      <c r="G42" t="n">
        <v>1</v>
      </c>
      <c r="H42" t="n">
        <v>0</v>
      </c>
      <c r="I42" t="n">
        <v>0</v>
      </c>
      <c r="J42" t="n">
        <v>0</v>
      </c>
      <c r="K42" t="n">
        <v>0</v>
      </c>
      <c r="L42" t="n">
        <v>0</v>
      </c>
      <c r="M42" t="n">
        <v>0</v>
      </c>
      <c r="N42" t="n">
        <v>0</v>
      </c>
      <c r="O42" t="n">
        <v>0</v>
      </c>
      <c r="P42" t="n">
        <v>0</v>
      </c>
      <c r="Q42" t="n">
        <v>0</v>
      </c>
      <c r="R42" s="2" t="inlineStr"/>
    </row>
    <row r="43" ht="15" customHeight="1">
      <c r="A43" t="inlineStr">
        <is>
          <t>A 10202-2022</t>
        </is>
      </c>
      <c r="B43" s="1" t="n">
        <v>44622</v>
      </c>
      <c r="C43" s="1" t="n">
        <v>46161</v>
      </c>
      <c r="D43" t="inlineStr">
        <is>
          <t>UPPSALA LÄN</t>
        </is>
      </c>
      <c r="E43" t="inlineStr">
        <is>
          <t>ENKÖPING</t>
        </is>
      </c>
      <c r="G43" t="n">
        <v>5.6</v>
      </c>
      <c r="H43" t="n">
        <v>0</v>
      </c>
      <c r="I43" t="n">
        <v>0</v>
      </c>
      <c r="J43" t="n">
        <v>0</v>
      </c>
      <c r="K43" t="n">
        <v>0</v>
      </c>
      <c r="L43" t="n">
        <v>0</v>
      </c>
      <c r="M43" t="n">
        <v>0</v>
      </c>
      <c r="N43" t="n">
        <v>0</v>
      </c>
      <c r="O43" t="n">
        <v>0</v>
      </c>
      <c r="P43" t="n">
        <v>0</v>
      </c>
      <c r="Q43" t="n">
        <v>0</v>
      </c>
      <c r="R43" s="2" t="inlineStr"/>
    </row>
    <row r="44" ht="15" customHeight="1">
      <c r="A44" t="inlineStr">
        <is>
          <t>A 10207-2022</t>
        </is>
      </c>
      <c r="B44" s="1" t="n">
        <v>44622</v>
      </c>
      <c r="C44" s="1" t="n">
        <v>46161</v>
      </c>
      <c r="D44" t="inlineStr">
        <is>
          <t>UPPSALA LÄN</t>
        </is>
      </c>
      <c r="E44" t="inlineStr">
        <is>
          <t>ENKÖPING</t>
        </is>
      </c>
      <c r="G44" t="n">
        <v>4.9</v>
      </c>
      <c r="H44" t="n">
        <v>0</v>
      </c>
      <c r="I44" t="n">
        <v>0</v>
      </c>
      <c r="J44" t="n">
        <v>0</v>
      </c>
      <c r="K44" t="n">
        <v>0</v>
      </c>
      <c r="L44" t="n">
        <v>0</v>
      </c>
      <c r="M44" t="n">
        <v>0</v>
      </c>
      <c r="N44" t="n">
        <v>0</v>
      </c>
      <c r="O44" t="n">
        <v>0</v>
      </c>
      <c r="P44" t="n">
        <v>0</v>
      </c>
      <c r="Q44" t="n">
        <v>0</v>
      </c>
      <c r="R44" s="2" t="inlineStr"/>
    </row>
    <row r="45" ht="15" customHeight="1">
      <c r="A45" t="inlineStr">
        <is>
          <t>A 17704-2022</t>
        </is>
      </c>
      <c r="B45" s="1" t="n">
        <v>44680.61315972222</v>
      </c>
      <c r="C45" s="1" t="n">
        <v>46161</v>
      </c>
      <c r="D45" t="inlineStr">
        <is>
          <t>UPPSALA LÄN</t>
        </is>
      </c>
      <c r="E45" t="inlineStr">
        <is>
          <t>ENKÖPING</t>
        </is>
      </c>
      <c r="G45" t="n">
        <v>0.8</v>
      </c>
      <c r="H45" t="n">
        <v>0</v>
      </c>
      <c r="I45" t="n">
        <v>0</v>
      </c>
      <c r="J45" t="n">
        <v>0</v>
      </c>
      <c r="K45" t="n">
        <v>0</v>
      </c>
      <c r="L45" t="n">
        <v>0</v>
      </c>
      <c r="M45" t="n">
        <v>0</v>
      </c>
      <c r="N45" t="n">
        <v>0</v>
      </c>
      <c r="O45" t="n">
        <v>0</v>
      </c>
      <c r="P45" t="n">
        <v>0</v>
      </c>
      <c r="Q45" t="n">
        <v>0</v>
      </c>
      <c r="R45" s="2" t="inlineStr"/>
    </row>
    <row r="46" ht="15" customHeight="1">
      <c r="A46" t="inlineStr">
        <is>
          <t>A 46749-2022</t>
        </is>
      </c>
      <c r="B46" s="1" t="n">
        <v>44851</v>
      </c>
      <c r="C46" s="1" t="n">
        <v>46161</v>
      </c>
      <c r="D46" t="inlineStr">
        <is>
          <t>UPPSALA LÄN</t>
        </is>
      </c>
      <c r="E46" t="inlineStr">
        <is>
          <t>ENKÖPING</t>
        </is>
      </c>
      <c r="G46" t="n">
        <v>6.6</v>
      </c>
      <c r="H46" t="n">
        <v>0</v>
      </c>
      <c r="I46" t="n">
        <v>0</v>
      </c>
      <c r="J46" t="n">
        <v>0</v>
      </c>
      <c r="K46" t="n">
        <v>0</v>
      </c>
      <c r="L46" t="n">
        <v>0</v>
      </c>
      <c r="M46" t="n">
        <v>0</v>
      </c>
      <c r="N46" t="n">
        <v>0</v>
      </c>
      <c r="O46" t="n">
        <v>0</v>
      </c>
      <c r="P46" t="n">
        <v>0</v>
      </c>
      <c r="Q46" t="n">
        <v>0</v>
      </c>
      <c r="R46" s="2" t="inlineStr"/>
    </row>
    <row r="47" ht="15" customHeight="1">
      <c r="A47" t="inlineStr">
        <is>
          <t>A 18785-2022</t>
        </is>
      </c>
      <c r="B47" s="1" t="n">
        <v>44687</v>
      </c>
      <c r="C47" s="1" t="n">
        <v>46161</v>
      </c>
      <c r="D47" t="inlineStr">
        <is>
          <t>UPPSALA LÄN</t>
        </is>
      </c>
      <c r="E47" t="inlineStr">
        <is>
          <t>ENKÖPING</t>
        </is>
      </c>
      <c r="G47" t="n">
        <v>3.4</v>
      </c>
      <c r="H47" t="n">
        <v>0</v>
      </c>
      <c r="I47" t="n">
        <v>0</v>
      </c>
      <c r="J47" t="n">
        <v>0</v>
      </c>
      <c r="K47" t="n">
        <v>0</v>
      </c>
      <c r="L47" t="n">
        <v>0</v>
      </c>
      <c r="M47" t="n">
        <v>0</v>
      </c>
      <c r="N47" t="n">
        <v>0</v>
      </c>
      <c r="O47" t="n">
        <v>0</v>
      </c>
      <c r="P47" t="n">
        <v>0</v>
      </c>
      <c r="Q47" t="n">
        <v>0</v>
      </c>
      <c r="R47" s="2" t="inlineStr"/>
    </row>
    <row r="48" ht="15" customHeight="1">
      <c r="A48" t="inlineStr">
        <is>
          <t>A 39922-2022</t>
        </is>
      </c>
      <c r="B48" s="1" t="n">
        <v>44819</v>
      </c>
      <c r="C48" s="1" t="n">
        <v>46161</v>
      </c>
      <c r="D48" t="inlineStr">
        <is>
          <t>UPPSALA LÄN</t>
        </is>
      </c>
      <c r="E48" t="inlineStr">
        <is>
          <t>ENKÖPING</t>
        </is>
      </c>
      <c r="G48" t="n">
        <v>1.7</v>
      </c>
      <c r="H48" t="n">
        <v>0</v>
      </c>
      <c r="I48" t="n">
        <v>0</v>
      </c>
      <c r="J48" t="n">
        <v>0</v>
      </c>
      <c r="K48" t="n">
        <v>0</v>
      </c>
      <c r="L48" t="n">
        <v>0</v>
      </c>
      <c r="M48" t="n">
        <v>0</v>
      </c>
      <c r="N48" t="n">
        <v>0</v>
      </c>
      <c r="O48" t="n">
        <v>0</v>
      </c>
      <c r="P48" t="n">
        <v>0</v>
      </c>
      <c r="Q48" t="n">
        <v>0</v>
      </c>
      <c r="R48" s="2" t="inlineStr"/>
    </row>
    <row r="49" ht="15" customHeight="1">
      <c r="A49" t="inlineStr">
        <is>
          <t>A 41736-2022</t>
        </is>
      </c>
      <c r="B49" s="1" t="n">
        <v>44827</v>
      </c>
      <c r="C49" s="1" t="n">
        <v>46161</v>
      </c>
      <c r="D49" t="inlineStr">
        <is>
          <t>UPPSALA LÄN</t>
        </is>
      </c>
      <c r="E49" t="inlineStr">
        <is>
          <t>ENKÖPING</t>
        </is>
      </c>
      <c r="G49" t="n">
        <v>0.9</v>
      </c>
      <c r="H49" t="n">
        <v>0</v>
      </c>
      <c r="I49" t="n">
        <v>0</v>
      </c>
      <c r="J49" t="n">
        <v>0</v>
      </c>
      <c r="K49" t="n">
        <v>0</v>
      </c>
      <c r="L49" t="n">
        <v>0</v>
      </c>
      <c r="M49" t="n">
        <v>0</v>
      </c>
      <c r="N49" t="n">
        <v>0</v>
      </c>
      <c r="O49" t="n">
        <v>0</v>
      </c>
      <c r="P49" t="n">
        <v>0</v>
      </c>
      <c r="Q49" t="n">
        <v>0</v>
      </c>
      <c r="R49" s="2" t="inlineStr"/>
    </row>
    <row r="50" ht="15" customHeight="1">
      <c r="A50" t="inlineStr">
        <is>
          <t>A 3861-2022</t>
        </is>
      </c>
      <c r="B50" s="1" t="n">
        <v>44587</v>
      </c>
      <c r="C50" s="1" t="n">
        <v>46161</v>
      </c>
      <c r="D50" t="inlineStr">
        <is>
          <t>UPPSALA LÄN</t>
        </is>
      </c>
      <c r="E50" t="inlineStr">
        <is>
          <t>ENKÖPING</t>
        </is>
      </c>
      <c r="G50" t="n">
        <v>0.5</v>
      </c>
      <c r="H50" t="n">
        <v>0</v>
      </c>
      <c r="I50" t="n">
        <v>0</v>
      </c>
      <c r="J50" t="n">
        <v>0</v>
      </c>
      <c r="K50" t="n">
        <v>0</v>
      </c>
      <c r="L50" t="n">
        <v>0</v>
      </c>
      <c r="M50" t="n">
        <v>0</v>
      </c>
      <c r="N50" t="n">
        <v>0</v>
      </c>
      <c r="O50" t="n">
        <v>0</v>
      </c>
      <c r="P50" t="n">
        <v>0</v>
      </c>
      <c r="Q50" t="n">
        <v>0</v>
      </c>
      <c r="R50" s="2" t="inlineStr"/>
    </row>
    <row r="51" ht="15" customHeight="1">
      <c r="A51" t="inlineStr">
        <is>
          <t>A 16967-2022</t>
        </is>
      </c>
      <c r="B51" s="1" t="n">
        <v>44676</v>
      </c>
      <c r="C51" s="1" t="n">
        <v>46161</v>
      </c>
      <c r="D51" t="inlineStr">
        <is>
          <t>UPPSALA LÄN</t>
        </is>
      </c>
      <c r="E51" t="inlineStr">
        <is>
          <t>ENKÖPING</t>
        </is>
      </c>
      <c r="G51" t="n">
        <v>0.6</v>
      </c>
      <c r="H51" t="n">
        <v>0</v>
      </c>
      <c r="I51" t="n">
        <v>0</v>
      </c>
      <c r="J51" t="n">
        <v>0</v>
      </c>
      <c r="K51" t="n">
        <v>0</v>
      </c>
      <c r="L51" t="n">
        <v>0</v>
      </c>
      <c r="M51" t="n">
        <v>0</v>
      </c>
      <c r="N51" t="n">
        <v>0</v>
      </c>
      <c r="O51" t="n">
        <v>0</v>
      </c>
      <c r="P51" t="n">
        <v>0</v>
      </c>
      <c r="Q51" t="n">
        <v>0</v>
      </c>
      <c r="R51" s="2" t="inlineStr"/>
    </row>
    <row r="52" ht="15" customHeight="1">
      <c r="A52" t="inlineStr">
        <is>
          <t>A 498-2022</t>
        </is>
      </c>
      <c r="B52" s="1" t="n">
        <v>44566</v>
      </c>
      <c r="C52" s="1" t="n">
        <v>46161</v>
      </c>
      <c r="D52" t="inlineStr">
        <is>
          <t>UPPSALA LÄN</t>
        </is>
      </c>
      <c r="E52" t="inlineStr">
        <is>
          <t>ENKÖPING</t>
        </is>
      </c>
      <c r="F52" t="inlineStr">
        <is>
          <t>Övriga statliga verk och myndigheter</t>
        </is>
      </c>
      <c r="G52" t="n">
        <v>11.1</v>
      </c>
      <c r="H52" t="n">
        <v>0</v>
      </c>
      <c r="I52" t="n">
        <v>0</v>
      </c>
      <c r="J52" t="n">
        <v>0</v>
      </c>
      <c r="K52" t="n">
        <v>0</v>
      </c>
      <c r="L52" t="n">
        <v>0</v>
      </c>
      <c r="M52" t="n">
        <v>0</v>
      </c>
      <c r="N52" t="n">
        <v>0</v>
      </c>
      <c r="O52" t="n">
        <v>0</v>
      </c>
      <c r="P52" t="n">
        <v>0</v>
      </c>
      <c r="Q52" t="n">
        <v>0</v>
      </c>
      <c r="R52" s="2" t="inlineStr"/>
    </row>
    <row r="53" ht="15" customHeight="1">
      <c r="A53" t="inlineStr">
        <is>
          <t>A 1965-2022</t>
        </is>
      </c>
      <c r="B53" s="1" t="n">
        <v>44575</v>
      </c>
      <c r="C53" s="1" t="n">
        <v>46161</v>
      </c>
      <c r="D53" t="inlineStr">
        <is>
          <t>UPPSALA LÄN</t>
        </is>
      </c>
      <c r="E53" t="inlineStr">
        <is>
          <t>ENKÖPING</t>
        </is>
      </c>
      <c r="G53" t="n">
        <v>0.7</v>
      </c>
      <c r="H53" t="n">
        <v>0</v>
      </c>
      <c r="I53" t="n">
        <v>0</v>
      </c>
      <c r="J53" t="n">
        <v>0</v>
      </c>
      <c r="K53" t="n">
        <v>0</v>
      </c>
      <c r="L53" t="n">
        <v>0</v>
      </c>
      <c r="M53" t="n">
        <v>0</v>
      </c>
      <c r="N53" t="n">
        <v>0</v>
      </c>
      <c r="O53" t="n">
        <v>0</v>
      </c>
      <c r="P53" t="n">
        <v>0</v>
      </c>
      <c r="Q53" t="n">
        <v>0</v>
      </c>
      <c r="R53" s="2" t="inlineStr"/>
    </row>
    <row r="54" ht="15" customHeight="1">
      <c r="A54" t="inlineStr">
        <is>
          <t>A 48230-2022</t>
        </is>
      </c>
      <c r="B54" s="1" t="n">
        <v>44858.45100694444</v>
      </c>
      <c r="C54" s="1" t="n">
        <v>46161</v>
      </c>
      <c r="D54" t="inlineStr">
        <is>
          <t>UPPSALA LÄN</t>
        </is>
      </c>
      <c r="E54" t="inlineStr">
        <is>
          <t>ENKÖPING</t>
        </is>
      </c>
      <c r="G54" t="n">
        <v>0.5</v>
      </c>
      <c r="H54" t="n">
        <v>0</v>
      </c>
      <c r="I54" t="n">
        <v>0</v>
      </c>
      <c r="J54" t="n">
        <v>0</v>
      </c>
      <c r="K54" t="n">
        <v>0</v>
      </c>
      <c r="L54" t="n">
        <v>0</v>
      </c>
      <c r="M54" t="n">
        <v>0</v>
      </c>
      <c r="N54" t="n">
        <v>0</v>
      </c>
      <c r="O54" t="n">
        <v>0</v>
      </c>
      <c r="P54" t="n">
        <v>0</v>
      </c>
      <c r="Q54" t="n">
        <v>0</v>
      </c>
      <c r="R54" s="2" t="inlineStr"/>
    </row>
    <row r="55" ht="15" customHeight="1">
      <c r="A55" t="inlineStr">
        <is>
          <t>A 14531-2022</t>
        </is>
      </c>
      <c r="B55" s="1" t="n">
        <v>44655</v>
      </c>
      <c r="C55" s="1" t="n">
        <v>46161</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48233-2022</t>
        </is>
      </c>
      <c r="B56" s="1" t="n">
        <v>44858.45300925926</v>
      </c>
      <c r="C56" s="1" t="n">
        <v>46161</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29435-2022</t>
        </is>
      </c>
      <c r="B57" s="1" t="n">
        <v>44753.49215277778</v>
      </c>
      <c r="C57" s="1" t="n">
        <v>46161</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39473-2021</t>
        </is>
      </c>
      <c r="B58" s="1" t="n">
        <v>44414</v>
      </c>
      <c r="C58" s="1" t="n">
        <v>46161</v>
      </c>
      <c r="D58" t="inlineStr">
        <is>
          <t>UPPSALA LÄN</t>
        </is>
      </c>
      <c r="E58" t="inlineStr">
        <is>
          <t>ENKÖPING</t>
        </is>
      </c>
      <c r="G58" t="n">
        <v>3.2</v>
      </c>
      <c r="H58" t="n">
        <v>0</v>
      </c>
      <c r="I58" t="n">
        <v>0</v>
      </c>
      <c r="J58" t="n">
        <v>0</v>
      </c>
      <c r="K58" t="n">
        <v>0</v>
      </c>
      <c r="L58" t="n">
        <v>0</v>
      </c>
      <c r="M58" t="n">
        <v>0</v>
      </c>
      <c r="N58" t="n">
        <v>0</v>
      </c>
      <c r="O58" t="n">
        <v>0</v>
      </c>
      <c r="P58" t="n">
        <v>0</v>
      </c>
      <c r="Q58" t="n">
        <v>0</v>
      </c>
      <c r="R58" s="2" t="inlineStr"/>
    </row>
    <row r="59" ht="15" customHeight="1">
      <c r="A59" t="inlineStr">
        <is>
          <t>A 38005-2022</t>
        </is>
      </c>
      <c r="B59" s="1" t="n">
        <v>44810</v>
      </c>
      <c r="C59" s="1" t="n">
        <v>46161</v>
      </c>
      <c r="D59" t="inlineStr">
        <is>
          <t>UPPSALA LÄN</t>
        </is>
      </c>
      <c r="E59" t="inlineStr">
        <is>
          <t>ENKÖPING</t>
        </is>
      </c>
      <c r="G59" t="n">
        <v>1.5</v>
      </c>
      <c r="H59" t="n">
        <v>0</v>
      </c>
      <c r="I59" t="n">
        <v>0</v>
      </c>
      <c r="J59" t="n">
        <v>0</v>
      </c>
      <c r="K59" t="n">
        <v>0</v>
      </c>
      <c r="L59" t="n">
        <v>0</v>
      </c>
      <c r="M59" t="n">
        <v>0</v>
      </c>
      <c r="N59" t="n">
        <v>0</v>
      </c>
      <c r="O59" t="n">
        <v>0</v>
      </c>
      <c r="P59" t="n">
        <v>0</v>
      </c>
      <c r="Q59" t="n">
        <v>0</v>
      </c>
      <c r="R59" s="2" t="inlineStr"/>
    </row>
    <row r="60" ht="15" customHeight="1">
      <c r="A60" t="inlineStr">
        <is>
          <t>A 29425-2022</t>
        </is>
      </c>
      <c r="B60" s="1" t="n">
        <v>44753.47837962963</v>
      </c>
      <c r="C60" s="1" t="n">
        <v>46161</v>
      </c>
      <c r="D60" t="inlineStr">
        <is>
          <t>UPPSALA LÄN</t>
        </is>
      </c>
      <c r="E60" t="inlineStr">
        <is>
          <t>ENKÖPING</t>
        </is>
      </c>
      <c r="G60" t="n">
        <v>2.5</v>
      </c>
      <c r="H60" t="n">
        <v>0</v>
      </c>
      <c r="I60" t="n">
        <v>0</v>
      </c>
      <c r="J60" t="n">
        <v>0</v>
      </c>
      <c r="K60" t="n">
        <v>0</v>
      </c>
      <c r="L60" t="n">
        <v>0</v>
      </c>
      <c r="M60" t="n">
        <v>0</v>
      </c>
      <c r="N60" t="n">
        <v>0</v>
      </c>
      <c r="O60" t="n">
        <v>0</v>
      </c>
      <c r="P60" t="n">
        <v>0</v>
      </c>
      <c r="Q60" t="n">
        <v>0</v>
      </c>
      <c r="R60" s="2" t="inlineStr"/>
    </row>
    <row r="61" ht="15" customHeight="1">
      <c r="A61" t="inlineStr">
        <is>
          <t>A 52896-2022</t>
        </is>
      </c>
      <c r="B61" s="1" t="n">
        <v>44875.5665625</v>
      </c>
      <c r="C61" s="1" t="n">
        <v>46161</v>
      </c>
      <c r="D61" t="inlineStr">
        <is>
          <t>UPPSALA LÄN</t>
        </is>
      </c>
      <c r="E61" t="inlineStr">
        <is>
          <t>ENKÖPING</t>
        </is>
      </c>
      <c r="G61" t="n">
        <v>0.8</v>
      </c>
      <c r="H61" t="n">
        <v>0</v>
      </c>
      <c r="I61" t="n">
        <v>0</v>
      </c>
      <c r="J61" t="n">
        <v>0</v>
      </c>
      <c r="K61" t="n">
        <v>0</v>
      </c>
      <c r="L61" t="n">
        <v>0</v>
      </c>
      <c r="M61" t="n">
        <v>0</v>
      </c>
      <c r="N61" t="n">
        <v>0</v>
      </c>
      <c r="O61" t="n">
        <v>0</v>
      </c>
      <c r="P61" t="n">
        <v>0</v>
      </c>
      <c r="Q61" t="n">
        <v>0</v>
      </c>
      <c r="R61" s="2" t="inlineStr"/>
    </row>
    <row r="62" ht="15" customHeight="1">
      <c r="A62" t="inlineStr">
        <is>
          <t>A 2680-2022</t>
        </is>
      </c>
      <c r="B62" s="1" t="n">
        <v>44580</v>
      </c>
      <c r="C62" s="1" t="n">
        <v>46161</v>
      </c>
      <c r="D62" t="inlineStr">
        <is>
          <t>UPPSALA LÄN</t>
        </is>
      </c>
      <c r="E62" t="inlineStr">
        <is>
          <t>ENKÖPING</t>
        </is>
      </c>
      <c r="G62" t="n">
        <v>0.6</v>
      </c>
      <c r="H62" t="n">
        <v>0</v>
      </c>
      <c r="I62" t="n">
        <v>0</v>
      </c>
      <c r="J62" t="n">
        <v>0</v>
      </c>
      <c r="K62" t="n">
        <v>0</v>
      </c>
      <c r="L62" t="n">
        <v>0</v>
      </c>
      <c r="M62" t="n">
        <v>0</v>
      </c>
      <c r="N62" t="n">
        <v>0</v>
      </c>
      <c r="O62" t="n">
        <v>0</v>
      </c>
      <c r="P62" t="n">
        <v>0</v>
      </c>
      <c r="Q62" t="n">
        <v>0</v>
      </c>
      <c r="R62" s="2" t="inlineStr"/>
    </row>
    <row r="63" ht="15" customHeight="1">
      <c r="A63" t="inlineStr">
        <is>
          <t>A 52014-2021</t>
        </is>
      </c>
      <c r="B63" s="1" t="n">
        <v>44463.3425462963</v>
      </c>
      <c r="C63" s="1" t="n">
        <v>46161</v>
      </c>
      <c r="D63" t="inlineStr">
        <is>
          <t>UPPSALA LÄN</t>
        </is>
      </c>
      <c r="E63" t="inlineStr">
        <is>
          <t>ENKÖPING</t>
        </is>
      </c>
      <c r="G63" t="n">
        <v>5.8</v>
      </c>
      <c r="H63" t="n">
        <v>0</v>
      </c>
      <c r="I63" t="n">
        <v>0</v>
      </c>
      <c r="J63" t="n">
        <v>0</v>
      </c>
      <c r="K63" t="n">
        <v>0</v>
      </c>
      <c r="L63" t="n">
        <v>0</v>
      </c>
      <c r="M63" t="n">
        <v>0</v>
      </c>
      <c r="N63" t="n">
        <v>0</v>
      </c>
      <c r="O63" t="n">
        <v>0</v>
      </c>
      <c r="P63" t="n">
        <v>0</v>
      </c>
      <c r="Q63" t="n">
        <v>0</v>
      </c>
      <c r="R63" s="2" t="inlineStr"/>
    </row>
    <row r="64" ht="15" customHeight="1">
      <c r="A64" t="inlineStr">
        <is>
          <t>A 37410-2022</t>
        </is>
      </c>
      <c r="B64" s="1" t="n">
        <v>44809</v>
      </c>
      <c r="C64" s="1" t="n">
        <v>46161</v>
      </c>
      <c r="D64" t="inlineStr">
        <is>
          <t>UPPSALA LÄN</t>
        </is>
      </c>
      <c r="E64" t="inlineStr">
        <is>
          <t>ENKÖPING</t>
        </is>
      </c>
      <c r="G64" t="n">
        <v>3.6</v>
      </c>
      <c r="H64" t="n">
        <v>0</v>
      </c>
      <c r="I64" t="n">
        <v>0</v>
      </c>
      <c r="J64" t="n">
        <v>0</v>
      </c>
      <c r="K64" t="n">
        <v>0</v>
      </c>
      <c r="L64" t="n">
        <v>0</v>
      </c>
      <c r="M64" t="n">
        <v>0</v>
      </c>
      <c r="N64" t="n">
        <v>0</v>
      </c>
      <c r="O64" t="n">
        <v>0</v>
      </c>
      <c r="P64" t="n">
        <v>0</v>
      </c>
      <c r="Q64" t="n">
        <v>0</v>
      </c>
      <c r="R64" s="2" t="inlineStr"/>
    </row>
    <row r="65" ht="15" customHeight="1">
      <c r="A65" t="inlineStr">
        <is>
          <t>A 1979-2022</t>
        </is>
      </c>
      <c r="B65" s="1" t="n">
        <v>44575</v>
      </c>
      <c r="C65" s="1" t="n">
        <v>46161</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40773-2022</t>
        </is>
      </c>
      <c r="B66" s="1" t="n">
        <v>44824.61237268519</v>
      </c>
      <c r="C66" s="1" t="n">
        <v>46161</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28795-2021</t>
        </is>
      </c>
      <c r="B67" s="1" t="n">
        <v>44357</v>
      </c>
      <c r="C67" s="1" t="n">
        <v>46161</v>
      </c>
      <c r="D67" t="inlineStr">
        <is>
          <t>UPPSALA LÄN</t>
        </is>
      </c>
      <c r="E67" t="inlineStr">
        <is>
          <t>ENKÖPING</t>
        </is>
      </c>
      <c r="F67" t="inlineStr">
        <is>
          <t>Allmännings- och besparingsskogar</t>
        </is>
      </c>
      <c r="G67" t="n">
        <v>2.8</v>
      </c>
      <c r="H67" t="n">
        <v>0</v>
      </c>
      <c r="I67" t="n">
        <v>0</v>
      </c>
      <c r="J67" t="n">
        <v>0</v>
      </c>
      <c r="K67" t="n">
        <v>0</v>
      </c>
      <c r="L67" t="n">
        <v>0</v>
      </c>
      <c r="M67" t="n">
        <v>0</v>
      </c>
      <c r="N67" t="n">
        <v>0</v>
      </c>
      <c r="O67" t="n">
        <v>0</v>
      </c>
      <c r="P67" t="n">
        <v>0</v>
      </c>
      <c r="Q67" t="n">
        <v>0</v>
      </c>
      <c r="R67" s="2" t="inlineStr"/>
    </row>
    <row r="68" ht="15" customHeight="1">
      <c r="A68" t="inlineStr">
        <is>
          <t>A 68107-2021</t>
        </is>
      </c>
      <c r="B68" s="1" t="n">
        <v>44526</v>
      </c>
      <c r="C68" s="1" t="n">
        <v>46161</v>
      </c>
      <c r="D68" t="inlineStr">
        <is>
          <t>UPPSALA LÄN</t>
        </is>
      </c>
      <c r="E68" t="inlineStr">
        <is>
          <t>ENKÖPING</t>
        </is>
      </c>
      <c r="G68" t="n">
        <v>0.8</v>
      </c>
      <c r="H68" t="n">
        <v>0</v>
      </c>
      <c r="I68" t="n">
        <v>0</v>
      </c>
      <c r="J68" t="n">
        <v>0</v>
      </c>
      <c r="K68" t="n">
        <v>0</v>
      </c>
      <c r="L68" t="n">
        <v>0</v>
      </c>
      <c r="M68" t="n">
        <v>0</v>
      </c>
      <c r="N68" t="n">
        <v>0</v>
      </c>
      <c r="O68" t="n">
        <v>0</v>
      </c>
      <c r="P68" t="n">
        <v>0</v>
      </c>
      <c r="Q68" t="n">
        <v>0</v>
      </c>
      <c r="R68" s="2" t="inlineStr"/>
    </row>
    <row r="69" ht="15" customHeight="1">
      <c r="A69" t="inlineStr">
        <is>
          <t>A 69791-2021</t>
        </is>
      </c>
      <c r="B69" s="1" t="n">
        <v>44532</v>
      </c>
      <c r="C69" s="1" t="n">
        <v>46161</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49375-2021</t>
        </is>
      </c>
      <c r="B70" s="1" t="n">
        <v>44454</v>
      </c>
      <c r="C70" s="1" t="n">
        <v>46161</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57055-2021</t>
        </is>
      </c>
      <c r="B71" s="1" t="n">
        <v>44482.55201388889</v>
      </c>
      <c r="C71" s="1" t="n">
        <v>46161</v>
      </c>
      <c r="D71" t="inlineStr">
        <is>
          <t>UPPSALA LÄN</t>
        </is>
      </c>
      <c r="E71" t="inlineStr">
        <is>
          <t>ENKÖPING</t>
        </is>
      </c>
      <c r="G71" t="n">
        <v>3.3</v>
      </c>
      <c r="H71" t="n">
        <v>0</v>
      </c>
      <c r="I71" t="n">
        <v>0</v>
      </c>
      <c r="J71" t="n">
        <v>0</v>
      </c>
      <c r="K71" t="n">
        <v>0</v>
      </c>
      <c r="L71" t="n">
        <v>0</v>
      </c>
      <c r="M71" t="n">
        <v>0</v>
      </c>
      <c r="N71" t="n">
        <v>0</v>
      </c>
      <c r="O71" t="n">
        <v>0</v>
      </c>
      <c r="P71" t="n">
        <v>0</v>
      </c>
      <c r="Q71" t="n">
        <v>0</v>
      </c>
      <c r="R71" s="2" t="inlineStr"/>
    </row>
    <row r="72" ht="15" customHeight="1">
      <c r="A72" t="inlineStr">
        <is>
          <t>A 60874-2021</t>
        </is>
      </c>
      <c r="B72" s="1" t="n">
        <v>44497</v>
      </c>
      <c r="C72" s="1" t="n">
        <v>46161</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15021-2022</t>
        </is>
      </c>
      <c r="B73" s="1" t="n">
        <v>44657</v>
      </c>
      <c r="C73" s="1" t="n">
        <v>46161</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31013-2022</t>
        </is>
      </c>
      <c r="B74" s="1" t="n">
        <v>44768</v>
      </c>
      <c r="C74" s="1" t="n">
        <v>46161</v>
      </c>
      <c r="D74" t="inlineStr">
        <is>
          <t>UPPSALA LÄN</t>
        </is>
      </c>
      <c r="E74" t="inlineStr">
        <is>
          <t>ENKÖPING</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42029-2021</t>
        </is>
      </c>
      <c r="B75" s="1" t="n">
        <v>44426</v>
      </c>
      <c r="C75" s="1" t="n">
        <v>46161</v>
      </c>
      <c r="D75" t="inlineStr">
        <is>
          <t>UPPSALA LÄN</t>
        </is>
      </c>
      <c r="E75" t="inlineStr">
        <is>
          <t>ENKÖPING</t>
        </is>
      </c>
      <c r="G75" t="n">
        <v>5.3</v>
      </c>
      <c r="H75" t="n">
        <v>0</v>
      </c>
      <c r="I75" t="n">
        <v>0</v>
      </c>
      <c r="J75" t="n">
        <v>0</v>
      </c>
      <c r="K75" t="n">
        <v>0</v>
      </c>
      <c r="L75" t="n">
        <v>0</v>
      </c>
      <c r="M75" t="n">
        <v>0</v>
      </c>
      <c r="N75" t="n">
        <v>0</v>
      </c>
      <c r="O75" t="n">
        <v>0</v>
      </c>
      <c r="P75" t="n">
        <v>0</v>
      </c>
      <c r="Q75" t="n">
        <v>0</v>
      </c>
      <c r="R75" s="2" t="inlineStr"/>
    </row>
    <row r="76" ht="15" customHeight="1">
      <c r="A76" t="inlineStr">
        <is>
          <t>A 1971-2022</t>
        </is>
      </c>
      <c r="B76" s="1" t="n">
        <v>44575</v>
      </c>
      <c r="C76" s="1" t="n">
        <v>46161</v>
      </c>
      <c r="D76" t="inlineStr">
        <is>
          <t>UPPSALA LÄN</t>
        </is>
      </c>
      <c r="E76" t="inlineStr">
        <is>
          <t>ENKÖPING</t>
        </is>
      </c>
      <c r="G76" t="n">
        <v>1.4</v>
      </c>
      <c r="H76" t="n">
        <v>0</v>
      </c>
      <c r="I76" t="n">
        <v>0</v>
      </c>
      <c r="J76" t="n">
        <v>0</v>
      </c>
      <c r="K76" t="n">
        <v>0</v>
      </c>
      <c r="L76" t="n">
        <v>0</v>
      </c>
      <c r="M76" t="n">
        <v>0</v>
      </c>
      <c r="N76" t="n">
        <v>0</v>
      </c>
      <c r="O76" t="n">
        <v>0</v>
      </c>
      <c r="P76" t="n">
        <v>0</v>
      </c>
      <c r="Q76" t="n">
        <v>0</v>
      </c>
      <c r="R76" s="2" t="inlineStr"/>
    </row>
    <row r="77" ht="15" customHeight="1">
      <c r="A77" t="inlineStr">
        <is>
          <t>A 15924-2022</t>
        </is>
      </c>
      <c r="B77" s="1" t="n">
        <v>44664</v>
      </c>
      <c r="C77" s="1" t="n">
        <v>46161</v>
      </c>
      <c r="D77" t="inlineStr">
        <is>
          <t>UPPSALA LÄN</t>
        </is>
      </c>
      <c r="E77" t="inlineStr">
        <is>
          <t>ENKÖPING</t>
        </is>
      </c>
      <c r="G77" t="n">
        <v>0.7</v>
      </c>
      <c r="H77" t="n">
        <v>0</v>
      </c>
      <c r="I77" t="n">
        <v>0</v>
      </c>
      <c r="J77" t="n">
        <v>0</v>
      </c>
      <c r="K77" t="n">
        <v>0</v>
      </c>
      <c r="L77" t="n">
        <v>0</v>
      </c>
      <c r="M77" t="n">
        <v>0</v>
      </c>
      <c r="N77" t="n">
        <v>0</v>
      </c>
      <c r="O77" t="n">
        <v>0</v>
      </c>
      <c r="P77" t="n">
        <v>0</v>
      </c>
      <c r="Q77" t="n">
        <v>0</v>
      </c>
      <c r="R77" s="2" t="inlineStr"/>
    </row>
    <row r="78" ht="15" customHeight="1">
      <c r="A78" t="inlineStr">
        <is>
          <t>A 15943-2022</t>
        </is>
      </c>
      <c r="B78" s="1" t="n">
        <v>44664.66428240741</v>
      </c>
      <c r="C78" s="1" t="n">
        <v>46161</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47106-2021</t>
        </is>
      </c>
      <c r="B79" s="1" t="n">
        <v>44446</v>
      </c>
      <c r="C79" s="1" t="n">
        <v>46161</v>
      </c>
      <c r="D79" t="inlineStr">
        <is>
          <t>UPPSALA LÄN</t>
        </is>
      </c>
      <c r="E79" t="inlineStr">
        <is>
          <t>ENKÖPING</t>
        </is>
      </c>
      <c r="G79" t="n">
        <v>7.6</v>
      </c>
      <c r="H79" t="n">
        <v>0</v>
      </c>
      <c r="I79" t="n">
        <v>0</v>
      </c>
      <c r="J79" t="n">
        <v>0</v>
      </c>
      <c r="K79" t="n">
        <v>0</v>
      </c>
      <c r="L79" t="n">
        <v>0</v>
      </c>
      <c r="M79" t="n">
        <v>0</v>
      </c>
      <c r="N79" t="n">
        <v>0</v>
      </c>
      <c r="O79" t="n">
        <v>0</v>
      </c>
      <c r="P79" t="n">
        <v>0</v>
      </c>
      <c r="Q79" t="n">
        <v>0</v>
      </c>
      <c r="R79" s="2" t="inlineStr"/>
    </row>
    <row r="80" ht="15" customHeight="1">
      <c r="A80" t="inlineStr">
        <is>
          <t>A 19731-2022</t>
        </is>
      </c>
      <c r="B80" s="1" t="n">
        <v>44694</v>
      </c>
      <c r="C80" s="1" t="n">
        <v>46161</v>
      </c>
      <c r="D80" t="inlineStr">
        <is>
          <t>UPPSALA LÄN</t>
        </is>
      </c>
      <c r="E80" t="inlineStr">
        <is>
          <t>ENKÖPING</t>
        </is>
      </c>
      <c r="G80" t="n">
        <v>0.7</v>
      </c>
      <c r="H80" t="n">
        <v>0</v>
      </c>
      <c r="I80" t="n">
        <v>0</v>
      </c>
      <c r="J80" t="n">
        <v>0</v>
      </c>
      <c r="K80" t="n">
        <v>0</v>
      </c>
      <c r="L80" t="n">
        <v>0</v>
      </c>
      <c r="M80" t="n">
        <v>0</v>
      </c>
      <c r="N80" t="n">
        <v>0</v>
      </c>
      <c r="O80" t="n">
        <v>0</v>
      </c>
      <c r="P80" t="n">
        <v>0</v>
      </c>
      <c r="Q80" t="n">
        <v>0</v>
      </c>
      <c r="R80" s="2" t="inlineStr"/>
    </row>
    <row r="81" ht="15" customHeight="1">
      <c r="A81" t="inlineStr">
        <is>
          <t>A 57043-2021</t>
        </is>
      </c>
      <c r="B81" s="1" t="n">
        <v>44482.53399305556</v>
      </c>
      <c r="C81" s="1" t="n">
        <v>46161</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24883-2022</t>
        </is>
      </c>
      <c r="B82" s="1" t="n">
        <v>44728</v>
      </c>
      <c r="C82" s="1" t="n">
        <v>46161</v>
      </c>
      <c r="D82" t="inlineStr">
        <is>
          <t>UPPSALA LÄN</t>
        </is>
      </c>
      <c r="E82" t="inlineStr">
        <is>
          <t>ENKÖPING</t>
        </is>
      </c>
      <c r="G82" t="n">
        <v>2.5</v>
      </c>
      <c r="H82" t="n">
        <v>0</v>
      </c>
      <c r="I82" t="n">
        <v>0</v>
      </c>
      <c r="J82" t="n">
        <v>0</v>
      </c>
      <c r="K82" t="n">
        <v>0</v>
      </c>
      <c r="L82" t="n">
        <v>0</v>
      </c>
      <c r="M82" t="n">
        <v>0</v>
      </c>
      <c r="N82" t="n">
        <v>0</v>
      </c>
      <c r="O82" t="n">
        <v>0</v>
      </c>
      <c r="P82" t="n">
        <v>0</v>
      </c>
      <c r="Q82" t="n">
        <v>0</v>
      </c>
      <c r="R82" s="2" t="inlineStr"/>
    </row>
    <row r="83" ht="15" customHeight="1">
      <c r="A83" t="inlineStr">
        <is>
          <t>A 68127-2021</t>
        </is>
      </c>
      <c r="B83" s="1" t="n">
        <v>44526.39513888889</v>
      </c>
      <c r="C83" s="1" t="n">
        <v>46161</v>
      </c>
      <c r="D83" t="inlineStr">
        <is>
          <t>UPPSALA LÄN</t>
        </is>
      </c>
      <c r="E83" t="inlineStr">
        <is>
          <t>ENKÖPING</t>
        </is>
      </c>
      <c r="G83" t="n">
        <v>0.8</v>
      </c>
      <c r="H83" t="n">
        <v>0</v>
      </c>
      <c r="I83" t="n">
        <v>0</v>
      </c>
      <c r="J83" t="n">
        <v>0</v>
      </c>
      <c r="K83" t="n">
        <v>0</v>
      </c>
      <c r="L83" t="n">
        <v>0</v>
      </c>
      <c r="M83" t="n">
        <v>0</v>
      </c>
      <c r="N83" t="n">
        <v>0</v>
      </c>
      <c r="O83" t="n">
        <v>0</v>
      </c>
      <c r="P83" t="n">
        <v>0</v>
      </c>
      <c r="Q83" t="n">
        <v>0</v>
      </c>
      <c r="R83" s="2" t="inlineStr"/>
    </row>
    <row r="84" ht="15" customHeight="1">
      <c r="A84" t="inlineStr">
        <is>
          <t>A 42021-2021</t>
        </is>
      </c>
      <c r="B84" s="1" t="n">
        <v>44426</v>
      </c>
      <c r="C84" s="1" t="n">
        <v>46161</v>
      </c>
      <c r="D84" t="inlineStr">
        <is>
          <t>UPPSALA LÄN</t>
        </is>
      </c>
      <c r="E84" t="inlineStr">
        <is>
          <t>ENKÖPING</t>
        </is>
      </c>
      <c r="G84" t="n">
        <v>2.2</v>
      </c>
      <c r="H84" t="n">
        <v>0</v>
      </c>
      <c r="I84" t="n">
        <v>0</v>
      </c>
      <c r="J84" t="n">
        <v>0</v>
      </c>
      <c r="K84" t="n">
        <v>0</v>
      </c>
      <c r="L84" t="n">
        <v>0</v>
      </c>
      <c r="M84" t="n">
        <v>0</v>
      </c>
      <c r="N84" t="n">
        <v>0</v>
      </c>
      <c r="O84" t="n">
        <v>0</v>
      </c>
      <c r="P84" t="n">
        <v>0</v>
      </c>
      <c r="Q84" t="n">
        <v>0</v>
      </c>
      <c r="R84" s="2" t="inlineStr"/>
    </row>
    <row r="85" ht="15" customHeight="1">
      <c r="A85" t="inlineStr">
        <is>
          <t>A 17467-2022</t>
        </is>
      </c>
      <c r="B85" s="1" t="n">
        <v>44679</v>
      </c>
      <c r="C85" s="1" t="n">
        <v>46161</v>
      </c>
      <c r="D85" t="inlineStr">
        <is>
          <t>UPPSALA LÄN</t>
        </is>
      </c>
      <c r="E85" t="inlineStr">
        <is>
          <t>ENKÖPING</t>
        </is>
      </c>
      <c r="G85" t="n">
        <v>0.7</v>
      </c>
      <c r="H85" t="n">
        <v>0</v>
      </c>
      <c r="I85" t="n">
        <v>0</v>
      </c>
      <c r="J85" t="n">
        <v>0</v>
      </c>
      <c r="K85" t="n">
        <v>0</v>
      </c>
      <c r="L85" t="n">
        <v>0</v>
      </c>
      <c r="M85" t="n">
        <v>0</v>
      </c>
      <c r="N85" t="n">
        <v>0</v>
      </c>
      <c r="O85" t="n">
        <v>0</v>
      </c>
      <c r="P85" t="n">
        <v>0</v>
      </c>
      <c r="Q85" t="n">
        <v>0</v>
      </c>
      <c r="R85" s="2" t="inlineStr"/>
    </row>
    <row r="86" ht="15" customHeight="1">
      <c r="A86" t="inlineStr">
        <is>
          <t>A 59121-2021</t>
        </is>
      </c>
      <c r="B86" s="1" t="n">
        <v>44490</v>
      </c>
      <c r="C86" s="1" t="n">
        <v>46161</v>
      </c>
      <c r="D86" t="inlineStr">
        <is>
          <t>UPPSALA LÄN</t>
        </is>
      </c>
      <c r="E86" t="inlineStr">
        <is>
          <t>ENKÖPING</t>
        </is>
      </c>
      <c r="G86" t="n">
        <v>2.4</v>
      </c>
      <c r="H86" t="n">
        <v>0</v>
      </c>
      <c r="I86" t="n">
        <v>0</v>
      </c>
      <c r="J86" t="n">
        <v>0</v>
      </c>
      <c r="K86" t="n">
        <v>0</v>
      </c>
      <c r="L86" t="n">
        <v>0</v>
      </c>
      <c r="M86" t="n">
        <v>0</v>
      </c>
      <c r="N86" t="n">
        <v>0</v>
      </c>
      <c r="O86" t="n">
        <v>0</v>
      </c>
      <c r="P86" t="n">
        <v>0</v>
      </c>
      <c r="Q86" t="n">
        <v>0</v>
      </c>
      <c r="R86" s="2" t="inlineStr"/>
    </row>
    <row r="87" ht="15" customHeight="1">
      <c r="A87" t="inlineStr">
        <is>
          <t>A 57078-2021</t>
        </is>
      </c>
      <c r="B87" s="1" t="n">
        <v>44482.57855324074</v>
      </c>
      <c r="C87" s="1" t="n">
        <v>46161</v>
      </c>
      <c r="D87" t="inlineStr">
        <is>
          <t>UPPSALA LÄN</t>
        </is>
      </c>
      <c r="E87" t="inlineStr">
        <is>
          <t>ENKÖPING</t>
        </is>
      </c>
      <c r="G87" t="n">
        <v>3</v>
      </c>
      <c r="H87" t="n">
        <v>0</v>
      </c>
      <c r="I87" t="n">
        <v>0</v>
      </c>
      <c r="J87" t="n">
        <v>0</v>
      </c>
      <c r="K87" t="n">
        <v>0</v>
      </c>
      <c r="L87" t="n">
        <v>0</v>
      </c>
      <c r="M87" t="n">
        <v>0</v>
      </c>
      <c r="N87" t="n">
        <v>0</v>
      </c>
      <c r="O87" t="n">
        <v>0</v>
      </c>
      <c r="P87" t="n">
        <v>0</v>
      </c>
      <c r="Q87" t="n">
        <v>0</v>
      </c>
      <c r="R87" s="2" t="inlineStr"/>
    </row>
    <row r="88" ht="15" customHeight="1">
      <c r="A88" t="inlineStr">
        <is>
          <t>A 24815-2022</t>
        </is>
      </c>
      <c r="B88" s="1" t="n">
        <v>44728</v>
      </c>
      <c r="C88" s="1" t="n">
        <v>46161</v>
      </c>
      <c r="D88" t="inlineStr">
        <is>
          <t>UPPSALA LÄN</t>
        </is>
      </c>
      <c r="E88" t="inlineStr">
        <is>
          <t>ENKÖPING</t>
        </is>
      </c>
      <c r="G88" t="n">
        <v>1.8</v>
      </c>
      <c r="H88" t="n">
        <v>0</v>
      </c>
      <c r="I88" t="n">
        <v>0</v>
      </c>
      <c r="J88" t="n">
        <v>0</v>
      </c>
      <c r="K88" t="n">
        <v>0</v>
      </c>
      <c r="L88" t="n">
        <v>0</v>
      </c>
      <c r="M88" t="n">
        <v>0</v>
      </c>
      <c r="N88" t="n">
        <v>0</v>
      </c>
      <c r="O88" t="n">
        <v>0</v>
      </c>
      <c r="P88" t="n">
        <v>0</v>
      </c>
      <c r="Q88" t="n">
        <v>0</v>
      </c>
      <c r="R88" s="2" t="inlineStr"/>
    </row>
    <row r="89" ht="15" customHeight="1">
      <c r="A89" t="inlineStr">
        <is>
          <t>A 29983-2021</t>
        </is>
      </c>
      <c r="B89" s="1" t="n">
        <v>44363</v>
      </c>
      <c r="C89" s="1" t="n">
        <v>46161</v>
      </c>
      <c r="D89" t="inlineStr">
        <is>
          <t>UPPSALA LÄN</t>
        </is>
      </c>
      <c r="E89" t="inlineStr">
        <is>
          <t>ENKÖPING</t>
        </is>
      </c>
      <c r="F89" t="inlineStr">
        <is>
          <t>Kommuner</t>
        </is>
      </c>
      <c r="G89" t="n">
        <v>3.1</v>
      </c>
      <c r="H89" t="n">
        <v>0</v>
      </c>
      <c r="I89" t="n">
        <v>0</v>
      </c>
      <c r="J89" t="n">
        <v>0</v>
      </c>
      <c r="K89" t="n">
        <v>0</v>
      </c>
      <c r="L89" t="n">
        <v>0</v>
      </c>
      <c r="M89" t="n">
        <v>0</v>
      </c>
      <c r="N89" t="n">
        <v>0</v>
      </c>
      <c r="O89" t="n">
        <v>0</v>
      </c>
      <c r="P89" t="n">
        <v>0</v>
      </c>
      <c r="Q89" t="n">
        <v>0</v>
      </c>
      <c r="R89" s="2" t="inlineStr"/>
    </row>
    <row r="90" ht="15" customHeight="1">
      <c r="A90" t="inlineStr">
        <is>
          <t>A 50747-2022</t>
        </is>
      </c>
      <c r="B90" s="1" t="n">
        <v>44867.40162037037</v>
      </c>
      <c r="C90" s="1" t="n">
        <v>46161</v>
      </c>
      <c r="D90" t="inlineStr">
        <is>
          <t>UPPSALA LÄN</t>
        </is>
      </c>
      <c r="E90" t="inlineStr">
        <is>
          <t>ENKÖPING</t>
        </is>
      </c>
      <c r="G90" t="n">
        <v>1.5</v>
      </c>
      <c r="H90" t="n">
        <v>0</v>
      </c>
      <c r="I90" t="n">
        <v>0</v>
      </c>
      <c r="J90" t="n">
        <v>0</v>
      </c>
      <c r="K90" t="n">
        <v>0</v>
      </c>
      <c r="L90" t="n">
        <v>0</v>
      </c>
      <c r="M90" t="n">
        <v>0</v>
      </c>
      <c r="N90" t="n">
        <v>0</v>
      </c>
      <c r="O90" t="n">
        <v>0</v>
      </c>
      <c r="P90" t="n">
        <v>0</v>
      </c>
      <c r="Q90" t="n">
        <v>0</v>
      </c>
      <c r="R90" s="2" t="inlineStr"/>
    </row>
    <row r="91" ht="15" customHeight="1">
      <c r="A91" t="inlineStr">
        <is>
          <t>A 17657-2025</t>
        </is>
      </c>
      <c r="B91" s="1" t="n">
        <v>45758.35006944444</v>
      </c>
      <c r="C91" s="1" t="n">
        <v>46161</v>
      </c>
      <c r="D91" t="inlineStr">
        <is>
          <t>UPPSALA LÄN</t>
        </is>
      </c>
      <c r="E91" t="inlineStr">
        <is>
          <t>ENKÖPING</t>
        </is>
      </c>
      <c r="G91" t="n">
        <v>3</v>
      </c>
      <c r="H91" t="n">
        <v>0</v>
      </c>
      <c r="I91" t="n">
        <v>0</v>
      </c>
      <c r="J91" t="n">
        <v>0</v>
      </c>
      <c r="K91" t="n">
        <v>0</v>
      </c>
      <c r="L91" t="n">
        <v>0</v>
      </c>
      <c r="M91" t="n">
        <v>0</v>
      </c>
      <c r="N91" t="n">
        <v>0</v>
      </c>
      <c r="O91" t="n">
        <v>0</v>
      </c>
      <c r="P91" t="n">
        <v>0</v>
      </c>
      <c r="Q91" t="n">
        <v>0</v>
      </c>
      <c r="R91" s="2" t="inlineStr"/>
    </row>
    <row r="92" ht="15" customHeight="1">
      <c r="A92" t="inlineStr">
        <is>
          <t>A 49568-2022</t>
        </is>
      </c>
      <c r="B92" s="1" t="n">
        <v>44862.32791666667</v>
      </c>
      <c r="C92" s="1" t="n">
        <v>46161</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47681-2024</t>
        </is>
      </c>
      <c r="B93" s="1" t="n">
        <v>45588</v>
      </c>
      <c r="C93" s="1" t="n">
        <v>46161</v>
      </c>
      <c r="D93" t="inlineStr">
        <is>
          <t>UPPSALA LÄN</t>
        </is>
      </c>
      <c r="E93" t="inlineStr">
        <is>
          <t>ENKÖPING</t>
        </is>
      </c>
      <c r="G93" t="n">
        <v>4.2</v>
      </c>
      <c r="H93" t="n">
        <v>0</v>
      </c>
      <c r="I93" t="n">
        <v>0</v>
      </c>
      <c r="J93" t="n">
        <v>0</v>
      </c>
      <c r="K93" t="n">
        <v>0</v>
      </c>
      <c r="L93" t="n">
        <v>0</v>
      </c>
      <c r="M93" t="n">
        <v>0</v>
      </c>
      <c r="N93" t="n">
        <v>0</v>
      </c>
      <c r="O93" t="n">
        <v>0</v>
      </c>
      <c r="P93" t="n">
        <v>0</v>
      </c>
      <c r="Q93" t="n">
        <v>0</v>
      </c>
      <c r="R93" s="2" t="inlineStr"/>
    </row>
    <row r="94" ht="15" customHeight="1">
      <c r="A94" t="inlineStr">
        <is>
          <t>A 53496-2022</t>
        </is>
      </c>
      <c r="B94" s="1" t="n">
        <v>44879.57217592592</v>
      </c>
      <c r="C94" s="1" t="n">
        <v>46161</v>
      </c>
      <c r="D94" t="inlineStr">
        <is>
          <t>UPPSALA LÄN</t>
        </is>
      </c>
      <c r="E94" t="inlineStr">
        <is>
          <t>ENKÖPING</t>
        </is>
      </c>
      <c r="G94" t="n">
        <v>0.6</v>
      </c>
      <c r="H94" t="n">
        <v>0</v>
      </c>
      <c r="I94" t="n">
        <v>0</v>
      </c>
      <c r="J94" t="n">
        <v>0</v>
      </c>
      <c r="K94" t="n">
        <v>0</v>
      </c>
      <c r="L94" t="n">
        <v>0</v>
      </c>
      <c r="M94" t="n">
        <v>0</v>
      </c>
      <c r="N94" t="n">
        <v>0</v>
      </c>
      <c r="O94" t="n">
        <v>0</v>
      </c>
      <c r="P94" t="n">
        <v>0</v>
      </c>
      <c r="Q94" t="n">
        <v>0</v>
      </c>
      <c r="R94" s="2" t="inlineStr"/>
    </row>
    <row r="95" ht="15" customHeight="1">
      <c r="A95" t="inlineStr">
        <is>
          <t>A 49063-2024</t>
        </is>
      </c>
      <c r="B95" s="1" t="n">
        <v>45594.59869212963</v>
      </c>
      <c r="C95" s="1" t="n">
        <v>46161</v>
      </c>
      <c r="D95" t="inlineStr">
        <is>
          <t>UPPSALA LÄN</t>
        </is>
      </c>
      <c r="E95" t="inlineStr">
        <is>
          <t>ENKÖPING</t>
        </is>
      </c>
      <c r="G95" t="n">
        <v>1.5</v>
      </c>
      <c r="H95" t="n">
        <v>0</v>
      </c>
      <c r="I95" t="n">
        <v>0</v>
      </c>
      <c r="J95" t="n">
        <v>0</v>
      </c>
      <c r="K95" t="n">
        <v>0</v>
      </c>
      <c r="L95" t="n">
        <v>0</v>
      </c>
      <c r="M95" t="n">
        <v>0</v>
      </c>
      <c r="N95" t="n">
        <v>0</v>
      </c>
      <c r="O95" t="n">
        <v>0</v>
      </c>
      <c r="P95" t="n">
        <v>0</v>
      </c>
      <c r="Q95" t="n">
        <v>0</v>
      </c>
      <c r="R95" s="2" t="inlineStr"/>
    </row>
    <row r="96" ht="15" customHeight="1">
      <c r="A96" t="inlineStr">
        <is>
          <t>A 13853-2023</t>
        </is>
      </c>
      <c r="B96" s="1" t="n">
        <v>45007</v>
      </c>
      <c r="C96" s="1" t="n">
        <v>46161</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21017-2023</t>
        </is>
      </c>
      <c r="B97" s="1" t="n">
        <v>45061</v>
      </c>
      <c r="C97" s="1" t="n">
        <v>46161</v>
      </c>
      <c r="D97" t="inlineStr">
        <is>
          <t>UPPSALA LÄN</t>
        </is>
      </c>
      <c r="E97" t="inlineStr">
        <is>
          <t>ENKÖPING</t>
        </is>
      </c>
      <c r="G97" t="n">
        <v>4.8</v>
      </c>
      <c r="H97" t="n">
        <v>0</v>
      </c>
      <c r="I97" t="n">
        <v>0</v>
      </c>
      <c r="J97" t="n">
        <v>0</v>
      </c>
      <c r="K97" t="n">
        <v>0</v>
      </c>
      <c r="L97" t="n">
        <v>0</v>
      </c>
      <c r="M97" t="n">
        <v>0</v>
      </c>
      <c r="N97" t="n">
        <v>0</v>
      </c>
      <c r="O97" t="n">
        <v>0</v>
      </c>
      <c r="P97" t="n">
        <v>0</v>
      </c>
      <c r="Q97" t="n">
        <v>0</v>
      </c>
      <c r="R97" s="2" t="inlineStr"/>
    </row>
    <row r="98" ht="15" customHeight="1">
      <c r="A98" t="inlineStr">
        <is>
          <t>A 15942-2022</t>
        </is>
      </c>
      <c r="B98" s="1" t="n">
        <v>44664</v>
      </c>
      <c r="C98" s="1" t="n">
        <v>46161</v>
      </c>
      <c r="D98" t="inlineStr">
        <is>
          <t>UPPSALA LÄN</t>
        </is>
      </c>
      <c r="E98" t="inlineStr">
        <is>
          <t>ENKÖPING</t>
        </is>
      </c>
      <c r="G98" t="n">
        <v>6.6</v>
      </c>
      <c r="H98" t="n">
        <v>0</v>
      </c>
      <c r="I98" t="n">
        <v>0</v>
      </c>
      <c r="J98" t="n">
        <v>0</v>
      </c>
      <c r="K98" t="n">
        <v>0</v>
      </c>
      <c r="L98" t="n">
        <v>0</v>
      </c>
      <c r="M98" t="n">
        <v>0</v>
      </c>
      <c r="N98" t="n">
        <v>0</v>
      </c>
      <c r="O98" t="n">
        <v>0</v>
      </c>
      <c r="P98" t="n">
        <v>0</v>
      </c>
      <c r="Q98" t="n">
        <v>0</v>
      </c>
      <c r="R98" s="2" t="inlineStr"/>
    </row>
    <row r="99" ht="15" customHeight="1">
      <c r="A99" t="inlineStr">
        <is>
          <t>A 2974-2025</t>
        </is>
      </c>
      <c r="B99" s="1" t="n">
        <v>45678.47168981482</v>
      </c>
      <c r="C99" s="1" t="n">
        <v>46161</v>
      </c>
      <c r="D99" t="inlineStr">
        <is>
          <t>UPPSALA LÄN</t>
        </is>
      </c>
      <c r="E99" t="inlineStr">
        <is>
          <t>ENKÖPING</t>
        </is>
      </c>
      <c r="G99" t="n">
        <v>1.6</v>
      </c>
      <c r="H99" t="n">
        <v>0</v>
      </c>
      <c r="I99" t="n">
        <v>0</v>
      </c>
      <c r="J99" t="n">
        <v>0</v>
      </c>
      <c r="K99" t="n">
        <v>0</v>
      </c>
      <c r="L99" t="n">
        <v>0</v>
      </c>
      <c r="M99" t="n">
        <v>0</v>
      </c>
      <c r="N99" t="n">
        <v>0</v>
      </c>
      <c r="O99" t="n">
        <v>0</v>
      </c>
      <c r="P99" t="n">
        <v>0</v>
      </c>
      <c r="Q99" t="n">
        <v>0</v>
      </c>
      <c r="R99" s="2" t="inlineStr"/>
    </row>
    <row r="100" ht="15" customHeight="1">
      <c r="A100" t="inlineStr">
        <is>
          <t>A 44131-2023</t>
        </is>
      </c>
      <c r="B100" s="1" t="n">
        <v>45188</v>
      </c>
      <c r="C100" s="1" t="n">
        <v>46161</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39439-2025</t>
        </is>
      </c>
      <c r="B101" s="1" t="n">
        <v>45889</v>
      </c>
      <c r="C101" s="1" t="n">
        <v>46161</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48678-2025</t>
        </is>
      </c>
      <c r="B102" s="1" t="n">
        <v>45936.59168981481</v>
      </c>
      <c r="C102" s="1" t="n">
        <v>46161</v>
      </c>
      <c r="D102" t="inlineStr">
        <is>
          <t>UPPSALA LÄN</t>
        </is>
      </c>
      <c r="E102" t="inlineStr">
        <is>
          <t>ENKÖPING</t>
        </is>
      </c>
      <c r="G102" t="n">
        <v>1.6</v>
      </c>
      <c r="H102" t="n">
        <v>0</v>
      </c>
      <c r="I102" t="n">
        <v>0</v>
      </c>
      <c r="J102" t="n">
        <v>0</v>
      </c>
      <c r="K102" t="n">
        <v>0</v>
      </c>
      <c r="L102" t="n">
        <v>0</v>
      </c>
      <c r="M102" t="n">
        <v>0</v>
      </c>
      <c r="N102" t="n">
        <v>0</v>
      </c>
      <c r="O102" t="n">
        <v>0</v>
      </c>
      <c r="P102" t="n">
        <v>0</v>
      </c>
      <c r="Q102" t="n">
        <v>0</v>
      </c>
      <c r="R102" s="2" t="inlineStr"/>
    </row>
    <row r="103" ht="15" customHeight="1">
      <c r="A103" t="inlineStr">
        <is>
          <t>A 60533-2021</t>
        </is>
      </c>
      <c r="B103" s="1" t="n">
        <v>44496</v>
      </c>
      <c r="C103" s="1" t="n">
        <v>46161</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48423-2025</t>
        </is>
      </c>
      <c r="B104" s="1" t="n">
        <v>45934.68024305555</v>
      </c>
      <c r="C104" s="1" t="n">
        <v>46161</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48424-2025</t>
        </is>
      </c>
      <c r="B105" s="1" t="n">
        <v>45934.69131944444</v>
      </c>
      <c r="C105" s="1" t="n">
        <v>46161</v>
      </c>
      <c r="D105" t="inlineStr">
        <is>
          <t>UPPSALA LÄN</t>
        </is>
      </c>
      <c r="E105" t="inlineStr">
        <is>
          <t>ENKÖPING</t>
        </is>
      </c>
      <c r="G105" t="n">
        <v>0.6</v>
      </c>
      <c r="H105" t="n">
        <v>0</v>
      </c>
      <c r="I105" t="n">
        <v>0</v>
      </c>
      <c r="J105" t="n">
        <v>0</v>
      </c>
      <c r="K105" t="n">
        <v>0</v>
      </c>
      <c r="L105" t="n">
        <v>0</v>
      </c>
      <c r="M105" t="n">
        <v>0</v>
      </c>
      <c r="N105" t="n">
        <v>0</v>
      </c>
      <c r="O105" t="n">
        <v>0</v>
      </c>
      <c r="P105" t="n">
        <v>0</v>
      </c>
      <c r="Q105" t="n">
        <v>0</v>
      </c>
      <c r="R105" s="2" t="inlineStr"/>
    </row>
    <row r="106" ht="15" customHeight="1">
      <c r="A106" t="inlineStr">
        <is>
          <t>A 27786-2023</t>
        </is>
      </c>
      <c r="B106" s="1" t="n">
        <v>45098</v>
      </c>
      <c r="C106" s="1" t="n">
        <v>46161</v>
      </c>
      <c r="D106" t="inlineStr">
        <is>
          <t>UPPSALA LÄN</t>
        </is>
      </c>
      <c r="E106" t="inlineStr">
        <is>
          <t>ENKÖPING</t>
        </is>
      </c>
      <c r="G106" t="n">
        <v>0.6</v>
      </c>
      <c r="H106" t="n">
        <v>0</v>
      </c>
      <c r="I106" t="n">
        <v>0</v>
      </c>
      <c r="J106" t="n">
        <v>0</v>
      </c>
      <c r="K106" t="n">
        <v>0</v>
      </c>
      <c r="L106" t="n">
        <v>0</v>
      </c>
      <c r="M106" t="n">
        <v>0</v>
      </c>
      <c r="N106" t="n">
        <v>0</v>
      </c>
      <c r="O106" t="n">
        <v>0</v>
      </c>
      <c r="P106" t="n">
        <v>0</v>
      </c>
      <c r="Q106" t="n">
        <v>0</v>
      </c>
      <c r="R106" s="2" t="inlineStr"/>
    </row>
    <row r="107" ht="15" customHeight="1">
      <c r="A107" t="inlineStr">
        <is>
          <t>A 35052-2024</t>
        </is>
      </c>
      <c r="B107" s="1" t="n">
        <v>45527.6516087963</v>
      </c>
      <c r="C107" s="1" t="n">
        <v>46161</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49073-2025</t>
        </is>
      </c>
      <c r="B108" s="1" t="n">
        <v>45937.65512731481</v>
      </c>
      <c r="C108" s="1" t="n">
        <v>46161</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51008-2024</t>
        </is>
      </c>
      <c r="B109" s="1" t="n">
        <v>45603.39041666667</v>
      </c>
      <c r="C109" s="1" t="n">
        <v>46161</v>
      </c>
      <c r="D109" t="inlineStr">
        <is>
          <t>UPPSALA LÄN</t>
        </is>
      </c>
      <c r="E109" t="inlineStr">
        <is>
          <t>ENKÖPING</t>
        </is>
      </c>
      <c r="G109" t="n">
        <v>2.4</v>
      </c>
      <c r="H109" t="n">
        <v>0</v>
      </c>
      <c r="I109" t="n">
        <v>0</v>
      </c>
      <c r="J109" t="n">
        <v>0</v>
      </c>
      <c r="K109" t="n">
        <v>0</v>
      </c>
      <c r="L109" t="n">
        <v>0</v>
      </c>
      <c r="M109" t="n">
        <v>0</v>
      </c>
      <c r="N109" t="n">
        <v>0</v>
      </c>
      <c r="O109" t="n">
        <v>0</v>
      </c>
      <c r="P109" t="n">
        <v>0</v>
      </c>
      <c r="Q109" t="n">
        <v>0</v>
      </c>
      <c r="R109" s="2" t="inlineStr"/>
    </row>
    <row r="110" ht="15" customHeight="1">
      <c r="A110" t="inlineStr">
        <is>
          <t>A 48864-2022</t>
        </is>
      </c>
      <c r="B110" s="1" t="n">
        <v>44859</v>
      </c>
      <c r="C110" s="1" t="n">
        <v>46161</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6242-2025</t>
        </is>
      </c>
      <c r="B111" s="1" t="n">
        <v>45697</v>
      </c>
      <c r="C111" s="1" t="n">
        <v>46161</v>
      </c>
      <c r="D111" t="inlineStr">
        <is>
          <t>UPPSALA LÄN</t>
        </is>
      </c>
      <c r="E111" t="inlineStr">
        <is>
          <t>ENKÖPING</t>
        </is>
      </c>
      <c r="G111" t="n">
        <v>17.9</v>
      </c>
      <c r="H111" t="n">
        <v>0</v>
      </c>
      <c r="I111" t="n">
        <v>0</v>
      </c>
      <c r="J111" t="n">
        <v>0</v>
      </c>
      <c r="K111" t="n">
        <v>0</v>
      </c>
      <c r="L111" t="n">
        <v>0</v>
      </c>
      <c r="M111" t="n">
        <v>0</v>
      </c>
      <c r="N111" t="n">
        <v>0</v>
      </c>
      <c r="O111" t="n">
        <v>0</v>
      </c>
      <c r="P111" t="n">
        <v>0</v>
      </c>
      <c r="Q111" t="n">
        <v>0</v>
      </c>
      <c r="R111" s="2" t="inlineStr"/>
    </row>
    <row r="112" ht="15" customHeight="1">
      <c r="A112" t="inlineStr">
        <is>
          <t>A 42459-2024</t>
        </is>
      </c>
      <c r="B112" s="1" t="n">
        <v>45565</v>
      </c>
      <c r="C112" s="1" t="n">
        <v>46161</v>
      </c>
      <c r="D112" t="inlineStr">
        <is>
          <t>UPPSALA LÄN</t>
        </is>
      </c>
      <c r="E112" t="inlineStr">
        <is>
          <t>ENKÖPING</t>
        </is>
      </c>
      <c r="G112" t="n">
        <v>3.6</v>
      </c>
      <c r="H112" t="n">
        <v>0</v>
      </c>
      <c r="I112" t="n">
        <v>0</v>
      </c>
      <c r="J112" t="n">
        <v>0</v>
      </c>
      <c r="K112" t="n">
        <v>0</v>
      </c>
      <c r="L112" t="n">
        <v>0</v>
      </c>
      <c r="M112" t="n">
        <v>0</v>
      </c>
      <c r="N112" t="n">
        <v>0</v>
      </c>
      <c r="O112" t="n">
        <v>0</v>
      </c>
      <c r="P112" t="n">
        <v>0</v>
      </c>
      <c r="Q112" t="n">
        <v>0</v>
      </c>
      <c r="R112" s="2" t="inlineStr"/>
    </row>
    <row r="113" ht="15" customHeight="1">
      <c r="A113" t="inlineStr">
        <is>
          <t>A 10468-2025</t>
        </is>
      </c>
      <c r="B113" s="1" t="n">
        <v>45720</v>
      </c>
      <c r="C113" s="1" t="n">
        <v>46161</v>
      </c>
      <c r="D113" t="inlineStr">
        <is>
          <t>UPPSALA LÄN</t>
        </is>
      </c>
      <c r="E113" t="inlineStr">
        <is>
          <t>ENKÖPING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56176-2021</t>
        </is>
      </c>
      <c r="B114" s="1" t="n">
        <v>44477</v>
      </c>
      <c r="C114" s="1" t="n">
        <v>46161</v>
      </c>
      <c r="D114" t="inlineStr">
        <is>
          <t>UPPSALA LÄN</t>
        </is>
      </c>
      <c r="E114" t="inlineStr">
        <is>
          <t>ENKÖPING</t>
        </is>
      </c>
      <c r="G114" t="n">
        <v>2.9</v>
      </c>
      <c r="H114" t="n">
        <v>0</v>
      </c>
      <c r="I114" t="n">
        <v>0</v>
      </c>
      <c r="J114" t="n">
        <v>0</v>
      </c>
      <c r="K114" t="n">
        <v>0</v>
      </c>
      <c r="L114" t="n">
        <v>0</v>
      </c>
      <c r="M114" t="n">
        <v>0</v>
      </c>
      <c r="N114" t="n">
        <v>0</v>
      </c>
      <c r="O114" t="n">
        <v>0</v>
      </c>
      <c r="P114" t="n">
        <v>0</v>
      </c>
      <c r="Q114" t="n">
        <v>0</v>
      </c>
      <c r="R114" s="2" t="inlineStr"/>
    </row>
    <row r="115" ht="15" customHeight="1">
      <c r="A115" t="inlineStr">
        <is>
          <t>A 5211-2024</t>
        </is>
      </c>
      <c r="B115" s="1" t="n">
        <v>45330</v>
      </c>
      <c r="C115" s="1" t="n">
        <v>46161</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10409-2025</t>
        </is>
      </c>
      <c r="B116" s="1" t="n">
        <v>45720.631875</v>
      </c>
      <c r="C116" s="1" t="n">
        <v>46161</v>
      </c>
      <c r="D116" t="inlineStr">
        <is>
          <t>UPPSALA LÄN</t>
        </is>
      </c>
      <c r="E116" t="inlineStr">
        <is>
          <t>ENKÖPING</t>
        </is>
      </c>
      <c r="G116" t="n">
        <v>2.2</v>
      </c>
      <c r="H116" t="n">
        <v>0</v>
      </c>
      <c r="I116" t="n">
        <v>0</v>
      </c>
      <c r="J116" t="n">
        <v>0</v>
      </c>
      <c r="K116" t="n">
        <v>0</v>
      </c>
      <c r="L116" t="n">
        <v>0</v>
      </c>
      <c r="M116" t="n">
        <v>0</v>
      </c>
      <c r="N116" t="n">
        <v>0</v>
      </c>
      <c r="O116" t="n">
        <v>0</v>
      </c>
      <c r="P116" t="n">
        <v>0</v>
      </c>
      <c r="Q116" t="n">
        <v>0</v>
      </c>
      <c r="R116" s="2" t="inlineStr"/>
    </row>
    <row r="117" ht="15" customHeight="1">
      <c r="A117" t="inlineStr">
        <is>
          <t>A 18299-2025</t>
        </is>
      </c>
      <c r="B117" s="1" t="n">
        <v>45762</v>
      </c>
      <c r="C117" s="1" t="n">
        <v>46161</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43103-2025</t>
        </is>
      </c>
      <c r="B118" s="1" t="n">
        <v>45909</v>
      </c>
      <c r="C118" s="1" t="n">
        <v>46161</v>
      </c>
      <c r="D118" t="inlineStr">
        <is>
          <t>UPPSALA LÄN</t>
        </is>
      </c>
      <c r="E118" t="inlineStr">
        <is>
          <t>ENKÖPING</t>
        </is>
      </c>
      <c r="G118" t="n">
        <v>2.3</v>
      </c>
      <c r="H118" t="n">
        <v>0</v>
      </c>
      <c r="I118" t="n">
        <v>0</v>
      </c>
      <c r="J118" t="n">
        <v>0</v>
      </c>
      <c r="K118" t="n">
        <v>0</v>
      </c>
      <c r="L118" t="n">
        <v>0</v>
      </c>
      <c r="M118" t="n">
        <v>0</v>
      </c>
      <c r="N118" t="n">
        <v>0</v>
      </c>
      <c r="O118" t="n">
        <v>0</v>
      </c>
      <c r="P118" t="n">
        <v>0</v>
      </c>
      <c r="Q118" t="n">
        <v>0</v>
      </c>
      <c r="R118" s="2" t="inlineStr"/>
    </row>
    <row r="119" ht="15" customHeight="1">
      <c r="A119" t="inlineStr">
        <is>
          <t>A 21686-2022</t>
        </is>
      </c>
      <c r="B119" s="1" t="n">
        <v>44707</v>
      </c>
      <c r="C119" s="1" t="n">
        <v>46161</v>
      </c>
      <c r="D119" t="inlineStr">
        <is>
          <t>UPPSALA LÄN</t>
        </is>
      </c>
      <c r="E119" t="inlineStr">
        <is>
          <t>ENKÖPING</t>
        </is>
      </c>
      <c r="G119" t="n">
        <v>2.2</v>
      </c>
      <c r="H119" t="n">
        <v>0</v>
      </c>
      <c r="I119" t="n">
        <v>0</v>
      </c>
      <c r="J119" t="n">
        <v>0</v>
      </c>
      <c r="K119" t="n">
        <v>0</v>
      </c>
      <c r="L119" t="n">
        <v>0</v>
      </c>
      <c r="M119" t="n">
        <v>0</v>
      </c>
      <c r="N119" t="n">
        <v>0</v>
      </c>
      <c r="O119" t="n">
        <v>0</v>
      </c>
      <c r="P119" t="n">
        <v>0</v>
      </c>
      <c r="Q119" t="n">
        <v>0</v>
      </c>
      <c r="R119" s="2" t="inlineStr"/>
    </row>
    <row r="120" ht="15" customHeight="1">
      <c r="A120" t="inlineStr">
        <is>
          <t>A 18831-2023</t>
        </is>
      </c>
      <c r="B120" s="1" t="n">
        <v>45044.40798611111</v>
      </c>
      <c r="C120" s="1" t="n">
        <v>46161</v>
      </c>
      <c r="D120" t="inlineStr">
        <is>
          <t>UPPSALA LÄN</t>
        </is>
      </c>
      <c r="E120" t="inlineStr">
        <is>
          <t>ENKÖPING</t>
        </is>
      </c>
      <c r="G120" t="n">
        <v>4.3</v>
      </c>
      <c r="H120" t="n">
        <v>0</v>
      </c>
      <c r="I120" t="n">
        <v>0</v>
      </c>
      <c r="J120" t="n">
        <v>0</v>
      </c>
      <c r="K120" t="n">
        <v>0</v>
      </c>
      <c r="L120" t="n">
        <v>0</v>
      </c>
      <c r="M120" t="n">
        <v>0</v>
      </c>
      <c r="N120" t="n">
        <v>0</v>
      </c>
      <c r="O120" t="n">
        <v>0</v>
      </c>
      <c r="P120" t="n">
        <v>0</v>
      </c>
      <c r="Q120" t="n">
        <v>0</v>
      </c>
      <c r="R120" s="2" t="inlineStr"/>
    </row>
    <row r="121" ht="15" customHeight="1">
      <c r="A121" t="inlineStr">
        <is>
          <t>A 69344-2021</t>
        </is>
      </c>
      <c r="B121" s="1" t="n">
        <v>44531</v>
      </c>
      <c r="C121" s="1" t="n">
        <v>46161</v>
      </c>
      <c r="D121" t="inlineStr">
        <is>
          <t>UPPSALA LÄN</t>
        </is>
      </c>
      <c r="E121" t="inlineStr">
        <is>
          <t>ENKÖPING</t>
        </is>
      </c>
      <c r="G121" t="n">
        <v>2.9</v>
      </c>
      <c r="H121" t="n">
        <v>0</v>
      </c>
      <c r="I121" t="n">
        <v>0</v>
      </c>
      <c r="J121" t="n">
        <v>0</v>
      </c>
      <c r="K121" t="n">
        <v>0</v>
      </c>
      <c r="L121" t="n">
        <v>0</v>
      </c>
      <c r="M121" t="n">
        <v>0</v>
      </c>
      <c r="N121" t="n">
        <v>0</v>
      </c>
      <c r="O121" t="n">
        <v>0</v>
      </c>
      <c r="P121" t="n">
        <v>0</v>
      </c>
      <c r="Q121" t="n">
        <v>0</v>
      </c>
      <c r="R121" s="2" t="inlineStr"/>
    </row>
    <row r="122" ht="15" customHeight="1">
      <c r="A122" t="inlineStr">
        <is>
          <t>A 6172-2023</t>
        </is>
      </c>
      <c r="B122" s="1" t="n">
        <v>44964.68663194445</v>
      </c>
      <c r="C122" s="1" t="n">
        <v>46161</v>
      </c>
      <c r="D122" t="inlineStr">
        <is>
          <t>UPPSALA LÄN</t>
        </is>
      </c>
      <c r="E122" t="inlineStr">
        <is>
          <t>ENKÖPING</t>
        </is>
      </c>
      <c r="G122" t="n">
        <v>2.6</v>
      </c>
      <c r="H122" t="n">
        <v>0</v>
      </c>
      <c r="I122" t="n">
        <v>0</v>
      </c>
      <c r="J122" t="n">
        <v>0</v>
      </c>
      <c r="K122" t="n">
        <v>0</v>
      </c>
      <c r="L122" t="n">
        <v>0</v>
      </c>
      <c r="M122" t="n">
        <v>0</v>
      </c>
      <c r="N122" t="n">
        <v>0</v>
      </c>
      <c r="O122" t="n">
        <v>0</v>
      </c>
      <c r="P122" t="n">
        <v>0</v>
      </c>
      <c r="Q122" t="n">
        <v>0</v>
      </c>
      <c r="R122" s="2" t="inlineStr"/>
    </row>
    <row r="123" ht="15" customHeight="1">
      <c r="A123" t="inlineStr">
        <is>
          <t>A 14402-2023</t>
        </is>
      </c>
      <c r="B123" s="1" t="n">
        <v>45012</v>
      </c>
      <c r="C123" s="1" t="n">
        <v>46161</v>
      </c>
      <c r="D123" t="inlineStr">
        <is>
          <t>UPPSALA LÄN</t>
        </is>
      </c>
      <c r="E123" t="inlineStr">
        <is>
          <t>ENKÖPING</t>
        </is>
      </c>
      <c r="G123" t="n">
        <v>9.5</v>
      </c>
      <c r="H123" t="n">
        <v>0</v>
      </c>
      <c r="I123" t="n">
        <v>0</v>
      </c>
      <c r="J123" t="n">
        <v>0</v>
      </c>
      <c r="K123" t="n">
        <v>0</v>
      </c>
      <c r="L123" t="n">
        <v>0</v>
      </c>
      <c r="M123" t="n">
        <v>0</v>
      </c>
      <c r="N123" t="n">
        <v>0</v>
      </c>
      <c r="O123" t="n">
        <v>0</v>
      </c>
      <c r="P123" t="n">
        <v>0</v>
      </c>
      <c r="Q123" t="n">
        <v>0</v>
      </c>
      <c r="R123" s="2" t="inlineStr"/>
    </row>
    <row r="124" ht="15" customHeight="1">
      <c r="A124" t="inlineStr">
        <is>
          <t>A 22156-2025</t>
        </is>
      </c>
      <c r="B124" s="1" t="n">
        <v>45785.57512731481</v>
      </c>
      <c r="C124" s="1" t="n">
        <v>46161</v>
      </c>
      <c r="D124" t="inlineStr">
        <is>
          <t>UPPSALA LÄN</t>
        </is>
      </c>
      <c r="E124" t="inlineStr">
        <is>
          <t>ENKÖPING</t>
        </is>
      </c>
      <c r="G124" t="n">
        <v>0.9</v>
      </c>
      <c r="H124" t="n">
        <v>0</v>
      </c>
      <c r="I124" t="n">
        <v>0</v>
      </c>
      <c r="J124" t="n">
        <v>0</v>
      </c>
      <c r="K124" t="n">
        <v>0</v>
      </c>
      <c r="L124" t="n">
        <v>0</v>
      </c>
      <c r="M124" t="n">
        <v>0</v>
      </c>
      <c r="N124" t="n">
        <v>0</v>
      </c>
      <c r="O124" t="n">
        <v>0</v>
      </c>
      <c r="P124" t="n">
        <v>0</v>
      </c>
      <c r="Q124" t="n">
        <v>0</v>
      </c>
      <c r="R124" s="2" t="inlineStr"/>
    </row>
    <row r="125" ht="15" customHeight="1">
      <c r="A125" t="inlineStr">
        <is>
          <t>A 22150-2025</t>
        </is>
      </c>
      <c r="B125" s="1" t="n">
        <v>45785.56398148148</v>
      </c>
      <c r="C125" s="1" t="n">
        <v>46161</v>
      </c>
      <c r="D125" t="inlineStr">
        <is>
          <t>UPPSALA LÄN</t>
        </is>
      </c>
      <c r="E125" t="inlineStr">
        <is>
          <t>ENKÖPING</t>
        </is>
      </c>
      <c r="G125" t="n">
        <v>1.3</v>
      </c>
      <c r="H125" t="n">
        <v>0</v>
      </c>
      <c r="I125" t="n">
        <v>0</v>
      </c>
      <c r="J125" t="n">
        <v>0</v>
      </c>
      <c r="K125" t="n">
        <v>0</v>
      </c>
      <c r="L125" t="n">
        <v>0</v>
      </c>
      <c r="M125" t="n">
        <v>0</v>
      </c>
      <c r="N125" t="n">
        <v>0</v>
      </c>
      <c r="O125" t="n">
        <v>0</v>
      </c>
      <c r="P125" t="n">
        <v>0</v>
      </c>
      <c r="Q125" t="n">
        <v>0</v>
      </c>
      <c r="R125" s="2" t="inlineStr"/>
    </row>
    <row r="126" ht="15" customHeight="1">
      <c r="A126" t="inlineStr">
        <is>
          <t>A 49068-2025</t>
        </is>
      </c>
      <c r="B126" s="1" t="n">
        <v>45937.64766203704</v>
      </c>
      <c r="C126" s="1" t="n">
        <v>46161</v>
      </c>
      <c r="D126" t="inlineStr">
        <is>
          <t>UPPSALA LÄN</t>
        </is>
      </c>
      <c r="E126" t="inlineStr">
        <is>
          <t>ENKÖPING</t>
        </is>
      </c>
      <c r="G126" t="n">
        <v>1.8</v>
      </c>
      <c r="H126" t="n">
        <v>0</v>
      </c>
      <c r="I126" t="n">
        <v>0</v>
      </c>
      <c r="J126" t="n">
        <v>0</v>
      </c>
      <c r="K126" t="n">
        <v>0</v>
      </c>
      <c r="L126" t="n">
        <v>0</v>
      </c>
      <c r="M126" t="n">
        <v>0</v>
      </c>
      <c r="N126" t="n">
        <v>0</v>
      </c>
      <c r="O126" t="n">
        <v>0</v>
      </c>
      <c r="P126" t="n">
        <v>0</v>
      </c>
      <c r="Q126" t="n">
        <v>0</v>
      </c>
      <c r="R126" s="2" t="inlineStr"/>
    </row>
    <row r="127" ht="15" customHeight="1">
      <c r="A127" t="inlineStr">
        <is>
          <t>A 30087-2024</t>
        </is>
      </c>
      <c r="B127" s="1" t="n">
        <v>45489.39447916667</v>
      </c>
      <c r="C127" s="1" t="n">
        <v>46161</v>
      </c>
      <c r="D127" t="inlineStr">
        <is>
          <t>UPPSALA LÄN</t>
        </is>
      </c>
      <c r="E127" t="inlineStr">
        <is>
          <t>ENKÖPING</t>
        </is>
      </c>
      <c r="G127" t="n">
        <v>1.4</v>
      </c>
      <c r="H127" t="n">
        <v>0</v>
      </c>
      <c r="I127" t="n">
        <v>0</v>
      </c>
      <c r="J127" t="n">
        <v>0</v>
      </c>
      <c r="K127" t="n">
        <v>0</v>
      </c>
      <c r="L127" t="n">
        <v>0</v>
      </c>
      <c r="M127" t="n">
        <v>0</v>
      </c>
      <c r="N127" t="n">
        <v>0</v>
      </c>
      <c r="O127" t="n">
        <v>0</v>
      </c>
      <c r="P127" t="n">
        <v>0</v>
      </c>
      <c r="Q127" t="n">
        <v>0</v>
      </c>
      <c r="R127" s="2" t="inlineStr"/>
    </row>
    <row r="128" ht="15" customHeight="1">
      <c r="A128" t="inlineStr">
        <is>
          <t>A 27983-2024</t>
        </is>
      </c>
      <c r="B128" s="1" t="n">
        <v>45476</v>
      </c>
      <c r="C128" s="1" t="n">
        <v>46161</v>
      </c>
      <c r="D128" t="inlineStr">
        <is>
          <t>UPPSALA LÄN</t>
        </is>
      </c>
      <c r="E128" t="inlineStr">
        <is>
          <t>ENKÖPING</t>
        </is>
      </c>
      <c r="G128" t="n">
        <v>3.2</v>
      </c>
      <c r="H128" t="n">
        <v>0</v>
      </c>
      <c r="I128" t="n">
        <v>0</v>
      </c>
      <c r="J128" t="n">
        <v>0</v>
      </c>
      <c r="K128" t="n">
        <v>0</v>
      </c>
      <c r="L128" t="n">
        <v>0</v>
      </c>
      <c r="M128" t="n">
        <v>0</v>
      </c>
      <c r="N128" t="n">
        <v>0</v>
      </c>
      <c r="O128" t="n">
        <v>0</v>
      </c>
      <c r="P128" t="n">
        <v>0</v>
      </c>
      <c r="Q128" t="n">
        <v>0</v>
      </c>
      <c r="R128" s="2" t="inlineStr"/>
    </row>
    <row r="129" ht="15" customHeight="1">
      <c r="A129" t="inlineStr">
        <is>
          <t>A 54776-2024</t>
        </is>
      </c>
      <c r="B129" s="1" t="n">
        <v>45618</v>
      </c>
      <c r="C129" s="1" t="n">
        <v>46161</v>
      </c>
      <c r="D129" t="inlineStr">
        <is>
          <t>UPPSALA LÄN</t>
        </is>
      </c>
      <c r="E129" t="inlineStr">
        <is>
          <t>ENKÖPING</t>
        </is>
      </c>
      <c r="G129" t="n">
        <v>1.8</v>
      </c>
      <c r="H129" t="n">
        <v>0</v>
      </c>
      <c r="I129" t="n">
        <v>0</v>
      </c>
      <c r="J129" t="n">
        <v>0</v>
      </c>
      <c r="K129" t="n">
        <v>0</v>
      </c>
      <c r="L129" t="n">
        <v>0</v>
      </c>
      <c r="M129" t="n">
        <v>0</v>
      </c>
      <c r="N129" t="n">
        <v>0</v>
      </c>
      <c r="O129" t="n">
        <v>0</v>
      </c>
      <c r="P129" t="n">
        <v>0</v>
      </c>
      <c r="Q129" t="n">
        <v>0</v>
      </c>
      <c r="R129" s="2" t="inlineStr"/>
    </row>
    <row r="130" ht="15" customHeight="1">
      <c r="A130" t="inlineStr">
        <is>
          <t>A 22729-2025</t>
        </is>
      </c>
      <c r="B130" s="1" t="n">
        <v>45789.57790509259</v>
      </c>
      <c r="C130" s="1" t="n">
        <v>46161</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14518-2025</t>
        </is>
      </c>
      <c r="B131" s="1" t="n">
        <v>45741</v>
      </c>
      <c r="C131" s="1" t="n">
        <v>46161</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22677-2025</t>
        </is>
      </c>
      <c r="B132" s="1" t="n">
        <v>45789.49515046296</v>
      </c>
      <c r="C132" s="1" t="n">
        <v>46161</v>
      </c>
      <c r="D132" t="inlineStr">
        <is>
          <t>UPPSALA LÄN</t>
        </is>
      </c>
      <c r="E132" t="inlineStr">
        <is>
          <t>ENKÖPING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22679-2025</t>
        </is>
      </c>
      <c r="B133" s="1" t="n">
        <v>45789.49747685185</v>
      </c>
      <c r="C133" s="1" t="n">
        <v>46161</v>
      </c>
      <c r="D133" t="inlineStr">
        <is>
          <t>UPPSALA LÄN</t>
        </is>
      </c>
      <c r="E133" t="inlineStr">
        <is>
          <t>ENKÖPING</t>
        </is>
      </c>
      <c r="G133" t="n">
        <v>1.1</v>
      </c>
      <c r="H133" t="n">
        <v>0</v>
      </c>
      <c r="I133" t="n">
        <v>0</v>
      </c>
      <c r="J133" t="n">
        <v>0</v>
      </c>
      <c r="K133" t="n">
        <v>0</v>
      </c>
      <c r="L133" t="n">
        <v>0</v>
      </c>
      <c r="M133" t="n">
        <v>0</v>
      </c>
      <c r="N133" t="n">
        <v>0</v>
      </c>
      <c r="O133" t="n">
        <v>0</v>
      </c>
      <c r="P133" t="n">
        <v>0</v>
      </c>
      <c r="Q133" t="n">
        <v>0</v>
      </c>
      <c r="R133" s="2" t="inlineStr"/>
    </row>
    <row r="134" ht="15" customHeight="1">
      <c r="A134" t="inlineStr">
        <is>
          <t>A 22770-2025</t>
        </is>
      </c>
      <c r="B134" s="1" t="n">
        <v>45789.63454861111</v>
      </c>
      <c r="C134" s="1" t="n">
        <v>46161</v>
      </c>
      <c r="D134" t="inlineStr">
        <is>
          <t>UPPSALA LÄN</t>
        </is>
      </c>
      <c r="E134" t="inlineStr">
        <is>
          <t>ENKÖPING</t>
        </is>
      </c>
      <c r="G134" t="n">
        <v>4.5</v>
      </c>
      <c r="H134" t="n">
        <v>0</v>
      </c>
      <c r="I134" t="n">
        <v>0</v>
      </c>
      <c r="J134" t="n">
        <v>0</v>
      </c>
      <c r="K134" t="n">
        <v>0</v>
      </c>
      <c r="L134" t="n">
        <v>0</v>
      </c>
      <c r="M134" t="n">
        <v>0</v>
      </c>
      <c r="N134" t="n">
        <v>0</v>
      </c>
      <c r="O134" t="n">
        <v>0</v>
      </c>
      <c r="P134" t="n">
        <v>0</v>
      </c>
      <c r="Q134" t="n">
        <v>0</v>
      </c>
      <c r="R134" s="2" t="inlineStr"/>
    </row>
    <row r="135" ht="15" customHeight="1">
      <c r="A135" t="inlineStr">
        <is>
          <t>A 22800-2025</t>
        </is>
      </c>
      <c r="B135" s="1" t="n">
        <v>45789.6669212963</v>
      </c>
      <c r="C135" s="1" t="n">
        <v>46161</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6981-2025</t>
        </is>
      </c>
      <c r="B136" s="1" t="n">
        <v>45701</v>
      </c>
      <c r="C136" s="1" t="n">
        <v>46161</v>
      </c>
      <c r="D136" t="inlineStr">
        <is>
          <t>UPPSALA LÄN</t>
        </is>
      </c>
      <c r="E136" t="inlineStr">
        <is>
          <t>ENKÖPING</t>
        </is>
      </c>
      <c r="G136" t="n">
        <v>0.9</v>
      </c>
      <c r="H136" t="n">
        <v>0</v>
      </c>
      <c r="I136" t="n">
        <v>0</v>
      </c>
      <c r="J136" t="n">
        <v>0</v>
      </c>
      <c r="K136" t="n">
        <v>0</v>
      </c>
      <c r="L136" t="n">
        <v>0</v>
      </c>
      <c r="M136" t="n">
        <v>0</v>
      </c>
      <c r="N136" t="n">
        <v>0</v>
      </c>
      <c r="O136" t="n">
        <v>0</v>
      </c>
      <c r="P136" t="n">
        <v>0</v>
      </c>
      <c r="Q136" t="n">
        <v>0</v>
      </c>
      <c r="R136" s="2" t="inlineStr"/>
    </row>
    <row r="137" ht="15" customHeight="1">
      <c r="A137" t="inlineStr">
        <is>
          <t>A 19298-2023</t>
        </is>
      </c>
      <c r="B137" s="1" t="n">
        <v>45048</v>
      </c>
      <c r="C137" s="1" t="n">
        <v>46161</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22786-2025</t>
        </is>
      </c>
      <c r="B138" s="1" t="n">
        <v>45789.64643518518</v>
      </c>
      <c r="C138" s="1" t="n">
        <v>46161</v>
      </c>
      <c r="D138" t="inlineStr">
        <is>
          <t>UPPSALA LÄN</t>
        </is>
      </c>
      <c r="E138" t="inlineStr">
        <is>
          <t>ENKÖPING</t>
        </is>
      </c>
      <c r="G138" t="n">
        <v>0.9</v>
      </c>
      <c r="H138" t="n">
        <v>0</v>
      </c>
      <c r="I138" t="n">
        <v>0</v>
      </c>
      <c r="J138" t="n">
        <v>0</v>
      </c>
      <c r="K138" t="n">
        <v>0</v>
      </c>
      <c r="L138" t="n">
        <v>0</v>
      </c>
      <c r="M138" t="n">
        <v>0</v>
      </c>
      <c r="N138" t="n">
        <v>0</v>
      </c>
      <c r="O138" t="n">
        <v>0</v>
      </c>
      <c r="P138" t="n">
        <v>0</v>
      </c>
      <c r="Q138" t="n">
        <v>0</v>
      </c>
      <c r="R138" s="2" t="inlineStr"/>
    </row>
    <row r="139" ht="15" customHeight="1">
      <c r="A139" t="inlineStr">
        <is>
          <t>A 68123-2021</t>
        </is>
      </c>
      <c r="B139" s="1" t="n">
        <v>44526.39126157408</v>
      </c>
      <c r="C139" s="1" t="n">
        <v>46161</v>
      </c>
      <c r="D139" t="inlineStr">
        <is>
          <t>UPPSALA LÄN</t>
        </is>
      </c>
      <c r="E139" t="inlineStr">
        <is>
          <t>ENKÖPING</t>
        </is>
      </c>
      <c r="G139" t="n">
        <v>0.9</v>
      </c>
      <c r="H139" t="n">
        <v>0</v>
      </c>
      <c r="I139" t="n">
        <v>0</v>
      </c>
      <c r="J139" t="n">
        <v>0</v>
      </c>
      <c r="K139" t="n">
        <v>0</v>
      </c>
      <c r="L139" t="n">
        <v>0</v>
      </c>
      <c r="M139" t="n">
        <v>0</v>
      </c>
      <c r="N139" t="n">
        <v>0</v>
      </c>
      <c r="O139" t="n">
        <v>0</v>
      </c>
      <c r="P139" t="n">
        <v>0</v>
      </c>
      <c r="Q139" t="n">
        <v>0</v>
      </c>
      <c r="R139" s="2" t="inlineStr"/>
    </row>
    <row r="140" ht="15" customHeight="1">
      <c r="A140" t="inlineStr">
        <is>
          <t>A 22680-2025</t>
        </is>
      </c>
      <c r="B140" s="1" t="n">
        <v>45789.5005787037</v>
      </c>
      <c r="C140" s="1" t="n">
        <v>46161</v>
      </c>
      <c r="D140" t="inlineStr">
        <is>
          <t>UPPSALA LÄN</t>
        </is>
      </c>
      <c r="E140" t="inlineStr">
        <is>
          <t>ENKÖPING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22802-2025</t>
        </is>
      </c>
      <c r="B141" s="1" t="n">
        <v>45789.6686574074</v>
      </c>
      <c r="C141" s="1" t="n">
        <v>46161</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15939-2022</t>
        </is>
      </c>
      <c r="B142" s="1" t="n">
        <v>44664</v>
      </c>
      <c r="C142" s="1" t="n">
        <v>46161</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57153-2021</t>
        </is>
      </c>
      <c r="B143" s="1" t="n">
        <v>44482</v>
      </c>
      <c r="C143" s="1" t="n">
        <v>46161</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22793-2025</t>
        </is>
      </c>
      <c r="B144" s="1" t="n">
        <v>45789.65693287037</v>
      </c>
      <c r="C144" s="1" t="n">
        <v>46161</v>
      </c>
      <c r="D144" t="inlineStr">
        <is>
          <t>UPPSALA LÄN</t>
        </is>
      </c>
      <c r="E144" t="inlineStr">
        <is>
          <t>ENKÖPING</t>
        </is>
      </c>
      <c r="G144" t="n">
        <v>3.2</v>
      </c>
      <c r="H144" t="n">
        <v>0</v>
      </c>
      <c r="I144" t="n">
        <v>0</v>
      </c>
      <c r="J144" t="n">
        <v>0</v>
      </c>
      <c r="K144" t="n">
        <v>0</v>
      </c>
      <c r="L144" t="n">
        <v>0</v>
      </c>
      <c r="M144" t="n">
        <v>0</v>
      </c>
      <c r="N144" t="n">
        <v>0</v>
      </c>
      <c r="O144" t="n">
        <v>0</v>
      </c>
      <c r="P144" t="n">
        <v>0</v>
      </c>
      <c r="Q144" t="n">
        <v>0</v>
      </c>
      <c r="R144" s="2" t="inlineStr"/>
    </row>
    <row r="145" ht="15" customHeight="1">
      <c r="A145" t="inlineStr">
        <is>
          <t>A 22795-2025</t>
        </is>
      </c>
      <c r="B145" s="1" t="n">
        <v>45789.65944444444</v>
      </c>
      <c r="C145" s="1" t="n">
        <v>46161</v>
      </c>
      <c r="D145" t="inlineStr">
        <is>
          <t>UPPSALA LÄN</t>
        </is>
      </c>
      <c r="E145" t="inlineStr">
        <is>
          <t>ENKÖPING</t>
        </is>
      </c>
      <c r="G145" t="n">
        <v>10.4</v>
      </c>
      <c r="H145" t="n">
        <v>0</v>
      </c>
      <c r="I145" t="n">
        <v>0</v>
      </c>
      <c r="J145" t="n">
        <v>0</v>
      </c>
      <c r="K145" t="n">
        <v>0</v>
      </c>
      <c r="L145" t="n">
        <v>0</v>
      </c>
      <c r="M145" t="n">
        <v>0</v>
      </c>
      <c r="N145" t="n">
        <v>0</v>
      </c>
      <c r="O145" t="n">
        <v>0</v>
      </c>
      <c r="P145" t="n">
        <v>0</v>
      </c>
      <c r="Q145" t="n">
        <v>0</v>
      </c>
      <c r="R145" s="2" t="inlineStr"/>
    </row>
    <row r="146" ht="15" customHeight="1">
      <c r="A146" t="inlineStr">
        <is>
          <t>A 22725-2025</t>
        </is>
      </c>
      <c r="B146" s="1" t="n">
        <v>45789.57371527778</v>
      </c>
      <c r="C146" s="1" t="n">
        <v>46161</v>
      </c>
      <c r="D146" t="inlineStr">
        <is>
          <t>UPPSALA LÄN</t>
        </is>
      </c>
      <c r="E146" t="inlineStr">
        <is>
          <t>ENKÖPING</t>
        </is>
      </c>
      <c r="G146" t="n">
        <v>4.8</v>
      </c>
      <c r="H146" t="n">
        <v>0</v>
      </c>
      <c r="I146" t="n">
        <v>0</v>
      </c>
      <c r="J146" t="n">
        <v>0</v>
      </c>
      <c r="K146" t="n">
        <v>0</v>
      </c>
      <c r="L146" t="n">
        <v>0</v>
      </c>
      <c r="M146" t="n">
        <v>0</v>
      </c>
      <c r="N146" t="n">
        <v>0</v>
      </c>
      <c r="O146" t="n">
        <v>0</v>
      </c>
      <c r="P146" t="n">
        <v>0</v>
      </c>
      <c r="Q146" t="n">
        <v>0</v>
      </c>
      <c r="R146" s="2" t="inlineStr"/>
    </row>
    <row r="147" ht="15" customHeight="1">
      <c r="A147" t="inlineStr">
        <is>
          <t>A 43697-2024</t>
        </is>
      </c>
      <c r="B147" s="1" t="n">
        <v>45569</v>
      </c>
      <c r="C147" s="1" t="n">
        <v>46161</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45283-2022</t>
        </is>
      </c>
      <c r="B148" s="1" t="n">
        <v>44844</v>
      </c>
      <c r="C148" s="1" t="n">
        <v>46161</v>
      </c>
      <c r="D148" t="inlineStr">
        <is>
          <t>UPPSALA LÄN</t>
        </is>
      </c>
      <c r="E148" t="inlineStr">
        <is>
          <t>ENKÖPING</t>
        </is>
      </c>
      <c r="G148" t="n">
        <v>5.9</v>
      </c>
      <c r="H148" t="n">
        <v>0</v>
      </c>
      <c r="I148" t="n">
        <v>0</v>
      </c>
      <c r="J148" t="n">
        <v>0</v>
      </c>
      <c r="K148" t="n">
        <v>0</v>
      </c>
      <c r="L148" t="n">
        <v>0</v>
      </c>
      <c r="M148" t="n">
        <v>0</v>
      </c>
      <c r="N148" t="n">
        <v>0</v>
      </c>
      <c r="O148" t="n">
        <v>0</v>
      </c>
      <c r="P148" t="n">
        <v>0</v>
      </c>
      <c r="Q148" t="n">
        <v>0</v>
      </c>
      <c r="R148" s="2" t="inlineStr"/>
    </row>
    <row r="149" ht="15" customHeight="1">
      <c r="A149" t="inlineStr">
        <is>
          <t>A 51162-2025</t>
        </is>
      </c>
      <c r="B149" s="1" t="n">
        <v>45947.58820601852</v>
      </c>
      <c r="C149" s="1" t="n">
        <v>46161</v>
      </c>
      <c r="D149" t="inlineStr">
        <is>
          <t>UPPSALA LÄN</t>
        </is>
      </c>
      <c r="E149" t="inlineStr">
        <is>
          <t>ENKÖPING</t>
        </is>
      </c>
      <c r="G149" t="n">
        <v>3.4</v>
      </c>
      <c r="H149" t="n">
        <v>0</v>
      </c>
      <c r="I149" t="n">
        <v>0</v>
      </c>
      <c r="J149" t="n">
        <v>0</v>
      </c>
      <c r="K149" t="n">
        <v>0</v>
      </c>
      <c r="L149" t="n">
        <v>0</v>
      </c>
      <c r="M149" t="n">
        <v>0</v>
      </c>
      <c r="N149" t="n">
        <v>0</v>
      </c>
      <c r="O149" t="n">
        <v>0</v>
      </c>
      <c r="P149" t="n">
        <v>0</v>
      </c>
      <c r="Q149" t="n">
        <v>0</v>
      </c>
      <c r="R149" s="2" t="inlineStr"/>
    </row>
    <row r="150" ht="15" customHeight="1">
      <c r="A150" t="inlineStr">
        <is>
          <t>A 51133-2025</t>
        </is>
      </c>
      <c r="B150" s="1" t="n">
        <v>45947.55598379629</v>
      </c>
      <c r="C150" s="1" t="n">
        <v>46161</v>
      </c>
      <c r="D150" t="inlineStr">
        <is>
          <t>UPPSALA LÄN</t>
        </is>
      </c>
      <c r="E150" t="inlineStr">
        <is>
          <t>ENKÖPING</t>
        </is>
      </c>
      <c r="G150" t="n">
        <v>2.4</v>
      </c>
      <c r="H150" t="n">
        <v>0</v>
      </c>
      <c r="I150" t="n">
        <v>0</v>
      </c>
      <c r="J150" t="n">
        <v>0</v>
      </c>
      <c r="K150" t="n">
        <v>0</v>
      </c>
      <c r="L150" t="n">
        <v>0</v>
      </c>
      <c r="M150" t="n">
        <v>0</v>
      </c>
      <c r="N150" t="n">
        <v>0</v>
      </c>
      <c r="O150" t="n">
        <v>0</v>
      </c>
      <c r="P150" t="n">
        <v>0</v>
      </c>
      <c r="Q150" t="n">
        <v>0</v>
      </c>
      <c r="R150" s="2" t="inlineStr"/>
    </row>
    <row r="151" ht="15" customHeight="1">
      <c r="A151" t="inlineStr">
        <is>
          <t>A 41826-2024</t>
        </is>
      </c>
      <c r="B151" s="1" t="n">
        <v>45561</v>
      </c>
      <c r="C151" s="1" t="n">
        <v>46161</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39746-2025</t>
        </is>
      </c>
      <c r="B152" s="1" t="n">
        <v>45891</v>
      </c>
      <c r="C152" s="1" t="n">
        <v>46161</v>
      </c>
      <c r="D152" t="inlineStr">
        <is>
          <t>UPPSALA LÄN</t>
        </is>
      </c>
      <c r="E152" t="inlineStr">
        <is>
          <t>ENKÖPING</t>
        </is>
      </c>
      <c r="G152" t="n">
        <v>7.4</v>
      </c>
      <c r="H152" t="n">
        <v>0</v>
      </c>
      <c r="I152" t="n">
        <v>0</v>
      </c>
      <c r="J152" t="n">
        <v>0</v>
      </c>
      <c r="K152" t="n">
        <v>0</v>
      </c>
      <c r="L152" t="n">
        <v>0</v>
      </c>
      <c r="M152" t="n">
        <v>0</v>
      </c>
      <c r="N152" t="n">
        <v>0</v>
      </c>
      <c r="O152" t="n">
        <v>0</v>
      </c>
      <c r="P152" t="n">
        <v>0</v>
      </c>
      <c r="Q152" t="n">
        <v>0</v>
      </c>
      <c r="R152" s="2" t="inlineStr"/>
    </row>
    <row r="153" ht="15" customHeight="1">
      <c r="A153" t="inlineStr">
        <is>
          <t>A 22981-2025</t>
        </is>
      </c>
      <c r="B153" s="1" t="n">
        <v>45790.56964120371</v>
      </c>
      <c r="C153" s="1" t="n">
        <v>46161</v>
      </c>
      <c r="D153" t="inlineStr">
        <is>
          <t>UPPSALA LÄN</t>
        </is>
      </c>
      <c r="E153" t="inlineStr">
        <is>
          <t>ENKÖPING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42589-2022</t>
        </is>
      </c>
      <c r="B154" s="1" t="n">
        <v>44831</v>
      </c>
      <c r="C154" s="1" t="n">
        <v>46161</v>
      </c>
      <c r="D154" t="inlineStr">
        <is>
          <t>UPPSALA LÄN</t>
        </is>
      </c>
      <c r="E154" t="inlineStr">
        <is>
          <t>ENKÖPING</t>
        </is>
      </c>
      <c r="G154" t="n">
        <v>20</v>
      </c>
      <c r="H154" t="n">
        <v>0</v>
      </c>
      <c r="I154" t="n">
        <v>0</v>
      </c>
      <c r="J154" t="n">
        <v>0</v>
      </c>
      <c r="K154" t="n">
        <v>0</v>
      </c>
      <c r="L154" t="n">
        <v>0</v>
      </c>
      <c r="M154" t="n">
        <v>0</v>
      </c>
      <c r="N154" t="n">
        <v>0</v>
      </c>
      <c r="O154" t="n">
        <v>0</v>
      </c>
      <c r="P154" t="n">
        <v>0</v>
      </c>
      <c r="Q154" t="n">
        <v>0</v>
      </c>
      <c r="R154" s="2" t="inlineStr"/>
    </row>
    <row r="155" ht="15" customHeight="1">
      <c r="A155" t="inlineStr">
        <is>
          <t>A 840-2025</t>
        </is>
      </c>
      <c r="B155" s="1" t="n">
        <v>45665</v>
      </c>
      <c r="C155" s="1" t="n">
        <v>46161</v>
      </c>
      <c r="D155" t="inlineStr">
        <is>
          <t>UPPSALA LÄN</t>
        </is>
      </c>
      <c r="E155" t="inlineStr">
        <is>
          <t>ENKÖPING</t>
        </is>
      </c>
      <c r="G155" t="n">
        <v>0.9</v>
      </c>
      <c r="H155" t="n">
        <v>0</v>
      </c>
      <c r="I155" t="n">
        <v>0</v>
      </c>
      <c r="J155" t="n">
        <v>0</v>
      </c>
      <c r="K155" t="n">
        <v>0</v>
      </c>
      <c r="L155" t="n">
        <v>0</v>
      </c>
      <c r="M155" t="n">
        <v>0</v>
      </c>
      <c r="N155" t="n">
        <v>0</v>
      </c>
      <c r="O155" t="n">
        <v>0</v>
      </c>
      <c r="P155" t="n">
        <v>0</v>
      </c>
      <c r="Q155" t="n">
        <v>0</v>
      </c>
      <c r="R155" s="2" t="inlineStr"/>
    </row>
    <row r="156" ht="15" customHeight="1">
      <c r="A156" t="inlineStr">
        <is>
          <t>A 37115-2024</t>
        </is>
      </c>
      <c r="B156" s="1" t="n">
        <v>45539</v>
      </c>
      <c r="C156" s="1" t="n">
        <v>46161</v>
      </c>
      <c r="D156" t="inlineStr">
        <is>
          <t>UPPSALA LÄN</t>
        </is>
      </c>
      <c r="E156" t="inlineStr">
        <is>
          <t>ENKÖPING</t>
        </is>
      </c>
      <c r="G156" t="n">
        <v>1.8</v>
      </c>
      <c r="H156" t="n">
        <v>0</v>
      </c>
      <c r="I156" t="n">
        <v>0</v>
      </c>
      <c r="J156" t="n">
        <v>0</v>
      </c>
      <c r="K156" t="n">
        <v>0</v>
      </c>
      <c r="L156" t="n">
        <v>0</v>
      </c>
      <c r="M156" t="n">
        <v>0</v>
      </c>
      <c r="N156" t="n">
        <v>0</v>
      </c>
      <c r="O156" t="n">
        <v>0</v>
      </c>
      <c r="P156" t="n">
        <v>0</v>
      </c>
      <c r="Q156" t="n">
        <v>0</v>
      </c>
      <c r="R156" s="2" t="inlineStr"/>
    </row>
    <row r="157" ht="15" customHeight="1">
      <c r="A157" t="inlineStr">
        <is>
          <t>A 45956-2024</t>
        </is>
      </c>
      <c r="B157" s="1" t="n">
        <v>45580</v>
      </c>
      <c r="C157" s="1" t="n">
        <v>46161</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10831-2024</t>
        </is>
      </c>
      <c r="B158" s="1" t="n">
        <v>45369</v>
      </c>
      <c r="C158" s="1" t="n">
        <v>46161</v>
      </c>
      <c r="D158" t="inlineStr">
        <is>
          <t>UPPSALA LÄN</t>
        </is>
      </c>
      <c r="E158" t="inlineStr">
        <is>
          <t>ENKÖPING</t>
        </is>
      </c>
      <c r="G158" t="n">
        <v>2.9</v>
      </c>
      <c r="H158" t="n">
        <v>0</v>
      </c>
      <c r="I158" t="n">
        <v>0</v>
      </c>
      <c r="J158" t="n">
        <v>0</v>
      </c>
      <c r="K158" t="n">
        <v>0</v>
      </c>
      <c r="L158" t="n">
        <v>0</v>
      </c>
      <c r="M158" t="n">
        <v>0</v>
      </c>
      <c r="N158" t="n">
        <v>0</v>
      </c>
      <c r="O158" t="n">
        <v>0</v>
      </c>
      <c r="P158" t="n">
        <v>0</v>
      </c>
      <c r="Q158" t="n">
        <v>0</v>
      </c>
      <c r="R158" s="2" t="inlineStr"/>
    </row>
    <row r="159" ht="15" customHeight="1">
      <c r="A159" t="inlineStr">
        <is>
          <t>A 45142-2023</t>
        </is>
      </c>
      <c r="B159" s="1" t="n">
        <v>45191.4702662037</v>
      </c>
      <c r="C159" s="1" t="n">
        <v>46161</v>
      </c>
      <c r="D159" t="inlineStr">
        <is>
          <t>UPPSALA LÄN</t>
        </is>
      </c>
      <c r="E159" t="inlineStr">
        <is>
          <t>ENKÖPING</t>
        </is>
      </c>
      <c r="G159" t="n">
        <v>1.8</v>
      </c>
      <c r="H159" t="n">
        <v>0</v>
      </c>
      <c r="I159" t="n">
        <v>0</v>
      </c>
      <c r="J159" t="n">
        <v>0</v>
      </c>
      <c r="K159" t="n">
        <v>0</v>
      </c>
      <c r="L159" t="n">
        <v>0</v>
      </c>
      <c r="M159" t="n">
        <v>0</v>
      </c>
      <c r="N159" t="n">
        <v>0</v>
      </c>
      <c r="O159" t="n">
        <v>0</v>
      </c>
      <c r="P159" t="n">
        <v>0</v>
      </c>
      <c r="Q159" t="n">
        <v>0</v>
      </c>
      <c r="R159" s="2" t="inlineStr"/>
    </row>
    <row r="160" ht="15" customHeight="1">
      <c r="A160" t="inlineStr">
        <is>
          <t>A 8020-2022</t>
        </is>
      </c>
      <c r="B160" s="1" t="n">
        <v>44609</v>
      </c>
      <c r="C160" s="1" t="n">
        <v>46161</v>
      </c>
      <c r="D160" t="inlineStr">
        <is>
          <t>UPPSALA LÄN</t>
        </is>
      </c>
      <c r="E160" t="inlineStr">
        <is>
          <t>ENKÖPING</t>
        </is>
      </c>
      <c r="G160" t="n">
        <v>6</v>
      </c>
      <c r="H160" t="n">
        <v>0</v>
      </c>
      <c r="I160" t="n">
        <v>0</v>
      </c>
      <c r="J160" t="n">
        <v>0</v>
      </c>
      <c r="K160" t="n">
        <v>0</v>
      </c>
      <c r="L160" t="n">
        <v>0</v>
      </c>
      <c r="M160" t="n">
        <v>0</v>
      </c>
      <c r="N160" t="n">
        <v>0</v>
      </c>
      <c r="O160" t="n">
        <v>0</v>
      </c>
      <c r="P160" t="n">
        <v>0</v>
      </c>
      <c r="Q160" t="n">
        <v>0</v>
      </c>
      <c r="R160" s="2" t="inlineStr"/>
    </row>
    <row r="161" ht="15" customHeight="1">
      <c r="A161" t="inlineStr">
        <is>
          <t>A 74090-2021</t>
        </is>
      </c>
      <c r="B161" s="1" t="n">
        <v>44557</v>
      </c>
      <c r="C161" s="1" t="n">
        <v>46161</v>
      </c>
      <c r="D161" t="inlineStr">
        <is>
          <t>UPPSALA LÄN</t>
        </is>
      </c>
      <c r="E161" t="inlineStr">
        <is>
          <t>ENKÖPING</t>
        </is>
      </c>
      <c r="G161" t="n">
        <v>2.1</v>
      </c>
      <c r="H161" t="n">
        <v>0</v>
      </c>
      <c r="I161" t="n">
        <v>0</v>
      </c>
      <c r="J161" t="n">
        <v>0</v>
      </c>
      <c r="K161" t="n">
        <v>0</v>
      </c>
      <c r="L161" t="n">
        <v>0</v>
      </c>
      <c r="M161" t="n">
        <v>0</v>
      </c>
      <c r="N161" t="n">
        <v>0</v>
      </c>
      <c r="O161" t="n">
        <v>0</v>
      </c>
      <c r="P161" t="n">
        <v>0</v>
      </c>
      <c r="Q161" t="n">
        <v>0</v>
      </c>
      <c r="R161" s="2" t="inlineStr"/>
    </row>
    <row r="162" ht="15" customHeight="1">
      <c r="A162" t="inlineStr">
        <is>
          <t>A 11918-2025</t>
        </is>
      </c>
      <c r="B162" s="1" t="n">
        <v>45728.49331018519</v>
      </c>
      <c r="C162" s="1" t="n">
        <v>46161</v>
      </c>
      <c r="D162" t="inlineStr">
        <is>
          <t>UPPSALA LÄN</t>
        </is>
      </c>
      <c r="E162" t="inlineStr">
        <is>
          <t>ENKÖPING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34805-2024</t>
        </is>
      </c>
      <c r="B163" s="1" t="n">
        <v>45526</v>
      </c>
      <c r="C163" s="1" t="n">
        <v>46161</v>
      </c>
      <c r="D163" t="inlineStr">
        <is>
          <t>UPPSALA LÄN</t>
        </is>
      </c>
      <c r="E163" t="inlineStr">
        <is>
          <t>ENKÖPING</t>
        </is>
      </c>
      <c r="G163" t="n">
        <v>3.6</v>
      </c>
      <c r="H163" t="n">
        <v>0</v>
      </c>
      <c r="I163" t="n">
        <v>0</v>
      </c>
      <c r="J163" t="n">
        <v>0</v>
      </c>
      <c r="K163" t="n">
        <v>0</v>
      </c>
      <c r="L163" t="n">
        <v>0</v>
      </c>
      <c r="M163" t="n">
        <v>0</v>
      </c>
      <c r="N163" t="n">
        <v>0</v>
      </c>
      <c r="O163" t="n">
        <v>0</v>
      </c>
      <c r="P163" t="n">
        <v>0</v>
      </c>
      <c r="Q163" t="n">
        <v>0</v>
      </c>
      <c r="R163" s="2" t="inlineStr"/>
    </row>
    <row r="164" ht="15" customHeight="1">
      <c r="A164" t="inlineStr">
        <is>
          <t>A 17729-2023</t>
        </is>
      </c>
      <c r="B164" s="1" t="n">
        <v>45037</v>
      </c>
      <c r="C164" s="1" t="n">
        <v>46161</v>
      </c>
      <c r="D164" t="inlineStr">
        <is>
          <t>UPPSALA LÄN</t>
        </is>
      </c>
      <c r="E164" t="inlineStr">
        <is>
          <t>ENKÖPING</t>
        </is>
      </c>
      <c r="G164" t="n">
        <v>10.2</v>
      </c>
      <c r="H164" t="n">
        <v>0</v>
      </c>
      <c r="I164" t="n">
        <v>0</v>
      </c>
      <c r="J164" t="n">
        <v>0</v>
      </c>
      <c r="K164" t="n">
        <v>0</v>
      </c>
      <c r="L164" t="n">
        <v>0</v>
      </c>
      <c r="M164" t="n">
        <v>0</v>
      </c>
      <c r="N164" t="n">
        <v>0</v>
      </c>
      <c r="O164" t="n">
        <v>0</v>
      </c>
      <c r="P164" t="n">
        <v>0</v>
      </c>
      <c r="Q164" t="n">
        <v>0</v>
      </c>
      <c r="R164" s="2" t="inlineStr"/>
    </row>
    <row r="165" ht="15" customHeight="1">
      <c r="A165" t="inlineStr">
        <is>
          <t>A 31242-2024</t>
        </is>
      </c>
      <c r="B165" s="1" t="n">
        <v>45503</v>
      </c>
      <c r="C165" s="1" t="n">
        <v>46161</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5712-2025</t>
        </is>
      </c>
      <c r="B166" s="1" t="n">
        <v>45694</v>
      </c>
      <c r="C166" s="1" t="n">
        <v>46161</v>
      </c>
      <c r="D166" t="inlineStr">
        <is>
          <t>UPPSALA LÄN</t>
        </is>
      </c>
      <c r="E166" t="inlineStr">
        <is>
          <t>ENKÖPING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5749-2025</t>
        </is>
      </c>
      <c r="B167" s="1" t="n">
        <v>45694</v>
      </c>
      <c r="C167" s="1" t="n">
        <v>46161</v>
      </c>
      <c r="D167" t="inlineStr">
        <is>
          <t>UPPSALA LÄN</t>
        </is>
      </c>
      <c r="E167" t="inlineStr">
        <is>
          <t>ENKÖPING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845-2025</t>
        </is>
      </c>
      <c r="B168" s="1" t="n">
        <v>45665</v>
      </c>
      <c r="C168" s="1" t="n">
        <v>46161</v>
      </c>
      <c r="D168" t="inlineStr">
        <is>
          <t>UPPSALA LÄN</t>
        </is>
      </c>
      <c r="E168" t="inlineStr">
        <is>
          <t>ENKÖPING</t>
        </is>
      </c>
      <c r="G168" t="n">
        <v>0.7</v>
      </c>
      <c r="H168" t="n">
        <v>0</v>
      </c>
      <c r="I168" t="n">
        <v>0</v>
      </c>
      <c r="J168" t="n">
        <v>0</v>
      </c>
      <c r="K168" t="n">
        <v>0</v>
      </c>
      <c r="L168" t="n">
        <v>0</v>
      </c>
      <c r="M168" t="n">
        <v>0</v>
      </c>
      <c r="N168" t="n">
        <v>0</v>
      </c>
      <c r="O168" t="n">
        <v>0</v>
      </c>
      <c r="P168" t="n">
        <v>0</v>
      </c>
      <c r="Q168" t="n">
        <v>0</v>
      </c>
      <c r="R168" s="2" t="inlineStr"/>
    </row>
    <row r="169" ht="15" customHeight="1">
      <c r="A169" t="inlineStr">
        <is>
          <t>A 849-2025</t>
        </is>
      </c>
      <c r="B169" s="1" t="n">
        <v>45665</v>
      </c>
      <c r="C169" s="1" t="n">
        <v>46161</v>
      </c>
      <c r="D169" t="inlineStr">
        <is>
          <t>UPPSALA LÄN</t>
        </is>
      </c>
      <c r="E169" t="inlineStr">
        <is>
          <t>ENKÖPING</t>
        </is>
      </c>
      <c r="G169" t="n">
        <v>0.6</v>
      </c>
      <c r="H169" t="n">
        <v>0</v>
      </c>
      <c r="I169" t="n">
        <v>0</v>
      </c>
      <c r="J169" t="n">
        <v>0</v>
      </c>
      <c r="K169" t="n">
        <v>0</v>
      </c>
      <c r="L169" t="n">
        <v>0</v>
      </c>
      <c r="M169" t="n">
        <v>0</v>
      </c>
      <c r="N169" t="n">
        <v>0</v>
      </c>
      <c r="O169" t="n">
        <v>0</v>
      </c>
      <c r="P169" t="n">
        <v>0</v>
      </c>
      <c r="Q169" t="n">
        <v>0</v>
      </c>
      <c r="R169" s="2" t="inlineStr"/>
    </row>
    <row r="170" ht="15" customHeight="1">
      <c r="A170" t="inlineStr">
        <is>
          <t>A 314-2025</t>
        </is>
      </c>
      <c r="B170" s="1" t="n">
        <v>45656</v>
      </c>
      <c r="C170" s="1" t="n">
        <v>46161</v>
      </c>
      <c r="D170" t="inlineStr">
        <is>
          <t>UPPSALA LÄN</t>
        </is>
      </c>
      <c r="E170" t="inlineStr">
        <is>
          <t>ENKÖPING</t>
        </is>
      </c>
      <c r="G170" t="n">
        <v>9</v>
      </c>
      <c r="H170" t="n">
        <v>0</v>
      </c>
      <c r="I170" t="n">
        <v>0</v>
      </c>
      <c r="J170" t="n">
        <v>0</v>
      </c>
      <c r="K170" t="n">
        <v>0</v>
      </c>
      <c r="L170" t="n">
        <v>0</v>
      </c>
      <c r="M170" t="n">
        <v>0</v>
      </c>
      <c r="N170" t="n">
        <v>0</v>
      </c>
      <c r="O170" t="n">
        <v>0</v>
      </c>
      <c r="P170" t="n">
        <v>0</v>
      </c>
      <c r="Q170" t="n">
        <v>0</v>
      </c>
      <c r="R170" s="2" t="inlineStr"/>
    </row>
    <row r="171" ht="15" customHeight="1">
      <c r="A171" t="inlineStr">
        <is>
          <t>A 11627-2025</t>
        </is>
      </c>
      <c r="B171" s="1" t="n">
        <v>45727</v>
      </c>
      <c r="C171" s="1" t="n">
        <v>46161</v>
      </c>
      <c r="D171" t="inlineStr">
        <is>
          <t>UPPSALA LÄN</t>
        </is>
      </c>
      <c r="E171" t="inlineStr">
        <is>
          <t>ENKÖPING</t>
        </is>
      </c>
      <c r="G171" t="n">
        <v>5.5</v>
      </c>
      <c r="H171" t="n">
        <v>0</v>
      </c>
      <c r="I171" t="n">
        <v>0</v>
      </c>
      <c r="J171" t="n">
        <v>0</v>
      </c>
      <c r="K171" t="n">
        <v>0</v>
      </c>
      <c r="L171" t="n">
        <v>0</v>
      </c>
      <c r="M171" t="n">
        <v>0</v>
      </c>
      <c r="N171" t="n">
        <v>0</v>
      </c>
      <c r="O171" t="n">
        <v>0</v>
      </c>
      <c r="P171" t="n">
        <v>0</v>
      </c>
      <c r="Q171" t="n">
        <v>0</v>
      </c>
      <c r="R171" s="2" t="inlineStr"/>
    </row>
    <row r="172" ht="15" customHeight="1">
      <c r="A172" t="inlineStr">
        <is>
          <t>A 24411-2024</t>
        </is>
      </c>
      <c r="B172" s="1" t="n">
        <v>45457</v>
      </c>
      <c r="C172" s="1" t="n">
        <v>46161</v>
      </c>
      <c r="D172" t="inlineStr">
        <is>
          <t>UPPSALA LÄN</t>
        </is>
      </c>
      <c r="E172" t="inlineStr">
        <is>
          <t>ENKÖPING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41616-2025</t>
        </is>
      </c>
      <c r="B173" s="1" t="n">
        <v>45901.69684027778</v>
      </c>
      <c r="C173" s="1" t="n">
        <v>46161</v>
      </c>
      <c r="D173" t="inlineStr">
        <is>
          <t>UPPSALA LÄN</t>
        </is>
      </c>
      <c r="E173" t="inlineStr">
        <is>
          <t>ENKÖPING</t>
        </is>
      </c>
      <c r="F173" t="inlineStr">
        <is>
          <t>Allmännings- och besparingsskogar</t>
        </is>
      </c>
      <c r="G173" t="n">
        <v>17.3</v>
      </c>
      <c r="H173" t="n">
        <v>0</v>
      </c>
      <c r="I173" t="n">
        <v>0</v>
      </c>
      <c r="J173" t="n">
        <v>0</v>
      </c>
      <c r="K173" t="n">
        <v>0</v>
      </c>
      <c r="L173" t="n">
        <v>0</v>
      </c>
      <c r="M173" t="n">
        <v>0</v>
      </c>
      <c r="N173" t="n">
        <v>0</v>
      </c>
      <c r="O173" t="n">
        <v>0</v>
      </c>
      <c r="P173" t="n">
        <v>0</v>
      </c>
      <c r="Q173" t="n">
        <v>0</v>
      </c>
      <c r="R173" s="2" t="inlineStr"/>
    </row>
    <row r="174" ht="15" customHeight="1">
      <c r="A174" t="inlineStr">
        <is>
          <t>A 62158-2023</t>
        </is>
      </c>
      <c r="B174" s="1" t="n">
        <v>45267</v>
      </c>
      <c r="C174" s="1" t="n">
        <v>46161</v>
      </c>
      <c r="D174" t="inlineStr">
        <is>
          <t>UPPSALA LÄN</t>
        </is>
      </c>
      <c r="E174" t="inlineStr">
        <is>
          <t>ENKÖPING</t>
        </is>
      </c>
      <c r="G174" t="n">
        <v>1.4</v>
      </c>
      <c r="H174" t="n">
        <v>0</v>
      </c>
      <c r="I174" t="n">
        <v>0</v>
      </c>
      <c r="J174" t="n">
        <v>0</v>
      </c>
      <c r="K174" t="n">
        <v>0</v>
      </c>
      <c r="L174" t="n">
        <v>0</v>
      </c>
      <c r="M174" t="n">
        <v>0</v>
      </c>
      <c r="N174" t="n">
        <v>0</v>
      </c>
      <c r="O174" t="n">
        <v>0</v>
      </c>
      <c r="P174" t="n">
        <v>0</v>
      </c>
      <c r="Q174" t="n">
        <v>0</v>
      </c>
      <c r="R174" s="2" t="inlineStr"/>
    </row>
    <row r="175" ht="15" customHeight="1">
      <c r="A175" t="inlineStr">
        <is>
          <t>A 60350-2022</t>
        </is>
      </c>
      <c r="B175" s="1" t="n">
        <v>44910</v>
      </c>
      <c r="C175" s="1" t="n">
        <v>46161</v>
      </c>
      <c r="D175" t="inlineStr">
        <is>
          <t>UPPSALA LÄN</t>
        </is>
      </c>
      <c r="E175" t="inlineStr">
        <is>
          <t>ENKÖPING</t>
        </is>
      </c>
      <c r="F175" t="inlineStr">
        <is>
          <t>Allmännings- och besparingsskogar</t>
        </is>
      </c>
      <c r="G175" t="n">
        <v>3.5</v>
      </c>
      <c r="H175" t="n">
        <v>0</v>
      </c>
      <c r="I175" t="n">
        <v>0</v>
      </c>
      <c r="J175" t="n">
        <v>0</v>
      </c>
      <c r="K175" t="n">
        <v>0</v>
      </c>
      <c r="L175" t="n">
        <v>0</v>
      </c>
      <c r="M175" t="n">
        <v>0</v>
      </c>
      <c r="N175" t="n">
        <v>0</v>
      </c>
      <c r="O175" t="n">
        <v>0</v>
      </c>
      <c r="P175" t="n">
        <v>0</v>
      </c>
      <c r="Q175" t="n">
        <v>0</v>
      </c>
      <c r="R175" s="2" t="inlineStr"/>
    </row>
    <row r="176" ht="15" customHeight="1">
      <c r="A176" t="inlineStr">
        <is>
          <t>A 41637-2025</t>
        </is>
      </c>
      <c r="B176" s="1" t="n">
        <v>45901</v>
      </c>
      <c r="C176" s="1" t="n">
        <v>46161</v>
      </c>
      <c r="D176" t="inlineStr">
        <is>
          <t>UPPSALA LÄN</t>
        </is>
      </c>
      <c r="E176" t="inlineStr">
        <is>
          <t>ENKÖPING</t>
        </is>
      </c>
      <c r="F176" t="inlineStr">
        <is>
          <t>Allmännings- och besparingsskogar</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26017-2025</t>
        </is>
      </c>
      <c r="B177" s="1" t="n">
        <v>45804</v>
      </c>
      <c r="C177" s="1" t="n">
        <v>46161</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41618-2025</t>
        </is>
      </c>
      <c r="B178" s="1" t="n">
        <v>45901.70085648148</v>
      </c>
      <c r="C178" s="1" t="n">
        <v>46161</v>
      </c>
      <c r="D178" t="inlineStr">
        <is>
          <t>UPPSALA LÄN</t>
        </is>
      </c>
      <c r="E178" t="inlineStr">
        <is>
          <t>ENKÖPING</t>
        </is>
      </c>
      <c r="F178" t="inlineStr">
        <is>
          <t>Allmännings- och besparingsskogar</t>
        </is>
      </c>
      <c r="G178" t="n">
        <v>5.3</v>
      </c>
      <c r="H178" t="n">
        <v>0</v>
      </c>
      <c r="I178" t="n">
        <v>0</v>
      </c>
      <c r="J178" t="n">
        <v>0</v>
      </c>
      <c r="K178" t="n">
        <v>0</v>
      </c>
      <c r="L178" t="n">
        <v>0</v>
      </c>
      <c r="M178" t="n">
        <v>0</v>
      </c>
      <c r="N178" t="n">
        <v>0</v>
      </c>
      <c r="O178" t="n">
        <v>0</v>
      </c>
      <c r="P178" t="n">
        <v>0</v>
      </c>
      <c r="Q178" t="n">
        <v>0</v>
      </c>
      <c r="R178" s="2" t="inlineStr"/>
    </row>
    <row r="179" ht="15" customHeight="1">
      <c r="A179" t="inlineStr">
        <is>
          <t>A 35647-2021</t>
        </is>
      </c>
      <c r="B179" s="1" t="n">
        <v>44386</v>
      </c>
      <c r="C179" s="1" t="n">
        <v>46161</v>
      </c>
      <c r="D179" t="inlineStr">
        <is>
          <t>UPPSALA LÄN</t>
        </is>
      </c>
      <c r="E179" t="inlineStr">
        <is>
          <t>ENKÖPING</t>
        </is>
      </c>
      <c r="G179" t="n">
        <v>1</v>
      </c>
      <c r="H179" t="n">
        <v>0</v>
      </c>
      <c r="I179" t="n">
        <v>0</v>
      </c>
      <c r="J179" t="n">
        <v>0</v>
      </c>
      <c r="K179" t="n">
        <v>0</v>
      </c>
      <c r="L179" t="n">
        <v>0</v>
      </c>
      <c r="M179" t="n">
        <v>0</v>
      </c>
      <c r="N179" t="n">
        <v>0</v>
      </c>
      <c r="O179" t="n">
        <v>0</v>
      </c>
      <c r="P179" t="n">
        <v>0</v>
      </c>
      <c r="Q179" t="n">
        <v>0</v>
      </c>
      <c r="R179" s="2" t="inlineStr"/>
    </row>
    <row r="180" ht="15" customHeight="1">
      <c r="A180" t="inlineStr">
        <is>
          <t>A 58092-2024</t>
        </is>
      </c>
      <c r="B180" s="1" t="n">
        <v>45632</v>
      </c>
      <c r="C180" s="1" t="n">
        <v>46161</v>
      </c>
      <c r="D180" t="inlineStr">
        <is>
          <t>UPPSALA LÄN</t>
        </is>
      </c>
      <c r="E180" t="inlineStr">
        <is>
          <t>ENKÖPING</t>
        </is>
      </c>
      <c r="G180" t="n">
        <v>4.8</v>
      </c>
      <c r="H180" t="n">
        <v>0</v>
      </c>
      <c r="I180" t="n">
        <v>0</v>
      </c>
      <c r="J180" t="n">
        <v>0</v>
      </c>
      <c r="K180" t="n">
        <v>0</v>
      </c>
      <c r="L180" t="n">
        <v>0</v>
      </c>
      <c r="M180" t="n">
        <v>0</v>
      </c>
      <c r="N180" t="n">
        <v>0</v>
      </c>
      <c r="O180" t="n">
        <v>0</v>
      </c>
      <c r="P180" t="n">
        <v>0</v>
      </c>
      <c r="Q180" t="n">
        <v>0</v>
      </c>
      <c r="R180" s="2" t="inlineStr"/>
    </row>
    <row r="181" ht="15" customHeight="1">
      <c r="A181" t="inlineStr">
        <is>
          <t>A 42029-2025</t>
        </is>
      </c>
      <c r="B181" s="1" t="n">
        <v>45903</v>
      </c>
      <c r="C181" s="1" t="n">
        <v>46161</v>
      </c>
      <c r="D181" t="inlineStr">
        <is>
          <t>UPPSALA LÄN</t>
        </is>
      </c>
      <c r="E181" t="inlineStr">
        <is>
          <t>ENKÖPING</t>
        </is>
      </c>
      <c r="G181" t="n">
        <v>1.8</v>
      </c>
      <c r="H181" t="n">
        <v>0</v>
      </c>
      <c r="I181" t="n">
        <v>0</v>
      </c>
      <c r="J181" t="n">
        <v>0</v>
      </c>
      <c r="K181" t="n">
        <v>0</v>
      </c>
      <c r="L181" t="n">
        <v>0</v>
      </c>
      <c r="M181" t="n">
        <v>0</v>
      </c>
      <c r="N181" t="n">
        <v>0</v>
      </c>
      <c r="O181" t="n">
        <v>0</v>
      </c>
      <c r="P181" t="n">
        <v>0</v>
      </c>
      <c r="Q181" t="n">
        <v>0</v>
      </c>
      <c r="R181" s="2" t="inlineStr"/>
    </row>
    <row r="182" ht="15" customHeight="1">
      <c r="A182" t="inlineStr">
        <is>
          <t>A 41765-2025</t>
        </is>
      </c>
      <c r="B182" s="1" t="n">
        <v>45902</v>
      </c>
      <c r="C182" s="1" t="n">
        <v>46161</v>
      </c>
      <c r="D182" t="inlineStr">
        <is>
          <t>UPPSALA LÄN</t>
        </is>
      </c>
      <c r="E182" t="inlineStr">
        <is>
          <t>ENKÖPING</t>
        </is>
      </c>
      <c r="G182" t="n">
        <v>2.7</v>
      </c>
      <c r="H182" t="n">
        <v>0</v>
      </c>
      <c r="I182" t="n">
        <v>0</v>
      </c>
      <c r="J182" t="n">
        <v>0</v>
      </c>
      <c r="K182" t="n">
        <v>0</v>
      </c>
      <c r="L182" t="n">
        <v>0</v>
      </c>
      <c r="M182" t="n">
        <v>0</v>
      </c>
      <c r="N182" t="n">
        <v>0</v>
      </c>
      <c r="O182" t="n">
        <v>0</v>
      </c>
      <c r="P182" t="n">
        <v>0</v>
      </c>
      <c r="Q182" t="n">
        <v>0</v>
      </c>
      <c r="R182" s="2" t="inlineStr"/>
    </row>
    <row r="183" ht="15" customHeight="1">
      <c r="A183" t="inlineStr">
        <is>
          <t>A 26024-2025</t>
        </is>
      </c>
      <c r="B183" s="1" t="n">
        <v>45804.6831712963</v>
      </c>
      <c r="C183" s="1" t="n">
        <v>46161</v>
      </c>
      <c r="D183" t="inlineStr">
        <is>
          <t>UPPSALA LÄN</t>
        </is>
      </c>
      <c r="E183" t="inlineStr">
        <is>
          <t>ENKÖPING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26042-2025</t>
        </is>
      </c>
      <c r="B184" s="1" t="n">
        <v>45804.70018518518</v>
      </c>
      <c r="C184" s="1" t="n">
        <v>46161</v>
      </c>
      <c r="D184" t="inlineStr">
        <is>
          <t>UPPSALA LÄN</t>
        </is>
      </c>
      <c r="E184" t="inlineStr">
        <is>
          <t>ENKÖPING</t>
        </is>
      </c>
      <c r="G184" t="n">
        <v>1.2</v>
      </c>
      <c r="H184" t="n">
        <v>0</v>
      </c>
      <c r="I184" t="n">
        <v>0</v>
      </c>
      <c r="J184" t="n">
        <v>0</v>
      </c>
      <c r="K184" t="n">
        <v>0</v>
      </c>
      <c r="L184" t="n">
        <v>0</v>
      </c>
      <c r="M184" t="n">
        <v>0</v>
      </c>
      <c r="N184" t="n">
        <v>0</v>
      </c>
      <c r="O184" t="n">
        <v>0</v>
      </c>
      <c r="P184" t="n">
        <v>0</v>
      </c>
      <c r="Q184" t="n">
        <v>0</v>
      </c>
      <c r="R184" s="2" t="inlineStr"/>
    </row>
    <row r="185" ht="15" customHeight="1">
      <c r="A185" t="inlineStr">
        <is>
          <t>A 26005-2025</t>
        </is>
      </c>
      <c r="B185" s="1" t="n">
        <v>45804.67055555555</v>
      </c>
      <c r="C185" s="1" t="n">
        <v>46161</v>
      </c>
      <c r="D185" t="inlineStr">
        <is>
          <t>UPPSALA LÄN</t>
        </is>
      </c>
      <c r="E185" t="inlineStr">
        <is>
          <t>ENKÖPING</t>
        </is>
      </c>
      <c r="G185" t="n">
        <v>0.3</v>
      </c>
      <c r="H185" t="n">
        <v>0</v>
      </c>
      <c r="I185" t="n">
        <v>0</v>
      </c>
      <c r="J185" t="n">
        <v>0</v>
      </c>
      <c r="K185" t="n">
        <v>0</v>
      </c>
      <c r="L185" t="n">
        <v>0</v>
      </c>
      <c r="M185" t="n">
        <v>0</v>
      </c>
      <c r="N185" t="n">
        <v>0</v>
      </c>
      <c r="O185" t="n">
        <v>0</v>
      </c>
      <c r="P185" t="n">
        <v>0</v>
      </c>
      <c r="Q185" t="n">
        <v>0</v>
      </c>
      <c r="R185" s="2" t="inlineStr"/>
    </row>
    <row r="186" ht="15" customHeight="1">
      <c r="A186" t="inlineStr">
        <is>
          <t>A 47516-2022</t>
        </is>
      </c>
      <c r="B186" s="1" t="n">
        <v>44853.68895833333</v>
      </c>
      <c r="C186" s="1" t="n">
        <v>46161</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26026-2025</t>
        </is>
      </c>
      <c r="B187" s="1" t="n">
        <v>45804.68510416667</v>
      </c>
      <c r="C187" s="1" t="n">
        <v>46161</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26030-2025</t>
        </is>
      </c>
      <c r="B188" s="1" t="n">
        <v>45804.68815972222</v>
      </c>
      <c r="C188" s="1" t="n">
        <v>46161</v>
      </c>
      <c r="D188" t="inlineStr">
        <is>
          <t>UPPSALA LÄN</t>
        </is>
      </c>
      <c r="E188" t="inlineStr">
        <is>
          <t>ENKÖPING</t>
        </is>
      </c>
      <c r="G188" t="n">
        <v>0.3</v>
      </c>
      <c r="H188" t="n">
        <v>0</v>
      </c>
      <c r="I188" t="n">
        <v>0</v>
      </c>
      <c r="J188" t="n">
        <v>0</v>
      </c>
      <c r="K188" t="n">
        <v>0</v>
      </c>
      <c r="L188" t="n">
        <v>0</v>
      </c>
      <c r="M188" t="n">
        <v>0</v>
      </c>
      <c r="N188" t="n">
        <v>0</v>
      </c>
      <c r="O188" t="n">
        <v>0</v>
      </c>
      <c r="P188" t="n">
        <v>0</v>
      </c>
      <c r="Q188" t="n">
        <v>0</v>
      </c>
      <c r="R188" s="2" t="inlineStr"/>
    </row>
    <row r="189" ht="15" customHeight="1">
      <c r="A189" t="inlineStr">
        <is>
          <t>A 26022-2025</t>
        </is>
      </c>
      <c r="B189" s="1" t="n">
        <v>45804.68006944445</v>
      </c>
      <c r="C189" s="1" t="n">
        <v>46161</v>
      </c>
      <c r="D189" t="inlineStr">
        <is>
          <t>UPPSALA LÄN</t>
        </is>
      </c>
      <c r="E189" t="inlineStr">
        <is>
          <t>ENKÖPING</t>
        </is>
      </c>
      <c r="G189" t="n">
        <v>0.7</v>
      </c>
      <c r="H189" t="n">
        <v>0</v>
      </c>
      <c r="I189" t="n">
        <v>0</v>
      </c>
      <c r="J189" t="n">
        <v>0</v>
      </c>
      <c r="K189" t="n">
        <v>0</v>
      </c>
      <c r="L189" t="n">
        <v>0</v>
      </c>
      <c r="M189" t="n">
        <v>0</v>
      </c>
      <c r="N189" t="n">
        <v>0</v>
      </c>
      <c r="O189" t="n">
        <v>0</v>
      </c>
      <c r="P189" t="n">
        <v>0</v>
      </c>
      <c r="Q189" t="n">
        <v>0</v>
      </c>
      <c r="R189" s="2" t="inlineStr"/>
    </row>
    <row r="190" ht="15" customHeight="1">
      <c r="A190" t="inlineStr">
        <is>
          <t>A 25988-2025</t>
        </is>
      </c>
      <c r="B190" s="1" t="n">
        <v>45804.64814814815</v>
      </c>
      <c r="C190" s="1" t="n">
        <v>46161</v>
      </c>
      <c r="D190" t="inlineStr">
        <is>
          <t>UPPSALA LÄN</t>
        </is>
      </c>
      <c r="E190" t="inlineStr">
        <is>
          <t>ENKÖPING</t>
        </is>
      </c>
      <c r="G190" t="n">
        <v>4.7</v>
      </c>
      <c r="H190" t="n">
        <v>0</v>
      </c>
      <c r="I190" t="n">
        <v>0</v>
      </c>
      <c r="J190" t="n">
        <v>0</v>
      </c>
      <c r="K190" t="n">
        <v>0</v>
      </c>
      <c r="L190" t="n">
        <v>0</v>
      </c>
      <c r="M190" t="n">
        <v>0</v>
      </c>
      <c r="N190" t="n">
        <v>0</v>
      </c>
      <c r="O190" t="n">
        <v>0</v>
      </c>
      <c r="P190" t="n">
        <v>0</v>
      </c>
      <c r="Q190" t="n">
        <v>0</v>
      </c>
      <c r="R190" s="2" t="inlineStr"/>
    </row>
    <row r="191" ht="15" customHeight="1">
      <c r="A191" t="inlineStr">
        <is>
          <t>A 26031-2025</t>
        </is>
      </c>
      <c r="B191" s="1" t="n">
        <v>45804.69050925926</v>
      </c>
      <c r="C191" s="1" t="n">
        <v>46161</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26041-2025</t>
        </is>
      </c>
      <c r="B192" s="1" t="n">
        <v>45804.69883101852</v>
      </c>
      <c r="C192" s="1" t="n">
        <v>46161</v>
      </c>
      <c r="D192" t="inlineStr">
        <is>
          <t>UPPSALA LÄN</t>
        </is>
      </c>
      <c r="E192" t="inlineStr">
        <is>
          <t>ENKÖPING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10458-2022</t>
        </is>
      </c>
      <c r="B193" s="1" t="n">
        <v>44623.56711805556</v>
      </c>
      <c r="C193" s="1" t="n">
        <v>46161</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25847-2025</t>
        </is>
      </c>
      <c r="B194" s="1" t="n">
        <v>45804</v>
      </c>
      <c r="C194" s="1" t="n">
        <v>46161</v>
      </c>
      <c r="D194" t="inlineStr">
        <is>
          <t>UPPSALA LÄN</t>
        </is>
      </c>
      <c r="E194" t="inlineStr">
        <is>
          <t>ENKÖPING</t>
        </is>
      </c>
      <c r="G194" t="n">
        <v>3.6</v>
      </c>
      <c r="H194" t="n">
        <v>0</v>
      </c>
      <c r="I194" t="n">
        <v>0</v>
      </c>
      <c r="J194" t="n">
        <v>0</v>
      </c>
      <c r="K194" t="n">
        <v>0</v>
      </c>
      <c r="L194" t="n">
        <v>0</v>
      </c>
      <c r="M194" t="n">
        <v>0</v>
      </c>
      <c r="N194" t="n">
        <v>0</v>
      </c>
      <c r="O194" t="n">
        <v>0</v>
      </c>
      <c r="P194" t="n">
        <v>0</v>
      </c>
      <c r="Q194" t="n">
        <v>0</v>
      </c>
      <c r="R194" s="2" t="inlineStr"/>
    </row>
    <row r="195" ht="15" customHeight="1">
      <c r="A195" t="inlineStr">
        <is>
          <t>A 26047-2025</t>
        </is>
      </c>
      <c r="B195" s="1" t="n">
        <v>45804.70835648148</v>
      </c>
      <c r="C195" s="1" t="n">
        <v>46161</v>
      </c>
      <c r="D195" t="inlineStr">
        <is>
          <t>UPPSALA LÄN</t>
        </is>
      </c>
      <c r="E195" t="inlineStr">
        <is>
          <t>ENKÖPING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44115-2024</t>
        </is>
      </c>
      <c r="B196" s="1" t="n">
        <v>45572</v>
      </c>
      <c r="C196" s="1" t="n">
        <v>46161</v>
      </c>
      <c r="D196" t="inlineStr">
        <is>
          <t>UPPSALA LÄN</t>
        </is>
      </c>
      <c r="E196" t="inlineStr">
        <is>
          <t>ENKÖPING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41764-2025</t>
        </is>
      </c>
      <c r="B197" s="1" t="n">
        <v>45902</v>
      </c>
      <c r="C197" s="1" t="n">
        <v>46161</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51042-2024</t>
        </is>
      </c>
      <c r="B198" s="1" t="n">
        <v>45603.4342824074</v>
      </c>
      <c r="C198" s="1" t="n">
        <v>46161</v>
      </c>
      <c r="D198" t="inlineStr">
        <is>
          <t>UPPSALA LÄN</t>
        </is>
      </c>
      <c r="E198" t="inlineStr">
        <is>
          <t>ENKÖPING</t>
        </is>
      </c>
      <c r="G198" t="n">
        <v>4.6</v>
      </c>
      <c r="H198" t="n">
        <v>0</v>
      </c>
      <c r="I198" t="n">
        <v>0</v>
      </c>
      <c r="J198" t="n">
        <v>0</v>
      </c>
      <c r="K198" t="n">
        <v>0</v>
      </c>
      <c r="L198" t="n">
        <v>0</v>
      </c>
      <c r="M198" t="n">
        <v>0</v>
      </c>
      <c r="N198" t="n">
        <v>0</v>
      </c>
      <c r="O198" t="n">
        <v>0</v>
      </c>
      <c r="P198" t="n">
        <v>0</v>
      </c>
      <c r="Q198" t="n">
        <v>0</v>
      </c>
      <c r="R198" s="2" t="inlineStr"/>
    </row>
    <row r="199" ht="15" customHeight="1">
      <c r="A199" t="inlineStr">
        <is>
          <t>A 51037-2024</t>
        </is>
      </c>
      <c r="B199" s="1" t="n">
        <v>45603.43005787037</v>
      </c>
      <c r="C199" s="1" t="n">
        <v>46161</v>
      </c>
      <c r="D199" t="inlineStr">
        <is>
          <t>UPPSALA LÄN</t>
        </is>
      </c>
      <c r="E199" t="inlineStr">
        <is>
          <t>ENKÖPING</t>
        </is>
      </c>
      <c r="G199" t="n">
        <v>5.7</v>
      </c>
      <c r="H199" t="n">
        <v>0</v>
      </c>
      <c r="I199" t="n">
        <v>0</v>
      </c>
      <c r="J199" t="n">
        <v>0</v>
      </c>
      <c r="K199" t="n">
        <v>0</v>
      </c>
      <c r="L199" t="n">
        <v>0</v>
      </c>
      <c r="M199" t="n">
        <v>0</v>
      </c>
      <c r="N199" t="n">
        <v>0</v>
      </c>
      <c r="O199" t="n">
        <v>0</v>
      </c>
      <c r="P199" t="n">
        <v>0</v>
      </c>
      <c r="Q199" t="n">
        <v>0</v>
      </c>
      <c r="R199" s="2" t="inlineStr"/>
    </row>
    <row r="200" ht="15" customHeight="1">
      <c r="A200" t="inlineStr">
        <is>
          <t>A 9957-2023</t>
        </is>
      </c>
      <c r="B200" s="1" t="n">
        <v>44978</v>
      </c>
      <c r="C200" s="1" t="n">
        <v>46161</v>
      </c>
      <c r="D200" t="inlineStr">
        <is>
          <t>UPPSALA LÄN</t>
        </is>
      </c>
      <c r="E200" t="inlineStr">
        <is>
          <t>ENKÖPING</t>
        </is>
      </c>
      <c r="G200" t="n">
        <v>5.9</v>
      </c>
      <c r="H200" t="n">
        <v>0</v>
      </c>
      <c r="I200" t="n">
        <v>0</v>
      </c>
      <c r="J200" t="n">
        <v>0</v>
      </c>
      <c r="K200" t="n">
        <v>0</v>
      </c>
      <c r="L200" t="n">
        <v>0</v>
      </c>
      <c r="M200" t="n">
        <v>0</v>
      </c>
      <c r="N200" t="n">
        <v>0</v>
      </c>
      <c r="O200" t="n">
        <v>0</v>
      </c>
      <c r="P200" t="n">
        <v>0</v>
      </c>
      <c r="Q200" t="n">
        <v>0</v>
      </c>
      <c r="R200" s="2" t="inlineStr"/>
    </row>
    <row r="201" ht="15" customHeight="1">
      <c r="A201" t="inlineStr">
        <is>
          <t>A 42756-2025</t>
        </is>
      </c>
      <c r="B201" s="1" t="n">
        <v>45908</v>
      </c>
      <c r="C201" s="1" t="n">
        <v>46161</v>
      </c>
      <c r="D201" t="inlineStr">
        <is>
          <t>UPPSALA LÄN</t>
        </is>
      </c>
      <c r="E201" t="inlineStr">
        <is>
          <t>ENKÖPING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35067-2024</t>
        </is>
      </c>
      <c r="B202" s="1" t="n">
        <v>45527.66153935185</v>
      </c>
      <c r="C202" s="1" t="n">
        <v>46161</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22632-2025</t>
        </is>
      </c>
      <c r="B203" s="1" t="n">
        <v>45789.44361111111</v>
      </c>
      <c r="C203" s="1" t="n">
        <v>46161</v>
      </c>
      <c r="D203" t="inlineStr">
        <is>
          <t>UPPSALA LÄN</t>
        </is>
      </c>
      <c r="E203" t="inlineStr">
        <is>
          <t>ENKÖPING</t>
        </is>
      </c>
      <c r="G203" t="n">
        <v>2.1</v>
      </c>
      <c r="H203" t="n">
        <v>0</v>
      </c>
      <c r="I203" t="n">
        <v>0</v>
      </c>
      <c r="J203" t="n">
        <v>0</v>
      </c>
      <c r="K203" t="n">
        <v>0</v>
      </c>
      <c r="L203" t="n">
        <v>0</v>
      </c>
      <c r="M203" t="n">
        <v>0</v>
      </c>
      <c r="N203" t="n">
        <v>0</v>
      </c>
      <c r="O203" t="n">
        <v>0</v>
      </c>
      <c r="P203" t="n">
        <v>0</v>
      </c>
      <c r="Q203" t="n">
        <v>0</v>
      </c>
      <c r="R203" s="2" t="inlineStr"/>
    </row>
    <row r="204" ht="15" customHeight="1">
      <c r="A204" t="inlineStr">
        <is>
          <t>A 63402-2023</t>
        </is>
      </c>
      <c r="B204" s="1" t="n">
        <v>45274.50646990741</v>
      </c>
      <c r="C204" s="1" t="n">
        <v>46161</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16916-2023</t>
        </is>
      </c>
      <c r="B205" s="1" t="n">
        <v>45033.58347222222</v>
      </c>
      <c r="C205" s="1" t="n">
        <v>46161</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56886-2023</t>
        </is>
      </c>
      <c r="B206" s="1" t="n">
        <v>45239</v>
      </c>
      <c r="C206" s="1" t="n">
        <v>46161</v>
      </c>
      <c r="D206" t="inlineStr">
        <is>
          <t>UPPSALA LÄN</t>
        </is>
      </c>
      <c r="E206" t="inlineStr">
        <is>
          <t>ENKÖPING</t>
        </is>
      </c>
      <c r="G206" t="n">
        <v>2</v>
      </c>
      <c r="H206" t="n">
        <v>0</v>
      </c>
      <c r="I206" t="n">
        <v>0</v>
      </c>
      <c r="J206" t="n">
        <v>0</v>
      </c>
      <c r="K206" t="n">
        <v>0</v>
      </c>
      <c r="L206" t="n">
        <v>0</v>
      </c>
      <c r="M206" t="n">
        <v>0</v>
      </c>
      <c r="N206" t="n">
        <v>0</v>
      </c>
      <c r="O206" t="n">
        <v>0</v>
      </c>
      <c r="P206" t="n">
        <v>0</v>
      </c>
      <c r="Q206" t="n">
        <v>0</v>
      </c>
      <c r="R206" s="2" t="inlineStr"/>
    </row>
    <row r="207" ht="15" customHeight="1">
      <c r="A207" t="inlineStr">
        <is>
          <t>A 51027-2024</t>
        </is>
      </c>
      <c r="B207" s="1" t="n">
        <v>45603</v>
      </c>
      <c r="C207" s="1" t="n">
        <v>46161</v>
      </c>
      <c r="D207" t="inlineStr">
        <is>
          <t>UPPSALA LÄN</t>
        </is>
      </c>
      <c r="E207" t="inlineStr">
        <is>
          <t>ENKÖPING</t>
        </is>
      </c>
      <c r="G207" t="n">
        <v>3.5</v>
      </c>
      <c r="H207" t="n">
        <v>0</v>
      </c>
      <c r="I207" t="n">
        <v>0</v>
      </c>
      <c r="J207" t="n">
        <v>0</v>
      </c>
      <c r="K207" t="n">
        <v>0</v>
      </c>
      <c r="L207" t="n">
        <v>0</v>
      </c>
      <c r="M207" t="n">
        <v>0</v>
      </c>
      <c r="N207" t="n">
        <v>0</v>
      </c>
      <c r="O207" t="n">
        <v>0</v>
      </c>
      <c r="P207" t="n">
        <v>0</v>
      </c>
      <c r="Q207" t="n">
        <v>0</v>
      </c>
      <c r="R207" s="2" t="inlineStr"/>
    </row>
    <row r="208" ht="15" customHeight="1">
      <c r="A208" t="inlineStr">
        <is>
          <t>A 43999-2025</t>
        </is>
      </c>
      <c r="B208" s="1" t="n">
        <v>45915.45158564814</v>
      </c>
      <c r="C208" s="1" t="n">
        <v>46161</v>
      </c>
      <c r="D208" t="inlineStr">
        <is>
          <t>UPPSALA LÄN</t>
        </is>
      </c>
      <c r="E208" t="inlineStr">
        <is>
          <t>ENKÖPING</t>
        </is>
      </c>
      <c r="G208" t="n">
        <v>4.1</v>
      </c>
      <c r="H208" t="n">
        <v>0</v>
      </c>
      <c r="I208" t="n">
        <v>0</v>
      </c>
      <c r="J208" t="n">
        <v>0</v>
      </c>
      <c r="K208" t="n">
        <v>0</v>
      </c>
      <c r="L208" t="n">
        <v>0</v>
      </c>
      <c r="M208" t="n">
        <v>0</v>
      </c>
      <c r="N208" t="n">
        <v>0</v>
      </c>
      <c r="O208" t="n">
        <v>0</v>
      </c>
      <c r="P208" t="n">
        <v>0</v>
      </c>
      <c r="Q208" t="n">
        <v>0</v>
      </c>
      <c r="R208" s="2" t="inlineStr"/>
    </row>
    <row r="209" ht="15" customHeight="1">
      <c r="A209" t="inlineStr">
        <is>
          <t>A 27829-2025</t>
        </is>
      </c>
      <c r="B209" s="1" t="n">
        <v>45817</v>
      </c>
      <c r="C209" s="1" t="n">
        <v>46161</v>
      </c>
      <c r="D209" t="inlineStr">
        <is>
          <t>UPPSALA LÄN</t>
        </is>
      </c>
      <c r="E209" t="inlineStr">
        <is>
          <t>ENKÖPING</t>
        </is>
      </c>
      <c r="G209" t="n">
        <v>2.1</v>
      </c>
      <c r="H209" t="n">
        <v>0</v>
      </c>
      <c r="I209" t="n">
        <v>0</v>
      </c>
      <c r="J209" t="n">
        <v>0</v>
      </c>
      <c r="K209" t="n">
        <v>0</v>
      </c>
      <c r="L209" t="n">
        <v>0</v>
      </c>
      <c r="M209" t="n">
        <v>0</v>
      </c>
      <c r="N209" t="n">
        <v>0</v>
      </c>
      <c r="O209" t="n">
        <v>0</v>
      </c>
      <c r="P209" t="n">
        <v>0</v>
      </c>
      <c r="Q209" t="n">
        <v>0</v>
      </c>
      <c r="R209" s="2" t="inlineStr"/>
    </row>
    <row r="210" ht="15" customHeight="1">
      <c r="A210" t="inlineStr">
        <is>
          <t>A 6356-2022</t>
        </is>
      </c>
      <c r="B210" s="1" t="n">
        <v>44600</v>
      </c>
      <c r="C210" s="1" t="n">
        <v>46161</v>
      </c>
      <c r="D210" t="inlineStr">
        <is>
          <t>UPPSALA LÄN</t>
        </is>
      </c>
      <c r="E210" t="inlineStr">
        <is>
          <t>ENKÖPING</t>
        </is>
      </c>
      <c r="G210" t="n">
        <v>1.2</v>
      </c>
      <c r="H210" t="n">
        <v>0</v>
      </c>
      <c r="I210" t="n">
        <v>0</v>
      </c>
      <c r="J210" t="n">
        <v>0</v>
      </c>
      <c r="K210" t="n">
        <v>0</v>
      </c>
      <c r="L210" t="n">
        <v>0</v>
      </c>
      <c r="M210" t="n">
        <v>0</v>
      </c>
      <c r="N210" t="n">
        <v>0</v>
      </c>
      <c r="O210" t="n">
        <v>0</v>
      </c>
      <c r="P210" t="n">
        <v>0</v>
      </c>
      <c r="Q210" t="n">
        <v>0</v>
      </c>
      <c r="R210" s="2" t="inlineStr"/>
    </row>
    <row r="211" ht="15" customHeight="1">
      <c r="A211" t="inlineStr">
        <is>
          <t>A 39009-2024</t>
        </is>
      </c>
      <c r="B211" s="1" t="n">
        <v>45548</v>
      </c>
      <c r="C211" s="1" t="n">
        <v>46161</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44419-2025</t>
        </is>
      </c>
      <c r="B212" s="1" t="n">
        <v>45916.54671296296</v>
      </c>
      <c r="C212" s="1" t="n">
        <v>46161</v>
      </c>
      <c r="D212" t="inlineStr">
        <is>
          <t>UPPSALA LÄN</t>
        </is>
      </c>
      <c r="E212" t="inlineStr">
        <is>
          <t>ENKÖPING</t>
        </is>
      </c>
      <c r="G212" t="n">
        <v>1.6</v>
      </c>
      <c r="H212" t="n">
        <v>0</v>
      </c>
      <c r="I212" t="n">
        <v>0</v>
      </c>
      <c r="J212" t="n">
        <v>0</v>
      </c>
      <c r="K212" t="n">
        <v>0</v>
      </c>
      <c r="L212" t="n">
        <v>0</v>
      </c>
      <c r="M212" t="n">
        <v>0</v>
      </c>
      <c r="N212" t="n">
        <v>0</v>
      </c>
      <c r="O212" t="n">
        <v>0</v>
      </c>
      <c r="P212" t="n">
        <v>0</v>
      </c>
      <c r="Q212" t="n">
        <v>0</v>
      </c>
      <c r="R212" s="2" t="inlineStr"/>
    </row>
    <row r="213" ht="15" customHeight="1">
      <c r="A213" t="inlineStr">
        <is>
          <t>A 8537-2025</t>
        </is>
      </c>
      <c r="B213" s="1" t="n">
        <v>45709</v>
      </c>
      <c r="C213" s="1" t="n">
        <v>46161</v>
      </c>
      <c r="D213" t="inlineStr">
        <is>
          <t>UPPSALA LÄN</t>
        </is>
      </c>
      <c r="E213" t="inlineStr">
        <is>
          <t>ENKÖPING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32477-2025</t>
        </is>
      </c>
      <c r="B214" s="1" t="n">
        <v>45838.43098379629</v>
      </c>
      <c r="C214" s="1" t="n">
        <v>46161</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28758-2025</t>
        </is>
      </c>
      <c r="B215" s="1" t="n">
        <v>45820.41212962963</v>
      </c>
      <c r="C215" s="1" t="n">
        <v>46161</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28862-2025</t>
        </is>
      </c>
      <c r="B216" s="1" t="n">
        <v>45820.59189814814</v>
      </c>
      <c r="C216" s="1" t="n">
        <v>46161</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28855-2025</t>
        </is>
      </c>
      <c r="B217" s="1" t="n">
        <v>45820.58274305556</v>
      </c>
      <c r="C217" s="1" t="n">
        <v>46161</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29093-2025</t>
        </is>
      </c>
      <c r="B218" s="1" t="n">
        <v>45821.55743055556</v>
      </c>
      <c r="C218" s="1" t="n">
        <v>46161</v>
      </c>
      <c r="D218" t="inlineStr">
        <is>
          <t>UPPSALA LÄN</t>
        </is>
      </c>
      <c r="E218" t="inlineStr">
        <is>
          <t>ENKÖPING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49614-2024</t>
        </is>
      </c>
      <c r="B219" s="1" t="n">
        <v>45596.57716435185</v>
      </c>
      <c r="C219" s="1" t="n">
        <v>46161</v>
      </c>
      <c r="D219" t="inlineStr">
        <is>
          <t>UPPSALA LÄN</t>
        </is>
      </c>
      <c r="E219" t="inlineStr">
        <is>
          <t>ENKÖPING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49632-2024</t>
        </is>
      </c>
      <c r="B220" s="1" t="n">
        <v>45596</v>
      </c>
      <c r="C220" s="1" t="n">
        <v>46161</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29479-2022</t>
        </is>
      </c>
      <c r="B221" s="1" t="n">
        <v>44753.57265046296</v>
      </c>
      <c r="C221" s="1" t="n">
        <v>46161</v>
      </c>
      <c r="D221" t="inlineStr">
        <is>
          <t>UPPSALA LÄN</t>
        </is>
      </c>
      <c r="E221" t="inlineStr">
        <is>
          <t>ENKÖPING</t>
        </is>
      </c>
      <c r="G221" t="n">
        <v>0.9</v>
      </c>
      <c r="H221" t="n">
        <v>0</v>
      </c>
      <c r="I221" t="n">
        <v>0</v>
      </c>
      <c r="J221" t="n">
        <v>0</v>
      </c>
      <c r="K221" t="n">
        <v>0</v>
      </c>
      <c r="L221" t="n">
        <v>0</v>
      </c>
      <c r="M221" t="n">
        <v>0</v>
      </c>
      <c r="N221" t="n">
        <v>0</v>
      </c>
      <c r="O221" t="n">
        <v>0</v>
      </c>
      <c r="P221" t="n">
        <v>0</v>
      </c>
      <c r="Q221" t="n">
        <v>0</v>
      </c>
      <c r="R221" s="2" t="inlineStr"/>
    </row>
    <row r="222" ht="15" customHeight="1">
      <c r="A222" t="inlineStr">
        <is>
          <t>A 45755-2025</t>
        </is>
      </c>
      <c r="B222" s="1" t="n">
        <v>45923.50240740741</v>
      </c>
      <c r="C222" s="1" t="n">
        <v>46161</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34989-2025</t>
        </is>
      </c>
      <c r="B223" s="1" t="n">
        <v>45849</v>
      </c>
      <c r="C223" s="1" t="n">
        <v>46161</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34990-2025</t>
        </is>
      </c>
      <c r="B224" s="1" t="n">
        <v>45849.78916666667</v>
      </c>
      <c r="C224" s="1" t="n">
        <v>46161</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30837-2025</t>
        </is>
      </c>
      <c r="B225" s="1" t="n">
        <v>45831.7063425926</v>
      </c>
      <c r="C225" s="1" t="n">
        <v>46161</v>
      </c>
      <c r="D225" t="inlineStr">
        <is>
          <t>UPPSALA LÄN</t>
        </is>
      </c>
      <c r="E225" t="inlineStr">
        <is>
          <t>ENKÖPING</t>
        </is>
      </c>
      <c r="G225" t="n">
        <v>3.8</v>
      </c>
      <c r="H225" t="n">
        <v>0</v>
      </c>
      <c r="I225" t="n">
        <v>0</v>
      </c>
      <c r="J225" t="n">
        <v>0</v>
      </c>
      <c r="K225" t="n">
        <v>0</v>
      </c>
      <c r="L225" t="n">
        <v>0</v>
      </c>
      <c r="M225" t="n">
        <v>0</v>
      </c>
      <c r="N225" t="n">
        <v>0</v>
      </c>
      <c r="O225" t="n">
        <v>0</v>
      </c>
      <c r="P225" t="n">
        <v>0</v>
      </c>
      <c r="Q225" t="n">
        <v>0</v>
      </c>
      <c r="R225" s="2" t="inlineStr"/>
    </row>
    <row r="226" ht="15" customHeight="1">
      <c r="A226" t="inlineStr">
        <is>
          <t>A 27538-2023</t>
        </is>
      </c>
      <c r="B226" s="1" t="n">
        <v>45097</v>
      </c>
      <c r="C226" s="1" t="n">
        <v>46161</v>
      </c>
      <c r="D226" t="inlineStr">
        <is>
          <t>UPPSALA LÄN</t>
        </is>
      </c>
      <c r="E226" t="inlineStr">
        <is>
          <t>ENKÖPING</t>
        </is>
      </c>
      <c r="G226" t="n">
        <v>5.8</v>
      </c>
      <c r="H226" t="n">
        <v>0</v>
      </c>
      <c r="I226" t="n">
        <v>0</v>
      </c>
      <c r="J226" t="n">
        <v>0</v>
      </c>
      <c r="K226" t="n">
        <v>0</v>
      </c>
      <c r="L226" t="n">
        <v>0</v>
      </c>
      <c r="M226" t="n">
        <v>0</v>
      </c>
      <c r="N226" t="n">
        <v>0</v>
      </c>
      <c r="O226" t="n">
        <v>0</v>
      </c>
      <c r="P226" t="n">
        <v>0</v>
      </c>
      <c r="Q226" t="n">
        <v>0</v>
      </c>
      <c r="R226" s="2" t="inlineStr"/>
    </row>
    <row r="227" ht="15" customHeight="1">
      <c r="A227" t="inlineStr">
        <is>
          <t>A 15409-2025</t>
        </is>
      </c>
      <c r="B227" s="1" t="n">
        <v>45747</v>
      </c>
      <c r="C227" s="1" t="n">
        <v>46161</v>
      </c>
      <c r="D227" t="inlineStr">
        <is>
          <t>UPPSALA LÄN</t>
        </is>
      </c>
      <c r="E227" t="inlineStr">
        <is>
          <t>ENKÖPING</t>
        </is>
      </c>
      <c r="G227" t="n">
        <v>2.5</v>
      </c>
      <c r="H227" t="n">
        <v>0</v>
      </c>
      <c r="I227" t="n">
        <v>0</v>
      </c>
      <c r="J227" t="n">
        <v>0</v>
      </c>
      <c r="K227" t="n">
        <v>0</v>
      </c>
      <c r="L227" t="n">
        <v>0</v>
      </c>
      <c r="M227" t="n">
        <v>0</v>
      </c>
      <c r="N227" t="n">
        <v>0</v>
      </c>
      <c r="O227" t="n">
        <v>0</v>
      </c>
      <c r="P227" t="n">
        <v>0</v>
      </c>
      <c r="Q227" t="n">
        <v>0</v>
      </c>
      <c r="R227" s="2" t="inlineStr"/>
    </row>
    <row r="228" ht="15" customHeight="1">
      <c r="A228" t="inlineStr">
        <is>
          <t>A 60874-2023</t>
        </is>
      </c>
      <c r="B228" s="1" t="n">
        <v>45261.06280092592</v>
      </c>
      <c r="C228" s="1" t="n">
        <v>46161</v>
      </c>
      <c r="D228" t="inlineStr">
        <is>
          <t>UPPSALA LÄN</t>
        </is>
      </c>
      <c r="E228" t="inlineStr">
        <is>
          <t>ENKÖPING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50394-2024</t>
        </is>
      </c>
      <c r="B229" s="1" t="n">
        <v>45600</v>
      </c>
      <c r="C229" s="1" t="n">
        <v>46161</v>
      </c>
      <c r="D229" t="inlineStr">
        <is>
          <t>UPPSALA LÄN</t>
        </is>
      </c>
      <c r="E229" t="inlineStr">
        <is>
          <t>ENKÖPING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51010-2024</t>
        </is>
      </c>
      <c r="B230" s="1" t="n">
        <v>45603.39285879629</v>
      </c>
      <c r="C230" s="1" t="n">
        <v>46161</v>
      </c>
      <c r="D230" t="inlineStr">
        <is>
          <t>UPPSALA LÄN</t>
        </is>
      </c>
      <c r="E230" t="inlineStr">
        <is>
          <t>ENKÖPING</t>
        </is>
      </c>
      <c r="G230" t="n">
        <v>1.7</v>
      </c>
      <c r="H230" t="n">
        <v>0</v>
      </c>
      <c r="I230" t="n">
        <v>0</v>
      </c>
      <c r="J230" t="n">
        <v>0</v>
      </c>
      <c r="K230" t="n">
        <v>0</v>
      </c>
      <c r="L230" t="n">
        <v>0</v>
      </c>
      <c r="M230" t="n">
        <v>0</v>
      </c>
      <c r="N230" t="n">
        <v>0</v>
      </c>
      <c r="O230" t="n">
        <v>0</v>
      </c>
      <c r="P230" t="n">
        <v>0</v>
      </c>
      <c r="Q230" t="n">
        <v>0</v>
      </c>
      <c r="R230" s="2" t="inlineStr"/>
    </row>
    <row r="231" ht="15" customHeight="1">
      <c r="A231" t="inlineStr">
        <is>
          <t>A 26011-2025</t>
        </is>
      </c>
      <c r="B231" s="1" t="n">
        <v>45804.67412037037</v>
      </c>
      <c r="C231" s="1" t="n">
        <v>46161</v>
      </c>
      <c r="D231" t="inlineStr">
        <is>
          <t>UPPSALA LÄN</t>
        </is>
      </c>
      <c r="E231" t="inlineStr">
        <is>
          <t>ENKÖPING</t>
        </is>
      </c>
      <c r="G231" t="n">
        <v>1.3</v>
      </c>
      <c r="H231" t="n">
        <v>0</v>
      </c>
      <c r="I231" t="n">
        <v>0</v>
      </c>
      <c r="J231" t="n">
        <v>0</v>
      </c>
      <c r="K231" t="n">
        <v>0</v>
      </c>
      <c r="L231" t="n">
        <v>0</v>
      </c>
      <c r="M231" t="n">
        <v>0</v>
      </c>
      <c r="N231" t="n">
        <v>0</v>
      </c>
      <c r="O231" t="n">
        <v>0</v>
      </c>
      <c r="P231" t="n">
        <v>0</v>
      </c>
      <c r="Q231" t="n">
        <v>0</v>
      </c>
      <c r="R231" s="2" t="inlineStr"/>
    </row>
    <row r="232" ht="15" customHeight="1">
      <c r="A232" t="inlineStr">
        <is>
          <t>A 43016-2021</t>
        </is>
      </c>
      <c r="B232" s="1" t="n">
        <v>44431</v>
      </c>
      <c r="C232" s="1" t="n">
        <v>46161</v>
      </c>
      <c r="D232" t="inlineStr">
        <is>
          <t>UPPSALA LÄN</t>
        </is>
      </c>
      <c r="E232" t="inlineStr">
        <is>
          <t>ENKÖPING</t>
        </is>
      </c>
      <c r="G232" t="n">
        <v>1.5</v>
      </c>
      <c r="H232" t="n">
        <v>0</v>
      </c>
      <c r="I232" t="n">
        <v>0</v>
      </c>
      <c r="J232" t="n">
        <v>0</v>
      </c>
      <c r="K232" t="n">
        <v>0</v>
      </c>
      <c r="L232" t="n">
        <v>0</v>
      </c>
      <c r="M232" t="n">
        <v>0</v>
      </c>
      <c r="N232" t="n">
        <v>0</v>
      </c>
      <c r="O232" t="n">
        <v>0</v>
      </c>
      <c r="P232" t="n">
        <v>0</v>
      </c>
      <c r="Q232" t="n">
        <v>0</v>
      </c>
      <c r="R232" s="2" t="inlineStr"/>
    </row>
    <row r="233" ht="15" customHeight="1">
      <c r="A233" t="inlineStr">
        <is>
          <t>A 46940-2025</t>
        </is>
      </c>
      <c r="B233" s="1" t="n">
        <v>45929.45483796296</v>
      </c>
      <c r="C233" s="1" t="n">
        <v>46161</v>
      </c>
      <c r="D233" t="inlineStr">
        <is>
          <t>UPPSALA LÄN</t>
        </is>
      </c>
      <c r="E233" t="inlineStr">
        <is>
          <t>ENKÖPING</t>
        </is>
      </c>
      <c r="G233" t="n">
        <v>5.3</v>
      </c>
      <c r="H233" t="n">
        <v>0</v>
      </c>
      <c r="I233" t="n">
        <v>0</v>
      </c>
      <c r="J233" t="n">
        <v>0</v>
      </c>
      <c r="K233" t="n">
        <v>0</v>
      </c>
      <c r="L233" t="n">
        <v>0</v>
      </c>
      <c r="M233" t="n">
        <v>0</v>
      </c>
      <c r="N233" t="n">
        <v>0</v>
      </c>
      <c r="O233" t="n">
        <v>0</v>
      </c>
      <c r="P233" t="n">
        <v>0</v>
      </c>
      <c r="Q233" t="n">
        <v>0</v>
      </c>
      <c r="R233" s="2" t="inlineStr"/>
    </row>
    <row r="234" ht="15" customHeight="1">
      <c r="A234" t="inlineStr">
        <is>
          <t>A 2850-2025</t>
        </is>
      </c>
      <c r="B234" s="1" t="n">
        <v>45677</v>
      </c>
      <c r="C234" s="1" t="n">
        <v>46161</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46590-2025</t>
        </is>
      </c>
      <c r="B235" s="1" t="n">
        <v>45926.39542824074</v>
      </c>
      <c r="C235" s="1" t="n">
        <v>46161</v>
      </c>
      <c r="D235" t="inlineStr">
        <is>
          <t>UPPSALA LÄN</t>
        </is>
      </c>
      <c r="E235" t="inlineStr">
        <is>
          <t>ENKÖPING</t>
        </is>
      </c>
      <c r="G235" t="n">
        <v>2.7</v>
      </c>
      <c r="H235" t="n">
        <v>0</v>
      </c>
      <c r="I235" t="n">
        <v>0</v>
      </c>
      <c r="J235" t="n">
        <v>0</v>
      </c>
      <c r="K235" t="n">
        <v>0</v>
      </c>
      <c r="L235" t="n">
        <v>0</v>
      </c>
      <c r="M235" t="n">
        <v>0</v>
      </c>
      <c r="N235" t="n">
        <v>0</v>
      </c>
      <c r="O235" t="n">
        <v>0</v>
      </c>
      <c r="P235" t="n">
        <v>0</v>
      </c>
      <c r="Q235" t="n">
        <v>0</v>
      </c>
      <c r="R235" s="2" t="inlineStr"/>
    </row>
    <row r="236" ht="15" customHeight="1">
      <c r="A236" t="inlineStr">
        <is>
          <t>A 19147-2024</t>
        </is>
      </c>
      <c r="B236" s="1" t="n">
        <v>45428</v>
      </c>
      <c r="C236" s="1" t="n">
        <v>46161</v>
      </c>
      <c r="D236" t="inlineStr">
        <is>
          <t>UPPSALA LÄN</t>
        </is>
      </c>
      <c r="E236" t="inlineStr">
        <is>
          <t>ENKÖPING</t>
        </is>
      </c>
      <c r="G236" t="n">
        <v>1.9</v>
      </c>
      <c r="H236" t="n">
        <v>0</v>
      </c>
      <c r="I236" t="n">
        <v>0</v>
      </c>
      <c r="J236" t="n">
        <v>0</v>
      </c>
      <c r="K236" t="n">
        <v>0</v>
      </c>
      <c r="L236" t="n">
        <v>0</v>
      </c>
      <c r="M236" t="n">
        <v>0</v>
      </c>
      <c r="N236" t="n">
        <v>0</v>
      </c>
      <c r="O236" t="n">
        <v>0</v>
      </c>
      <c r="P236" t="n">
        <v>0</v>
      </c>
      <c r="Q236" t="n">
        <v>0</v>
      </c>
      <c r="R236" s="2" t="inlineStr"/>
    </row>
    <row r="237" ht="15" customHeight="1">
      <c r="A237" t="inlineStr">
        <is>
          <t>A 32111-2025</t>
        </is>
      </c>
      <c r="B237" s="1" t="n">
        <v>45835</v>
      </c>
      <c r="C237" s="1" t="n">
        <v>46161</v>
      </c>
      <c r="D237" t="inlineStr">
        <is>
          <t>UPPSALA LÄN</t>
        </is>
      </c>
      <c r="E237" t="inlineStr">
        <is>
          <t>ENKÖPING</t>
        </is>
      </c>
      <c r="G237" t="n">
        <v>1.7</v>
      </c>
      <c r="H237" t="n">
        <v>0</v>
      </c>
      <c r="I237" t="n">
        <v>0</v>
      </c>
      <c r="J237" t="n">
        <v>0</v>
      </c>
      <c r="K237" t="n">
        <v>0</v>
      </c>
      <c r="L237" t="n">
        <v>0</v>
      </c>
      <c r="M237" t="n">
        <v>0</v>
      </c>
      <c r="N237" t="n">
        <v>0</v>
      </c>
      <c r="O237" t="n">
        <v>0</v>
      </c>
      <c r="P237" t="n">
        <v>0</v>
      </c>
      <c r="Q237" t="n">
        <v>0</v>
      </c>
      <c r="R237" s="2" t="inlineStr"/>
    </row>
    <row r="238" ht="15" customHeight="1">
      <c r="A238" t="inlineStr">
        <is>
          <t>A 57209-2024</t>
        </is>
      </c>
      <c r="B238" s="1" t="n">
        <v>45629.49311342592</v>
      </c>
      <c r="C238" s="1" t="n">
        <v>46161</v>
      </c>
      <c r="D238" t="inlineStr">
        <is>
          <t>UPPSALA LÄN</t>
        </is>
      </c>
      <c r="E238" t="inlineStr">
        <is>
          <t>ENKÖPING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51120-2023</t>
        </is>
      </c>
      <c r="B239" s="1" t="n">
        <v>45219.3088425926</v>
      </c>
      <c r="C239" s="1" t="n">
        <v>46161</v>
      </c>
      <c r="D239" t="inlineStr">
        <is>
          <t>UPPSALA LÄN</t>
        </is>
      </c>
      <c r="E239" t="inlineStr">
        <is>
          <t>ENKÖPING</t>
        </is>
      </c>
      <c r="G239" t="n">
        <v>1.4</v>
      </c>
      <c r="H239" t="n">
        <v>0</v>
      </c>
      <c r="I239" t="n">
        <v>0</v>
      </c>
      <c r="J239" t="n">
        <v>0</v>
      </c>
      <c r="K239" t="n">
        <v>0</v>
      </c>
      <c r="L239" t="n">
        <v>0</v>
      </c>
      <c r="M239" t="n">
        <v>0</v>
      </c>
      <c r="N239" t="n">
        <v>0</v>
      </c>
      <c r="O239" t="n">
        <v>0</v>
      </c>
      <c r="P239" t="n">
        <v>0</v>
      </c>
      <c r="Q239" t="n">
        <v>0</v>
      </c>
      <c r="R239" s="2" t="inlineStr"/>
    </row>
    <row r="240" ht="15" customHeight="1">
      <c r="A240" t="inlineStr">
        <is>
          <t>A 12878-2025</t>
        </is>
      </c>
      <c r="B240" s="1" t="n">
        <v>45733.68571759259</v>
      </c>
      <c r="C240" s="1" t="n">
        <v>46161</v>
      </c>
      <c r="D240" t="inlineStr">
        <is>
          <t>UPPSALA LÄN</t>
        </is>
      </c>
      <c r="E240" t="inlineStr">
        <is>
          <t>ENKÖPING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32031-2025</t>
        </is>
      </c>
      <c r="B241" s="1" t="n">
        <v>45835.41712962963</v>
      </c>
      <c r="C241" s="1" t="n">
        <v>46161</v>
      </c>
      <c r="D241" t="inlineStr">
        <is>
          <t>UPPSALA LÄN</t>
        </is>
      </c>
      <c r="E241" t="inlineStr">
        <is>
          <t>ENKÖPING</t>
        </is>
      </c>
      <c r="G241" t="n">
        <v>2.7</v>
      </c>
      <c r="H241" t="n">
        <v>0</v>
      </c>
      <c r="I241" t="n">
        <v>0</v>
      </c>
      <c r="J241" t="n">
        <v>0</v>
      </c>
      <c r="K241" t="n">
        <v>0</v>
      </c>
      <c r="L241" t="n">
        <v>0</v>
      </c>
      <c r="M241" t="n">
        <v>0</v>
      </c>
      <c r="N241" t="n">
        <v>0</v>
      </c>
      <c r="O241" t="n">
        <v>0</v>
      </c>
      <c r="P241" t="n">
        <v>0</v>
      </c>
      <c r="Q241" t="n">
        <v>0</v>
      </c>
      <c r="R241" s="2" t="inlineStr"/>
    </row>
    <row r="242" ht="15" customHeight="1">
      <c r="A242" t="inlineStr">
        <is>
          <t>A 43896-2022</t>
        </is>
      </c>
      <c r="B242" s="1" t="n">
        <v>44838</v>
      </c>
      <c r="C242" s="1" t="n">
        <v>46161</v>
      </c>
      <c r="D242" t="inlineStr">
        <is>
          <t>UPPSALA LÄN</t>
        </is>
      </c>
      <c r="E242" t="inlineStr">
        <is>
          <t>ENKÖPING</t>
        </is>
      </c>
      <c r="G242" t="n">
        <v>5.3</v>
      </c>
      <c r="H242" t="n">
        <v>0</v>
      </c>
      <c r="I242" t="n">
        <v>0</v>
      </c>
      <c r="J242" t="n">
        <v>0</v>
      </c>
      <c r="K242" t="n">
        <v>0</v>
      </c>
      <c r="L242" t="n">
        <v>0</v>
      </c>
      <c r="M242" t="n">
        <v>0</v>
      </c>
      <c r="N242" t="n">
        <v>0</v>
      </c>
      <c r="O242" t="n">
        <v>0</v>
      </c>
      <c r="P242" t="n">
        <v>0</v>
      </c>
      <c r="Q242" t="n">
        <v>0</v>
      </c>
      <c r="R242" s="2" t="inlineStr"/>
    </row>
    <row r="243" ht="15" customHeight="1">
      <c r="A243" t="inlineStr">
        <is>
          <t>A 47441-2025</t>
        </is>
      </c>
      <c r="B243" s="1" t="n">
        <v>45930.63986111111</v>
      </c>
      <c r="C243" s="1" t="n">
        <v>46161</v>
      </c>
      <c r="D243" t="inlineStr">
        <is>
          <t>UPPSALA LÄN</t>
        </is>
      </c>
      <c r="E243" t="inlineStr">
        <is>
          <t>ENKÖPING</t>
        </is>
      </c>
      <c r="F243" t="inlineStr">
        <is>
          <t>Allmännings- och besparingsskogar</t>
        </is>
      </c>
      <c r="G243" t="n">
        <v>11.5</v>
      </c>
      <c r="H243" t="n">
        <v>0</v>
      </c>
      <c r="I243" t="n">
        <v>0</v>
      </c>
      <c r="J243" t="n">
        <v>0</v>
      </c>
      <c r="K243" t="n">
        <v>0</v>
      </c>
      <c r="L243" t="n">
        <v>0</v>
      </c>
      <c r="M243" t="n">
        <v>0</v>
      </c>
      <c r="N243" t="n">
        <v>0</v>
      </c>
      <c r="O243" t="n">
        <v>0</v>
      </c>
      <c r="P243" t="n">
        <v>0</v>
      </c>
      <c r="Q243" t="n">
        <v>0</v>
      </c>
      <c r="R243" s="2" t="inlineStr"/>
    </row>
    <row r="244" ht="15" customHeight="1">
      <c r="A244" t="inlineStr">
        <is>
          <t>A 54541-2025</t>
        </is>
      </c>
      <c r="B244" s="1" t="n">
        <v>45965.64733796296</v>
      </c>
      <c r="C244" s="1" t="n">
        <v>46161</v>
      </c>
      <c r="D244" t="inlineStr">
        <is>
          <t>UPPSALA LÄN</t>
        </is>
      </c>
      <c r="E244" t="inlineStr">
        <is>
          <t>ENKÖPING</t>
        </is>
      </c>
      <c r="G244" t="n">
        <v>3.1</v>
      </c>
      <c r="H244" t="n">
        <v>0</v>
      </c>
      <c r="I244" t="n">
        <v>0</v>
      </c>
      <c r="J244" t="n">
        <v>0</v>
      </c>
      <c r="K244" t="n">
        <v>0</v>
      </c>
      <c r="L244" t="n">
        <v>0</v>
      </c>
      <c r="M244" t="n">
        <v>0</v>
      </c>
      <c r="N244" t="n">
        <v>0</v>
      </c>
      <c r="O244" t="n">
        <v>0</v>
      </c>
      <c r="P244" t="n">
        <v>0</v>
      </c>
      <c r="Q244" t="n">
        <v>0</v>
      </c>
      <c r="R244" s="2" t="inlineStr"/>
    </row>
    <row r="245" ht="15" customHeight="1">
      <c r="A245" t="inlineStr">
        <is>
          <t>A 54263-2025</t>
        </is>
      </c>
      <c r="B245" s="1" t="n">
        <v>45964.66271990741</v>
      </c>
      <c r="C245" s="1" t="n">
        <v>46161</v>
      </c>
      <c r="D245" t="inlineStr">
        <is>
          <t>UPPSALA LÄN</t>
        </is>
      </c>
      <c r="E245" t="inlineStr">
        <is>
          <t>ENKÖPING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7090-2022</t>
        </is>
      </c>
      <c r="B246" s="1" t="n">
        <v>44603.59520833333</v>
      </c>
      <c r="C246" s="1" t="n">
        <v>46161</v>
      </c>
      <c r="D246" t="inlineStr">
        <is>
          <t>UPPSALA LÄN</t>
        </is>
      </c>
      <c r="E246" t="inlineStr">
        <is>
          <t>ENKÖPING</t>
        </is>
      </c>
      <c r="G246" t="n">
        <v>2.8</v>
      </c>
      <c r="H246" t="n">
        <v>0</v>
      </c>
      <c r="I246" t="n">
        <v>0</v>
      </c>
      <c r="J246" t="n">
        <v>0</v>
      </c>
      <c r="K246" t="n">
        <v>0</v>
      </c>
      <c r="L246" t="n">
        <v>0</v>
      </c>
      <c r="M246" t="n">
        <v>0</v>
      </c>
      <c r="N246" t="n">
        <v>0</v>
      </c>
      <c r="O246" t="n">
        <v>0</v>
      </c>
      <c r="P246" t="n">
        <v>0</v>
      </c>
      <c r="Q246" t="n">
        <v>0</v>
      </c>
      <c r="R246" s="2" t="inlineStr"/>
    </row>
    <row r="247" ht="15" customHeight="1">
      <c r="A247" t="inlineStr">
        <is>
          <t>A 9487-2025</t>
        </is>
      </c>
      <c r="B247" s="1" t="n">
        <v>45715.49331018519</v>
      </c>
      <c r="C247" s="1" t="n">
        <v>46161</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6144-2024</t>
        </is>
      </c>
      <c r="B248" s="1" t="n">
        <v>45337.4684837963</v>
      </c>
      <c r="C248" s="1" t="n">
        <v>46161</v>
      </c>
      <c r="D248" t="inlineStr">
        <is>
          <t>UPPSALA LÄN</t>
        </is>
      </c>
      <c r="E248" t="inlineStr">
        <is>
          <t>ENKÖPING</t>
        </is>
      </c>
      <c r="G248" t="n">
        <v>13.8</v>
      </c>
      <c r="H248" t="n">
        <v>0</v>
      </c>
      <c r="I248" t="n">
        <v>0</v>
      </c>
      <c r="J248" t="n">
        <v>0</v>
      </c>
      <c r="K248" t="n">
        <v>0</v>
      </c>
      <c r="L248" t="n">
        <v>0</v>
      </c>
      <c r="M248" t="n">
        <v>0</v>
      </c>
      <c r="N248" t="n">
        <v>0</v>
      </c>
      <c r="O248" t="n">
        <v>0</v>
      </c>
      <c r="P248" t="n">
        <v>0</v>
      </c>
      <c r="Q248" t="n">
        <v>0</v>
      </c>
      <c r="R248" s="2" t="inlineStr"/>
    </row>
    <row r="249" ht="15" customHeight="1">
      <c r="A249" t="inlineStr">
        <is>
          <t>A 33955-2024</t>
        </is>
      </c>
      <c r="B249" s="1" t="n">
        <v>45523.46952546296</v>
      </c>
      <c r="C249" s="1" t="n">
        <v>46161</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15740-2025</t>
        </is>
      </c>
      <c r="B250" s="1" t="n">
        <v>45748</v>
      </c>
      <c r="C250" s="1" t="n">
        <v>46161</v>
      </c>
      <c r="D250" t="inlineStr">
        <is>
          <t>UPPSALA LÄN</t>
        </is>
      </c>
      <c r="E250" t="inlineStr">
        <is>
          <t>ENKÖPING</t>
        </is>
      </c>
      <c r="G250" t="n">
        <v>0.9</v>
      </c>
      <c r="H250" t="n">
        <v>0</v>
      </c>
      <c r="I250" t="n">
        <v>0</v>
      </c>
      <c r="J250" t="n">
        <v>0</v>
      </c>
      <c r="K250" t="n">
        <v>0</v>
      </c>
      <c r="L250" t="n">
        <v>0</v>
      </c>
      <c r="M250" t="n">
        <v>0</v>
      </c>
      <c r="N250" t="n">
        <v>0</v>
      </c>
      <c r="O250" t="n">
        <v>0</v>
      </c>
      <c r="P250" t="n">
        <v>0</v>
      </c>
      <c r="Q250" t="n">
        <v>0</v>
      </c>
      <c r="R250" s="2" t="inlineStr"/>
    </row>
    <row r="251" ht="15" customHeight="1">
      <c r="A251" t="inlineStr">
        <is>
          <t>A 18994-2025</t>
        </is>
      </c>
      <c r="B251" s="1" t="n">
        <v>45764.57350694444</v>
      </c>
      <c r="C251" s="1" t="n">
        <v>46161</v>
      </c>
      <c r="D251" t="inlineStr">
        <is>
          <t>UPPSALA LÄN</t>
        </is>
      </c>
      <c r="E251" t="inlineStr">
        <is>
          <t>ENKÖPING</t>
        </is>
      </c>
      <c r="G251" t="n">
        <v>3.8</v>
      </c>
      <c r="H251" t="n">
        <v>0</v>
      </c>
      <c r="I251" t="n">
        <v>0</v>
      </c>
      <c r="J251" t="n">
        <v>0</v>
      </c>
      <c r="K251" t="n">
        <v>0</v>
      </c>
      <c r="L251" t="n">
        <v>0</v>
      </c>
      <c r="M251" t="n">
        <v>0</v>
      </c>
      <c r="N251" t="n">
        <v>0</v>
      </c>
      <c r="O251" t="n">
        <v>0</v>
      </c>
      <c r="P251" t="n">
        <v>0</v>
      </c>
      <c r="Q251" t="n">
        <v>0</v>
      </c>
      <c r="R251" s="2" t="inlineStr"/>
    </row>
    <row r="252" ht="15" customHeight="1">
      <c r="A252" t="inlineStr">
        <is>
          <t>A 57848-2024</t>
        </is>
      </c>
      <c r="B252" s="1" t="n">
        <v>45631.40947916666</v>
      </c>
      <c r="C252" s="1" t="n">
        <v>46161</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49601-2024</t>
        </is>
      </c>
      <c r="B253" s="1" t="n">
        <v>45596.56288194445</v>
      </c>
      <c r="C253" s="1" t="n">
        <v>46161</v>
      </c>
      <c r="D253" t="inlineStr">
        <is>
          <t>UPPSALA LÄN</t>
        </is>
      </c>
      <c r="E253" t="inlineStr">
        <is>
          <t>ENKÖPING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16920-2023</t>
        </is>
      </c>
      <c r="B254" s="1" t="n">
        <v>45033.59030092593</v>
      </c>
      <c r="C254" s="1" t="n">
        <v>46161</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54844-2025</t>
        </is>
      </c>
      <c r="B255" s="1" t="n">
        <v>45966.69570601852</v>
      </c>
      <c r="C255" s="1" t="n">
        <v>46161</v>
      </c>
      <c r="D255" t="inlineStr">
        <is>
          <t>UPPSALA LÄN</t>
        </is>
      </c>
      <c r="E255" t="inlineStr">
        <is>
          <t>ENKÖPING</t>
        </is>
      </c>
      <c r="G255" t="n">
        <v>5.5</v>
      </c>
      <c r="H255" t="n">
        <v>0</v>
      </c>
      <c r="I255" t="n">
        <v>0</v>
      </c>
      <c r="J255" t="n">
        <v>0</v>
      </c>
      <c r="K255" t="n">
        <v>0</v>
      </c>
      <c r="L255" t="n">
        <v>0</v>
      </c>
      <c r="M255" t="n">
        <v>0</v>
      </c>
      <c r="N255" t="n">
        <v>0</v>
      </c>
      <c r="O255" t="n">
        <v>0</v>
      </c>
      <c r="P255" t="n">
        <v>0</v>
      </c>
      <c r="Q255" t="n">
        <v>0</v>
      </c>
      <c r="R255" s="2" t="inlineStr"/>
    </row>
    <row r="256" ht="15" customHeight="1">
      <c r="A256" t="inlineStr">
        <is>
          <t>A 53586-2024</t>
        </is>
      </c>
      <c r="B256" s="1" t="n">
        <v>45614</v>
      </c>
      <c r="C256" s="1" t="n">
        <v>46161</v>
      </c>
      <c r="D256" t="inlineStr">
        <is>
          <t>UPPSALA LÄN</t>
        </is>
      </c>
      <c r="E256" t="inlineStr">
        <is>
          <t>ENKÖPING</t>
        </is>
      </c>
      <c r="G256" t="n">
        <v>6.6</v>
      </c>
      <c r="H256" t="n">
        <v>0</v>
      </c>
      <c r="I256" t="n">
        <v>0</v>
      </c>
      <c r="J256" t="n">
        <v>0</v>
      </c>
      <c r="K256" t="n">
        <v>0</v>
      </c>
      <c r="L256" t="n">
        <v>0</v>
      </c>
      <c r="M256" t="n">
        <v>0</v>
      </c>
      <c r="N256" t="n">
        <v>0</v>
      </c>
      <c r="O256" t="n">
        <v>0</v>
      </c>
      <c r="P256" t="n">
        <v>0</v>
      </c>
      <c r="Q256" t="n">
        <v>0</v>
      </c>
      <c r="R256" s="2" t="inlineStr"/>
    </row>
    <row r="257" ht="15" customHeight="1">
      <c r="A257" t="inlineStr">
        <is>
          <t>A 29513-2025</t>
        </is>
      </c>
      <c r="B257" s="1" t="n">
        <v>45825</v>
      </c>
      <c r="C257" s="1" t="n">
        <v>46161</v>
      </c>
      <c r="D257" t="inlineStr">
        <is>
          <t>UPPSALA LÄN</t>
        </is>
      </c>
      <c r="E257" t="inlineStr">
        <is>
          <t>ENKÖPING</t>
        </is>
      </c>
      <c r="G257" t="n">
        <v>2.6</v>
      </c>
      <c r="H257" t="n">
        <v>0</v>
      </c>
      <c r="I257" t="n">
        <v>0</v>
      </c>
      <c r="J257" t="n">
        <v>0</v>
      </c>
      <c r="K257" t="n">
        <v>0</v>
      </c>
      <c r="L257" t="n">
        <v>0</v>
      </c>
      <c r="M257" t="n">
        <v>0</v>
      </c>
      <c r="N257" t="n">
        <v>0</v>
      </c>
      <c r="O257" t="n">
        <v>0</v>
      </c>
      <c r="P257" t="n">
        <v>0</v>
      </c>
      <c r="Q257" t="n">
        <v>0</v>
      </c>
      <c r="R257" s="2" t="inlineStr"/>
    </row>
    <row r="258" ht="15" customHeight="1">
      <c r="A258" t="inlineStr">
        <is>
          <t>A 54758-2025</t>
        </is>
      </c>
      <c r="B258" s="1" t="n">
        <v>45966.59737268519</v>
      </c>
      <c r="C258" s="1" t="n">
        <v>46161</v>
      </c>
      <c r="D258" t="inlineStr">
        <is>
          <t>UPPSALA LÄN</t>
        </is>
      </c>
      <c r="E258" t="inlineStr">
        <is>
          <t>ENKÖPING</t>
        </is>
      </c>
      <c r="G258" t="n">
        <v>3.3</v>
      </c>
      <c r="H258" t="n">
        <v>0</v>
      </c>
      <c r="I258" t="n">
        <v>0</v>
      </c>
      <c r="J258" t="n">
        <v>0</v>
      </c>
      <c r="K258" t="n">
        <v>0</v>
      </c>
      <c r="L258" t="n">
        <v>0</v>
      </c>
      <c r="M258" t="n">
        <v>0</v>
      </c>
      <c r="N258" t="n">
        <v>0</v>
      </c>
      <c r="O258" t="n">
        <v>0</v>
      </c>
      <c r="P258" t="n">
        <v>0</v>
      </c>
      <c r="Q258" t="n">
        <v>0</v>
      </c>
      <c r="R258" s="2" t="inlineStr"/>
    </row>
    <row r="259" ht="15" customHeight="1">
      <c r="A259" t="inlineStr">
        <is>
          <t>A 17844-2025</t>
        </is>
      </c>
      <c r="B259" s="1" t="n">
        <v>45758.59920138889</v>
      </c>
      <c r="C259" s="1" t="n">
        <v>46161</v>
      </c>
      <c r="D259" t="inlineStr">
        <is>
          <t>UPPSALA LÄN</t>
        </is>
      </c>
      <c r="E259" t="inlineStr">
        <is>
          <t>ENKÖPING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43506-2023</t>
        </is>
      </c>
      <c r="B260" s="1" t="n">
        <v>45181</v>
      </c>
      <c r="C260" s="1" t="n">
        <v>46161</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55567-2025</t>
        </is>
      </c>
      <c r="B261" s="1" t="n">
        <v>45971.65589120371</v>
      </c>
      <c r="C261" s="1" t="n">
        <v>46161</v>
      </c>
      <c r="D261" t="inlineStr">
        <is>
          <t>UPPSALA LÄN</t>
        </is>
      </c>
      <c r="E261" t="inlineStr">
        <is>
          <t>ENKÖPING</t>
        </is>
      </c>
      <c r="G261" t="n">
        <v>1.3</v>
      </c>
      <c r="H261" t="n">
        <v>0</v>
      </c>
      <c r="I261" t="n">
        <v>0</v>
      </c>
      <c r="J261" t="n">
        <v>0</v>
      </c>
      <c r="K261" t="n">
        <v>0</v>
      </c>
      <c r="L261" t="n">
        <v>0</v>
      </c>
      <c r="M261" t="n">
        <v>0</v>
      </c>
      <c r="N261" t="n">
        <v>0</v>
      </c>
      <c r="O261" t="n">
        <v>0</v>
      </c>
      <c r="P261" t="n">
        <v>0</v>
      </c>
      <c r="Q261" t="n">
        <v>0</v>
      </c>
      <c r="R261" s="2" t="inlineStr"/>
    </row>
    <row r="262" ht="15" customHeight="1">
      <c r="A262" t="inlineStr">
        <is>
          <t>A 46186-2023</t>
        </is>
      </c>
      <c r="B262" s="1" t="n">
        <v>45196</v>
      </c>
      <c r="C262" s="1" t="n">
        <v>46161</v>
      </c>
      <c r="D262" t="inlineStr">
        <is>
          <t>UPPSALA LÄN</t>
        </is>
      </c>
      <c r="E262" t="inlineStr">
        <is>
          <t>ENKÖPING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54595-2021</t>
        </is>
      </c>
      <c r="B263" s="1" t="n">
        <v>44473.58824074074</v>
      </c>
      <c r="C263" s="1" t="n">
        <v>46161</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54588-2024</t>
        </is>
      </c>
      <c r="B264" s="1" t="n">
        <v>45617</v>
      </c>
      <c r="C264" s="1" t="n">
        <v>46161</v>
      </c>
      <c r="D264" t="inlineStr">
        <is>
          <t>UPPSALA LÄN</t>
        </is>
      </c>
      <c r="E264" t="inlineStr">
        <is>
          <t>ENKÖPING</t>
        </is>
      </c>
      <c r="G264" t="n">
        <v>3.7</v>
      </c>
      <c r="H264" t="n">
        <v>0</v>
      </c>
      <c r="I264" t="n">
        <v>0</v>
      </c>
      <c r="J264" t="n">
        <v>0</v>
      </c>
      <c r="K264" t="n">
        <v>0</v>
      </c>
      <c r="L264" t="n">
        <v>0</v>
      </c>
      <c r="M264" t="n">
        <v>0</v>
      </c>
      <c r="N264" t="n">
        <v>0</v>
      </c>
      <c r="O264" t="n">
        <v>0</v>
      </c>
      <c r="P264" t="n">
        <v>0</v>
      </c>
      <c r="Q264" t="n">
        <v>0</v>
      </c>
      <c r="R264" s="2" t="inlineStr"/>
    </row>
    <row r="265" ht="15" customHeight="1">
      <c r="A265" t="inlineStr">
        <is>
          <t>A 47428-2023</t>
        </is>
      </c>
      <c r="B265" s="1" t="n">
        <v>45202.66664351852</v>
      </c>
      <c r="C265" s="1" t="n">
        <v>46161</v>
      </c>
      <c r="D265" t="inlineStr">
        <is>
          <t>UPPSALA LÄN</t>
        </is>
      </c>
      <c r="E265" t="inlineStr">
        <is>
          <t>ENKÖPING</t>
        </is>
      </c>
      <c r="G265" t="n">
        <v>3</v>
      </c>
      <c r="H265" t="n">
        <v>0</v>
      </c>
      <c r="I265" t="n">
        <v>0</v>
      </c>
      <c r="J265" t="n">
        <v>0</v>
      </c>
      <c r="K265" t="n">
        <v>0</v>
      </c>
      <c r="L265" t="n">
        <v>0</v>
      </c>
      <c r="M265" t="n">
        <v>0</v>
      </c>
      <c r="N265" t="n">
        <v>0</v>
      </c>
      <c r="O265" t="n">
        <v>0</v>
      </c>
      <c r="P265" t="n">
        <v>0</v>
      </c>
      <c r="Q265" t="n">
        <v>0</v>
      </c>
      <c r="R265" s="2" t="inlineStr"/>
    </row>
    <row r="266" ht="15" customHeight="1">
      <c r="A266" t="inlineStr">
        <is>
          <t>A 21501-2025</t>
        </is>
      </c>
      <c r="B266" s="1" t="n">
        <v>45782</v>
      </c>
      <c r="C266" s="1" t="n">
        <v>46161</v>
      </c>
      <c r="D266" t="inlineStr">
        <is>
          <t>UPPSALA LÄN</t>
        </is>
      </c>
      <c r="E266" t="inlineStr">
        <is>
          <t>ENKÖPING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34988-2025</t>
        </is>
      </c>
      <c r="B267" s="1" t="n">
        <v>45849</v>
      </c>
      <c r="C267" s="1" t="n">
        <v>46161</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5892-2023</t>
        </is>
      </c>
      <c r="B268" s="1" t="n">
        <v>44963.64883101852</v>
      </c>
      <c r="C268" s="1" t="n">
        <v>46161</v>
      </c>
      <c r="D268" t="inlineStr">
        <is>
          <t>UPPSALA LÄN</t>
        </is>
      </c>
      <c r="E268" t="inlineStr">
        <is>
          <t>ENKÖPING</t>
        </is>
      </c>
      <c r="G268" t="n">
        <v>5.5</v>
      </c>
      <c r="H268" t="n">
        <v>0</v>
      </c>
      <c r="I268" t="n">
        <v>0</v>
      </c>
      <c r="J268" t="n">
        <v>0</v>
      </c>
      <c r="K268" t="n">
        <v>0</v>
      </c>
      <c r="L268" t="n">
        <v>0</v>
      </c>
      <c r="M268" t="n">
        <v>0</v>
      </c>
      <c r="N268" t="n">
        <v>0</v>
      </c>
      <c r="O268" t="n">
        <v>0</v>
      </c>
      <c r="P268" t="n">
        <v>0</v>
      </c>
      <c r="Q268" t="n">
        <v>0</v>
      </c>
      <c r="R268" s="2" t="inlineStr"/>
    </row>
    <row r="269" ht="15" customHeight="1">
      <c r="A269" t="inlineStr">
        <is>
          <t>A 34987-2025</t>
        </is>
      </c>
      <c r="B269" s="1" t="n">
        <v>45849</v>
      </c>
      <c r="C269" s="1" t="n">
        <v>46161</v>
      </c>
      <c r="D269" t="inlineStr">
        <is>
          <t>UPPSALA LÄN</t>
        </is>
      </c>
      <c r="E269" t="inlineStr">
        <is>
          <t>ENKÖPING</t>
        </is>
      </c>
      <c r="G269" t="n">
        <v>2.2</v>
      </c>
      <c r="H269" t="n">
        <v>0</v>
      </c>
      <c r="I269" t="n">
        <v>0</v>
      </c>
      <c r="J269" t="n">
        <v>0</v>
      </c>
      <c r="K269" t="n">
        <v>0</v>
      </c>
      <c r="L269" t="n">
        <v>0</v>
      </c>
      <c r="M269" t="n">
        <v>0</v>
      </c>
      <c r="N269" t="n">
        <v>0</v>
      </c>
      <c r="O269" t="n">
        <v>0</v>
      </c>
      <c r="P269" t="n">
        <v>0</v>
      </c>
      <c r="Q269" t="n">
        <v>0</v>
      </c>
      <c r="R269" s="2" t="inlineStr"/>
    </row>
    <row r="270" ht="15" customHeight="1">
      <c r="A270" t="inlineStr">
        <is>
          <t>A 671-2022</t>
        </is>
      </c>
      <c r="B270" s="1" t="n">
        <v>44568</v>
      </c>
      <c r="C270" s="1" t="n">
        <v>46161</v>
      </c>
      <c r="D270" t="inlineStr">
        <is>
          <t>UPPSALA LÄN</t>
        </is>
      </c>
      <c r="E270" t="inlineStr">
        <is>
          <t>ENKÖPING</t>
        </is>
      </c>
      <c r="G270" t="n">
        <v>3.5</v>
      </c>
      <c r="H270" t="n">
        <v>0</v>
      </c>
      <c r="I270" t="n">
        <v>0</v>
      </c>
      <c r="J270" t="n">
        <v>0</v>
      </c>
      <c r="K270" t="n">
        <v>0</v>
      </c>
      <c r="L270" t="n">
        <v>0</v>
      </c>
      <c r="M270" t="n">
        <v>0</v>
      </c>
      <c r="N270" t="n">
        <v>0</v>
      </c>
      <c r="O270" t="n">
        <v>0</v>
      </c>
      <c r="P270" t="n">
        <v>0</v>
      </c>
      <c r="Q270" t="n">
        <v>0</v>
      </c>
      <c r="R270" s="2" t="inlineStr"/>
    </row>
    <row r="271" ht="15" customHeight="1">
      <c r="A271" t="inlineStr">
        <is>
          <t>A 43488-2023</t>
        </is>
      </c>
      <c r="B271" s="1" t="n">
        <v>45181</v>
      </c>
      <c r="C271" s="1" t="n">
        <v>46161</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36492-2025</t>
        </is>
      </c>
      <c r="B272" s="1" t="n">
        <v>45869</v>
      </c>
      <c r="C272" s="1" t="n">
        <v>46161</v>
      </c>
      <c r="D272" t="inlineStr">
        <is>
          <t>UPPSALA LÄN</t>
        </is>
      </c>
      <c r="E272" t="inlineStr">
        <is>
          <t>ENKÖPING</t>
        </is>
      </c>
      <c r="G272" t="n">
        <v>6.3</v>
      </c>
      <c r="H272" t="n">
        <v>0</v>
      </c>
      <c r="I272" t="n">
        <v>0</v>
      </c>
      <c r="J272" t="n">
        <v>0</v>
      </c>
      <c r="K272" t="n">
        <v>0</v>
      </c>
      <c r="L272" t="n">
        <v>0</v>
      </c>
      <c r="M272" t="n">
        <v>0</v>
      </c>
      <c r="N272" t="n">
        <v>0</v>
      </c>
      <c r="O272" t="n">
        <v>0</v>
      </c>
      <c r="P272" t="n">
        <v>0</v>
      </c>
      <c r="Q272" t="n">
        <v>0</v>
      </c>
      <c r="R272" s="2" t="inlineStr"/>
    </row>
    <row r="273" ht="15" customHeight="1">
      <c r="A273" t="inlineStr">
        <is>
          <t>A 36350-2025</t>
        </is>
      </c>
      <c r="B273" s="1" t="n">
        <v>45868</v>
      </c>
      <c r="C273" s="1" t="n">
        <v>46161</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9171-2024</t>
        </is>
      </c>
      <c r="B274" s="1" t="n">
        <v>45358</v>
      </c>
      <c r="C274" s="1" t="n">
        <v>46161</v>
      </c>
      <c r="D274" t="inlineStr">
        <is>
          <t>UPPSALA LÄN</t>
        </is>
      </c>
      <c r="E274" t="inlineStr">
        <is>
          <t>ENKÖPING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43230-2023</t>
        </is>
      </c>
      <c r="B275" s="1" t="n">
        <v>45183</v>
      </c>
      <c r="C275" s="1" t="n">
        <v>46161</v>
      </c>
      <c r="D275" t="inlineStr">
        <is>
          <t>UPPSALA LÄN</t>
        </is>
      </c>
      <c r="E275" t="inlineStr">
        <is>
          <t>ENKÖPING</t>
        </is>
      </c>
      <c r="G275" t="n">
        <v>2.1</v>
      </c>
      <c r="H275" t="n">
        <v>0</v>
      </c>
      <c r="I275" t="n">
        <v>0</v>
      </c>
      <c r="J275" t="n">
        <v>0</v>
      </c>
      <c r="K275" t="n">
        <v>0</v>
      </c>
      <c r="L275" t="n">
        <v>0</v>
      </c>
      <c r="M275" t="n">
        <v>0</v>
      </c>
      <c r="N275" t="n">
        <v>0</v>
      </c>
      <c r="O275" t="n">
        <v>0</v>
      </c>
      <c r="P275" t="n">
        <v>0</v>
      </c>
      <c r="Q275" t="n">
        <v>0</v>
      </c>
      <c r="R275" s="2" t="inlineStr"/>
    </row>
    <row r="276" ht="15" customHeight="1">
      <c r="A276" t="inlineStr">
        <is>
          <t>A 36599-2025</t>
        </is>
      </c>
      <c r="B276" s="1" t="n">
        <v>45870.51723379629</v>
      </c>
      <c r="C276" s="1" t="n">
        <v>46161</v>
      </c>
      <c r="D276" t="inlineStr">
        <is>
          <t>UPPSALA LÄN</t>
        </is>
      </c>
      <c r="E276" t="inlineStr">
        <is>
          <t>ENKÖPING</t>
        </is>
      </c>
      <c r="G276" t="n">
        <v>5.9</v>
      </c>
      <c r="H276" t="n">
        <v>0</v>
      </c>
      <c r="I276" t="n">
        <v>0</v>
      </c>
      <c r="J276" t="n">
        <v>0</v>
      </c>
      <c r="K276" t="n">
        <v>0</v>
      </c>
      <c r="L276" t="n">
        <v>0</v>
      </c>
      <c r="M276" t="n">
        <v>0</v>
      </c>
      <c r="N276" t="n">
        <v>0</v>
      </c>
      <c r="O276" t="n">
        <v>0</v>
      </c>
      <c r="P276" t="n">
        <v>0</v>
      </c>
      <c r="Q276" t="n">
        <v>0</v>
      </c>
      <c r="R276" s="2" t="inlineStr"/>
    </row>
    <row r="277" ht="15" customHeight="1">
      <c r="A277" t="inlineStr">
        <is>
          <t>A 45362-2022</t>
        </is>
      </c>
      <c r="B277" s="1" t="n">
        <v>44844.62366898148</v>
      </c>
      <c r="C277" s="1" t="n">
        <v>46161</v>
      </c>
      <c r="D277" t="inlineStr">
        <is>
          <t>UPPSALA LÄN</t>
        </is>
      </c>
      <c r="E277" t="inlineStr">
        <is>
          <t>ENKÖPING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72840-2021</t>
        </is>
      </c>
      <c r="B278" s="1" t="n">
        <v>44547</v>
      </c>
      <c r="C278" s="1" t="n">
        <v>46161</v>
      </c>
      <c r="D278" t="inlineStr">
        <is>
          <t>UPPSALA LÄN</t>
        </is>
      </c>
      <c r="E278" t="inlineStr">
        <is>
          <t>ENKÖPING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56625-2025</t>
        </is>
      </c>
      <c r="B279" s="1" t="n">
        <v>45975.60608796297</v>
      </c>
      <c r="C279" s="1" t="n">
        <v>46161</v>
      </c>
      <c r="D279" t="inlineStr">
        <is>
          <t>UPPSALA LÄN</t>
        </is>
      </c>
      <c r="E279" t="inlineStr">
        <is>
          <t>ENKÖPING</t>
        </is>
      </c>
      <c r="G279" t="n">
        <v>0.7</v>
      </c>
      <c r="H279" t="n">
        <v>0</v>
      </c>
      <c r="I279" t="n">
        <v>0</v>
      </c>
      <c r="J279" t="n">
        <v>0</v>
      </c>
      <c r="K279" t="n">
        <v>0</v>
      </c>
      <c r="L279" t="n">
        <v>0</v>
      </c>
      <c r="M279" t="n">
        <v>0</v>
      </c>
      <c r="N279" t="n">
        <v>0</v>
      </c>
      <c r="O279" t="n">
        <v>0</v>
      </c>
      <c r="P279" t="n">
        <v>0</v>
      </c>
      <c r="Q279" t="n">
        <v>0</v>
      </c>
      <c r="R279" s="2" t="inlineStr"/>
    </row>
    <row r="280" ht="15" customHeight="1">
      <c r="A280" t="inlineStr">
        <is>
          <t>A 37498-2025</t>
        </is>
      </c>
      <c r="B280" s="1" t="n">
        <v>45877</v>
      </c>
      <c r="C280" s="1" t="n">
        <v>46161</v>
      </c>
      <c r="D280" t="inlineStr">
        <is>
          <t>UPPSALA LÄN</t>
        </is>
      </c>
      <c r="E280" t="inlineStr">
        <is>
          <t>ENKÖPING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37296-2025</t>
        </is>
      </c>
      <c r="B281" s="1" t="n">
        <v>45876</v>
      </c>
      <c r="C281" s="1" t="n">
        <v>46161</v>
      </c>
      <c r="D281" t="inlineStr">
        <is>
          <t>UPPSALA LÄN</t>
        </is>
      </c>
      <c r="E281" t="inlineStr">
        <is>
          <t>ENKÖPING</t>
        </is>
      </c>
      <c r="G281" t="n">
        <v>9.5</v>
      </c>
      <c r="H281" t="n">
        <v>0</v>
      </c>
      <c r="I281" t="n">
        <v>0</v>
      </c>
      <c r="J281" t="n">
        <v>0</v>
      </c>
      <c r="K281" t="n">
        <v>0</v>
      </c>
      <c r="L281" t="n">
        <v>0</v>
      </c>
      <c r="M281" t="n">
        <v>0</v>
      </c>
      <c r="N281" t="n">
        <v>0</v>
      </c>
      <c r="O281" t="n">
        <v>0</v>
      </c>
      <c r="P281" t="n">
        <v>0</v>
      </c>
      <c r="Q281" t="n">
        <v>0</v>
      </c>
      <c r="R281" s="2" t="inlineStr"/>
    </row>
    <row r="282" ht="15" customHeight="1">
      <c r="A282" t="inlineStr">
        <is>
          <t>A 37319-2025</t>
        </is>
      </c>
      <c r="B282" s="1" t="n">
        <v>45876</v>
      </c>
      <c r="C282" s="1" t="n">
        <v>46161</v>
      </c>
      <c r="D282" t="inlineStr">
        <is>
          <t>UPPSALA LÄN</t>
        </is>
      </c>
      <c r="E282" t="inlineStr">
        <is>
          <t>ENKÖPING</t>
        </is>
      </c>
      <c r="G282" t="n">
        <v>9.5</v>
      </c>
      <c r="H282" t="n">
        <v>0</v>
      </c>
      <c r="I282" t="n">
        <v>0</v>
      </c>
      <c r="J282" t="n">
        <v>0</v>
      </c>
      <c r="K282" t="n">
        <v>0</v>
      </c>
      <c r="L282" t="n">
        <v>0</v>
      </c>
      <c r="M282" t="n">
        <v>0</v>
      </c>
      <c r="N282" t="n">
        <v>0</v>
      </c>
      <c r="O282" t="n">
        <v>0</v>
      </c>
      <c r="P282" t="n">
        <v>0</v>
      </c>
      <c r="Q282" t="n">
        <v>0</v>
      </c>
      <c r="R282" s="2" t="inlineStr"/>
    </row>
    <row r="283" ht="15" customHeight="1">
      <c r="A283" t="inlineStr">
        <is>
          <t>A 34617-2022</t>
        </is>
      </c>
      <c r="B283" s="1" t="n">
        <v>44795</v>
      </c>
      <c r="C283" s="1" t="n">
        <v>46161</v>
      </c>
      <c r="D283" t="inlineStr">
        <is>
          <t>UPPSALA LÄN</t>
        </is>
      </c>
      <c r="E283" t="inlineStr">
        <is>
          <t>ENKÖPING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1992-2022</t>
        </is>
      </c>
      <c r="B284" s="1" t="n">
        <v>44575.56153935185</v>
      </c>
      <c r="C284" s="1" t="n">
        <v>46161</v>
      </c>
      <c r="D284" t="inlineStr">
        <is>
          <t>UPPSALA LÄN</t>
        </is>
      </c>
      <c r="E284" t="inlineStr">
        <is>
          <t>ENKÖPING</t>
        </is>
      </c>
      <c r="G284" t="n">
        <v>2.8</v>
      </c>
      <c r="H284" t="n">
        <v>0</v>
      </c>
      <c r="I284" t="n">
        <v>0</v>
      </c>
      <c r="J284" t="n">
        <v>0</v>
      </c>
      <c r="K284" t="n">
        <v>0</v>
      </c>
      <c r="L284" t="n">
        <v>0</v>
      </c>
      <c r="M284" t="n">
        <v>0</v>
      </c>
      <c r="N284" t="n">
        <v>0</v>
      </c>
      <c r="O284" t="n">
        <v>0</v>
      </c>
      <c r="P284" t="n">
        <v>0</v>
      </c>
      <c r="Q284" t="n">
        <v>0</v>
      </c>
      <c r="R284" s="2" t="inlineStr"/>
    </row>
    <row r="285" ht="15" customHeight="1">
      <c r="A285" t="inlineStr">
        <is>
          <t>A 1695-2025</t>
        </is>
      </c>
      <c r="B285" s="1" t="n">
        <v>45670</v>
      </c>
      <c r="C285" s="1" t="n">
        <v>46161</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49622-2024</t>
        </is>
      </c>
      <c r="B286" s="1" t="n">
        <v>45596.58372685185</v>
      </c>
      <c r="C286" s="1" t="n">
        <v>46161</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54357-2023</t>
        </is>
      </c>
      <c r="B287" s="1" t="n">
        <v>45225</v>
      </c>
      <c r="C287" s="1" t="n">
        <v>46161</v>
      </c>
      <c r="D287" t="inlineStr">
        <is>
          <t>UPPSALA LÄN</t>
        </is>
      </c>
      <c r="E287" t="inlineStr">
        <is>
          <t>ENKÖPING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24962-2023</t>
        </is>
      </c>
      <c r="B288" s="1" t="n">
        <v>45085.60123842592</v>
      </c>
      <c r="C288" s="1" t="n">
        <v>46161</v>
      </c>
      <c r="D288" t="inlineStr">
        <is>
          <t>UPPSALA LÄN</t>
        </is>
      </c>
      <c r="E288" t="inlineStr">
        <is>
          <t>ENKÖPING</t>
        </is>
      </c>
      <c r="G288" t="n">
        <v>2.8</v>
      </c>
      <c r="H288" t="n">
        <v>0</v>
      </c>
      <c r="I288" t="n">
        <v>0</v>
      </c>
      <c r="J288" t="n">
        <v>0</v>
      </c>
      <c r="K288" t="n">
        <v>0</v>
      </c>
      <c r="L288" t="n">
        <v>0</v>
      </c>
      <c r="M288" t="n">
        <v>0</v>
      </c>
      <c r="N288" t="n">
        <v>0</v>
      </c>
      <c r="O288" t="n">
        <v>0</v>
      </c>
      <c r="P288" t="n">
        <v>0</v>
      </c>
      <c r="Q288" t="n">
        <v>0</v>
      </c>
      <c r="R288" s="2" t="inlineStr"/>
    </row>
    <row r="289" ht="15" customHeight="1">
      <c r="A289" t="inlineStr">
        <is>
          <t>A 57294-2025</t>
        </is>
      </c>
      <c r="B289" s="1" t="n">
        <v>45979</v>
      </c>
      <c r="C289" s="1" t="n">
        <v>46161</v>
      </c>
      <c r="D289" t="inlineStr">
        <is>
          <t>UPPSALA LÄN</t>
        </is>
      </c>
      <c r="E289" t="inlineStr">
        <is>
          <t>ENKÖPING</t>
        </is>
      </c>
      <c r="G289" t="n">
        <v>6.2</v>
      </c>
      <c r="H289" t="n">
        <v>0</v>
      </c>
      <c r="I289" t="n">
        <v>0</v>
      </c>
      <c r="J289" t="n">
        <v>0</v>
      </c>
      <c r="K289" t="n">
        <v>0</v>
      </c>
      <c r="L289" t="n">
        <v>0</v>
      </c>
      <c r="M289" t="n">
        <v>0</v>
      </c>
      <c r="N289" t="n">
        <v>0</v>
      </c>
      <c r="O289" t="n">
        <v>0</v>
      </c>
      <c r="P289" t="n">
        <v>0</v>
      </c>
      <c r="Q289" t="n">
        <v>0</v>
      </c>
      <c r="R289" s="2" t="inlineStr"/>
    </row>
    <row r="290" ht="15" customHeight="1">
      <c r="A290" t="inlineStr">
        <is>
          <t>A 58961-2024</t>
        </is>
      </c>
      <c r="B290" s="1" t="n">
        <v>45636.585</v>
      </c>
      <c r="C290" s="1" t="n">
        <v>46161</v>
      </c>
      <c r="D290" t="inlineStr">
        <is>
          <t>UPPSALA LÄN</t>
        </is>
      </c>
      <c r="E290" t="inlineStr">
        <is>
          <t>ENKÖPING</t>
        </is>
      </c>
      <c r="G290" t="n">
        <v>4</v>
      </c>
      <c r="H290" t="n">
        <v>0</v>
      </c>
      <c r="I290" t="n">
        <v>0</v>
      </c>
      <c r="J290" t="n">
        <v>0</v>
      </c>
      <c r="K290" t="n">
        <v>0</v>
      </c>
      <c r="L290" t="n">
        <v>0</v>
      </c>
      <c r="M290" t="n">
        <v>0</v>
      </c>
      <c r="N290" t="n">
        <v>0</v>
      </c>
      <c r="O290" t="n">
        <v>0</v>
      </c>
      <c r="P290" t="n">
        <v>0</v>
      </c>
      <c r="Q290" t="n">
        <v>0</v>
      </c>
      <c r="R290" s="2" t="inlineStr"/>
    </row>
    <row r="291" ht="15" customHeight="1">
      <c r="A291" t="inlineStr">
        <is>
          <t>A 53595-2023</t>
        </is>
      </c>
      <c r="B291" s="1" t="n">
        <v>45223</v>
      </c>
      <c r="C291" s="1" t="n">
        <v>46161</v>
      </c>
      <c r="D291" t="inlineStr">
        <is>
          <t>UPPSALA LÄN</t>
        </is>
      </c>
      <c r="E291" t="inlineStr">
        <is>
          <t>ENKÖPING</t>
        </is>
      </c>
      <c r="G291" t="n">
        <v>2.6</v>
      </c>
      <c r="H291" t="n">
        <v>0</v>
      </c>
      <c r="I291" t="n">
        <v>0</v>
      </c>
      <c r="J291" t="n">
        <v>0</v>
      </c>
      <c r="K291" t="n">
        <v>0</v>
      </c>
      <c r="L291" t="n">
        <v>0</v>
      </c>
      <c r="M291" t="n">
        <v>0</v>
      </c>
      <c r="N291" t="n">
        <v>0</v>
      </c>
      <c r="O291" t="n">
        <v>0</v>
      </c>
      <c r="P291" t="n">
        <v>0</v>
      </c>
      <c r="Q291" t="n">
        <v>0</v>
      </c>
      <c r="R291" s="2" t="inlineStr"/>
    </row>
    <row r="292" ht="15" customHeight="1">
      <c r="A292" t="inlineStr">
        <is>
          <t>A 15893-2024</t>
        </is>
      </c>
      <c r="B292" s="1" t="n">
        <v>45405</v>
      </c>
      <c r="C292" s="1" t="n">
        <v>46161</v>
      </c>
      <c r="D292" t="inlineStr">
        <is>
          <t>UPPSALA LÄN</t>
        </is>
      </c>
      <c r="E292" t="inlineStr">
        <is>
          <t>ENKÖPING</t>
        </is>
      </c>
      <c r="G292" t="n">
        <v>1.9</v>
      </c>
      <c r="H292" t="n">
        <v>0</v>
      </c>
      <c r="I292" t="n">
        <v>0</v>
      </c>
      <c r="J292" t="n">
        <v>0</v>
      </c>
      <c r="K292" t="n">
        <v>0</v>
      </c>
      <c r="L292" t="n">
        <v>0</v>
      </c>
      <c r="M292" t="n">
        <v>0</v>
      </c>
      <c r="N292" t="n">
        <v>0</v>
      </c>
      <c r="O292" t="n">
        <v>0</v>
      </c>
      <c r="P292" t="n">
        <v>0</v>
      </c>
      <c r="Q292" t="n">
        <v>0</v>
      </c>
      <c r="R292" s="2" t="inlineStr"/>
    </row>
    <row r="293" ht="15" customHeight="1">
      <c r="A293" t="inlineStr">
        <is>
          <t>A 58025-2025</t>
        </is>
      </c>
      <c r="B293" s="1" t="n">
        <v>45982</v>
      </c>
      <c r="C293" s="1" t="n">
        <v>46161</v>
      </c>
      <c r="D293" t="inlineStr">
        <is>
          <t>UPPSALA LÄN</t>
        </is>
      </c>
      <c r="E293" t="inlineStr">
        <is>
          <t>ENKÖPING</t>
        </is>
      </c>
      <c r="G293" t="n">
        <v>3.2</v>
      </c>
      <c r="H293" t="n">
        <v>0</v>
      </c>
      <c r="I293" t="n">
        <v>0</v>
      </c>
      <c r="J293" t="n">
        <v>0</v>
      </c>
      <c r="K293" t="n">
        <v>0</v>
      </c>
      <c r="L293" t="n">
        <v>0</v>
      </c>
      <c r="M293" t="n">
        <v>0</v>
      </c>
      <c r="N293" t="n">
        <v>0</v>
      </c>
      <c r="O293" t="n">
        <v>0</v>
      </c>
      <c r="P293" t="n">
        <v>0</v>
      </c>
      <c r="Q293" t="n">
        <v>0</v>
      </c>
      <c r="R293" s="2" t="inlineStr"/>
    </row>
    <row r="294" ht="15" customHeight="1">
      <c r="A294" t="inlineStr">
        <is>
          <t>A 18028-2023</t>
        </is>
      </c>
      <c r="B294" s="1" t="n">
        <v>45040</v>
      </c>
      <c r="C294" s="1" t="n">
        <v>46161</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57188-2025</t>
        </is>
      </c>
      <c r="B295" s="1" t="n">
        <v>45979</v>
      </c>
      <c r="C295" s="1" t="n">
        <v>46161</v>
      </c>
      <c r="D295" t="inlineStr">
        <is>
          <t>UPPSALA LÄN</t>
        </is>
      </c>
      <c r="E295" t="inlineStr">
        <is>
          <t>ENKÖPING</t>
        </is>
      </c>
      <c r="G295" t="n">
        <v>1.7</v>
      </c>
      <c r="H295" t="n">
        <v>0</v>
      </c>
      <c r="I295" t="n">
        <v>0</v>
      </c>
      <c r="J295" t="n">
        <v>0</v>
      </c>
      <c r="K295" t="n">
        <v>0</v>
      </c>
      <c r="L295" t="n">
        <v>0</v>
      </c>
      <c r="M295" t="n">
        <v>0</v>
      </c>
      <c r="N295" t="n">
        <v>0</v>
      </c>
      <c r="O295" t="n">
        <v>0</v>
      </c>
      <c r="P295" t="n">
        <v>0</v>
      </c>
      <c r="Q295" t="n">
        <v>0</v>
      </c>
      <c r="R295" s="2" t="inlineStr"/>
    </row>
    <row r="296" ht="15" customHeight="1">
      <c r="A296" t="inlineStr">
        <is>
          <t>A 48843-2023</t>
        </is>
      </c>
      <c r="B296" s="1" t="n">
        <v>45209</v>
      </c>
      <c r="C296" s="1" t="n">
        <v>46161</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33670-2024</t>
        </is>
      </c>
      <c r="B297" s="1" t="n">
        <v>45520</v>
      </c>
      <c r="C297" s="1" t="n">
        <v>46161</v>
      </c>
      <c r="D297" t="inlineStr">
        <is>
          <t>UPPSALA LÄN</t>
        </is>
      </c>
      <c r="E297" t="inlineStr">
        <is>
          <t>ENKÖPING</t>
        </is>
      </c>
      <c r="G297" t="n">
        <v>1.9</v>
      </c>
      <c r="H297" t="n">
        <v>0</v>
      </c>
      <c r="I297" t="n">
        <v>0</v>
      </c>
      <c r="J297" t="n">
        <v>0</v>
      </c>
      <c r="K297" t="n">
        <v>0</v>
      </c>
      <c r="L297" t="n">
        <v>0</v>
      </c>
      <c r="M297" t="n">
        <v>0</v>
      </c>
      <c r="N297" t="n">
        <v>0</v>
      </c>
      <c r="O297" t="n">
        <v>0</v>
      </c>
      <c r="P297" t="n">
        <v>0</v>
      </c>
      <c r="Q297" t="n">
        <v>0</v>
      </c>
      <c r="R297" s="2" t="inlineStr"/>
    </row>
    <row r="298" ht="15" customHeight="1">
      <c r="A298" t="inlineStr">
        <is>
          <t>A 19376-2024</t>
        </is>
      </c>
      <c r="B298" s="1" t="n">
        <v>45429</v>
      </c>
      <c r="C298" s="1" t="n">
        <v>46161</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59668-2025</t>
        </is>
      </c>
      <c r="B299" s="1" t="n">
        <v>45992.45567129629</v>
      </c>
      <c r="C299" s="1" t="n">
        <v>46161</v>
      </c>
      <c r="D299" t="inlineStr">
        <is>
          <t>UPPSALA LÄN</t>
        </is>
      </c>
      <c r="E299" t="inlineStr">
        <is>
          <t>ENKÖPING</t>
        </is>
      </c>
      <c r="G299" t="n">
        <v>3.3</v>
      </c>
      <c r="H299" t="n">
        <v>0</v>
      </c>
      <c r="I299" t="n">
        <v>0</v>
      </c>
      <c r="J299" t="n">
        <v>0</v>
      </c>
      <c r="K299" t="n">
        <v>0</v>
      </c>
      <c r="L299" t="n">
        <v>0</v>
      </c>
      <c r="M299" t="n">
        <v>0</v>
      </c>
      <c r="N299" t="n">
        <v>0</v>
      </c>
      <c r="O299" t="n">
        <v>0</v>
      </c>
      <c r="P299" t="n">
        <v>0</v>
      </c>
      <c r="Q299" t="n">
        <v>0</v>
      </c>
      <c r="R299" s="2" t="inlineStr"/>
    </row>
    <row r="300" ht="15" customHeight="1">
      <c r="A300" t="inlineStr">
        <is>
          <t>A 59964-2025</t>
        </is>
      </c>
      <c r="B300" s="1" t="n">
        <v>45993.48043981481</v>
      </c>
      <c r="C300" s="1" t="n">
        <v>46161</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60340-2025</t>
        </is>
      </c>
      <c r="B301" s="1" t="n">
        <v>45994.83415509259</v>
      </c>
      <c r="C301" s="1" t="n">
        <v>46161</v>
      </c>
      <c r="D301" t="inlineStr">
        <is>
          <t>UPPSALA LÄN</t>
        </is>
      </c>
      <c r="E301" t="inlineStr">
        <is>
          <t>ENKÖPING</t>
        </is>
      </c>
      <c r="G301" t="n">
        <v>5.6</v>
      </c>
      <c r="H301" t="n">
        <v>0</v>
      </c>
      <c r="I301" t="n">
        <v>0</v>
      </c>
      <c r="J301" t="n">
        <v>0</v>
      </c>
      <c r="K301" t="n">
        <v>0</v>
      </c>
      <c r="L301" t="n">
        <v>0</v>
      </c>
      <c r="M301" t="n">
        <v>0</v>
      </c>
      <c r="N301" t="n">
        <v>0</v>
      </c>
      <c r="O301" t="n">
        <v>0</v>
      </c>
      <c r="P301" t="n">
        <v>0</v>
      </c>
      <c r="Q301" t="n">
        <v>0</v>
      </c>
      <c r="R301" s="2" t="inlineStr"/>
    </row>
    <row r="302" ht="15" customHeight="1">
      <c r="A302" t="inlineStr">
        <is>
          <t>A 12020-2024</t>
        </is>
      </c>
      <c r="B302" s="1" t="n">
        <v>45377</v>
      </c>
      <c r="C302" s="1" t="n">
        <v>46161</v>
      </c>
      <c r="D302" t="inlineStr">
        <is>
          <t>UPPSALA LÄN</t>
        </is>
      </c>
      <c r="E302" t="inlineStr">
        <is>
          <t>ENKÖPING</t>
        </is>
      </c>
      <c r="G302" t="n">
        <v>2</v>
      </c>
      <c r="H302" t="n">
        <v>0</v>
      </c>
      <c r="I302" t="n">
        <v>0</v>
      </c>
      <c r="J302" t="n">
        <v>0</v>
      </c>
      <c r="K302" t="n">
        <v>0</v>
      </c>
      <c r="L302" t="n">
        <v>0</v>
      </c>
      <c r="M302" t="n">
        <v>0</v>
      </c>
      <c r="N302" t="n">
        <v>0</v>
      </c>
      <c r="O302" t="n">
        <v>0</v>
      </c>
      <c r="P302" t="n">
        <v>0</v>
      </c>
      <c r="Q302" t="n">
        <v>0</v>
      </c>
      <c r="R302" s="2" t="inlineStr"/>
    </row>
    <row r="303" ht="15" customHeight="1">
      <c r="A303" t="inlineStr">
        <is>
          <t>A 60174-2025</t>
        </is>
      </c>
      <c r="B303" s="1" t="n">
        <v>45994.45039351852</v>
      </c>
      <c r="C303" s="1" t="n">
        <v>46161</v>
      </c>
      <c r="D303" t="inlineStr">
        <is>
          <t>UPPSALA LÄN</t>
        </is>
      </c>
      <c r="E303" t="inlineStr">
        <is>
          <t>ENKÖPING</t>
        </is>
      </c>
      <c r="G303" t="n">
        <v>2.8</v>
      </c>
      <c r="H303" t="n">
        <v>0</v>
      </c>
      <c r="I303" t="n">
        <v>0</v>
      </c>
      <c r="J303" t="n">
        <v>0</v>
      </c>
      <c r="K303" t="n">
        <v>0</v>
      </c>
      <c r="L303" t="n">
        <v>0</v>
      </c>
      <c r="M303" t="n">
        <v>0</v>
      </c>
      <c r="N303" t="n">
        <v>0</v>
      </c>
      <c r="O303" t="n">
        <v>0</v>
      </c>
      <c r="P303" t="n">
        <v>0</v>
      </c>
      <c r="Q303" t="n">
        <v>0</v>
      </c>
      <c r="R303" s="2" t="inlineStr"/>
    </row>
    <row r="304" ht="15" customHeight="1">
      <c r="A304" t="inlineStr">
        <is>
          <t>A 10465-2022</t>
        </is>
      </c>
      <c r="B304" s="1" t="n">
        <v>44623</v>
      </c>
      <c r="C304" s="1" t="n">
        <v>46161</v>
      </c>
      <c r="D304" t="inlineStr">
        <is>
          <t>UPPSALA LÄN</t>
        </is>
      </c>
      <c r="E304" t="inlineStr">
        <is>
          <t>ENKÖPING</t>
        </is>
      </c>
      <c r="G304" t="n">
        <v>1.7</v>
      </c>
      <c r="H304" t="n">
        <v>0</v>
      </c>
      <c r="I304" t="n">
        <v>0</v>
      </c>
      <c r="J304" t="n">
        <v>0</v>
      </c>
      <c r="K304" t="n">
        <v>0</v>
      </c>
      <c r="L304" t="n">
        <v>0</v>
      </c>
      <c r="M304" t="n">
        <v>0</v>
      </c>
      <c r="N304" t="n">
        <v>0</v>
      </c>
      <c r="O304" t="n">
        <v>0</v>
      </c>
      <c r="P304" t="n">
        <v>0</v>
      </c>
      <c r="Q304" t="n">
        <v>0</v>
      </c>
      <c r="R304" s="2" t="inlineStr"/>
    </row>
    <row r="305" ht="15" customHeight="1">
      <c r="A305" t="inlineStr">
        <is>
          <t>A 14332-2024</t>
        </is>
      </c>
      <c r="B305" s="1" t="n">
        <v>45393</v>
      </c>
      <c r="C305" s="1" t="n">
        <v>46161</v>
      </c>
      <c r="D305" t="inlineStr">
        <is>
          <t>UPPSALA LÄN</t>
        </is>
      </c>
      <c r="E305" t="inlineStr">
        <is>
          <t>ENKÖPING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61207-2023</t>
        </is>
      </c>
      <c r="B306" s="1" t="n">
        <v>45264.39444444444</v>
      </c>
      <c r="C306" s="1" t="n">
        <v>46161</v>
      </c>
      <c r="D306" t="inlineStr">
        <is>
          <t>UPPSALA LÄN</t>
        </is>
      </c>
      <c r="E306" t="inlineStr">
        <is>
          <t>ENKÖPING</t>
        </is>
      </c>
      <c r="G306" t="n">
        <v>10.8</v>
      </c>
      <c r="H306" t="n">
        <v>0</v>
      </c>
      <c r="I306" t="n">
        <v>0</v>
      </c>
      <c r="J306" t="n">
        <v>0</v>
      </c>
      <c r="K306" t="n">
        <v>0</v>
      </c>
      <c r="L306" t="n">
        <v>0</v>
      </c>
      <c r="M306" t="n">
        <v>0</v>
      </c>
      <c r="N306" t="n">
        <v>0</v>
      </c>
      <c r="O306" t="n">
        <v>0</v>
      </c>
      <c r="P306" t="n">
        <v>0</v>
      </c>
      <c r="Q306" t="n">
        <v>0</v>
      </c>
      <c r="R306" s="2" t="inlineStr"/>
    </row>
    <row r="307" ht="15" customHeight="1">
      <c r="A307" t="inlineStr">
        <is>
          <t>A 60175-2025</t>
        </is>
      </c>
      <c r="B307" s="1" t="n">
        <v>45994.45378472222</v>
      </c>
      <c r="C307" s="1" t="n">
        <v>46161</v>
      </c>
      <c r="D307" t="inlineStr">
        <is>
          <t>UPPSALA LÄN</t>
        </is>
      </c>
      <c r="E307" t="inlineStr">
        <is>
          <t>ENKÖPING</t>
        </is>
      </c>
      <c r="G307" t="n">
        <v>2.4</v>
      </c>
      <c r="H307" t="n">
        <v>0</v>
      </c>
      <c r="I307" t="n">
        <v>0</v>
      </c>
      <c r="J307" t="n">
        <v>0</v>
      </c>
      <c r="K307" t="n">
        <v>0</v>
      </c>
      <c r="L307" t="n">
        <v>0</v>
      </c>
      <c r="M307" t="n">
        <v>0</v>
      </c>
      <c r="N307" t="n">
        <v>0</v>
      </c>
      <c r="O307" t="n">
        <v>0</v>
      </c>
      <c r="P307" t="n">
        <v>0</v>
      </c>
      <c r="Q307" t="n">
        <v>0</v>
      </c>
      <c r="R307" s="2" t="inlineStr"/>
    </row>
    <row r="308" ht="15" customHeight="1">
      <c r="A308" t="inlineStr">
        <is>
          <t>A 60947-2025</t>
        </is>
      </c>
      <c r="B308" s="1" t="n">
        <v>45999</v>
      </c>
      <c r="C308" s="1" t="n">
        <v>46161</v>
      </c>
      <c r="D308" t="inlineStr">
        <is>
          <t>UPPSALA LÄN</t>
        </is>
      </c>
      <c r="E308" t="inlineStr">
        <is>
          <t>ENKÖPING</t>
        </is>
      </c>
      <c r="G308" t="n">
        <v>4</v>
      </c>
      <c r="H308" t="n">
        <v>0</v>
      </c>
      <c r="I308" t="n">
        <v>0</v>
      </c>
      <c r="J308" t="n">
        <v>0</v>
      </c>
      <c r="K308" t="n">
        <v>0</v>
      </c>
      <c r="L308" t="n">
        <v>0</v>
      </c>
      <c r="M308" t="n">
        <v>0</v>
      </c>
      <c r="N308" t="n">
        <v>0</v>
      </c>
      <c r="O308" t="n">
        <v>0</v>
      </c>
      <c r="P308" t="n">
        <v>0</v>
      </c>
      <c r="Q308" t="n">
        <v>0</v>
      </c>
      <c r="R308" s="2" t="inlineStr"/>
    </row>
    <row r="309" ht="15" customHeight="1">
      <c r="A309" t="inlineStr">
        <is>
          <t>A 40812-2022</t>
        </is>
      </c>
      <c r="B309" s="1" t="n">
        <v>44824.68791666667</v>
      </c>
      <c r="C309" s="1" t="n">
        <v>46161</v>
      </c>
      <c r="D309" t="inlineStr">
        <is>
          <t>UPPSALA LÄN</t>
        </is>
      </c>
      <c r="E309" t="inlineStr">
        <is>
          <t>ENKÖPING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60934-2025</t>
        </is>
      </c>
      <c r="B310" s="1" t="n">
        <v>45999</v>
      </c>
      <c r="C310" s="1" t="n">
        <v>46161</v>
      </c>
      <c r="D310" t="inlineStr">
        <is>
          <t>UPPSALA LÄN</t>
        </is>
      </c>
      <c r="E310" t="inlineStr">
        <is>
          <t>ENKÖPING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43691-2024</t>
        </is>
      </c>
      <c r="B311" s="1" t="n">
        <v>45569</v>
      </c>
      <c r="C311" s="1" t="n">
        <v>46161</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61437-2025</t>
        </is>
      </c>
      <c r="B312" s="1" t="n">
        <v>46001.5659375</v>
      </c>
      <c r="C312" s="1" t="n">
        <v>46161</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25333-2023</t>
        </is>
      </c>
      <c r="B313" s="1" t="n">
        <v>45083</v>
      </c>
      <c r="C313" s="1" t="n">
        <v>46161</v>
      </c>
      <c r="D313" t="inlineStr">
        <is>
          <t>UPPSALA LÄN</t>
        </is>
      </c>
      <c r="E313" t="inlineStr">
        <is>
          <t>ENKÖPING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29477-2025</t>
        </is>
      </c>
      <c r="B314" s="1" t="n">
        <v>45824.71537037037</v>
      </c>
      <c r="C314" s="1" t="n">
        <v>46161</v>
      </c>
      <c r="D314" t="inlineStr">
        <is>
          <t>UPPSALA LÄN</t>
        </is>
      </c>
      <c r="E314" t="inlineStr">
        <is>
          <t>ENKÖPING</t>
        </is>
      </c>
      <c r="G314" t="n">
        <v>13.4</v>
      </c>
      <c r="H314" t="n">
        <v>0</v>
      </c>
      <c r="I314" t="n">
        <v>0</v>
      </c>
      <c r="J314" t="n">
        <v>0</v>
      </c>
      <c r="K314" t="n">
        <v>0</v>
      </c>
      <c r="L314" t="n">
        <v>0</v>
      </c>
      <c r="M314" t="n">
        <v>0</v>
      </c>
      <c r="N314" t="n">
        <v>0</v>
      </c>
      <c r="O314" t="n">
        <v>0</v>
      </c>
      <c r="P314" t="n">
        <v>0</v>
      </c>
      <c r="Q314" t="n">
        <v>0</v>
      </c>
      <c r="R314" s="2" t="inlineStr"/>
    </row>
    <row r="315" ht="15" customHeight="1">
      <c r="A315" t="inlineStr">
        <is>
          <t>A 3300-2025</t>
        </is>
      </c>
      <c r="B315" s="1" t="n">
        <v>45679</v>
      </c>
      <c r="C315" s="1" t="n">
        <v>46161</v>
      </c>
      <c r="D315" t="inlineStr">
        <is>
          <t>UPPSALA LÄN</t>
        </is>
      </c>
      <c r="E315" t="inlineStr">
        <is>
          <t>ENKÖPING</t>
        </is>
      </c>
      <c r="G315" t="n">
        <v>8.9</v>
      </c>
      <c r="H315" t="n">
        <v>0</v>
      </c>
      <c r="I315" t="n">
        <v>0</v>
      </c>
      <c r="J315" t="n">
        <v>0</v>
      </c>
      <c r="K315" t="n">
        <v>0</v>
      </c>
      <c r="L315" t="n">
        <v>0</v>
      </c>
      <c r="M315" t="n">
        <v>0</v>
      </c>
      <c r="N315" t="n">
        <v>0</v>
      </c>
      <c r="O315" t="n">
        <v>0</v>
      </c>
      <c r="P315" t="n">
        <v>0</v>
      </c>
      <c r="Q315" t="n">
        <v>0</v>
      </c>
      <c r="R315" s="2" t="inlineStr"/>
    </row>
    <row r="316" ht="15" customHeight="1">
      <c r="A316" t="inlineStr">
        <is>
          <t>A 61778-2025</t>
        </is>
      </c>
      <c r="B316" s="1" t="n">
        <v>46002.66555555556</v>
      </c>
      <c r="C316" s="1" t="n">
        <v>46161</v>
      </c>
      <c r="D316" t="inlineStr">
        <is>
          <t>UPPSALA LÄN</t>
        </is>
      </c>
      <c r="E316" t="inlineStr">
        <is>
          <t>ENKÖPING</t>
        </is>
      </c>
      <c r="G316" t="n">
        <v>3.2</v>
      </c>
      <c r="H316" t="n">
        <v>0</v>
      </c>
      <c r="I316" t="n">
        <v>0</v>
      </c>
      <c r="J316" t="n">
        <v>0</v>
      </c>
      <c r="K316" t="n">
        <v>0</v>
      </c>
      <c r="L316" t="n">
        <v>0</v>
      </c>
      <c r="M316" t="n">
        <v>0</v>
      </c>
      <c r="N316" t="n">
        <v>0</v>
      </c>
      <c r="O316" t="n">
        <v>0</v>
      </c>
      <c r="P316" t="n">
        <v>0</v>
      </c>
      <c r="Q316" t="n">
        <v>0</v>
      </c>
      <c r="R316" s="2" t="inlineStr"/>
    </row>
    <row r="317" ht="15" customHeight="1">
      <c r="A317" t="inlineStr">
        <is>
          <t>A 61811-2025</t>
        </is>
      </c>
      <c r="B317" s="1" t="n">
        <v>46002.90059027778</v>
      </c>
      <c r="C317" s="1" t="n">
        <v>46161</v>
      </c>
      <c r="D317" t="inlineStr">
        <is>
          <t>UPPSALA LÄN</t>
        </is>
      </c>
      <c r="E317" t="inlineStr">
        <is>
          <t>ENKÖPING</t>
        </is>
      </c>
      <c r="F317" t="inlineStr">
        <is>
          <t>Allmännings- och besparingsskogar</t>
        </is>
      </c>
      <c r="G317" t="n">
        <v>4.7</v>
      </c>
      <c r="H317" t="n">
        <v>0</v>
      </c>
      <c r="I317" t="n">
        <v>0</v>
      </c>
      <c r="J317" t="n">
        <v>0</v>
      </c>
      <c r="K317" t="n">
        <v>0</v>
      </c>
      <c r="L317" t="n">
        <v>0</v>
      </c>
      <c r="M317" t="n">
        <v>0</v>
      </c>
      <c r="N317" t="n">
        <v>0</v>
      </c>
      <c r="O317" t="n">
        <v>0</v>
      </c>
      <c r="P317" t="n">
        <v>0</v>
      </c>
      <c r="Q317" t="n">
        <v>0</v>
      </c>
      <c r="R317" s="2" t="inlineStr"/>
    </row>
    <row r="318" ht="15" customHeight="1">
      <c r="A318" t="inlineStr">
        <is>
          <t>A 38941-2025</t>
        </is>
      </c>
      <c r="B318" s="1" t="n">
        <v>45887</v>
      </c>
      <c r="C318" s="1" t="n">
        <v>46161</v>
      </c>
      <c r="D318" t="inlineStr">
        <is>
          <t>UPPSALA LÄN</t>
        </is>
      </c>
      <c r="E318" t="inlineStr">
        <is>
          <t>ENKÖPING</t>
        </is>
      </c>
      <c r="F318" t="inlineStr">
        <is>
          <t>Övriga statliga verk och myndigheter</t>
        </is>
      </c>
      <c r="G318" t="n">
        <v>0.6</v>
      </c>
      <c r="H318" t="n">
        <v>0</v>
      </c>
      <c r="I318" t="n">
        <v>0</v>
      </c>
      <c r="J318" t="n">
        <v>0</v>
      </c>
      <c r="K318" t="n">
        <v>0</v>
      </c>
      <c r="L318" t="n">
        <v>0</v>
      </c>
      <c r="M318" t="n">
        <v>0</v>
      </c>
      <c r="N318" t="n">
        <v>0</v>
      </c>
      <c r="O318" t="n">
        <v>0</v>
      </c>
      <c r="P318" t="n">
        <v>0</v>
      </c>
      <c r="Q318" t="n">
        <v>0</v>
      </c>
      <c r="R318" s="2" t="inlineStr"/>
    </row>
    <row r="319" ht="15" customHeight="1">
      <c r="A319" t="inlineStr">
        <is>
          <t>A 12754-2025</t>
        </is>
      </c>
      <c r="B319" s="1" t="n">
        <v>45733.56331018519</v>
      </c>
      <c r="C319" s="1" t="n">
        <v>46161</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61889-2025</t>
        </is>
      </c>
      <c r="B320" s="1" t="n">
        <v>46003.44765046296</v>
      </c>
      <c r="C320" s="1" t="n">
        <v>46161</v>
      </c>
      <c r="D320" t="inlineStr">
        <is>
          <t>UPPSALA LÄN</t>
        </is>
      </c>
      <c r="E320" t="inlineStr">
        <is>
          <t>ENKÖPING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16176-2025</t>
        </is>
      </c>
      <c r="B321" s="1" t="n">
        <v>45750</v>
      </c>
      <c r="C321" s="1" t="n">
        <v>46161</v>
      </c>
      <c r="D321" t="inlineStr">
        <is>
          <t>UPPSALA LÄN</t>
        </is>
      </c>
      <c r="E321" t="inlineStr">
        <is>
          <t>ENKÖPING</t>
        </is>
      </c>
      <c r="G321" t="n">
        <v>3.9</v>
      </c>
      <c r="H321" t="n">
        <v>0</v>
      </c>
      <c r="I321" t="n">
        <v>0</v>
      </c>
      <c r="J321" t="n">
        <v>0</v>
      </c>
      <c r="K321" t="n">
        <v>0</v>
      </c>
      <c r="L321" t="n">
        <v>0</v>
      </c>
      <c r="M321" t="n">
        <v>0</v>
      </c>
      <c r="N321" t="n">
        <v>0</v>
      </c>
      <c r="O321" t="n">
        <v>0</v>
      </c>
      <c r="P321" t="n">
        <v>0</v>
      </c>
      <c r="Q321" t="n">
        <v>0</v>
      </c>
      <c r="R321" s="2" t="inlineStr"/>
    </row>
    <row r="322" ht="15" customHeight="1">
      <c r="A322" t="inlineStr">
        <is>
          <t>A 56713-2024</t>
        </is>
      </c>
      <c r="B322" s="1" t="n">
        <v>45628</v>
      </c>
      <c r="C322" s="1" t="n">
        <v>46161</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37870-2023</t>
        </is>
      </c>
      <c r="B323" s="1" t="n">
        <v>45160.41996527778</v>
      </c>
      <c r="C323" s="1" t="n">
        <v>46161</v>
      </c>
      <c r="D323" t="inlineStr">
        <is>
          <t>UPPSALA LÄN</t>
        </is>
      </c>
      <c r="E323" t="inlineStr">
        <is>
          <t>ENKÖPING</t>
        </is>
      </c>
      <c r="G323" t="n">
        <v>3.5</v>
      </c>
      <c r="H323" t="n">
        <v>0</v>
      </c>
      <c r="I323" t="n">
        <v>0</v>
      </c>
      <c r="J323" t="n">
        <v>0</v>
      </c>
      <c r="K323" t="n">
        <v>0</v>
      </c>
      <c r="L323" t="n">
        <v>0</v>
      </c>
      <c r="M323" t="n">
        <v>0</v>
      </c>
      <c r="N323" t="n">
        <v>0</v>
      </c>
      <c r="O323" t="n">
        <v>0</v>
      </c>
      <c r="P323" t="n">
        <v>0</v>
      </c>
      <c r="Q323" t="n">
        <v>0</v>
      </c>
      <c r="R323" s="2" t="inlineStr"/>
    </row>
    <row r="324" ht="15" customHeight="1">
      <c r="A324" t="inlineStr">
        <is>
          <t>A 62599-2025</t>
        </is>
      </c>
      <c r="B324" s="1" t="n">
        <v>46007.91961805556</v>
      </c>
      <c r="C324" s="1" t="n">
        <v>46161</v>
      </c>
      <c r="D324" t="inlineStr">
        <is>
          <t>UPPSALA LÄN</t>
        </is>
      </c>
      <c r="E324" t="inlineStr">
        <is>
          <t>ENKÖPING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22094-2023</t>
        </is>
      </c>
      <c r="B325" s="1" t="n">
        <v>45069</v>
      </c>
      <c r="C325" s="1" t="n">
        <v>46161</v>
      </c>
      <c r="D325" t="inlineStr">
        <is>
          <t>UPPSALA LÄN</t>
        </is>
      </c>
      <c r="E325" t="inlineStr">
        <is>
          <t>ENKÖPING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62772-2025</t>
        </is>
      </c>
      <c r="B326" s="1" t="n">
        <v>46008.60365740741</v>
      </c>
      <c r="C326" s="1" t="n">
        <v>46161</v>
      </c>
      <c r="D326" t="inlineStr">
        <is>
          <t>UPPSALA LÄN</t>
        </is>
      </c>
      <c r="E326" t="inlineStr">
        <is>
          <t>ENKÖPING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63128-2025</t>
        </is>
      </c>
      <c r="B327" s="1" t="n">
        <v>46009</v>
      </c>
      <c r="C327" s="1" t="n">
        <v>46161</v>
      </c>
      <c r="D327" t="inlineStr">
        <is>
          <t>UPPSALA LÄN</t>
        </is>
      </c>
      <c r="E327" t="inlineStr">
        <is>
          <t>ENKÖPING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62600-2025</t>
        </is>
      </c>
      <c r="B328" s="1" t="n">
        <v>46007.92175925926</v>
      </c>
      <c r="C328" s="1" t="n">
        <v>46161</v>
      </c>
      <c r="D328" t="inlineStr">
        <is>
          <t>UPPSALA LÄN</t>
        </is>
      </c>
      <c r="E328" t="inlineStr">
        <is>
          <t>ENKÖPING</t>
        </is>
      </c>
      <c r="G328" t="n">
        <v>2</v>
      </c>
      <c r="H328" t="n">
        <v>0</v>
      </c>
      <c r="I328" t="n">
        <v>0</v>
      </c>
      <c r="J328" t="n">
        <v>0</v>
      </c>
      <c r="K328" t="n">
        <v>0</v>
      </c>
      <c r="L328" t="n">
        <v>0</v>
      </c>
      <c r="M328" t="n">
        <v>0</v>
      </c>
      <c r="N328" t="n">
        <v>0</v>
      </c>
      <c r="O328" t="n">
        <v>0</v>
      </c>
      <c r="P328" t="n">
        <v>0</v>
      </c>
      <c r="Q328" t="n">
        <v>0</v>
      </c>
      <c r="R328" s="2" t="inlineStr"/>
    </row>
    <row r="329" ht="15" customHeight="1">
      <c r="A329" t="inlineStr">
        <is>
          <t>A 62602-2025</t>
        </is>
      </c>
      <c r="B329" s="1" t="n">
        <v>46007.92581018519</v>
      </c>
      <c r="C329" s="1" t="n">
        <v>46161</v>
      </c>
      <c r="D329" t="inlineStr">
        <is>
          <t>UPPSALA LÄN</t>
        </is>
      </c>
      <c r="E329" t="inlineStr">
        <is>
          <t>ENKÖPING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15405-2025</t>
        </is>
      </c>
      <c r="B330" s="1" t="n">
        <v>45747.44670138889</v>
      </c>
      <c r="C330" s="1" t="n">
        <v>46161</v>
      </c>
      <c r="D330" t="inlineStr">
        <is>
          <t>UPPSALA LÄN</t>
        </is>
      </c>
      <c r="E330" t="inlineStr">
        <is>
          <t>ENKÖPING</t>
        </is>
      </c>
      <c r="G330" t="n">
        <v>1.3</v>
      </c>
      <c r="H330" t="n">
        <v>0</v>
      </c>
      <c r="I330" t="n">
        <v>0</v>
      </c>
      <c r="J330" t="n">
        <v>0</v>
      </c>
      <c r="K330" t="n">
        <v>0</v>
      </c>
      <c r="L330" t="n">
        <v>0</v>
      </c>
      <c r="M330" t="n">
        <v>0</v>
      </c>
      <c r="N330" t="n">
        <v>0</v>
      </c>
      <c r="O330" t="n">
        <v>0</v>
      </c>
      <c r="P330" t="n">
        <v>0</v>
      </c>
      <c r="Q330" t="n">
        <v>0</v>
      </c>
      <c r="R330" s="2" t="inlineStr"/>
    </row>
    <row r="331" ht="15" customHeight="1">
      <c r="A331" t="inlineStr">
        <is>
          <t>A 62601-2025</t>
        </is>
      </c>
      <c r="B331" s="1" t="n">
        <v>46007.92395833333</v>
      </c>
      <c r="C331" s="1" t="n">
        <v>46161</v>
      </c>
      <c r="D331" t="inlineStr">
        <is>
          <t>UPPSALA LÄN</t>
        </is>
      </c>
      <c r="E331" t="inlineStr">
        <is>
          <t>ENKÖPING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35079-2024</t>
        </is>
      </c>
      <c r="B332" s="1" t="n">
        <v>45527.66770833333</v>
      </c>
      <c r="C332" s="1" t="n">
        <v>46161</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33581-2023</t>
        </is>
      </c>
      <c r="B333" s="1" t="n">
        <v>45131</v>
      </c>
      <c r="C333" s="1" t="n">
        <v>46161</v>
      </c>
      <c r="D333" t="inlineStr">
        <is>
          <t>UPPSALA LÄN</t>
        </is>
      </c>
      <c r="E333" t="inlineStr">
        <is>
          <t>ENKÖPING</t>
        </is>
      </c>
      <c r="G333" t="n">
        <v>3.5</v>
      </c>
      <c r="H333" t="n">
        <v>0</v>
      </c>
      <c r="I333" t="n">
        <v>0</v>
      </c>
      <c r="J333" t="n">
        <v>0</v>
      </c>
      <c r="K333" t="n">
        <v>0</v>
      </c>
      <c r="L333" t="n">
        <v>0</v>
      </c>
      <c r="M333" t="n">
        <v>0</v>
      </c>
      <c r="N333" t="n">
        <v>0</v>
      </c>
      <c r="O333" t="n">
        <v>0</v>
      </c>
      <c r="P333" t="n">
        <v>0</v>
      </c>
      <c r="Q333" t="n">
        <v>0</v>
      </c>
      <c r="R333" s="2" t="inlineStr"/>
    </row>
    <row r="334" ht="15" customHeight="1">
      <c r="A334" t="inlineStr">
        <is>
          <t>A 56163-2021</t>
        </is>
      </c>
      <c r="B334" s="1" t="n">
        <v>44477</v>
      </c>
      <c r="C334" s="1" t="n">
        <v>46161</v>
      </c>
      <c r="D334" t="inlineStr">
        <is>
          <t>UPPSALA LÄN</t>
        </is>
      </c>
      <c r="E334" t="inlineStr">
        <is>
          <t>ENKÖPING</t>
        </is>
      </c>
      <c r="F334" t="inlineStr">
        <is>
          <t>Allmännings- och besparingsskogar</t>
        </is>
      </c>
      <c r="G334" t="n">
        <v>0.6</v>
      </c>
      <c r="H334" t="n">
        <v>0</v>
      </c>
      <c r="I334" t="n">
        <v>0</v>
      </c>
      <c r="J334" t="n">
        <v>0</v>
      </c>
      <c r="K334" t="n">
        <v>0</v>
      </c>
      <c r="L334" t="n">
        <v>0</v>
      </c>
      <c r="M334" t="n">
        <v>0</v>
      </c>
      <c r="N334" t="n">
        <v>0</v>
      </c>
      <c r="O334" t="n">
        <v>0</v>
      </c>
      <c r="P334" t="n">
        <v>0</v>
      </c>
      <c r="Q334" t="n">
        <v>0</v>
      </c>
      <c r="R334" s="2" t="inlineStr"/>
    </row>
    <row r="335" ht="15" customHeight="1">
      <c r="A335" t="inlineStr">
        <is>
          <t>A 47909-2024</t>
        </is>
      </c>
      <c r="B335" s="1" t="n">
        <v>45589.31866898148</v>
      </c>
      <c r="C335" s="1" t="n">
        <v>46161</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51932-2022</t>
        </is>
      </c>
      <c r="B336" s="1" t="n">
        <v>44872</v>
      </c>
      <c r="C336" s="1" t="n">
        <v>46161</v>
      </c>
      <c r="D336" t="inlineStr">
        <is>
          <t>UPPSALA LÄN</t>
        </is>
      </c>
      <c r="E336" t="inlineStr">
        <is>
          <t>ENKÖPING</t>
        </is>
      </c>
      <c r="G336" t="n">
        <v>5.5</v>
      </c>
      <c r="H336" t="n">
        <v>0</v>
      </c>
      <c r="I336" t="n">
        <v>0</v>
      </c>
      <c r="J336" t="n">
        <v>0</v>
      </c>
      <c r="K336" t="n">
        <v>0</v>
      </c>
      <c r="L336" t="n">
        <v>0</v>
      </c>
      <c r="M336" t="n">
        <v>0</v>
      </c>
      <c r="N336" t="n">
        <v>0</v>
      </c>
      <c r="O336" t="n">
        <v>0</v>
      </c>
      <c r="P336" t="n">
        <v>0</v>
      </c>
      <c r="Q336" t="n">
        <v>0</v>
      </c>
      <c r="R336" s="2" t="inlineStr"/>
    </row>
    <row r="337" ht="15" customHeight="1">
      <c r="A337" t="inlineStr">
        <is>
          <t>A 60848-2025</t>
        </is>
      </c>
      <c r="B337" s="1" t="n">
        <v>45999</v>
      </c>
      <c r="C337" s="1" t="n">
        <v>46161</v>
      </c>
      <c r="D337" t="inlineStr">
        <is>
          <t>UPPSALA LÄN</t>
        </is>
      </c>
      <c r="E337" t="inlineStr">
        <is>
          <t>ENKÖPING</t>
        </is>
      </c>
      <c r="G337" t="n">
        <v>2.5</v>
      </c>
      <c r="H337" t="n">
        <v>0</v>
      </c>
      <c r="I337" t="n">
        <v>0</v>
      </c>
      <c r="J337" t="n">
        <v>0</v>
      </c>
      <c r="K337" t="n">
        <v>0</v>
      </c>
      <c r="L337" t="n">
        <v>0</v>
      </c>
      <c r="M337" t="n">
        <v>0</v>
      </c>
      <c r="N337" t="n">
        <v>0</v>
      </c>
      <c r="O337" t="n">
        <v>0</v>
      </c>
      <c r="P337" t="n">
        <v>0</v>
      </c>
      <c r="Q337" t="n">
        <v>0</v>
      </c>
      <c r="R337" s="2" t="inlineStr"/>
    </row>
    <row r="338" ht="15" customHeight="1">
      <c r="A338" t="inlineStr">
        <is>
          <t>A 59497-2022</t>
        </is>
      </c>
      <c r="B338" s="1" t="n">
        <v>44907.48258101852</v>
      </c>
      <c r="C338" s="1" t="n">
        <v>46161</v>
      </c>
      <c r="D338" t="inlineStr">
        <is>
          <t>UPPSALA LÄN</t>
        </is>
      </c>
      <c r="E338" t="inlineStr">
        <is>
          <t>ENKÖPING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9041-2023</t>
        </is>
      </c>
      <c r="B339" s="1" t="n">
        <v>44979</v>
      </c>
      <c r="C339" s="1" t="n">
        <v>46161</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192-2026</t>
        </is>
      </c>
      <c r="B340" s="1" t="n">
        <v>46025</v>
      </c>
      <c r="C340" s="1" t="n">
        <v>46161</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12755-2025</t>
        </is>
      </c>
      <c r="B341" s="1" t="n">
        <v>45733.56541666666</v>
      </c>
      <c r="C341" s="1" t="n">
        <v>46161</v>
      </c>
      <c r="D341" t="inlineStr">
        <is>
          <t>UPPSALA LÄN</t>
        </is>
      </c>
      <c r="E341" t="inlineStr">
        <is>
          <t>ENKÖPING</t>
        </is>
      </c>
      <c r="G341" t="n">
        <v>0.8</v>
      </c>
      <c r="H341" t="n">
        <v>0</v>
      </c>
      <c r="I341" t="n">
        <v>0</v>
      </c>
      <c r="J341" t="n">
        <v>0</v>
      </c>
      <c r="K341" t="n">
        <v>0</v>
      </c>
      <c r="L341" t="n">
        <v>0</v>
      </c>
      <c r="M341" t="n">
        <v>0</v>
      </c>
      <c r="N341" t="n">
        <v>0</v>
      </c>
      <c r="O341" t="n">
        <v>0</v>
      </c>
      <c r="P341" t="n">
        <v>0</v>
      </c>
      <c r="Q341" t="n">
        <v>0</v>
      </c>
      <c r="R341" s="2" t="inlineStr"/>
    </row>
    <row r="342" ht="15" customHeight="1">
      <c r="A342" t="inlineStr">
        <is>
          <t>A 59027-2024</t>
        </is>
      </c>
      <c r="B342" s="1" t="n">
        <v>45636.68755787037</v>
      </c>
      <c r="C342" s="1" t="n">
        <v>46161</v>
      </c>
      <c r="D342" t="inlineStr">
        <is>
          <t>UPPSALA LÄN</t>
        </is>
      </c>
      <c r="E342" t="inlineStr">
        <is>
          <t>ENKÖPING</t>
        </is>
      </c>
      <c r="G342" t="n">
        <v>1.1</v>
      </c>
      <c r="H342" t="n">
        <v>0</v>
      </c>
      <c r="I342" t="n">
        <v>0</v>
      </c>
      <c r="J342" t="n">
        <v>0</v>
      </c>
      <c r="K342" t="n">
        <v>0</v>
      </c>
      <c r="L342" t="n">
        <v>0</v>
      </c>
      <c r="M342" t="n">
        <v>0</v>
      </c>
      <c r="N342" t="n">
        <v>0</v>
      </c>
      <c r="O342" t="n">
        <v>0</v>
      </c>
      <c r="P342" t="n">
        <v>0</v>
      </c>
      <c r="Q342" t="n">
        <v>0</v>
      </c>
      <c r="R342" s="2" t="inlineStr"/>
    </row>
    <row r="343" ht="15" customHeight="1">
      <c r="A343" t="inlineStr">
        <is>
          <t>A 53587-2024</t>
        </is>
      </c>
      <c r="B343" s="1" t="n">
        <v>45614.66953703704</v>
      </c>
      <c r="C343" s="1" t="n">
        <v>46161</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11503-2024</t>
        </is>
      </c>
      <c r="B344" s="1" t="n">
        <v>45372.68020833333</v>
      </c>
      <c r="C344" s="1" t="n">
        <v>46161</v>
      </c>
      <c r="D344" t="inlineStr">
        <is>
          <t>UPPSALA LÄN</t>
        </is>
      </c>
      <c r="E344" t="inlineStr">
        <is>
          <t>ENKÖPING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861-2026</t>
        </is>
      </c>
      <c r="B345" s="1" t="n">
        <v>46030</v>
      </c>
      <c r="C345" s="1" t="n">
        <v>46161</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39115-2024</t>
        </is>
      </c>
      <c r="B346" s="1" t="n">
        <v>45548</v>
      </c>
      <c r="C346" s="1" t="n">
        <v>46161</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25334-2023</t>
        </is>
      </c>
      <c r="B347" s="1" t="n">
        <v>45083</v>
      </c>
      <c r="C347" s="1" t="n">
        <v>46161</v>
      </c>
      <c r="D347" t="inlineStr">
        <is>
          <t>UPPSALA LÄN</t>
        </is>
      </c>
      <c r="E347" t="inlineStr">
        <is>
          <t>ENKÖPING</t>
        </is>
      </c>
      <c r="G347" t="n">
        <v>0.2</v>
      </c>
      <c r="H347" t="n">
        <v>0</v>
      </c>
      <c r="I347" t="n">
        <v>0</v>
      </c>
      <c r="J347" t="n">
        <v>0</v>
      </c>
      <c r="K347" t="n">
        <v>0</v>
      </c>
      <c r="L347" t="n">
        <v>0</v>
      </c>
      <c r="M347" t="n">
        <v>0</v>
      </c>
      <c r="N347" t="n">
        <v>0</v>
      </c>
      <c r="O347" t="n">
        <v>0</v>
      </c>
      <c r="P347" t="n">
        <v>0</v>
      </c>
      <c r="Q347" t="n">
        <v>0</v>
      </c>
      <c r="R347" s="2" t="inlineStr"/>
    </row>
    <row r="348" ht="15" customHeight="1">
      <c r="A348" t="inlineStr">
        <is>
          <t>A 56837-2024</t>
        </is>
      </c>
      <c r="B348" s="1" t="n">
        <v>45628</v>
      </c>
      <c r="C348" s="1" t="n">
        <v>46161</v>
      </c>
      <c r="D348" t="inlineStr">
        <is>
          <t>UPPSALA LÄN</t>
        </is>
      </c>
      <c r="E348" t="inlineStr">
        <is>
          <t>ENKÖPING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18821-2023</t>
        </is>
      </c>
      <c r="B349" s="1" t="n">
        <v>45044.3782175926</v>
      </c>
      <c r="C349" s="1" t="n">
        <v>46161</v>
      </c>
      <c r="D349" t="inlineStr">
        <is>
          <t>UPPSALA LÄN</t>
        </is>
      </c>
      <c r="E349" t="inlineStr">
        <is>
          <t>ENKÖPING</t>
        </is>
      </c>
      <c r="G349" t="n">
        <v>6</v>
      </c>
      <c r="H349" t="n">
        <v>0</v>
      </c>
      <c r="I349" t="n">
        <v>0</v>
      </c>
      <c r="J349" t="n">
        <v>0</v>
      </c>
      <c r="K349" t="n">
        <v>0</v>
      </c>
      <c r="L349" t="n">
        <v>0</v>
      </c>
      <c r="M349" t="n">
        <v>0</v>
      </c>
      <c r="N349" t="n">
        <v>0</v>
      </c>
      <c r="O349" t="n">
        <v>0</v>
      </c>
      <c r="P349" t="n">
        <v>0</v>
      </c>
      <c r="Q349" t="n">
        <v>0</v>
      </c>
      <c r="R349" s="2" t="inlineStr"/>
    </row>
    <row r="350" ht="15" customHeight="1">
      <c r="A350" t="inlineStr">
        <is>
          <t>A 2258-2026</t>
        </is>
      </c>
      <c r="B350" s="1" t="n">
        <v>46036</v>
      </c>
      <c r="C350" s="1" t="n">
        <v>46161</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2218-2026</t>
        </is>
      </c>
      <c r="B351" s="1" t="n">
        <v>46036.50010416667</v>
      </c>
      <c r="C351" s="1" t="n">
        <v>46161</v>
      </c>
      <c r="D351" t="inlineStr">
        <is>
          <t>UPPSALA LÄN</t>
        </is>
      </c>
      <c r="E351" t="inlineStr">
        <is>
          <t>ENKÖPING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57335-2024</t>
        </is>
      </c>
      <c r="B352" s="1" t="n">
        <v>45629.63302083333</v>
      </c>
      <c r="C352" s="1" t="n">
        <v>46161</v>
      </c>
      <c r="D352" t="inlineStr">
        <is>
          <t>UPPSALA LÄN</t>
        </is>
      </c>
      <c r="E352" t="inlineStr">
        <is>
          <t>ENKÖPING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57835-2024</t>
        </is>
      </c>
      <c r="B353" s="1" t="n">
        <v>45631.39947916667</v>
      </c>
      <c r="C353" s="1" t="n">
        <v>46161</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53208-2023</t>
        </is>
      </c>
      <c r="B354" s="1" t="n">
        <v>45226</v>
      </c>
      <c r="C354" s="1" t="n">
        <v>46161</v>
      </c>
      <c r="D354" t="inlineStr">
        <is>
          <t>UPPSALA LÄN</t>
        </is>
      </c>
      <c r="E354" t="inlineStr">
        <is>
          <t>ENKÖPING</t>
        </is>
      </c>
      <c r="G354" t="n">
        <v>4.3</v>
      </c>
      <c r="H354" t="n">
        <v>0</v>
      </c>
      <c r="I354" t="n">
        <v>0</v>
      </c>
      <c r="J354" t="n">
        <v>0</v>
      </c>
      <c r="K354" t="n">
        <v>0</v>
      </c>
      <c r="L354" t="n">
        <v>0</v>
      </c>
      <c r="M354" t="n">
        <v>0</v>
      </c>
      <c r="N354" t="n">
        <v>0</v>
      </c>
      <c r="O354" t="n">
        <v>0</v>
      </c>
      <c r="P354" t="n">
        <v>0</v>
      </c>
      <c r="Q354" t="n">
        <v>0</v>
      </c>
      <c r="R354" s="2" t="inlineStr"/>
    </row>
    <row r="355" ht="15" customHeight="1">
      <c r="A355" t="inlineStr">
        <is>
          <t>A 19013-2025</t>
        </is>
      </c>
      <c r="B355" s="1" t="n">
        <v>45764.59533564815</v>
      </c>
      <c r="C355" s="1" t="n">
        <v>46161</v>
      </c>
      <c r="D355" t="inlineStr">
        <is>
          <t>UPPSALA LÄN</t>
        </is>
      </c>
      <c r="E355" t="inlineStr">
        <is>
          <t>ENKÖPING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2164-2023</t>
        </is>
      </c>
      <c r="B356" s="1" t="n">
        <v>44941</v>
      </c>
      <c r="C356" s="1" t="n">
        <v>46161</v>
      </c>
      <c r="D356" t="inlineStr">
        <is>
          <t>UPPSALA LÄN</t>
        </is>
      </c>
      <c r="E356" t="inlineStr">
        <is>
          <t>ENKÖPING</t>
        </is>
      </c>
      <c r="G356" t="n">
        <v>2.5</v>
      </c>
      <c r="H356" t="n">
        <v>0</v>
      </c>
      <c r="I356" t="n">
        <v>0</v>
      </c>
      <c r="J356" t="n">
        <v>0</v>
      </c>
      <c r="K356" t="n">
        <v>0</v>
      </c>
      <c r="L356" t="n">
        <v>0</v>
      </c>
      <c r="M356" t="n">
        <v>0</v>
      </c>
      <c r="N356" t="n">
        <v>0</v>
      </c>
      <c r="O356" t="n">
        <v>0</v>
      </c>
      <c r="P356" t="n">
        <v>0</v>
      </c>
      <c r="Q356" t="n">
        <v>0</v>
      </c>
      <c r="R356" s="2" t="inlineStr"/>
    </row>
    <row r="357" ht="15" customHeight="1">
      <c r="A357" t="inlineStr">
        <is>
          <t>A 61952-2021</t>
        </is>
      </c>
      <c r="B357" s="1" t="n">
        <v>44502</v>
      </c>
      <c r="C357" s="1" t="n">
        <v>46161</v>
      </c>
      <c r="D357" t="inlineStr">
        <is>
          <t>UPPSALA LÄN</t>
        </is>
      </c>
      <c r="E357" t="inlineStr">
        <is>
          <t>ENKÖPING</t>
        </is>
      </c>
      <c r="G357" t="n">
        <v>2.3</v>
      </c>
      <c r="H357" t="n">
        <v>0</v>
      </c>
      <c r="I357" t="n">
        <v>0</v>
      </c>
      <c r="J357" t="n">
        <v>0</v>
      </c>
      <c r="K357" t="n">
        <v>0</v>
      </c>
      <c r="L357" t="n">
        <v>0</v>
      </c>
      <c r="M357" t="n">
        <v>0</v>
      </c>
      <c r="N357" t="n">
        <v>0</v>
      </c>
      <c r="O357" t="n">
        <v>0</v>
      </c>
      <c r="P357" t="n">
        <v>0</v>
      </c>
      <c r="Q357" t="n">
        <v>0</v>
      </c>
      <c r="R357" s="2" t="inlineStr"/>
    </row>
    <row r="358" ht="15" customHeight="1">
      <c r="A358" t="inlineStr">
        <is>
          <t>A 14083-2025</t>
        </is>
      </c>
      <c r="B358" s="1" t="n">
        <v>45740</v>
      </c>
      <c r="C358" s="1" t="n">
        <v>46161</v>
      </c>
      <c r="D358" t="inlineStr">
        <is>
          <t>UPPSALA LÄN</t>
        </is>
      </c>
      <c r="E358" t="inlineStr">
        <is>
          <t>ENKÖPING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69879-2021</t>
        </is>
      </c>
      <c r="B359" s="1" t="n">
        <v>44532</v>
      </c>
      <c r="C359" s="1" t="n">
        <v>46161</v>
      </c>
      <c r="D359" t="inlineStr">
        <is>
          <t>UPPSALA LÄN</t>
        </is>
      </c>
      <c r="E359" t="inlineStr">
        <is>
          <t>ENKÖPING</t>
        </is>
      </c>
      <c r="G359" t="n">
        <v>4.2</v>
      </c>
      <c r="H359" t="n">
        <v>0</v>
      </c>
      <c r="I359" t="n">
        <v>0</v>
      </c>
      <c r="J359" t="n">
        <v>0</v>
      </c>
      <c r="K359" t="n">
        <v>0</v>
      </c>
      <c r="L359" t="n">
        <v>0</v>
      </c>
      <c r="M359" t="n">
        <v>0</v>
      </c>
      <c r="N359" t="n">
        <v>0</v>
      </c>
      <c r="O359" t="n">
        <v>0</v>
      </c>
      <c r="P359" t="n">
        <v>0</v>
      </c>
      <c r="Q359" t="n">
        <v>0</v>
      </c>
      <c r="R359" s="2" t="inlineStr"/>
    </row>
    <row r="360" ht="15" customHeight="1">
      <c r="A360" t="inlineStr">
        <is>
          <t>A 5104-2026</t>
        </is>
      </c>
      <c r="B360" s="1" t="n">
        <v>46049.56914351852</v>
      </c>
      <c r="C360" s="1" t="n">
        <v>46161</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5569-2026</t>
        </is>
      </c>
      <c r="B361" s="1" t="n">
        <v>46050.89431712963</v>
      </c>
      <c r="C361" s="1" t="n">
        <v>46161</v>
      </c>
      <c r="D361" t="inlineStr">
        <is>
          <t>UPPSALA LÄN</t>
        </is>
      </c>
      <c r="E361" t="inlineStr">
        <is>
          <t>ENKÖPING</t>
        </is>
      </c>
      <c r="G361" t="n">
        <v>1.6</v>
      </c>
      <c r="H361" t="n">
        <v>0</v>
      </c>
      <c r="I361" t="n">
        <v>0</v>
      </c>
      <c r="J361" t="n">
        <v>0</v>
      </c>
      <c r="K361" t="n">
        <v>0</v>
      </c>
      <c r="L361" t="n">
        <v>0</v>
      </c>
      <c r="M361" t="n">
        <v>0</v>
      </c>
      <c r="N361" t="n">
        <v>0</v>
      </c>
      <c r="O361" t="n">
        <v>0</v>
      </c>
      <c r="P361" t="n">
        <v>0</v>
      </c>
      <c r="Q361" t="n">
        <v>0</v>
      </c>
      <c r="R361" s="2" t="inlineStr"/>
    </row>
    <row r="362" ht="15" customHeight="1">
      <c r="A362" t="inlineStr">
        <is>
          <t>A 15757-2023</t>
        </is>
      </c>
      <c r="B362" s="1" t="n">
        <v>45021</v>
      </c>
      <c r="C362" s="1" t="n">
        <v>46161</v>
      </c>
      <c r="D362" t="inlineStr">
        <is>
          <t>UPPSALA LÄN</t>
        </is>
      </c>
      <c r="E362" t="inlineStr">
        <is>
          <t>ENKÖPING</t>
        </is>
      </c>
      <c r="G362" t="n">
        <v>3</v>
      </c>
      <c r="H362" t="n">
        <v>0</v>
      </c>
      <c r="I362" t="n">
        <v>0</v>
      </c>
      <c r="J362" t="n">
        <v>0</v>
      </c>
      <c r="K362" t="n">
        <v>0</v>
      </c>
      <c r="L362" t="n">
        <v>0</v>
      </c>
      <c r="M362" t="n">
        <v>0</v>
      </c>
      <c r="N362" t="n">
        <v>0</v>
      </c>
      <c r="O362" t="n">
        <v>0</v>
      </c>
      <c r="P362" t="n">
        <v>0</v>
      </c>
      <c r="Q362" t="n">
        <v>0</v>
      </c>
      <c r="R362" s="2" t="inlineStr"/>
    </row>
    <row r="363" ht="15" customHeight="1">
      <c r="A363" t="inlineStr">
        <is>
          <t>A 2161-2023</t>
        </is>
      </c>
      <c r="B363" s="1" t="n">
        <v>44941</v>
      </c>
      <c r="C363" s="1" t="n">
        <v>46161</v>
      </c>
      <c r="D363" t="inlineStr">
        <is>
          <t>UPPSALA LÄN</t>
        </is>
      </c>
      <c r="E363" t="inlineStr">
        <is>
          <t>ENKÖPING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2165-2023</t>
        </is>
      </c>
      <c r="B364" s="1" t="n">
        <v>44941</v>
      </c>
      <c r="C364" s="1" t="n">
        <v>46161</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20112-2024</t>
        </is>
      </c>
      <c r="B365" s="1" t="n">
        <v>45434</v>
      </c>
      <c r="C365" s="1" t="n">
        <v>46161</v>
      </c>
      <c r="D365" t="inlineStr">
        <is>
          <t>UPPSALA LÄN</t>
        </is>
      </c>
      <c r="E365" t="inlineStr">
        <is>
          <t>ENKÖPING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5948-2026</t>
        </is>
      </c>
      <c r="B366" s="1" t="n">
        <v>46052</v>
      </c>
      <c r="C366" s="1" t="n">
        <v>46161</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6031-2026</t>
        </is>
      </c>
      <c r="B367" s="1" t="n">
        <v>46052.61201388889</v>
      </c>
      <c r="C367" s="1" t="n">
        <v>46161</v>
      </c>
      <c r="D367" t="inlineStr">
        <is>
          <t>UPPSALA LÄN</t>
        </is>
      </c>
      <c r="E367" t="inlineStr">
        <is>
          <t>ENKÖPING</t>
        </is>
      </c>
      <c r="G367" t="n">
        <v>4.1</v>
      </c>
      <c r="H367" t="n">
        <v>0</v>
      </c>
      <c r="I367" t="n">
        <v>0</v>
      </c>
      <c r="J367" t="n">
        <v>0</v>
      </c>
      <c r="K367" t="n">
        <v>0</v>
      </c>
      <c r="L367" t="n">
        <v>0</v>
      </c>
      <c r="M367" t="n">
        <v>0</v>
      </c>
      <c r="N367" t="n">
        <v>0</v>
      </c>
      <c r="O367" t="n">
        <v>0</v>
      </c>
      <c r="P367" t="n">
        <v>0</v>
      </c>
      <c r="Q367" t="n">
        <v>0</v>
      </c>
      <c r="R367" s="2" t="inlineStr"/>
    </row>
    <row r="368" ht="15" customHeight="1">
      <c r="A368" t="inlineStr">
        <is>
          <t>A 6047-2026</t>
        </is>
      </c>
      <c r="B368" s="1" t="n">
        <v>46052.62738425926</v>
      </c>
      <c r="C368" s="1" t="n">
        <v>46161</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2162-2023</t>
        </is>
      </c>
      <c r="B369" s="1" t="n">
        <v>44941</v>
      </c>
      <c r="C369" s="1" t="n">
        <v>46161</v>
      </c>
      <c r="D369" t="inlineStr">
        <is>
          <t>UPPSALA LÄN</t>
        </is>
      </c>
      <c r="E369" t="inlineStr">
        <is>
          <t>ENKÖPING</t>
        </is>
      </c>
      <c r="G369" t="n">
        <v>2.4</v>
      </c>
      <c r="H369" t="n">
        <v>0</v>
      </c>
      <c r="I369" t="n">
        <v>0</v>
      </c>
      <c r="J369" t="n">
        <v>0</v>
      </c>
      <c r="K369" t="n">
        <v>0</v>
      </c>
      <c r="L369" t="n">
        <v>0</v>
      </c>
      <c r="M369" t="n">
        <v>0</v>
      </c>
      <c r="N369" t="n">
        <v>0</v>
      </c>
      <c r="O369" t="n">
        <v>0</v>
      </c>
      <c r="P369" t="n">
        <v>0</v>
      </c>
      <c r="Q369" t="n">
        <v>0</v>
      </c>
      <c r="R369" s="2" t="inlineStr"/>
    </row>
    <row r="370" ht="15" customHeight="1">
      <c r="A370" t="inlineStr">
        <is>
          <t>A 7008-2026</t>
        </is>
      </c>
      <c r="B370" s="1" t="n">
        <v>46057.63806712963</v>
      </c>
      <c r="C370" s="1" t="n">
        <v>46161</v>
      </c>
      <c r="D370" t="inlineStr">
        <is>
          <t>UPPSALA LÄN</t>
        </is>
      </c>
      <c r="E370" t="inlineStr">
        <is>
          <t>ENKÖPING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32081-2024</t>
        </is>
      </c>
      <c r="B371" s="1" t="n">
        <v>45511.34605324074</v>
      </c>
      <c r="C371" s="1" t="n">
        <v>46161</v>
      </c>
      <c r="D371" t="inlineStr">
        <is>
          <t>UPPSALA LÄN</t>
        </is>
      </c>
      <c r="E371" t="inlineStr">
        <is>
          <t>ENKÖPING</t>
        </is>
      </c>
      <c r="G371" t="n">
        <v>5.4</v>
      </c>
      <c r="H371" t="n">
        <v>0</v>
      </c>
      <c r="I371" t="n">
        <v>0</v>
      </c>
      <c r="J371" t="n">
        <v>0</v>
      </c>
      <c r="K371" t="n">
        <v>0</v>
      </c>
      <c r="L371" t="n">
        <v>0</v>
      </c>
      <c r="M371" t="n">
        <v>0</v>
      </c>
      <c r="N371" t="n">
        <v>0</v>
      </c>
      <c r="O371" t="n">
        <v>0</v>
      </c>
      <c r="P371" t="n">
        <v>0</v>
      </c>
      <c r="Q371" t="n">
        <v>0</v>
      </c>
      <c r="R371" s="2" t="inlineStr"/>
    </row>
    <row r="372" ht="15" customHeight="1">
      <c r="A372" t="inlineStr">
        <is>
          <t>A 7003-2026</t>
        </is>
      </c>
      <c r="B372" s="1" t="n">
        <v>46057.63243055555</v>
      </c>
      <c r="C372" s="1" t="n">
        <v>46161</v>
      </c>
      <c r="D372" t="inlineStr">
        <is>
          <t>UPPSALA LÄN</t>
        </is>
      </c>
      <c r="E372" t="inlineStr">
        <is>
          <t>ENKÖPING</t>
        </is>
      </c>
      <c r="G372" t="n">
        <v>0.7</v>
      </c>
      <c r="H372" t="n">
        <v>0</v>
      </c>
      <c r="I372" t="n">
        <v>0</v>
      </c>
      <c r="J372" t="n">
        <v>0</v>
      </c>
      <c r="K372" t="n">
        <v>0</v>
      </c>
      <c r="L372" t="n">
        <v>0</v>
      </c>
      <c r="M372" t="n">
        <v>0</v>
      </c>
      <c r="N372" t="n">
        <v>0</v>
      </c>
      <c r="O372" t="n">
        <v>0</v>
      </c>
      <c r="P372" t="n">
        <v>0</v>
      </c>
      <c r="Q372" t="n">
        <v>0</v>
      </c>
      <c r="R372" s="2" t="inlineStr"/>
    </row>
    <row r="373" ht="15" customHeight="1">
      <c r="A373" t="inlineStr">
        <is>
          <t>A 2968-2025</t>
        </is>
      </c>
      <c r="B373" s="1" t="n">
        <v>45678</v>
      </c>
      <c r="C373" s="1" t="n">
        <v>46161</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49525-2021</t>
        </is>
      </c>
      <c r="B374" s="1" t="n">
        <v>44455</v>
      </c>
      <c r="C374" s="1" t="n">
        <v>46161</v>
      </c>
      <c r="D374" t="inlineStr">
        <is>
          <t>UPPSALA LÄN</t>
        </is>
      </c>
      <c r="E374" t="inlineStr">
        <is>
          <t>ENKÖPING</t>
        </is>
      </c>
      <c r="G374" t="n">
        <v>1.8</v>
      </c>
      <c r="H374" t="n">
        <v>0</v>
      </c>
      <c r="I374" t="n">
        <v>0</v>
      </c>
      <c r="J374" t="n">
        <v>0</v>
      </c>
      <c r="K374" t="n">
        <v>0</v>
      </c>
      <c r="L374" t="n">
        <v>0</v>
      </c>
      <c r="M374" t="n">
        <v>0</v>
      </c>
      <c r="N374" t="n">
        <v>0</v>
      </c>
      <c r="O374" t="n">
        <v>0</v>
      </c>
      <c r="P374" t="n">
        <v>0</v>
      </c>
      <c r="Q374" t="n">
        <v>0</v>
      </c>
      <c r="R374" s="2" t="inlineStr"/>
    </row>
    <row r="375" ht="15" customHeight="1">
      <c r="A375" t="inlineStr">
        <is>
          <t>A 6959-2025</t>
        </is>
      </c>
      <c r="B375" s="1" t="n">
        <v>45701.49315972222</v>
      </c>
      <c r="C375" s="1" t="n">
        <v>46161</v>
      </c>
      <c r="D375" t="inlineStr">
        <is>
          <t>UPPSALA LÄN</t>
        </is>
      </c>
      <c r="E375" t="inlineStr">
        <is>
          <t>ENKÖPING</t>
        </is>
      </c>
      <c r="G375" t="n">
        <v>1.8</v>
      </c>
      <c r="H375" t="n">
        <v>0</v>
      </c>
      <c r="I375" t="n">
        <v>0</v>
      </c>
      <c r="J375" t="n">
        <v>0</v>
      </c>
      <c r="K375" t="n">
        <v>0</v>
      </c>
      <c r="L375" t="n">
        <v>0</v>
      </c>
      <c r="M375" t="n">
        <v>0</v>
      </c>
      <c r="N375" t="n">
        <v>0</v>
      </c>
      <c r="O375" t="n">
        <v>0</v>
      </c>
      <c r="P375" t="n">
        <v>0</v>
      </c>
      <c r="Q375" t="n">
        <v>0</v>
      </c>
      <c r="R375" s="2" t="inlineStr"/>
    </row>
    <row r="376" ht="15" customHeight="1">
      <c r="A376" t="inlineStr">
        <is>
          <t>A 30437-2022</t>
        </is>
      </c>
      <c r="B376" s="1" t="n">
        <v>44761</v>
      </c>
      <c r="C376" s="1" t="n">
        <v>46161</v>
      </c>
      <c r="D376" t="inlineStr">
        <is>
          <t>UPPSALA LÄN</t>
        </is>
      </c>
      <c r="E376" t="inlineStr">
        <is>
          <t>ENKÖPING</t>
        </is>
      </c>
      <c r="G376" t="n">
        <v>3.4</v>
      </c>
      <c r="H376" t="n">
        <v>0</v>
      </c>
      <c r="I376" t="n">
        <v>0</v>
      </c>
      <c r="J376" t="n">
        <v>0</v>
      </c>
      <c r="K376" t="n">
        <v>0</v>
      </c>
      <c r="L376" t="n">
        <v>0</v>
      </c>
      <c r="M376" t="n">
        <v>0</v>
      </c>
      <c r="N376" t="n">
        <v>0</v>
      </c>
      <c r="O376" t="n">
        <v>0</v>
      </c>
      <c r="P376" t="n">
        <v>0</v>
      </c>
      <c r="Q376" t="n">
        <v>0</v>
      </c>
      <c r="R376" s="2" t="inlineStr"/>
    </row>
    <row r="377" ht="15" customHeight="1">
      <c r="A377" t="inlineStr">
        <is>
          <t>A 51011-2024</t>
        </is>
      </c>
      <c r="B377" s="1" t="n">
        <v>45603.39427083333</v>
      </c>
      <c r="C377" s="1" t="n">
        <v>46161</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26319-2022</t>
        </is>
      </c>
      <c r="B378" s="1" t="n">
        <v>44735</v>
      </c>
      <c r="C378" s="1" t="n">
        <v>46161</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29918-2023</t>
        </is>
      </c>
      <c r="B379" s="1" t="n">
        <v>45099</v>
      </c>
      <c r="C379" s="1" t="n">
        <v>46161</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8309-2026</t>
        </is>
      </c>
      <c r="B380" s="1" t="n">
        <v>46064.59081018518</v>
      </c>
      <c r="C380" s="1" t="n">
        <v>46161</v>
      </c>
      <c r="D380" t="inlineStr">
        <is>
          <t>UPPSALA LÄN</t>
        </is>
      </c>
      <c r="E380" t="inlineStr">
        <is>
          <t>ENKÖPING</t>
        </is>
      </c>
      <c r="G380" t="n">
        <v>1.9</v>
      </c>
      <c r="H380" t="n">
        <v>0</v>
      </c>
      <c r="I380" t="n">
        <v>0</v>
      </c>
      <c r="J380" t="n">
        <v>0</v>
      </c>
      <c r="K380" t="n">
        <v>0</v>
      </c>
      <c r="L380" t="n">
        <v>0</v>
      </c>
      <c r="M380" t="n">
        <v>0</v>
      </c>
      <c r="N380" t="n">
        <v>0</v>
      </c>
      <c r="O380" t="n">
        <v>0</v>
      </c>
      <c r="P380" t="n">
        <v>0</v>
      </c>
      <c r="Q380" t="n">
        <v>0</v>
      </c>
      <c r="R380" s="2" t="inlineStr"/>
    </row>
    <row r="381" ht="15" customHeight="1">
      <c r="A381" t="inlineStr">
        <is>
          <t>A 24291-2024</t>
        </is>
      </c>
      <c r="B381" s="1" t="n">
        <v>45457.4584837963</v>
      </c>
      <c r="C381" s="1" t="n">
        <v>46161</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9474-2026</t>
        </is>
      </c>
      <c r="B382" s="1" t="n">
        <v>46071.52324074074</v>
      </c>
      <c r="C382" s="1" t="n">
        <v>46161</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9467-2026</t>
        </is>
      </c>
      <c r="B383" s="1" t="n">
        <v>46071.50694444445</v>
      </c>
      <c r="C383" s="1" t="n">
        <v>46161</v>
      </c>
      <c r="D383" t="inlineStr">
        <is>
          <t>UPPSALA LÄN</t>
        </is>
      </c>
      <c r="E383" t="inlineStr">
        <is>
          <t>ENKÖPING</t>
        </is>
      </c>
      <c r="G383" t="n">
        <v>5.9</v>
      </c>
      <c r="H383" t="n">
        <v>0</v>
      </c>
      <c r="I383" t="n">
        <v>0</v>
      </c>
      <c r="J383" t="n">
        <v>0</v>
      </c>
      <c r="K383" t="n">
        <v>0</v>
      </c>
      <c r="L383" t="n">
        <v>0</v>
      </c>
      <c r="M383" t="n">
        <v>0</v>
      </c>
      <c r="N383" t="n">
        <v>0</v>
      </c>
      <c r="O383" t="n">
        <v>0</v>
      </c>
      <c r="P383" t="n">
        <v>0</v>
      </c>
      <c r="Q383" t="n">
        <v>0</v>
      </c>
      <c r="R383" s="2" t="inlineStr"/>
    </row>
    <row r="384" ht="15" customHeight="1">
      <c r="A384" t="inlineStr">
        <is>
          <t>A 9469-2026</t>
        </is>
      </c>
      <c r="B384" s="1" t="n">
        <v>46071.51248842593</v>
      </c>
      <c r="C384" s="1" t="n">
        <v>46161</v>
      </c>
      <c r="D384" t="inlineStr">
        <is>
          <t>UPPSALA LÄN</t>
        </is>
      </c>
      <c r="E384" t="inlineStr">
        <is>
          <t>ENKÖPING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9148-2026</t>
        </is>
      </c>
      <c r="B385" s="1" t="n">
        <v>46070.30946759259</v>
      </c>
      <c r="C385" s="1" t="n">
        <v>46161</v>
      </c>
      <c r="D385" t="inlineStr">
        <is>
          <t>UPPSALA LÄN</t>
        </is>
      </c>
      <c r="E385" t="inlineStr">
        <is>
          <t>ENKÖPING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2833-2025</t>
        </is>
      </c>
      <c r="B386" s="1" t="n">
        <v>45677.63206018518</v>
      </c>
      <c r="C386" s="1" t="n">
        <v>46161</v>
      </c>
      <c r="D386" t="inlineStr">
        <is>
          <t>UPPSALA LÄN</t>
        </is>
      </c>
      <c r="E386" t="inlineStr">
        <is>
          <t>ENKÖPING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50006-2023</t>
        </is>
      </c>
      <c r="B387" s="1" t="n">
        <v>45215</v>
      </c>
      <c r="C387" s="1" t="n">
        <v>46161</v>
      </c>
      <c r="D387" t="inlineStr">
        <is>
          <t>UPPSALA LÄN</t>
        </is>
      </c>
      <c r="E387" t="inlineStr">
        <is>
          <t>ENKÖPING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60125-2024</t>
        </is>
      </c>
      <c r="B388" s="1" t="n">
        <v>45642</v>
      </c>
      <c r="C388" s="1" t="n">
        <v>46161</v>
      </c>
      <c r="D388" t="inlineStr">
        <is>
          <t>UPPSALA LÄN</t>
        </is>
      </c>
      <c r="E388" t="inlineStr">
        <is>
          <t>ENKÖPING</t>
        </is>
      </c>
      <c r="G388" t="n">
        <v>2.1</v>
      </c>
      <c r="H388" t="n">
        <v>0</v>
      </c>
      <c r="I388" t="n">
        <v>0</v>
      </c>
      <c r="J388" t="n">
        <v>0</v>
      </c>
      <c r="K388" t="n">
        <v>0</v>
      </c>
      <c r="L388" t="n">
        <v>0</v>
      </c>
      <c r="M388" t="n">
        <v>0</v>
      </c>
      <c r="N388" t="n">
        <v>0</v>
      </c>
      <c r="O388" t="n">
        <v>0</v>
      </c>
      <c r="P388" t="n">
        <v>0</v>
      </c>
      <c r="Q388" t="n">
        <v>0</v>
      </c>
      <c r="R388" s="2" t="inlineStr"/>
    </row>
    <row r="389" ht="15" customHeight="1">
      <c r="A389" t="inlineStr">
        <is>
          <t>A 17418-2026</t>
        </is>
      </c>
      <c r="B389" s="1" t="n">
        <v>46120.3591087963</v>
      </c>
      <c r="C389" s="1" t="n">
        <v>46161</v>
      </c>
      <c r="D389" t="inlineStr">
        <is>
          <t>UPPSALA LÄN</t>
        </is>
      </c>
      <c r="E389" t="inlineStr">
        <is>
          <t>ENKÖPING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17419-2026</t>
        </is>
      </c>
      <c r="B390" s="1" t="n">
        <v>46120.36064814815</v>
      </c>
      <c r="C390" s="1" t="n">
        <v>46161</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56526-2022</t>
        </is>
      </c>
      <c r="B391" s="1" t="n">
        <v>44893</v>
      </c>
      <c r="C391" s="1" t="n">
        <v>46161</v>
      </c>
      <c r="D391" t="inlineStr">
        <is>
          <t>UPPSALA LÄN</t>
        </is>
      </c>
      <c r="E391" t="inlineStr">
        <is>
          <t>ENKÖPING</t>
        </is>
      </c>
      <c r="G391" t="n">
        <v>3.8</v>
      </c>
      <c r="H391" t="n">
        <v>0</v>
      </c>
      <c r="I391" t="n">
        <v>0</v>
      </c>
      <c r="J391" t="n">
        <v>0</v>
      </c>
      <c r="K391" t="n">
        <v>0</v>
      </c>
      <c r="L391" t="n">
        <v>0</v>
      </c>
      <c r="M391" t="n">
        <v>0</v>
      </c>
      <c r="N391" t="n">
        <v>0</v>
      </c>
      <c r="O391" t="n">
        <v>0</v>
      </c>
      <c r="P391" t="n">
        <v>0</v>
      </c>
      <c r="Q391" t="n">
        <v>0</v>
      </c>
      <c r="R391" s="2" t="inlineStr"/>
    </row>
    <row r="392" ht="15" customHeight="1">
      <c r="A392" t="inlineStr">
        <is>
          <t>A 39858-2024</t>
        </is>
      </c>
      <c r="B392" s="1" t="n">
        <v>45553</v>
      </c>
      <c r="C392" s="1" t="n">
        <v>46161</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60289-2022</t>
        </is>
      </c>
      <c r="B393" s="1" t="n">
        <v>44910.53026620371</v>
      </c>
      <c r="C393" s="1" t="n">
        <v>46161</v>
      </c>
      <c r="D393" t="inlineStr">
        <is>
          <t>UPPSALA LÄN</t>
        </is>
      </c>
      <c r="E393" t="inlineStr">
        <is>
          <t>ENKÖPING</t>
        </is>
      </c>
      <c r="G393" t="n">
        <v>3.2</v>
      </c>
      <c r="H393" t="n">
        <v>0</v>
      </c>
      <c r="I393" t="n">
        <v>0</v>
      </c>
      <c r="J393" t="n">
        <v>0</v>
      </c>
      <c r="K393" t="n">
        <v>0</v>
      </c>
      <c r="L393" t="n">
        <v>0</v>
      </c>
      <c r="M393" t="n">
        <v>0</v>
      </c>
      <c r="N393" t="n">
        <v>0</v>
      </c>
      <c r="O393" t="n">
        <v>0</v>
      </c>
      <c r="P393" t="n">
        <v>0</v>
      </c>
      <c r="Q393" t="n">
        <v>0</v>
      </c>
      <c r="R393" s="2" t="inlineStr"/>
    </row>
    <row r="394" ht="15" customHeight="1">
      <c r="A394" t="inlineStr">
        <is>
          <t>A 13110-2023</t>
        </is>
      </c>
      <c r="B394" s="1" t="n">
        <v>45001</v>
      </c>
      <c r="C394" s="1" t="n">
        <v>46161</v>
      </c>
      <c r="D394" t="inlineStr">
        <is>
          <t>UPPSALA LÄN</t>
        </is>
      </c>
      <c r="E394" t="inlineStr">
        <is>
          <t>ENKÖPING</t>
        </is>
      </c>
      <c r="G394" t="n">
        <v>2.5</v>
      </c>
      <c r="H394" t="n">
        <v>0</v>
      </c>
      <c r="I394" t="n">
        <v>0</v>
      </c>
      <c r="J394" t="n">
        <v>0</v>
      </c>
      <c r="K394" t="n">
        <v>0</v>
      </c>
      <c r="L394" t="n">
        <v>0</v>
      </c>
      <c r="M394" t="n">
        <v>0</v>
      </c>
      <c r="N394" t="n">
        <v>0</v>
      </c>
      <c r="O394" t="n">
        <v>0</v>
      </c>
      <c r="P394" t="n">
        <v>0</v>
      </c>
      <c r="Q394" t="n">
        <v>0</v>
      </c>
      <c r="R394" s="2" t="inlineStr"/>
    </row>
    <row r="395" ht="15" customHeight="1">
      <c r="A395" t="inlineStr">
        <is>
          <t>A 58384-2022</t>
        </is>
      </c>
      <c r="B395" s="1" t="n">
        <v>44901</v>
      </c>
      <c r="C395" s="1" t="n">
        <v>46161</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59602-2022</t>
        </is>
      </c>
      <c r="B396" s="1" t="n">
        <v>44907.72241898148</v>
      </c>
      <c r="C396" s="1" t="n">
        <v>46161</v>
      </c>
      <c r="D396" t="inlineStr">
        <is>
          <t>UPPSALA LÄN</t>
        </is>
      </c>
      <c r="E396" t="inlineStr">
        <is>
          <t>ENKÖPING</t>
        </is>
      </c>
      <c r="G396" t="n">
        <v>14.2</v>
      </c>
      <c r="H396" t="n">
        <v>0</v>
      </c>
      <c r="I396" t="n">
        <v>0</v>
      </c>
      <c r="J396" t="n">
        <v>0</v>
      </c>
      <c r="K396" t="n">
        <v>0</v>
      </c>
      <c r="L396" t="n">
        <v>0</v>
      </c>
      <c r="M396" t="n">
        <v>0</v>
      </c>
      <c r="N396" t="n">
        <v>0</v>
      </c>
      <c r="O396" t="n">
        <v>0</v>
      </c>
      <c r="P396" t="n">
        <v>0</v>
      </c>
      <c r="Q396" t="n">
        <v>0</v>
      </c>
      <c r="R396" s="2" t="inlineStr"/>
    </row>
    <row r="397" ht="15" customHeight="1">
      <c r="A397" t="inlineStr">
        <is>
          <t>A 31965-2021</t>
        </is>
      </c>
      <c r="B397" s="1" t="n">
        <v>44370.56901620371</v>
      </c>
      <c r="C397" s="1" t="n">
        <v>46161</v>
      </c>
      <c r="D397" t="inlineStr">
        <is>
          <t>UPPSALA LÄN</t>
        </is>
      </c>
      <c r="E397" t="inlineStr">
        <is>
          <t>ENKÖPING</t>
        </is>
      </c>
      <c r="G397" t="n">
        <v>0.9</v>
      </c>
      <c r="H397" t="n">
        <v>0</v>
      </c>
      <c r="I397" t="n">
        <v>0</v>
      </c>
      <c r="J397" t="n">
        <v>0</v>
      </c>
      <c r="K397" t="n">
        <v>0</v>
      </c>
      <c r="L397" t="n">
        <v>0</v>
      </c>
      <c r="M397" t="n">
        <v>0</v>
      </c>
      <c r="N397" t="n">
        <v>0</v>
      </c>
      <c r="O397" t="n">
        <v>0</v>
      </c>
      <c r="P397" t="n">
        <v>0</v>
      </c>
      <c r="Q397" t="n">
        <v>0</v>
      </c>
      <c r="R397" s="2" t="inlineStr"/>
    </row>
    <row r="398" ht="15" customHeight="1">
      <c r="A398" t="inlineStr">
        <is>
          <t>A 67984-2021</t>
        </is>
      </c>
      <c r="B398" s="1" t="n">
        <v>44525.70237268518</v>
      </c>
      <c r="C398" s="1" t="n">
        <v>46161</v>
      </c>
      <c r="D398" t="inlineStr">
        <is>
          <t>UPPSALA LÄN</t>
        </is>
      </c>
      <c r="E398" t="inlineStr">
        <is>
          <t>ENKÖPING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33619-2022</t>
        </is>
      </c>
      <c r="B399" s="1" t="n">
        <v>44789</v>
      </c>
      <c r="C399" s="1" t="n">
        <v>46161</v>
      </c>
      <c r="D399" t="inlineStr">
        <is>
          <t>UPPSALA LÄN</t>
        </is>
      </c>
      <c r="E399" t="inlineStr">
        <is>
          <t>ENKÖPING</t>
        </is>
      </c>
      <c r="F399" t="inlineStr">
        <is>
          <t>Allmännings- och besparingsskogar</t>
        </is>
      </c>
      <c r="G399" t="n">
        <v>4.5</v>
      </c>
      <c r="H399" t="n">
        <v>0</v>
      </c>
      <c r="I399" t="n">
        <v>0</v>
      </c>
      <c r="J399" t="n">
        <v>0</v>
      </c>
      <c r="K399" t="n">
        <v>0</v>
      </c>
      <c r="L399" t="n">
        <v>0</v>
      </c>
      <c r="M399" t="n">
        <v>0</v>
      </c>
      <c r="N399" t="n">
        <v>0</v>
      </c>
      <c r="O399" t="n">
        <v>0</v>
      </c>
      <c r="P399" t="n">
        <v>0</v>
      </c>
      <c r="Q399" t="n">
        <v>0</v>
      </c>
      <c r="R399" s="2" t="inlineStr"/>
    </row>
    <row r="400" ht="15" customHeight="1">
      <c r="A400" t="inlineStr">
        <is>
          <t>A 10829-2024</t>
        </is>
      </c>
      <c r="B400" s="1" t="n">
        <v>45369</v>
      </c>
      <c r="C400" s="1" t="n">
        <v>46161</v>
      </c>
      <c r="D400" t="inlineStr">
        <is>
          <t>UPPSALA LÄN</t>
        </is>
      </c>
      <c r="E400" t="inlineStr">
        <is>
          <t>ENKÖPING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67982-2021</t>
        </is>
      </c>
      <c r="B401" s="1" t="n">
        <v>44525</v>
      </c>
      <c r="C401" s="1" t="n">
        <v>46161</v>
      </c>
      <c r="D401" t="inlineStr">
        <is>
          <t>UPPSALA LÄN</t>
        </is>
      </c>
      <c r="E401" t="inlineStr">
        <is>
          <t>ENKÖPING</t>
        </is>
      </c>
      <c r="G401" t="n">
        <v>1.7</v>
      </c>
      <c r="H401" t="n">
        <v>0</v>
      </c>
      <c r="I401" t="n">
        <v>0</v>
      </c>
      <c r="J401" t="n">
        <v>0</v>
      </c>
      <c r="K401" t="n">
        <v>0</v>
      </c>
      <c r="L401" t="n">
        <v>0</v>
      </c>
      <c r="M401" t="n">
        <v>0</v>
      </c>
      <c r="N401" t="n">
        <v>0</v>
      </c>
      <c r="O401" t="n">
        <v>0</v>
      </c>
      <c r="P401" t="n">
        <v>0</v>
      </c>
      <c r="Q401" t="n">
        <v>0</v>
      </c>
      <c r="R401" s="2" t="inlineStr"/>
    </row>
    <row r="402" ht="15" customHeight="1">
      <c r="A402" t="inlineStr">
        <is>
          <t>A 51034-2024</t>
        </is>
      </c>
      <c r="B402" s="1" t="n">
        <v>45603.4262037037</v>
      </c>
      <c r="C402" s="1" t="n">
        <v>46161</v>
      </c>
      <c r="D402" t="inlineStr">
        <is>
          <t>UPPSALA LÄN</t>
        </is>
      </c>
      <c r="E402" t="inlineStr">
        <is>
          <t>ENKÖPING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51036-2024</t>
        </is>
      </c>
      <c r="B403" s="1" t="n">
        <v>45603.42839120371</v>
      </c>
      <c r="C403" s="1" t="n">
        <v>46161</v>
      </c>
      <c r="D403" t="inlineStr">
        <is>
          <t>UPPSALA LÄN</t>
        </is>
      </c>
      <c r="E403" t="inlineStr">
        <is>
          <t>ENKÖPING</t>
        </is>
      </c>
      <c r="G403" t="n">
        <v>2.6</v>
      </c>
      <c r="H403" t="n">
        <v>0</v>
      </c>
      <c r="I403" t="n">
        <v>0</v>
      </c>
      <c r="J403" t="n">
        <v>0</v>
      </c>
      <c r="K403" t="n">
        <v>0</v>
      </c>
      <c r="L403" t="n">
        <v>0</v>
      </c>
      <c r="M403" t="n">
        <v>0</v>
      </c>
      <c r="N403" t="n">
        <v>0</v>
      </c>
      <c r="O403" t="n">
        <v>0</v>
      </c>
      <c r="P403" t="n">
        <v>0</v>
      </c>
      <c r="Q403" t="n">
        <v>0</v>
      </c>
      <c r="R403" s="2" t="inlineStr"/>
    </row>
    <row r="404" ht="15" customHeight="1">
      <c r="A404" t="inlineStr">
        <is>
          <t>A 55876-2024</t>
        </is>
      </c>
      <c r="B404" s="1" t="n">
        <v>45623.5546412037</v>
      </c>
      <c r="C404" s="1" t="n">
        <v>46161</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11005-2023</t>
        </is>
      </c>
      <c r="B405" s="1" t="n">
        <v>44991</v>
      </c>
      <c r="C405" s="1" t="n">
        <v>46161</v>
      </c>
      <c r="D405" t="inlineStr">
        <is>
          <t>UPPSALA LÄN</t>
        </is>
      </c>
      <c r="E405" t="inlineStr">
        <is>
          <t>ENKÖPING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18643-2026</t>
        </is>
      </c>
      <c r="B406" s="1" t="n">
        <v>46128.33024305556</v>
      </c>
      <c r="C406" s="1" t="n">
        <v>46161</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57142-2021</t>
        </is>
      </c>
      <c r="B407" s="1" t="n">
        <v>44482</v>
      </c>
      <c r="C407" s="1" t="n">
        <v>46161</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57147-2021</t>
        </is>
      </c>
      <c r="B408" s="1" t="n">
        <v>44482</v>
      </c>
      <c r="C408" s="1" t="n">
        <v>46161</v>
      </c>
      <c r="D408" t="inlineStr">
        <is>
          <t>UPPSALA LÄN</t>
        </is>
      </c>
      <c r="E408" t="inlineStr">
        <is>
          <t>ENKÖPING</t>
        </is>
      </c>
      <c r="G408" t="n">
        <v>5.7</v>
      </c>
      <c r="H408" t="n">
        <v>0</v>
      </c>
      <c r="I408" t="n">
        <v>0</v>
      </c>
      <c r="J408" t="n">
        <v>0</v>
      </c>
      <c r="K408" t="n">
        <v>0</v>
      </c>
      <c r="L408" t="n">
        <v>0</v>
      </c>
      <c r="M408" t="n">
        <v>0</v>
      </c>
      <c r="N408" t="n">
        <v>0</v>
      </c>
      <c r="O408" t="n">
        <v>0</v>
      </c>
      <c r="P408" t="n">
        <v>0</v>
      </c>
      <c r="Q408" t="n">
        <v>0</v>
      </c>
      <c r="R408" s="2" t="inlineStr"/>
    </row>
    <row r="409" ht="15" customHeight="1">
      <c r="A409" t="inlineStr">
        <is>
          <t>A 7868-2024</t>
        </is>
      </c>
      <c r="B409" s="1" t="n">
        <v>45350.33020833333</v>
      </c>
      <c r="C409" s="1" t="n">
        <v>46161</v>
      </c>
      <c r="D409" t="inlineStr">
        <is>
          <t>UPPSALA LÄN</t>
        </is>
      </c>
      <c r="E409" t="inlineStr">
        <is>
          <t>ENKÖPING</t>
        </is>
      </c>
      <c r="G409" t="n">
        <v>0.3</v>
      </c>
      <c r="H409" t="n">
        <v>0</v>
      </c>
      <c r="I409" t="n">
        <v>0</v>
      </c>
      <c r="J409" t="n">
        <v>0</v>
      </c>
      <c r="K409" t="n">
        <v>0</v>
      </c>
      <c r="L409" t="n">
        <v>0</v>
      </c>
      <c r="M409" t="n">
        <v>0</v>
      </c>
      <c r="N409" t="n">
        <v>0</v>
      </c>
      <c r="O409" t="n">
        <v>0</v>
      </c>
      <c r="P409" t="n">
        <v>0</v>
      </c>
      <c r="Q409" t="n">
        <v>0</v>
      </c>
      <c r="R409" s="2" t="inlineStr"/>
    </row>
    <row r="410" ht="15" customHeight="1">
      <c r="A410" t="inlineStr">
        <is>
          <t>A 7870-2024</t>
        </is>
      </c>
      <c r="B410" s="1" t="n">
        <v>45350.33349537037</v>
      </c>
      <c r="C410" s="1" t="n">
        <v>46161</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9231-2023</t>
        </is>
      </c>
      <c r="B411" s="1" t="n">
        <v>44980</v>
      </c>
      <c r="C411" s="1" t="n">
        <v>46161</v>
      </c>
      <c r="D411" t="inlineStr">
        <is>
          <t>UPPSALA LÄN</t>
        </is>
      </c>
      <c r="E411" t="inlineStr">
        <is>
          <t>ENKÖPING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18806-2026</t>
        </is>
      </c>
      <c r="B412" s="1" t="n">
        <v>46128.63238425926</v>
      </c>
      <c r="C412" s="1" t="n">
        <v>46161</v>
      </c>
      <c r="D412" t="inlineStr">
        <is>
          <t>UPPSALA LÄN</t>
        </is>
      </c>
      <c r="E412" t="inlineStr">
        <is>
          <t>ENKÖPING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18565-2026</t>
        </is>
      </c>
      <c r="B413" s="1" t="n">
        <v>46127.5871412037</v>
      </c>
      <c r="C413" s="1" t="n">
        <v>46161</v>
      </c>
      <c r="D413" t="inlineStr">
        <is>
          <t>UPPSALA LÄN</t>
        </is>
      </c>
      <c r="E413" t="inlineStr">
        <is>
          <t>ENKÖPING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16916-2022</t>
        </is>
      </c>
      <c r="B414" s="1" t="n">
        <v>44676</v>
      </c>
      <c r="C414" s="1" t="n">
        <v>46161</v>
      </c>
      <c r="D414" t="inlineStr">
        <is>
          <t>UPPSALA LÄN</t>
        </is>
      </c>
      <c r="E414" t="inlineStr">
        <is>
          <t>ENKÖPING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18644-2026</t>
        </is>
      </c>
      <c r="B415" s="1" t="n">
        <v>46128.33157407407</v>
      </c>
      <c r="C415" s="1" t="n">
        <v>46161</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30514-2021</t>
        </is>
      </c>
      <c r="B416" s="1" t="n">
        <v>44364</v>
      </c>
      <c r="C416" s="1" t="n">
        <v>46161</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31604-2023</t>
        </is>
      </c>
      <c r="B417" s="1" t="n">
        <v>45117.50368055556</v>
      </c>
      <c r="C417" s="1" t="n">
        <v>46161</v>
      </c>
      <c r="D417" t="inlineStr">
        <is>
          <t>UPPSALA LÄN</t>
        </is>
      </c>
      <c r="E417" t="inlineStr">
        <is>
          <t>ENKÖPING</t>
        </is>
      </c>
      <c r="G417" t="n">
        <v>3.5</v>
      </c>
      <c r="H417" t="n">
        <v>0</v>
      </c>
      <c r="I417" t="n">
        <v>0</v>
      </c>
      <c r="J417" t="n">
        <v>0</v>
      </c>
      <c r="K417" t="n">
        <v>0</v>
      </c>
      <c r="L417" t="n">
        <v>0</v>
      </c>
      <c r="M417" t="n">
        <v>0</v>
      </c>
      <c r="N417" t="n">
        <v>0</v>
      </c>
      <c r="O417" t="n">
        <v>0</v>
      </c>
      <c r="P417" t="n">
        <v>0</v>
      </c>
      <c r="Q417" t="n">
        <v>0</v>
      </c>
      <c r="R417" s="2" t="inlineStr"/>
    </row>
    <row r="418" ht="15" customHeight="1">
      <c r="A418" t="inlineStr">
        <is>
          <t>A 25598-2021</t>
        </is>
      </c>
      <c r="B418" s="1" t="n">
        <v>44343.4558912037</v>
      </c>
      <c r="C418" s="1" t="n">
        <v>46161</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15162-2025</t>
        </is>
      </c>
      <c r="B419" s="1" t="n">
        <v>45744</v>
      </c>
      <c r="C419" s="1" t="n">
        <v>46161</v>
      </c>
      <c r="D419" t="inlineStr">
        <is>
          <t>UPPSALA LÄN</t>
        </is>
      </c>
      <c r="E419" t="inlineStr">
        <is>
          <t>ENKÖPING</t>
        </is>
      </c>
      <c r="G419" t="n">
        <v>4.2</v>
      </c>
      <c r="H419" t="n">
        <v>0</v>
      </c>
      <c r="I419" t="n">
        <v>0</v>
      </c>
      <c r="J419" t="n">
        <v>0</v>
      </c>
      <c r="K419" t="n">
        <v>0</v>
      </c>
      <c r="L419" t="n">
        <v>0</v>
      </c>
      <c r="M419" t="n">
        <v>0</v>
      </c>
      <c r="N419" t="n">
        <v>0</v>
      </c>
      <c r="O419" t="n">
        <v>0</v>
      </c>
      <c r="P419" t="n">
        <v>0</v>
      </c>
      <c r="Q419" t="n">
        <v>0</v>
      </c>
      <c r="R419" s="2" t="inlineStr"/>
    </row>
    <row r="420" ht="15" customHeight="1">
      <c r="A420" t="inlineStr">
        <is>
          <t>A 12411-2026</t>
        </is>
      </c>
      <c r="B420" s="1" t="n">
        <v>46090.42670138889</v>
      </c>
      <c r="C420" s="1" t="n">
        <v>46161</v>
      </c>
      <c r="D420" t="inlineStr">
        <is>
          <t>UPPSALA LÄN</t>
        </is>
      </c>
      <c r="E420" t="inlineStr">
        <is>
          <t>ENKÖPING</t>
        </is>
      </c>
      <c r="G420" t="n">
        <v>1.4</v>
      </c>
      <c r="H420" t="n">
        <v>0</v>
      </c>
      <c r="I420" t="n">
        <v>0</v>
      </c>
      <c r="J420" t="n">
        <v>0</v>
      </c>
      <c r="K420" t="n">
        <v>0</v>
      </c>
      <c r="L420" t="n">
        <v>0</v>
      </c>
      <c r="M420" t="n">
        <v>0</v>
      </c>
      <c r="N420" t="n">
        <v>0</v>
      </c>
      <c r="O420" t="n">
        <v>0</v>
      </c>
      <c r="P420" t="n">
        <v>0</v>
      </c>
      <c r="Q420" t="n">
        <v>0</v>
      </c>
      <c r="R420" s="2" t="inlineStr"/>
    </row>
    <row r="421" ht="15" customHeight="1">
      <c r="A421" t="inlineStr">
        <is>
          <t>A 18562-2026</t>
        </is>
      </c>
      <c r="B421" s="1" t="n">
        <v>46127</v>
      </c>
      <c r="C421" s="1" t="n">
        <v>46161</v>
      </c>
      <c r="D421" t="inlineStr">
        <is>
          <t>UPPSALA LÄN</t>
        </is>
      </c>
      <c r="E421" t="inlineStr">
        <is>
          <t>ENKÖPING</t>
        </is>
      </c>
      <c r="G421" t="n">
        <v>4</v>
      </c>
      <c r="H421" t="n">
        <v>0</v>
      </c>
      <c r="I421" t="n">
        <v>0</v>
      </c>
      <c r="J421" t="n">
        <v>0</v>
      </c>
      <c r="K421" t="n">
        <v>0</v>
      </c>
      <c r="L421" t="n">
        <v>0</v>
      </c>
      <c r="M421" t="n">
        <v>0</v>
      </c>
      <c r="N421" t="n">
        <v>0</v>
      </c>
      <c r="O421" t="n">
        <v>0</v>
      </c>
      <c r="P421" t="n">
        <v>0</v>
      </c>
      <c r="Q421" t="n">
        <v>0</v>
      </c>
      <c r="R421" s="2" t="inlineStr"/>
    </row>
    <row r="422" ht="15" customHeight="1">
      <c r="A422" t="inlineStr">
        <is>
          <t>A 52388-2024</t>
        </is>
      </c>
      <c r="B422" s="1" t="n">
        <v>45609.42939814815</v>
      </c>
      <c r="C422" s="1" t="n">
        <v>46161</v>
      </c>
      <c r="D422" t="inlineStr">
        <is>
          <t>UPPSALA LÄN</t>
        </is>
      </c>
      <c r="E422" t="inlineStr">
        <is>
          <t>ENKÖPING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53607-2023</t>
        </is>
      </c>
      <c r="B423" s="1" t="n">
        <v>45230</v>
      </c>
      <c r="C423" s="1" t="n">
        <v>46161</v>
      </c>
      <c r="D423" t="inlineStr">
        <is>
          <t>UPPSALA LÄN</t>
        </is>
      </c>
      <c r="E423" t="inlineStr">
        <is>
          <t>ENKÖPING</t>
        </is>
      </c>
      <c r="F423" t="inlineStr">
        <is>
          <t>Allmännings- och besparingsskogar</t>
        </is>
      </c>
      <c r="G423" t="n">
        <v>6.3</v>
      </c>
      <c r="H423" t="n">
        <v>0</v>
      </c>
      <c r="I423" t="n">
        <v>0</v>
      </c>
      <c r="J423" t="n">
        <v>0</v>
      </c>
      <c r="K423" t="n">
        <v>0</v>
      </c>
      <c r="L423" t="n">
        <v>0</v>
      </c>
      <c r="M423" t="n">
        <v>0</v>
      </c>
      <c r="N423" t="n">
        <v>0</v>
      </c>
      <c r="O423" t="n">
        <v>0</v>
      </c>
      <c r="P423" t="n">
        <v>0</v>
      </c>
      <c r="Q423" t="n">
        <v>0</v>
      </c>
      <c r="R423" s="2" t="inlineStr"/>
    </row>
    <row r="424" ht="15" customHeight="1">
      <c r="A424" t="inlineStr">
        <is>
          <t>A 5953-2026</t>
        </is>
      </c>
      <c r="B424" s="1" t="n">
        <v>46052.49119212963</v>
      </c>
      <c r="C424" s="1" t="n">
        <v>46161</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7168-2026</t>
        </is>
      </c>
      <c r="B425" s="1" t="n">
        <v>46058.45831018518</v>
      </c>
      <c r="C425" s="1" t="n">
        <v>46161</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7172-2026</t>
        </is>
      </c>
      <c r="B426" s="1" t="n">
        <v>46058.46113425926</v>
      </c>
      <c r="C426" s="1" t="n">
        <v>46161</v>
      </c>
      <c r="D426" t="inlineStr">
        <is>
          <t>UPPSALA LÄN</t>
        </is>
      </c>
      <c r="E426" t="inlineStr">
        <is>
          <t>ENKÖPING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40202-2024</t>
        </is>
      </c>
      <c r="B427" s="1" t="n">
        <v>45554</v>
      </c>
      <c r="C427" s="1" t="n">
        <v>46161</v>
      </c>
      <c r="D427" t="inlineStr">
        <is>
          <t>UPPSALA LÄN</t>
        </is>
      </c>
      <c r="E427" t="inlineStr">
        <is>
          <t>ENKÖPING</t>
        </is>
      </c>
      <c r="G427" t="n">
        <v>6.2</v>
      </c>
      <c r="H427" t="n">
        <v>0</v>
      </c>
      <c r="I427" t="n">
        <v>0</v>
      </c>
      <c r="J427" t="n">
        <v>0</v>
      </c>
      <c r="K427" t="n">
        <v>0</v>
      </c>
      <c r="L427" t="n">
        <v>0</v>
      </c>
      <c r="M427" t="n">
        <v>0</v>
      </c>
      <c r="N427" t="n">
        <v>0</v>
      </c>
      <c r="O427" t="n">
        <v>0</v>
      </c>
      <c r="P427" t="n">
        <v>0</v>
      </c>
      <c r="Q427" t="n">
        <v>0</v>
      </c>
      <c r="R427" s="2" t="inlineStr"/>
    </row>
    <row r="428" ht="15" customHeight="1">
      <c r="A428" t="inlineStr">
        <is>
          <t>A 7167-2026</t>
        </is>
      </c>
      <c r="B428" s="1" t="n">
        <v>46058.45677083333</v>
      </c>
      <c r="C428" s="1" t="n">
        <v>46161</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12996-2026</t>
        </is>
      </c>
      <c r="B429" s="1" t="n">
        <v>46092.68149305556</v>
      </c>
      <c r="C429" s="1" t="n">
        <v>46161</v>
      </c>
      <c r="D429" t="inlineStr">
        <is>
          <t>UPPSALA LÄN</t>
        </is>
      </c>
      <c r="E429" t="inlineStr">
        <is>
          <t>ENKÖPING</t>
        </is>
      </c>
      <c r="G429" t="n">
        <v>2</v>
      </c>
      <c r="H429" t="n">
        <v>0</v>
      </c>
      <c r="I429" t="n">
        <v>0</v>
      </c>
      <c r="J429" t="n">
        <v>0</v>
      </c>
      <c r="K429" t="n">
        <v>0</v>
      </c>
      <c r="L429" t="n">
        <v>0</v>
      </c>
      <c r="M429" t="n">
        <v>0</v>
      </c>
      <c r="N429" t="n">
        <v>0</v>
      </c>
      <c r="O429" t="n">
        <v>0</v>
      </c>
      <c r="P429" t="n">
        <v>0</v>
      </c>
      <c r="Q429" t="n">
        <v>0</v>
      </c>
      <c r="R429" s="2" t="inlineStr"/>
    </row>
    <row r="430" ht="15" customHeight="1">
      <c r="A430" t="inlineStr">
        <is>
          <t>A 12997-2026</t>
        </is>
      </c>
      <c r="B430" s="1" t="n">
        <v>46092.6834375</v>
      </c>
      <c r="C430" s="1" t="n">
        <v>46161</v>
      </c>
      <c r="D430" t="inlineStr">
        <is>
          <t>UPPSALA LÄN</t>
        </is>
      </c>
      <c r="E430" t="inlineStr">
        <is>
          <t>ENKÖPING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57152-2021</t>
        </is>
      </c>
      <c r="B431" s="1" t="n">
        <v>44482</v>
      </c>
      <c r="C431" s="1" t="n">
        <v>46161</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34124-2021</t>
        </is>
      </c>
      <c r="B432" s="1" t="n">
        <v>44379</v>
      </c>
      <c r="C432" s="1" t="n">
        <v>46161</v>
      </c>
      <c r="D432" t="inlineStr">
        <is>
          <t>UPPSALA LÄN</t>
        </is>
      </c>
      <c r="E432" t="inlineStr">
        <is>
          <t>ENKÖPING</t>
        </is>
      </c>
      <c r="G432" t="n">
        <v>2.2</v>
      </c>
      <c r="H432" t="n">
        <v>0</v>
      </c>
      <c r="I432" t="n">
        <v>0</v>
      </c>
      <c r="J432" t="n">
        <v>0</v>
      </c>
      <c r="K432" t="n">
        <v>0</v>
      </c>
      <c r="L432" t="n">
        <v>0</v>
      </c>
      <c r="M432" t="n">
        <v>0</v>
      </c>
      <c r="N432" t="n">
        <v>0</v>
      </c>
      <c r="O432" t="n">
        <v>0</v>
      </c>
      <c r="P432" t="n">
        <v>0</v>
      </c>
      <c r="Q432" t="n">
        <v>0</v>
      </c>
      <c r="R432" s="2" t="inlineStr"/>
    </row>
    <row r="433" ht="15" customHeight="1">
      <c r="A433" t="inlineStr">
        <is>
          <t>A 28518-2024</t>
        </is>
      </c>
      <c r="B433" s="1" t="n">
        <v>45477</v>
      </c>
      <c r="C433" s="1" t="n">
        <v>46161</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52299-2023</t>
        </is>
      </c>
      <c r="B434" s="1" t="n">
        <v>45224.61636574074</v>
      </c>
      <c r="C434" s="1" t="n">
        <v>46161</v>
      </c>
      <c r="D434" t="inlineStr">
        <is>
          <t>UPPSALA LÄN</t>
        </is>
      </c>
      <c r="E434" t="inlineStr">
        <is>
          <t>ENKÖPING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30634-2022</t>
        </is>
      </c>
      <c r="B435" s="1" t="n">
        <v>44763.45711805556</v>
      </c>
      <c r="C435" s="1" t="n">
        <v>46161</v>
      </c>
      <c r="D435" t="inlineStr">
        <is>
          <t>UPPSALA LÄN</t>
        </is>
      </c>
      <c r="E435" t="inlineStr">
        <is>
          <t>ENKÖPING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18259-2025</t>
        </is>
      </c>
      <c r="B436" s="1" t="n">
        <v>45762</v>
      </c>
      <c r="C436" s="1" t="n">
        <v>46161</v>
      </c>
      <c r="D436" t="inlineStr">
        <is>
          <t>UPPSALA LÄN</t>
        </is>
      </c>
      <c r="E436" t="inlineStr">
        <is>
          <t>ENKÖPING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14004-2023</t>
        </is>
      </c>
      <c r="B437" s="1" t="n">
        <v>45008</v>
      </c>
      <c r="C437" s="1" t="n">
        <v>46161</v>
      </c>
      <c r="D437" t="inlineStr">
        <is>
          <t>UPPSALA LÄN</t>
        </is>
      </c>
      <c r="E437" t="inlineStr">
        <is>
          <t>ENKÖPING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52005-2024</t>
        </is>
      </c>
      <c r="B438" s="1" t="n">
        <v>45607.7627662037</v>
      </c>
      <c r="C438" s="1" t="n">
        <v>46161</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1960-2022</t>
        </is>
      </c>
      <c r="B439" s="1" t="n">
        <v>44575</v>
      </c>
      <c r="C439" s="1" t="n">
        <v>46161</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13590-2026</t>
        </is>
      </c>
      <c r="B440" s="1" t="n">
        <v>46096</v>
      </c>
      <c r="C440" s="1" t="n">
        <v>46161</v>
      </c>
      <c r="D440" t="inlineStr">
        <is>
          <t>UPPSALA LÄN</t>
        </is>
      </c>
      <c r="E440" t="inlineStr">
        <is>
          <t>ENKÖPING</t>
        </is>
      </c>
      <c r="G440" t="n">
        <v>2.3</v>
      </c>
      <c r="H440" t="n">
        <v>0</v>
      </c>
      <c r="I440" t="n">
        <v>0</v>
      </c>
      <c r="J440" t="n">
        <v>0</v>
      </c>
      <c r="K440" t="n">
        <v>0</v>
      </c>
      <c r="L440" t="n">
        <v>0</v>
      </c>
      <c r="M440" t="n">
        <v>0</v>
      </c>
      <c r="N440" t="n">
        <v>0</v>
      </c>
      <c r="O440" t="n">
        <v>0</v>
      </c>
      <c r="P440" t="n">
        <v>0</v>
      </c>
      <c r="Q440" t="n">
        <v>0</v>
      </c>
      <c r="R440" s="2" t="inlineStr"/>
    </row>
    <row r="441" ht="15" customHeight="1">
      <c r="A441" t="inlineStr">
        <is>
          <t>A 27837-2025</t>
        </is>
      </c>
      <c r="B441" s="1" t="n">
        <v>45817.37207175926</v>
      </c>
      <c r="C441" s="1" t="n">
        <v>46161</v>
      </c>
      <c r="D441" t="inlineStr">
        <is>
          <t>UPPSALA LÄN</t>
        </is>
      </c>
      <c r="E441" t="inlineStr">
        <is>
          <t>ENKÖPING</t>
        </is>
      </c>
      <c r="G441" t="n">
        <v>7.3</v>
      </c>
      <c r="H441" t="n">
        <v>0</v>
      </c>
      <c r="I441" t="n">
        <v>0</v>
      </c>
      <c r="J441" t="n">
        <v>0</v>
      </c>
      <c r="K441" t="n">
        <v>0</v>
      </c>
      <c r="L441" t="n">
        <v>0</v>
      </c>
      <c r="M441" t="n">
        <v>0</v>
      </c>
      <c r="N441" t="n">
        <v>0</v>
      </c>
      <c r="O441" t="n">
        <v>0</v>
      </c>
      <c r="P441" t="n">
        <v>0</v>
      </c>
      <c r="Q441" t="n">
        <v>0</v>
      </c>
      <c r="R441" s="2" t="inlineStr"/>
    </row>
    <row r="442" ht="15" customHeight="1">
      <c r="A442" t="inlineStr">
        <is>
          <t>A 14229-2026</t>
        </is>
      </c>
      <c r="B442" s="1" t="n">
        <v>46099</v>
      </c>
      <c r="C442" s="1" t="n">
        <v>46161</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49627-2024</t>
        </is>
      </c>
      <c r="B443" s="1" t="n">
        <v>45596.59140046296</v>
      </c>
      <c r="C443" s="1" t="n">
        <v>46161</v>
      </c>
      <c r="D443" t="inlineStr">
        <is>
          <t>UPPSALA LÄN</t>
        </is>
      </c>
      <c r="E443" t="inlineStr">
        <is>
          <t>ENKÖPING</t>
        </is>
      </c>
      <c r="G443" t="n">
        <v>0.4</v>
      </c>
      <c r="H443" t="n">
        <v>0</v>
      </c>
      <c r="I443" t="n">
        <v>0</v>
      </c>
      <c r="J443" t="n">
        <v>0</v>
      </c>
      <c r="K443" t="n">
        <v>0</v>
      </c>
      <c r="L443" t="n">
        <v>0</v>
      </c>
      <c r="M443" t="n">
        <v>0</v>
      </c>
      <c r="N443" t="n">
        <v>0</v>
      </c>
      <c r="O443" t="n">
        <v>0</v>
      </c>
      <c r="P443" t="n">
        <v>0</v>
      </c>
      <c r="Q443" t="n">
        <v>0</v>
      </c>
      <c r="R443" s="2" t="inlineStr"/>
    </row>
    <row r="444" ht="15" customHeight="1">
      <c r="A444" t="inlineStr">
        <is>
          <t>A 57998-2024</t>
        </is>
      </c>
      <c r="B444" s="1" t="n">
        <v>45631</v>
      </c>
      <c r="C444" s="1" t="n">
        <v>46161</v>
      </c>
      <c r="D444" t="inlineStr">
        <is>
          <t>UPPSALA LÄN</t>
        </is>
      </c>
      <c r="E444" t="inlineStr">
        <is>
          <t>ENKÖPING</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14296-2026</t>
        </is>
      </c>
      <c r="B445" s="1" t="n">
        <v>46099.7181712963</v>
      </c>
      <c r="C445" s="1" t="n">
        <v>46161</v>
      </c>
      <c r="D445" t="inlineStr">
        <is>
          <t>UPPSALA LÄN</t>
        </is>
      </c>
      <c r="E445" t="inlineStr">
        <is>
          <t>ENKÖPING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9667-2024</t>
        </is>
      </c>
      <c r="B446" s="1" t="n">
        <v>45362.45130787037</v>
      </c>
      <c r="C446" s="1" t="n">
        <v>46161</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14260-2026</t>
        </is>
      </c>
      <c r="B447" s="1" t="n">
        <v>46099.63395833333</v>
      </c>
      <c r="C447" s="1" t="n">
        <v>46161</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35645-2021</t>
        </is>
      </c>
      <c r="B448" s="1" t="n">
        <v>44386.42</v>
      </c>
      <c r="C448" s="1" t="n">
        <v>46161</v>
      </c>
      <c r="D448" t="inlineStr">
        <is>
          <t>UPPSALA LÄN</t>
        </is>
      </c>
      <c r="E448" t="inlineStr">
        <is>
          <t>ENKÖPING</t>
        </is>
      </c>
      <c r="G448" t="n">
        <v>2.7</v>
      </c>
      <c r="H448" t="n">
        <v>0</v>
      </c>
      <c r="I448" t="n">
        <v>0</v>
      </c>
      <c r="J448" t="n">
        <v>0</v>
      </c>
      <c r="K448" t="n">
        <v>0</v>
      </c>
      <c r="L448" t="n">
        <v>0</v>
      </c>
      <c r="M448" t="n">
        <v>0</v>
      </c>
      <c r="N448" t="n">
        <v>0</v>
      </c>
      <c r="O448" t="n">
        <v>0</v>
      </c>
      <c r="P448" t="n">
        <v>0</v>
      </c>
      <c r="Q448" t="n">
        <v>0</v>
      </c>
      <c r="R448" s="2" t="inlineStr"/>
    </row>
    <row r="449" ht="15" customHeight="1">
      <c r="A449" t="inlineStr">
        <is>
          <t>A 14182-2026</t>
        </is>
      </c>
      <c r="B449" s="1" t="n">
        <v>46099.49839120371</v>
      </c>
      <c r="C449" s="1" t="n">
        <v>46161</v>
      </c>
      <c r="D449" t="inlineStr">
        <is>
          <t>UPPSALA LÄN</t>
        </is>
      </c>
      <c r="E449" t="inlineStr">
        <is>
          <t>ENKÖPING</t>
        </is>
      </c>
      <c r="G449" t="n">
        <v>1.6</v>
      </c>
      <c r="H449" t="n">
        <v>0</v>
      </c>
      <c r="I449" t="n">
        <v>0</v>
      </c>
      <c r="J449" t="n">
        <v>0</v>
      </c>
      <c r="K449" t="n">
        <v>0</v>
      </c>
      <c r="L449" t="n">
        <v>0</v>
      </c>
      <c r="M449" t="n">
        <v>0</v>
      </c>
      <c r="N449" t="n">
        <v>0</v>
      </c>
      <c r="O449" t="n">
        <v>0</v>
      </c>
      <c r="P449" t="n">
        <v>0</v>
      </c>
      <c r="Q449" t="n">
        <v>0</v>
      </c>
      <c r="R449" s="2" t="inlineStr"/>
    </row>
    <row r="450" ht="15" customHeight="1">
      <c r="A450" t="inlineStr">
        <is>
          <t>A 14298-2026</t>
        </is>
      </c>
      <c r="B450" s="1" t="n">
        <v>46099</v>
      </c>
      <c r="C450" s="1" t="n">
        <v>46161</v>
      </c>
      <c r="D450" t="inlineStr">
        <is>
          <t>UPPSALA LÄN</t>
        </is>
      </c>
      <c r="E450" t="inlineStr">
        <is>
          <t>ENKÖPING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15711-2025</t>
        </is>
      </c>
      <c r="B451" s="1" t="n">
        <v>45748</v>
      </c>
      <c r="C451" s="1" t="n">
        <v>46161</v>
      </c>
      <c r="D451" t="inlineStr">
        <is>
          <t>UPPSALA LÄN</t>
        </is>
      </c>
      <c r="E451" t="inlineStr">
        <is>
          <t>ENKÖPING</t>
        </is>
      </c>
      <c r="G451" t="n">
        <v>1.3</v>
      </c>
      <c r="H451" t="n">
        <v>0</v>
      </c>
      <c r="I451" t="n">
        <v>0</v>
      </c>
      <c r="J451" t="n">
        <v>0</v>
      </c>
      <c r="K451" t="n">
        <v>0</v>
      </c>
      <c r="L451" t="n">
        <v>0</v>
      </c>
      <c r="M451" t="n">
        <v>0</v>
      </c>
      <c r="N451" t="n">
        <v>0</v>
      </c>
      <c r="O451" t="n">
        <v>0</v>
      </c>
      <c r="P451" t="n">
        <v>0</v>
      </c>
      <c r="Q451" t="n">
        <v>0</v>
      </c>
      <c r="R451" s="2" t="inlineStr"/>
    </row>
    <row r="452" ht="15" customHeight="1">
      <c r="A452" t="inlineStr">
        <is>
          <t>A 28318-2024</t>
        </is>
      </c>
      <c r="B452" s="1" t="n">
        <v>45477</v>
      </c>
      <c r="C452" s="1" t="n">
        <v>46161</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14178-2026</t>
        </is>
      </c>
      <c r="B453" s="1" t="n">
        <v>46099.49608796297</v>
      </c>
      <c r="C453" s="1" t="n">
        <v>46161</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69344-2021</t>
        </is>
      </c>
      <c r="B454" s="1" t="n">
        <v>44531</v>
      </c>
      <c r="C454" s="1" t="n">
        <v>46161</v>
      </c>
      <c r="D454" t="inlineStr">
        <is>
          <t>UPPSALA LÄN</t>
        </is>
      </c>
      <c r="E454" t="inlineStr">
        <is>
          <t>ENKÖPING</t>
        </is>
      </c>
      <c r="G454" t="n">
        <v>2.9</v>
      </c>
      <c r="H454" t="n">
        <v>0</v>
      </c>
      <c r="I454" t="n">
        <v>0</v>
      </c>
      <c r="J454" t="n">
        <v>0</v>
      </c>
      <c r="K454" t="n">
        <v>0</v>
      </c>
      <c r="L454" t="n">
        <v>0</v>
      </c>
      <c r="M454" t="n">
        <v>0</v>
      </c>
      <c r="N454" t="n">
        <v>0</v>
      </c>
      <c r="O454" t="n">
        <v>0</v>
      </c>
      <c r="P454" t="n">
        <v>0</v>
      </c>
      <c r="Q454" t="n">
        <v>0</v>
      </c>
      <c r="R454" s="2" t="inlineStr"/>
    </row>
    <row r="455" ht="15" customHeight="1">
      <c r="A455" t="inlineStr">
        <is>
          <t>A 15003-2026</t>
        </is>
      </c>
      <c r="B455" s="1" t="n">
        <v>46104.60931712963</v>
      </c>
      <c r="C455" s="1" t="n">
        <v>46161</v>
      </c>
      <c r="D455" t="inlineStr">
        <is>
          <t>UPPSALA LÄN</t>
        </is>
      </c>
      <c r="E455" t="inlineStr">
        <is>
          <t>ENKÖPING</t>
        </is>
      </c>
      <c r="G455" t="n">
        <v>1.3</v>
      </c>
      <c r="H455" t="n">
        <v>0</v>
      </c>
      <c r="I455" t="n">
        <v>0</v>
      </c>
      <c r="J455" t="n">
        <v>0</v>
      </c>
      <c r="K455" t="n">
        <v>0</v>
      </c>
      <c r="L455" t="n">
        <v>0</v>
      </c>
      <c r="M455" t="n">
        <v>0</v>
      </c>
      <c r="N455" t="n">
        <v>0</v>
      </c>
      <c r="O455" t="n">
        <v>0</v>
      </c>
      <c r="P455" t="n">
        <v>0</v>
      </c>
      <c r="Q455" t="n">
        <v>0</v>
      </c>
      <c r="R455" s="2" t="inlineStr"/>
    </row>
    <row r="456" ht="15" customHeight="1">
      <c r="A456" t="inlineStr">
        <is>
          <t>A 51524-2022</t>
        </is>
      </c>
      <c r="B456" s="1" t="n">
        <v>44869</v>
      </c>
      <c r="C456" s="1" t="n">
        <v>46161</v>
      </c>
      <c r="D456" t="inlineStr">
        <is>
          <t>UPPSALA LÄN</t>
        </is>
      </c>
      <c r="E456" t="inlineStr">
        <is>
          <t>ENKÖPING</t>
        </is>
      </c>
      <c r="G456" t="n">
        <v>6.6</v>
      </c>
      <c r="H456" t="n">
        <v>0</v>
      </c>
      <c r="I456" t="n">
        <v>0</v>
      </c>
      <c r="J456" t="n">
        <v>0</v>
      </c>
      <c r="K456" t="n">
        <v>0</v>
      </c>
      <c r="L456" t="n">
        <v>0</v>
      </c>
      <c r="M456" t="n">
        <v>0</v>
      </c>
      <c r="N456" t="n">
        <v>0</v>
      </c>
      <c r="O456" t="n">
        <v>0</v>
      </c>
      <c r="P456" t="n">
        <v>0</v>
      </c>
      <c r="Q456" t="n">
        <v>0</v>
      </c>
      <c r="R456" s="2" t="inlineStr"/>
    </row>
    <row r="457" ht="15" customHeight="1">
      <c r="A457" t="inlineStr">
        <is>
          <t>A 15547-2026</t>
        </is>
      </c>
      <c r="B457" s="1" t="n">
        <v>46106.52613425926</v>
      </c>
      <c r="C457" s="1" t="n">
        <v>46161</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7175-2026</t>
        </is>
      </c>
      <c r="B458" s="1" t="n">
        <v>46058.46399305556</v>
      </c>
      <c r="C458" s="1" t="n">
        <v>46161</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46103-2023</t>
        </is>
      </c>
      <c r="B459" s="1" t="n">
        <v>45190</v>
      </c>
      <c r="C459" s="1" t="n">
        <v>46161</v>
      </c>
      <c r="D459" t="inlineStr">
        <is>
          <t>UPPSALA LÄN</t>
        </is>
      </c>
      <c r="E459" t="inlineStr">
        <is>
          <t>ENKÖPING</t>
        </is>
      </c>
      <c r="G459" t="n">
        <v>4.6</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44827.63826388889</v>
      </c>
      <c r="C460" s="1" t="n">
        <v>46161</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8137-2025</t>
        </is>
      </c>
      <c r="B461" s="1" t="n">
        <v>45707.8561574074</v>
      </c>
      <c r="C461" s="1" t="n">
        <v>46161</v>
      </c>
      <c r="D461" t="inlineStr">
        <is>
          <t>UPPSALA LÄN</t>
        </is>
      </c>
      <c r="E461" t="inlineStr">
        <is>
          <t>ENKÖPING</t>
        </is>
      </c>
      <c r="G461" t="n">
        <v>0.4</v>
      </c>
      <c r="H461" t="n">
        <v>0</v>
      </c>
      <c r="I461" t="n">
        <v>0</v>
      </c>
      <c r="J461" t="n">
        <v>0</v>
      </c>
      <c r="K461" t="n">
        <v>0</v>
      </c>
      <c r="L461" t="n">
        <v>0</v>
      </c>
      <c r="M461" t="n">
        <v>0</v>
      </c>
      <c r="N461" t="n">
        <v>0</v>
      </c>
      <c r="O461" t="n">
        <v>0</v>
      </c>
      <c r="P461" t="n">
        <v>0</v>
      </c>
      <c r="Q461" t="n">
        <v>0</v>
      </c>
      <c r="R461" s="2" t="inlineStr"/>
    </row>
    <row r="462" ht="15" customHeight="1">
      <c r="A462" t="inlineStr">
        <is>
          <t>A 6049-2026</t>
        </is>
      </c>
      <c r="B462" s="1" t="n">
        <v>46052.63005787037</v>
      </c>
      <c r="C462" s="1" t="n">
        <v>46161</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23301-2024</t>
        </is>
      </c>
      <c r="B463" s="1" t="n">
        <v>45453.4396412037</v>
      </c>
      <c r="C463" s="1" t="n">
        <v>46161</v>
      </c>
      <c r="D463" t="inlineStr">
        <is>
          <t>UPPSALA LÄN</t>
        </is>
      </c>
      <c r="E463" t="inlineStr">
        <is>
          <t>ENKÖPING</t>
        </is>
      </c>
      <c r="G463" t="n">
        <v>4.3</v>
      </c>
      <c r="H463" t="n">
        <v>0</v>
      </c>
      <c r="I463" t="n">
        <v>0</v>
      </c>
      <c r="J463" t="n">
        <v>0</v>
      </c>
      <c r="K463" t="n">
        <v>0</v>
      </c>
      <c r="L463" t="n">
        <v>0</v>
      </c>
      <c r="M463" t="n">
        <v>0</v>
      </c>
      <c r="N463" t="n">
        <v>0</v>
      </c>
      <c r="O463" t="n">
        <v>0</v>
      </c>
      <c r="P463" t="n">
        <v>0</v>
      </c>
      <c r="Q463" t="n">
        <v>0</v>
      </c>
      <c r="R463" s="2" t="inlineStr"/>
    </row>
    <row r="464" ht="15" customHeight="1">
      <c r="A464" t="inlineStr">
        <is>
          <t>A 52380-2024</t>
        </is>
      </c>
      <c r="B464" s="1" t="n">
        <v>45609</v>
      </c>
      <c r="C464" s="1" t="n">
        <v>46161</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9257-2026</t>
        </is>
      </c>
      <c r="B465" s="1" t="n">
        <v>46070.51166666667</v>
      </c>
      <c r="C465" s="1" t="n">
        <v>46161</v>
      </c>
      <c r="D465" t="inlineStr">
        <is>
          <t>UPPSALA LÄN</t>
        </is>
      </c>
      <c r="E465" t="inlineStr">
        <is>
          <t>ENKÖPING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6041-2026</t>
        </is>
      </c>
      <c r="B466" s="1" t="n">
        <v>46052.62184027778</v>
      </c>
      <c r="C466" s="1" t="n">
        <v>46161</v>
      </c>
      <c r="D466" t="inlineStr">
        <is>
          <t>UPPSALA LÄN</t>
        </is>
      </c>
      <c r="E466" t="inlineStr">
        <is>
          <t>ENKÖPING</t>
        </is>
      </c>
      <c r="G466" t="n">
        <v>4</v>
      </c>
      <c r="H466" t="n">
        <v>0</v>
      </c>
      <c r="I466" t="n">
        <v>0</v>
      </c>
      <c r="J466" t="n">
        <v>0</v>
      </c>
      <c r="K466" t="n">
        <v>0</v>
      </c>
      <c r="L466" t="n">
        <v>0</v>
      </c>
      <c r="M466" t="n">
        <v>0</v>
      </c>
      <c r="N466" t="n">
        <v>0</v>
      </c>
      <c r="O466" t="n">
        <v>0</v>
      </c>
      <c r="P466" t="n">
        <v>0</v>
      </c>
      <c r="Q466" t="n">
        <v>0</v>
      </c>
      <c r="R466" s="2" t="inlineStr"/>
    </row>
    <row r="467" ht="15" customHeight="1">
      <c r="A467" t="inlineStr">
        <is>
          <t>A 6044-2026</t>
        </is>
      </c>
      <c r="B467" s="1" t="n">
        <v>46052.62506944445</v>
      </c>
      <c r="C467" s="1" t="n">
        <v>46161</v>
      </c>
      <c r="D467" t="inlineStr">
        <is>
          <t>UPPSALA LÄN</t>
        </is>
      </c>
      <c r="E467" t="inlineStr">
        <is>
          <t>ENKÖPING</t>
        </is>
      </c>
      <c r="G467" t="n">
        <v>1.3</v>
      </c>
      <c r="H467" t="n">
        <v>0</v>
      </c>
      <c r="I467" t="n">
        <v>0</v>
      </c>
      <c r="J467" t="n">
        <v>0</v>
      </c>
      <c r="K467" t="n">
        <v>0</v>
      </c>
      <c r="L467" t="n">
        <v>0</v>
      </c>
      <c r="M467" t="n">
        <v>0</v>
      </c>
      <c r="N467" t="n">
        <v>0</v>
      </c>
      <c r="O467" t="n">
        <v>0</v>
      </c>
      <c r="P467" t="n">
        <v>0</v>
      </c>
      <c r="Q467" t="n">
        <v>0</v>
      </c>
      <c r="R467" s="2" t="inlineStr"/>
    </row>
    <row r="468" ht="15" customHeight="1">
      <c r="A468" t="inlineStr">
        <is>
          <t>A 30098-2024</t>
        </is>
      </c>
      <c r="B468" s="1" t="n">
        <v>45489.41609953704</v>
      </c>
      <c r="C468" s="1" t="n">
        <v>46161</v>
      </c>
      <c r="D468" t="inlineStr">
        <is>
          <t>UPPSALA LÄN</t>
        </is>
      </c>
      <c r="E468" t="inlineStr">
        <is>
          <t>ENKÖPING</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34735-2023</t>
        </is>
      </c>
      <c r="B469" s="1" t="n">
        <v>45139</v>
      </c>
      <c r="C469" s="1" t="n">
        <v>46161</v>
      </c>
      <c r="D469" t="inlineStr">
        <is>
          <t>UPPSALA LÄN</t>
        </is>
      </c>
      <c r="E469" t="inlineStr">
        <is>
          <t>ENKÖPING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21862-2026</t>
        </is>
      </c>
      <c r="B470" s="1" t="n">
        <v>46150.55599537037</v>
      </c>
      <c r="C470" s="1" t="n">
        <v>46161</v>
      </c>
      <c r="D470" t="inlineStr">
        <is>
          <t>UPPSALA LÄN</t>
        </is>
      </c>
      <c r="E470" t="inlineStr">
        <is>
          <t>ENKÖPING</t>
        </is>
      </c>
      <c r="G470" t="n">
        <v>4.1</v>
      </c>
      <c r="H470" t="n">
        <v>0</v>
      </c>
      <c r="I470" t="n">
        <v>0</v>
      </c>
      <c r="J470" t="n">
        <v>0</v>
      </c>
      <c r="K470" t="n">
        <v>0</v>
      </c>
      <c r="L470" t="n">
        <v>0</v>
      </c>
      <c r="M470" t="n">
        <v>0</v>
      </c>
      <c r="N470" t="n">
        <v>0</v>
      </c>
      <c r="O470" t="n">
        <v>0</v>
      </c>
      <c r="P470" t="n">
        <v>0</v>
      </c>
      <c r="Q470" t="n">
        <v>0</v>
      </c>
      <c r="R470" s="2" t="inlineStr"/>
    </row>
    <row r="471" ht="15" customHeight="1">
      <c r="A471" t="inlineStr">
        <is>
          <t>A 57328-2024</t>
        </is>
      </c>
      <c r="B471" s="1" t="n">
        <v>45629.62798611111</v>
      </c>
      <c r="C471" s="1" t="n">
        <v>46161</v>
      </c>
      <c r="D471" t="inlineStr">
        <is>
          <t>UPPSALA LÄN</t>
        </is>
      </c>
      <c r="E471" t="inlineStr">
        <is>
          <t>ENKÖPING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29482-2022</t>
        </is>
      </c>
      <c r="B472" s="1" t="n">
        <v>44753.57703703704</v>
      </c>
      <c r="C472" s="1" t="n">
        <v>46161</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29483-2022</t>
        </is>
      </c>
      <c r="B473" s="1" t="n">
        <v>44753.57829861111</v>
      </c>
      <c r="C473" s="1" t="n">
        <v>46161</v>
      </c>
      <c r="D473" t="inlineStr">
        <is>
          <t>UPPSALA LÄN</t>
        </is>
      </c>
      <c r="E473" t="inlineStr">
        <is>
          <t>ENKÖPING</t>
        </is>
      </c>
      <c r="G473" t="n">
        <v>3.6</v>
      </c>
      <c r="H473" t="n">
        <v>0</v>
      </c>
      <c r="I473" t="n">
        <v>0</v>
      </c>
      <c r="J473" t="n">
        <v>0</v>
      </c>
      <c r="K473" t="n">
        <v>0</v>
      </c>
      <c r="L473" t="n">
        <v>0</v>
      </c>
      <c r="M473" t="n">
        <v>0</v>
      </c>
      <c r="N473" t="n">
        <v>0</v>
      </c>
      <c r="O473" t="n">
        <v>0</v>
      </c>
      <c r="P473" t="n">
        <v>0</v>
      </c>
      <c r="Q473" t="n">
        <v>0</v>
      </c>
      <c r="R473" s="2" t="inlineStr"/>
    </row>
    <row r="474" ht="15" customHeight="1">
      <c r="A474" t="inlineStr">
        <is>
          <t>A 25990-2025</t>
        </is>
      </c>
      <c r="B474" s="1" t="n">
        <v>45804.65229166667</v>
      </c>
      <c r="C474" s="1" t="n">
        <v>46161</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25989-2025</t>
        </is>
      </c>
      <c r="B475" s="1" t="n">
        <v>45804.65050925926</v>
      </c>
      <c r="C475" s="1" t="n">
        <v>46161</v>
      </c>
      <c r="D475" t="inlineStr">
        <is>
          <t>UPPSALA LÄN</t>
        </is>
      </c>
      <c r="E475" t="inlineStr">
        <is>
          <t>ENKÖPING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44232-2022</t>
        </is>
      </c>
      <c r="B476" s="1" t="n">
        <v>44839</v>
      </c>
      <c r="C476" s="1" t="n">
        <v>46161</v>
      </c>
      <c r="D476" t="inlineStr">
        <is>
          <t>UPPSALA LÄN</t>
        </is>
      </c>
      <c r="E476" t="inlineStr">
        <is>
          <t>ENKÖPING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61106-2022</t>
        </is>
      </c>
      <c r="B477" s="1" t="n">
        <v>44915.4128587963</v>
      </c>
      <c r="C477" s="1" t="n">
        <v>46161</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39624-2023</t>
        </is>
      </c>
      <c r="B478" s="1" t="n">
        <v>45164</v>
      </c>
      <c r="C478" s="1" t="n">
        <v>46161</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20184-2023</t>
        </is>
      </c>
      <c r="B479" s="1" t="n">
        <v>45055.5670949074</v>
      </c>
      <c r="C479" s="1" t="n">
        <v>46161</v>
      </c>
      <c r="D479" t="inlineStr">
        <is>
          <t>UPPSALA LÄN</t>
        </is>
      </c>
      <c r="E479" t="inlineStr">
        <is>
          <t>ENKÖPING</t>
        </is>
      </c>
      <c r="G479" t="n">
        <v>3.2</v>
      </c>
      <c r="H479" t="n">
        <v>0</v>
      </c>
      <c r="I479" t="n">
        <v>0</v>
      </c>
      <c r="J479" t="n">
        <v>0</v>
      </c>
      <c r="K479" t="n">
        <v>0</v>
      </c>
      <c r="L479" t="n">
        <v>0</v>
      </c>
      <c r="M479" t="n">
        <v>0</v>
      </c>
      <c r="N479" t="n">
        <v>0</v>
      </c>
      <c r="O479" t="n">
        <v>0</v>
      </c>
      <c r="P479" t="n">
        <v>0</v>
      </c>
      <c r="Q479" t="n">
        <v>0</v>
      </c>
      <c r="R479" s="2" t="inlineStr"/>
    </row>
    <row r="480" ht="15" customHeight="1">
      <c r="A480" t="inlineStr">
        <is>
          <t>A 8152-2022</t>
        </is>
      </c>
      <c r="B480" s="1" t="n">
        <v>44609</v>
      </c>
      <c r="C480" s="1" t="n">
        <v>46161</v>
      </c>
      <c r="D480" t="inlineStr">
        <is>
          <t>UPPSALA LÄN</t>
        </is>
      </c>
      <c r="E480" t="inlineStr">
        <is>
          <t>ENKÖPING</t>
        </is>
      </c>
      <c r="F480" t="inlineStr">
        <is>
          <t>Kyrkan</t>
        </is>
      </c>
      <c r="G480" t="n">
        <v>1.3</v>
      </c>
      <c r="H480" t="n">
        <v>0</v>
      </c>
      <c r="I480" t="n">
        <v>0</v>
      </c>
      <c r="J480" t="n">
        <v>0</v>
      </c>
      <c r="K480" t="n">
        <v>0</v>
      </c>
      <c r="L480" t="n">
        <v>0</v>
      </c>
      <c r="M480" t="n">
        <v>0</v>
      </c>
      <c r="N480" t="n">
        <v>0</v>
      </c>
      <c r="O480" t="n">
        <v>0</v>
      </c>
      <c r="P480" t="n">
        <v>0</v>
      </c>
      <c r="Q480" t="n">
        <v>0</v>
      </c>
      <c r="R480" s="2" t="inlineStr"/>
    </row>
    <row r="481" ht="15" customHeight="1">
      <c r="A481" t="inlineStr">
        <is>
          <t>A 40223-2024</t>
        </is>
      </c>
      <c r="B481" s="1" t="n">
        <v>45554</v>
      </c>
      <c r="C481" s="1" t="n">
        <v>46161</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37035-2023</t>
        </is>
      </c>
      <c r="B482" s="1" t="n">
        <v>45155</v>
      </c>
      <c r="C482" s="1" t="n">
        <v>46161</v>
      </c>
      <c r="D482" t="inlineStr">
        <is>
          <t>UPPSALA LÄN</t>
        </is>
      </c>
      <c r="E482" t="inlineStr">
        <is>
          <t>ENKÖPING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46161</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51030-2024</t>
        </is>
      </c>
      <c r="B484" s="1" t="n">
        <v>45603</v>
      </c>
      <c r="C484" s="1" t="n">
        <v>46161</v>
      </c>
      <c r="D484" t="inlineStr">
        <is>
          <t>UPPSALA LÄN</t>
        </is>
      </c>
      <c r="E484" t="inlineStr">
        <is>
          <t>ENKÖPING</t>
        </is>
      </c>
      <c r="G484" t="n">
        <v>2</v>
      </c>
      <c r="H484" t="n">
        <v>0</v>
      </c>
      <c r="I484" t="n">
        <v>0</v>
      </c>
      <c r="J484" t="n">
        <v>0</v>
      </c>
      <c r="K484" t="n">
        <v>0</v>
      </c>
      <c r="L484" t="n">
        <v>0</v>
      </c>
      <c r="M484" t="n">
        <v>0</v>
      </c>
      <c r="N484" t="n">
        <v>0</v>
      </c>
      <c r="O484" t="n">
        <v>0</v>
      </c>
      <c r="P484" t="n">
        <v>0</v>
      </c>
      <c r="Q484" t="n">
        <v>0</v>
      </c>
      <c r="R484" s="2" t="inlineStr"/>
    </row>
    <row r="485" ht="15" customHeight="1">
      <c r="A485" t="inlineStr">
        <is>
          <t>A 26292-2022</t>
        </is>
      </c>
      <c r="B485" s="1" t="n">
        <v>44735</v>
      </c>
      <c r="C485" s="1" t="n">
        <v>46161</v>
      </c>
      <c r="D485" t="inlineStr">
        <is>
          <t>UPPSALA LÄN</t>
        </is>
      </c>
      <c r="E485" t="inlineStr">
        <is>
          <t>ENKÖPING</t>
        </is>
      </c>
      <c r="F485" t="inlineStr">
        <is>
          <t>Kyrkan</t>
        </is>
      </c>
      <c r="G485" t="n">
        <v>4.6</v>
      </c>
      <c r="H485" t="n">
        <v>0</v>
      </c>
      <c r="I485" t="n">
        <v>0</v>
      </c>
      <c r="J485" t="n">
        <v>0</v>
      </c>
      <c r="K485" t="n">
        <v>0</v>
      </c>
      <c r="L485" t="n">
        <v>0</v>
      </c>
      <c r="M485" t="n">
        <v>0</v>
      </c>
      <c r="N485" t="n">
        <v>0</v>
      </c>
      <c r="O485" t="n">
        <v>0</v>
      </c>
      <c r="P485" t="n">
        <v>0</v>
      </c>
      <c r="Q485" t="n">
        <v>0</v>
      </c>
      <c r="R485" s="2" t="inlineStr"/>
    </row>
    <row r="486" ht="15" customHeight="1">
      <c r="A486" t="inlineStr">
        <is>
          <t>A 4044-2024</t>
        </is>
      </c>
      <c r="B486" s="1" t="n">
        <v>45323.45954861111</v>
      </c>
      <c r="C486" s="1" t="n">
        <v>46161</v>
      </c>
      <c r="D486" t="inlineStr">
        <is>
          <t>UPPSALA LÄN</t>
        </is>
      </c>
      <c r="E486" t="inlineStr">
        <is>
          <t>ENKÖPING</t>
        </is>
      </c>
      <c r="G486" t="n">
        <v>2.1</v>
      </c>
      <c r="H486" t="n">
        <v>0</v>
      </c>
      <c r="I486" t="n">
        <v>0</v>
      </c>
      <c r="J486" t="n">
        <v>0</v>
      </c>
      <c r="K486" t="n">
        <v>0</v>
      </c>
      <c r="L486" t="n">
        <v>0</v>
      </c>
      <c r="M486" t="n">
        <v>0</v>
      </c>
      <c r="N486" t="n">
        <v>0</v>
      </c>
      <c r="O486" t="n">
        <v>0</v>
      </c>
      <c r="P486" t="n">
        <v>0</v>
      </c>
      <c r="Q486" t="n">
        <v>0</v>
      </c>
      <c r="R486" s="2" t="inlineStr"/>
    </row>
    <row r="487" ht="15" customHeight="1">
      <c r="A487" t="inlineStr">
        <is>
          <t>A 33349-2024</t>
        </is>
      </c>
      <c r="B487" s="1" t="n">
        <v>45519</v>
      </c>
      <c r="C487" s="1" t="n">
        <v>46161</v>
      </c>
      <c r="D487" t="inlineStr">
        <is>
          <t>UPPSALA LÄN</t>
        </is>
      </c>
      <c r="E487" t="inlineStr">
        <is>
          <t>ENKÖPING</t>
        </is>
      </c>
      <c r="G487" t="n">
        <v>3.6</v>
      </c>
      <c r="H487" t="n">
        <v>0</v>
      </c>
      <c r="I487" t="n">
        <v>0</v>
      </c>
      <c r="J487" t="n">
        <v>0</v>
      </c>
      <c r="K487" t="n">
        <v>0</v>
      </c>
      <c r="L487" t="n">
        <v>0</v>
      </c>
      <c r="M487" t="n">
        <v>0</v>
      </c>
      <c r="N487" t="n">
        <v>0</v>
      </c>
      <c r="O487" t="n">
        <v>0</v>
      </c>
      <c r="P487" t="n">
        <v>0</v>
      </c>
      <c r="Q487" t="n">
        <v>0</v>
      </c>
      <c r="R487" s="2" t="inlineStr"/>
    </row>
    <row r="488" ht="15" customHeight="1">
      <c r="A488" t="inlineStr">
        <is>
          <t>A 22315-2026</t>
        </is>
      </c>
      <c r="B488" s="1" t="n">
        <v>46154.49106481481</v>
      </c>
      <c r="C488" s="1" t="n">
        <v>46161</v>
      </c>
      <c r="D488" t="inlineStr">
        <is>
          <t>UPPSALA LÄN</t>
        </is>
      </c>
      <c r="E488" t="inlineStr">
        <is>
          <t>ENKÖPING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22912-2024</t>
        </is>
      </c>
      <c r="B489" s="1" t="n">
        <v>45448.73118055556</v>
      </c>
      <c r="C489" s="1" t="n">
        <v>46161</v>
      </c>
      <c r="D489" t="inlineStr">
        <is>
          <t>UPPSALA LÄN</t>
        </is>
      </c>
      <c r="E489" t="inlineStr">
        <is>
          <t>ENKÖPING</t>
        </is>
      </c>
      <c r="G489" t="n">
        <v>2.8</v>
      </c>
      <c r="H489" t="n">
        <v>0</v>
      </c>
      <c r="I489" t="n">
        <v>0</v>
      </c>
      <c r="J489" t="n">
        <v>0</v>
      </c>
      <c r="K489" t="n">
        <v>0</v>
      </c>
      <c r="L489" t="n">
        <v>0</v>
      </c>
      <c r="M489" t="n">
        <v>0</v>
      </c>
      <c r="N489" t="n">
        <v>0</v>
      </c>
      <c r="O489" t="n">
        <v>0</v>
      </c>
      <c r="P489" t="n">
        <v>0</v>
      </c>
      <c r="Q489" t="n">
        <v>0</v>
      </c>
      <c r="R489" s="2" t="inlineStr"/>
    </row>
    <row r="490" ht="15" customHeight="1">
      <c r="A490" t="inlineStr">
        <is>
          <t>A 21612-2023</t>
        </is>
      </c>
      <c r="B490" s="1" t="n">
        <v>45063</v>
      </c>
      <c r="C490" s="1" t="n">
        <v>46161</v>
      </c>
      <c r="D490" t="inlineStr">
        <is>
          <t>UPPSALA LÄN</t>
        </is>
      </c>
      <c r="E490" t="inlineStr">
        <is>
          <t>ENKÖPING</t>
        </is>
      </c>
      <c r="F490" t="inlineStr">
        <is>
          <t>Allmännings- och besparingsskogar</t>
        </is>
      </c>
      <c r="G490" t="n">
        <v>1</v>
      </c>
      <c r="H490" t="n">
        <v>0</v>
      </c>
      <c r="I490" t="n">
        <v>0</v>
      </c>
      <c r="J490" t="n">
        <v>0</v>
      </c>
      <c r="K490" t="n">
        <v>0</v>
      </c>
      <c r="L490" t="n">
        <v>0</v>
      </c>
      <c r="M490" t="n">
        <v>0</v>
      </c>
      <c r="N490" t="n">
        <v>0</v>
      </c>
      <c r="O490" t="n">
        <v>0</v>
      </c>
      <c r="P490" t="n">
        <v>0</v>
      </c>
      <c r="Q490" t="n">
        <v>0</v>
      </c>
      <c r="R490" s="2" t="inlineStr"/>
    </row>
    <row r="491" ht="15" customHeight="1">
      <c r="A491" t="inlineStr">
        <is>
          <t>A 14243-2025</t>
        </is>
      </c>
      <c r="B491" s="1" t="n">
        <v>45740.61288194444</v>
      </c>
      <c r="C491" s="1" t="n">
        <v>46161</v>
      </c>
      <c r="D491" t="inlineStr">
        <is>
          <t>UPPSALA LÄN</t>
        </is>
      </c>
      <c r="E491" t="inlineStr">
        <is>
          <t>ENKÖPING</t>
        </is>
      </c>
      <c r="G491" t="n">
        <v>2.2</v>
      </c>
      <c r="H491" t="n">
        <v>0</v>
      </c>
      <c r="I491" t="n">
        <v>0</v>
      </c>
      <c r="J491" t="n">
        <v>0</v>
      </c>
      <c r="K491" t="n">
        <v>0</v>
      </c>
      <c r="L491" t="n">
        <v>0</v>
      </c>
      <c r="M491" t="n">
        <v>0</v>
      </c>
      <c r="N491" t="n">
        <v>0</v>
      </c>
      <c r="O491" t="n">
        <v>0</v>
      </c>
      <c r="P491" t="n">
        <v>0</v>
      </c>
      <c r="Q491" t="n">
        <v>0</v>
      </c>
      <c r="R491" s="2" t="inlineStr"/>
    </row>
    <row r="492" ht="15" customHeight="1">
      <c r="A492" t="inlineStr">
        <is>
          <t>A 33343-2024</t>
        </is>
      </c>
      <c r="B492" s="1" t="n">
        <v>45519</v>
      </c>
      <c r="C492" s="1" t="n">
        <v>46161</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18302-2025</t>
        </is>
      </c>
      <c r="B493" s="1" t="n">
        <v>45762</v>
      </c>
      <c r="C493" s="1" t="n">
        <v>46161</v>
      </c>
      <c r="D493" t="inlineStr">
        <is>
          <t>UPPSALA LÄN</t>
        </is>
      </c>
      <c r="E493" t="inlineStr">
        <is>
          <t>ENKÖPING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28243-2023</t>
        </is>
      </c>
      <c r="B494" s="1" t="n">
        <v>45099.58885416666</v>
      </c>
      <c r="C494" s="1" t="n">
        <v>46161</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3235-2025</t>
        </is>
      </c>
      <c r="B495" s="1" t="n">
        <v>45679</v>
      </c>
      <c r="C495" s="1" t="n">
        <v>46161</v>
      </c>
      <c r="D495" t="inlineStr">
        <is>
          <t>UPPSALA LÄN</t>
        </is>
      </c>
      <c r="E495" t="inlineStr">
        <is>
          <t>ENKÖPING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41828-2024</t>
        </is>
      </c>
      <c r="B496" s="1" t="n">
        <v>45561</v>
      </c>
      <c r="C496" s="1" t="n">
        <v>46161</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1536-2024</t>
        </is>
      </c>
      <c r="B497" s="1" t="n">
        <v>45306</v>
      </c>
      <c r="C497" s="1" t="n">
        <v>46161</v>
      </c>
      <c r="D497" t="inlineStr">
        <is>
          <t>UPPSALA LÄN</t>
        </is>
      </c>
      <c r="E497" t="inlineStr">
        <is>
          <t>ENKÖPING</t>
        </is>
      </c>
      <c r="F497" t="inlineStr">
        <is>
          <t>Kyrkan</t>
        </is>
      </c>
      <c r="G497" t="n">
        <v>5.6</v>
      </c>
      <c r="H497" t="n">
        <v>0</v>
      </c>
      <c r="I497" t="n">
        <v>0</v>
      </c>
      <c r="J497" t="n">
        <v>0</v>
      </c>
      <c r="K497" t="n">
        <v>0</v>
      </c>
      <c r="L497" t="n">
        <v>0</v>
      </c>
      <c r="M497" t="n">
        <v>0</v>
      </c>
      <c r="N497" t="n">
        <v>0</v>
      </c>
      <c r="O497" t="n">
        <v>0</v>
      </c>
      <c r="P497" t="n">
        <v>0</v>
      </c>
      <c r="Q497" t="n">
        <v>0</v>
      </c>
      <c r="R497" s="2" t="inlineStr"/>
    </row>
    <row r="498" ht="15" customHeight="1">
      <c r="A498" t="inlineStr">
        <is>
          <t>A 42564-2024</t>
        </is>
      </c>
      <c r="B498" s="1" t="n">
        <v>45565.63358796296</v>
      </c>
      <c r="C498" s="1" t="n">
        <v>46161</v>
      </c>
      <c r="D498" t="inlineStr">
        <is>
          <t>UPPSALA LÄN</t>
        </is>
      </c>
      <c r="E498" t="inlineStr">
        <is>
          <t>ENKÖPING</t>
        </is>
      </c>
      <c r="G498" t="n">
        <v>1.7</v>
      </c>
      <c r="H498" t="n">
        <v>0</v>
      </c>
      <c r="I498" t="n">
        <v>0</v>
      </c>
      <c r="J498" t="n">
        <v>0</v>
      </c>
      <c r="K498" t="n">
        <v>0</v>
      </c>
      <c r="L498" t="n">
        <v>0</v>
      </c>
      <c r="M498" t="n">
        <v>0</v>
      </c>
      <c r="N498" t="n">
        <v>0</v>
      </c>
      <c r="O498" t="n">
        <v>0</v>
      </c>
      <c r="P498" t="n">
        <v>0</v>
      </c>
      <c r="Q498" t="n">
        <v>0</v>
      </c>
      <c r="R498" s="2" t="inlineStr"/>
    </row>
    <row r="499" ht="15" customHeight="1">
      <c r="A499" t="inlineStr">
        <is>
          <t>A 43492-2023</t>
        </is>
      </c>
      <c r="B499" s="1" t="n">
        <v>45181</v>
      </c>
      <c r="C499" s="1" t="n">
        <v>46161</v>
      </c>
      <c r="D499" t="inlineStr">
        <is>
          <t>UPPSALA LÄN</t>
        </is>
      </c>
      <c r="E499" t="inlineStr">
        <is>
          <t>ENKÖPING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6626-2023</t>
        </is>
      </c>
      <c r="B500" s="1" t="n">
        <v>44966.55946759259</v>
      </c>
      <c r="C500" s="1" t="n">
        <v>46161</v>
      </c>
      <c r="D500" t="inlineStr">
        <is>
          <t>UPPSALA LÄN</t>
        </is>
      </c>
      <c r="E500" t="inlineStr">
        <is>
          <t>ENKÖPING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17165-2025</t>
        </is>
      </c>
      <c r="B501" s="1" t="n">
        <v>45756</v>
      </c>
      <c r="C501" s="1" t="n">
        <v>46161</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5013-2025</t>
        </is>
      </c>
      <c r="B502" s="1" t="n">
        <v>45691</v>
      </c>
      <c r="C502" s="1" t="n">
        <v>46161</v>
      </c>
      <c r="D502" t="inlineStr">
        <is>
          <t>UPPSALA LÄN</t>
        </is>
      </c>
      <c r="E502" t="inlineStr">
        <is>
          <t>ENKÖPING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37170-2021</t>
        </is>
      </c>
      <c r="B503" s="1" t="n">
        <v>44395</v>
      </c>
      <c r="C503" s="1" t="n">
        <v>46161</v>
      </c>
      <c r="D503" t="inlineStr">
        <is>
          <t>UPPSALA LÄN</t>
        </is>
      </c>
      <c r="E503" t="inlineStr">
        <is>
          <t>ENKÖPING</t>
        </is>
      </c>
      <c r="G503" t="n">
        <v>1.5</v>
      </c>
      <c r="H503" t="n">
        <v>0</v>
      </c>
      <c r="I503" t="n">
        <v>0</v>
      </c>
      <c r="J503" t="n">
        <v>0</v>
      </c>
      <c r="K503" t="n">
        <v>0</v>
      </c>
      <c r="L503" t="n">
        <v>0</v>
      </c>
      <c r="M503" t="n">
        <v>0</v>
      </c>
      <c r="N503" t="n">
        <v>0</v>
      </c>
      <c r="O503" t="n">
        <v>0</v>
      </c>
      <c r="P503" t="n">
        <v>0</v>
      </c>
      <c r="Q503" t="n">
        <v>0</v>
      </c>
      <c r="R503" s="2" t="inlineStr"/>
    </row>
    <row r="504" ht="15" customHeight="1">
      <c r="A504" t="inlineStr">
        <is>
          <t>A 58147-2024</t>
        </is>
      </c>
      <c r="B504" s="1" t="n">
        <v>45632.4334375</v>
      </c>
      <c r="C504" s="1" t="n">
        <v>46161</v>
      </c>
      <c r="D504" t="inlineStr">
        <is>
          <t>UPPSALA LÄN</t>
        </is>
      </c>
      <c r="E504" t="inlineStr">
        <is>
          <t>ENKÖPING</t>
        </is>
      </c>
      <c r="G504" t="n">
        <v>3</v>
      </c>
      <c r="H504" t="n">
        <v>0</v>
      </c>
      <c r="I504" t="n">
        <v>0</v>
      </c>
      <c r="J504" t="n">
        <v>0</v>
      </c>
      <c r="K504" t="n">
        <v>0</v>
      </c>
      <c r="L504" t="n">
        <v>0</v>
      </c>
      <c r="M504" t="n">
        <v>0</v>
      </c>
      <c r="N504" t="n">
        <v>0</v>
      </c>
      <c r="O504" t="n">
        <v>0</v>
      </c>
      <c r="P504" t="n">
        <v>0</v>
      </c>
      <c r="Q504" t="n">
        <v>0</v>
      </c>
      <c r="R504" s="2" t="inlineStr"/>
    </row>
    <row r="505" ht="15" customHeight="1">
      <c r="A505" t="inlineStr">
        <is>
          <t>A 3550-2023</t>
        </is>
      </c>
      <c r="B505" s="1" t="n">
        <v>44950</v>
      </c>
      <c r="C505" s="1" t="n">
        <v>46161</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19014-2025</t>
        </is>
      </c>
      <c r="B506" s="1" t="n">
        <v>45764.59631944444</v>
      </c>
      <c r="C506" s="1" t="n">
        <v>46161</v>
      </c>
      <c r="D506" t="inlineStr">
        <is>
          <t>UPPSALA LÄN</t>
        </is>
      </c>
      <c r="E506" t="inlineStr">
        <is>
          <t>ENKÖPING</t>
        </is>
      </c>
      <c r="G506" t="n">
        <v>0.2</v>
      </c>
      <c r="H506" t="n">
        <v>0</v>
      </c>
      <c r="I506" t="n">
        <v>0</v>
      </c>
      <c r="J506" t="n">
        <v>0</v>
      </c>
      <c r="K506" t="n">
        <v>0</v>
      </c>
      <c r="L506" t="n">
        <v>0</v>
      </c>
      <c r="M506" t="n">
        <v>0</v>
      </c>
      <c r="N506" t="n">
        <v>0</v>
      </c>
      <c r="O506" t="n">
        <v>0</v>
      </c>
      <c r="P506" t="n">
        <v>0</v>
      </c>
      <c r="Q506" t="n">
        <v>0</v>
      </c>
      <c r="R506" s="2" t="inlineStr"/>
    </row>
    <row r="507" ht="15" customHeight="1">
      <c r="A507" t="inlineStr">
        <is>
          <t>A 12958-2024</t>
        </is>
      </c>
      <c r="B507" s="1" t="n">
        <v>45385</v>
      </c>
      <c r="C507" s="1" t="n">
        <v>46161</v>
      </c>
      <c r="D507" t="inlineStr">
        <is>
          <t>UPPSALA LÄN</t>
        </is>
      </c>
      <c r="E507" t="inlineStr">
        <is>
          <t>ENKÖPING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1651-2024</t>
        </is>
      </c>
      <c r="B508" s="1" t="n">
        <v>45306.73770833333</v>
      </c>
      <c r="C508" s="1" t="n">
        <v>46161</v>
      </c>
      <c r="D508" t="inlineStr">
        <is>
          <t>UPPSALA LÄN</t>
        </is>
      </c>
      <c r="E508" t="inlineStr">
        <is>
          <t>ENKÖPING</t>
        </is>
      </c>
      <c r="G508" t="n">
        <v>10.2</v>
      </c>
      <c r="H508" t="n">
        <v>0</v>
      </c>
      <c r="I508" t="n">
        <v>0</v>
      </c>
      <c r="J508" t="n">
        <v>0</v>
      </c>
      <c r="K508" t="n">
        <v>0</v>
      </c>
      <c r="L508" t="n">
        <v>0</v>
      </c>
      <c r="M508" t="n">
        <v>0</v>
      </c>
      <c r="N508" t="n">
        <v>0</v>
      </c>
      <c r="O508" t="n">
        <v>0</v>
      </c>
      <c r="P508" t="n">
        <v>0</v>
      </c>
      <c r="Q508" t="n">
        <v>0</v>
      </c>
      <c r="R508" s="2" t="inlineStr"/>
    </row>
    <row r="509" ht="15" customHeight="1">
      <c r="A509" t="inlineStr">
        <is>
          <t>A 51012-2024</t>
        </is>
      </c>
      <c r="B509" s="1" t="n">
        <v>45603.39686342593</v>
      </c>
      <c r="C509" s="1" t="n">
        <v>46161</v>
      </c>
      <c r="D509" t="inlineStr">
        <is>
          <t>UPPSALA LÄN</t>
        </is>
      </c>
      <c r="E509" t="inlineStr">
        <is>
          <t>ENKÖPING</t>
        </is>
      </c>
      <c r="G509" t="n">
        <v>2.7</v>
      </c>
      <c r="H509" t="n">
        <v>0</v>
      </c>
      <c r="I509" t="n">
        <v>0</v>
      </c>
      <c r="J509" t="n">
        <v>0</v>
      </c>
      <c r="K509" t="n">
        <v>0</v>
      </c>
      <c r="L509" t="n">
        <v>0</v>
      </c>
      <c r="M509" t="n">
        <v>0</v>
      </c>
      <c r="N509" t="n">
        <v>0</v>
      </c>
      <c r="O509" t="n">
        <v>0</v>
      </c>
      <c r="P509" t="n">
        <v>0</v>
      </c>
      <c r="Q509" t="n">
        <v>0</v>
      </c>
      <c r="R509" s="2" t="inlineStr"/>
    </row>
    <row r="510" ht="15" customHeight="1">
      <c r="A510" t="inlineStr">
        <is>
          <t>A 57940-2022</t>
        </is>
      </c>
      <c r="B510" s="1" t="n">
        <v>44900</v>
      </c>
      <c r="C510" s="1" t="n">
        <v>46161</v>
      </c>
      <c r="D510" t="inlineStr">
        <is>
          <t>UPPSALA LÄN</t>
        </is>
      </c>
      <c r="E510" t="inlineStr">
        <is>
          <t>ENKÖPING</t>
        </is>
      </c>
      <c r="G510" t="n">
        <v>1.9</v>
      </c>
      <c r="H510" t="n">
        <v>0</v>
      </c>
      <c r="I510" t="n">
        <v>0</v>
      </c>
      <c r="J510" t="n">
        <v>0</v>
      </c>
      <c r="K510" t="n">
        <v>0</v>
      </c>
      <c r="L510" t="n">
        <v>0</v>
      </c>
      <c r="M510" t="n">
        <v>0</v>
      </c>
      <c r="N510" t="n">
        <v>0</v>
      </c>
      <c r="O510" t="n">
        <v>0</v>
      </c>
      <c r="P510" t="n">
        <v>0</v>
      </c>
      <c r="Q510" t="n">
        <v>0</v>
      </c>
      <c r="R510" s="2" t="inlineStr"/>
    </row>
    <row r="511" ht="15" customHeight="1">
      <c r="A511" t="inlineStr">
        <is>
          <t>A 63310-2021</t>
        </is>
      </c>
      <c r="B511" s="1" t="n">
        <v>44508</v>
      </c>
      <c r="C511" s="1" t="n">
        <v>46161</v>
      </c>
      <c r="D511" t="inlineStr">
        <is>
          <t>UPPSALA LÄN</t>
        </is>
      </c>
      <c r="E511" t="inlineStr">
        <is>
          <t>ENKÖPING</t>
        </is>
      </c>
      <c r="G511" t="n">
        <v>3.5</v>
      </c>
      <c r="H511" t="n">
        <v>0</v>
      </c>
      <c r="I511" t="n">
        <v>0</v>
      </c>
      <c r="J511" t="n">
        <v>0</v>
      </c>
      <c r="K511" t="n">
        <v>0</v>
      </c>
      <c r="L511" t="n">
        <v>0</v>
      </c>
      <c r="M511" t="n">
        <v>0</v>
      </c>
      <c r="N511" t="n">
        <v>0</v>
      </c>
      <c r="O511" t="n">
        <v>0</v>
      </c>
      <c r="P511" t="n">
        <v>0</v>
      </c>
      <c r="Q511" t="n">
        <v>0</v>
      </c>
      <c r="R511" s="2" t="inlineStr"/>
    </row>
    <row r="512" ht="15" customHeight="1">
      <c r="A512" t="inlineStr">
        <is>
          <t>A 20440-2025</t>
        </is>
      </c>
      <c r="B512" s="1" t="n">
        <v>45775</v>
      </c>
      <c r="C512" s="1" t="n">
        <v>46161</v>
      </c>
      <c r="D512" t="inlineStr">
        <is>
          <t>UPPSALA LÄN</t>
        </is>
      </c>
      <c r="E512" t="inlineStr">
        <is>
          <t>ENKÖPING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19488-2022</t>
        </is>
      </c>
      <c r="B513" s="1" t="n">
        <v>44693</v>
      </c>
      <c r="C513" s="1" t="n">
        <v>46161</v>
      </c>
      <c r="D513" t="inlineStr">
        <is>
          <t>UPPSALA LÄN</t>
        </is>
      </c>
      <c r="E513" t="inlineStr">
        <is>
          <t>ENKÖPING</t>
        </is>
      </c>
      <c r="G513" t="n">
        <v>7.8</v>
      </c>
      <c r="H513" t="n">
        <v>0</v>
      </c>
      <c r="I513" t="n">
        <v>0</v>
      </c>
      <c r="J513" t="n">
        <v>0</v>
      </c>
      <c r="K513" t="n">
        <v>0</v>
      </c>
      <c r="L513" t="n">
        <v>0</v>
      </c>
      <c r="M513" t="n">
        <v>0</v>
      </c>
      <c r="N513" t="n">
        <v>0</v>
      </c>
      <c r="O513" t="n">
        <v>0</v>
      </c>
      <c r="P513" t="n">
        <v>0</v>
      </c>
      <c r="Q513" t="n">
        <v>0</v>
      </c>
      <c r="R513" s="2" t="inlineStr"/>
    </row>
    <row r="514" ht="15" customHeight="1">
      <c r="A514" t="inlineStr">
        <is>
          <t>A 5188-2022</t>
        </is>
      </c>
      <c r="B514" s="1" t="n">
        <v>44594.4471412037</v>
      </c>
      <c r="C514" s="1" t="n">
        <v>46161</v>
      </c>
      <c r="D514" t="inlineStr">
        <is>
          <t>UPPSALA LÄN</t>
        </is>
      </c>
      <c r="E514" t="inlineStr">
        <is>
          <t>ENKÖPING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31622-2022</t>
        </is>
      </c>
      <c r="B515" s="1" t="n">
        <v>44775</v>
      </c>
      <c r="C515" s="1" t="n">
        <v>46161</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12102-2024</t>
        </is>
      </c>
      <c r="B516" s="1" t="n">
        <v>45377</v>
      </c>
      <c r="C516" s="1" t="n">
        <v>46161</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c r="A517" t="inlineStr">
        <is>
          <t>A 59602-2024</t>
        </is>
      </c>
      <c r="B517" s="1" t="n">
        <v>45638</v>
      </c>
      <c r="C517" s="1" t="n">
        <v>46161</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2026-05-19T10:57:35Z</dcterms:created>
  <dcterms:modified xmlns:dcterms="http://purl.org/dc/terms/" xmlns:xsi="http://www.w3.org/2001/XMLSchema-instance" xsi:type="dcterms:W3CDTF">2026-05-19T10:57:35Z</dcterms:modified>
</cp:coreProperties>
</file>