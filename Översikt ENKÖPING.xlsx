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45923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45923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45923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45923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45923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45923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45923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45923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45923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45923</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45923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45923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45923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45923</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45923</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45923</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45923</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45923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45923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45923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45923</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23961-2022</t>
        </is>
      </c>
      <c r="B23" s="1" t="n">
        <v>44722</v>
      </c>
      <c r="C23" s="1" t="n">
        <v>45923</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45923</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45923</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45923</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46749-2024</t>
        </is>
      </c>
      <c r="B27" s="1" t="n">
        <v>45583.48347222222</v>
      </c>
      <c r="C27" s="1" t="n">
        <v>45923</v>
      </c>
      <c r="D27" t="inlineStr">
        <is>
          <t>UPPSALA LÄN</t>
        </is>
      </c>
      <c r="E27" t="inlineStr">
        <is>
          <t>ENKÖPING</t>
        </is>
      </c>
      <c r="G27" t="n">
        <v>8.5</v>
      </c>
      <c r="H27" t="n">
        <v>0</v>
      </c>
      <c r="I27" t="n">
        <v>0</v>
      </c>
      <c r="J27" t="n">
        <v>1</v>
      </c>
      <c r="K27" t="n">
        <v>0</v>
      </c>
      <c r="L27" t="n">
        <v>0</v>
      </c>
      <c r="M27" t="n">
        <v>0</v>
      </c>
      <c r="N27" t="n">
        <v>0</v>
      </c>
      <c r="O27" t="n">
        <v>1</v>
      </c>
      <c r="P27" t="n">
        <v>0</v>
      </c>
      <c r="Q27" t="n">
        <v>1</v>
      </c>
      <c r="R27" s="2" t="inlineStr">
        <is>
          <t>Leptoporus erubescens</t>
        </is>
      </c>
      <c r="S27">
        <f>HYPERLINK("https://klasma.github.io/Logging_0381/artfynd/A 46749-2024 artfynd.xlsx", "A 46749-2024")</f>
        <v/>
      </c>
      <c r="T27">
        <f>HYPERLINK("https://klasma.github.io/Logging_0381/kartor/A 46749-2024 karta.png", "A 46749-2024")</f>
        <v/>
      </c>
      <c r="V27">
        <f>HYPERLINK("https://klasma.github.io/Logging_0381/klagomål/A 46749-2024 FSC-klagomål.docx", "A 46749-2024")</f>
        <v/>
      </c>
      <c r="W27">
        <f>HYPERLINK("https://klasma.github.io/Logging_0381/klagomålsmail/A 46749-2024 FSC-klagomål mail.docx", "A 46749-2024")</f>
        <v/>
      </c>
      <c r="X27">
        <f>HYPERLINK("https://klasma.github.io/Logging_0381/tillsyn/A 46749-2024 tillsynsbegäran.docx", "A 46749-2024")</f>
        <v/>
      </c>
      <c r="Y27">
        <f>HYPERLINK("https://klasma.github.io/Logging_0381/tillsynsmail/A 46749-2024 tillsynsbegäran mail.docx", "A 46749-2024")</f>
        <v/>
      </c>
    </row>
    <row r="28" ht="15" customHeight="1">
      <c r="A28" t="inlineStr">
        <is>
          <t>A 33339-2024</t>
        </is>
      </c>
      <c r="B28" s="1" t="n">
        <v>45519</v>
      </c>
      <c r="C28" s="1" t="n">
        <v>45923</v>
      </c>
      <c r="D28" t="inlineStr">
        <is>
          <t>UPPSALA LÄN</t>
        </is>
      </c>
      <c r="E28" t="inlineStr">
        <is>
          <t>ENKÖPING</t>
        </is>
      </c>
      <c r="G28" t="n">
        <v>2.3</v>
      </c>
      <c r="H28" t="n">
        <v>0</v>
      </c>
      <c r="I28" t="n">
        <v>0</v>
      </c>
      <c r="J28" t="n">
        <v>1</v>
      </c>
      <c r="K28" t="n">
        <v>0</v>
      </c>
      <c r="L28" t="n">
        <v>0</v>
      </c>
      <c r="M28" t="n">
        <v>0</v>
      </c>
      <c r="N28" t="n">
        <v>0</v>
      </c>
      <c r="O28" t="n">
        <v>1</v>
      </c>
      <c r="P28" t="n">
        <v>0</v>
      </c>
      <c r="Q28" t="n">
        <v>1</v>
      </c>
      <c r="R28" s="2" t="inlineStr">
        <is>
          <t>Ullticka</t>
        </is>
      </c>
      <c r="S28">
        <f>HYPERLINK("https://klasma.github.io/Logging_0381/artfynd/A 33339-2024 artfynd.xlsx", "A 33339-2024")</f>
        <v/>
      </c>
      <c r="T28">
        <f>HYPERLINK("https://klasma.github.io/Logging_0381/kartor/A 33339-2024 karta.png", "A 33339-2024")</f>
        <v/>
      </c>
      <c r="V28">
        <f>HYPERLINK("https://klasma.github.io/Logging_0381/klagomål/A 33339-2024 FSC-klagomål.docx", "A 33339-2024")</f>
        <v/>
      </c>
      <c r="W28">
        <f>HYPERLINK("https://klasma.github.io/Logging_0381/klagomålsmail/A 33339-2024 FSC-klagomål mail.docx", "A 33339-2024")</f>
        <v/>
      </c>
      <c r="X28">
        <f>HYPERLINK("https://klasma.github.io/Logging_0381/tillsyn/A 33339-2024 tillsynsbegäran.docx", "A 33339-2024")</f>
        <v/>
      </c>
      <c r="Y28">
        <f>HYPERLINK("https://klasma.github.io/Logging_0381/tillsynsmail/A 33339-2024 tillsynsbegäran mail.docx", "A 33339-2024")</f>
        <v/>
      </c>
    </row>
    <row r="29" ht="15" customHeight="1">
      <c r="A29" t="inlineStr">
        <is>
          <t>A 45116-2023</t>
        </is>
      </c>
      <c r="B29" s="1" t="n">
        <v>45191</v>
      </c>
      <c r="C29" s="1" t="n">
        <v>45923</v>
      </c>
      <c r="D29" t="inlineStr">
        <is>
          <t>UPPSALA LÄN</t>
        </is>
      </c>
      <c r="E29" t="inlineStr">
        <is>
          <t>ENKÖPING</t>
        </is>
      </c>
      <c r="G29" t="n">
        <v>2</v>
      </c>
      <c r="H29" t="n">
        <v>0</v>
      </c>
      <c r="I29" t="n">
        <v>1</v>
      </c>
      <c r="J29" t="n">
        <v>0</v>
      </c>
      <c r="K29" t="n">
        <v>0</v>
      </c>
      <c r="L29" t="n">
        <v>0</v>
      </c>
      <c r="M29" t="n">
        <v>0</v>
      </c>
      <c r="N29" t="n">
        <v>0</v>
      </c>
      <c r="O29" t="n">
        <v>0</v>
      </c>
      <c r="P29" t="n">
        <v>0</v>
      </c>
      <c r="Q29" t="n">
        <v>1</v>
      </c>
      <c r="R29" s="2" t="inlineStr">
        <is>
          <t>Rävticka</t>
        </is>
      </c>
      <c r="S29">
        <f>HYPERLINK("https://klasma.github.io/Logging_0381/artfynd/A 45116-2023 artfynd.xlsx", "A 45116-2023")</f>
        <v/>
      </c>
      <c r="T29">
        <f>HYPERLINK("https://klasma.github.io/Logging_0381/kartor/A 45116-2023 karta.png", "A 45116-2023")</f>
        <v/>
      </c>
      <c r="V29">
        <f>HYPERLINK("https://klasma.github.io/Logging_0381/klagomål/A 45116-2023 FSC-klagomål.docx", "A 45116-2023")</f>
        <v/>
      </c>
      <c r="W29">
        <f>HYPERLINK("https://klasma.github.io/Logging_0381/klagomålsmail/A 45116-2023 FSC-klagomål mail.docx", "A 45116-2023")</f>
        <v/>
      </c>
      <c r="X29">
        <f>HYPERLINK("https://klasma.github.io/Logging_0381/tillsyn/A 45116-2023 tillsynsbegäran.docx", "A 45116-2023")</f>
        <v/>
      </c>
      <c r="Y29">
        <f>HYPERLINK("https://klasma.github.io/Logging_0381/tillsynsmail/A 45116-2023 tillsynsbegäran mail.docx", "A 45116-2023")</f>
        <v/>
      </c>
    </row>
    <row r="30" ht="15" customHeight="1">
      <c r="A30" t="inlineStr">
        <is>
          <t>A 26347-2025</t>
        </is>
      </c>
      <c r="B30" s="1" t="n">
        <v>45805.7403125</v>
      </c>
      <c r="C30" s="1" t="n">
        <v>45923</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45923</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16683-2021</t>
        </is>
      </c>
      <c r="B32" s="1" t="n">
        <v>44294.58495370371</v>
      </c>
      <c r="C32" s="1" t="n">
        <v>45923</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45923</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45923</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45923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45923</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45923</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45923</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45923</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45923</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45923</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45923</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45923</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45923</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45923</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45923</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45923</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45923</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45923</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45923</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45923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45923</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45923</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45923</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45923</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45923</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45923</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45923</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45923</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45923</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45923</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45923</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45923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45923</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45923</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45923</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45923</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45923</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45923</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45923</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45923</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45923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45923</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45923</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45923</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45923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45923</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45923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45923</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45923</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45923</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45923</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45923</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45923</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45923</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45923</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45923</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45923</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14839-2021</t>
        </is>
      </c>
      <c r="B89" s="1" t="n">
        <v>44280</v>
      </c>
      <c r="C89" s="1" t="n">
        <v>45923</v>
      </c>
      <c r="D89" t="inlineStr">
        <is>
          <t>UPPSALA LÄN</t>
        </is>
      </c>
      <c r="E89" t="inlineStr">
        <is>
          <t>ENKÖPING</t>
        </is>
      </c>
      <c r="G89" t="n">
        <v>11.4</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45923</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45923</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68107-2021</t>
        </is>
      </c>
      <c r="B92" s="1" t="n">
        <v>44526</v>
      </c>
      <c r="C92" s="1" t="n">
        <v>45923</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45923</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45923</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57055-2021</t>
        </is>
      </c>
      <c r="B95" s="1" t="n">
        <v>44482.55201388889</v>
      </c>
      <c r="C95" s="1" t="n">
        <v>45923</v>
      </c>
      <c r="D95" t="inlineStr">
        <is>
          <t>UPPSALA LÄN</t>
        </is>
      </c>
      <c r="E95" t="inlineStr">
        <is>
          <t>ENKÖPING</t>
        </is>
      </c>
      <c r="G95" t="n">
        <v>3.3</v>
      </c>
      <c r="H95" t="n">
        <v>0</v>
      </c>
      <c r="I95" t="n">
        <v>0</v>
      </c>
      <c r="J95" t="n">
        <v>0</v>
      </c>
      <c r="K95" t="n">
        <v>0</v>
      </c>
      <c r="L95" t="n">
        <v>0</v>
      </c>
      <c r="M95" t="n">
        <v>0</v>
      </c>
      <c r="N95" t="n">
        <v>0</v>
      </c>
      <c r="O95" t="n">
        <v>0</v>
      </c>
      <c r="P95" t="n">
        <v>0</v>
      </c>
      <c r="Q95" t="n">
        <v>0</v>
      </c>
      <c r="R95" s="2" t="inlineStr"/>
    </row>
    <row r="96" ht="15" customHeight="1">
      <c r="A96" t="inlineStr">
        <is>
          <t>A 60874-2021</t>
        </is>
      </c>
      <c r="B96" s="1" t="n">
        <v>44497</v>
      </c>
      <c r="C96" s="1" t="n">
        <v>45923</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57043-2021</t>
        </is>
      </c>
      <c r="B97" s="1" t="n">
        <v>44482.53399305556</v>
      </c>
      <c r="C97" s="1" t="n">
        <v>45923</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47516-2022</t>
        </is>
      </c>
      <c r="B98" s="1" t="n">
        <v>44853.68895833333</v>
      </c>
      <c r="C98" s="1" t="n">
        <v>45923</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15021-2022</t>
        </is>
      </c>
      <c r="B99" s="1" t="n">
        <v>44657</v>
      </c>
      <c r="C99" s="1" t="n">
        <v>45923</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58798-2020</t>
        </is>
      </c>
      <c r="B100" s="1" t="n">
        <v>44146</v>
      </c>
      <c r="C100" s="1" t="n">
        <v>45923</v>
      </c>
      <c r="D100" t="inlineStr">
        <is>
          <t>UPPSALA LÄN</t>
        </is>
      </c>
      <c r="E100" t="inlineStr">
        <is>
          <t>ENKÖPING</t>
        </is>
      </c>
      <c r="G100" t="n">
        <v>1.8</v>
      </c>
      <c r="H100" t="n">
        <v>0</v>
      </c>
      <c r="I100" t="n">
        <v>0</v>
      </c>
      <c r="J100" t="n">
        <v>0</v>
      </c>
      <c r="K100" t="n">
        <v>0</v>
      </c>
      <c r="L100" t="n">
        <v>0</v>
      </c>
      <c r="M100" t="n">
        <v>0</v>
      </c>
      <c r="N100" t="n">
        <v>0</v>
      </c>
      <c r="O100" t="n">
        <v>0</v>
      </c>
      <c r="P100" t="n">
        <v>0</v>
      </c>
      <c r="Q100" t="n">
        <v>0</v>
      </c>
      <c r="R100" s="2" t="inlineStr"/>
    </row>
    <row r="101" ht="15" customHeight="1">
      <c r="A101" t="inlineStr">
        <is>
          <t>A 57802-2020</t>
        </is>
      </c>
      <c r="B101" s="1" t="n">
        <v>44141</v>
      </c>
      <c r="C101" s="1" t="n">
        <v>45923</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29983-2021</t>
        </is>
      </c>
      <c r="B102" s="1" t="n">
        <v>44363</v>
      </c>
      <c r="C102" s="1" t="n">
        <v>45923</v>
      </c>
      <c r="D102" t="inlineStr">
        <is>
          <t>UPPSALA LÄN</t>
        </is>
      </c>
      <c r="E102" t="inlineStr">
        <is>
          <t>ENKÖPING</t>
        </is>
      </c>
      <c r="F102" t="inlineStr">
        <is>
          <t>Kommuner</t>
        </is>
      </c>
      <c r="G102" t="n">
        <v>3.1</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45923</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52464-2020</t>
        </is>
      </c>
      <c r="B104" s="1" t="n">
        <v>44118</v>
      </c>
      <c r="C104" s="1" t="n">
        <v>45923</v>
      </c>
      <c r="D104" t="inlineStr">
        <is>
          <t>UPPSALA LÄN</t>
        </is>
      </c>
      <c r="E104" t="inlineStr">
        <is>
          <t>ENKÖPING</t>
        </is>
      </c>
      <c r="G104" t="n">
        <v>4.6</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45923</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31965-2021</t>
        </is>
      </c>
      <c r="B106" s="1" t="n">
        <v>44370.56901620371</v>
      </c>
      <c r="C106" s="1" t="n">
        <v>45923</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24883-2022</t>
        </is>
      </c>
      <c r="B107" s="1" t="n">
        <v>44728</v>
      </c>
      <c r="C107" s="1" t="n">
        <v>45923</v>
      </c>
      <c r="D107" t="inlineStr">
        <is>
          <t>UPPSALA LÄN</t>
        </is>
      </c>
      <c r="E107" t="inlineStr">
        <is>
          <t>ENKÖPING</t>
        </is>
      </c>
      <c r="G107" t="n">
        <v>2.5</v>
      </c>
      <c r="H107" t="n">
        <v>0</v>
      </c>
      <c r="I107" t="n">
        <v>0</v>
      </c>
      <c r="J107" t="n">
        <v>0</v>
      </c>
      <c r="K107" t="n">
        <v>0</v>
      </c>
      <c r="L107" t="n">
        <v>0</v>
      </c>
      <c r="M107" t="n">
        <v>0</v>
      </c>
      <c r="N107" t="n">
        <v>0</v>
      </c>
      <c r="O107" t="n">
        <v>0</v>
      </c>
      <c r="P107" t="n">
        <v>0</v>
      </c>
      <c r="Q107" t="n">
        <v>0</v>
      </c>
      <c r="R107" s="2" t="inlineStr"/>
    </row>
    <row r="108" ht="15" customHeight="1">
      <c r="A108" t="inlineStr">
        <is>
          <t>A 10468-2025</t>
        </is>
      </c>
      <c r="B108" s="1" t="n">
        <v>45720</v>
      </c>
      <c r="C108" s="1" t="n">
        <v>45923</v>
      </c>
      <c r="D108" t="inlineStr">
        <is>
          <t>UPPSALA LÄN</t>
        </is>
      </c>
      <c r="E108" t="inlineStr">
        <is>
          <t>ENKÖPING</t>
        </is>
      </c>
      <c r="G108" t="n">
        <v>1.6</v>
      </c>
      <c r="H108" t="n">
        <v>0</v>
      </c>
      <c r="I108" t="n">
        <v>0</v>
      </c>
      <c r="J108" t="n">
        <v>0</v>
      </c>
      <c r="K108" t="n">
        <v>0</v>
      </c>
      <c r="L108" t="n">
        <v>0</v>
      </c>
      <c r="M108" t="n">
        <v>0</v>
      </c>
      <c r="N108" t="n">
        <v>0</v>
      </c>
      <c r="O108" t="n">
        <v>0</v>
      </c>
      <c r="P108" t="n">
        <v>0</v>
      </c>
      <c r="Q108" t="n">
        <v>0</v>
      </c>
      <c r="R108" s="2" t="inlineStr"/>
    </row>
    <row r="109" ht="15" customHeight="1">
      <c r="A109" t="inlineStr">
        <is>
          <t>A 31013-2022</t>
        </is>
      </c>
      <c r="B109" s="1" t="n">
        <v>44768</v>
      </c>
      <c r="C109" s="1" t="n">
        <v>45923</v>
      </c>
      <c r="D109" t="inlineStr">
        <is>
          <t>UPPSALA LÄN</t>
        </is>
      </c>
      <c r="E109" t="inlineStr">
        <is>
          <t>ENKÖPING</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43488-2023</t>
        </is>
      </c>
      <c r="B110" s="1" t="n">
        <v>45181</v>
      </c>
      <c r="C110" s="1" t="n">
        <v>45923</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12755-2025</t>
        </is>
      </c>
      <c r="B111" s="1" t="n">
        <v>45733.56541666666</v>
      </c>
      <c r="C111" s="1" t="n">
        <v>45923</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19630-2021</t>
        </is>
      </c>
      <c r="B112" s="1" t="n">
        <v>44312.61876157407</v>
      </c>
      <c r="C112" s="1" t="n">
        <v>45923</v>
      </c>
      <c r="D112" t="inlineStr">
        <is>
          <t>UPPSALA LÄN</t>
        </is>
      </c>
      <c r="E112" t="inlineStr">
        <is>
          <t>ENKÖPING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4044-2024</t>
        </is>
      </c>
      <c r="B113" s="1" t="n">
        <v>45323.45954861111</v>
      </c>
      <c r="C113" s="1" t="n">
        <v>45923</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42029-2021</t>
        </is>
      </c>
      <c r="B114" s="1" t="n">
        <v>44426</v>
      </c>
      <c r="C114" s="1" t="n">
        <v>45923</v>
      </c>
      <c r="D114" t="inlineStr">
        <is>
          <t>UPPSALA LÄN</t>
        </is>
      </c>
      <c r="E114" t="inlineStr">
        <is>
          <t>ENKÖPING</t>
        </is>
      </c>
      <c r="G114" t="n">
        <v>5.3</v>
      </c>
      <c r="H114" t="n">
        <v>0</v>
      </c>
      <c r="I114" t="n">
        <v>0</v>
      </c>
      <c r="J114" t="n">
        <v>0</v>
      </c>
      <c r="K114" t="n">
        <v>0</v>
      </c>
      <c r="L114" t="n">
        <v>0</v>
      </c>
      <c r="M114" t="n">
        <v>0</v>
      </c>
      <c r="N114" t="n">
        <v>0</v>
      </c>
      <c r="O114" t="n">
        <v>0</v>
      </c>
      <c r="P114" t="n">
        <v>0</v>
      </c>
      <c r="Q114" t="n">
        <v>0</v>
      </c>
      <c r="R114" s="2" t="inlineStr"/>
    </row>
    <row r="115" ht="15" customHeight="1">
      <c r="A115" t="inlineStr">
        <is>
          <t>A 5211-2024</t>
        </is>
      </c>
      <c r="B115" s="1" t="n">
        <v>45330</v>
      </c>
      <c r="C115" s="1" t="n">
        <v>45923</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46103-2023</t>
        </is>
      </c>
      <c r="B116" s="1" t="n">
        <v>45190</v>
      </c>
      <c r="C116" s="1" t="n">
        <v>45923</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68127-2021</t>
        </is>
      </c>
      <c r="B117" s="1" t="n">
        <v>44526.39513888889</v>
      </c>
      <c r="C117" s="1" t="n">
        <v>45923</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1971-2022</t>
        </is>
      </c>
      <c r="B118" s="1" t="n">
        <v>44575</v>
      </c>
      <c r="C118" s="1" t="n">
        <v>45923</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59121-2021</t>
        </is>
      </c>
      <c r="B119" s="1" t="n">
        <v>44490</v>
      </c>
      <c r="C119" s="1" t="n">
        <v>45923</v>
      </c>
      <c r="D119" t="inlineStr">
        <is>
          <t>UPPSALA LÄN</t>
        </is>
      </c>
      <c r="E119" t="inlineStr">
        <is>
          <t>ENKÖPING</t>
        </is>
      </c>
      <c r="G119" t="n">
        <v>2.4</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45923</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20067-2021</t>
        </is>
      </c>
      <c r="B121" s="1" t="n">
        <v>44314</v>
      </c>
      <c r="C121" s="1" t="n">
        <v>45923</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50747-2022</t>
        </is>
      </c>
      <c r="B122" s="1" t="n">
        <v>44867.40162037037</v>
      </c>
      <c r="C122" s="1" t="n">
        <v>45923</v>
      </c>
      <c r="D122" t="inlineStr">
        <is>
          <t>UPPSALA LÄN</t>
        </is>
      </c>
      <c r="E122" t="inlineStr">
        <is>
          <t>ENKÖPING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57152-2021</t>
        </is>
      </c>
      <c r="B123" s="1" t="n">
        <v>44482</v>
      </c>
      <c r="C123" s="1" t="n">
        <v>45923</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24815-2022</t>
        </is>
      </c>
      <c r="B124" s="1" t="n">
        <v>44728</v>
      </c>
      <c r="C124" s="1" t="n">
        <v>45923</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57078-2021</t>
        </is>
      </c>
      <c r="B125" s="1" t="n">
        <v>44482.57855324074</v>
      </c>
      <c r="C125" s="1" t="n">
        <v>45923</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15924-2022</t>
        </is>
      </c>
      <c r="B126" s="1" t="n">
        <v>44664</v>
      </c>
      <c r="C126" s="1" t="n">
        <v>45923</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15943-2022</t>
        </is>
      </c>
      <c r="B127" s="1" t="n">
        <v>44664.66428240741</v>
      </c>
      <c r="C127" s="1" t="n">
        <v>45923</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47106-2021</t>
        </is>
      </c>
      <c r="B128" s="1" t="n">
        <v>44446</v>
      </c>
      <c r="C128" s="1" t="n">
        <v>45923</v>
      </c>
      <c r="D128" t="inlineStr">
        <is>
          <t>UPPSALA LÄN</t>
        </is>
      </c>
      <c r="E128" t="inlineStr">
        <is>
          <t>ENKÖPING</t>
        </is>
      </c>
      <c r="G128" t="n">
        <v>7.6</v>
      </c>
      <c r="H128" t="n">
        <v>0</v>
      </c>
      <c r="I128" t="n">
        <v>0</v>
      </c>
      <c r="J128" t="n">
        <v>0</v>
      </c>
      <c r="K128" t="n">
        <v>0</v>
      </c>
      <c r="L128" t="n">
        <v>0</v>
      </c>
      <c r="M128" t="n">
        <v>0</v>
      </c>
      <c r="N128" t="n">
        <v>0</v>
      </c>
      <c r="O128" t="n">
        <v>0</v>
      </c>
      <c r="P128" t="n">
        <v>0</v>
      </c>
      <c r="Q128" t="n">
        <v>0</v>
      </c>
      <c r="R128" s="2" t="inlineStr"/>
    </row>
    <row r="129" ht="15" customHeight="1">
      <c r="A129" t="inlineStr">
        <is>
          <t>A 30437-2022</t>
        </is>
      </c>
      <c r="B129" s="1" t="n">
        <v>44761</v>
      </c>
      <c r="C129" s="1" t="n">
        <v>45923</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2164-2023</t>
        </is>
      </c>
      <c r="B130" s="1" t="n">
        <v>44941</v>
      </c>
      <c r="C130" s="1" t="n">
        <v>45923</v>
      </c>
      <c r="D130" t="inlineStr">
        <is>
          <t>UPPSALA LÄN</t>
        </is>
      </c>
      <c r="E130" t="inlineStr">
        <is>
          <t>ENKÖPING</t>
        </is>
      </c>
      <c r="G130" t="n">
        <v>2.5</v>
      </c>
      <c r="H130" t="n">
        <v>0</v>
      </c>
      <c r="I130" t="n">
        <v>0</v>
      </c>
      <c r="J130" t="n">
        <v>0</v>
      </c>
      <c r="K130" t="n">
        <v>0</v>
      </c>
      <c r="L130" t="n">
        <v>0</v>
      </c>
      <c r="M130" t="n">
        <v>0</v>
      </c>
      <c r="N130" t="n">
        <v>0</v>
      </c>
      <c r="O130" t="n">
        <v>0</v>
      </c>
      <c r="P130" t="n">
        <v>0</v>
      </c>
      <c r="Q130" t="n">
        <v>0</v>
      </c>
      <c r="R130" s="2" t="inlineStr"/>
    </row>
    <row r="131" ht="15" customHeight="1">
      <c r="A131" t="inlineStr">
        <is>
          <t>A 12572-2021</t>
        </is>
      </c>
      <c r="B131" s="1" t="n">
        <v>44270.36438657407</v>
      </c>
      <c r="C131" s="1" t="n">
        <v>45923</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19731-2022</t>
        </is>
      </c>
      <c r="B132" s="1" t="n">
        <v>44694</v>
      </c>
      <c r="C132" s="1" t="n">
        <v>45923</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10458-2022</t>
        </is>
      </c>
      <c r="B133" s="1" t="n">
        <v>44623.56711805556</v>
      </c>
      <c r="C133" s="1" t="n">
        <v>45923</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45142-2023</t>
        </is>
      </c>
      <c r="B134" s="1" t="n">
        <v>45191.4702662037</v>
      </c>
      <c r="C134" s="1" t="n">
        <v>45923</v>
      </c>
      <c r="D134" t="inlineStr">
        <is>
          <t>UPPSALA LÄN</t>
        </is>
      </c>
      <c r="E134" t="inlineStr">
        <is>
          <t>ENKÖPING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20112-2024</t>
        </is>
      </c>
      <c r="B135" s="1" t="n">
        <v>45434</v>
      </c>
      <c r="C135" s="1" t="n">
        <v>45923</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33955-2024</t>
        </is>
      </c>
      <c r="B136" s="1" t="n">
        <v>45523.46952546296</v>
      </c>
      <c r="C136" s="1" t="n">
        <v>45923</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39439-2025</t>
        </is>
      </c>
      <c r="B137" s="1" t="n">
        <v>45889</v>
      </c>
      <c r="C137" s="1" t="n">
        <v>45923</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34990-2025</t>
        </is>
      </c>
      <c r="B138" s="1" t="n">
        <v>45849.78916666667</v>
      </c>
      <c r="C138" s="1" t="n">
        <v>45923</v>
      </c>
      <c r="D138" t="inlineStr">
        <is>
          <t>UPPSALA LÄN</t>
        </is>
      </c>
      <c r="E138" t="inlineStr">
        <is>
          <t>ENKÖPING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6172-2023</t>
        </is>
      </c>
      <c r="B139" s="1" t="n">
        <v>44964.68663194445</v>
      </c>
      <c r="C139" s="1" t="n">
        <v>45923</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10409-2025</t>
        </is>
      </c>
      <c r="B140" s="1" t="n">
        <v>45720.631875</v>
      </c>
      <c r="C140" s="1" t="n">
        <v>45923</v>
      </c>
      <c r="D140" t="inlineStr">
        <is>
          <t>UPPSALA LÄN</t>
        </is>
      </c>
      <c r="E140" t="inlineStr">
        <is>
          <t>ENKÖPING</t>
        </is>
      </c>
      <c r="G140" t="n">
        <v>2.2</v>
      </c>
      <c r="H140" t="n">
        <v>0</v>
      </c>
      <c r="I140" t="n">
        <v>0</v>
      </c>
      <c r="J140" t="n">
        <v>0</v>
      </c>
      <c r="K140" t="n">
        <v>0</v>
      </c>
      <c r="L140" t="n">
        <v>0</v>
      </c>
      <c r="M140" t="n">
        <v>0</v>
      </c>
      <c r="N140" t="n">
        <v>0</v>
      </c>
      <c r="O140" t="n">
        <v>0</v>
      </c>
      <c r="P140" t="n">
        <v>0</v>
      </c>
      <c r="Q140" t="n">
        <v>0</v>
      </c>
      <c r="R140" s="2" t="inlineStr"/>
    </row>
    <row r="141" ht="15" customHeight="1">
      <c r="A141" t="inlineStr">
        <is>
          <t>A 51932-2022</t>
        </is>
      </c>
      <c r="B141" s="1" t="n">
        <v>44872</v>
      </c>
      <c r="C141" s="1" t="n">
        <v>45923</v>
      </c>
      <c r="D141" t="inlineStr">
        <is>
          <t>UPPSALA LÄN</t>
        </is>
      </c>
      <c r="E141" t="inlineStr">
        <is>
          <t>ENKÖPING</t>
        </is>
      </c>
      <c r="G141" t="n">
        <v>5.5</v>
      </c>
      <c r="H141" t="n">
        <v>0</v>
      </c>
      <c r="I141" t="n">
        <v>0</v>
      </c>
      <c r="J141" t="n">
        <v>0</v>
      </c>
      <c r="K141" t="n">
        <v>0</v>
      </c>
      <c r="L141" t="n">
        <v>0</v>
      </c>
      <c r="M141" t="n">
        <v>0</v>
      </c>
      <c r="N141" t="n">
        <v>0</v>
      </c>
      <c r="O141" t="n">
        <v>0</v>
      </c>
      <c r="P141" t="n">
        <v>0</v>
      </c>
      <c r="Q141" t="n">
        <v>0</v>
      </c>
      <c r="R141" s="2" t="inlineStr"/>
    </row>
    <row r="142" ht="15" customHeight="1">
      <c r="A142" t="inlineStr">
        <is>
          <t>A 57998-2024</t>
        </is>
      </c>
      <c r="B142" s="1" t="n">
        <v>45631</v>
      </c>
      <c r="C142" s="1" t="n">
        <v>45923</v>
      </c>
      <c r="D142" t="inlineStr">
        <is>
          <t>UPPSALA LÄN</t>
        </is>
      </c>
      <c r="E142" t="inlineStr">
        <is>
          <t>ENKÖPING</t>
        </is>
      </c>
      <c r="G142" t="n">
        <v>8.699999999999999</v>
      </c>
      <c r="H142" t="n">
        <v>0</v>
      </c>
      <c r="I142" t="n">
        <v>0</v>
      </c>
      <c r="J142" t="n">
        <v>0</v>
      </c>
      <c r="K142" t="n">
        <v>0</v>
      </c>
      <c r="L142" t="n">
        <v>0</v>
      </c>
      <c r="M142" t="n">
        <v>0</v>
      </c>
      <c r="N142" t="n">
        <v>0</v>
      </c>
      <c r="O142" t="n">
        <v>0</v>
      </c>
      <c r="P142" t="n">
        <v>0</v>
      </c>
      <c r="Q142" t="n">
        <v>0</v>
      </c>
      <c r="R142" s="2" t="inlineStr"/>
    </row>
    <row r="143" ht="15" customHeight="1">
      <c r="A143" t="inlineStr">
        <is>
          <t>A 12958-2024</t>
        </is>
      </c>
      <c r="B143" s="1" t="n">
        <v>45385</v>
      </c>
      <c r="C143" s="1" t="n">
        <v>45923</v>
      </c>
      <c r="D143" t="inlineStr">
        <is>
          <t>UPPSALA LÄN</t>
        </is>
      </c>
      <c r="E143" t="inlineStr">
        <is>
          <t>ENKÖPING</t>
        </is>
      </c>
      <c r="G143" t="n">
        <v>2.1</v>
      </c>
      <c r="H143" t="n">
        <v>0</v>
      </c>
      <c r="I143" t="n">
        <v>0</v>
      </c>
      <c r="J143" t="n">
        <v>0</v>
      </c>
      <c r="K143" t="n">
        <v>0</v>
      </c>
      <c r="L143" t="n">
        <v>0</v>
      </c>
      <c r="M143" t="n">
        <v>0</v>
      </c>
      <c r="N143" t="n">
        <v>0</v>
      </c>
      <c r="O143" t="n">
        <v>0</v>
      </c>
      <c r="P143" t="n">
        <v>0</v>
      </c>
      <c r="Q143" t="n">
        <v>0</v>
      </c>
      <c r="R143" s="2" t="inlineStr"/>
    </row>
    <row r="144" ht="15" customHeight="1">
      <c r="A144" t="inlineStr">
        <is>
          <t>A 14332-2024</t>
        </is>
      </c>
      <c r="B144" s="1" t="n">
        <v>45393</v>
      </c>
      <c r="C144" s="1" t="n">
        <v>45923</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45923</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69567-2020</t>
        </is>
      </c>
      <c r="B146" s="1" t="n">
        <v>44194</v>
      </c>
      <c r="C146" s="1" t="n">
        <v>45923</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17844-2025</t>
        </is>
      </c>
      <c r="B147" s="1" t="n">
        <v>45758.59920138889</v>
      </c>
      <c r="C147" s="1" t="n">
        <v>45923</v>
      </c>
      <c r="D147" t="inlineStr">
        <is>
          <t>UPPSALA LÄN</t>
        </is>
      </c>
      <c r="E147" t="inlineStr">
        <is>
          <t>ENKÖPING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21686-2022</t>
        </is>
      </c>
      <c r="B148" s="1" t="n">
        <v>44707</v>
      </c>
      <c r="C148" s="1" t="n">
        <v>45923</v>
      </c>
      <c r="D148" t="inlineStr">
        <is>
          <t>UPPSALA LÄN</t>
        </is>
      </c>
      <c r="E148" t="inlineStr">
        <is>
          <t>ENKÖPING</t>
        </is>
      </c>
      <c r="G148" t="n">
        <v>2.2</v>
      </c>
      <c r="H148" t="n">
        <v>0</v>
      </c>
      <c r="I148" t="n">
        <v>0</v>
      </c>
      <c r="J148" t="n">
        <v>0</v>
      </c>
      <c r="K148" t="n">
        <v>0</v>
      </c>
      <c r="L148" t="n">
        <v>0</v>
      </c>
      <c r="M148" t="n">
        <v>0</v>
      </c>
      <c r="N148" t="n">
        <v>0</v>
      </c>
      <c r="O148" t="n">
        <v>0</v>
      </c>
      <c r="P148" t="n">
        <v>0</v>
      </c>
      <c r="Q148" t="n">
        <v>0</v>
      </c>
      <c r="R148" s="2" t="inlineStr"/>
    </row>
    <row r="149" ht="15" customHeight="1">
      <c r="A149" t="inlineStr">
        <is>
          <t>A 29479-2022</t>
        </is>
      </c>
      <c r="B149" s="1" t="n">
        <v>44753.57265046296</v>
      </c>
      <c r="C149" s="1" t="n">
        <v>45923</v>
      </c>
      <c r="D149" t="inlineStr">
        <is>
          <t>UPPSALA LÄN</t>
        </is>
      </c>
      <c r="E149" t="inlineStr">
        <is>
          <t>ENKÖPING</t>
        </is>
      </c>
      <c r="G149" t="n">
        <v>0.9</v>
      </c>
      <c r="H149" t="n">
        <v>0</v>
      </c>
      <c r="I149" t="n">
        <v>0</v>
      </c>
      <c r="J149" t="n">
        <v>0</v>
      </c>
      <c r="K149" t="n">
        <v>0</v>
      </c>
      <c r="L149" t="n">
        <v>0</v>
      </c>
      <c r="M149" t="n">
        <v>0</v>
      </c>
      <c r="N149" t="n">
        <v>0</v>
      </c>
      <c r="O149" t="n">
        <v>0</v>
      </c>
      <c r="P149" t="n">
        <v>0</v>
      </c>
      <c r="Q149" t="n">
        <v>0</v>
      </c>
      <c r="R149" s="2" t="inlineStr"/>
    </row>
    <row r="150" ht="15" customHeight="1">
      <c r="A150" t="inlineStr">
        <is>
          <t>A 40812-2022</t>
        </is>
      </c>
      <c r="B150" s="1" t="n">
        <v>44824.68791666667</v>
      </c>
      <c r="C150" s="1" t="n">
        <v>45923</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24291-2024</t>
        </is>
      </c>
      <c r="B151" s="1" t="n">
        <v>45457.4584837963</v>
      </c>
      <c r="C151" s="1" t="n">
        <v>45923</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21017-2023</t>
        </is>
      </c>
      <c r="B152" s="1" t="n">
        <v>45061</v>
      </c>
      <c r="C152" s="1" t="n">
        <v>45923</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49525-2021</t>
        </is>
      </c>
      <c r="B153" s="1" t="n">
        <v>44455</v>
      </c>
      <c r="C153" s="1" t="n">
        <v>45923</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6298-2021</t>
        </is>
      </c>
      <c r="B154" s="1" t="n">
        <v>44235</v>
      </c>
      <c r="C154" s="1" t="n">
        <v>45923</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33581-2023</t>
        </is>
      </c>
      <c r="B155" s="1" t="n">
        <v>45131</v>
      </c>
      <c r="C155" s="1" t="n">
        <v>45923</v>
      </c>
      <c r="D155" t="inlineStr">
        <is>
          <t>UPPSALA LÄN</t>
        </is>
      </c>
      <c r="E155" t="inlineStr">
        <is>
          <t>ENKÖPING</t>
        </is>
      </c>
      <c r="G155" t="n">
        <v>3.5</v>
      </c>
      <c r="H155" t="n">
        <v>0</v>
      </c>
      <c r="I155" t="n">
        <v>0</v>
      </c>
      <c r="J155" t="n">
        <v>0</v>
      </c>
      <c r="K155" t="n">
        <v>0</v>
      </c>
      <c r="L155" t="n">
        <v>0</v>
      </c>
      <c r="M155" t="n">
        <v>0</v>
      </c>
      <c r="N155" t="n">
        <v>0</v>
      </c>
      <c r="O155" t="n">
        <v>0</v>
      </c>
      <c r="P155" t="n">
        <v>0</v>
      </c>
      <c r="Q155" t="n">
        <v>0</v>
      </c>
      <c r="R155" s="2" t="inlineStr"/>
    </row>
    <row r="156" ht="15" customHeight="1">
      <c r="A156" t="inlineStr">
        <is>
          <t>A 27837-2025</t>
        </is>
      </c>
      <c r="B156" s="1" t="n">
        <v>45817.37207175926</v>
      </c>
      <c r="C156" s="1" t="n">
        <v>45923</v>
      </c>
      <c r="D156" t="inlineStr">
        <is>
          <t>UPPSALA LÄN</t>
        </is>
      </c>
      <c r="E156" t="inlineStr">
        <is>
          <t>ENKÖPING</t>
        </is>
      </c>
      <c r="G156" t="n">
        <v>7.3</v>
      </c>
      <c r="H156" t="n">
        <v>0</v>
      </c>
      <c r="I156" t="n">
        <v>0</v>
      </c>
      <c r="J156" t="n">
        <v>0</v>
      </c>
      <c r="K156" t="n">
        <v>0</v>
      </c>
      <c r="L156" t="n">
        <v>0</v>
      </c>
      <c r="M156" t="n">
        <v>0</v>
      </c>
      <c r="N156" t="n">
        <v>0</v>
      </c>
      <c r="O156" t="n">
        <v>0</v>
      </c>
      <c r="P156" t="n">
        <v>0</v>
      </c>
      <c r="Q156" t="n">
        <v>0</v>
      </c>
      <c r="R156" s="2" t="inlineStr"/>
    </row>
    <row r="157" ht="15" customHeight="1">
      <c r="A157" t="inlineStr">
        <is>
          <t>A 44232-2022</t>
        </is>
      </c>
      <c r="B157" s="1" t="n">
        <v>44839</v>
      </c>
      <c r="C157" s="1" t="n">
        <v>45923</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39746-2025</t>
        </is>
      </c>
      <c r="B158" s="1" t="n">
        <v>45891</v>
      </c>
      <c r="C158" s="1" t="n">
        <v>45923</v>
      </c>
      <c r="D158" t="inlineStr">
        <is>
          <t>UPPSALA LÄN</t>
        </is>
      </c>
      <c r="E158" t="inlineStr">
        <is>
          <t>ENKÖPING</t>
        </is>
      </c>
      <c r="G158" t="n">
        <v>7.4</v>
      </c>
      <c r="H158" t="n">
        <v>0</v>
      </c>
      <c r="I158" t="n">
        <v>0</v>
      </c>
      <c r="J158" t="n">
        <v>0</v>
      </c>
      <c r="K158" t="n">
        <v>0</v>
      </c>
      <c r="L158" t="n">
        <v>0</v>
      </c>
      <c r="M158" t="n">
        <v>0</v>
      </c>
      <c r="N158" t="n">
        <v>0</v>
      </c>
      <c r="O158" t="n">
        <v>0</v>
      </c>
      <c r="P158" t="n">
        <v>0</v>
      </c>
      <c r="Q158" t="n">
        <v>0</v>
      </c>
      <c r="R158" s="2" t="inlineStr"/>
    </row>
    <row r="159" ht="15" customHeight="1">
      <c r="A159" t="inlineStr">
        <is>
          <t>A 29513-2025</t>
        </is>
      </c>
      <c r="B159" s="1" t="n">
        <v>45825</v>
      </c>
      <c r="C159" s="1" t="n">
        <v>45923</v>
      </c>
      <c r="D159" t="inlineStr">
        <is>
          <t>UPPSALA LÄN</t>
        </is>
      </c>
      <c r="E159" t="inlineStr">
        <is>
          <t>ENKÖPING</t>
        </is>
      </c>
      <c r="G159" t="n">
        <v>2.6</v>
      </c>
      <c r="H159" t="n">
        <v>0</v>
      </c>
      <c r="I159" t="n">
        <v>0</v>
      </c>
      <c r="J159" t="n">
        <v>0</v>
      </c>
      <c r="K159" t="n">
        <v>0</v>
      </c>
      <c r="L159" t="n">
        <v>0</v>
      </c>
      <c r="M159" t="n">
        <v>0</v>
      </c>
      <c r="N159" t="n">
        <v>0</v>
      </c>
      <c r="O159" t="n">
        <v>0</v>
      </c>
      <c r="P159" t="n">
        <v>0</v>
      </c>
      <c r="Q159" t="n">
        <v>0</v>
      </c>
      <c r="R159" s="2" t="inlineStr"/>
    </row>
    <row r="160" ht="15" customHeight="1">
      <c r="A160" t="inlineStr">
        <is>
          <t>A 58896-2020</t>
        </is>
      </c>
      <c r="B160" s="1" t="n">
        <v>44146</v>
      </c>
      <c r="C160" s="1" t="n">
        <v>45923</v>
      </c>
      <c r="D160" t="inlineStr">
        <is>
          <t>UPPSALA LÄN</t>
        </is>
      </c>
      <c r="E160" t="inlineStr">
        <is>
          <t>ENKÖPING</t>
        </is>
      </c>
      <c r="G160" t="n">
        <v>2.5</v>
      </c>
      <c r="H160" t="n">
        <v>0</v>
      </c>
      <c r="I160" t="n">
        <v>0</v>
      </c>
      <c r="J160" t="n">
        <v>0</v>
      </c>
      <c r="K160" t="n">
        <v>0</v>
      </c>
      <c r="L160" t="n">
        <v>0</v>
      </c>
      <c r="M160" t="n">
        <v>0</v>
      </c>
      <c r="N160" t="n">
        <v>0</v>
      </c>
      <c r="O160" t="n">
        <v>0</v>
      </c>
      <c r="P160" t="n">
        <v>0</v>
      </c>
      <c r="Q160" t="n">
        <v>0</v>
      </c>
      <c r="R160" s="2" t="inlineStr"/>
    </row>
    <row r="161" ht="15" customHeight="1">
      <c r="A161" t="inlineStr">
        <is>
          <t>A 37115-2024</t>
        </is>
      </c>
      <c r="B161" s="1" t="n">
        <v>45539</v>
      </c>
      <c r="C161" s="1" t="n">
        <v>45923</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59441-2020</t>
        </is>
      </c>
      <c r="B162" s="1" t="n">
        <v>44148</v>
      </c>
      <c r="C162" s="1" t="n">
        <v>45923</v>
      </c>
      <c r="D162" t="inlineStr">
        <is>
          <t>UPPSALA LÄN</t>
        </is>
      </c>
      <c r="E162" t="inlineStr">
        <is>
          <t>ENKÖPING</t>
        </is>
      </c>
      <c r="G162" t="n">
        <v>4.8</v>
      </c>
      <c r="H162" t="n">
        <v>0</v>
      </c>
      <c r="I162" t="n">
        <v>0</v>
      </c>
      <c r="J162" t="n">
        <v>0</v>
      </c>
      <c r="K162" t="n">
        <v>0</v>
      </c>
      <c r="L162" t="n">
        <v>0</v>
      </c>
      <c r="M162" t="n">
        <v>0</v>
      </c>
      <c r="N162" t="n">
        <v>0</v>
      </c>
      <c r="O162" t="n">
        <v>0</v>
      </c>
      <c r="P162" t="n">
        <v>0</v>
      </c>
      <c r="Q162" t="n">
        <v>0</v>
      </c>
      <c r="R162" s="2" t="inlineStr"/>
    </row>
    <row r="163" ht="15" customHeight="1">
      <c r="A163" t="inlineStr">
        <is>
          <t>A 47428-2023</t>
        </is>
      </c>
      <c r="B163" s="1" t="n">
        <v>45202.66664351852</v>
      </c>
      <c r="C163" s="1" t="n">
        <v>45923</v>
      </c>
      <c r="D163" t="inlineStr">
        <is>
          <t>UPPSALA LÄN</t>
        </is>
      </c>
      <c r="E163" t="inlineStr">
        <is>
          <t>ENKÖPING</t>
        </is>
      </c>
      <c r="G163" t="n">
        <v>3</v>
      </c>
      <c r="H163" t="n">
        <v>0</v>
      </c>
      <c r="I163" t="n">
        <v>0</v>
      </c>
      <c r="J163" t="n">
        <v>0</v>
      </c>
      <c r="K163" t="n">
        <v>0</v>
      </c>
      <c r="L163" t="n">
        <v>0</v>
      </c>
      <c r="M163" t="n">
        <v>0</v>
      </c>
      <c r="N163" t="n">
        <v>0</v>
      </c>
      <c r="O163" t="n">
        <v>0</v>
      </c>
      <c r="P163" t="n">
        <v>0</v>
      </c>
      <c r="Q163" t="n">
        <v>0</v>
      </c>
      <c r="R163" s="2" t="inlineStr"/>
    </row>
    <row r="164" ht="15" customHeight="1">
      <c r="A164" t="inlineStr">
        <is>
          <t>A 58062-2020</t>
        </is>
      </c>
      <c r="B164" s="1" t="n">
        <v>44144</v>
      </c>
      <c r="C164" s="1" t="n">
        <v>45923</v>
      </c>
      <c r="D164" t="inlineStr">
        <is>
          <t>UPPSALA LÄN</t>
        </is>
      </c>
      <c r="E164" t="inlineStr">
        <is>
          <t>ENKÖPING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57328-2024</t>
        </is>
      </c>
      <c r="B165" s="1" t="n">
        <v>45629.62798611111</v>
      </c>
      <c r="C165" s="1" t="n">
        <v>45923</v>
      </c>
      <c r="D165" t="inlineStr">
        <is>
          <t>UPPSALA LÄN</t>
        </is>
      </c>
      <c r="E165" t="inlineStr">
        <is>
          <t>ENKÖPING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45362-2022</t>
        </is>
      </c>
      <c r="B166" s="1" t="n">
        <v>44844.62366898148</v>
      </c>
      <c r="C166" s="1" t="n">
        <v>45923</v>
      </c>
      <c r="D166" t="inlineStr">
        <is>
          <t>UPPSALA LÄN</t>
        </is>
      </c>
      <c r="E166" t="inlineStr">
        <is>
          <t>ENKÖPING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56526-2022</t>
        </is>
      </c>
      <c r="B167" s="1" t="n">
        <v>44893</v>
      </c>
      <c r="C167" s="1" t="n">
        <v>45923</v>
      </c>
      <c r="D167" t="inlineStr">
        <is>
          <t>UPPSALA LÄN</t>
        </is>
      </c>
      <c r="E167" t="inlineStr">
        <is>
          <t>ENKÖPING</t>
        </is>
      </c>
      <c r="G167" t="n">
        <v>3.8</v>
      </c>
      <c r="H167" t="n">
        <v>0</v>
      </c>
      <c r="I167" t="n">
        <v>0</v>
      </c>
      <c r="J167" t="n">
        <v>0</v>
      </c>
      <c r="K167" t="n">
        <v>0</v>
      </c>
      <c r="L167" t="n">
        <v>0</v>
      </c>
      <c r="M167" t="n">
        <v>0</v>
      </c>
      <c r="N167" t="n">
        <v>0</v>
      </c>
      <c r="O167" t="n">
        <v>0</v>
      </c>
      <c r="P167" t="n">
        <v>0</v>
      </c>
      <c r="Q167" t="n">
        <v>0</v>
      </c>
      <c r="R167" s="2" t="inlineStr"/>
    </row>
    <row r="168" ht="15" customHeight="1">
      <c r="A168" t="inlineStr">
        <is>
          <t>A 6147-2021</t>
        </is>
      </c>
      <c r="B168" s="1" t="n">
        <v>44232</v>
      </c>
      <c r="C168" s="1" t="n">
        <v>45923</v>
      </c>
      <c r="D168" t="inlineStr">
        <is>
          <t>UPPSALA LÄN</t>
        </is>
      </c>
      <c r="E168" t="inlineStr">
        <is>
          <t>ENKÖPING</t>
        </is>
      </c>
      <c r="G168" t="n">
        <v>1.6</v>
      </c>
      <c r="H168" t="n">
        <v>0</v>
      </c>
      <c r="I168" t="n">
        <v>0</v>
      </c>
      <c r="J168" t="n">
        <v>0</v>
      </c>
      <c r="K168" t="n">
        <v>0</v>
      </c>
      <c r="L168" t="n">
        <v>0</v>
      </c>
      <c r="M168" t="n">
        <v>0</v>
      </c>
      <c r="N168" t="n">
        <v>0</v>
      </c>
      <c r="O168" t="n">
        <v>0</v>
      </c>
      <c r="P168" t="n">
        <v>0</v>
      </c>
      <c r="Q168" t="n">
        <v>0</v>
      </c>
      <c r="R168" s="2" t="inlineStr"/>
    </row>
    <row r="169" ht="15" customHeight="1">
      <c r="A169" t="inlineStr">
        <is>
          <t>A 1960-2022</t>
        </is>
      </c>
      <c r="B169" s="1" t="n">
        <v>44575</v>
      </c>
      <c r="C169" s="1" t="n">
        <v>45923</v>
      </c>
      <c r="D169" t="inlineStr">
        <is>
          <t>UPPSALA LÄN</t>
        </is>
      </c>
      <c r="E169" t="inlineStr">
        <is>
          <t>ENKÖPING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60350-2022</t>
        </is>
      </c>
      <c r="B170" s="1" t="n">
        <v>44910</v>
      </c>
      <c r="C170" s="1" t="n">
        <v>45923</v>
      </c>
      <c r="D170" t="inlineStr">
        <is>
          <t>UPPSALA LÄN</t>
        </is>
      </c>
      <c r="E170" t="inlineStr">
        <is>
          <t>ENKÖPING</t>
        </is>
      </c>
      <c r="F170" t="inlineStr">
        <is>
          <t>Allmännings- och besparingsskogar</t>
        </is>
      </c>
      <c r="G170" t="n">
        <v>3.5</v>
      </c>
      <c r="H170" t="n">
        <v>0</v>
      </c>
      <c r="I170" t="n">
        <v>0</v>
      </c>
      <c r="J170" t="n">
        <v>0</v>
      </c>
      <c r="K170" t="n">
        <v>0</v>
      </c>
      <c r="L170" t="n">
        <v>0</v>
      </c>
      <c r="M170" t="n">
        <v>0</v>
      </c>
      <c r="N170" t="n">
        <v>0</v>
      </c>
      <c r="O170" t="n">
        <v>0</v>
      </c>
      <c r="P170" t="n">
        <v>0</v>
      </c>
      <c r="Q170" t="n">
        <v>0</v>
      </c>
      <c r="R170" s="2" t="inlineStr"/>
    </row>
    <row r="171" ht="15" customHeight="1">
      <c r="A171" t="inlineStr">
        <is>
          <t>A 28518-2024</t>
        </is>
      </c>
      <c r="B171" s="1" t="n">
        <v>45477</v>
      </c>
      <c r="C171" s="1" t="n">
        <v>45923</v>
      </c>
      <c r="D171" t="inlineStr">
        <is>
          <t>UPPSALA LÄN</t>
        </is>
      </c>
      <c r="E171" t="inlineStr">
        <is>
          <t>ENKÖPING</t>
        </is>
      </c>
      <c r="G171" t="n">
        <v>3.4</v>
      </c>
      <c r="H171" t="n">
        <v>0</v>
      </c>
      <c r="I171" t="n">
        <v>0</v>
      </c>
      <c r="J171" t="n">
        <v>0</v>
      </c>
      <c r="K171" t="n">
        <v>0</v>
      </c>
      <c r="L171" t="n">
        <v>0</v>
      </c>
      <c r="M171" t="n">
        <v>0</v>
      </c>
      <c r="N171" t="n">
        <v>0</v>
      </c>
      <c r="O171" t="n">
        <v>0</v>
      </c>
      <c r="P171" t="n">
        <v>0</v>
      </c>
      <c r="Q171" t="n">
        <v>0</v>
      </c>
      <c r="R171" s="2" t="inlineStr"/>
    </row>
    <row r="172" ht="15" customHeight="1">
      <c r="A172" t="inlineStr">
        <is>
          <t>A 18028-2023</t>
        </is>
      </c>
      <c r="B172" s="1" t="n">
        <v>45040</v>
      </c>
      <c r="C172" s="1" t="n">
        <v>45923</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41637-2025</t>
        </is>
      </c>
      <c r="B173" s="1" t="n">
        <v>45901</v>
      </c>
      <c r="C173" s="1" t="n">
        <v>45923</v>
      </c>
      <c r="D173" t="inlineStr">
        <is>
          <t>UPPSALA LÄN</t>
        </is>
      </c>
      <c r="E173" t="inlineStr">
        <is>
          <t>ENKÖPING</t>
        </is>
      </c>
      <c r="F173" t="inlineStr">
        <is>
          <t>Allmännings- och besparingsskogar</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56837-2024</t>
        </is>
      </c>
      <c r="B174" s="1" t="n">
        <v>45628</v>
      </c>
      <c r="C174" s="1" t="n">
        <v>45923</v>
      </c>
      <c r="D174" t="inlineStr">
        <is>
          <t>UPPSALA LÄN</t>
        </is>
      </c>
      <c r="E174" t="inlineStr">
        <is>
          <t>ENKÖPING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30098-2024</t>
        </is>
      </c>
      <c r="B175" s="1" t="n">
        <v>45489.41609953704</v>
      </c>
      <c r="C175" s="1" t="n">
        <v>45923</v>
      </c>
      <c r="D175" t="inlineStr">
        <is>
          <t>UPPSALA LÄN</t>
        </is>
      </c>
      <c r="E175" t="inlineStr">
        <is>
          <t>ENKÖPING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41618-2025</t>
        </is>
      </c>
      <c r="B176" s="1" t="n">
        <v>45901.70085648148</v>
      </c>
      <c r="C176" s="1" t="n">
        <v>45923</v>
      </c>
      <c r="D176" t="inlineStr">
        <is>
          <t>UPPSALA LÄN</t>
        </is>
      </c>
      <c r="E176" t="inlineStr">
        <is>
          <t>ENKÖPING</t>
        </is>
      </c>
      <c r="F176" t="inlineStr">
        <is>
          <t>Allmännings- och besparingsskogar</t>
        </is>
      </c>
      <c r="G176" t="n">
        <v>5.3</v>
      </c>
      <c r="H176" t="n">
        <v>0</v>
      </c>
      <c r="I176" t="n">
        <v>0</v>
      </c>
      <c r="J176" t="n">
        <v>0</v>
      </c>
      <c r="K176" t="n">
        <v>0</v>
      </c>
      <c r="L176" t="n">
        <v>0</v>
      </c>
      <c r="M176" t="n">
        <v>0</v>
      </c>
      <c r="N176" t="n">
        <v>0</v>
      </c>
      <c r="O176" t="n">
        <v>0</v>
      </c>
      <c r="P176" t="n">
        <v>0</v>
      </c>
      <c r="Q176" t="n">
        <v>0</v>
      </c>
      <c r="R176" s="2" t="inlineStr"/>
    </row>
    <row r="177" ht="15" customHeight="1">
      <c r="A177" t="inlineStr">
        <is>
          <t>A 41616-2025</t>
        </is>
      </c>
      <c r="B177" s="1" t="n">
        <v>45901.69684027778</v>
      </c>
      <c r="C177" s="1" t="n">
        <v>45923</v>
      </c>
      <c r="D177" t="inlineStr">
        <is>
          <t>UPPSALA LÄN</t>
        </is>
      </c>
      <c r="E177" t="inlineStr">
        <is>
          <t>ENKÖPING</t>
        </is>
      </c>
      <c r="F177" t="inlineStr">
        <is>
          <t>Allmännings- och besparingsskogar</t>
        </is>
      </c>
      <c r="G177" t="n">
        <v>17.3</v>
      </c>
      <c r="H177" t="n">
        <v>0</v>
      </c>
      <c r="I177" t="n">
        <v>0</v>
      </c>
      <c r="J177" t="n">
        <v>0</v>
      </c>
      <c r="K177" t="n">
        <v>0</v>
      </c>
      <c r="L177" t="n">
        <v>0</v>
      </c>
      <c r="M177" t="n">
        <v>0</v>
      </c>
      <c r="N177" t="n">
        <v>0</v>
      </c>
      <c r="O177" t="n">
        <v>0</v>
      </c>
      <c r="P177" t="n">
        <v>0</v>
      </c>
      <c r="Q177" t="n">
        <v>0</v>
      </c>
      <c r="R177" s="2" t="inlineStr"/>
    </row>
    <row r="178" ht="15" customHeight="1">
      <c r="A178" t="inlineStr">
        <is>
          <t>A 21501-2025</t>
        </is>
      </c>
      <c r="B178" s="1" t="n">
        <v>45782</v>
      </c>
      <c r="C178" s="1" t="n">
        <v>45923</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49568-2022</t>
        </is>
      </c>
      <c r="B179" s="1" t="n">
        <v>44862.32791666667</v>
      </c>
      <c r="C179" s="1" t="n">
        <v>45923</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55876-2024</t>
        </is>
      </c>
      <c r="B180" s="1" t="n">
        <v>45623.5546412037</v>
      </c>
      <c r="C180" s="1" t="n">
        <v>45923</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42459-2024</t>
        </is>
      </c>
      <c r="B181" s="1" t="n">
        <v>45565</v>
      </c>
      <c r="C181" s="1" t="n">
        <v>45923</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1651-2024</t>
        </is>
      </c>
      <c r="B182" s="1" t="n">
        <v>45306.73770833333</v>
      </c>
      <c r="C182" s="1" t="n">
        <v>45923</v>
      </c>
      <c r="D182" t="inlineStr">
        <is>
          <t>UPPSALA LÄN</t>
        </is>
      </c>
      <c r="E182" t="inlineStr">
        <is>
          <t>ENKÖPING</t>
        </is>
      </c>
      <c r="G182" t="n">
        <v>10.2</v>
      </c>
      <c r="H182" t="n">
        <v>0</v>
      </c>
      <c r="I182" t="n">
        <v>0</v>
      </c>
      <c r="J182" t="n">
        <v>0</v>
      </c>
      <c r="K182" t="n">
        <v>0</v>
      </c>
      <c r="L182" t="n">
        <v>0</v>
      </c>
      <c r="M182" t="n">
        <v>0</v>
      </c>
      <c r="N182" t="n">
        <v>0</v>
      </c>
      <c r="O182" t="n">
        <v>0</v>
      </c>
      <c r="P182" t="n">
        <v>0</v>
      </c>
      <c r="Q182" t="n">
        <v>0</v>
      </c>
      <c r="R182" s="2" t="inlineStr"/>
    </row>
    <row r="183" ht="15" customHeight="1">
      <c r="A183" t="inlineStr">
        <is>
          <t>A 60289-2022</t>
        </is>
      </c>
      <c r="B183" s="1" t="n">
        <v>44910.53026620371</v>
      </c>
      <c r="C183" s="1" t="n">
        <v>45923</v>
      </c>
      <c r="D183" t="inlineStr">
        <is>
          <t>UPPSALA LÄN</t>
        </is>
      </c>
      <c r="E183" t="inlineStr">
        <is>
          <t>ENKÖPING</t>
        </is>
      </c>
      <c r="G183" t="n">
        <v>3.2</v>
      </c>
      <c r="H183" t="n">
        <v>0</v>
      </c>
      <c r="I183" t="n">
        <v>0</v>
      </c>
      <c r="J183" t="n">
        <v>0</v>
      </c>
      <c r="K183" t="n">
        <v>0</v>
      </c>
      <c r="L183" t="n">
        <v>0</v>
      </c>
      <c r="M183" t="n">
        <v>0</v>
      </c>
      <c r="N183" t="n">
        <v>0</v>
      </c>
      <c r="O183" t="n">
        <v>0</v>
      </c>
      <c r="P183" t="n">
        <v>0</v>
      </c>
      <c r="Q183" t="n">
        <v>0</v>
      </c>
      <c r="R183" s="2" t="inlineStr"/>
    </row>
    <row r="184" ht="15" customHeight="1">
      <c r="A184" t="inlineStr">
        <is>
          <t>A 48864-2022</t>
        </is>
      </c>
      <c r="B184" s="1" t="n">
        <v>44859</v>
      </c>
      <c r="C184" s="1" t="n">
        <v>45923</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31622-2022</t>
        </is>
      </c>
      <c r="B185" s="1" t="n">
        <v>44775</v>
      </c>
      <c r="C185" s="1" t="n">
        <v>45923</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25334-2023</t>
        </is>
      </c>
      <c r="B186" s="1" t="n">
        <v>45083</v>
      </c>
      <c r="C186" s="1" t="n">
        <v>45923</v>
      </c>
      <c r="D186" t="inlineStr">
        <is>
          <t>UPPSALA LÄN</t>
        </is>
      </c>
      <c r="E186" t="inlineStr">
        <is>
          <t>ENKÖPING</t>
        </is>
      </c>
      <c r="G186" t="n">
        <v>0.2</v>
      </c>
      <c r="H186" t="n">
        <v>0</v>
      </c>
      <c r="I186" t="n">
        <v>0</v>
      </c>
      <c r="J186" t="n">
        <v>0</v>
      </c>
      <c r="K186" t="n">
        <v>0</v>
      </c>
      <c r="L186" t="n">
        <v>0</v>
      </c>
      <c r="M186" t="n">
        <v>0</v>
      </c>
      <c r="N186" t="n">
        <v>0</v>
      </c>
      <c r="O186" t="n">
        <v>0</v>
      </c>
      <c r="P186" t="n">
        <v>0</v>
      </c>
      <c r="Q186" t="n">
        <v>0</v>
      </c>
      <c r="R186" s="2" t="inlineStr"/>
    </row>
    <row r="187" ht="15" customHeight="1">
      <c r="A187" t="inlineStr">
        <is>
          <t>A 42029-2025</t>
        </is>
      </c>
      <c r="B187" s="1" t="n">
        <v>45903</v>
      </c>
      <c r="C187" s="1" t="n">
        <v>45923</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34987-2025</t>
        </is>
      </c>
      <c r="B188" s="1" t="n">
        <v>45849</v>
      </c>
      <c r="C188" s="1" t="n">
        <v>45923</v>
      </c>
      <c r="D188" t="inlineStr">
        <is>
          <t>UPPSALA LÄN</t>
        </is>
      </c>
      <c r="E188" t="inlineStr">
        <is>
          <t>ENKÖPING</t>
        </is>
      </c>
      <c r="G188" t="n">
        <v>2.2</v>
      </c>
      <c r="H188" t="n">
        <v>0</v>
      </c>
      <c r="I188" t="n">
        <v>0</v>
      </c>
      <c r="J188" t="n">
        <v>0</v>
      </c>
      <c r="K188" t="n">
        <v>0</v>
      </c>
      <c r="L188" t="n">
        <v>0</v>
      </c>
      <c r="M188" t="n">
        <v>0</v>
      </c>
      <c r="N188" t="n">
        <v>0</v>
      </c>
      <c r="O188" t="n">
        <v>0</v>
      </c>
      <c r="P188" t="n">
        <v>0</v>
      </c>
      <c r="Q188" t="n">
        <v>0</v>
      </c>
      <c r="R188" s="2" t="inlineStr"/>
    </row>
    <row r="189" ht="15" customHeight="1">
      <c r="A189" t="inlineStr">
        <is>
          <t>A 34988-2025</t>
        </is>
      </c>
      <c r="B189" s="1" t="n">
        <v>45849</v>
      </c>
      <c r="C189" s="1" t="n">
        <v>45923</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38941-2025</t>
        </is>
      </c>
      <c r="B190" s="1" t="n">
        <v>45887</v>
      </c>
      <c r="C190" s="1" t="n">
        <v>45923</v>
      </c>
      <c r="D190" t="inlineStr">
        <is>
          <t>UPPSALA LÄN</t>
        </is>
      </c>
      <c r="E190" t="inlineStr">
        <is>
          <t>ENKÖPING</t>
        </is>
      </c>
      <c r="F190" t="inlineStr">
        <is>
          <t>Övriga statliga verk och myndigheter</t>
        </is>
      </c>
      <c r="G190" t="n">
        <v>0.6</v>
      </c>
      <c r="H190" t="n">
        <v>0</v>
      </c>
      <c r="I190" t="n">
        <v>0</v>
      </c>
      <c r="J190" t="n">
        <v>0</v>
      </c>
      <c r="K190" t="n">
        <v>0</v>
      </c>
      <c r="L190" t="n">
        <v>0</v>
      </c>
      <c r="M190" t="n">
        <v>0</v>
      </c>
      <c r="N190" t="n">
        <v>0</v>
      </c>
      <c r="O190" t="n">
        <v>0</v>
      </c>
      <c r="P190" t="n">
        <v>0</v>
      </c>
      <c r="Q190" t="n">
        <v>0</v>
      </c>
      <c r="R190" s="2" t="inlineStr"/>
    </row>
    <row r="191" ht="15" customHeight="1">
      <c r="A191" t="inlineStr">
        <is>
          <t>A 34989-2025</t>
        </is>
      </c>
      <c r="B191" s="1" t="n">
        <v>45849</v>
      </c>
      <c r="C191" s="1" t="n">
        <v>45923</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41764-2025</t>
        </is>
      </c>
      <c r="B192" s="1" t="n">
        <v>45902</v>
      </c>
      <c r="C192" s="1" t="n">
        <v>45923</v>
      </c>
      <c r="D192" t="inlineStr">
        <is>
          <t>UPPSALA LÄN</t>
        </is>
      </c>
      <c r="E192" t="inlineStr">
        <is>
          <t>ENKÖPING</t>
        </is>
      </c>
      <c r="G192" t="n">
        <v>2.7</v>
      </c>
      <c r="H192" t="n">
        <v>0</v>
      </c>
      <c r="I192" t="n">
        <v>0</v>
      </c>
      <c r="J192" t="n">
        <v>0</v>
      </c>
      <c r="K192" t="n">
        <v>0</v>
      </c>
      <c r="L192" t="n">
        <v>0</v>
      </c>
      <c r="M192" t="n">
        <v>0</v>
      </c>
      <c r="N192" t="n">
        <v>0</v>
      </c>
      <c r="O192" t="n">
        <v>0</v>
      </c>
      <c r="P192" t="n">
        <v>0</v>
      </c>
      <c r="Q192" t="n">
        <v>0</v>
      </c>
      <c r="R192" s="2" t="inlineStr"/>
    </row>
    <row r="193" ht="15" customHeight="1">
      <c r="A193" t="inlineStr">
        <is>
          <t>A 33349-2024</t>
        </is>
      </c>
      <c r="B193" s="1" t="n">
        <v>45519</v>
      </c>
      <c r="C193" s="1" t="n">
        <v>45923</v>
      </c>
      <c r="D193" t="inlineStr">
        <is>
          <t>UPPSALA LÄN</t>
        </is>
      </c>
      <c r="E193" t="inlineStr">
        <is>
          <t>ENKÖPING</t>
        </is>
      </c>
      <c r="G193" t="n">
        <v>3.6</v>
      </c>
      <c r="H193" t="n">
        <v>0</v>
      </c>
      <c r="I193" t="n">
        <v>0</v>
      </c>
      <c r="J193" t="n">
        <v>0</v>
      </c>
      <c r="K193" t="n">
        <v>0</v>
      </c>
      <c r="L193" t="n">
        <v>0</v>
      </c>
      <c r="M193" t="n">
        <v>0</v>
      </c>
      <c r="N193" t="n">
        <v>0</v>
      </c>
      <c r="O193" t="n">
        <v>0</v>
      </c>
      <c r="P193" t="n">
        <v>0</v>
      </c>
      <c r="Q193" t="n">
        <v>0</v>
      </c>
      <c r="R193" s="2" t="inlineStr"/>
    </row>
    <row r="194" ht="15" customHeight="1">
      <c r="A194" t="inlineStr">
        <is>
          <t>A 36350-2025</t>
        </is>
      </c>
      <c r="B194" s="1" t="n">
        <v>45868</v>
      </c>
      <c r="C194" s="1" t="n">
        <v>45923</v>
      </c>
      <c r="D194" t="inlineStr">
        <is>
          <t>UPPSALA LÄN</t>
        </is>
      </c>
      <c r="E194" t="inlineStr">
        <is>
          <t>ENKÖPING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43103-2025</t>
        </is>
      </c>
      <c r="B195" s="1" t="n">
        <v>45909</v>
      </c>
      <c r="C195" s="1" t="n">
        <v>45923</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31242-2024</t>
        </is>
      </c>
      <c r="B196" s="1" t="n">
        <v>45503</v>
      </c>
      <c r="C196" s="1" t="n">
        <v>45923</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25989-2025</t>
        </is>
      </c>
      <c r="B197" s="1" t="n">
        <v>45804.65050925926</v>
      </c>
      <c r="C197" s="1" t="n">
        <v>45923</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53587-2024</t>
        </is>
      </c>
      <c r="B198" s="1" t="n">
        <v>45614.66953703704</v>
      </c>
      <c r="C198" s="1" t="n">
        <v>45923</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66517-2020</t>
        </is>
      </c>
      <c r="B199" s="1" t="n">
        <v>44178</v>
      </c>
      <c r="C199" s="1" t="n">
        <v>45923</v>
      </c>
      <c r="D199" t="inlineStr">
        <is>
          <t>UPPSALA LÄN</t>
        </is>
      </c>
      <c r="E199" t="inlineStr">
        <is>
          <t>ENKÖPING</t>
        </is>
      </c>
      <c r="G199" t="n">
        <v>4</v>
      </c>
      <c r="H199" t="n">
        <v>0</v>
      </c>
      <c r="I199" t="n">
        <v>0</v>
      </c>
      <c r="J199" t="n">
        <v>0</v>
      </c>
      <c r="K199" t="n">
        <v>0</v>
      </c>
      <c r="L199" t="n">
        <v>0</v>
      </c>
      <c r="M199" t="n">
        <v>0</v>
      </c>
      <c r="N199" t="n">
        <v>0</v>
      </c>
      <c r="O199" t="n">
        <v>0</v>
      </c>
      <c r="P199" t="n">
        <v>0</v>
      </c>
      <c r="Q199" t="n">
        <v>0</v>
      </c>
      <c r="R199" s="2" t="inlineStr"/>
    </row>
    <row r="200" ht="15" customHeight="1">
      <c r="A200" t="inlineStr">
        <is>
          <t>A 2162-2023</t>
        </is>
      </c>
      <c r="B200" s="1" t="n">
        <v>44941</v>
      </c>
      <c r="C200" s="1" t="n">
        <v>45923</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6356-2022</t>
        </is>
      </c>
      <c r="B201" s="1" t="n">
        <v>44600</v>
      </c>
      <c r="C201" s="1" t="n">
        <v>45923</v>
      </c>
      <c r="D201" t="inlineStr">
        <is>
          <t>UPPSALA LÄN</t>
        </is>
      </c>
      <c r="E201" t="inlineStr">
        <is>
          <t>ENKÖPING</t>
        </is>
      </c>
      <c r="G201" t="n">
        <v>1.2</v>
      </c>
      <c r="H201" t="n">
        <v>0</v>
      </c>
      <c r="I201" t="n">
        <v>0</v>
      </c>
      <c r="J201" t="n">
        <v>0</v>
      </c>
      <c r="K201" t="n">
        <v>0</v>
      </c>
      <c r="L201" t="n">
        <v>0</v>
      </c>
      <c r="M201" t="n">
        <v>0</v>
      </c>
      <c r="N201" t="n">
        <v>0</v>
      </c>
      <c r="O201" t="n">
        <v>0</v>
      </c>
      <c r="P201" t="n">
        <v>0</v>
      </c>
      <c r="Q201" t="n">
        <v>0</v>
      </c>
      <c r="R201" s="2" t="inlineStr"/>
    </row>
    <row r="202" ht="15" customHeight="1">
      <c r="A202" t="inlineStr">
        <is>
          <t>A 56163-2021</t>
        </is>
      </c>
      <c r="B202" s="1" t="n">
        <v>44477</v>
      </c>
      <c r="C202" s="1" t="n">
        <v>45923</v>
      </c>
      <c r="D202" t="inlineStr">
        <is>
          <t>UPPSALA LÄN</t>
        </is>
      </c>
      <c r="E202" t="inlineStr">
        <is>
          <t>ENKÖPING</t>
        </is>
      </c>
      <c r="F202" t="inlineStr">
        <is>
          <t>Allmännings- och besparingsskogar</t>
        </is>
      </c>
      <c r="G202" t="n">
        <v>0.6</v>
      </c>
      <c r="H202" t="n">
        <v>0</v>
      </c>
      <c r="I202" t="n">
        <v>0</v>
      </c>
      <c r="J202" t="n">
        <v>0</v>
      </c>
      <c r="K202" t="n">
        <v>0</v>
      </c>
      <c r="L202" t="n">
        <v>0</v>
      </c>
      <c r="M202" t="n">
        <v>0</v>
      </c>
      <c r="N202" t="n">
        <v>0</v>
      </c>
      <c r="O202" t="n">
        <v>0</v>
      </c>
      <c r="P202" t="n">
        <v>0</v>
      </c>
      <c r="Q202" t="n">
        <v>0</v>
      </c>
      <c r="R202" s="2" t="inlineStr"/>
    </row>
    <row r="203" ht="15" customHeight="1">
      <c r="A203" t="inlineStr">
        <is>
          <t>A 36599-2025</t>
        </is>
      </c>
      <c r="B203" s="1" t="n">
        <v>45870.51723379629</v>
      </c>
      <c r="C203" s="1" t="n">
        <v>45923</v>
      </c>
      <c r="D203" t="inlineStr">
        <is>
          <t>UPPSALA LÄN</t>
        </is>
      </c>
      <c r="E203" t="inlineStr">
        <is>
          <t>ENKÖPING</t>
        </is>
      </c>
      <c r="G203" t="n">
        <v>5.9</v>
      </c>
      <c r="H203" t="n">
        <v>0</v>
      </c>
      <c r="I203" t="n">
        <v>0</v>
      </c>
      <c r="J203" t="n">
        <v>0</v>
      </c>
      <c r="K203" t="n">
        <v>0</v>
      </c>
      <c r="L203" t="n">
        <v>0</v>
      </c>
      <c r="M203" t="n">
        <v>0</v>
      </c>
      <c r="N203" t="n">
        <v>0</v>
      </c>
      <c r="O203" t="n">
        <v>0</v>
      </c>
      <c r="P203" t="n">
        <v>0</v>
      </c>
      <c r="Q203" t="n">
        <v>0</v>
      </c>
      <c r="R203" s="2" t="inlineStr"/>
    </row>
    <row r="204" ht="15" customHeight="1">
      <c r="A204" t="inlineStr">
        <is>
          <t>A 36492-2025</t>
        </is>
      </c>
      <c r="B204" s="1" t="n">
        <v>45869</v>
      </c>
      <c r="C204" s="1" t="n">
        <v>45923</v>
      </c>
      <c r="D204" t="inlineStr">
        <is>
          <t>UPPSALA LÄN</t>
        </is>
      </c>
      <c r="E204" t="inlineStr">
        <is>
          <t>ENKÖPING</t>
        </is>
      </c>
      <c r="G204" t="n">
        <v>6.3</v>
      </c>
      <c r="H204" t="n">
        <v>0</v>
      </c>
      <c r="I204" t="n">
        <v>0</v>
      </c>
      <c r="J204" t="n">
        <v>0</v>
      </c>
      <c r="K204" t="n">
        <v>0</v>
      </c>
      <c r="L204" t="n">
        <v>0</v>
      </c>
      <c r="M204" t="n">
        <v>0</v>
      </c>
      <c r="N204" t="n">
        <v>0</v>
      </c>
      <c r="O204" t="n">
        <v>0</v>
      </c>
      <c r="P204" t="n">
        <v>0</v>
      </c>
      <c r="Q204" t="n">
        <v>0</v>
      </c>
      <c r="R204" s="2" t="inlineStr"/>
    </row>
    <row r="205" ht="15" customHeight="1">
      <c r="A205" t="inlineStr">
        <is>
          <t>A 28318-2024</t>
        </is>
      </c>
      <c r="B205" s="1" t="n">
        <v>45477</v>
      </c>
      <c r="C205" s="1" t="n">
        <v>45923</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57147-2021</t>
        </is>
      </c>
      <c r="B206" s="1" t="n">
        <v>44482</v>
      </c>
      <c r="C206" s="1" t="n">
        <v>45923</v>
      </c>
      <c r="D206" t="inlineStr">
        <is>
          <t>UPPSALA LÄN</t>
        </is>
      </c>
      <c r="E206" t="inlineStr">
        <is>
          <t>ENKÖPING</t>
        </is>
      </c>
      <c r="G206" t="n">
        <v>5.7</v>
      </c>
      <c r="H206" t="n">
        <v>0</v>
      </c>
      <c r="I206" t="n">
        <v>0</v>
      </c>
      <c r="J206" t="n">
        <v>0</v>
      </c>
      <c r="K206" t="n">
        <v>0</v>
      </c>
      <c r="L206" t="n">
        <v>0</v>
      </c>
      <c r="M206" t="n">
        <v>0</v>
      </c>
      <c r="N206" t="n">
        <v>0</v>
      </c>
      <c r="O206" t="n">
        <v>0</v>
      </c>
      <c r="P206" t="n">
        <v>0</v>
      </c>
      <c r="Q206" t="n">
        <v>0</v>
      </c>
      <c r="R206" s="2" t="inlineStr"/>
    </row>
    <row r="207" ht="15" customHeight="1">
      <c r="A207" t="inlineStr">
        <is>
          <t>A 42756-2025</t>
        </is>
      </c>
      <c r="B207" s="1" t="n">
        <v>45908</v>
      </c>
      <c r="C207" s="1" t="n">
        <v>45923</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61711-2020</t>
        </is>
      </c>
      <c r="B208" s="1" t="n">
        <v>44158</v>
      </c>
      <c r="C208" s="1" t="n">
        <v>45923</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18583-2021</t>
        </is>
      </c>
      <c r="B209" s="1" t="n">
        <v>44306</v>
      </c>
      <c r="C209" s="1" t="n">
        <v>45923</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60125-2024</t>
        </is>
      </c>
      <c r="B210" s="1" t="n">
        <v>45642</v>
      </c>
      <c r="C210" s="1" t="n">
        <v>45923</v>
      </c>
      <c r="D210" t="inlineStr">
        <is>
          <t>UPPSALA LÄN</t>
        </is>
      </c>
      <c r="E210" t="inlineStr">
        <is>
          <t>ENKÖPING</t>
        </is>
      </c>
      <c r="G210" t="n">
        <v>2.1</v>
      </c>
      <c r="H210" t="n">
        <v>0</v>
      </c>
      <c r="I210" t="n">
        <v>0</v>
      </c>
      <c r="J210" t="n">
        <v>0</v>
      </c>
      <c r="K210" t="n">
        <v>0</v>
      </c>
      <c r="L210" t="n">
        <v>0</v>
      </c>
      <c r="M210" t="n">
        <v>0</v>
      </c>
      <c r="N210" t="n">
        <v>0</v>
      </c>
      <c r="O210" t="n">
        <v>0</v>
      </c>
      <c r="P210" t="n">
        <v>0</v>
      </c>
      <c r="Q210" t="n">
        <v>0</v>
      </c>
      <c r="R210" s="2" t="inlineStr"/>
    </row>
    <row r="211" ht="15" customHeight="1">
      <c r="A211" t="inlineStr">
        <is>
          <t>A 14402-2023</t>
        </is>
      </c>
      <c r="B211" s="1" t="n">
        <v>45012</v>
      </c>
      <c r="C211" s="1" t="n">
        <v>45923</v>
      </c>
      <c r="D211" t="inlineStr">
        <is>
          <t>UPPSALA LÄN</t>
        </is>
      </c>
      <c r="E211" t="inlineStr">
        <is>
          <t>ENKÖPING</t>
        </is>
      </c>
      <c r="G211" t="n">
        <v>9.5</v>
      </c>
      <c r="H211" t="n">
        <v>0</v>
      </c>
      <c r="I211" t="n">
        <v>0</v>
      </c>
      <c r="J211" t="n">
        <v>0</v>
      </c>
      <c r="K211" t="n">
        <v>0</v>
      </c>
      <c r="L211" t="n">
        <v>0</v>
      </c>
      <c r="M211" t="n">
        <v>0</v>
      </c>
      <c r="N211" t="n">
        <v>0</v>
      </c>
      <c r="O211" t="n">
        <v>0</v>
      </c>
      <c r="P211" t="n">
        <v>0</v>
      </c>
      <c r="Q211" t="n">
        <v>0</v>
      </c>
      <c r="R211" s="2" t="inlineStr"/>
    </row>
    <row r="212" ht="15" customHeight="1">
      <c r="A212" t="inlineStr">
        <is>
          <t>A 1695-2025</t>
        </is>
      </c>
      <c r="B212" s="1" t="n">
        <v>45670</v>
      </c>
      <c r="C212" s="1" t="n">
        <v>45923</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59027-2024</t>
        </is>
      </c>
      <c r="B213" s="1" t="n">
        <v>45636.68755787037</v>
      </c>
      <c r="C213" s="1" t="n">
        <v>45923</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47909-2024</t>
        </is>
      </c>
      <c r="B214" s="1" t="n">
        <v>45589.31866898148</v>
      </c>
      <c r="C214" s="1" t="n">
        <v>45923</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39115-2024</t>
        </is>
      </c>
      <c r="B215" s="1" t="n">
        <v>45548</v>
      </c>
      <c r="C215" s="1" t="n">
        <v>45923</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12020-2024</t>
        </is>
      </c>
      <c r="B216" s="1" t="n">
        <v>45377</v>
      </c>
      <c r="C216" s="1" t="n">
        <v>45923</v>
      </c>
      <c r="D216" t="inlineStr">
        <is>
          <t>UPPSALA LÄN</t>
        </is>
      </c>
      <c r="E216" t="inlineStr">
        <is>
          <t>ENKÖPING</t>
        </is>
      </c>
      <c r="G216" t="n">
        <v>2</v>
      </c>
      <c r="H216" t="n">
        <v>0</v>
      </c>
      <c r="I216" t="n">
        <v>0</v>
      </c>
      <c r="J216" t="n">
        <v>0</v>
      </c>
      <c r="K216" t="n">
        <v>0</v>
      </c>
      <c r="L216" t="n">
        <v>0</v>
      </c>
      <c r="M216" t="n">
        <v>0</v>
      </c>
      <c r="N216" t="n">
        <v>0</v>
      </c>
      <c r="O216" t="n">
        <v>0</v>
      </c>
      <c r="P216" t="n">
        <v>0</v>
      </c>
      <c r="Q216" t="n">
        <v>0</v>
      </c>
      <c r="R216" s="2" t="inlineStr"/>
    </row>
    <row r="217" ht="15" customHeight="1">
      <c r="A217" t="inlineStr">
        <is>
          <t>A 42564-2024</t>
        </is>
      </c>
      <c r="B217" s="1" t="n">
        <v>45565.63358796296</v>
      </c>
      <c r="C217" s="1" t="n">
        <v>45923</v>
      </c>
      <c r="D217" t="inlineStr">
        <is>
          <t>UPPSALA LÄN</t>
        </is>
      </c>
      <c r="E217" t="inlineStr">
        <is>
          <t>ENKÖPING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6157-2021</t>
        </is>
      </c>
      <c r="B218" s="1" t="n">
        <v>44232</v>
      </c>
      <c r="C218" s="1" t="n">
        <v>45923</v>
      </c>
      <c r="D218" t="inlineStr">
        <is>
          <t>UPPSALA LÄN</t>
        </is>
      </c>
      <c r="E218" t="inlineStr">
        <is>
          <t>ENKÖPING</t>
        </is>
      </c>
      <c r="G218" t="n">
        <v>3.9</v>
      </c>
      <c r="H218" t="n">
        <v>0</v>
      </c>
      <c r="I218" t="n">
        <v>0</v>
      </c>
      <c r="J218" t="n">
        <v>0</v>
      </c>
      <c r="K218" t="n">
        <v>0</v>
      </c>
      <c r="L218" t="n">
        <v>0</v>
      </c>
      <c r="M218" t="n">
        <v>0</v>
      </c>
      <c r="N218" t="n">
        <v>0</v>
      </c>
      <c r="O218" t="n">
        <v>0</v>
      </c>
      <c r="P218" t="n">
        <v>0</v>
      </c>
      <c r="Q218" t="n">
        <v>0</v>
      </c>
      <c r="R218" s="2" t="inlineStr"/>
    </row>
    <row r="219" ht="15" customHeight="1">
      <c r="A219" t="inlineStr">
        <is>
          <t>A 52005-2024</t>
        </is>
      </c>
      <c r="B219" s="1" t="n">
        <v>45607.7627662037</v>
      </c>
      <c r="C219" s="1" t="n">
        <v>45923</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3235-2025</t>
        </is>
      </c>
      <c r="B220" s="1" t="n">
        <v>45679</v>
      </c>
      <c r="C220" s="1" t="n">
        <v>45923</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44419-2025</t>
        </is>
      </c>
      <c r="B221" s="1" t="n">
        <v>45916.54671296296</v>
      </c>
      <c r="C221" s="1" t="n">
        <v>45923</v>
      </c>
      <c r="D221" t="inlineStr">
        <is>
          <t>UPPSALA LÄN</t>
        </is>
      </c>
      <c r="E221" t="inlineStr">
        <is>
          <t>ENKÖPING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51092-2020</t>
        </is>
      </c>
      <c r="B222" s="1" t="n">
        <v>44112</v>
      </c>
      <c r="C222" s="1" t="n">
        <v>45923</v>
      </c>
      <c r="D222" t="inlineStr">
        <is>
          <t>UPPSALA LÄN</t>
        </is>
      </c>
      <c r="E222" t="inlineStr">
        <is>
          <t>ENKÖPING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43999-2025</t>
        </is>
      </c>
      <c r="B223" s="1" t="n">
        <v>45915.45158564814</v>
      </c>
      <c r="C223" s="1" t="n">
        <v>45923</v>
      </c>
      <c r="D223" t="inlineStr">
        <is>
          <t>UPPSALA LÄN</t>
        </is>
      </c>
      <c r="E223" t="inlineStr">
        <is>
          <t>ENKÖPING</t>
        </is>
      </c>
      <c r="G223" t="n">
        <v>4.1</v>
      </c>
      <c r="H223" t="n">
        <v>0</v>
      </c>
      <c r="I223" t="n">
        <v>0</v>
      </c>
      <c r="J223" t="n">
        <v>0</v>
      </c>
      <c r="K223" t="n">
        <v>0</v>
      </c>
      <c r="L223" t="n">
        <v>0</v>
      </c>
      <c r="M223" t="n">
        <v>0</v>
      </c>
      <c r="N223" t="n">
        <v>0</v>
      </c>
      <c r="O223" t="n">
        <v>0</v>
      </c>
      <c r="P223" t="n">
        <v>0</v>
      </c>
      <c r="Q223" t="n">
        <v>0</v>
      </c>
      <c r="R223" s="2" t="inlineStr"/>
    </row>
    <row r="224" ht="15" customHeight="1">
      <c r="A224" t="inlineStr">
        <is>
          <t>A 69344-2021</t>
        </is>
      </c>
      <c r="B224" s="1" t="n">
        <v>44531</v>
      </c>
      <c r="C224" s="1" t="n">
        <v>45923</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15711-2025</t>
        </is>
      </c>
      <c r="B225" s="1" t="n">
        <v>45748</v>
      </c>
      <c r="C225" s="1" t="n">
        <v>45923</v>
      </c>
      <c r="D225" t="inlineStr">
        <is>
          <t>UPPSALA LÄN</t>
        </is>
      </c>
      <c r="E225" t="inlineStr">
        <is>
          <t>ENKÖPING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4562-2025</t>
        </is>
      </c>
      <c r="B226" s="1" t="n">
        <v>45687</v>
      </c>
      <c r="C226" s="1" t="n">
        <v>45923</v>
      </c>
      <c r="D226" t="inlineStr">
        <is>
          <t>UPPSALA LÄN</t>
        </is>
      </c>
      <c r="E226" t="inlineStr">
        <is>
          <t>ENKÖPING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34124-2021</t>
        </is>
      </c>
      <c r="B227" s="1" t="n">
        <v>44379</v>
      </c>
      <c r="C227" s="1" t="n">
        <v>45923</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43697-2024</t>
        </is>
      </c>
      <c r="B228" s="1" t="n">
        <v>45569</v>
      </c>
      <c r="C228" s="1" t="n">
        <v>45923</v>
      </c>
      <c r="D228" t="inlineStr">
        <is>
          <t>UPPSALA LÄN</t>
        </is>
      </c>
      <c r="E228" t="inlineStr">
        <is>
          <t>ENKÖPING</t>
        </is>
      </c>
      <c r="G228" t="n">
        <v>2.1</v>
      </c>
      <c r="H228" t="n">
        <v>0</v>
      </c>
      <c r="I228" t="n">
        <v>0</v>
      </c>
      <c r="J228" t="n">
        <v>0</v>
      </c>
      <c r="K228" t="n">
        <v>0</v>
      </c>
      <c r="L228" t="n">
        <v>0</v>
      </c>
      <c r="M228" t="n">
        <v>0</v>
      </c>
      <c r="N228" t="n">
        <v>0</v>
      </c>
      <c r="O228" t="n">
        <v>0</v>
      </c>
      <c r="P228" t="n">
        <v>0</v>
      </c>
      <c r="Q228" t="n">
        <v>0</v>
      </c>
      <c r="R228" s="2" t="inlineStr"/>
    </row>
    <row r="229" ht="15" customHeight="1">
      <c r="A229" t="inlineStr">
        <is>
          <t>A 6959-2025</t>
        </is>
      </c>
      <c r="B229" s="1" t="n">
        <v>45701.49315972222</v>
      </c>
      <c r="C229" s="1" t="n">
        <v>45923</v>
      </c>
      <c r="D229" t="inlineStr">
        <is>
          <t>UPPSALA LÄN</t>
        </is>
      </c>
      <c r="E229" t="inlineStr">
        <is>
          <t>ENKÖPING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67765-2020</t>
        </is>
      </c>
      <c r="B230" s="1" t="n">
        <v>44182</v>
      </c>
      <c r="C230" s="1" t="n">
        <v>45923</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27983-2024</t>
        </is>
      </c>
      <c r="B231" s="1" t="n">
        <v>45476</v>
      </c>
      <c r="C231" s="1" t="n">
        <v>45923</v>
      </c>
      <c r="D231" t="inlineStr">
        <is>
          <t>UPPSALA LÄN</t>
        </is>
      </c>
      <c r="E231" t="inlineStr">
        <is>
          <t>ENKÖPING</t>
        </is>
      </c>
      <c r="G231" t="n">
        <v>3.2</v>
      </c>
      <c r="H231" t="n">
        <v>0</v>
      </c>
      <c r="I231" t="n">
        <v>0</v>
      </c>
      <c r="J231" t="n">
        <v>0</v>
      </c>
      <c r="K231" t="n">
        <v>0</v>
      </c>
      <c r="L231" t="n">
        <v>0</v>
      </c>
      <c r="M231" t="n">
        <v>0</v>
      </c>
      <c r="N231" t="n">
        <v>0</v>
      </c>
      <c r="O231" t="n">
        <v>0</v>
      </c>
      <c r="P231" t="n">
        <v>0</v>
      </c>
      <c r="Q231" t="n">
        <v>0</v>
      </c>
      <c r="R231" s="2" t="inlineStr"/>
    </row>
    <row r="232" ht="15" customHeight="1">
      <c r="A232" t="inlineStr">
        <is>
          <t>A 17165-2025</t>
        </is>
      </c>
      <c r="B232" s="1" t="n">
        <v>45756</v>
      </c>
      <c r="C232" s="1" t="n">
        <v>45923</v>
      </c>
      <c r="D232" t="inlineStr">
        <is>
          <t>UPPSALA LÄN</t>
        </is>
      </c>
      <c r="E232" t="inlineStr">
        <is>
          <t>ENKÖPING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53586-2024</t>
        </is>
      </c>
      <c r="B233" s="1" t="n">
        <v>45614</v>
      </c>
      <c r="C233" s="1" t="n">
        <v>45923</v>
      </c>
      <c r="D233" t="inlineStr">
        <is>
          <t>UPPSALA LÄN</t>
        </is>
      </c>
      <c r="E233" t="inlineStr">
        <is>
          <t>ENKÖPING</t>
        </is>
      </c>
      <c r="G233" t="n">
        <v>6.6</v>
      </c>
      <c r="H233" t="n">
        <v>0</v>
      </c>
      <c r="I233" t="n">
        <v>0</v>
      </c>
      <c r="J233" t="n">
        <v>0</v>
      </c>
      <c r="K233" t="n">
        <v>0</v>
      </c>
      <c r="L233" t="n">
        <v>0</v>
      </c>
      <c r="M233" t="n">
        <v>0</v>
      </c>
      <c r="N233" t="n">
        <v>0</v>
      </c>
      <c r="O233" t="n">
        <v>0</v>
      </c>
      <c r="P233" t="n">
        <v>0</v>
      </c>
      <c r="Q233" t="n">
        <v>0</v>
      </c>
      <c r="R233" s="2" t="inlineStr"/>
    </row>
    <row r="234" ht="15" customHeight="1">
      <c r="A234" t="inlineStr">
        <is>
          <t>A 51010-2024</t>
        </is>
      </c>
      <c r="B234" s="1" t="n">
        <v>45603.39285879629</v>
      </c>
      <c r="C234" s="1" t="n">
        <v>45923</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51042-2024</t>
        </is>
      </c>
      <c r="B235" s="1" t="n">
        <v>45603.4342824074</v>
      </c>
      <c r="C235" s="1" t="n">
        <v>45923</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51034-2024</t>
        </is>
      </c>
      <c r="B236" s="1" t="n">
        <v>45603.4262037037</v>
      </c>
      <c r="C236" s="1" t="n">
        <v>45923</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51036-2024</t>
        </is>
      </c>
      <c r="B237" s="1" t="n">
        <v>45603.42839120371</v>
      </c>
      <c r="C237" s="1" t="n">
        <v>45923</v>
      </c>
      <c r="D237" t="inlineStr">
        <is>
          <t>UPPSALA LÄN</t>
        </is>
      </c>
      <c r="E237" t="inlineStr">
        <is>
          <t>ENKÖPING</t>
        </is>
      </c>
      <c r="G237" t="n">
        <v>2.6</v>
      </c>
      <c r="H237" t="n">
        <v>0</v>
      </c>
      <c r="I237" t="n">
        <v>0</v>
      </c>
      <c r="J237" t="n">
        <v>0</v>
      </c>
      <c r="K237" t="n">
        <v>0</v>
      </c>
      <c r="L237" t="n">
        <v>0</v>
      </c>
      <c r="M237" t="n">
        <v>0</v>
      </c>
      <c r="N237" t="n">
        <v>0</v>
      </c>
      <c r="O237" t="n">
        <v>0</v>
      </c>
      <c r="P237" t="n">
        <v>0</v>
      </c>
      <c r="Q237" t="n">
        <v>0</v>
      </c>
      <c r="R237" s="2" t="inlineStr"/>
    </row>
    <row r="238" ht="15" customHeight="1">
      <c r="A238" t="inlineStr">
        <is>
          <t>A 43492-2023</t>
        </is>
      </c>
      <c r="B238" s="1" t="n">
        <v>45181</v>
      </c>
      <c r="C238" s="1" t="n">
        <v>45923</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37319-2025</t>
        </is>
      </c>
      <c r="B239" s="1" t="n">
        <v>45876</v>
      </c>
      <c r="C239" s="1" t="n">
        <v>45923</v>
      </c>
      <c r="D239" t="inlineStr">
        <is>
          <t>UPPSALA LÄN</t>
        </is>
      </c>
      <c r="E239" t="inlineStr">
        <is>
          <t>ENKÖPING</t>
        </is>
      </c>
      <c r="G239" t="n">
        <v>9.5</v>
      </c>
      <c r="H239" t="n">
        <v>0</v>
      </c>
      <c r="I239" t="n">
        <v>0</v>
      </c>
      <c r="J239" t="n">
        <v>0</v>
      </c>
      <c r="K239" t="n">
        <v>0</v>
      </c>
      <c r="L239" t="n">
        <v>0</v>
      </c>
      <c r="M239" t="n">
        <v>0</v>
      </c>
      <c r="N239" t="n">
        <v>0</v>
      </c>
      <c r="O239" t="n">
        <v>0</v>
      </c>
      <c r="P239" t="n">
        <v>0</v>
      </c>
      <c r="Q239" t="n">
        <v>0</v>
      </c>
      <c r="R239" s="2" t="inlineStr"/>
    </row>
    <row r="240" ht="15" customHeight="1">
      <c r="A240" t="inlineStr">
        <is>
          <t>A 37296-2025</t>
        </is>
      </c>
      <c r="B240" s="1" t="n">
        <v>45876</v>
      </c>
      <c r="C240" s="1" t="n">
        <v>45923</v>
      </c>
      <c r="D240" t="inlineStr">
        <is>
          <t>UPPSALA LÄN</t>
        </is>
      </c>
      <c r="E240" t="inlineStr">
        <is>
          <t>ENKÖPING</t>
        </is>
      </c>
      <c r="G240" t="n">
        <v>9.5</v>
      </c>
      <c r="H240" t="n">
        <v>0</v>
      </c>
      <c r="I240" t="n">
        <v>0</v>
      </c>
      <c r="J240" t="n">
        <v>0</v>
      </c>
      <c r="K240" t="n">
        <v>0</v>
      </c>
      <c r="L240" t="n">
        <v>0</v>
      </c>
      <c r="M240" t="n">
        <v>0</v>
      </c>
      <c r="N240" t="n">
        <v>0</v>
      </c>
      <c r="O240" t="n">
        <v>0</v>
      </c>
      <c r="P240" t="n">
        <v>0</v>
      </c>
      <c r="Q240" t="n">
        <v>0</v>
      </c>
      <c r="R240" s="2" t="inlineStr"/>
    </row>
    <row r="241" ht="15" customHeight="1">
      <c r="A241" t="inlineStr">
        <is>
          <t>A 1536-2024</t>
        </is>
      </c>
      <c r="B241" s="1" t="n">
        <v>45306</v>
      </c>
      <c r="C241" s="1" t="n">
        <v>45923</v>
      </c>
      <c r="D241" t="inlineStr">
        <is>
          <t>UPPSALA LÄN</t>
        </is>
      </c>
      <c r="E241" t="inlineStr">
        <is>
          <t>ENKÖPING</t>
        </is>
      </c>
      <c r="F241" t="inlineStr">
        <is>
          <t>Kyrkan</t>
        </is>
      </c>
      <c r="G241" t="n">
        <v>5.6</v>
      </c>
      <c r="H241" t="n">
        <v>0</v>
      </c>
      <c r="I241" t="n">
        <v>0</v>
      </c>
      <c r="J241" t="n">
        <v>0</v>
      </c>
      <c r="K241" t="n">
        <v>0</v>
      </c>
      <c r="L241" t="n">
        <v>0</v>
      </c>
      <c r="M241" t="n">
        <v>0</v>
      </c>
      <c r="N241" t="n">
        <v>0</v>
      </c>
      <c r="O241" t="n">
        <v>0</v>
      </c>
      <c r="P241" t="n">
        <v>0</v>
      </c>
      <c r="Q241" t="n">
        <v>0</v>
      </c>
      <c r="R241" s="2" t="inlineStr"/>
    </row>
    <row r="242" ht="15" customHeight="1">
      <c r="A242" t="inlineStr">
        <is>
          <t>A 22912-2024</t>
        </is>
      </c>
      <c r="B242" s="1" t="n">
        <v>45448.73118055556</v>
      </c>
      <c r="C242" s="1" t="n">
        <v>45923</v>
      </c>
      <c r="D242" t="inlineStr">
        <is>
          <t>UPPSALA LÄN</t>
        </is>
      </c>
      <c r="E242" t="inlineStr">
        <is>
          <t>ENKÖPING</t>
        </is>
      </c>
      <c r="G242" t="n">
        <v>2.8</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45923</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2974-2025</t>
        </is>
      </c>
      <c r="B244" s="1" t="n">
        <v>45678.47168981482</v>
      </c>
      <c r="C244" s="1" t="n">
        <v>45923</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16916-2023</t>
        </is>
      </c>
      <c r="B245" s="1" t="n">
        <v>45033.58347222222</v>
      </c>
      <c r="C245" s="1" t="n">
        <v>45923</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52299-2023</t>
        </is>
      </c>
      <c r="B246" s="1" t="n">
        <v>45224.61636574074</v>
      </c>
      <c r="C246" s="1" t="n">
        <v>45923</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9667-2024</t>
        </is>
      </c>
      <c r="B247" s="1" t="n">
        <v>45362.45130787037</v>
      </c>
      <c r="C247" s="1" t="n">
        <v>45923</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41765-2025</t>
        </is>
      </c>
      <c r="B248" s="1" t="n">
        <v>45902</v>
      </c>
      <c r="C248" s="1" t="n">
        <v>45923</v>
      </c>
      <c r="D248" t="inlineStr">
        <is>
          <t>UPPSALA LÄN</t>
        </is>
      </c>
      <c r="E248" t="inlineStr">
        <is>
          <t>ENKÖPING</t>
        </is>
      </c>
      <c r="G248" t="n">
        <v>2.7</v>
      </c>
      <c r="H248" t="n">
        <v>0</v>
      </c>
      <c r="I248" t="n">
        <v>0</v>
      </c>
      <c r="J248" t="n">
        <v>0</v>
      </c>
      <c r="K248" t="n">
        <v>0</v>
      </c>
      <c r="L248" t="n">
        <v>0</v>
      </c>
      <c r="M248" t="n">
        <v>0</v>
      </c>
      <c r="N248" t="n">
        <v>0</v>
      </c>
      <c r="O248" t="n">
        <v>0</v>
      </c>
      <c r="P248" t="n">
        <v>0</v>
      </c>
      <c r="Q248" t="n">
        <v>0</v>
      </c>
      <c r="R248" s="2" t="inlineStr"/>
    </row>
    <row r="249" ht="15" customHeight="1">
      <c r="A249" t="inlineStr">
        <is>
          <t>A 25598-2021</t>
        </is>
      </c>
      <c r="B249" s="1" t="n">
        <v>44343.4558912037</v>
      </c>
      <c r="C249" s="1" t="n">
        <v>45923</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16920-2023</t>
        </is>
      </c>
      <c r="B250" s="1" t="n">
        <v>45033.59030092593</v>
      </c>
      <c r="C250" s="1" t="n">
        <v>45923</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32081-2024</t>
        </is>
      </c>
      <c r="B251" s="1" t="n">
        <v>45511.34605324074</v>
      </c>
      <c r="C251" s="1" t="n">
        <v>45923</v>
      </c>
      <c r="D251" t="inlineStr">
        <is>
          <t>UPPSALA LÄN</t>
        </is>
      </c>
      <c r="E251" t="inlineStr">
        <is>
          <t>ENKÖPING</t>
        </is>
      </c>
      <c r="G251" t="n">
        <v>5.4</v>
      </c>
      <c r="H251" t="n">
        <v>0</v>
      </c>
      <c r="I251" t="n">
        <v>0</v>
      </c>
      <c r="J251" t="n">
        <v>0</v>
      </c>
      <c r="K251" t="n">
        <v>0</v>
      </c>
      <c r="L251" t="n">
        <v>0</v>
      </c>
      <c r="M251" t="n">
        <v>0</v>
      </c>
      <c r="N251" t="n">
        <v>0</v>
      </c>
      <c r="O251" t="n">
        <v>0</v>
      </c>
      <c r="P251" t="n">
        <v>0</v>
      </c>
      <c r="Q251" t="n">
        <v>0</v>
      </c>
      <c r="R251" s="2" t="inlineStr"/>
    </row>
    <row r="252" ht="15" customHeight="1">
      <c r="A252" t="inlineStr">
        <is>
          <t>A 37498-2025</t>
        </is>
      </c>
      <c r="B252" s="1" t="n">
        <v>45877</v>
      </c>
      <c r="C252" s="1" t="n">
        <v>45923</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52388-2024</t>
        </is>
      </c>
      <c r="B253" s="1" t="n">
        <v>45609.42939814815</v>
      </c>
      <c r="C253" s="1" t="n">
        <v>45923</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12434-2021</t>
        </is>
      </c>
      <c r="B254" s="1" t="n">
        <v>44267</v>
      </c>
      <c r="C254" s="1" t="n">
        <v>45923</v>
      </c>
      <c r="D254" t="inlineStr">
        <is>
          <t>UPPSALA LÄN</t>
        </is>
      </c>
      <c r="E254" t="inlineStr">
        <is>
          <t>ENKÖPING</t>
        </is>
      </c>
      <c r="G254" t="n">
        <v>5.3</v>
      </c>
      <c r="H254" t="n">
        <v>0</v>
      </c>
      <c r="I254" t="n">
        <v>0</v>
      </c>
      <c r="J254" t="n">
        <v>0</v>
      </c>
      <c r="K254" t="n">
        <v>0</v>
      </c>
      <c r="L254" t="n">
        <v>0</v>
      </c>
      <c r="M254" t="n">
        <v>0</v>
      </c>
      <c r="N254" t="n">
        <v>0</v>
      </c>
      <c r="O254" t="n">
        <v>0</v>
      </c>
      <c r="P254" t="n">
        <v>0</v>
      </c>
      <c r="Q254" t="n">
        <v>0</v>
      </c>
      <c r="R254" s="2" t="inlineStr"/>
    </row>
    <row r="255" ht="15" customHeight="1">
      <c r="A255" t="inlineStr">
        <is>
          <t>A 20184-2023</t>
        </is>
      </c>
      <c r="B255" s="1" t="n">
        <v>45055.5670949074</v>
      </c>
      <c r="C255" s="1" t="n">
        <v>45923</v>
      </c>
      <c r="D255" t="inlineStr">
        <is>
          <t>UPPSALA LÄN</t>
        </is>
      </c>
      <c r="E255" t="inlineStr">
        <is>
          <t>ENKÖPING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43506-2023</t>
        </is>
      </c>
      <c r="B256" s="1" t="n">
        <v>45181</v>
      </c>
      <c r="C256" s="1" t="n">
        <v>45923</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49622-2024</t>
        </is>
      </c>
      <c r="B257" s="1" t="n">
        <v>45596.58372685185</v>
      </c>
      <c r="C257" s="1" t="n">
        <v>45923</v>
      </c>
      <c r="D257" t="inlineStr">
        <is>
          <t>UPPSALA LÄN</t>
        </is>
      </c>
      <c r="E257" t="inlineStr">
        <is>
          <t>ENKÖPING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14004-2023</t>
        </is>
      </c>
      <c r="B258" s="1" t="n">
        <v>45008</v>
      </c>
      <c r="C258" s="1" t="n">
        <v>45923</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61952-2021</t>
        </is>
      </c>
      <c r="B259" s="1" t="n">
        <v>44502</v>
      </c>
      <c r="C259" s="1" t="n">
        <v>45923</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51012-2024</t>
        </is>
      </c>
      <c r="B260" s="1" t="n">
        <v>45603.39686342593</v>
      </c>
      <c r="C260" s="1" t="n">
        <v>45923</v>
      </c>
      <c r="D260" t="inlineStr">
        <is>
          <t>UPPSALA LÄN</t>
        </is>
      </c>
      <c r="E260" t="inlineStr">
        <is>
          <t>ENKÖPING</t>
        </is>
      </c>
      <c r="G260" t="n">
        <v>2.7</v>
      </c>
      <c r="H260" t="n">
        <v>0</v>
      </c>
      <c r="I260" t="n">
        <v>0</v>
      </c>
      <c r="J260" t="n">
        <v>0</v>
      </c>
      <c r="K260" t="n">
        <v>0</v>
      </c>
      <c r="L260" t="n">
        <v>0</v>
      </c>
      <c r="M260" t="n">
        <v>0</v>
      </c>
      <c r="N260" t="n">
        <v>0</v>
      </c>
      <c r="O260" t="n">
        <v>0</v>
      </c>
      <c r="P260" t="n">
        <v>0</v>
      </c>
      <c r="Q260" t="n">
        <v>0</v>
      </c>
      <c r="R260" s="2" t="inlineStr"/>
    </row>
    <row r="261" ht="15" customHeight="1">
      <c r="A261" t="inlineStr">
        <is>
          <t>A 51037-2024</t>
        </is>
      </c>
      <c r="B261" s="1" t="n">
        <v>45603.43005787037</v>
      </c>
      <c r="C261" s="1" t="n">
        <v>45923</v>
      </c>
      <c r="D261" t="inlineStr">
        <is>
          <t>UPPSALA LÄN</t>
        </is>
      </c>
      <c r="E261" t="inlineStr">
        <is>
          <t>ENKÖPING</t>
        </is>
      </c>
      <c r="G261" t="n">
        <v>5.7</v>
      </c>
      <c r="H261" t="n">
        <v>0</v>
      </c>
      <c r="I261" t="n">
        <v>0</v>
      </c>
      <c r="J261" t="n">
        <v>0</v>
      </c>
      <c r="K261" t="n">
        <v>0</v>
      </c>
      <c r="L261" t="n">
        <v>0</v>
      </c>
      <c r="M261" t="n">
        <v>0</v>
      </c>
      <c r="N261" t="n">
        <v>0</v>
      </c>
      <c r="O261" t="n">
        <v>0</v>
      </c>
      <c r="P261" t="n">
        <v>0</v>
      </c>
      <c r="Q261" t="n">
        <v>0</v>
      </c>
      <c r="R261" s="2" t="inlineStr"/>
    </row>
    <row r="262" ht="15" customHeight="1">
      <c r="A262" t="inlineStr">
        <is>
          <t>A 1992-2022</t>
        </is>
      </c>
      <c r="B262" s="1" t="n">
        <v>44575.56153935185</v>
      </c>
      <c r="C262" s="1" t="n">
        <v>45923</v>
      </c>
      <c r="D262" t="inlineStr">
        <is>
          <t>UPPSALA LÄN</t>
        </is>
      </c>
      <c r="E262" t="inlineStr">
        <is>
          <t>ENKÖPING</t>
        </is>
      </c>
      <c r="G262" t="n">
        <v>2.8</v>
      </c>
      <c r="H262" t="n">
        <v>0</v>
      </c>
      <c r="I262" t="n">
        <v>0</v>
      </c>
      <c r="J262" t="n">
        <v>0</v>
      </c>
      <c r="K262" t="n">
        <v>0</v>
      </c>
      <c r="L262" t="n">
        <v>0</v>
      </c>
      <c r="M262" t="n">
        <v>0</v>
      </c>
      <c r="N262" t="n">
        <v>0</v>
      </c>
      <c r="O262" t="n">
        <v>0</v>
      </c>
      <c r="P262" t="n">
        <v>0</v>
      </c>
      <c r="Q262" t="n">
        <v>0</v>
      </c>
      <c r="R262" s="2" t="inlineStr"/>
    </row>
    <row r="263" ht="15" customHeight="1">
      <c r="A263" t="inlineStr">
        <is>
          <t>A 6626-2023</t>
        </is>
      </c>
      <c r="B263" s="1" t="n">
        <v>44966.55946759259</v>
      </c>
      <c r="C263" s="1" t="n">
        <v>45923</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41828-2024</t>
        </is>
      </c>
      <c r="B264" s="1" t="n">
        <v>45561</v>
      </c>
      <c r="C264" s="1" t="n">
        <v>45923</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48843-2023</t>
        </is>
      </c>
      <c r="B265" s="1" t="n">
        <v>45209</v>
      </c>
      <c r="C265" s="1" t="n">
        <v>45923</v>
      </c>
      <c r="D265" t="inlineStr">
        <is>
          <t>UPPSALA LÄN</t>
        </is>
      </c>
      <c r="E265" t="inlineStr">
        <is>
          <t>ENKÖPING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57940-2022</t>
        </is>
      </c>
      <c r="B266" s="1" t="n">
        <v>44900</v>
      </c>
      <c r="C266" s="1" t="n">
        <v>45923</v>
      </c>
      <c r="D266" t="inlineStr">
        <is>
          <t>UPPSALA LÄN</t>
        </is>
      </c>
      <c r="E266" t="inlineStr">
        <is>
          <t>ENKÖPING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59602-2022</t>
        </is>
      </c>
      <c r="B267" s="1" t="n">
        <v>44907.72241898148</v>
      </c>
      <c r="C267" s="1" t="n">
        <v>45923</v>
      </c>
      <c r="D267" t="inlineStr">
        <is>
          <t>UPPSALA LÄN</t>
        </is>
      </c>
      <c r="E267" t="inlineStr">
        <is>
          <t>ENKÖPING</t>
        </is>
      </c>
      <c r="G267" t="n">
        <v>14.2</v>
      </c>
      <c r="H267" t="n">
        <v>0</v>
      </c>
      <c r="I267" t="n">
        <v>0</v>
      </c>
      <c r="J267" t="n">
        <v>0</v>
      </c>
      <c r="K267" t="n">
        <v>0</v>
      </c>
      <c r="L267" t="n">
        <v>0</v>
      </c>
      <c r="M267" t="n">
        <v>0</v>
      </c>
      <c r="N267" t="n">
        <v>0</v>
      </c>
      <c r="O267" t="n">
        <v>0</v>
      </c>
      <c r="P267" t="n">
        <v>0</v>
      </c>
      <c r="Q267" t="n">
        <v>0</v>
      </c>
      <c r="R267" s="2" t="inlineStr"/>
    </row>
    <row r="268" ht="15" customHeight="1">
      <c r="A268" t="inlineStr">
        <is>
          <t>A 42589-2022</t>
        </is>
      </c>
      <c r="B268" s="1" t="n">
        <v>44831</v>
      </c>
      <c r="C268" s="1" t="n">
        <v>45923</v>
      </c>
      <c r="D268" t="inlineStr">
        <is>
          <t>UPPSALA LÄN</t>
        </is>
      </c>
      <c r="E268" t="inlineStr">
        <is>
          <t>ENKÖPING</t>
        </is>
      </c>
      <c r="G268" t="n">
        <v>20</v>
      </c>
      <c r="H268" t="n">
        <v>0</v>
      </c>
      <c r="I268" t="n">
        <v>0</v>
      </c>
      <c r="J268" t="n">
        <v>0</v>
      </c>
      <c r="K268" t="n">
        <v>0</v>
      </c>
      <c r="L268" t="n">
        <v>0</v>
      </c>
      <c r="M268" t="n">
        <v>0</v>
      </c>
      <c r="N268" t="n">
        <v>0</v>
      </c>
      <c r="O268" t="n">
        <v>0</v>
      </c>
      <c r="P268" t="n">
        <v>0</v>
      </c>
      <c r="Q268" t="n">
        <v>0</v>
      </c>
      <c r="R268" s="2" t="inlineStr"/>
    </row>
    <row r="269" ht="15" customHeight="1">
      <c r="A269" t="inlineStr">
        <is>
          <t>A 35079-2024</t>
        </is>
      </c>
      <c r="B269" s="1" t="n">
        <v>45527.66770833333</v>
      </c>
      <c r="C269" s="1" t="n">
        <v>45923</v>
      </c>
      <c r="D269" t="inlineStr">
        <is>
          <t>UPPSALA LÄN</t>
        </is>
      </c>
      <c r="E269" t="inlineStr">
        <is>
          <t>ENKÖPING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35645-2021</t>
        </is>
      </c>
      <c r="B270" s="1" t="n">
        <v>44386.42</v>
      </c>
      <c r="C270" s="1" t="n">
        <v>45923</v>
      </c>
      <c r="D270" t="inlineStr">
        <is>
          <t>UPPSALA LÄN</t>
        </is>
      </c>
      <c r="E270" t="inlineStr">
        <is>
          <t>ENKÖPING</t>
        </is>
      </c>
      <c r="G270" t="n">
        <v>2.7</v>
      </c>
      <c r="H270" t="n">
        <v>0</v>
      </c>
      <c r="I270" t="n">
        <v>0</v>
      </c>
      <c r="J270" t="n">
        <v>0</v>
      </c>
      <c r="K270" t="n">
        <v>0</v>
      </c>
      <c r="L270" t="n">
        <v>0</v>
      </c>
      <c r="M270" t="n">
        <v>0</v>
      </c>
      <c r="N270" t="n">
        <v>0</v>
      </c>
      <c r="O270" t="n">
        <v>0</v>
      </c>
      <c r="P270" t="n">
        <v>0</v>
      </c>
      <c r="Q270" t="n">
        <v>0</v>
      </c>
      <c r="R270" s="2" t="inlineStr"/>
    </row>
    <row r="271" ht="15" customHeight="1">
      <c r="A271" t="inlineStr">
        <is>
          <t>A 53595-2023</t>
        </is>
      </c>
      <c r="B271" s="1" t="n">
        <v>45223</v>
      </c>
      <c r="C271" s="1" t="n">
        <v>45923</v>
      </c>
      <c r="D271" t="inlineStr">
        <is>
          <t>UPPSALA LÄN</t>
        </is>
      </c>
      <c r="E271" t="inlineStr">
        <is>
          <t>ENKÖPING</t>
        </is>
      </c>
      <c r="G271" t="n">
        <v>2.6</v>
      </c>
      <c r="H271" t="n">
        <v>0</v>
      </c>
      <c r="I271" t="n">
        <v>0</v>
      </c>
      <c r="J271" t="n">
        <v>0</v>
      </c>
      <c r="K271" t="n">
        <v>0</v>
      </c>
      <c r="L271" t="n">
        <v>0</v>
      </c>
      <c r="M271" t="n">
        <v>0</v>
      </c>
      <c r="N271" t="n">
        <v>0</v>
      </c>
      <c r="O271" t="n">
        <v>0</v>
      </c>
      <c r="P271" t="n">
        <v>0</v>
      </c>
      <c r="Q271" t="n">
        <v>0</v>
      </c>
      <c r="R271" s="2" t="inlineStr"/>
    </row>
    <row r="272" ht="15" customHeight="1">
      <c r="A272" t="inlineStr">
        <is>
          <t>A 2968-2025</t>
        </is>
      </c>
      <c r="B272" s="1" t="n">
        <v>45678</v>
      </c>
      <c r="C272" s="1" t="n">
        <v>45923</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10465-2022</t>
        </is>
      </c>
      <c r="B273" s="1" t="n">
        <v>44623</v>
      </c>
      <c r="C273" s="1" t="n">
        <v>45923</v>
      </c>
      <c r="D273" t="inlineStr">
        <is>
          <t>UPPSALA LÄN</t>
        </is>
      </c>
      <c r="E273" t="inlineStr">
        <is>
          <t>ENKÖPING</t>
        </is>
      </c>
      <c r="G273" t="n">
        <v>1.7</v>
      </c>
      <c r="H273" t="n">
        <v>0</v>
      </c>
      <c r="I273" t="n">
        <v>0</v>
      </c>
      <c r="J273" t="n">
        <v>0</v>
      </c>
      <c r="K273" t="n">
        <v>0</v>
      </c>
      <c r="L273" t="n">
        <v>0</v>
      </c>
      <c r="M273" t="n">
        <v>0</v>
      </c>
      <c r="N273" t="n">
        <v>0</v>
      </c>
      <c r="O273" t="n">
        <v>0</v>
      </c>
      <c r="P273" t="n">
        <v>0</v>
      </c>
      <c r="Q273" t="n">
        <v>0</v>
      </c>
      <c r="R273" s="2" t="inlineStr"/>
    </row>
    <row r="274" ht="15" customHeight="1">
      <c r="A274" t="inlineStr">
        <is>
          <t>A 9487-2025</t>
        </is>
      </c>
      <c r="B274" s="1" t="n">
        <v>45715.49331018519</v>
      </c>
      <c r="C274" s="1" t="n">
        <v>45923</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60533-2021</t>
        </is>
      </c>
      <c r="B275" s="1" t="n">
        <v>44496</v>
      </c>
      <c r="C275" s="1" t="n">
        <v>45923</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16176-2025</t>
        </is>
      </c>
      <c r="B276" s="1" t="n">
        <v>45750</v>
      </c>
      <c r="C276" s="1" t="n">
        <v>45923</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15757-2023</t>
        </is>
      </c>
      <c r="B277" s="1" t="n">
        <v>45021</v>
      </c>
      <c r="C277" s="1" t="n">
        <v>45923</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43230-2023</t>
        </is>
      </c>
      <c r="B278" s="1" t="n">
        <v>45183</v>
      </c>
      <c r="C278" s="1" t="n">
        <v>45923</v>
      </c>
      <c r="D278" t="inlineStr">
        <is>
          <t>UPPSALA LÄN</t>
        </is>
      </c>
      <c r="E278" t="inlineStr">
        <is>
          <t>ENKÖPING</t>
        </is>
      </c>
      <c r="G278" t="n">
        <v>2.1</v>
      </c>
      <c r="H278" t="n">
        <v>0</v>
      </c>
      <c r="I278" t="n">
        <v>0</v>
      </c>
      <c r="J278" t="n">
        <v>0</v>
      </c>
      <c r="K278" t="n">
        <v>0</v>
      </c>
      <c r="L278" t="n">
        <v>0</v>
      </c>
      <c r="M278" t="n">
        <v>0</v>
      </c>
      <c r="N278" t="n">
        <v>0</v>
      </c>
      <c r="O278" t="n">
        <v>0</v>
      </c>
      <c r="P278" t="n">
        <v>0</v>
      </c>
      <c r="Q278" t="n">
        <v>0</v>
      </c>
      <c r="R278" s="2" t="inlineStr"/>
    </row>
    <row r="279" ht="15" customHeight="1">
      <c r="A279" t="inlineStr">
        <is>
          <t>A 37035-2023</t>
        </is>
      </c>
      <c r="B279" s="1" t="n">
        <v>45155</v>
      </c>
      <c r="C279" s="1" t="n">
        <v>45923</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56886-2023</t>
        </is>
      </c>
      <c r="B280" s="1" t="n">
        <v>45239</v>
      </c>
      <c r="C280" s="1" t="n">
        <v>45923</v>
      </c>
      <c r="D280" t="inlineStr">
        <is>
          <t>UPPSALA LÄN</t>
        </is>
      </c>
      <c r="E280" t="inlineStr">
        <is>
          <t>ENKÖPING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46186-2023</t>
        </is>
      </c>
      <c r="B281" s="1" t="n">
        <v>45196</v>
      </c>
      <c r="C281" s="1" t="n">
        <v>45923</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15162-2025</t>
        </is>
      </c>
      <c r="B282" s="1" t="n">
        <v>45744</v>
      </c>
      <c r="C282" s="1" t="n">
        <v>45923</v>
      </c>
      <c r="D282" t="inlineStr">
        <is>
          <t>UPPSALA LÄN</t>
        </is>
      </c>
      <c r="E282" t="inlineStr">
        <is>
          <t>ENKÖPING</t>
        </is>
      </c>
      <c r="G282" t="n">
        <v>4.2</v>
      </c>
      <c r="H282" t="n">
        <v>0</v>
      </c>
      <c r="I282" t="n">
        <v>0</v>
      </c>
      <c r="J282" t="n">
        <v>0</v>
      </c>
      <c r="K282" t="n">
        <v>0</v>
      </c>
      <c r="L282" t="n">
        <v>0</v>
      </c>
      <c r="M282" t="n">
        <v>0</v>
      </c>
      <c r="N282" t="n">
        <v>0</v>
      </c>
      <c r="O282" t="n">
        <v>0</v>
      </c>
      <c r="P282" t="n">
        <v>0</v>
      </c>
      <c r="Q282" t="n">
        <v>0</v>
      </c>
      <c r="R282" s="2" t="inlineStr"/>
    </row>
    <row r="283" ht="15" customHeight="1">
      <c r="A283" t="inlineStr">
        <is>
          <t>A 51011-2024</t>
        </is>
      </c>
      <c r="B283" s="1" t="n">
        <v>45603.39427083333</v>
      </c>
      <c r="C283" s="1" t="n">
        <v>45923</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5013-2025</t>
        </is>
      </c>
      <c r="B284" s="1" t="n">
        <v>45691</v>
      </c>
      <c r="C284" s="1" t="n">
        <v>45923</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11503-2024</t>
        </is>
      </c>
      <c r="B285" s="1" t="n">
        <v>45372.68020833333</v>
      </c>
      <c r="C285" s="1" t="n">
        <v>45923</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18299-2025</t>
        </is>
      </c>
      <c r="B286" s="1" t="n">
        <v>45762</v>
      </c>
      <c r="C286" s="1" t="n">
        <v>45923</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6242-2025</t>
        </is>
      </c>
      <c r="B287" s="1" t="n">
        <v>45697</v>
      </c>
      <c r="C287" s="1" t="n">
        <v>45923</v>
      </c>
      <c r="D287" t="inlineStr">
        <is>
          <t>UPPSALA LÄN</t>
        </is>
      </c>
      <c r="E287" t="inlineStr">
        <is>
          <t>ENKÖPING</t>
        </is>
      </c>
      <c r="G287" t="n">
        <v>17.9</v>
      </c>
      <c r="H287" t="n">
        <v>0</v>
      </c>
      <c r="I287" t="n">
        <v>0</v>
      </c>
      <c r="J287" t="n">
        <v>0</v>
      </c>
      <c r="K287" t="n">
        <v>0</v>
      </c>
      <c r="L287" t="n">
        <v>0</v>
      </c>
      <c r="M287" t="n">
        <v>0</v>
      </c>
      <c r="N287" t="n">
        <v>0</v>
      </c>
      <c r="O287" t="n">
        <v>0</v>
      </c>
      <c r="P287" t="n">
        <v>0</v>
      </c>
      <c r="Q287" t="n">
        <v>0</v>
      </c>
      <c r="R287" s="2" t="inlineStr"/>
    </row>
    <row r="288" ht="15" customHeight="1">
      <c r="A288" t="inlineStr">
        <is>
          <t>A 6144-2024</t>
        </is>
      </c>
      <c r="B288" s="1" t="n">
        <v>45337.4684837963</v>
      </c>
      <c r="C288" s="1" t="n">
        <v>45923</v>
      </c>
      <c r="D288" t="inlineStr">
        <is>
          <t>UPPSALA LÄN</t>
        </is>
      </c>
      <c r="E288" t="inlineStr">
        <is>
          <t>ENKÖPING</t>
        </is>
      </c>
      <c r="G288" t="n">
        <v>13.8</v>
      </c>
      <c r="H288" t="n">
        <v>0</v>
      </c>
      <c r="I288" t="n">
        <v>0</v>
      </c>
      <c r="J288" t="n">
        <v>0</v>
      </c>
      <c r="K288" t="n">
        <v>0</v>
      </c>
      <c r="L288" t="n">
        <v>0</v>
      </c>
      <c r="M288" t="n">
        <v>0</v>
      </c>
      <c r="N288" t="n">
        <v>0</v>
      </c>
      <c r="O288" t="n">
        <v>0</v>
      </c>
      <c r="P288" t="n">
        <v>0</v>
      </c>
      <c r="Q288" t="n">
        <v>0</v>
      </c>
      <c r="R288" s="2" t="inlineStr"/>
    </row>
    <row r="289" ht="15" customHeight="1">
      <c r="A289" t="inlineStr">
        <is>
          <t>A 67984-2021</t>
        </is>
      </c>
      <c r="B289" s="1" t="n">
        <v>44525.70237268518</v>
      </c>
      <c r="C289" s="1" t="n">
        <v>45923</v>
      </c>
      <c r="D289" t="inlineStr">
        <is>
          <t>UPPSALA LÄN</t>
        </is>
      </c>
      <c r="E289" t="inlineStr">
        <is>
          <t>ENKÖPING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12102-2024</t>
        </is>
      </c>
      <c r="B290" s="1" t="n">
        <v>45377</v>
      </c>
      <c r="C290" s="1" t="n">
        <v>45923</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58961-2024</t>
        </is>
      </c>
      <c r="B291" s="1" t="n">
        <v>45636.585</v>
      </c>
      <c r="C291" s="1" t="n">
        <v>45923</v>
      </c>
      <c r="D291" t="inlineStr">
        <is>
          <t>UPPSALA LÄN</t>
        </is>
      </c>
      <c r="E291" t="inlineStr">
        <is>
          <t>ENKÖPING</t>
        </is>
      </c>
      <c r="G291" t="n">
        <v>4</v>
      </c>
      <c r="H291" t="n">
        <v>0</v>
      </c>
      <c r="I291" t="n">
        <v>0</v>
      </c>
      <c r="J291" t="n">
        <v>0</v>
      </c>
      <c r="K291" t="n">
        <v>0</v>
      </c>
      <c r="L291" t="n">
        <v>0</v>
      </c>
      <c r="M291" t="n">
        <v>0</v>
      </c>
      <c r="N291" t="n">
        <v>0</v>
      </c>
      <c r="O291" t="n">
        <v>0</v>
      </c>
      <c r="P291" t="n">
        <v>0</v>
      </c>
      <c r="Q291" t="n">
        <v>0</v>
      </c>
      <c r="R291" s="2" t="inlineStr"/>
    </row>
    <row r="292" ht="15" customHeight="1">
      <c r="A292" t="inlineStr">
        <is>
          <t>A 45283-2022</t>
        </is>
      </c>
      <c r="B292" s="1" t="n">
        <v>44844</v>
      </c>
      <c r="C292" s="1" t="n">
        <v>45923</v>
      </c>
      <c r="D292" t="inlineStr">
        <is>
          <t>UPPSALA LÄN</t>
        </is>
      </c>
      <c r="E292" t="inlineStr">
        <is>
          <t>ENKÖPING</t>
        </is>
      </c>
      <c r="G292" t="n">
        <v>5.9</v>
      </c>
      <c r="H292" t="n">
        <v>0</v>
      </c>
      <c r="I292" t="n">
        <v>0</v>
      </c>
      <c r="J292" t="n">
        <v>0</v>
      </c>
      <c r="K292" t="n">
        <v>0</v>
      </c>
      <c r="L292" t="n">
        <v>0</v>
      </c>
      <c r="M292" t="n">
        <v>0</v>
      </c>
      <c r="N292" t="n">
        <v>0</v>
      </c>
      <c r="O292" t="n">
        <v>0</v>
      </c>
      <c r="P292" t="n">
        <v>0</v>
      </c>
      <c r="Q292" t="n">
        <v>0</v>
      </c>
      <c r="R292" s="2" t="inlineStr"/>
    </row>
    <row r="293" ht="15" customHeight="1">
      <c r="A293" t="inlineStr">
        <is>
          <t>A 845-2025</t>
        </is>
      </c>
      <c r="B293" s="1" t="n">
        <v>45665</v>
      </c>
      <c r="C293" s="1" t="n">
        <v>45923</v>
      </c>
      <c r="D293" t="inlineStr">
        <is>
          <t>UPPSALA LÄN</t>
        </is>
      </c>
      <c r="E293" t="inlineStr">
        <is>
          <t>ENKÖPING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849-2025</t>
        </is>
      </c>
      <c r="B294" s="1" t="n">
        <v>45665</v>
      </c>
      <c r="C294" s="1" t="n">
        <v>45923</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18592-2021</t>
        </is>
      </c>
      <c r="B295" s="1" t="n">
        <v>44306</v>
      </c>
      <c r="C295" s="1" t="n">
        <v>45923</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11918-2025</t>
        </is>
      </c>
      <c r="B296" s="1" t="n">
        <v>45728.49331018519</v>
      </c>
      <c r="C296" s="1" t="n">
        <v>45923</v>
      </c>
      <c r="D296" t="inlineStr">
        <is>
          <t>UPPSALA LÄN</t>
        </is>
      </c>
      <c r="E296" t="inlineStr">
        <is>
          <t>ENKÖPING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52169-2020</t>
        </is>
      </c>
      <c r="B297" s="1" t="n">
        <v>44117</v>
      </c>
      <c r="C297" s="1" t="n">
        <v>45923</v>
      </c>
      <c r="D297" t="inlineStr">
        <is>
          <t>UPPSALA LÄN</t>
        </is>
      </c>
      <c r="E297" t="inlineStr">
        <is>
          <t>ENKÖPING</t>
        </is>
      </c>
      <c r="F297" t="inlineStr">
        <is>
          <t>Allmännings- och besparingsskogar</t>
        </is>
      </c>
      <c r="G297" t="n">
        <v>1.5</v>
      </c>
      <c r="H297" t="n">
        <v>0</v>
      </c>
      <c r="I297" t="n">
        <v>0</v>
      </c>
      <c r="J297" t="n">
        <v>0</v>
      </c>
      <c r="K297" t="n">
        <v>0</v>
      </c>
      <c r="L297" t="n">
        <v>0</v>
      </c>
      <c r="M297" t="n">
        <v>0</v>
      </c>
      <c r="N297" t="n">
        <v>0</v>
      </c>
      <c r="O297" t="n">
        <v>0</v>
      </c>
      <c r="P297" t="n">
        <v>0</v>
      </c>
      <c r="Q297" t="n">
        <v>0</v>
      </c>
      <c r="R297" s="2" t="inlineStr"/>
    </row>
    <row r="298" ht="15" customHeight="1">
      <c r="A298" t="inlineStr">
        <is>
          <t>A 43896-2022</t>
        </is>
      </c>
      <c r="B298" s="1" t="n">
        <v>44838</v>
      </c>
      <c r="C298" s="1" t="n">
        <v>45923</v>
      </c>
      <c r="D298" t="inlineStr">
        <is>
          <t>UPPSALA LÄN</t>
        </is>
      </c>
      <c r="E298" t="inlineStr">
        <is>
          <t>ENKÖPING</t>
        </is>
      </c>
      <c r="G298" t="n">
        <v>5.3</v>
      </c>
      <c r="H298" t="n">
        <v>0</v>
      </c>
      <c r="I298" t="n">
        <v>0</v>
      </c>
      <c r="J298" t="n">
        <v>0</v>
      </c>
      <c r="K298" t="n">
        <v>0</v>
      </c>
      <c r="L298" t="n">
        <v>0</v>
      </c>
      <c r="M298" t="n">
        <v>0</v>
      </c>
      <c r="N298" t="n">
        <v>0</v>
      </c>
      <c r="O298" t="n">
        <v>0</v>
      </c>
      <c r="P298" t="n">
        <v>0</v>
      </c>
      <c r="Q298" t="n">
        <v>0</v>
      </c>
      <c r="R298" s="2" t="inlineStr"/>
    </row>
    <row r="299" ht="15" customHeight="1">
      <c r="A299" t="inlineStr">
        <is>
          <t>A 20440-2025</t>
        </is>
      </c>
      <c r="B299" s="1" t="n">
        <v>45775</v>
      </c>
      <c r="C299" s="1" t="n">
        <v>45923</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58147-2024</t>
        </is>
      </c>
      <c r="B300" s="1" t="n">
        <v>45632.4334375</v>
      </c>
      <c r="C300" s="1" t="n">
        <v>45923</v>
      </c>
      <c r="D300" t="inlineStr">
        <is>
          <t>UPPSALA LÄN</t>
        </is>
      </c>
      <c r="E300" t="inlineStr">
        <is>
          <t>ENKÖPING</t>
        </is>
      </c>
      <c r="G300" t="n">
        <v>3</v>
      </c>
      <c r="H300" t="n">
        <v>0</v>
      </c>
      <c r="I300" t="n">
        <v>0</v>
      </c>
      <c r="J300" t="n">
        <v>0</v>
      </c>
      <c r="K300" t="n">
        <v>0</v>
      </c>
      <c r="L300" t="n">
        <v>0</v>
      </c>
      <c r="M300" t="n">
        <v>0</v>
      </c>
      <c r="N300" t="n">
        <v>0</v>
      </c>
      <c r="O300" t="n">
        <v>0</v>
      </c>
      <c r="P300" t="n">
        <v>0</v>
      </c>
      <c r="Q300" t="n">
        <v>0</v>
      </c>
      <c r="R300" s="2" t="inlineStr"/>
    </row>
    <row r="301" ht="15" customHeight="1">
      <c r="A301" t="inlineStr">
        <is>
          <t>A 41737-2022</t>
        </is>
      </c>
      <c r="B301" s="1" t="n">
        <v>44827.63826388889</v>
      </c>
      <c r="C301" s="1" t="n">
        <v>45923</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18302-2025</t>
        </is>
      </c>
      <c r="B302" s="1" t="n">
        <v>45762</v>
      </c>
      <c r="C302" s="1" t="n">
        <v>45923</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34735-2023</t>
        </is>
      </c>
      <c r="B303" s="1" t="n">
        <v>45139</v>
      </c>
      <c r="C303" s="1" t="n">
        <v>45923</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54595-2021</t>
        </is>
      </c>
      <c r="B304" s="1" t="n">
        <v>44473.58824074074</v>
      </c>
      <c r="C304" s="1" t="n">
        <v>45923</v>
      </c>
      <c r="D304" t="inlineStr">
        <is>
          <t>UPPSALA LÄN</t>
        </is>
      </c>
      <c r="E304" t="inlineStr">
        <is>
          <t>ENKÖPING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22094-2023</t>
        </is>
      </c>
      <c r="B305" s="1" t="n">
        <v>45069</v>
      </c>
      <c r="C305" s="1" t="n">
        <v>45923</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45923</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24962-2023</t>
        </is>
      </c>
      <c r="B307" s="1" t="n">
        <v>45085.60123842592</v>
      </c>
      <c r="C307" s="1" t="n">
        <v>45923</v>
      </c>
      <c r="D307" t="inlineStr">
        <is>
          <t>UPPSALA LÄN</t>
        </is>
      </c>
      <c r="E307" t="inlineStr">
        <is>
          <t>ENKÖPING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44131-2023</t>
        </is>
      </c>
      <c r="B308" s="1" t="n">
        <v>45188</v>
      </c>
      <c r="C308" s="1" t="n">
        <v>45923</v>
      </c>
      <c r="D308" t="inlineStr">
        <is>
          <t>UPPSALA LÄN</t>
        </is>
      </c>
      <c r="E308" t="inlineStr">
        <is>
          <t>ENKÖPING</t>
        </is>
      </c>
      <c r="G308" t="n">
        <v>0.3</v>
      </c>
      <c r="H308" t="n">
        <v>0</v>
      </c>
      <c r="I308" t="n">
        <v>0</v>
      </c>
      <c r="J308" t="n">
        <v>0</v>
      </c>
      <c r="K308" t="n">
        <v>0</v>
      </c>
      <c r="L308" t="n">
        <v>0</v>
      </c>
      <c r="M308" t="n">
        <v>0</v>
      </c>
      <c r="N308" t="n">
        <v>0</v>
      </c>
      <c r="O308" t="n">
        <v>0</v>
      </c>
      <c r="P308" t="n">
        <v>0</v>
      </c>
      <c r="Q308" t="n">
        <v>0</v>
      </c>
      <c r="R308" s="2" t="inlineStr"/>
    </row>
    <row r="309" ht="15" customHeight="1">
      <c r="A309" t="inlineStr">
        <is>
          <t>A 29482-2022</t>
        </is>
      </c>
      <c r="B309" s="1" t="n">
        <v>44753.57703703704</v>
      </c>
      <c r="C309" s="1" t="n">
        <v>45923</v>
      </c>
      <c r="D309" t="inlineStr">
        <is>
          <t>UPPSALA LÄN</t>
        </is>
      </c>
      <c r="E309" t="inlineStr">
        <is>
          <t>ENKÖPING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29483-2022</t>
        </is>
      </c>
      <c r="B310" s="1" t="n">
        <v>44753.57829861111</v>
      </c>
      <c r="C310" s="1" t="n">
        <v>45923</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37170-2021</t>
        </is>
      </c>
      <c r="B311" s="1" t="n">
        <v>44395</v>
      </c>
      <c r="C311" s="1" t="n">
        <v>45923</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53343-2020</t>
        </is>
      </c>
      <c r="B312" s="1" t="n">
        <v>44123.53505787037</v>
      </c>
      <c r="C312" s="1" t="n">
        <v>45923</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45923</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53496-2022</t>
        </is>
      </c>
      <c r="B314" s="1" t="n">
        <v>44879.57217592592</v>
      </c>
      <c r="C314" s="1" t="n">
        <v>45923</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7870-2024</t>
        </is>
      </c>
      <c r="B315" s="1" t="n">
        <v>45350.33349537037</v>
      </c>
      <c r="C315" s="1" t="n">
        <v>45923</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28243-2023</t>
        </is>
      </c>
      <c r="B316" s="1" t="n">
        <v>45099.58885416666</v>
      </c>
      <c r="C316" s="1" t="n">
        <v>45923</v>
      </c>
      <c r="D316" t="inlineStr">
        <is>
          <t>UPPSALA LÄN</t>
        </is>
      </c>
      <c r="E316" t="inlineStr">
        <is>
          <t>ENKÖPING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10829-2024</t>
        </is>
      </c>
      <c r="B317" s="1" t="n">
        <v>45369</v>
      </c>
      <c r="C317" s="1" t="n">
        <v>45923</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2161-2023</t>
        </is>
      </c>
      <c r="B318" s="1" t="n">
        <v>44941</v>
      </c>
      <c r="C318" s="1" t="n">
        <v>45923</v>
      </c>
      <c r="D318" t="inlineStr">
        <is>
          <t>UPPSALA LÄN</t>
        </is>
      </c>
      <c r="E318" t="inlineStr">
        <is>
          <t>ENKÖPING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2165-2023</t>
        </is>
      </c>
      <c r="B319" s="1" t="n">
        <v>44941</v>
      </c>
      <c r="C319" s="1" t="n">
        <v>45923</v>
      </c>
      <c r="D319" t="inlineStr">
        <is>
          <t>UPPSALA LÄN</t>
        </is>
      </c>
      <c r="E319" t="inlineStr">
        <is>
          <t>ENKÖPING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8306-2021</t>
        </is>
      </c>
      <c r="B320" s="1" t="n">
        <v>44244</v>
      </c>
      <c r="C320" s="1" t="n">
        <v>45923</v>
      </c>
      <c r="D320" t="inlineStr">
        <is>
          <t>UPPSALA LÄN</t>
        </is>
      </c>
      <c r="E320" t="inlineStr">
        <is>
          <t>ENKÖPING</t>
        </is>
      </c>
      <c r="G320" t="n">
        <v>14.9</v>
      </c>
      <c r="H320" t="n">
        <v>0</v>
      </c>
      <c r="I320" t="n">
        <v>0</v>
      </c>
      <c r="J320" t="n">
        <v>0</v>
      </c>
      <c r="K320" t="n">
        <v>0</v>
      </c>
      <c r="L320" t="n">
        <v>0</v>
      </c>
      <c r="M320" t="n">
        <v>0</v>
      </c>
      <c r="N320" t="n">
        <v>0</v>
      </c>
      <c r="O320" t="n">
        <v>0</v>
      </c>
      <c r="P320" t="n">
        <v>0</v>
      </c>
      <c r="Q320" t="n">
        <v>0</v>
      </c>
      <c r="R320" s="2" t="inlineStr"/>
    </row>
    <row r="321" ht="15" customHeight="1">
      <c r="A321" t="inlineStr">
        <is>
          <t>A 57209-2024</t>
        </is>
      </c>
      <c r="B321" s="1" t="n">
        <v>45629.49311342592</v>
      </c>
      <c r="C321" s="1" t="n">
        <v>45923</v>
      </c>
      <c r="D321" t="inlineStr">
        <is>
          <t>UPPSALA LÄN</t>
        </is>
      </c>
      <c r="E321" t="inlineStr">
        <is>
          <t>ENKÖPING</t>
        </is>
      </c>
      <c r="G321" t="n">
        <v>3.2</v>
      </c>
      <c r="H321" t="n">
        <v>0</v>
      </c>
      <c r="I321" t="n">
        <v>0</v>
      </c>
      <c r="J321" t="n">
        <v>0</v>
      </c>
      <c r="K321" t="n">
        <v>0</v>
      </c>
      <c r="L321" t="n">
        <v>0</v>
      </c>
      <c r="M321" t="n">
        <v>0</v>
      </c>
      <c r="N321" t="n">
        <v>0</v>
      </c>
      <c r="O321" t="n">
        <v>0</v>
      </c>
      <c r="P321" t="n">
        <v>0</v>
      </c>
      <c r="Q321" t="n">
        <v>0</v>
      </c>
      <c r="R321" s="2" t="inlineStr"/>
    </row>
    <row r="322" ht="15" customHeight="1">
      <c r="A322" t="inlineStr">
        <is>
          <t>A 13110-2023</t>
        </is>
      </c>
      <c r="B322" s="1" t="n">
        <v>45001</v>
      </c>
      <c r="C322" s="1" t="n">
        <v>45923</v>
      </c>
      <c r="D322" t="inlineStr">
        <is>
          <t>UPPSALA LÄN</t>
        </is>
      </c>
      <c r="E322" t="inlineStr">
        <is>
          <t>ENKÖPING</t>
        </is>
      </c>
      <c r="G322" t="n">
        <v>2.5</v>
      </c>
      <c r="H322" t="n">
        <v>0</v>
      </c>
      <c r="I322" t="n">
        <v>0</v>
      </c>
      <c r="J322" t="n">
        <v>0</v>
      </c>
      <c r="K322" t="n">
        <v>0</v>
      </c>
      <c r="L322" t="n">
        <v>0</v>
      </c>
      <c r="M322" t="n">
        <v>0</v>
      </c>
      <c r="N322" t="n">
        <v>0</v>
      </c>
      <c r="O322" t="n">
        <v>0</v>
      </c>
      <c r="P322" t="n">
        <v>0</v>
      </c>
      <c r="Q322" t="n">
        <v>0</v>
      </c>
      <c r="R322" s="2" t="inlineStr"/>
    </row>
    <row r="323" ht="15" customHeight="1">
      <c r="A323" t="inlineStr">
        <is>
          <t>A 49627-2024</t>
        </is>
      </c>
      <c r="B323" s="1" t="n">
        <v>45596.59140046296</v>
      </c>
      <c r="C323" s="1" t="n">
        <v>45923</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9231-2023</t>
        </is>
      </c>
      <c r="B324" s="1" t="n">
        <v>44980</v>
      </c>
      <c r="C324" s="1" t="n">
        <v>45923</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27538-2023</t>
        </is>
      </c>
      <c r="B325" s="1" t="n">
        <v>45097</v>
      </c>
      <c r="C325" s="1" t="n">
        <v>45923</v>
      </c>
      <c r="D325" t="inlineStr">
        <is>
          <t>UPPSALA LÄN</t>
        </is>
      </c>
      <c r="E325" t="inlineStr">
        <is>
          <t>ENKÖPING</t>
        </is>
      </c>
      <c r="G325" t="n">
        <v>5.8</v>
      </c>
      <c r="H325" t="n">
        <v>0</v>
      </c>
      <c r="I325" t="n">
        <v>0</v>
      </c>
      <c r="J325" t="n">
        <v>0</v>
      </c>
      <c r="K325" t="n">
        <v>0</v>
      </c>
      <c r="L325" t="n">
        <v>0</v>
      </c>
      <c r="M325" t="n">
        <v>0</v>
      </c>
      <c r="N325" t="n">
        <v>0</v>
      </c>
      <c r="O325" t="n">
        <v>0</v>
      </c>
      <c r="P325" t="n">
        <v>0</v>
      </c>
      <c r="Q325" t="n">
        <v>0</v>
      </c>
      <c r="R325" s="2" t="inlineStr"/>
    </row>
    <row r="326" ht="15" customHeight="1">
      <c r="A326" t="inlineStr">
        <is>
          <t>A 2850-2025</t>
        </is>
      </c>
      <c r="B326" s="1" t="n">
        <v>45677</v>
      </c>
      <c r="C326" s="1" t="n">
        <v>45923</v>
      </c>
      <c r="D326" t="inlineStr">
        <is>
          <t>UPPSALA LÄN</t>
        </is>
      </c>
      <c r="E326" t="inlineStr">
        <is>
          <t>ENKÖPING</t>
        </is>
      </c>
      <c r="G326" t="n">
        <v>0.3</v>
      </c>
      <c r="H326" t="n">
        <v>0</v>
      </c>
      <c r="I326" t="n">
        <v>0</v>
      </c>
      <c r="J326" t="n">
        <v>0</v>
      </c>
      <c r="K326" t="n">
        <v>0</v>
      </c>
      <c r="L326" t="n">
        <v>0</v>
      </c>
      <c r="M326" t="n">
        <v>0</v>
      </c>
      <c r="N326" t="n">
        <v>0</v>
      </c>
      <c r="O326" t="n">
        <v>0</v>
      </c>
      <c r="P326" t="n">
        <v>0</v>
      </c>
      <c r="Q326" t="n">
        <v>0</v>
      </c>
      <c r="R326" s="2" t="inlineStr"/>
    </row>
    <row r="327" ht="15" customHeight="1">
      <c r="A327" t="inlineStr">
        <is>
          <t>A 18821-2023</t>
        </is>
      </c>
      <c r="B327" s="1" t="n">
        <v>45044.3782175926</v>
      </c>
      <c r="C327" s="1" t="n">
        <v>45923</v>
      </c>
      <c r="D327" t="inlineStr">
        <is>
          <t>UPPSALA LÄN</t>
        </is>
      </c>
      <c r="E327" t="inlineStr">
        <is>
          <t>ENKÖPING</t>
        </is>
      </c>
      <c r="G327" t="n">
        <v>6</v>
      </c>
      <c r="H327" t="n">
        <v>0</v>
      </c>
      <c r="I327" t="n">
        <v>0</v>
      </c>
      <c r="J327" t="n">
        <v>0</v>
      </c>
      <c r="K327" t="n">
        <v>0</v>
      </c>
      <c r="L327" t="n">
        <v>0</v>
      </c>
      <c r="M327" t="n">
        <v>0</v>
      </c>
      <c r="N327" t="n">
        <v>0</v>
      </c>
      <c r="O327" t="n">
        <v>0</v>
      </c>
      <c r="P327" t="n">
        <v>0</v>
      </c>
      <c r="Q327" t="n">
        <v>0</v>
      </c>
      <c r="R327" s="2" t="inlineStr"/>
    </row>
    <row r="328" ht="15" customHeight="1">
      <c r="A328" t="inlineStr">
        <is>
          <t>A 13853-2023</t>
        </is>
      </c>
      <c r="B328" s="1" t="n">
        <v>45007</v>
      </c>
      <c r="C328" s="1" t="n">
        <v>45923</v>
      </c>
      <c r="D328" t="inlineStr">
        <is>
          <t>UPPSALA LÄN</t>
        </is>
      </c>
      <c r="E328" t="inlineStr">
        <is>
          <t>ENKÖPING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52380-2024</t>
        </is>
      </c>
      <c r="B329" s="1" t="n">
        <v>45609</v>
      </c>
      <c r="C329" s="1" t="n">
        <v>45923</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9041-2023</t>
        </is>
      </c>
      <c r="B330" s="1" t="n">
        <v>44979</v>
      </c>
      <c r="C330" s="1" t="n">
        <v>45923</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27786-2023</t>
        </is>
      </c>
      <c r="B331" s="1" t="n">
        <v>45098</v>
      </c>
      <c r="C331" s="1" t="n">
        <v>45923</v>
      </c>
      <c r="D331" t="inlineStr">
        <is>
          <t>UPPSALA LÄN</t>
        </is>
      </c>
      <c r="E331" t="inlineStr">
        <is>
          <t>ENKÖPING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63310-2021</t>
        </is>
      </c>
      <c r="B332" s="1" t="n">
        <v>44508</v>
      </c>
      <c r="C332" s="1" t="n">
        <v>45923</v>
      </c>
      <c r="D332" t="inlineStr">
        <is>
          <t>UPPSALA LÄN</t>
        </is>
      </c>
      <c r="E332" t="inlineStr">
        <is>
          <t>ENKÖPING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61106-2022</t>
        </is>
      </c>
      <c r="B333" s="1" t="n">
        <v>44915.4128587963</v>
      </c>
      <c r="C333" s="1" t="n">
        <v>45923</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15942-2022</t>
        </is>
      </c>
      <c r="B334" s="1" t="n">
        <v>44664</v>
      </c>
      <c r="C334" s="1" t="n">
        <v>45923</v>
      </c>
      <c r="D334" t="inlineStr">
        <is>
          <t>UPPSALA LÄN</t>
        </is>
      </c>
      <c r="E334" t="inlineStr">
        <is>
          <t>ENKÖPING</t>
        </is>
      </c>
      <c r="G334" t="n">
        <v>6.6</v>
      </c>
      <c r="H334" t="n">
        <v>0</v>
      </c>
      <c r="I334" t="n">
        <v>0</v>
      </c>
      <c r="J334" t="n">
        <v>0</v>
      </c>
      <c r="K334" t="n">
        <v>0</v>
      </c>
      <c r="L334" t="n">
        <v>0</v>
      </c>
      <c r="M334" t="n">
        <v>0</v>
      </c>
      <c r="N334" t="n">
        <v>0</v>
      </c>
      <c r="O334" t="n">
        <v>0</v>
      </c>
      <c r="P334" t="n">
        <v>0</v>
      </c>
      <c r="Q334" t="n">
        <v>0</v>
      </c>
      <c r="R334" s="2" t="inlineStr"/>
    </row>
    <row r="335" ht="15" customHeight="1">
      <c r="A335" t="inlineStr">
        <is>
          <t>A 9171-2024</t>
        </is>
      </c>
      <c r="B335" s="1" t="n">
        <v>45358</v>
      </c>
      <c r="C335" s="1" t="n">
        <v>45923</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50006-2023</t>
        </is>
      </c>
      <c r="B336" s="1" t="n">
        <v>45215</v>
      </c>
      <c r="C336" s="1" t="n">
        <v>45923</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671-2022</t>
        </is>
      </c>
      <c r="B337" s="1" t="n">
        <v>44568</v>
      </c>
      <c r="C337" s="1" t="n">
        <v>45923</v>
      </c>
      <c r="D337" t="inlineStr">
        <is>
          <t>UPPSALA LÄN</t>
        </is>
      </c>
      <c r="E337" t="inlineStr">
        <is>
          <t>ENKÖPING</t>
        </is>
      </c>
      <c r="G337" t="n">
        <v>3.5</v>
      </c>
      <c r="H337" t="n">
        <v>0</v>
      </c>
      <c r="I337" t="n">
        <v>0</v>
      </c>
      <c r="J337" t="n">
        <v>0</v>
      </c>
      <c r="K337" t="n">
        <v>0</v>
      </c>
      <c r="L337" t="n">
        <v>0</v>
      </c>
      <c r="M337" t="n">
        <v>0</v>
      </c>
      <c r="N337" t="n">
        <v>0</v>
      </c>
      <c r="O337" t="n">
        <v>0</v>
      </c>
      <c r="P337" t="n">
        <v>0</v>
      </c>
      <c r="Q337" t="n">
        <v>0</v>
      </c>
      <c r="R337" s="2" t="inlineStr"/>
    </row>
    <row r="338" ht="15" customHeight="1">
      <c r="A338" t="inlineStr">
        <is>
          <t>A 11005-2023</t>
        </is>
      </c>
      <c r="B338" s="1" t="n">
        <v>44991</v>
      </c>
      <c r="C338" s="1" t="n">
        <v>45923</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53607-2023</t>
        </is>
      </c>
      <c r="B339" s="1" t="n">
        <v>45230</v>
      </c>
      <c r="C339" s="1" t="n">
        <v>45923</v>
      </c>
      <c r="D339" t="inlineStr">
        <is>
          <t>UPPSALA LÄN</t>
        </is>
      </c>
      <c r="E339" t="inlineStr">
        <is>
          <t>ENKÖPING</t>
        </is>
      </c>
      <c r="F339" t="inlineStr">
        <is>
          <t>Allmännings- och besparingsskogar</t>
        </is>
      </c>
      <c r="G339" t="n">
        <v>6.3</v>
      </c>
      <c r="H339" t="n">
        <v>0</v>
      </c>
      <c r="I339" t="n">
        <v>0</v>
      </c>
      <c r="J339" t="n">
        <v>0</v>
      </c>
      <c r="K339" t="n">
        <v>0</v>
      </c>
      <c r="L339" t="n">
        <v>0</v>
      </c>
      <c r="M339" t="n">
        <v>0</v>
      </c>
      <c r="N339" t="n">
        <v>0</v>
      </c>
      <c r="O339" t="n">
        <v>0</v>
      </c>
      <c r="P339" t="n">
        <v>0</v>
      </c>
      <c r="Q339" t="n">
        <v>0</v>
      </c>
      <c r="R339" s="2" t="inlineStr"/>
    </row>
    <row r="340" ht="15" customHeight="1">
      <c r="A340" t="inlineStr">
        <is>
          <t>A 59497-2022</t>
        </is>
      </c>
      <c r="B340" s="1" t="n">
        <v>44907.48258101852</v>
      </c>
      <c r="C340" s="1" t="n">
        <v>45923</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29918-2023</t>
        </is>
      </c>
      <c r="B341" s="1" t="n">
        <v>45099</v>
      </c>
      <c r="C341" s="1" t="n">
        <v>45923</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58384-2022</t>
        </is>
      </c>
      <c r="B342" s="1" t="n">
        <v>44901</v>
      </c>
      <c r="C342" s="1" t="n">
        <v>45923</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43016-2021</t>
        </is>
      </c>
      <c r="B343" s="1" t="n">
        <v>44431</v>
      </c>
      <c r="C343" s="1" t="n">
        <v>45923</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15893-2024</t>
        </is>
      </c>
      <c r="B344" s="1" t="n">
        <v>45405</v>
      </c>
      <c r="C344" s="1" t="n">
        <v>45923</v>
      </c>
      <c r="D344" t="inlineStr">
        <is>
          <t>UPPSALA LÄN</t>
        </is>
      </c>
      <c r="E344" t="inlineStr">
        <is>
          <t>ENKÖPING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33343-2024</t>
        </is>
      </c>
      <c r="B345" s="1" t="n">
        <v>45519</v>
      </c>
      <c r="C345" s="1" t="n">
        <v>45923</v>
      </c>
      <c r="D345" t="inlineStr">
        <is>
          <t>UPPSALA LÄN</t>
        </is>
      </c>
      <c r="E345" t="inlineStr">
        <is>
          <t>ENKÖPING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49614-2024</t>
        </is>
      </c>
      <c r="B346" s="1" t="n">
        <v>45596.57716435185</v>
      </c>
      <c r="C346" s="1" t="n">
        <v>45923</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49632-2024</t>
        </is>
      </c>
      <c r="B347" s="1" t="n">
        <v>45596</v>
      </c>
      <c r="C347" s="1" t="n">
        <v>45923</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45923</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57153-2021</t>
        </is>
      </c>
      <c r="B349" s="1" t="n">
        <v>44482</v>
      </c>
      <c r="C349" s="1" t="n">
        <v>45923</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5188-2022</t>
        </is>
      </c>
      <c r="B350" s="1" t="n">
        <v>44594.4471412037</v>
      </c>
      <c r="C350" s="1" t="n">
        <v>45923</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51027-2024</t>
        </is>
      </c>
      <c r="B351" s="1" t="n">
        <v>45603</v>
      </c>
      <c r="C351" s="1" t="n">
        <v>45923</v>
      </c>
      <c r="D351" t="inlineStr">
        <is>
          <t>UPPSALA LÄN</t>
        </is>
      </c>
      <c r="E351" t="inlineStr">
        <is>
          <t>ENKÖPING</t>
        </is>
      </c>
      <c r="G351" t="n">
        <v>3.5</v>
      </c>
      <c r="H351" t="n">
        <v>0</v>
      </c>
      <c r="I351" t="n">
        <v>0</v>
      </c>
      <c r="J351" t="n">
        <v>0</v>
      </c>
      <c r="K351" t="n">
        <v>0</v>
      </c>
      <c r="L351" t="n">
        <v>0</v>
      </c>
      <c r="M351" t="n">
        <v>0</v>
      </c>
      <c r="N351" t="n">
        <v>0</v>
      </c>
      <c r="O351" t="n">
        <v>0</v>
      </c>
      <c r="P351" t="n">
        <v>0</v>
      </c>
      <c r="Q351" t="n">
        <v>0</v>
      </c>
      <c r="R351" s="2" t="inlineStr"/>
    </row>
    <row r="352" ht="15" customHeight="1">
      <c r="A352" t="inlineStr">
        <is>
          <t>A 51030-2024</t>
        </is>
      </c>
      <c r="B352" s="1" t="n">
        <v>45603</v>
      </c>
      <c r="C352" s="1" t="n">
        <v>45923</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19014-2025</t>
        </is>
      </c>
      <c r="B353" s="1" t="n">
        <v>45764.59631944444</v>
      </c>
      <c r="C353" s="1" t="n">
        <v>45923</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43691-2024</t>
        </is>
      </c>
      <c r="B354" s="1" t="n">
        <v>45569</v>
      </c>
      <c r="C354" s="1" t="n">
        <v>45923</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15405-2025</t>
        </is>
      </c>
      <c r="B355" s="1" t="n">
        <v>45747.44670138889</v>
      </c>
      <c r="C355" s="1" t="n">
        <v>45923</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12878-2025</t>
        </is>
      </c>
      <c r="B356" s="1" t="n">
        <v>45733.68571759259</v>
      </c>
      <c r="C356" s="1" t="n">
        <v>45923</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19376-2024</t>
        </is>
      </c>
      <c r="B357" s="1" t="n">
        <v>45429</v>
      </c>
      <c r="C357" s="1" t="n">
        <v>45923</v>
      </c>
      <c r="D357" t="inlineStr">
        <is>
          <t>UPPSALA LÄN</t>
        </is>
      </c>
      <c r="E357" t="inlineStr">
        <is>
          <t>ENKÖPING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33670-2024</t>
        </is>
      </c>
      <c r="B358" s="1" t="n">
        <v>45520</v>
      </c>
      <c r="C358" s="1" t="n">
        <v>45923</v>
      </c>
      <c r="D358" t="inlineStr">
        <is>
          <t>UPPSALA LÄN</t>
        </is>
      </c>
      <c r="E358" t="inlineStr">
        <is>
          <t>ENKÖPING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52889-2022</t>
        </is>
      </c>
      <c r="B359" s="1" t="n">
        <v>44875</v>
      </c>
      <c r="C359" s="1" t="n">
        <v>45923</v>
      </c>
      <c r="D359" t="inlineStr">
        <is>
          <t>UPPSALA LÄN</t>
        </is>
      </c>
      <c r="E359" t="inlineStr">
        <is>
          <t>ENKÖPING</t>
        </is>
      </c>
      <c r="G359" t="n">
        <v>1.7</v>
      </c>
      <c r="H359" t="n">
        <v>0</v>
      </c>
      <c r="I359" t="n">
        <v>0</v>
      </c>
      <c r="J359" t="n">
        <v>0</v>
      </c>
      <c r="K359" t="n">
        <v>0</v>
      </c>
      <c r="L359" t="n">
        <v>0</v>
      </c>
      <c r="M359" t="n">
        <v>0</v>
      </c>
      <c r="N359" t="n">
        <v>0</v>
      </c>
      <c r="O359" t="n">
        <v>0</v>
      </c>
      <c r="P359" t="n">
        <v>0</v>
      </c>
      <c r="Q359" t="n">
        <v>0</v>
      </c>
      <c r="R359" s="2" t="inlineStr"/>
    </row>
    <row r="360" ht="15" customHeight="1">
      <c r="A360" t="inlineStr">
        <is>
          <t>A 19147-2024</t>
        </is>
      </c>
      <c r="B360" s="1" t="n">
        <v>45428</v>
      </c>
      <c r="C360" s="1" t="n">
        <v>45923</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47681-2024</t>
        </is>
      </c>
      <c r="B361" s="1" t="n">
        <v>45588</v>
      </c>
      <c r="C361" s="1" t="n">
        <v>45923</v>
      </c>
      <c r="D361" t="inlineStr">
        <is>
          <t>UPPSALA LÄN</t>
        </is>
      </c>
      <c r="E361" t="inlineStr">
        <is>
          <t>ENKÖPING</t>
        </is>
      </c>
      <c r="G361" t="n">
        <v>4.2</v>
      </c>
      <c r="H361" t="n">
        <v>0</v>
      </c>
      <c r="I361" t="n">
        <v>0</v>
      </c>
      <c r="J361" t="n">
        <v>0</v>
      </c>
      <c r="K361" t="n">
        <v>0</v>
      </c>
      <c r="L361" t="n">
        <v>0</v>
      </c>
      <c r="M361" t="n">
        <v>0</v>
      </c>
      <c r="N361" t="n">
        <v>0</v>
      </c>
      <c r="O361" t="n">
        <v>0</v>
      </c>
      <c r="P361" t="n">
        <v>0</v>
      </c>
      <c r="Q361" t="n">
        <v>0</v>
      </c>
      <c r="R361" s="2" t="inlineStr"/>
    </row>
    <row r="362" ht="15" customHeight="1">
      <c r="A362" t="inlineStr">
        <is>
          <t>A 12754-2025</t>
        </is>
      </c>
      <c r="B362" s="1" t="n">
        <v>45733.56331018519</v>
      </c>
      <c r="C362" s="1" t="n">
        <v>45923</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54588-2024</t>
        </is>
      </c>
      <c r="B363" s="1" t="n">
        <v>45617</v>
      </c>
      <c r="C363" s="1" t="n">
        <v>45923</v>
      </c>
      <c r="D363" t="inlineStr">
        <is>
          <t>UPPSALA LÄN</t>
        </is>
      </c>
      <c r="E363" t="inlineStr">
        <is>
          <t>ENKÖPING</t>
        </is>
      </c>
      <c r="G363" t="n">
        <v>3.7</v>
      </c>
      <c r="H363" t="n">
        <v>0</v>
      </c>
      <c r="I363" t="n">
        <v>0</v>
      </c>
      <c r="J363" t="n">
        <v>0</v>
      </c>
      <c r="K363" t="n">
        <v>0</v>
      </c>
      <c r="L363" t="n">
        <v>0</v>
      </c>
      <c r="M363" t="n">
        <v>0</v>
      </c>
      <c r="N363" t="n">
        <v>0</v>
      </c>
      <c r="O363" t="n">
        <v>0</v>
      </c>
      <c r="P363" t="n">
        <v>0</v>
      </c>
      <c r="Q363" t="n">
        <v>0</v>
      </c>
      <c r="R363" s="2" t="inlineStr"/>
    </row>
    <row r="364" ht="15" customHeight="1">
      <c r="A364" t="inlineStr">
        <is>
          <t>A 56713-2024</t>
        </is>
      </c>
      <c r="B364" s="1" t="n">
        <v>45628</v>
      </c>
      <c r="C364" s="1" t="n">
        <v>45923</v>
      </c>
      <c r="D364" t="inlineStr">
        <is>
          <t>UPPSALA LÄN</t>
        </is>
      </c>
      <c r="E364" t="inlineStr">
        <is>
          <t>ENKÖPING</t>
        </is>
      </c>
      <c r="G364" t="n">
        <v>1.7</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45923</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51524-2022</t>
        </is>
      </c>
      <c r="B366" s="1" t="n">
        <v>44869</v>
      </c>
      <c r="C366" s="1" t="n">
        <v>45923</v>
      </c>
      <c r="D366" t="inlineStr">
        <is>
          <t>UPPSALA LÄN</t>
        </is>
      </c>
      <c r="E366" t="inlineStr">
        <is>
          <t>ENKÖPING</t>
        </is>
      </c>
      <c r="G366" t="n">
        <v>6.6</v>
      </c>
      <c r="H366" t="n">
        <v>0</v>
      </c>
      <c r="I366" t="n">
        <v>0</v>
      </c>
      <c r="J366" t="n">
        <v>0</v>
      </c>
      <c r="K366" t="n">
        <v>0</v>
      </c>
      <c r="L366" t="n">
        <v>0</v>
      </c>
      <c r="M366" t="n">
        <v>0</v>
      </c>
      <c r="N366" t="n">
        <v>0</v>
      </c>
      <c r="O366" t="n">
        <v>0</v>
      </c>
      <c r="P366" t="n">
        <v>0</v>
      </c>
      <c r="Q366" t="n">
        <v>0</v>
      </c>
      <c r="R366" s="2" t="inlineStr"/>
    </row>
    <row r="367" ht="15" customHeight="1">
      <c r="A367" t="inlineStr">
        <is>
          <t>A 8137-2025</t>
        </is>
      </c>
      <c r="B367" s="1" t="n">
        <v>45707.8561574074</v>
      </c>
      <c r="C367" s="1" t="n">
        <v>45923</v>
      </c>
      <c r="D367" t="inlineStr">
        <is>
          <t>UPPSALA LÄN</t>
        </is>
      </c>
      <c r="E367" t="inlineStr">
        <is>
          <t>ENKÖPING</t>
        </is>
      </c>
      <c r="G367" t="n">
        <v>0.4</v>
      </c>
      <c r="H367" t="n">
        <v>0</v>
      </c>
      <c r="I367" t="n">
        <v>0</v>
      </c>
      <c r="J367" t="n">
        <v>0</v>
      </c>
      <c r="K367" t="n">
        <v>0</v>
      </c>
      <c r="L367" t="n">
        <v>0</v>
      </c>
      <c r="M367" t="n">
        <v>0</v>
      </c>
      <c r="N367" t="n">
        <v>0</v>
      </c>
      <c r="O367" t="n">
        <v>0</v>
      </c>
      <c r="P367" t="n">
        <v>0</v>
      </c>
      <c r="Q367" t="n">
        <v>0</v>
      </c>
      <c r="R367" s="2" t="inlineStr"/>
    </row>
    <row r="368" ht="15" customHeight="1">
      <c r="A368" t="inlineStr">
        <is>
          <t>A 7868-2024</t>
        </is>
      </c>
      <c r="B368" s="1" t="n">
        <v>45350.33020833333</v>
      </c>
      <c r="C368" s="1" t="n">
        <v>45923</v>
      </c>
      <c r="D368" t="inlineStr">
        <is>
          <t>UPPSALA LÄN</t>
        </is>
      </c>
      <c r="E368" t="inlineStr">
        <is>
          <t>ENKÖPING</t>
        </is>
      </c>
      <c r="G368" t="n">
        <v>0.3</v>
      </c>
      <c r="H368" t="n">
        <v>0</v>
      </c>
      <c r="I368" t="n">
        <v>0</v>
      </c>
      <c r="J368" t="n">
        <v>0</v>
      </c>
      <c r="K368" t="n">
        <v>0</v>
      </c>
      <c r="L368" t="n">
        <v>0</v>
      </c>
      <c r="M368" t="n">
        <v>0</v>
      </c>
      <c r="N368" t="n">
        <v>0</v>
      </c>
      <c r="O368" t="n">
        <v>0</v>
      </c>
      <c r="P368" t="n">
        <v>0</v>
      </c>
      <c r="Q368" t="n">
        <v>0</v>
      </c>
      <c r="R368" s="2" t="inlineStr"/>
    </row>
    <row r="369" ht="15" customHeight="1">
      <c r="A369" t="inlineStr">
        <is>
          <t>A 57835-2024</t>
        </is>
      </c>
      <c r="B369" s="1" t="n">
        <v>45631.39947916667</v>
      </c>
      <c r="C369" s="1" t="n">
        <v>45923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21612-2023</t>
        </is>
      </c>
      <c r="B370" s="1" t="n">
        <v>45063</v>
      </c>
      <c r="C370" s="1" t="n">
        <v>45923</v>
      </c>
      <c r="D370" t="inlineStr">
        <is>
          <t>UPPSALA LÄN</t>
        </is>
      </c>
      <c r="E370" t="inlineStr">
        <is>
          <t>ENKÖPING</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39624-2023</t>
        </is>
      </c>
      <c r="B371" s="1" t="n">
        <v>45164</v>
      </c>
      <c r="C371" s="1" t="n">
        <v>45923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5892-2023</t>
        </is>
      </c>
      <c r="B372" s="1" t="n">
        <v>44963.64883101852</v>
      </c>
      <c r="C372" s="1" t="n">
        <v>45923</v>
      </c>
      <c r="D372" t="inlineStr">
        <is>
          <t>UPPSALA LÄN</t>
        </is>
      </c>
      <c r="E372" t="inlineStr">
        <is>
          <t>ENKÖPING</t>
        </is>
      </c>
      <c r="G372" t="n">
        <v>5.5</v>
      </c>
      <c r="H372" t="n">
        <v>0</v>
      </c>
      <c r="I372" t="n">
        <v>0</v>
      </c>
      <c r="J372" t="n">
        <v>0</v>
      </c>
      <c r="K372" t="n">
        <v>0</v>
      </c>
      <c r="L372" t="n">
        <v>0</v>
      </c>
      <c r="M372" t="n">
        <v>0</v>
      </c>
      <c r="N372" t="n">
        <v>0</v>
      </c>
      <c r="O372" t="n">
        <v>0</v>
      </c>
      <c r="P372" t="n">
        <v>0</v>
      </c>
      <c r="Q372" t="n">
        <v>0</v>
      </c>
      <c r="R372" s="2" t="inlineStr"/>
    </row>
    <row r="373" ht="15" customHeight="1">
      <c r="A373" t="inlineStr">
        <is>
          <t>A 39858-2024</t>
        </is>
      </c>
      <c r="B373" s="1" t="n">
        <v>45553</v>
      </c>
      <c r="C373" s="1" t="n">
        <v>45923</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51008-2024</t>
        </is>
      </c>
      <c r="B374" s="1" t="n">
        <v>45603.39041666667</v>
      </c>
      <c r="C374" s="1" t="n">
        <v>45923</v>
      </c>
      <c r="D374" t="inlineStr">
        <is>
          <t>UPPSALA LÄN</t>
        </is>
      </c>
      <c r="E374" t="inlineStr">
        <is>
          <t>ENKÖPING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35052-2024</t>
        </is>
      </c>
      <c r="B375" s="1" t="n">
        <v>45527.6516087963</v>
      </c>
      <c r="C375" s="1" t="n">
        <v>45923</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9957-2023</t>
        </is>
      </c>
      <c r="B376" s="1" t="n">
        <v>44978</v>
      </c>
      <c r="C376" s="1" t="n">
        <v>45923</v>
      </c>
      <c r="D376" t="inlineStr">
        <is>
          <t>UPPSALA LÄN</t>
        </is>
      </c>
      <c r="E376" t="inlineStr">
        <is>
          <t>ENKÖPING</t>
        </is>
      </c>
      <c r="G376" t="n">
        <v>5.9</v>
      </c>
      <c r="H376" t="n">
        <v>0</v>
      </c>
      <c r="I376" t="n">
        <v>0</v>
      </c>
      <c r="J376" t="n">
        <v>0</v>
      </c>
      <c r="K376" t="n">
        <v>0</v>
      </c>
      <c r="L376" t="n">
        <v>0</v>
      </c>
      <c r="M376" t="n">
        <v>0</v>
      </c>
      <c r="N376" t="n">
        <v>0</v>
      </c>
      <c r="O376" t="n">
        <v>0</v>
      </c>
      <c r="P376" t="n">
        <v>0</v>
      </c>
      <c r="Q376" t="n">
        <v>0</v>
      </c>
      <c r="R376" s="2" t="inlineStr"/>
    </row>
    <row r="377" ht="15" customHeight="1">
      <c r="A377" t="inlineStr">
        <is>
          <t>A 8152-2022</t>
        </is>
      </c>
      <c r="B377" s="1" t="n">
        <v>44609</v>
      </c>
      <c r="C377" s="1" t="n">
        <v>45923</v>
      </c>
      <c r="D377" t="inlineStr">
        <is>
          <t>UPPSALA LÄN</t>
        </is>
      </c>
      <c r="E377" t="inlineStr">
        <is>
          <t>ENKÖPING</t>
        </is>
      </c>
      <c r="F377" t="inlineStr">
        <is>
          <t>Kyrkan</t>
        </is>
      </c>
      <c r="G377" t="n">
        <v>1.3</v>
      </c>
      <c r="H377" t="n">
        <v>0</v>
      </c>
      <c r="I377" t="n">
        <v>0</v>
      </c>
      <c r="J377" t="n">
        <v>0</v>
      </c>
      <c r="K377" t="n">
        <v>0</v>
      </c>
      <c r="L377" t="n">
        <v>0</v>
      </c>
      <c r="M377" t="n">
        <v>0</v>
      </c>
      <c r="N377" t="n">
        <v>0</v>
      </c>
      <c r="O377" t="n">
        <v>0</v>
      </c>
      <c r="P377" t="n">
        <v>0</v>
      </c>
      <c r="Q377" t="n">
        <v>0</v>
      </c>
      <c r="R377" s="2" t="inlineStr"/>
    </row>
    <row r="378" ht="15" customHeight="1">
      <c r="A378" t="inlineStr">
        <is>
          <t>A 14518-2025</t>
        </is>
      </c>
      <c r="B378" s="1" t="n">
        <v>45741</v>
      </c>
      <c r="C378" s="1" t="n">
        <v>45923</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17657-2025</t>
        </is>
      </c>
      <c r="B379" s="1" t="n">
        <v>45758.35006944444</v>
      </c>
      <c r="C379" s="1" t="n">
        <v>45923</v>
      </c>
      <c r="D379" t="inlineStr">
        <is>
          <t>UPPSALA LÄN</t>
        </is>
      </c>
      <c r="E379" t="inlineStr">
        <is>
          <t>ENKÖPING</t>
        </is>
      </c>
      <c r="G379" t="n">
        <v>3</v>
      </c>
      <c r="H379" t="n">
        <v>0</v>
      </c>
      <c r="I379" t="n">
        <v>0</v>
      </c>
      <c r="J379" t="n">
        <v>0</v>
      </c>
      <c r="K379" t="n">
        <v>0</v>
      </c>
      <c r="L379" t="n">
        <v>0</v>
      </c>
      <c r="M379" t="n">
        <v>0</v>
      </c>
      <c r="N379" t="n">
        <v>0</v>
      </c>
      <c r="O379" t="n">
        <v>0</v>
      </c>
      <c r="P379" t="n">
        <v>0</v>
      </c>
      <c r="Q379" t="n">
        <v>0</v>
      </c>
      <c r="R379" s="2" t="inlineStr"/>
    </row>
    <row r="380" ht="15" customHeight="1">
      <c r="A380" t="inlineStr">
        <is>
          <t>A 54776-2024</t>
        </is>
      </c>
      <c r="B380" s="1" t="n">
        <v>45618</v>
      </c>
      <c r="C380" s="1" t="n">
        <v>45923</v>
      </c>
      <c r="D380" t="inlineStr">
        <is>
          <t>UPPSALA LÄN</t>
        </is>
      </c>
      <c r="E380" t="inlineStr">
        <is>
          <t>ENKÖPING</t>
        </is>
      </c>
      <c r="G380" t="n">
        <v>1.8</v>
      </c>
      <c r="H380" t="n">
        <v>0</v>
      </c>
      <c r="I380" t="n">
        <v>0</v>
      </c>
      <c r="J380" t="n">
        <v>0</v>
      </c>
      <c r="K380" t="n">
        <v>0</v>
      </c>
      <c r="L380" t="n">
        <v>0</v>
      </c>
      <c r="M380" t="n">
        <v>0</v>
      </c>
      <c r="N380" t="n">
        <v>0</v>
      </c>
      <c r="O380" t="n">
        <v>0</v>
      </c>
      <c r="P380" t="n">
        <v>0</v>
      </c>
      <c r="Q380" t="n">
        <v>0</v>
      </c>
      <c r="R380" s="2" t="inlineStr"/>
    </row>
    <row r="381" ht="15" customHeight="1">
      <c r="A381" t="inlineStr">
        <is>
          <t>A 22150-2025</t>
        </is>
      </c>
      <c r="B381" s="1" t="n">
        <v>45785.56398148148</v>
      </c>
      <c r="C381" s="1" t="n">
        <v>45923</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22156-2025</t>
        </is>
      </c>
      <c r="B382" s="1" t="n">
        <v>45785.57512731481</v>
      </c>
      <c r="C382" s="1" t="n">
        <v>45923</v>
      </c>
      <c r="D382" t="inlineStr">
        <is>
          <t>UPPSALA LÄN</t>
        </is>
      </c>
      <c r="E382" t="inlineStr">
        <is>
          <t>ENKÖPING</t>
        </is>
      </c>
      <c r="G382" t="n">
        <v>0.9</v>
      </c>
      <c r="H382" t="n">
        <v>0</v>
      </c>
      <c r="I382" t="n">
        <v>0</v>
      </c>
      <c r="J382" t="n">
        <v>0</v>
      </c>
      <c r="K382" t="n">
        <v>0</v>
      </c>
      <c r="L382" t="n">
        <v>0</v>
      </c>
      <c r="M382" t="n">
        <v>0</v>
      </c>
      <c r="N382" t="n">
        <v>0</v>
      </c>
      <c r="O382" t="n">
        <v>0</v>
      </c>
      <c r="P382" t="n">
        <v>0</v>
      </c>
      <c r="Q382" t="n">
        <v>0</v>
      </c>
      <c r="R382" s="2" t="inlineStr"/>
    </row>
    <row r="383" ht="15" customHeight="1">
      <c r="A383" t="inlineStr">
        <is>
          <t>A 30087-2024</t>
        </is>
      </c>
      <c r="B383" s="1" t="n">
        <v>45489.39447916667</v>
      </c>
      <c r="C383" s="1" t="n">
        <v>45923</v>
      </c>
      <c r="D383" t="inlineStr">
        <is>
          <t>UPPSALA LÄN</t>
        </is>
      </c>
      <c r="E383" t="inlineStr">
        <is>
          <t>ENKÖPING</t>
        </is>
      </c>
      <c r="G383" t="n">
        <v>1.4</v>
      </c>
      <c r="H383" t="n">
        <v>0</v>
      </c>
      <c r="I383" t="n">
        <v>0</v>
      </c>
      <c r="J383" t="n">
        <v>0</v>
      </c>
      <c r="K383" t="n">
        <v>0</v>
      </c>
      <c r="L383" t="n">
        <v>0</v>
      </c>
      <c r="M383" t="n">
        <v>0</v>
      </c>
      <c r="N383" t="n">
        <v>0</v>
      </c>
      <c r="O383" t="n">
        <v>0</v>
      </c>
      <c r="P383" t="n">
        <v>0</v>
      </c>
      <c r="Q383" t="n">
        <v>0</v>
      </c>
      <c r="R383" s="2" t="inlineStr"/>
    </row>
    <row r="384" ht="15" customHeight="1">
      <c r="A384" t="inlineStr">
        <is>
          <t>A 22632-2025</t>
        </is>
      </c>
      <c r="B384" s="1" t="n">
        <v>45789.44361111111</v>
      </c>
      <c r="C384" s="1" t="n">
        <v>45923</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22677-2025</t>
        </is>
      </c>
      <c r="B385" s="1" t="n">
        <v>45789.49515046296</v>
      </c>
      <c r="C385" s="1" t="n">
        <v>45923</v>
      </c>
      <c r="D385" t="inlineStr">
        <is>
          <t>UPPSALA LÄN</t>
        </is>
      </c>
      <c r="E385" t="inlineStr">
        <is>
          <t>ENKÖPING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22679-2025</t>
        </is>
      </c>
      <c r="B386" s="1" t="n">
        <v>45789.49747685185</v>
      </c>
      <c r="C386" s="1" t="n">
        <v>45923</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22729-2025</t>
        </is>
      </c>
      <c r="B387" s="1" t="n">
        <v>45789.57790509259</v>
      </c>
      <c r="C387" s="1" t="n">
        <v>45923</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22786-2025</t>
        </is>
      </c>
      <c r="B388" s="1" t="n">
        <v>45789.64643518518</v>
      </c>
      <c r="C388" s="1" t="n">
        <v>45923</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22795-2025</t>
        </is>
      </c>
      <c r="B389" s="1" t="n">
        <v>45789.65944444444</v>
      </c>
      <c r="C389" s="1" t="n">
        <v>45923</v>
      </c>
      <c r="D389" t="inlineStr">
        <is>
          <t>UPPSALA LÄN</t>
        </is>
      </c>
      <c r="E389" t="inlineStr">
        <is>
          <t>ENKÖPING</t>
        </is>
      </c>
      <c r="G389" t="n">
        <v>10.4</v>
      </c>
      <c r="H389" t="n">
        <v>0</v>
      </c>
      <c r="I389" t="n">
        <v>0</v>
      </c>
      <c r="J389" t="n">
        <v>0</v>
      </c>
      <c r="K389" t="n">
        <v>0</v>
      </c>
      <c r="L389" t="n">
        <v>0</v>
      </c>
      <c r="M389" t="n">
        <v>0</v>
      </c>
      <c r="N389" t="n">
        <v>0</v>
      </c>
      <c r="O389" t="n">
        <v>0</v>
      </c>
      <c r="P389" t="n">
        <v>0</v>
      </c>
      <c r="Q389" t="n">
        <v>0</v>
      </c>
      <c r="R389" s="2" t="inlineStr"/>
    </row>
    <row r="390" ht="15" customHeight="1">
      <c r="A390" t="inlineStr">
        <is>
          <t>A 15939-2022</t>
        </is>
      </c>
      <c r="B390" s="1" t="n">
        <v>44664</v>
      </c>
      <c r="C390" s="1" t="n">
        <v>45923</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22802-2025</t>
        </is>
      </c>
      <c r="B391" s="1" t="n">
        <v>45789.6686574074</v>
      </c>
      <c r="C391" s="1" t="n">
        <v>45923</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50394-2024</t>
        </is>
      </c>
      <c r="B392" s="1" t="n">
        <v>45600</v>
      </c>
      <c r="C392" s="1" t="n">
        <v>45923</v>
      </c>
      <c r="D392" t="inlineStr">
        <is>
          <t>UPPSALA LÄN</t>
        </is>
      </c>
      <c r="E392" t="inlineStr">
        <is>
          <t>ENKÖPING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22680-2025</t>
        </is>
      </c>
      <c r="B393" s="1" t="n">
        <v>45789.5005787037</v>
      </c>
      <c r="C393" s="1" t="n">
        <v>45923</v>
      </c>
      <c r="D393" t="inlineStr">
        <is>
          <t>UPPSALA LÄN</t>
        </is>
      </c>
      <c r="E393" t="inlineStr">
        <is>
          <t>ENKÖPING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6981-2025</t>
        </is>
      </c>
      <c r="B394" s="1" t="n">
        <v>45701</v>
      </c>
      <c r="C394" s="1" t="n">
        <v>45923</v>
      </c>
      <c r="D394" t="inlineStr">
        <is>
          <t>UPPSALA LÄN</t>
        </is>
      </c>
      <c r="E394" t="inlineStr">
        <is>
          <t>ENKÖPING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72840-2021</t>
        </is>
      </c>
      <c r="B395" s="1" t="n">
        <v>44547</v>
      </c>
      <c r="C395" s="1" t="n">
        <v>45923</v>
      </c>
      <c r="D395" t="inlineStr">
        <is>
          <t>UPPSALA LÄN</t>
        </is>
      </c>
      <c r="E395" t="inlineStr">
        <is>
          <t>ENKÖPING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22770-2025</t>
        </is>
      </c>
      <c r="B396" s="1" t="n">
        <v>45789.63454861111</v>
      </c>
      <c r="C396" s="1" t="n">
        <v>45923</v>
      </c>
      <c r="D396" t="inlineStr">
        <is>
          <t>UPPSALA LÄN</t>
        </is>
      </c>
      <c r="E396" t="inlineStr">
        <is>
          <t>ENKÖPING</t>
        </is>
      </c>
      <c r="G396" t="n">
        <v>4.5</v>
      </c>
      <c r="H396" t="n">
        <v>0</v>
      </c>
      <c r="I396" t="n">
        <v>0</v>
      </c>
      <c r="J396" t="n">
        <v>0</v>
      </c>
      <c r="K396" t="n">
        <v>0</v>
      </c>
      <c r="L396" t="n">
        <v>0</v>
      </c>
      <c r="M396" t="n">
        <v>0</v>
      </c>
      <c r="N396" t="n">
        <v>0</v>
      </c>
      <c r="O396" t="n">
        <v>0</v>
      </c>
      <c r="P396" t="n">
        <v>0</v>
      </c>
      <c r="Q396" t="n">
        <v>0</v>
      </c>
      <c r="R396" s="2" t="inlineStr"/>
    </row>
    <row r="397" ht="15" customHeight="1">
      <c r="A397" t="inlineStr">
        <is>
          <t>A 22725-2025</t>
        </is>
      </c>
      <c r="B397" s="1" t="n">
        <v>45789.57371527778</v>
      </c>
      <c r="C397" s="1" t="n">
        <v>45923</v>
      </c>
      <c r="D397" t="inlineStr">
        <is>
          <t>UPPSALA LÄN</t>
        </is>
      </c>
      <c r="E397" t="inlineStr">
        <is>
          <t>ENKÖPING</t>
        </is>
      </c>
      <c r="G397" t="n">
        <v>4.8</v>
      </c>
      <c r="H397" t="n">
        <v>0</v>
      </c>
      <c r="I397" t="n">
        <v>0</v>
      </c>
      <c r="J397" t="n">
        <v>0</v>
      </c>
      <c r="K397" t="n">
        <v>0</v>
      </c>
      <c r="L397" t="n">
        <v>0</v>
      </c>
      <c r="M397" t="n">
        <v>0</v>
      </c>
      <c r="N397" t="n">
        <v>0</v>
      </c>
      <c r="O397" t="n">
        <v>0</v>
      </c>
      <c r="P397" t="n">
        <v>0</v>
      </c>
      <c r="Q397" t="n">
        <v>0</v>
      </c>
      <c r="R397" s="2" t="inlineStr"/>
    </row>
    <row r="398" ht="15" customHeight="1">
      <c r="A398" t="inlineStr">
        <is>
          <t>A 22981-2025</t>
        </is>
      </c>
      <c r="B398" s="1" t="n">
        <v>45790.56964120371</v>
      </c>
      <c r="C398" s="1" t="n">
        <v>45923</v>
      </c>
      <c r="D398" t="inlineStr">
        <is>
          <t>UPPSALA LÄN</t>
        </is>
      </c>
      <c r="E398" t="inlineStr">
        <is>
          <t>ENKÖPING</t>
        </is>
      </c>
      <c r="G398" t="n">
        <v>1.5</v>
      </c>
      <c r="H398" t="n">
        <v>0</v>
      </c>
      <c r="I398" t="n">
        <v>0</v>
      </c>
      <c r="J398" t="n">
        <v>0</v>
      </c>
      <c r="K398" t="n">
        <v>0</v>
      </c>
      <c r="L398" t="n">
        <v>0</v>
      </c>
      <c r="M398" t="n">
        <v>0</v>
      </c>
      <c r="N398" t="n">
        <v>0</v>
      </c>
      <c r="O398" t="n">
        <v>0</v>
      </c>
      <c r="P398" t="n">
        <v>0</v>
      </c>
      <c r="Q398" t="n">
        <v>0</v>
      </c>
      <c r="R398" s="2" t="inlineStr"/>
    </row>
    <row r="399" ht="15" customHeight="1">
      <c r="A399" t="inlineStr">
        <is>
          <t>A 68123-2021</t>
        </is>
      </c>
      <c r="B399" s="1" t="n">
        <v>44526.39126157408</v>
      </c>
      <c r="C399" s="1" t="n">
        <v>45923</v>
      </c>
      <c r="D399" t="inlineStr">
        <is>
          <t>UPPSALA LÄN</t>
        </is>
      </c>
      <c r="E399" t="inlineStr">
        <is>
          <t>ENKÖPING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22793-2025</t>
        </is>
      </c>
      <c r="B400" s="1" t="n">
        <v>45789.65693287037</v>
      </c>
      <c r="C400" s="1" t="n">
        <v>45923</v>
      </c>
      <c r="D400" t="inlineStr">
        <is>
          <t>UPPSALA LÄN</t>
        </is>
      </c>
      <c r="E400" t="inlineStr">
        <is>
          <t>ENKÖPING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22800-2025</t>
        </is>
      </c>
      <c r="B401" s="1" t="n">
        <v>45789.6669212963</v>
      </c>
      <c r="C401" s="1" t="n">
        <v>45923</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37870-2023</t>
        </is>
      </c>
      <c r="B402" s="1" t="n">
        <v>45160.41996527778</v>
      </c>
      <c r="C402" s="1" t="n">
        <v>45923</v>
      </c>
      <c r="D402" t="inlineStr">
        <is>
          <t>UPPSALA LÄN</t>
        </is>
      </c>
      <c r="E402" t="inlineStr">
        <is>
          <t>ENKÖPING</t>
        </is>
      </c>
      <c r="G402" t="n">
        <v>3.5</v>
      </c>
      <c r="H402" t="n">
        <v>0</v>
      </c>
      <c r="I402" t="n">
        <v>0</v>
      </c>
      <c r="J402" t="n">
        <v>0</v>
      </c>
      <c r="K402" t="n">
        <v>0</v>
      </c>
      <c r="L402" t="n">
        <v>0</v>
      </c>
      <c r="M402" t="n">
        <v>0</v>
      </c>
      <c r="N402" t="n">
        <v>0</v>
      </c>
      <c r="O402" t="n">
        <v>0</v>
      </c>
      <c r="P402" t="n">
        <v>0</v>
      </c>
      <c r="Q402" t="n">
        <v>0</v>
      </c>
      <c r="R402" s="2" t="inlineStr"/>
    </row>
    <row r="403" ht="15" customHeight="1">
      <c r="A403" t="inlineStr">
        <is>
          <t>A 7090-2022</t>
        </is>
      </c>
      <c r="B403" s="1" t="n">
        <v>44603.59520833333</v>
      </c>
      <c r="C403" s="1" t="n">
        <v>45923</v>
      </c>
      <c r="D403" t="inlineStr">
        <is>
          <t>UPPSALA LÄN</t>
        </is>
      </c>
      <c r="E403" t="inlineStr">
        <is>
          <t>ENKÖPING</t>
        </is>
      </c>
      <c r="G403" t="n">
        <v>2.8</v>
      </c>
      <c r="H403" t="n">
        <v>0</v>
      </c>
      <c r="I403" t="n">
        <v>0</v>
      </c>
      <c r="J403" t="n">
        <v>0</v>
      </c>
      <c r="K403" t="n">
        <v>0</v>
      </c>
      <c r="L403" t="n">
        <v>0</v>
      </c>
      <c r="M403" t="n">
        <v>0</v>
      </c>
      <c r="N403" t="n">
        <v>0</v>
      </c>
      <c r="O403" t="n">
        <v>0</v>
      </c>
      <c r="P403" t="n">
        <v>0</v>
      </c>
      <c r="Q403" t="n">
        <v>0</v>
      </c>
      <c r="R403" s="2" t="inlineStr"/>
    </row>
    <row r="404" ht="15" customHeight="1">
      <c r="A404" t="inlineStr">
        <is>
          <t>A 49063-2024</t>
        </is>
      </c>
      <c r="B404" s="1" t="n">
        <v>45594.59869212963</v>
      </c>
      <c r="C404" s="1" t="n">
        <v>45923</v>
      </c>
      <c r="D404" t="inlineStr">
        <is>
          <t>UPPSALA LÄN</t>
        </is>
      </c>
      <c r="E404" t="inlineStr">
        <is>
          <t>ENKÖPING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14083-2025</t>
        </is>
      </c>
      <c r="B405" s="1" t="n">
        <v>45740</v>
      </c>
      <c r="C405" s="1" t="n">
        <v>45923</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19298-2023</t>
        </is>
      </c>
      <c r="B406" s="1" t="n">
        <v>45048</v>
      </c>
      <c r="C406" s="1" t="n">
        <v>45923</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15409-2025</t>
        </is>
      </c>
      <c r="B407" s="1" t="n">
        <v>45747</v>
      </c>
      <c r="C407" s="1" t="n">
        <v>45923</v>
      </c>
      <c r="D407" t="inlineStr">
        <is>
          <t>UPPSALA LÄN</t>
        </is>
      </c>
      <c r="E407" t="inlineStr">
        <is>
          <t>ENKÖPING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17729-2023</t>
        </is>
      </c>
      <c r="B408" s="1" t="n">
        <v>45037</v>
      </c>
      <c r="C408" s="1" t="n">
        <v>45923</v>
      </c>
      <c r="D408" t="inlineStr">
        <is>
          <t>UPPSALA LÄN</t>
        </is>
      </c>
      <c r="E408" t="inlineStr">
        <is>
          <t>ENKÖPING</t>
        </is>
      </c>
      <c r="G408" t="n">
        <v>10.2</v>
      </c>
      <c r="H408" t="n">
        <v>0</v>
      </c>
      <c r="I408" t="n">
        <v>0</v>
      </c>
      <c r="J408" t="n">
        <v>0</v>
      </c>
      <c r="K408" t="n">
        <v>0</v>
      </c>
      <c r="L408" t="n">
        <v>0</v>
      </c>
      <c r="M408" t="n">
        <v>0</v>
      </c>
      <c r="N408" t="n">
        <v>0</v>
      </c>
      <c r="O408" t="n">
        <v>0</v>
      </c>
      <c r="P408" t="n">
        <v>0</v>
      </c>
      <c r="Q408" t="n">
        <v>0</v>
      </c>
      <c r="R408" s="2" t="inlineStr"/>
    </row>
    <row r="409" ht="15" customHeight="1">
      <c r="A409" t="inlineStr">
        <is>
          <t>A 5749-2025</t>
        </is>
      </c>
      <c r="B409" s="1" t="n">
        <v>45694</v>
      </c>
      <c r="C409" s="1" t="n">
        <v>45923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8020-2022</t>
        </is>
      </c>
      <c r="B410" s="1" t="n">
        <v>44609</v>
      </c>
      <c r="C410" s="1" t="n">
        <v>45923</v>
      </c>
      <c r="D410" t="inlineStr">
        <is>
          <t>UPPSALA LÄN</t>
        </is>
      </c>
      <c r="E410" t="inlineStr">
        <is>
          <t>ENKÖPING</t>
        </is>
      </c>
      <c r="G410" t="n">
        <v>6</v>
      </c>
      <c r="H410" t="n">
        <v>0</v>
      </c>
      <c r="I410" t="n">
        <v>0</v>
      </c>
      <c r="J410" t="n">
        <v>0</v>
      </c>
      <c r="K410" t="n">
        <v>0</v>
      </c>
      <c r="L410" t="n">
        <v>0</v>
      </c>
      <c r="M410" t="n">
        <v>0</v>
      </c>
      <c r="N410" t="n">
        <v>0</v>
      </c>
      <c r="O410" t="n">
        <v>0</v>
      </c>
      <c r="P410" t="n">
        <v>0</v>
      </c>
      <c r="Q410" t="n">
        <v>0</v>
      </c>
      <c r="R410" s="2" t="inlineStr"/>
    </row>
    <row r="411" ht="15" customHeight="1">
      <c r="A411" t="inlineStr">
        <is>
          <t>A 34805-2024</t>
        </is>
      </c>
      <c r="B411" s="1" t="n">
        <v>45526</v>
      </c>
      <c r="C411" s="1" t="n">
        <v>45923</v>
      </c>
      <c r="D411" t="inlineStr">
        <is>
          <t>UPPSALA LÄN</t>
        </is>
      </c>
      <c r="E411" t="inlineStr">
        <is>
          <t>ENKÖPING</t>
        </is>
      </c>
      <c r="G411" t="n">
        <v>3.6</v>
      </c>
      <c r="H411" t="n">
        <v>0</v>
      </c>
      <c r="I411" t="n">
        <v>0</v>
      </c>
      <c r="J411" t="n">
        <v>0</v>
      </c>
      <c r="K411" t="n">
        <v>0</v>
      </c>
      <c r="L411" t="n">
        <v>0</v>
      </c>
      <c r="M411" t="n">
        <v>0</v>
      </c>
      <c r="N411" t="n">
        <v>0</v>
      </c>
      <c r="O411" t="n">
        <v>0</v>
      </c>
      <c r="P411" t="n">
        <v>0</v>
      </c>
      <c r="Q411" t="n">
        <v>0</v>
      </c>
      <c r="R411" s="2" t="inlineStr"/>
    </row>
    <row r="412" ht="15" customHeight="1">
      <c r="A412" t="inlineStr">
        <is>
          <t>A 314-2025</t>
        </is>
      </c>
      <c r="B412" s="1" t="n">
        <v>45656</v>
      </c>
      <c r="C412" s="1" t="n">
        <v>45923</v>
      </c>
      <c r="D412" t="inlineStr">
        <is>
          <t>UPPSALA LÄN</t>
        </is>
      </c>
      <c r="E412" t="inlineStr">
        <is>
          <t>ENKÖPING</t>
        </is>
      </c>
      <c r="G412" t="n">
        <v>9</v>
      </c>
      <c r="H412" t="n">
        <v>0</v>
      </c>
      <c r="I412" t="n">
        <v>0</v>
      </c>
      <c r="J412" t="n">
        <v>0</v>
      </c>
      <c r="K412" t="n">
        <v>0</v>
      </c>
      <c r="L412" t="n">
        <v>0</v>
      </c>
      <c r="M412" t="n">
        <v>0</v>
      </c>
      <c r="N412" t="n">
        <v>0</v>
      </c>
      <c r="O412" t="n">
        <v>0</v>
      </c>
      <c r="P412" t="n">
        <v>0</v>
      </c>
      <c r="Q412" t="n">
        <v>0</v>
      </c>
      <c r="R412" s="2" t="inlineStr"/>
    </row>
    <row r="413" ht="15" customHeight="1">
      <c r="A413" t="inlineStr">
        <is>
          <t>A 10831-2024</t>
        </is>
      </c>
      <c r="B413" s="1" t="n">
        <v>45369</v>
      </c>
      <c r="C413" s="1" t="n">
        <v>45923</v>
      </c>
      <c r="D413" t="inlineStr">
        <is>
          <t>UPPSALA LÄN</t>
        </is>
      </c>
      <c r="E413" t="inlineStr">
        <is>
          <t>ENKÖPING</t>
        </is>
      </c>
      <c r="G413" t="n">
        <v>2.9</v>
      </c>
      <c r="H413" t="n">
        <v>0</v>
      </c>
      <c r="I413" t="n">
        <v>0</v>
      </c>
      <c r="J413" t="n">
        <v>0</v>
      </c>
      <c r="K413" t="n">
        <v>0</v>
      </c>
      <c r="L413" t="n">
        <v>0</v>
      </c>
      <c r="M413" t="n">
        <v>0</v>
      </c>
      <c r="N413" t="n">
        <v>0</v>
      </c>
      <c r="O413" t="n">
        <v>0</v>
      </c>
      <c r="P413" t="n">
        <v>0</v>
      </c>
      <c r="Q413" t="n">
        <v>0</v>
      </c>
      <c r="R413" s="2" t="inlineStr"/>
    </row>
    <row r="414" ht="15" customHeight="1">
      <c r="A414" t="inlineStr">
        <is>
          <t>A 5712-2025</t>
        </is>
      </c>
      <c r="B414" s="1" t="n">
        <v>45694</v>
      </c>
      <c r="C414" s="1" t="n">
        <v>45923</v>
      </c>
      <c r="D414" t="inlineStr">
        <is>
          <t>UPPSALA LÄN</t>
        </is>
      </c>
      <c r="E414" t="inlineStr">
        <is>
          <t>ENKÖPING</t>
        </is>
      </c>
      <c r="G414" t="n">
        <v>5.1</v>
      </c>
      <c r="H414" t="n">
        <v>0</v>
      </c>
      <c r="I414" t="n">
        <v>0</v>
      </c>
      <c r="J414" t="n">
        <v>0</v>
      </c>
      <c r="K414" t="n">
        <v>0</v>
      </c>
      <c r="L414" t="n">
        <v>0</v>
      </c>
      <c r="M414" t="n">
        <v>0</v>
      </c>
      <c r="N414" t="n">
        <v>0</v>
      </c>
      <c r="O414" t="n">
        <v>0</v>
      </c>
      <c r="P414" t="n">
        <v>0</v>
      </c>
      <c r="Q414" t="n">
        <v>0</v>
      </c>
      <c r="R414" s="2" t="inlineStr"/>
    </row>
    <row r="415" ht="15" customHeight="1">
      <c r="A415" t="inlineStr">
        <is>
          <t>A 34617-2022</t>
        </is>
      </c>
      <c r="B415" s="1" t="n">
        <v>44795</v>
      </c>
      <c r="C415" s="1" t="n">
        <v>45923</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45956-2024</t>
        </is>
      </c>
      <c r="B416" s="1" t="n">
        <v>45580</v>
      </c>
      <c r="C416" s="1" t="n">
        <v>45923</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11627-2025</t>
        </is>
      </c>
      <c r="B417" s="1" t="n">
        <v>45727</v>
      </c>
      <c r="C417" s="1" t="n">
        <v>45923</v>
      </c>
      <c r="D417" t="inlineStr">
        <is>
          <t>UPPSALA LÄN</t>
        </is>
      </c>
      <c r="E417" t="inlineStr">
        <is>
          <t>ENKÖPING</t>
        </is>
      </c>
      <c r="G417" t="n">
        <v>5.5</v>
      </c>
      <c r="H417" t="n">
        <v>0</v>
      </c>
      <c r="I417" t="n">
        <v>0</v>
      </c>
      <c r="J417" t="n">
        <v>0</v>
      </c>
      <c r="K417" t="n">
        <v>0</v>
      </c>
      <c r="L417" t="n">
        <v>0</v>
      </c>
      <c r="M417" t="n">
        <v>0</v>
      </c>
      <c r="N417" t="n">
        <v>0</v>
      </c>
      <c r="O417" t="n">
        <v>0</v>
      </c>
      <c r="P417" t="n">
        <v>0</v>
      </c>
      <c r="Q417" t="n">
        <v>0</v>
      </c>
      <c r="R417" s="2" t="inlineStr"/>
    </row>
    <row r="418" ht="15" customHeight="1">
      <c r="A418" t="inlineStr">
        <is>
          <t>A 74090-2021</t>
        </is>
      </c>
      <c r="B418" s="1" t="n">
        <v>44557</v>
      </c>
      <c r="C418" s="1" t="n">
        <v>45923</v>
      </c>
      <c r="D418" t="inlineStr">
        <is>
          <t>UPPSALA LÄN</t>
        </is>
      </c>
      <c r="E418" t="inlineStr">
        <is>
          <t>ENKÖPING</t>
        </is>
      </c>
      <c r="G418" t="n">
        <v>2.1</v>
      </c>
      <c r="H418" t="n">
        <v>0</v>
      </c>
      <c r="I418" t="n">
        <v>0</v>
      </c>
      <c r="J418" t="n">
        <v>0</v>
      </c>
      <c r="K418" t="n">
        <v>0</v>
      </c>
      <c r="L418" t="n">
        <v>0</v>
      </c>
      <c r="M418" t="n">
        <v>0</v>
      </c>
      <c r="N418" t="n">
        <v>0</v>
      </c>
      <c r="O418" t="n">
        <v>0</v>
      </c>
      <c r="P418" t="n">
        <v>0</v>
      </c>
      <c r="Q418" t="n">
        <v>0</v>
      </c>
      <c r="R418" s="2" t="inlineStr"/>
    </row>
    <row r="419" ht="15" customHeight="1">
      <c r="A419" t="inlineStr">
        <is>
          <t>A 40202-2024</t>
        </is>
      </c>
      <c r="B419" s="1" t="n">
        <v>45554</v>
      </c>
      <c r="C419" s="1" t="n">
        <v>45923</v>
      </c>
      <c r="D419" t="inlineStr">
        <is>
          <t>UPPSALA LÄN</t>
        </is>
      </c>
      <c r="E419" t="inlineStr">
        <is>
          <t>ENKÖPING</t>
        </is>
      </c>
      <c r="G419" t="n">
        <v>6.2</v>
      </c>
      <c r="H419" t="n">
        <v>0</v>
      </c>
      <c r="I419" t="n">
        <v>0</v>
      </c>
      <c r="J419" t="n">
        <v>0</v>
      </c>
      <c r="K419" t="n">
        <v>0</v>
      </c>
      <c r="L419" t="n">
        <v>0</v>
      </c>
      <c r="M419" t="n">
        <v>0</v>
      </c>
      <c r="N419" t="n">
        <v>0</v>
      </c>
      <c r="O419" t="n">
        <v>0</v>
      </c>
      <c r="P419" t="n">
        <v>0</v>
      </c>
      <c r="Q419" t="n">
        <v>0</v>
      </c>
      <c r="R419" s="2" t="inlineStr"/>
    </row>
    <row r="420" ht="15" customHeight="1">
      <c r="A420" t="inlineStr">
        <is>
          <t>A 40223-2024</t>
        </is>
      </c>
      <c r="B420" s="1" t="n">
        <v>45554</v>
      </c>
      <c r="C420" s="1" t="n">
        <v>45923</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69879-2021</t>
        </is>
      </c>
      <c r="B421" s="1" t="n">
        <v>44532</v>
      </c>
      <c r="C421" s="1" t="n">
        <v>45923</v>
      </c>
      <c r="D421" t="inlineStr">
        <is>
          <t>UPPSALA LÄN</t>
        </is>
      </c>
      <c r="E421" t="inlineStr">
        <is>
          <t>ENKÖPING</t>
        </is>
      </c>
      <c r="G421" t="n">
        <v>4.2</v>
      </c>
      <c r="H421" t="n">
        <v>0</v>
      </c>
      <c r="I421" t="n">
        <v>0</v>
      </c>
      <c r="J421" t="n">
        <v>0</v>
      </c>
      <c r="K421" t="n">
        <v>0</v>
      </c>
      <c r="L421" t="n">
        <v>0</v>
      </c>
      <c r="M421" t="n">
        <v>0</v>
      </c>
      <c r="N421" t="n">
        <v>0</v>
      </c>
      <c r="O421" t="n">
        <v>0</v>
      </c>
      <c r="P421" t="n">
        <v>0</v>
      </c>
      <c r="Q421" t="n">
        <v>0</v>
      </c>
      <c r="R421" s="2" t="inlineStr"/>
    </row>
    <row r="422" ht="15" customHeight="1">
      <c r="A422" t="inlineStr">
        <is>
          <t>A 19013-2025</t>
        </is>
      </c>
      <c r="B422" s="1" t="n">
        <v>45764.59533564815</v>
      </c>
      <c r="C422" s="1" t="n">
        <v>45923</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57335-2024</t>
        </is>
      </c>
      <c r="B423" s="1" t="n">
        <v>45629.63302083333</v>
      </c>
      <c r="C423" s="1" t="n">
        <v>45923</v>
      </c>
      <c r="D423" t="inlineStr">
        <is>
          <t>UPPSALA LÄN</t>
        </is>
      </c>
      <c r="E423" t="inlineStr">
        <is>
          <t>ENKÖPING</t>
        </is>
      </c>
      <c r="G423" t="n">
        <v>2.1</v>
      </c>
      <c r="H423" t="n">
        <v>0</v>
      </c>
      <c r="I423" t="n">
        <v>0</v>
      </c>
      <c r="J423" t="n">
        <v>0</v>
      </c>
      <c r="K423" t="n">
        <v>0</v>
      </c>
      <c r="L423" t="n">
        <v>0</v>
      </c>
      <c r="M423" t="n">
        <v>0</v>
      </c>
      <c r="N423" t="n">
        <v>0</v>
      </c>
      <c r="O423" t="n">
        <v>0</v>
      </c>
      <c r="P423" t="n">
        <v>0</v>
      </c>
      <c r="Q423" t="n">
        <v>0</v>
      </c>
      <c r="R423" s="2" t="inlineStr"/>
    </row>
    <row r="424" ht="15" customHeight="1">
      <c r="A424" t="inlineStr">
        <is>
          <t>A 23301-2024</t>
        </is>
      </c>
      <c r="B424" s="1" t="n">
        <v>45453.4396412037</v>
      </c>
      <c r="C424" s="1" t="n">
        <v>45923</v>
      </c>
      <c r="D424" t="inlineStr">
        <is>
          <t>UPPSALA LÄN</t>
        </is>
      </c>
      <c r="E424" t="inlineStr">
        <is>
          <t>ENKÖPING</t>
        </is>
      </c>
      <c r="G424" t="n">
        <v>4.3</v>
      </c>
      <c r="H424" t="n">
        <v>0</v>
      </c>
      <c r="I424" t="n">
        <v>0</v>
      </c>
      <c r="J424" t="n">
        <v>0</v>
      </c>
      <c r="K424" t="n">
        <v>0</v>
      </c>
      <c r="L424" t="n">
        <v>0</v>
      </c>
      <c r="M424" t="n">
        <v>0</v>
      </c>
      <c r="N424" t="n">
        <v>0</v>
      </c>
      <c r="O424" t="n">
        <v>0</v>
      </c>
      <c r="P424" t="n">
        <v>0</v>
      </c>
      <c r="Q424" t="n">
        <v>0</v>
      </c>
      <c r="R424" s="2" t="inlineStr"/>
    </row>
    <row r="425" ht="15" customHeight="1">
      <c r="A425" t="inlineStr">
        <is>
          <t>A 2833-2025</t>
        </is>
      </c>
      <c r="B425" s="1" t="n">
        <v>45677.63206018518</v>
      </c>
      <c r="C425" s="1" t="n">
        <v>45923</v>
      </c>
      <c r="D425" t="inlineStr">
        <is>
          <t>UPPSALA LÄN</t>
        </is>
      </c>
      <c r="E425" t="inlineStr">
        <is>
          <t>ENKÖPING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58092-2024</t>
        </is>
      </c>
      <c r="B426" s="1" t="n">
        <v>45632</v>
      </c>
      <c r="C426" s="1" t="n">
        <v>45923</v>
      </c>
      <c r="D426" t="inlineStr">
        <is>
          <t>UPPSALA LÄN</t>
        </is>
      </c>
      <c r="E426" t="inlineStr">
        <is>
          <t>ENKÖPING</t>
        </is>
      </c>
      <c r="G426" t="n">
        <v>4.8</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45923</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24411-2024</t>
        </is>
      </c>
      <c r="B428" s="1" t="n">
        <v>45457</v>
      </c>
      <c r="C428" s="1" t="n">
        <v>45923</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31604-2023</t>
        </is>
      </c>
      <c r="B429" s="1" t="n">
        <v>45117.50368055556</v>
      </c>
      <c r="C429" s="1" t="n">
        <v>45923</v>
      </c>
      <c r="D429" t="inlineStr">
        <is>
          <t>UPPSALA LÄN</t>
        </is>
      </c>
      <c r="E429" t="inlineStr">
        <is>
          <t>ENKÖPING</t>
        </is>
      </c>
      <c r="G429" t="n">
        <v>3.5</v>
      </c>
      <c r="H429" t="n">
        <v>0</v>
      </c>
      <c r="I429" t="n">
        <v>0</v>
      </c>
      <c r="J429" t="n">
        <v>0</v>
      </c>
      <c r="K429" t="n">
        <v>0</v>
      </c>
      <c r="L429" t="n">
        <v>0</v>
      </c>
      <c r="M429" t="n">
        <v>0</v>
      </c>
      <c r="N429" t="n">
        <v>0</v>
      </c>
      <c r="O429" t="n">
        <v>0</v>
      </c>
      <c r="P429" t="n">
        <v>0</v>
      </c>
      <c r="Q429" t="n">
        <v>0</v>
      </c>
      <c r="R429" s="2" t="inlineStr"/>
    </row>
    <row r="430" ht="15" customHeight="1">
      <c r="A430" t="inlineStr">
        <is>
          <t>A 25988-2025</t>
        </is>
      </c>
      <c r="B430" s="1" t="n">
        <v>45804.64814814815</v>
      </c>
      <c r="C430" s="1" t="n">
        <v>45923</v>
      </c>
      <c r="D430" t="inlineStr">
        <is>
          <t>UPPSALA LÄN</t>
        </is>
      </c>
      <c r="E430" t="inlineStr">
        <is>
          <t>ENKÖPING</t>
        </is>
      </c>
      <c r="G430" t="n">
        <v>4.7</v>
      </c>
      <c r="H430" t="n">
        <v>0</v>
      </c>
      <c r="I430" t="n">
        <v>0</v>
      </c>
      <c r="J430" t="n">
        <v>0</v>
      </c>
      <c r="K430" t="n">
        <v>0</v>
      </c>
      <c r="L430" t="n">
        <v>0</v>
      </c>
      <c r="M430" t="n">
        <v>0</v>
      </c>
      <c r="N430" t="n">
        <v>0</v>
      </c>
      <c r="O430" t="n">
        <v>0</v>
      </c>
      <c r="P430" t="n">
        <v>0</v>
      </c>
      <c r="Q430" t="n">
        <v>0</v>
      </c>
      <c r="R430" s="2" t="inlineStr"/>
    </row>
    <row r="431" ht="15" customHeight="1">
      <c r="A431" t="inlineStr">
        <is>
          <t>A 26017-2025</t>
        </is>
      </c>
      <c r="B431" s="1" t="n">
        <v>45804</v>
      </c>
      <c r="C431" s="1" t="n">
        <v>45923</v>
      </c>
      <c r="D431" t="inlineStr">
        <is>
          <t>UPPSALA LÄN</t>
        </is>
      </c>
      <c r="E431" t="inlineStr">
        <is>
          <t>ENKÖPING</t>
        </is>
      </c>
      <c r="G431" t="n">
        <v>0.4</v>
      </c>
      <c r="H431" t="n">
        <v>0</v>
      </c>
      <c r="I431" t="n">
        <v>0</v>
      </c>
      <c r="J431" t="n">
        <v>0</v>
      </c>
      <c r="K431" t="n">
        <v>0</v>
      </c>
      <c r="L431" t="n">
        <v>0</v>
      </c>
      <c r="M431" t="n">
        <v>0</v>
      </c>
      <c r="N431" t="n">
        <v>0</v>
      </c>
      <c r="O431" t="n">
        <v>0</v>
      </c>
      <c r="P431" t="n">
        <v>0</v>
      </c>
      <c r="Q431" t="n">
        <v>0</v>
      </c>
      <c r="R431" s="2" t="inlineStr"/>
    </row>
    <row r="432" ht="15" customHeight="1">
      <c r="A432" t="inlineStr">
        <is>
          <t>A 26024-2025</t>
        </is>
      </c>
      <c r="B432" s="1" t="n">
        <v>45804.6831712963</v>
      </c>
      <c r="C432" s="1" t="n">
        <v>45923</v>
      </c>
      <c r="D432" t="inlineStr">
        <is>
          <t>UPPSALA LÄN</t>
        </is>
      </c>
      <c r="E432" t="inlineStr">
        <is>
          <t>ENKÖPING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26042-2025</t>
        </is>
      </c>
      <c r="B433" s="1" t="n">
        <v>45804.70018518518</v>
      </c>
      <c r="C433" s="1" t="n">
        <v>45923</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25990-2025</t>
        </is>
      </c>
      <c r="B434" s="1" t="n">
        <v>45804.65229166667</v>
      </c>
      <c r="C434" s="1" t="n">
        <v>45923</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26030-2025</t>
        </is>
      </c>
      <c r="B435" s="1" t="n">
        <v>45804.68815972222</v>
      </c>
      <c r="C435" s="1" t="n">
        <v>45923</v>
      </c>
      <c r="D435" t="inlineStr">
        <is>
          <t>UPPSALA LÄN</t>
        </is>
      </c>
      <c r="E435" t="inlineStr">
        <is>
          <t>ENKÖPING</t>
        </is>
      </c>
      <c r="G435" t="n">
        <v>0.3</v>
      </c>
      <c r="H435" t="n">
        <v>0</v>
      </c>
      <c r="I435" t="n">
        <v>0</v>
      </c>
      <c r="J435" t="n">
        <v>0</v>
      </c>
      <c r="K435" t="n">
        <v>0</v>
      </c>
      <c r="L435" t="n">
        <v>0</v>
      </c>
      <c r="M435" t="n">
        <v>0</v>
      </c>
      <c r="N435" t="n">
        <v>0</v>
      </c>
      <c r="O435" t="n">
        <v>0</v>
      </c>
      <c r="P435" t="n">
        <v>0</v>
      </c>
      <c r="Q435" t="n">
        <v>0</v>
      </c>
      <c r="R435" s="2" t="inlineStr"/>
    </row>
    <row r="436" ht="15" customHeight="1">
      <c r="A436" t="inlineStr">
        <is>
          <t>A 26026-2025</t>
        </is>
      </c>
      <c r="B436" s="1" t="n">
        <v>45804.68510416667</v>
      </c>
      <c r="C436" s="1" t="n">
        <v>45923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26047-2025</t>
        </is>
      </c>
      <c r="B437" s="1" t="n">
        <v>45804.70835648148</v>
      </c>
      <c r="C437" s="1" t="n">
        <v>45923</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25847-2025</t>
        </is>
      </c>
      <c r="B438" s="1" t="n">
        <v>45804</v>
      </c>
      <c r="C438" s="1" t="n">
        <v>45923</v>
      </c>
      <c r="D438" t="inlineStr">
        <is>
          <t>UPPSALA LÄN</t>
        </is>
      </c>
      <c r="E438" t="inlineStr">
        <is>
          <t>ENKÖPING</t>
        </is>
      </c>
      <c r="G438" t="n">
        <v>3.6</v>
      </c>
      <c r="H438" t="n">
        <v>0</v>
      </c>
      <c r="I438" t="n">
        <v>0</v>
      </c>
      <c r="J438" t="n">
        <v>0</v>
      </c>
      <c r="K438" t="n">
        <v>0</v>
      </c>
      <c r="L438" t="n">
        <v>0</v>
      </c>
      <c r="M438" t="n">
        <v>0</v>
      </c>
      <c r="N438" t="n">
        <v>0</v>
      </c>
      <c r="O438" t="n">
        <v>0</v>
      </c>
      <c r="P438" t="n">
        <v>0</v>
      </c>
      <c r="Q438" t="n">
        <v>0</v>
      </c>
      <c r="R438" s="2" t="inlineStr"/>
    </row>
    <row r="439" ht="15" customHeight="1">
      <c r="A439" t="inlineStr">
        <is>
          <t>A 26005-2025</t>
        </is>
      </c>
      <c r="B439" s="1" t="n">
        <v>45804.67055555555</v>
      </c>
      <c r="C439" s="1" t="n">
        <v>45923</v>
      </c>
      <c r="D439" t="inlineStr">
        <is>
          <t>UPPSALA LÄN</t>
        </is>
      </c>
      <c r="E439" t="inlineStr">
        <is>
          <t>ENKÖPING</t>
        </is>
      </c>
      <c r="G439" t="n">
        <v>0.3</v>
      </c>
      <c r="H439" t="n">
        <v>0</v>
      </c>
      <c r="I439" t="n">
        <v>0</v>
      </c>
      <c r="J439" t="n">
        <v>0</v>
      </c>
      <c r="K439" t="n">
        <v>0</v>
      </c>
      <c r="L439" t="n">
        <v>0</v>
      </c>
      <c r="M439" t="n">
        <v>0</v>
      </c>
      <c r="N439" t="n">
        <v>0</v>
      </c>
      <c r="O439" t="n">
        <v>0</v>
      </c>
      <c r="P439" t="n">
        <v>0</v>
      </c>
      <c r="Q439" t="n">
        <v>0</v>
      </c>
      <c r="R439" s="2" t="inlineStr"/>
    </row>
    <row r="440" ht="15" customHeight="1">
      <c r="A440" t="inlineStr">
        <is>
          <t>A 26031-2025</t>
        </is>
      </c>
      <c r="B440" s="1" t="n">
        <v>45804.69050925926</v>
      </c>
      <c r="C440" s="1" t="n">
        <v>45923</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26041-2025</t>
        </is>
      </c>
      <c r="B441" s="1" t="n">
        <v>45804.69883101852</v>
      </c>
      <c r="C441" s="1" t="n">
        <v>45923</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26022-2025</t>
        </is>
      </c>
      <c r="B442" s="1" t="n">
        <v>45804.68006944445</v>
      </c>
      <c r="C442" s="1" t="n">
        <v>45923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59602-2024</t>
        </is>
      </c>
      <c r="B443" s="1" t="n">
        <v>45638</v>
      </c>
      <c r="C443" s="1" t="n">
        <v>45923</v>
      </c>
      <c r="D443" t="inlineStr">
        <is>
          <t>UPPSALA LÄN</t>
        </is>
      </c>
      <c r="E443" t="inlineStr">
        <is>
          <t>ENKÖPING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26011-2025</t>
        </is>
      </c>
      <c r="B444" s="1" t="n">
        <v>45804.67412037037</v>
      </c>
      <c r="C444" s="1" t="n">
        <v>45923</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14243-2025</t>
        </is>
      </c>
      <c r="B445" s="1" t="n">
        <v>45740.61288194444</v>
      </c>
      <c r="C445" s="1" t="n">
        <v>45923</v>
      </c>
      <c r="D445" t="inlineStr">
        <is>
          <t>UPPSALA LÄN</t>
        </is>
      </c>
      <c r="E445" t="inlineStr">
        <is>
          <t>ENKÖPING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19488-2022</t>
        </is>
      </c>
      <c r="B446" s="1" t="n">
        <v>44693</v>
      </c>
      <c r="C446" s="1" t="n">
        <v>45923</v>
      </c>
      <c r="D446" t="inlineStr">
        <is>
          <t>UPPSALA LÄN</t>
        </is>
      </c>
      <c r="E446" t="inlineStr">
        <is>
          <t>ENKÖPING</t>
        </is>
      </c>
      <c r="G446" t="n">
        <v>7.8</v>
      </c>
      <c r="H446" t="n">
        <v>0</v>
      </c>
      <c r="I446" t="n">
        <v>0</v>
      </c>
      <c r="J446" t="n">
        <v>0</v>
      </c>
      <c r="K446" t="n">
        <v>0</v>
      </c>
      <c r="L446" t="n">
        <v>0</v>
      </c>
      <c r="M446" t="n">
        <v>0</v>
      </c>
      <c r="N446" t="n">
        <v>0</v>
      </c>
      <c r="O446" t="n">
        <v>0</v>
      </c>
      <c r="P446" t="n">
        <v>0</v>
      </c>
      <c r="Q446" t="n">
        <v>0</v>
      </c>
      <c r="R446" s="2" t="inlineStr"/>
    </row>
    <row r="447" ht="15" customHeight="1">
      <c r="A447" t="inlineStr">
        <is>
          <t>A 41826-2024</t>
        </is>
      </c>
      <c r="B447" s="1" t="n">
        <v>45561</v>
      </c>
      <c r="C447" s="1" t="n">
        <v>45923</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16916-2022</t>
        </is>
      </c>
      <c r="B448" s="1" t="n">
        <v>44676</v>
      </c>
      <c r="C448" s="1" t="n">
        <v>45923</v>
      </c>
      <c r="D448" t="inlineStr">
        <is>
          <t>UPPSALA LÄN</t>
        </is>
      </c>
      <c r="E448" t="inlineStr">
        <is>
          <t>ENKÖPING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35067-2024</t>
        </is>
      </c>
      <c r="B449" s="1" t="n">
        <v>45527.66153935185</v>
      </c>
      <c r="C449" s="1" t="n">
        <v>45923</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44115-2024</t>
        </is>
      </c>
      <c r="B450" s="1" t="n">
        <v>45572</v>
      </c>
      <c r="C450" s="1" t="n">
        <v>45923</v>
      </c>
      <c r="D450" t="inlineStr">
        <is>
          <t>UPPSALA LÄN</t>
        </is>
      </c>
      <c r="E450" t="inlineStr">
        <is>
          <t>ENKÖPING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30634-2022</t>
        </is>
      </c>
      <c r="B451" s="1" t="n">
        <v>44763.45711805556</v>
      </c>
      <c r="C451" s="1" t="n">
        <v>45923</v>
      </c>
      <c r="D451" t="inlineStr">
        <is>
          <t>UPPSALA LÄN</t>
        </is>
      </c>
      <c r="E451" t="inlineStr">
        <is>
          <t>ENKÖPING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3300-2025</t>
        </is>
      </c>
      <c r="B452" s="1" t="n">
        <v>45679</v>
      </c>
      <c r="C452" s="1" t="n">
        <v>45923</v>
      </c>
      <c r="D452" t="inlineStr">
        <is>
          <t>UPPSALA LÄN</t>
        </is>
      </c>
      <c r="E452" t="inlineStr">
        <is>
          <t>ENKÖPING</t>
        </is>
      </c>
      <c r="G452" t="n">
        <v>8.9</v>
      </c>
      <c r="H452" t="n">
        <v>0</v>
      </c>
      <c r="I452" t="n">
        <v>0</v>
      </c>
      <c r="J452" t="n">
        <v>0</v>
      </c>
      <c r="K452" t="n">
        <v>0</v>
      </c>
      <c r="L452" t="n">
        <v>0</v>
      </c>
      <c r="M452" t="n">
        <v>0</v>
      </c>
      <c r="N452" t="n">
        <v>0</v>
      </c>
      <c r="O452" t="n">
        <v>0</v>
      </c>
      <c r="P452" t="n">
        <v>0</v>
      </c>
      <c r="Q452" t="n">
        <v>0</v>
      </c>
      <c r="R452" s="2" t="inlineStr"/>
    </row>
    <row r="453" ht="15" customHeight="1">
      <c r="A453" t="inlineStr">
        <is>
          <t>A 51120-2023</t>
        </is>
      </c>
      <c r="B453" s="1" t="n">
        <v>45219.3088425926</v>
      </c>
      <c r="C453" s="1" t="n">
        <v>45923</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26319-2022</t>
        </is>
      </c>
      <c r="B454" s="1" t="n">
        <v>44735</v>
      </c>
      <c r="C454" s="1" t="n">
        <v>45923</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54357-2023</t>
        </is>
      </c>
      <c r="B455" s="1" t="n">
        <v>45225</v>
      </c>
      <c r="C455" s="1" t="n">
        <v>45923</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4203-2021</t>
        </is>
      </c>
      <c r="B456" s="1" t="n">
        <v>44223</v>
      </c>
      <c r="C456" s="1" t="n">
        <v>45923</v>
      </c>
      <c r="D456" t="inlineStr">
        <is>
          <t>UPPSALA LÄN</t>
        </is>
      </c>
      <c r="E456" t="inlineStr">
        <is>
          <t>ENKÖPING</t>
        </is>
      </c>
      <c r="G456" t="n">
        <v>11.6</v>
      </c>
      <c r="H456" t="n">
        <v>0</v>
      </c>
      <c r="I456" t="n">
        <v>0</v>
      </c>
      <c r="J456" t="n">
        <v>0</v>
      </c>
      <c r="K456" t="n">
        <v>0</v>
      </c>
      <c r="L456" t="n">
        <v>0</v>
      </c>
      <c r="M456" t="n">
        <v>0</v>
      </c>
      <c r="N456" t="n">
        <v>0</v>
      </c>
      <c r="O456" t="n">
        <v>0</v>
      </c>
      <c r="P456" t="n">
        <v>0</v>
      </c>
      <c r="Q456" t="n">
        <v>0</v>
      </c>
      <c r="R456" s="2" t="inlineStr"/>
    </row>
    <row r="457" ht="15" customHeight="1">
      <c r="A457" t="inlineStr">
        <is>
          <t>A 27829-2025</t>
        </is>
      </c>
      <c r="B457" s="1" t="n">
        <v>45817</v>
      </c>
      <c r="C457" s="1" t="n">
        <v>45923</v>
      </c>
      <c r="D457" t="inlineStr">
        <is>
          <t>UPPSALA LÄN</t>
        </is>
      </c>
      <c r="E457" t="inlineStr">
        <is>
          <t>ENKÖPING</t>
        </is>
      </c>
      <c r="G457" t="n">
        <v>2.1</v>
      </c>
      <c r="H457" t="n">
        <v>0</v>
      </c>
      <c r="I457" t="n">
        <v>0</v>
      </c>
      <c r="J457" t="n">
        <v>0</v>
      </c>
      <c r="K457" t="n">
        <v>0</v>
      </c>
      <c r="L457" t="n">
        <v>0</v>
      </c>
      <c r="M457" t="n">
        <v>0</v>
      </c>
      <c r="N457" t="n">
        <v>0</v>
      </c>
      <c r="O457" t="n">
        <v>0</v>
      </c>
      <c r="P457" t="n">
        <v>0</v>
      </c>
      <c r="Q457" t="n">
        <v>0</v>
      </c>
      <c r="R457" s="2" t="inlineStr"/>
    </row>
    <row r="458" ht="15" customHeight="1">
      <c r="A458" t="inlineStr">
        <is>
          <t>A 13816-2021</t>
        </is>
      </c>
      <c r="B458" s="1" t="n">
        <v>44276</v>
      </c>
      <c r="C458" s="1" t="n">
        <v>45923</v>
      </c>
      <c r="D458" t="inlineStr">
        <is>
          <t>UPPSALA LÄN</t>
        </is>
      </c>
      <c r="E458" t="inlineStr">
        <is>
          <t>ENKÖPING</t>
        </is>
      </c>
      <c r="G458" t="n">
        <v>0.4</v>
      </c>
      <c r="H458" t="n">
        <v>0</v>
      </c>
      <c r="I458" t="n">
        <v>0</v>
      </c>
      <c r="J458" t="n">
        <v>0</v>
      </c>
      <c r="K458" t="n">
        <v>0</v>
      </c>
      <c r="L458" t="n">
        <v>0</v>
      </c>
      <c r="M458" t="n">
        <v>0</v>
      </c>
      <c r="N458" t="n">
        <v>0</v>
      </c>
      <c r="O458" t="n">
        <v>0</v>
      </c>
      <c r="P458" t="n">
        <v>0</v>
      </c>
      <c r="Q458" t="n">
        <v>0</v>
      </c>
      <c r="R458" s="2" t="inlineStr"/>
    </row>
    <row r="459" ht="15" customHeight="1">
      <c r="A459" t="inlineStr">
        <is>
          <t>A 63402-2023</t>
        </is>
      </c>
      <c r="B459" s="1" t="n">
        <v>45274.50646990741</v>
      </c>
      <c r="C459" s="1" t="n">
        <v>45923</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53208-2023</t>
        </is>
      </c>
      <c r="B460" s="1" t="n">
        <v>45226</v>
      </c>
      <c r="C460" s="1" t="n">
        <v>45923</v>
      </c>
      <c r="D460" t="inlineStr">
        <is>
          <t>UPPSALA LÄN</t>
        </is>
      </c>
      <c r="E460" t="inlineStr">
        <is>
          <t>ENKÖPING</t>
        </is>
      </c>
      <c r="G460" t="n">
        <v>4.3</v>
      </c>
      <c r="H460" t="n">
        <v>0</v>
      </c>
      <c r="I460" t="n">
        <v>0</v>
      </c>
      <c r="J460" t="n">
        <v>0</v>
      </c>
      <c r="K460" t="n">
        <v>0</v>
      </c>
      <c r="L460" t="n">
        <v>0</v>
      </c>
      <c r="M460" t="n">
        <v>0</v>
      </c>
      <c r="N460" t="n">
        <v>0</v>
      </c>
      <c r="O460" t="n">
        <v>0</v>
      </c>
      <c r="P460" t="n">
        <v>0</v>
      </c>
      <c r="Q460" t="n">
        <v>0</v>
      </c>
      <c r="R460" s="2" t="inlineStr"/>
    </row>
    <row r="461" ht="15" customHeight="1">
      <c r="A461" t="inlineStr">
        <is>
          <t>A 28855-2025</t>
        </is>
      </c>
      <c r="B461" s="1" t="n">
        <v>45820.58274305556</v>
      </c>
      <c r="C461" s="1" t="n">
        <v>45923</v>
      </c>
      <c r="D461" t="inlineStr">
        <is>
          <t>UPPSALA LÄN</t>
        </is>
      </c>
      <c r="E461" t="inlineStr">
        <is>
          <t>ENKÖPING</t>
        </is>
      </c>
      <c r="G461" t="n">
        <v>2.4</v>
      </c>
      <c r="H461" t="n">
        <v>0</v>
      </c>
      <c r="I461" t="n">
        <v>0</v>
      </c>
      <c r="J461" t="n">
        <v>0</v>
      </c>
      <c r="K461" t="n">
        <v>0</v>
      </c>
      <c r="L461" t="n">
        <v>0</v>
      </c>
      <c r="M461" t="n">
        <v>0</v>
      </c>
      <c r="N461" t="n">
        <v>0</v>
      </c>
      <c r="O461" t="n">
        <v>0</v>
      </c>
      <c r="P461" t="n">
        <v>0</v>
      </c>
      <c r="Q461" t="n">
        <v>0</v>
      </c>
      <c r="R461" s="2" t="inlineStr"/>
    </row>
    <row r="462" ht="15" customHeight="1">
      <c r="A462" t="inlineStr">
        <is>
          <t>A 18259-2025</t>
        </is>
      </c>
      <c r="B462" s="1" t="n">
        <v>45762</v>
      </c>
      <c r="C462" s="1" t="n">
        <v>45923</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28758-2025</t>
        </is>
      </c>
      <c r="B463" s="1" t="n">
        <v>45820.41212962963</v>
      </c>
      <c r="C463" s="1" t="n">
        <v>45923</v>
      </c>
      <c r="D463" t="inlineStr">
        <is>
          <t>UPPSALA LÄN</t>
        </is>
      </c>
      <c r="E463" t="inlineStr">
        <is>
          <t>ENKÖPING</t>
        </is>
      </c>
      <c r="G463" t="n">
        <v>2.4</v>
      </c>
      <c r="H463" t="n">
        <v>0</v>
      </c>
      <c r="I463" t="n">
        <v>0</v>
      </c>
      <c r="J463" t="n">
        <v>0</v>
      </c>
      <c r="K463" t="n">
        <v>0</v>
      </c>
      <c r="L463" t="n">
        <v>0</v>
      </c>
      <c r="M463" t="n">
        <v>0</v>
      </c>
      <c r="N463" t="n">
        <v>0</v>
      </c>
      <c r="O463" t="n">
        <v>0</v>
      </c>
      <c r="P463" t="n">
        <v>0</v>
      </c>
      <c r="Q463" t="n">
        <v>0</v>
      </c>
      <c r="R463" s="2" t="inlineStr"/>
    </row>
    <row r="464" ht="15" customHeight="1">
      <c r="A464" t="inlineStr">
        <is>
          <t>A 62158-2023</t>
        </is>
      </c>
      <c r="B464" s="1" t="n">
        <v>45267</v>
      </c>
      <c r="C464" s="1" t="n">
        <v>45923</v>
      </c>
      <c r="D464" t="inlineStr">
        <is>
          <t>UPPSALA LÄN</t>
        </is>
      </c>
      <c r="E464" t="inlineStr">
        <is>
          <t>ENKÖPING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39009-2024</t>
        </is>
      </c>
      <c r="B465" s="1" t="n">
        <v>45548</v>
      </c>
      <c r="C465" s="1" t="n">
        <v>45923</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8537-2025</t>
        </is>
      </c>
      <c r="B466" s="1" t="n">
        <v>45709</v>
      </c>
      <c r="C466" s="1" t="n">
        <v>45923</v>
      </c>
      <c r="D466" t="inlineStr">
        <is>
          <t>UPPSALA LÄN</t>
        </is>
      </c>
      <c r="E466" t="inlineStr">
        <is>
          <t>ENKÖPING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28862-2025</t>
        </is>
      </c>
      <c r="B467" s="1" t="n">
        <v>45820.59189814814</v>
      </c>
      <c r="C467" s="1" t="n">
        <v>45923</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60874-2023</t>
        </is>
      </c>
      <c r="B468" s="1" t="n">
        <v>45261.06280092592</v>
      </c>
      <c r="C468" s="1" t="n">
        <v>45923</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29093-2025</t>
        </is>
      </c>
      <c r="B469" s="1" t="n">
        <v>45821.55743055556</v>
      </c>
      <c r="C469" s="1" t="n">
        <v>45923</v>
      </c>
      <c r="D469" t="inlineStr">
        <is>
          <t>UPPSALA LÄN</t>
        </is>
      </c>
      <c r="E469" t="inlineStr">
        <is>
          <t>ENKÖPING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29477-2025</t>
        </is>
      </c>
      <c r="B470" s="1" t="n">
        <v>45824.71537037037</v>
      </c>
      <c r="C470" s="1" t="n">
        <v>45923</v>
      </c>
      <c r="D470" t="inlineStr">
        <is>
          <t>UPPSALA LÄN</t>
        </is>
      </c>
      <c r="E470" t="inlineStr">
        <is>
          <t>ENKÖPING</t>
        </is>
      </c>
      <c r="G470" t="n">
        <v>13.4</v>
      </c>
      <c r="H470" t="n">
        <v>0</v>
      </c>
      <c r="I470" t="n">
        <v>0</v>
      </c>
      <c r="J470" t="n">
        <v>0</v>
      </c>
      <c r="K470" t="n">
        <v>0</v>
      </c>
      <c r="L470" t="n">
        <v>0</v>
      </c>
      <c r="M470" t="n">
        <v>0</v>
      </c>
      <c r="N470" t="n">
        <v>0</v>
      </c>
      <c r="O470" t="n">
        <v>0</v>
      </c>
      <c r="P470" t="n">
        <v>0</v>
      </c>
      <c r="Q470" t="n">
        <v>0</v>
      </c>
      <c r="R470" s="2" t="inlineStr"/>
    </row>
    <row r="471" ht="15" customHeight="1">
      <c r="A471" t="inlineStr">
        <is>
          <t>A 3550-2023</t>
        </is>
      </c>
      <c r="B471" s="1" t="n">
        <v>44950</v>
      </c>
      <c r="C471" s="1" t="n">
        <v>45923</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26292-2022</t>
        </is>
      </c>
      <c r="B472" s="1" t="n">
        <v>44735</v>
      </c>
      <c r="C472" s="1" t="n">
        <v>45923</v>
      </c>
      <c r="D472" t="inlineStr">
        <is>
          <t>UPPSALA LÄN</t>
        </is>
      </c>
      <c r="E472" t="inlineStr">
        <is>
          <t>ENKÖPING</t>
        </is>
      </c>
      <c r="F472" t="inlineStr">
        <is>
          <t>Kyrkan</t>
        </is>
      </c>
      <c r="G472" t="n">
        <v>4.6</v>
      </c>
      <c r="H472" t="n">
        <v>0</v>
      </c>
      <c r="I472" t="n">
        <v>0</v>
      </c>
      <c r="J472" t="n">
        <v>0</v>
      </c>
      <c r="K472" t="n">
        <v>0</v>
      </c>
      <c r="L472" t="n">
        <v>0</v>
      </c>
      <c r="M472" t="n">
        <v>0</v>
      </c>
      <c r="N472" t="n">
        <v>0</v>
      </c>
      <c r="O472" t="n">
        <v>0</v>
      </c>
      <c r="P472" t="n">
        <v>0</v>
      </c>
      <c r="Q472" t="n">
        <v>0</v>
      </c>
      <c r="R472" s="2" t="inlineStr"/>
    </row>
    <row r="473" ht="15" customHeight="1">
      <c r="A473" t="inlineStr">
        <is>
          <t>A 30837-2025</t>
        </is>
      </c>
      <c r="B473" s="1" t="n">
        <v>45831.7063425926</v>
      </c>
      <c r="C473" s="1" t="n">
        <v>45923</v>
      </c>
      <c r="D473" t="inlineStr">
        <is>
          <t>UPPSALA LÄN</t>
        </is>
      </c>
      <c r="E473" t="inlineStr">
        <is>
          <t>ENKÖPING</t>
        </is>
      </c>
      <c r="G473" t="n">
        <v>3.8</v>
      </c>
      <c r="H473" t="n">
        <v>0</v>
      </c>
      <c r="I473" t="n">
        <v>0</v>
      </c>
      <c r="J473" t="n">
        <v>0</v>
      </c>
      <c r="K473" t="n">
        <v>0</v>
      </c>
      <c r="L473" t="n">
        <v>0</v>
      </c>
      <c r="M473" t="n">
        <v>0</v>
      </c>
      <c r="N473" t="n">
        <v>0</v>
      </c>
      <c r="O473" t="n">
        <v>0</v>
      </c>
      <c r="P473" t="n">
        <v>0</v>
      </c>
      <c r="Q473" t="n">
        <v>0</v>
      </c>
      <c r="R473" s="2" t="inlineStr"/>
    </row>
    <row r="474" ht="15" customHeight="1">
      <c r="A474" t="inlineStr">
        <is>
          <t>A 61207-2023</t>
        </is>
      </c>
      <c r="B474" s="1" t="n">
        <v>45264.39444444444</v>
      </c>
      <c r="C474" s="1" t="n">
        <v>45923</v>
      </c>
      <c r="D474" t="inlineStr">
        <is>
          <t>UPPSALA LÄN</t>
        </is>
      </c>
      <c r="E474" t="inlineStr">
        <is>
          <t>ENKÖPING</t>
        </is>
      </c>
      <c r="G474" t="n">
        <v>10.8</v>
      </c>
      <c r="H474" t="n">
        <v>0</v>
      </c>
      <c r="I474" t="n">
        <v>0</v>
      </c>
      <c r="J474" t="n">
        <v>0</v>
      </c>
      <c r="K474" t="n">
        <v>0</v>
      </c>
      <c r="L474" t="n">
        <v>0</v>
      </c>
      <c r="M474" t="n">
        <v>0</v>
      </c>
      <c r="N474" t="n">
        <v>0</v>
      </c>
      <c r="O474" t="n">
        <v>0</v>
      </c>
      <c r="P474" t="n">
        <v>0</v>
      </c>
      <c r="Q474" t="n">
        <v>0</v>
      </c>
      <c r="R474" s="2" t="inlineStr"/>
    </row>
    <row r="475" ht="15" customHeight="1">
      <c r="A475" t="inlineStr">
        <is>
          <t>A 840-2025</t>
        </is>
      </c>
      <c r="B475" s="1" t="n">
        <v>45665</v>
      </c>
      <c r="C475" s="1" t="n">
        <v>45923</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32477-2025</t>
        </is>
      </c>
      <c r="B476" s="1" t="n">
        <v>45838.43098379629</v>
      </c>
      <c r="C476" s="1" t="n">
        <v>45923</v>
      </c>
      <c r="D476" t="inlineStr">
        <is>
          <t>UPPSALA LÄN</t>
        </is>
      </c>
      <c r="E476" t="inlineStr">
        <is>
          <t>ENKÖPING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32031-2025</t>
        </is>
      </c>
      <c r="B477" s="1" t="n">
        <v>45835.41712962963</v>
      </c>
      <c r="C477" s="1" t="n">
        <v>45923</v>
      </c>
      <c r="D477" t="inlineStr">
        <is>
          <t>UPPSALA LÄN</t>
        </is>
      </c>
      <c r="E477" t="inlineStr">
        <is>
          <t>ENKÖPING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32111-2025</t>
        </is>
      </c>
      <c r="B478" s="1" t="n">
        <v>45835</v>
      </c>
      <c r="C478" s="1" t="n">
        <v>45923</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15740-2025</t>
        </is>
      </c>
      <c r="B479" s="1" t="n">
        <v>45748</v>
      </c>
      <c r="C479" s="1" t="n">
        <v>45923</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57848-2024</t>
        </is>
      </c>
      <c r="B480" s="1" t="n">
        <v>45631.40947916666</v>
      </c>
      <c r="C480" s="1" t="n">
        <v>45923</v>
      </c>
      <c r="D480" t="inlineStr">
        <is>
          <t>UPPSALA LÄN</t>
        </is>
      </c>
      <c r="E480" t="inlineStr">
        <is>
          <t>ENKÖPING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18994-2025</t>
        </is>
      </c>
      <c r="B481" s="1" t="n">
        <v>45764.57350694444</v>
      </c>
      <c r="C481" s="1" t="n">
        <v>45923</v>
      </c>
      <c r="D481" t="inlineStr">
        <is>
          <t>UPPSALA LÄN</t>
        </is>
      </c>
      <c r="E481" t="inlineStr">
        <is>
          <t>ENKÖPING</t>
        </is>
      </c>
      <c r="G481" t="n">
        <v>3.8</v>
      </c>
      <c r="H481" t="n">
        <v>0</v>
      </c>
      <c r="I481" t="n">
        <v>0</v>
      </c>
      <c r="J481" t="n">
        <v>0</v>
      </c>
      <c r="K481" t="n">
        <v>0</v>
      </c>
      <c r="L481" t="n">
        <v>0</v>
      </c>
      <c r="M481" t="n">
        <v>0</v>
      </c>
      <c r="N481" t="n">
        <v>0</v>
      </c>
      <c r="O481" t="n">
        <v>0</v>
      </c>
      <c r="P481" t="n">
        <v>0</v>
      </c>
      <c r="Q481" t="n">
        <v>0</v>
      </c>
      <c r="R481" s="2" t="inlineStr"/>
    </row>
    <row r="482">
      <c r="A482" t="inlineStr">
        <is>
          <t>A 49601-2024</t>
        </is>
      </c>
      <c r="B482" s="1" t="n">
        <v>45596.56288194445</v>
      </c>
      <c r="C482" s="1" t="n">
        <v>45923</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2025-09-23T10:19:13Z</dcterms:created>
  <dcterms:modified xmlns:dcterms="http://purl.org/dc/terms/" xmlns:xsi="http://www.w3.org/2001/XMLSchema-instance" xsi:type="dcterms:W3CDTF">2025-09-23T10:19:13Z</dcterms:modified>
</cp:coreProperties>
</file>