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46217</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46217</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46217</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46217</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46217</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46217</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46217</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46217</v>
      </c>
      <c r="F9" t="inlineStr">
        <is>
          <t>UPPSALA LÄN</t>
        </is>
      </c>
      <c r="G9" t="inlineStr">
        <is>
          <t>ENKÖPING</t>
        </is>
      </c>
      <c r="I9" t="n">
        <v>2.6</v>
      </c>
      <c r="J9" t="n">
        <v>2</v>
      </c>
      <c r="K9" t="n">
        <v>2</v>
      </c>
      <c r="L9" t="n">
        <v>1</v>
      </c>
      <c r="M9" t="n">
        <v>0</v>
      </c>
      <c r="N9" t="n">
        <v>1</v>
      </c>
      <c r="O9" t="n">
        <v>0</v>
      </c>
      <c r="P9" t="n">
        <v>0</v>
      </c>
      <c r="Q9" t="n">
        <v>2</v>
      </c>
      <c r="R9" t="n">
        <v>1</v>
      </c>
      <c r="S9" t="n">
        <v>5</v>
      </c>
      <c r="T9" t="n">
        <v>28</v>
      </c>
      <c r="U9" s="2" t="inlineStr">
        <is>
          <t>Bombmurkla
Fyrflikig jordstjärna
Grön sköldmossa
Grönpyrola
Kransmossa</t>
        </is>
      </c>
      <c r="V9">
        <f>HYPERLINK("https://klasma.github.io/Logging_0381/artfynd/A 31552-2023 artfynd.xlsx", "A 31552-2023")</f>
        <v/>
      </c>
      <c r="W9">
        <f>HYPERLINK("https://klasma.github.io/Logging_0381/kartor/A 31552-2023 karta.png", "A 31552-2023")</f>
        <v/>
      </c>
      <c r="Y9">
        <f>HYPERLINK("https://klasma.github.io/Logging_0381/klagomål/A 31552-2023 FSC-klagomål.docx", "A 31552-2023")</f>
        <v/>
      </c>
      <c r="Z9">
        <f>HYPERLINK("https://klasma.github.io/Logging_0381/klagomålsmail/A 31552-2023 FSC-klagomål mail.docx", "A 31552-2023")</f>
        <v/>
      </c>
      <c r="AA9">
        <f>HYPERLINK("https://klasma.github.io/Logging_0381/tillsyn/A 31552-2023 tillsynsbegäran.docx", "A 31552-2023")</f>
        <v/>
      </c>
      <c r="AB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46217</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s="2" t="inlineStr">
        <is>
          <t>Ask
Skogsalm
Fyrflikig jordstjärna
Ängsskära
Svart trolldruva</t>
        </is>
      </c>
      <c r="V10">
        <f>HYPERLINK("https://klasma.github.io/Logging_0381/artfynd/A 1988-2022 artfynd.xlsx", "A 1988-2022")</f>
        <v/>
      </c>
      <c r="W10">
        <f>HYPERLINK("https://klasma.github.io/Logging_0381/kartor/A 1988-2022 karta.png", "A 1988-2022")</f>
        <v/>
      </c>
      <c r="Y10">
        <f>HYPERLINK("https://klasma.github.io/Logging_0381/klagomål/A 1988-2022 FSC-klagomål.docx", "A 1988-2022")</f>
        <v/>
      </c>
      <c r="Z10">
        <f>HYPERLINK("https://klasma.github.io/Logging_0381/klagomålsmail/A 1988-2022 FSC-klagomål mail.docx", "A 1988-2022")</f>
        <v/>
      </c>
      <c r="AA10">
        <f>HYPERLINK("https://klasma.github.io/Logging_0381/tillsyn/A 1988-2022 tillsynsbegäran.docx", "A 1988-2022")</f>
        <v/>
      </c>
      <c r="AB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46217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46217</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46217</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46217</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53208-2023</t>
        </is>
      </c>
      <c r="B15" t="inlineStr">
        <is>
          <t>avverkningsanmälan</t>
        </is>
      </c>
      <c r="C15" t="inlineStr">
        <is>
          <t>Avverkning för annat ändamål</t>
        </is>
      </c>
      <c r="D15" s="1" t="n">
        <v>45226</v>
      </c>
      <c r="E15" s="1" t="n">
        <v>46217</v>
      </c>
      <c r="F15" t="inlineStr">
        <is>
          <t>UPPSALA LÄN</t>
        </is>
      </c>
      <c r="G15" t="inlineStr">
        <is>
          <t>ENKÖPING</t>
        </is>
      </c>
      <c r="I15" t="n">
        <v>4.3</v>
      </c>
      <c r="J15" t="n">
        <v>1</v>
      </c>
      <c r="K15" t="n">
        <v>0</v>
      </c>
      <c r="L15" t="n">
        <v>2</v>
      </c>
      <c r="M15" t="n">
        <v>0</v>
      </c>
      <c r="N15" t="n">
        <v>0</v>
      </c>
      <c r="O15" t="n">
        <v>0</v>
      </c>
      <c r="P15" t="n">
        <v>0</v>
      </c>
      <c r="Q15" t="n">
        <v>2</v>
      </c>
      <c r="R15" t="n">
        <v>0</v>
      </c>
      <c r="S15" t="n">
        <v>3</v>
      </c>
      <c r="T15" t="n">
        <v>3</v>
      </c>
      <c r="U15" s="2" t="inlineStr">
        <is>
          <t>Jungfrulin
Älg
Vanlig padda</t>
        </is>
      </c>
      <c r="V15">
        <f>HYPERLINK("https://klasma.github.io/Logging_0381/artfynd/A 53208-2023 artfynd.xlsx", "A 53208-2023")</f>
        <v/>
      </c>
      <c r="W15">
        <f>HYPERLINK("https://klasma.github.io/Logging_0381/kartor/A 53208-2023 karta.png", "A 53208-2023")</f>
        <v/>
      </c>
      <c r="Y15">
        <f>HYPERLINK("https://klasma.github.io/Logging_0381/klagomål/A 53208-2023 FSC-klagomål.docx", "A 53208-2023")</f>
        <v/>
      </c>
      <c r="Z15">
        <f>HYPERLINK("https://klasma.github.io/Logging_0381/klagomålsmail/A 53208-2023 FSC-klagomål mail.docx", "A 53208-2023")</f>
        <v/>
      </c>
      <c r="AA15">
        <f>HYPERLINK("https://klasma.github.io/Logging_0381/tillsyn/A 53208-2023 tillsynsbegäran.docx", "A 53208-2023")</f>
        <v/>
      </c>
      <c r="AB15">
        <f>HYPERLINK("https://klasma.github.io/Logging_0381/tillsynsmail/A 53208-2023 tillsynsbegäran mail.docx", "A 53208-2023")</f>
        <v/>
      </c>
    </row>
    <row r="16" ht="15" customHeight="1">
      <c r="A16" t="inlineStr">
        <is>
          <t>A 14229-2026</t>
        </is>
      </c>
      <c r="B16" t="inlineStr">
        <is>
          <t>avverkningsanmälan</t>
        </is>
      </c>
      <c r="C16" t="inlineStr">
        <is>
          <t>Avverkning för annat ändamål</t>
        </is>
      </c>
      <c r="D16" s="1" t="n">
        <v>46099</v>
      </c>
      <c r="E16" s="1" t="n">
        <v>46217</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s="2" t="inlineStr">
        <is>
          <t>Knärot
Talltita
Källpraktmossa</t>
        </is>
      </c>
      <c r="V16">
        <f>HYPERLINK("https://klasma.github.io/Logging_0381/artfynd/A 14229-2026 artfynd.xlsx", "A 14229-2026")</f>
        <v/>
      </c>
      <c r="W16">
        <f>HYPERLINK("https://klasma.github.io/Logging_0381/kartor/A 14229-2026 karta.png", "A 14229-2026")</f>
        <v/>
      </c>
      <c r="X16">
        <f>HYPERLINK("https://klasma.github.io/Logging_0381/knärot/A 14229-2026 karta knärot.png", "A 14229-2026")</f>
        <v/>
      </c>
      <c r="Y16">
        <f>HYPERLINK("https://klasma.github.io/Logging_0381/klagomål/A 14229-2026 FSC-klagomål.docx", "A 14229-2026")</f>
        <v/>
      </c>
      <c r="Z16">
        <f>HYPERLINK("https://klasma.github.io/Logging_0381/klagomålsmail/A 14229-2026 FSC-klagomål mail.docx", "A 14229-2026")</f>
        <v/>
      </c>
      <c r="AA16">
        <f>HYPERLINK("https://klasma.github.io/Logging_0381/tillsyn/A 14229-2026 tillsynsbegäran.docx", "A 14229-2026")</f>
        <v/>
      </c>
      <c r="AB16">
        <f>HYPERLINK("https://klasma.github.io/Logging_0381/tillsynsmail/A 14229-2026 tillsynsbegäran mail.docx", "A 14229-2026")</f>
        <v/>
      </c>
      <c r="AC16">
        <f>HYPERLINK("https://klasma.github.io/Logging_0381/fåglar/A 14229-2026 prioriterade fågelarter.docx", "A 14229-2026")</f>
        <v/>
      </c>
    </row>
    <row r="17" ht="15" customHeight="1">
      <c r="A17" t="inlineStr">
        <is>
          <t>A 50105-2023</t>
        </is>
      </c>
      <c r="B17" t="inlineStr">
        <is>
          <t>avverkningsanmälan</t>
        </is>
      </c>
      <c r="C17" t="inlineStr">
        <is>
          <t>Föryngringsavverkning</t>
        </is>
      </c>
      <c r="D17" s="1" t="n">
        <v>45215</v>
      </c>
      <c r="E17" s="1" t="n">
        <v>46217</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s="2" t="inlineStr">
        <is>
          <t>Smalskaftslav
Ullticka
Gröngöling</t>
        </is>
      </c>
      <c r="V17">
        <f>HYPERLINK("https://klasma.github.io/Logging_0381/artfynd/A 50105-2023 artfynd.xlsx", "A 50105-2023")</f>
        <v/>
      </c>
      <c r="W17">
        <f>HYPERLINK("https://klasma.github.io/Logging_0381/kartor/A 50105-2023 karta.png", "A 50105-2023")</f>
        <v/>
      </c>
      <c r="Y17">
        <f>HYPERLINK("https://klasma.github.io/Logging_0381/klagomål/A 50105-2023 FSC-klagomål.docx", "A 50105-2023")</f>
        <v/>
      </c>
      <c r="Z17">
        <f>HYPERLINK("https://klasma.github.io/Logging_0381/klagomålsmail/A 50105-2023 FSC-klagomål mail.docx", "A 50105-2023")</f>
        <v/>
      </c>
      <c r="AA17">
        <f>HYPERLINK("https://klasma.github.io/Logging_0381/tillsyn/A 50105-2023 tillsynsbegäran.docx", "A 50105-2023")</f>
        <v/>
      </c>
      <c r="AB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46217</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46217</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46217</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s="2" t="inlineStr">
        <is>
          <t>Backklöver
Solvända</t>
        </is>
      </c>
      <c r="V20">
        <f>HYPERLINK("https://klasma.github.io/Logging_0381/artfynd/A 46103-2023 artfynd.xlsx", "A 46103-2023")</f>
        <v/>
      </c>
      <c r="W20">
        <f>HYPERLINK("https://klasma.github.io/Logging_0381/kartor/A 46103-2023 karta.png", "A 46103-2023")</f>
        <v/>
      </c>
      <c r="Y20">
        <f>HYPERLINK("https://klasma.github.io/Logging_0381/klagomål/A 46103-2023 FSC-klagomål.docx", "A 46103-2023")</f>
        <v/>
      </c>
      <c r="Z20">
        <f>HYPERLINK("https://klasma.github.io/Logging_0381/klagomålsmail/A 46103-2023 FSC-klagomål mail.docx", "A 46103-2023")</f>
        <v/>
      </c>
      <c r="AA20">
        <f>HYPERLINK("https://klasma.github.io/Logging_0381/tillsyn/A 46103-2023 tillsynsbegäran.docx", "A 46103-2023")</f>
        <v/>
      </c>
      <c r="AB20">
        <f>HYPERLINK("https://klasma.github.io/Logging_0381/tillsynsmail/A 46103-2023 tillsynsbegäran mail.docx", "A 46103-2023")</f>
        <v/>
      </c>
    </row>
    <row r="21" ht="15" customHeight="1">
      <c r="A21" t="inlineStr">
        <is>
          <t>A 29510-2025</t>
        </is>
      </c>
      <c r="B21" t="inlineStr">
        <is>
          <t>avverkningsanmälan</t>
        </is>
      </c>
      <c r="C21" t="inlineStr">
        <is>
          <t>Föryngringsavverkning</t>
        </is>
      </c>
      <c r="D21" s="1" t="n">
        <v>45825</v>
      </c>
      <c r="E21" s="1" t="n">
        <v>46217</v>
      </c>
      <c r="F21" t="inlineStr">
        <is>
          <t>UPPSALA LÄN</t>
        </is>
      </c>
      <c r="G21" t="inlineStr">
        <is>
          <t>ENKÖPING</t>
        </is>
      </c>
      <c r="I21" t="n">
        <v>2.4</v>
      </c>
      <c r="J21" t="n">
        <v>1</v>
      </c>
      <c r="K21" t="n">
        <v>0</v>
      </c>
      <c r="L21" t="n">
        <v>0</v>
      </c>
      <c r="M21" t="n">
        <v>1</v>
      </c>
      <c r="N21" t="n">
        <v>0</v>
      </c>
      <c r="O21" t="n">
        <v>0</v>
      </c>
      <c r="P21" t="n">
        <v>0</v>
      </c>
      <c r="Q21" t="n">
        <v>1</v>
      </c>
      <c r="R21" t="n">
        <v>1</v>
      </c>
      <c r="S21" t="n">
        <v>2</v>
      </c>
      <c r="T21" t="n">
        <v>2</v>
      </c>
      <c r="U21" s="2" t="inlineStr">
        <is>
          <t>Toppjungfrulin
Blåsippa</t>
        </is>
      </c>
      <c r="V21">
        <f>HYPERLINK("https://klasma.github.io/Logging_0381/artfynd/A 29510-2025 artfynd.xlsx", "A 29510-2025")</f>
        <v/>
      </c>
      <c r="W21">
        <f>HYPERLINK("https://klasma.github.io/Logging_0381/kartor/A 29510-2025 karta.png", "A 29510-2025")</f>
        <v/>
      </c>
      <c r="Y21">
        <f>HYPERLINK("https://klasma.github.io/Logging_0381/klagomål/A 29510-2025 FSC-klagomål.docx", "A 29510-2025")</f>
        <v/>
      </c>
      <c r="Z21">
        <f>HYPERLINK("https://klasma.github.io/Logging_0381/klagomålsmail/A 29510-2025 FSC-klagomål mail.docx", "A 29510-2025")</f>
        <v/>
      </c>
      <c r="AA21">
        <f>HYPERLINK("https://klasma.github.io/Logging_0381/tillsyn/A 29510-2025 tillsynsbegäran.docx", "A 29510-2025")</f>
        <v/>
      </c>
      <c r="AB21">
        <f>HYPERLINK("https://klasma.github.io/Logging_0381/tillsynsmail/A 29510-2025 tillsynsbegäran mail.docx", "A 29510-2025")</f>
        <v/>
      </c>
    </row>
    <row r="22" ht="15" customHeight="1">
      <c r="A22" t="inlineStr">
        <is>
          <t>A 45116-2023</t>
        </is>
      </c>
      <c r="B22" t="inlineStr">
        <is>
          <t>avverkningsanmälan</t>
        </is>
      </c>
      <c r="C22" t="inlineStr">
        <is>
          <t>Föryngringsavverkning</t>
        </is>
      </c>
      <c r="D22" s="1" t="n">
        <v>45191</v>
      </c>
      <c r="E22" s="1" t="n">
        <v>46217</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s="2" t="inlineStr">
        <is>
          <t>Mindre bastardsvärmare
Rävticka</t>
        </is>
      </c>
      <c r="V22">
        <f>HYPERLINK("https://klasma.github.io/Logging_0381/artfynd/A 45116-2023 artfynd.xlsx", "A 45116-2023")</f>
        <v/>
      </c>
      <c r="W22">
        <f>HYPERLINK("https://klasma.github.io/Logging_0381/kartor/A 45116-2023 karta.png", "A 45116-2023")</f>
        <v/>
      </c>
      <c r="Y22">
        <f>HYPERLINK("https://klasma.github.io/Logging_0381/klagomål/A 45116-2023 FSC-klagomål.docx", "A 45116-2023")</f>
        <v/>
      </c>
      <c r="Z22">
        <f>HYPERLINK("https://klasma.github.io/Logging_0381/klagomålsmail/A 45116-2023 FSC-klagomål mail.docx", "A 45116-2023")</f>
        <v/>
      </c>
      <c r="AA22">
        <f>HYPERLINK("https://klasma.github.io/Logging_0381/tillsyn/A 45116-2023 tillsynsbegäran.docx", "A 45116-2023")</f>
        <v/>
      </c>
      <c r="AB22">
        <f>HYPERLINK("https://klasma.github.io/Logging_0381/tillsynsmail/A 45116-2023 tillsynsbegäran mail.docx", "A 45116-2023")</f>
        <v/>
      </c>
    </row>
    <row r="23" ht="15" customHeight="1">
      <c r="A23" t="inlineStr">
        <is>
          <t>A 9147-2026</t>
        </is>
      </c>
      <c r="B23" t="inlineStr">
        <is>
          <t>avverkningsanmälan</t>
        </is>
      </c>
      <c r="C23" t="inlineStr">
        <is>
          <t>Föryngringsavverkning</t>
        </is>
      </c>
      <c r="D23" s="1" t="n">
        <v>46070</v>
      </c>
      <c r="E23" s="1" t="n">
        <v>46217</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s="2" t="inlineStr">
        <is>
          <t>Dropptaggsvamp
Motaggsvamp</t>
        </is>
      </c>
      <c r="V23">
        <f>HYPERLINK("https://klasma.github.io/Logging_0381/artfynd/A 9147-2026 artfynd.xlsx", "A 9147-2026")</f>
        <v/>
      </c>
      <c r="W23">
        <f>HYPERLINK("https://klasma.github.io/Logging_0381/kartor/A 9147-2026 karta.png", "A 9147-2026")</f>
        <v/>
      </c>
      <c r="Y23">
        <f>HYPERLINK("https://klasma.github.io/Logging_0381/klagomål/A 9147-2026 FSC-klagomål.docx", "A 9147-2026")</f>
        <v/>
      </c>
      <c r="Z23">
        <f>HYPERLINK("https://klasma.github.io/Logging_0381/klagomålsmail/A 9147-2026 FSC-klagomål mail.docx", "A 9147-2026")</f>
        <v/>
      </c>
      <c r="AA23">
        <f>HYPERLINK("https://klasma.github.io/Logging_0381/tillsyn/A 9147-2026 tillsynsbegäran.docx", "A 9147-2026")</f>
        <v/>
      </c>
      <c r="AB23">
        <f>HYPERLINK("https://klasma.github.io/Logging_0381/tillsynsmail/A 9147-2026 tillsynsbegäran mail.docx", "A 9147-2026")</f>
        <v/>
      </c>
    </row>
    <row r="24" ht="15" customHeight="1">
      <c r="A24" t="inlineStr">
        <is>
          <t>A 18302-2025</t>
        </is>
      </c>
      <c r="B24" t="inlineStr">
        <is>
          <t>avverkningsanmälan</t>
        </is>
      </c>
      <c r="C24" t="inlineStr">
        <is>
          <t>Föryngringsavverkning</t>
        </is>
      </c>
      <c r="D24" s="1" t="n">
        <v>45762</v>
      </c>
      <c r="E24" s="1" t="n">
        <v>46217</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s="2" t="inlineStr">
        <is>
          <t>Backtimjan
Solvända</t>
        </is>
      </c>
      <c r="V24">
        <f>HYPERLINK("https://klasma.github.io/Logging_0381/artfynd/A 18302-2025 artfynd.xlsx", "A 18302-2025")</f>
        <v/>
      </c>
      <c r="W24">
        <f>HYPERLINK("https://klasma.github.io/Logging_0381/kartor/A 18302-2025 karta.png", "A 18302-2025")</f>
        <v/>
      </c>
      <c r="Y24">
        <f>HYPERLINK("https://klasma.github.io/Logging_0381/klagomål/A 18302-2025 FSC-klagomål.docx", "A 18302-2025")</f>
        <v/>
      </c>
      <c r="Z24">
        <f>HYPERLINK("https://klasma.github.io/Logging_0381/klagomålsmail/A 18302-2025 FSC-klagomål mail.docx", "A 18302-2025")</f>
        <v/>
      </c>
      <c r="AA24">
        <f>HYPERLINK("https://klasma.github.io/Logging_0381/tillsyn/A 18302-2025 tillsynsbegäran.docx", "A 18302-2025")</f>
        <v/>
      </c>
      <c r="AB24">
        <f>HYPERLINK("https://klasma.github.io/Logging_0381/tillsynsmail/A 18302-2025 tillsynsbegäran mail.docx", "A 18302-2025")</f>
        <v/>
      </c>
    </row>
    <row r="25" ht="15" customHeight="1">
      <c r="A25" t="inlineStr">
        <is>
          <t>A 36523-2021</t>
        </is>
      </c>
      <c r="B25" t="inlineStr">
        <is>
          <t>avverkningsanmälan</t>
        </is>
      </c>
      <c r="C25" t="inlineStr">
        <is>
          <t>Föryngringsavverkning</t>
        </is>
      </c>
      <c r="D25" s="1" t="n">
        <v>44391</v>
      </c>
      <c r="E25" s="1" t="n">
        <v>46217</v>
      </c>
      <c r="F25" t="inlineStr">
        <is>
          <t>UPPSALA LÄN</t>
        </is>
      </c>
      <c r="G25" t="inlineStr">
        <is>
          <t>ENKÖPING</t>
        </is>
      </c>
      <c r="I25" t="n">
        <v>3.5</v>
      </c>
      <c r="J25" t="n">
        <v>1</v>
      </c>
      <c r="K25" t="n">
        <v>0</v>
      </c>
      <c r="L25" t="n">
        <v>0</v>
      </c>
      <c r="M25" t="n">
        <v>0</v>
      </c>
      <c r="N25" t="n">
        <v>0</v>
      </c>
      <c r="O25" t="n">
        <v>0</v>
      </c>
      <c r="P25" t="n">
        <v>0</v>
      </c>
      <c r="Q25" t="n">
        <v>0</v>
      </c>
      <c r="R25" t="n">
        <v>0</v>
      </c>
      <c r="S25" t="n">
        <v>1</v>
      </c>
      <c r="T25" t="n">
        <v>1</v>
      </c>
      <c r="U25" s="2" t="inlineStr">
        <is>
          <t>Spillkråka</t>
        </is>
      </c>
      <c r="V25">
        <f>HYPERLINK("https://klasma.github.io/Logging_0381/artfynd/A 36523-2021 artfynd.xlsx", "A 36523-2021")</f>
        <v/>
      </c>
      <c r="W25">
        <f>HYPERLINK("https://klasma.github.io/Logging_0381/kartor/A 36523-2021 karta.png", "A 36523-2021")</f>
        <v/>
      </c>
      <c r="Y25">
        <f>HYPERLINK("https://klasma.github.io/Logging_0381/klagomål/A 36523-2021 FSC-klagomål.docx", "A 36523-2021")</f>
        <v/>
      </c>
      <c r="Z25">
        <f>HYPERLINK("https://klasma.github.io/Logging_0381/klagomålsmail/A 36523-2021 FSC-klagomål mail.docx", "A 36523-2021")</f>
        <v/>
      </c>
      <c r="AA25">
        <f>HYPERLINK("https://klasma.github.io/Logging_0381/tillsyn/A 36523-2021 tillsynsbegäran.docx", "A 36523-2021")</f>
        <v/>
      </c>
      <c r="AB25">
        <f>HYPERLINK("https://klasma.github.io/Logging_0381/tillsynsmail/A 36523-2021 tillsynsbegäran mail.docx", "A 36523-2021")</f>
        <v/>
      </c>
      <c r="AC25">
        <f>HYPERLINK("https://klasma.github.io/Logging_0381/fåglar/A 36523-2021 prioriterade fågelarter.docx", "A 36523-2021")</f>
        <v/>
      </c>
    </row>
    <row r="26" ht="15" customHeight="1">
      <c r="A26" t="inlineStr">
        <is>
          <t>A 68127-2021</t>
        </is>
      </c>
      <c r="B26" t="inlineStr">
        <is>
          <t>avverkningsanmälan</t>
        </is>
      </c>
      <c r="C26" t="inlineStr">
        <is>
          <t>Föryngringsavverkning</t>
        </is>
      </c>
      <c r="D26" s="1" t="n">
        <v>44526</v>
      </c>
      <c r="E26" s="1" t="n">
        <v>46217</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s="2" t="inlineStr">
        <is>
          <t>Vedticka</t>
        </is>
      </c>
      <c r="V26">
        <f>HYPERLINK("https://klasma.github.io/Logging_0381/artfynd/A 68127-2021 artfynd.xlsx", "A 68127-2021")</f>
        <v/>
      </c>
      <c r="W26">
        <f>HYPERLINK("https://klasma.github.io/Logging_0381/kartor/A 68127-2021 karta.png", "A 68127-2021")</f>
        <v/>
      </c>
      <c r="Y26">
        <f>HYPERLINK("https://klasma.github.io/Logging_0381/klagomål/A 68127-2021 FSC-klagomål.docx", "A 68127-2021")</f>
        <v/>
      </c>
      <c r="Z26">
        <f>HYPERLINK("https://klasma.github.io/Logging_0381/klagomålsmail/A 68127-2021 FSC-klagomål mail.docx", "A 68127-2021")</f>
        <v/>
      </c>
      <c r="AA26">
        <f>HYPERLINK("https://klasma.github.io/Logging_0381/tillsyn/A 68127-2021 tillsynsbegäran.docx", "A 68127-2021")</f>
        <v/>
      </c>
      <c r="AB26">
        <f>HYPERLINK("https://klasma.github.io/Logging_0381/tillsynsmail/A 68127-2021 tillsynsbegäran mail.docx", "A 68127-2021")</f>
        <v/>
      </c>
    </row>
    <row r="27" ht="15" customHeight="1">
      <c r="A27" t="inlineStr">
        <is>
          <t>A 60289-2022</t>
        </is>
      </c>
      <c r="B27" t="inlineStr">
        <is>
          <t>avverkningsanmälan</t>
        </is>
      </c>
      <c r="C27" t="inlineStr">
        <is>
          <t>Föryngringsavverkning</t>
        </is>
      </c>
      <c r="D27" s="1" t="n">
        <v>44910</v>
      </c>
      <c r="E27" s="1" t="n">
        <v>46217</v>
      </c>
      <c r="F27" t="inlineStr">
        <is>
          <t>UPPSALA LÄN</t>
        </is>
      </c>
      <c r="G27" t="inlineStr">
        <is>
          <t>ENKÖPING</t>
        </is>
      </c>
      <c r="I27" t="n">
        <v>3.2</v>
      </c>
      <c r="J27" t="n">
        <v>0</v>
      </c>
      <c r="K27" t="n">
        <v>1</v>
      </c>
      <c r="L27" t="n">
        <v>0</v>
      </c>
      <c r="M27" t="n">
        <v>0</v>
      </c>
      <c r="N27" t="n">
        <v>0</v>
      </c>
      <c r="O27" t="n">
        <v>0</v>
      </c>
      <c r="P27" t="n">
        <v>0</v>
      </c>
      <c r="Q27" t="n">
        <v>0</v>
      </c>
      <c r="R27" t="n">
        <v>0</v>
      </c>
      <c r="S27" t="n">
        <v>1</v>
      </c>
      <c r="T27" t="n">
        <v>3</v>
      </c>
      <c r="U27" s="2" t="inlineStr">
        <is>
          <t>Mindre märgborre</t>
        </is>
      </c>
      <c r="V27">
        <f>HYPERLINK("https://klasma.github.io/Logging_0381/artfynd/A 60289-2022 artfynd.xlsx", "A 60289-2022")</f>
        <v/>
      </c>
      <c r="W27">
        <f>HYPERLINK("https://klasma.github.io/Logging_0381/kartor/A 60289-2022 karta.png", "A 60289-2022")</f>
        <v/>
      </c>
      <c r="Y27">
        <f>HYPERLINK("https://klasma.github.io/Logging_0381/klagomål/A 60289-2022 FSC-klagomål.docx", "A 60289-2022")</f>
        <v/>
      </c>
      <c r="Z27">
        <f>HYPERLINK("https://klasma.github.io/Logging_0381/klagomålsmail/A 60289-2022 FSC-klagomål mail.docx", "A 60289-2022")</f>
        <v/>
      </c>
      <c r="AA27">
        <f>HYPERLINK("https://klasma.github.io/Logging_0381/tillsyn/A 60289-2022 tillsynsbegäran.docx", "A 60289-2022")</f>
        <v/>
      </c>
      <c r="AB27">
        <f>HYPERLINK("https://klasma.github.io/Logging_0381/tillsynsmail/A 60289-2022 tillsynsbegäran mail.docx", "A 60289-2022")</f>
        <v/>
      </c>
    </row>
    <row r="28" ht="15" customHeight="1">
      <c r="A28" t="inlineStr">
        <is>
          <t>A 23961-2022</t>
        </is>
      </c>
      <c r="B28" t="inlineStr">
        <is>
          <t>avverkningsanmälan</t>
        </is>
      </c>
      <c r="C28" t="inlineStr">
        <is>
          <t>Föryngringsavverkning</t>
        </is>
      </c>
      <c r="D28" s="1" t="n">
        <v>44722</v>
      </c>
      <c r="E28" s="1" t="n">
        <v>46217</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s="2" t="inlineStr">
        <is>
          <t>Blåsippa</t>
        </is>
      </c>
      <c r="V28">
        <f>HYPERLINK("https://klasma.github.io/Logging_0381/artfynd/A 23961-2022 artfynd.xlsx", "A 23961-2022")</f>
        <v/>
      </c>
      <c r="W28">
        <f>HYPERLINK("https://klasma.github.io/Logging_0381/kartor/A 23961-2022 karta.png", "A 23961-2022")</f>
        <v/>
      </c>
      <c r="Y28">
        <f>HYPERLINK("https://klasma.github.io/Logging_0381/klagomål/A 23961-2022 FSC-klagomål.docx", "A 23961-2022")</f>
        <v/>
      </c>
      <c r="Z28">
        <f>HYPERLINK("https://klasma.github.io/Logging_0381/klagomålsmail/A 23961-2022 FSC-klagomål mail.docx", "A 23961-2022")</f>
        <v/>
      </c>
      <c r="AA28">
        <f>HYPERLINK("https://klasma.github.io/Logging_0381/tillsyn/A 23961-2022 tillsynsbegäran.docx", "A 23961-2022")</f>
        <v/>
      </c>
      <c r="AB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46217</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s="2" t="inlineStr">
        <is>
          <t>Blåsippa</t>
        </is>
      </c>
      <c r="V29">
        <f>HYPERLINK("https://klasma.github.io/Logging_0381/artfynd/A 28900-2024 artfynd.xlsx", "A 28900-2024")</f>
        <v/>
      </c>
      <c r="W29">
        <f>HYPERLINK("https://klasma.github.io/Logging_0381/kartor/A 28900-2024 karta.png", "A 28900-2024")</f>
        <v/>
      </c>
      <c r="Y29">
        <f>HYPERLINK("https://klasma.github.io/Logging_0381/klagomål/A 28900-2024 FSC-klagomål.docx", "A 28900-2024")</f>
        <v/>
      </c>
      <c r="Z29">
        <f>HYPERLINK("https://klasma.github.io/Logging_0381/klagomålsmail/A 28900-2024 FSC-klagomål mail.docx", "A 28900-2024")</f>
        <v/>
      </c>
      <c r="AA29">
        <f>HYPERLINK("https://klasma.github.io/Logging_0381/tillsyn/A 28900-2024 tillsynsbegäran.docx", "A 28900-2024")</f>
        <v/>
      </c>
      <c r="AB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46217</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s="2" t="inlineStr">
        <is>
          <t>Skogsduva</t>
        </is>
      </c>
      <c r="V30">
        <f>HYPERLINK("https://klasma.github.io/Logging_0381/artfynd/A 1524-2023 artfynd.xlsx", "A 1524-2023")</f>
        <v/>
      </c>
      <c r="W30">
        <f>HYPERLINK("https://klasma.github.io/Logging_0381/kartor/A 1524-2023 karta.png", "A 1524-2023")</f>
        <v/>
      </c>
      <c r="Y30">
        <f>HYPERLINK("https://klasma.github.io/Logging_0381/klagomål/A 1524-2023 FSC-klagomål.docx", "A 1524-2023")</f>
        <v/>
      </c>
      <c r="Z30">
        <f>HYPERLINK("https://klasma.github.io/Logging_0381/klagomålsmail/A 1524-2023 FSC-klagomål mail.docx", "A 1524-2023")</f>
        <v/>
      </c>
      <c r="AA30">
        <f>HYPERLINK("https://klasma.github.io/Logging_0381/tillsyn/A 1524-2023 tillsynsbegäran.docx", "A 1524-2023")</f>
        <v/>
      </c>
      <c r="AB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46217</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s="2" t="inlineStr">
        <is>
          <t>Fönsterlav</t>
        </is>
      </c>
      <c r="V31">
        <f>HYPERLINK("https://klasma.github.io/Logging_0381/artfynd/A 6242-2025 artfynd.xlsx", "A 6242-2025")</f>
        <v/>
      </c>
      <c r="W31">
        <f>HYPERLINK("https://klasma.github.io/Logging_0381/kartor/A 6242-2025 karta.png", "A 6242-2025")</f>
        <v/>
      </c>
      <c r="Y31">
        <f>HYPERLINK("https://klasma.github.io/Logging_0381/klagomål/A 6242-2025 FSC-klagomål.docx", "A 6242-2025")</f>
        <v/>
      </c>
      <c r="Z31">
        <f>HYPERLINK("https://klasma.github.io/Logging_0381/klagomålsmail/A 6242-2025 FSC-klagomål mail.docx", "A 6242-2025")</f>
        <v/>
      </c>
      <c r="AA31">
        <f>HYPERLINK("https://klasma.github.io/Logging_0381/tillsyn/A 6242-2025 tillsynsbegäran.docx", "A 6242-2025")</f>
        <v/>
      </c>
      <c r="AB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46217</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s="2" t="inlineStr">
        <is>
          <t>Jungfrulin</t>
        </is>
      </c>
      <c r="V32">
        <f>HYPERLINK("https://klasma.github.io/Logging_0381/artfynd/A 20440-2025 artfynd.xlsx", "A 20440-2025")</f>
        <v/>
      </c>
      <c r="W32">
        <f>HYPERLINK("https://klasma.github.io/Logging_0381/kartor/A 20440-2025 karta.png", "A 20440-2025")</f>
        <v/>
      </c>
      <c r="Y32">
        <f>HYPERLINK("https://klasma.github.io/Logging_0381/klagomål/A 20440-2025 FSC-klagomål.docx", "A 20440-2025")</f>
        <v/>
      </c>
      <c r="Z32">
        <f>HYPERLINK("https://klasma.github.io/Logging_0381/klagomålsmail/A 20440-2025 FSC-klagomål mail.docx", "A 20440-2025")</f>
        <v/>
      </c>
      <c r="AA32">
        <f>HYPERLINK("https://klasma.github.io/Logging_0381/tillsyn/A 20440-2025 tillsynsbegäran.docx", "A 20440-2025")</f>
        <v/>
      </c>
      <c r="AB32">
        <f>HYPERLINK("https://klasma.github.io/Logging_0381/tillsynsmail/A 20440-2025 tillsynsbegäran mail.docx", "A 20440-2025")</f>
        <v/>
      </c>
    </row>
    <row r="33" ht="15" customHeight="1">
      <c r="A33" t="inlineStr">
        <is>
          <t>A 37170-2021</t>
        </is>
      </c>
      <c r="B33" t="inlineStr">
        <is>
          <t>avverkningsanmälan</t>
        </is>
      </c>
      <c r="C33" t="inlineStr">
        <is>
          <t>Föryngringsavverkning</t>
        </is>
      </c>
      <c r="D33" s="1" t="n">
        <v>44395</v>
      </c>
      <c r="E33" s="1" t="n">
        <v>46217</v>
      </c>
      <c r="F33" t="inlineStr">
        <is>
          <t>UPPSALA LÄN</t>
        </is>
      </c>
      <c r="G33" t="inlineStr">
        <is>
          <t>ENKÖPING</t>
        </is>
      </c>
      <c r="I33" t="n">
        <v>1.5</v>
      </c>
      <c r="J33" t="n">
        <v>0</v>
      </c>
      <c r="K33" t="n">
        <v>0</v>
      </c>
      <c r="L33" t="n">
        <v>1</v>
      </c>
      <c r="M33" t="n">
        <v>0</v>
      </c>
      <c r="N33" t="n">
        <v>0</v>
      </c>
      <c r="O33" t="n">
        <v>0</v>
      </c>
      <c r="P33" t="n">
        <v>0</v>
      </c>
      <c r="Q33" t="n">
        <v>1</v>
      </c>
      <c r="R33" t="n">
        <v>0</v>
      </c>
      <c r="S33" t="n">
        <v>1</v>
      </c>
      <c r="T33" t="n">
        <v>2</v>
      </c>
      <c r="U33" s="2" t="inlineStr">
        <is>
          <t>Jättekamskivling</t>
        </is>
      </c>
      <c r="V33">
        <f>HYPERLINK("https://klasma.github.io/Logging_0381/artfynd/A 37170-2021 artfynd.xlsx", "A 37170-2021")</f>
        <v/>
      </c>
      <c r="W33">
        <f>HYPERLINK("https://klasma.github.io/Logging_0381/kartor/A 37170-2021 karta.png", "A 37170-2021")</f>
        <v/>
      </c>
      <c r="Y33">
        <f>HYPERLINK("https://klasma.github.io/Logging_0381/klagomål/A 37170-2021 FSC-klagomål.docx", "A 37170-2021")</f>
        <v/>
      </c>
      <c r="Z33">
        <f>HYPERLINK("https://klasma.github.io/Logging_0381/klagomålsmail/A 37170-2021 FSC-klagomål mail.docx", "A 37170-2021")</f>
        <v/>
      </c>
      <c r="AA33">
        <f>HYPERLINK("https://klasma.github.io/Logging_0381/tillsyn/A 37170-2021 tillsynsbegäran.docx", "A 37170-2021")</f>
        <v/>
      </c>
      <c r="AB33">
        <f>HYPERLINK("https://klasma.github.io/Logging_0381/tillsynsmail/A 37170-2021 tillsynsbegäran mail.docx", "A 37170-2021")</f>
        <v/>
      </c>
    </row>
    <row r="34" ht="15" customHeight="1">
      <c r="A34" t="inlineStr">
        <is>
          <t>A 60174-2025</t>
        </is>
      </c>
      <c r="B34" t="inlineStr">
        <is>
          <t>avverkningsanmälan</t>
        </is>
      </c>
      <c r="C34" t="inlineStr">
        <is>
          <t>Föryngringsavverkning</t>
        </is>
      </c>
      <c r="D34" s="1" t="n">
        <v>45994</v>
      </c>
      <c r="E34" s="1" t="n">
        <v>46217</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s="2" t="inlineStr">
        <is>
          <t>Rosenfink</t>
        </is>
      </c>
      <c r="V34">
        <f>HYPERLINK("https://klasma.github.io/Logging_0381/artfynd/A 60174-2025 artfynd.xlsx", "A 60174-2025")</f>
        <v/>
      </c>
      <c r="W34">
        <f>HYPERLINK("https://klasma.github.io/Logging_0381/kartor/A 60174-2025 karta.png", "A 60174-2025")</f>
        <v/>
      </c>
      <c r="Y34">
        <f>HYPERLINK("https://klasma.github.io/Logging_0381/klagomål/A 60174-2025 FSC-klagomål.docx", "A 60174-2025")</f>
        <v/>
      </c>
      <c r="Z34">
        <f>HYPERLINK("https://klasma.github.io/Logging_0381/klagomålsmail/A 60174-2025 FSC-klagomål mail.docx", "A 60174-2025")</f>
        <v/>
      </c>
      <c r="AA34">
        <f>HYPERLINK("https://klasma.github.io/Logging_0381/tillsyn/A 60174-2025 tillsynsbegäran.docx", "A 60174-2025")</f>
        <v/>
      </c>
      <c r="AB34">
        <f>HYPERLINK("https://klasma.github.io/Logging_0381/tillsynsmail/A 60174-2025 tillsynsbegäran mail.docx", "A 60174-2025")</f>
        <v/>
      </c>
      <c r="AC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46217</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s="2" t="inlineStr">
        <is>
          <t>Igelkott</t>
        </is>
      </c>
      <c r="V35">
        <f>HYPERLINK("https://klasma.github.io/Logging_0381/artfynd/A 62772-2025 artfynd.xlsx", "A 62772-2025")</f>
        <v/>
      </c>
      <c r="W35">
        <f>HYPERLINK("https://klasma.github.io/Logging_0381/kartor/A 62772-2025 karta.png", "A 62772-2025")</f>
        <v/>
      </c>
      <c r="Y35">
        <f>HYPERLINK("https://klasma.github.io/Logging_0381/klagomål/A 62772-2025 FSC-klagomål.docx", "A 62772-2025")</f>
        <v/>
      </c>
      <c r="Z35">
        <f>HYPERLINK("https://klasma.github.io/Logging_0381/klagomålsmail/A 62772-2025 FSC-klagomål mail.docx", "A 62772-2025")</f>
        <v/>
      </c>
      <c r="AA35">
        <f>HYPERLINK("https://klasma.github.io/Logging_0381/tillsyn/A 62772-2025 tillsynsbegäran.docx", "A 62772-2025")</f>
        <v/>
      </c>
      <c r="AB35">
        <f>HYPERLINK("https://klasma.github.io/Logging_0381/tillsynsmail/A 62772-2025 tillsynsbegäran mail.docx", "A 62772-2025")</f>
        <v/>
      </c>
    </row>
    <row r="36" ht="15" customHeight="1">
      <c r="A36" t="inlineStr">
        <is>
          <t>A 4166-2026</t>
        </is>
      </c>
      <c r="B36" t="inlineStr">
        <is>
          <t>avverkningsanmälan</t>
        </is>
      </c>
      <c r="C36" t="inlineStr">
        <is>
          <t>Föryngringsavverkning</t>
        </is>
      </c>
      <c r="D36" s="1" t="n">
        <v>46044</v>
      </c>
      <c r="E36" s="1" t="n">
        <v>46217</v>
      </c>
      <c r="F36" t="inlineStr">
        <is>
          <t>UPPSALA LÄN</t>
        </is>
      </c>
      <c r="G36" t="inlineStr">
        <is>
          <t>ENKÖPING</t>
        </is>
      </c>
      <c r="I36" t="n">
        <v>1.7</v>
      </c>
      <c r="J36" t="n">
        <v>1</v>
      </c>
      <c r="K36" t="n">
        <v>0</v>
      </c>
      <c r="L36" t="n">
        <v>1</v>
      </c>
      <c r="M36" t="n">
        <v>0</v>
      </c>
      <c r="N36" t="n">
        <v>0</v>
      </c>
      <c r="O36" t="n">
        <v>0</v>
      </c>
      <c r="P36" t="n">
        <v>0</v>
      </c>
      <c r="Q36" t="n">
        <v>1</v>
      </c>
      <c r="R36" t="n">
        <v>0</v>
      </c>
      <c r="S36" t="n">
        <v>1</v>
      </c>
      <c r="T36" t="n">
        <v>1</v>
      </c>
      <c r="U36" s="2" t="inlineStr">
        <is>
          <t>Gulsparv</t>
        </is>
      </c>
      <c r="V36">
        <f>HYPERLINK("https://klasma.github.io/Logging_0381/artfynd/A 4166-2026 artfynd.xlsx", "A 4166-2026")</f>
        <v/>
      </c>
      <c r="W36">
        <f>HYPERLINK("https://klasma.github.io/Logging_0381/kartor/A 4166-2026 karta.png", "A 4166-2026")</f>
        <v/>
      </c>
      <c r="Y36">
        <f>HYPERLINK("https://klasma.github.io/Logging_0381/klagomål/A 4166-2026 FSC-klagomål.docx", "A 4166-2026")</f>
        <v/>
      </c>
      <c r="Z36">
        <f>HYPERLINK("https://klasma.github.io/Logging_0381/klagomålsmail/A 4166-2026 FSC-klagomål mail.docx", "A 4166-2026")</f>
        <v/>
      </c>
      <c r="AA36">
        <f>HYPERLINK("https://klasma.github.io/Logging_0381/tillsyn/A 4166-2026 tillsynsbegäran.docx", "A 4166-2026")</f>
        <v/>
      </c>
      <c r="AB36">
        <f>HYPERLINK("https://klasma.github.io/Logging_0381/tillsynsmail/A 4166-2026 tillsynsbegäran mail.docx", "A 4166-2026")</f>
        <v/>
      </c>
      <c r="AC36">
        <f>HYPERLINK("https://klasma.github.io/Logging_0381/fåglar/A 4166-2026 prioriterade fågelarter.docx", "A 4166-2026")</f>
        <v/>
      </c>
    </row>
    <row r="37" ht="15" customHeight="1">
      <c r="A37" t="inlineStr">
        <is>
          <t>A 26319-2022</t>
        </is>
      </c>
      <c r="B37" t="inlineStr">
        <is>
          <t>avverkningsanmälan</t>
        </is>
      </c>
      <c r="C37" t="inlineStr">
        <is>
          <t>Föryngringsavverkning</t>
        </is>
      </c>
      <c r="D37" s="1" t="n">
        <v>44735</v>
      </c>
      <c r="E37" s="1" t="n">
        <v>46217</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s="2" t="inlineStr">
        <is>
          <t>Mistel</t>
        </is>
      </c>
      <c r="V37">
        <f>HYPERLINK("https://klasma.github.io/Logging_0381/artfynd/A 26319-2022 artfynd.xlsx", "A 26319-2022")</f>
        <v/>
      </c>
      <c r="W37">
        <f>HYPERLINK("https://klasma.github.io/Logging_0381/kartor/A 26319-2022 karta.png", "A 26319-2022")</f>
        <v/>
      </c>
      <c r="Y37">
        <f>HYPERLINK("https://klasma.github.io/Logging_0381/klagomål/A 26319-2022 FSC-klagomål.docx", "A 26319-2022")</f>
        <v/>
      </c>
      <c r="Z37">
        <f>HYPERLINK("https://klasma.github.io/Logging_0381/klagomålsmail/A 26319-2022 FSC-klagomål mail.docx", "A 26319-2022")</f>
        <v/>
      </c>
      <c r="AA37">
        <f>HYPERLINK("https://klasma.github.io/Logging_0381/tillsyn/A 26319-2022 tillsynsbegäran.docx", "A 26319-2022")</f>
        <v/>
      </c>
      <c r="AB37">
        <f>HYPERLINK("https://klasma.github.io/Logging_0381/tillsynsmail/A 26319-2022 tillsynsbegäran mail.docx", "A 26319-2022")</f>
        <v/>
      </c>
    </row>
    <row r="38" ht="15" customHeight="1">
      <c r="A38" t="inlineStr">
        <is>
          <t>A 28669-2026</t>
        </is>
      </c>
      <c r="B38" t="inlineStr">
        <is>
          <t>avverkningsanmälan</t>
        </is>
      </c>
      <c r="C38" t="inlineStr">
        <is>
          <t>Föryngringsavverkning</t>
        </is>
      </c>
      <c r="D38" s="1" t="n">
        <v>46194</v>
      </c>
      <c r="E38" s="1" t="n">
        <v>46217</v>
      </c>
      <c r="F38" t="inlineStr">
        <is>
          <t>UPPSALA LÄN</t>
        </is>
      </c>
      <c r="G38" t="inlineStr">
        <is>
          <t>ENKÖPING</t>
        </is>
      </c>
      <c r="I38" t="n">
        <v>12.4</v>
      </c>
      <c r="J38" t="n">
        <v>1</v>
      </c>
      <c r="K38" t="n">
        <v>0</v>
      </c>
      <c r="L38" t="n">
        <v>0</v>
      </c>
      <c r="M38" t="n">
        <v>0</v>
      </c>
      <c r="N38" t="n">
        <v>0</v>
      </c>
      <c r="O38" t="n">
        <v>0</v>
      </c>
      <c r="P38" t="n">
        <v>0</v>
      </c>
      <c r="Q38" t="n">
        <v>0</v>
      </c>
      <c r="R38" t="n">
        <v>0</v>
      </c>
      <c r="S38" t="n">
        <v>1</v>
      </c>
      <c r="T38" t="n">
        <v>2</v>
      </c>
      <c r="U38" s="2" t="inlineStr">
        <is>
          <t>Tjäder</t>
        </is>
      </c>
      <c r="V38">
        <f>HYPERLINK("https://klasma.github.io/Logging_0381/artfynd/A 28669-2026 artfynd.xlsx", "A 28669-2026")</f>
        <v/>
      </c>
      <c r="W38">
        <f>HYPERLINK("https://klasma.github.io/Logging_0381/kartor/A 28669-2026 karta.png", "A 28669-2026")</f>
        <v/>
      </c>
      <c r="Y38">
        <f>HYPERLINK("https://klasma.github.io/Logging_0381/klagomål/A 28669-2026 FSC-klagomål.docx", "A 28669-2026")</f>
        <v/>
      </c>
      <c r="Z38">
        <f>HYPERLINK("https://klasma.github.io/Logging_0381/klagomålsmail/A 28669-2026 FSC-klagomål mail.docx", "A 28669-2026")</f>
        <v/>
      </c>
      <c r="AA38">
        <f>HYPERLINK("https://klasma.github.io/Logging_0381/tillsyn/A 28669-2026 tillsynsbegäran.docx", "A 28669-2026")</f>
        <v/>
      </c>
      <c r="AB38">
        <f>HYPERLINK("https://klasma.github.io/Logging_0381/tillsynsmail/A 28669-2026 tillsynsbegäran mail.docx", "A 28669-2026")</f>
        <v/>
      </c>
      <c r="AC38">
        <f>HYPERLINK("https://klasma.github.io/Logging_0381/fåglar/A 28669-2026 prioriterade fågelarter.docx", "A 28669-2026")</f>
        <v/>
      </c>
    </row>
    <row r="39" ht="15" customHeight="1">
      <c r="A39" t="inlineStr">
        <is>
          <t>A 17729-2023</t>
        </is>
      </c>
      <c r="B39" t="inlineStr">
        <is>
          <t>avverkningsanmälan</t>
        </is>
      </c>
      <c r="C39" t="inlineStr">
        <is>
          <t>Föryngringsavverkning</t>
        </is>
      </c>
      <c r="D39" s="1" t="n">
        <v>45037</v>
      </c>
      <c r="E39" s="1" t="n">
        <v>46217</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s="2" t="inlineStr">
        <is>
          <t>Pilgrimsfalk</t>
        </is>
      </c>
      <c r="V39">
        <f>HYPERLINK("https://klasma.github.io/Logging_0381/artfynd/A 17729-2023 artfynd.xlsx", "A 17729-2023")</f>
        <v/>
      </c>
      <c r="W39">
        <f>HYPERLINK("https://klasma.github.io/Logging_0381/kartor/A 17729-2023 karta.png", "A 17729-2023")</f>
        <v/>
      </c>
      <c r="Y39">
        <f>HYPERLINK("https://klasma.github.io/Logging_0381/klagomål/A 17729-2023 FSC-klagomål.docx", "A 17729-2023")</f>
        <v/>
      </c>
      <c r="Z39">
        <f>HYPERLINK("https://klasma.github.io/Logging_0381/klagomålsmail/A 17729-2023 FSC-klagomål mail.docx", "A 17729-2023")</f>
        <v/>
      </c>
      <c r="AA39">
        <f>HYPERLINK("https://klasma.github.io/Logging_0381/tillsyn/A 17729-2023 tillsynsbegäran.docx", "A 17729-2023")</f>
        <v/>
      </c>
      <c r="AB39">
        <f>HYPERLINK("https://klasma.github.io/Logging_0381/tillsynsmail/A 17729-2023 tillsynsbegäran mail.docx", "A 17729-2023")</f>
        <v/>
      </c>
      <c r="AC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46217</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s="2" t="inlineStr">
        <is>
          <t>Frösöstarr</t>
        </is>
      </c>
      <c r="V40">
        <f>HYPERLINK("https://klasma.github.io/Logging_0381/artfynd/S 3035-2023 artfynd.xlsx", "S 3035-2023")</f>
        <v/>
      </c>
      <c r="W40">
        <f>HYPERLINK("https://klasma.github.io/Logging_0381/kartor/S 3035-2023 karta.png", "S 3035-2023")</f>
        <v/>
      </c>
      <c r="Y40">
        <f>HYPERLINK("https://klasma.github.io/Logging_0381/klagomål/S 3035-2023 FSC-klagomål.docx", "S 3035-2023")</f>
        <v/>
      </c>
      <c r="Z40">
        <f>HYPERLINK("https://klasma.github.io/Logging_0381/klagomålsmail/S 3035-2023 FSC-klagomål mail.docx", "S 3035-2023")</f>
        <v/>
      </c>
      <c r="AA40">
        <f>HYPERLINK("https://klasma.github.io/Logging_0381/tillsyn/S 3035-2023 tillsynsbegäran.docx", "S 3035-2023")</f>
        <v/>
      </c>
      <c r="AB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46217</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s="2" t="inlineStr">
        <is>
          <t>Ullticka</t>
        </is>
      </c>
      <c r="V41">
        <f>HYPERLINK("https://klasma.github.io/Logging_0381/artfynd/S 1937-2026 artfynd.xlsx", "S 1937-2026")</f>
        <v/>
      </c>
      <c r="W41">
        <f>HYPERLINK("https://klasma.github.io/Logging_0381/kartor/S 1937-2026 karta.png", "S 1937-2026")</f>
        <v/>
      </c>
      <c r="Y41">
        <f>HYPERLINK("https://klasma.github.io/Logging_0381/klagomål/S 1937-2026 FSC-klagomål.docx", "S 1937-2026")</f>
        <v/>
      </c>
      <c r="Z41">
        <f>HYPERLINK("https://klasma.github.io/Logging_0381/klagomålsmail/S 1937-2026 FSC-klagomål mail.docx", "S 1937-2026")</f>
        <v/>
      </c>
      <c r="AA41">
        <f>HYPERLINK("https://klasma.github.io/Logging_0381/tillsyn/S 1937-2026 tillsynsbegäran.docx", "S 1937-2026")</f>
        <v/>
      </c>
      <c r="AB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46217</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s="2" t="inlineStr"/>
    </row>
    <row r="43" ht="15" customHeight="1">
      <c r="A43" t="inlineStr">
        <is>
          <t>A 56176-2021</t>
        </is>
      </c>
      <c r="B43" t="inlineStr">
        <is>
          <t>avverkningsanmälan</t>
        </is>
      </c>
      <c r="C43" t="inlineStr">
        <is>
          <t>Föryngringsavverkning</t>
        </is>
      </c>
      <c r="D43" s="1" t="n">
        <v>44477</v>
      </c>
      <c r="E43" s="1" t="n">
        <v>46217</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s="2" t="inlineStr"/>
    </row>
    <row r="44" ht="15" customHeight="1">
      <c r="A44" t="inlineStr">
        <is>
          <t>A 61553-2021</t>
        </is>
      </c>
      <c r="B44" t="inlineStr">
        <is>
          <t>avverkningsanmälan</t>
        </is>
      </c>
      <c r="C44" t="inlineStr">
        <is>
          <t>Föryngringsavverkning</t>
        </is>
      </c>
      <c r="D44" s="1" t="n">
        <v>44501</v>
      </c>
      <c r="E44" s="1" t="n">
        <v>46217</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s="2" t="inlineStr"/>
    </row>
    <row r="45" ht="15" customHeight="1">
      <c r="A45" t="inlineStr">
        <is>
          <t>A 61076-2021</t>
        </is>
      </c>
      <c r="B45" t="inlineStr">
        <is>
          <t>avverkningsanmälan</t>
        </is>
      </c>
      <c r="C45" t="inlineStr">
        <is>
          <t>Föryngringsavverkning</t>
        </is>
      </c>
      <c r="D45" s="1" t="n">
        <v>44497</v>
      </c>
      <c r="E45" s="1" t="n">
        <v>46217</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37570-2021</t>
        </is>
      </c>
      <c r="B46" t="inlineStr">
        <is>
          <t>avverkningsanmälan</t>
        </is>
      </c>
      <c r="C46" t="inlineStr">
        <is>
          <t>Föryngringsavverkning</t>
        </is>
      </c>
      <c r="D46" s="1" t="n">
        <v>44399</v>
      </c>
      <c r="E46" s="1" t="n">
        <v>46217</v>
      </c>
      <c r="F46" t="inlineStr">
        <is>
          <t>UPPSALA LÄN</t>
        </is>
      </c>
      <c r="G46" t="inlineStr">
        <is>
          <t>ENKÖPING</t>
        </is>
      </c>
      <c r="I46" t="n">
        <v>0.4</v>
      </c>
      <c r="J46" t="n">
        <v>0</v>
      </c>
      <c r="K46" t="n">
        <v>0</v>
      </c>
      <c r="L46" t="n">
        <v>0</v>
      </c>
      <c r="M46" t="n">
        <v>0</v>
      </c>
      <c r="N46" t="n">
        <v>0</v>
      </c>
      <c r="O46" t="n">
        <v>0</v>
      </c>
      <c r="P46" t="n">
        <v>0</v>
      </c>
      <c r="Q46" t="n">
        <v>0</v>
      </c>
      <c r="R46" t="n">
        <v>0</v>
      </c>
      <c r="S46" t="n">
        <v>0</v>
      </c>
      <c r="T46" t="n">
        <v>0</v>
      </c>
      <c r="U46" s="2" t="inlineStr"/>
    </row>
    <row r="47" ht="15" customHeight="1">
      <c r="A47" t="inlineStr">
        <is>
          <t>A 37571-2021</t>
        </is>
      </c>
      <c r="B47" t="inlineStr">
        <is>
          <t>avverkningsanmälan</t>
        </is>
      </c>
      <c r="C47" t="inlineStr">
        <is>
          <t>Föryngringsavverkning</t>
        </is>
      </c>
      <c r="D47" s="1" t="n">
        <v>44399</v>
      </c>
      <c r="E47" s="1" t="n">
        <v>46217</v>
      </c>
      <c r="F47" t="inlineStr">
        <is>
          <t>UPPSALA LÄN</t>
        </is>
      </c>
      <c r="G47" t="inlineStr">
        <is>
          <t>ENKÖPING</t>
        </is>
      </c>
      <c r="I47" t="n">
        <v>4.6</v>
      </c>
      <c r="J47" t="n">
        <v>0</v>
      </c>
      <c r="K47" t="n">
        <v>0</v>
      </c>
      <c r="L47" t="n">
        <v>0</v>
      </c>
      <c r="M47" t="n">
        <v>0</v>
      </c>
      <c r="N47" t="n">
        <v>0</v>
      </c>
      <c r="O47" t="n">
        <v>0</v>
      </c>
      <c r="P47" t="n">
        <v>0</v>
      </c>
      <c r="Q47" t="n">
        <v>0</v>
      </c>
      <c r="R47" t="n">
        <v>0</v>
      </c>
      <c r="S47" t="n">
        <v>0</v>
      </c>
      <c r="T47" t="n">
        <v>0</v>
      </c>
      <c r="U47" s="2" t="inlineStr"/>
    </row>
    <row r="48" ht="15" customHeight="1">
      <c r="A48" t="inlineStr">
        <is>
          <t>A 57066-2021</t>
        </is>
      </c>
      <c r="B48" t="inlineStr">
        <is>
          <t>avverkningsanmälan</t>
        </is>
      </c>
      <c r="C48" t="inlineStr">
        <is>
          <t>Föryngringsavverkning</t>
        </is>
      </c>
      <c r="D48" s="1" t="n">
        <v>44482</v>
      </c>
      <c r="E48" s="1" t="n">
        <v>46217</v>
      </c>
      <c r="F48" t="inlineStr">
        <is>
          <t>UPPSALA LÄN</t>
        </is>
      </c>
      <c r="G48" t="inlineStr">
        <is>
          <t>ENKÖPING</t>
        </is>
      </c>
      <c r="I48" t="n">
        <v>1.5</v>
      </c>
      <c r="J48" t="n">
        <v>0</v>
      </c>
      <c r="K48" t="n">
        <v>0</v>
      </c>
      <c r="L48" t="n">
        <v>0</v>
      </c>
      <c r="M48" t="n">
        <v>0</v>
      </c>
      <c r="N48" t="n">
        <v>0</v>
      </c>
      <c r="O48" t="n">
        <v>0</v>
      </c>
      <c r="P48" t="n">
        <v>0</v>
      </c>
      <c r="Q48" t="n">
        <v>0</v>
      </c>
      <c r="R48" t="n">
        <v>0</v>
      </c>
      <c r="S48" t="n">
        <v>0</v>
      </c>
      <c r="T48" t="n">
        <v>0</v>
      </c>
      <c r="U48" s="2" t="inlineStr"/>
    </row>
    <row r="49" ht="15" customHeight="1">
      <c r="A49" t="inlineStr">
        <is>
          <t>A 54433-2021</t>
        </is>
      </c>
      <c r="B49" t="inlineStr">
        <is>
          <t>avverkningsanmälan</t>
        </is>
      </c>
      <c r="C49" t="inlineStr">
        <is>
          <t>Föryngringsavverkning</t>
        </is>
      </c>
      <c r="D49" s="1" t="n">
        <v>44473</v>
      </c>
      <c r="E49" s="1" t="n">
        <v>46217</v>
      </c>
      <c r="F49" t="inlineStr">
        <is>
          <t>UPPSALA LÄN</t>
        </is>
      </c>
      <c r="G49" t="inlineStr">
        <is>
          <t>ENKÖPING</t>
        </is>
      </c>
      <c r="I49" t="n">
        <v>1</v>
      </c>
      <c r="J49" t="n">
        <v>0</v>
      </c>
      <c r="K49" t="n">
        <v>0</v>
      </c>
      <c r="L49" t="n">
        <v>0</v>
      </c>
      <c r="M49" t="n">
        <v>0</v>
      </c>
      <c r="N49" t="n">
        <v>0</v>
      </c>
      <c r="O49" t="n">
        <v>0</v>
      </c>
      <c r="P49" t="n">
        <v>0</v>
      </c>
      <c r="Q49" t="n">
        <v>0</v>
      </c>
      <c r="R49" t="n">
        <v>0</v>
      </c>
      <c r="S49" t="n">
        <v>0</v>
      </c>
      <c r="T49" t="n">
        <v>0</v>
      </c>
      <c r="U49" s="2" t="inlineStr"/>
    </row>
    <row r="50" ht="15" customHeight="1">
      <c r="A50" t="inlineStr">
        <is>
          <t>A 10202-2022</t>
        </is>
      </c>
      <c r="B50" t="inlineStr">
        <is>
          <t>avverkningsanmälan</t>
        </is>
      </c>
      <c r="C50" t="inlineStr">
        <is>
          <t>Föryngringsavverkning</t>
        </is>
      </c>
      <c r="D50" s="1" t="n">
        <v>44622</v>
      </c>
      <c r="E50" s="1" t="n">
        <v>46217</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s="2" t="inlineStr"/>
    </row>
    <row r="51" ht="15" customHeight="1">
      <c r="A51" t="inlineStr">
        <is>
          <t>A 10207-2022</t>
        </is>
      </c>
      <c r="B51" t="inlineStr">
        <is>
          <t>avverkningsanmälan</t>
        </is>
      </c>
      <c r="C51" t="inlineStr">
        <is>
          <t>Föryngringsavverkning</t>
        </is>
      </c>
      <c r="D51" s="1" t="n">
        <v>44622</v>
      </c>
      <c r="E51" s="1" t="n">
        <v>46217</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s="2" t="inlineStr"/>
    </row>
    <row r="52" ht="15" customHeight="1">
      <c r="A52" t="inlineStr">
        <is>
          <t>A 17704-2022</t>
        </is>
      </c>
      <c r="B52" t="inlineStr">
        <is>
          <t>avverkningsanmälan</t>
        </is>
      </c>
      <c r="C52" t="inlineStr">
        <is>
          <t>Föryngringsavverkning</t>
        </is>
      </c>
      <c r="D52" s="1" t="n">
        <v>44680</v>
      </c>
      <c r="E52" s="1" t="n">
        <v>46217</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s="2" t="inlineStr"/>
    </row>
    <row r="53" ht="15" customHeight="1">
      <c r="A53" t="inlineStr">
        <is>
          <t>A 46749-2022</t>
        </is>
      </c>
      <c r="B53" t="inlineStr">
        <is>
          <t>avverkningsanmälan</t>
        </is>
      </c>
      <c r="C53" t="inlineStr">
        <is>
          <t>Föryngringsavverkning</t>
        </is>
      </c>
      <c r="D53" s="1" t="n">
        <v>44851</v>
      </c>
      <c r="E53" s="1" t="n">
        <v>46217</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s="2" t="inlineStr"/>
    </row>
    <row r="54" ht="15" customHeight="1">
      <c r="A54" t="inlineStr">
        <is>
          <t>A 18785-2022</t>
        </is>
      </c>
      <c r="B54" t="inlineStr">
        <is>
          <t>avverkningsanmälan</t>
        </is>
      </c>
      <c r="C54" t="inlineStr">
        <is>
          <t>Föryngringsavverkning</t>
        </is>
      </c>
      <c r="D54" s="1" t="n">
        <v>44687</v>
      </c>
      <c r="E54" s="1" t="n">
        <v>46217</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s="2" t="inlineStr"/>
    </row>
    <row r="55" ht="15" customHeight="1">
      <c r="A55" t="inlineStr">
        <is>
          <t>A 39922-2022</t>
        </is>
      </c>
      <c r="B55" t="inlineStr">
        <is>
          <t>avverkningsanmälan</t>
        </is>
      </c>
      <c r="C55" t="inlineStr">
        <is>
          <t>Föryngringsavverkning</t>
        </is>
      </c>
      <c r="D55" s="1" t="n">
        <v>44819</v>
      </c>
      <c r="E55" s="1" t="n">
        <v>46217</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s="2" t="inlineStr"/>
    </row>
    <row r="56" ht="15" customHeight="1">
      <c r="A56" t="inlineStr">
        <is>
          <t>A 3861-2022</t>
        </is>
      </c>
      <c r="B56" t="inlineStr">
        <is>
          <t>avverkningsanmälan</t>
        </is>
      </c>
      <c r="C56" t="inlineStr">
        <is>
          <t>Avverkning för att bevara och utveckla /försöksver</t>
        </is>
      </c>
      <c r="D56" s="1" t="n">
        <v>44587</v>
      </c>
      <c r="E56" s="1" t="n">
        <v>46217</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s="2" t="inlineStr"/>
    </row>
    <row r="57" ht="15" customHeight="1">
      <c r="A57" t="inlineStr">
        <is>
          <t>A 498-2022</t>
        </is>
      </c>
      <c r="B57" t="inlineStr">
        <is>
          <t>avverkningsanmälan</t>
        </is>
      </c>
      <c r="C57" t="inlineStr">
        <is>
          <t>Föryngringsavverkning</t>
        </is>
      </c>
      <c r="D57" s="1" t="n">
        <v>44566</v>
      </c>
      <c r="E57" s="1" t="n">
        <v>46217</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s="2" t="inlineStr"/>
    </row>
    <row r="58" ht="15" customHeight="1">
      <c r="A58" t="inlineStr">
        <is>
          <t>A 1965-2022</t>
        </is>
      </c>
      <c r="B58" t="inlineStr">
        <is>
          <t>avverkningsanmälan</t>
        </is>
      </c>
      <c r="C58" t="inlineStr">
        <is>
          <t>Föryngringsavverkning</t>
        </is>
      </c>
      <c r="D58" s="1" t="n">
        <v>44575</v>
      </c>
      <c r="E58" s="1" t="n">
        <v>46217</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s="2" t="inlineStr"/>
    </row>
    <row r="59" ht="15" customHeight="1">
      <c r="A59" t="inlineStr">
        <is>
          <t>A 48230-2022</t>
        </is>
      </c>
      <c r="B59" t="inlineStr">
        <is>
          <t>avverkningsanmälan</t>
        </is>
      </c>
      <c r="C59" t="inlineStr">
        <is>
          <t>Föryngringsavverkning</t>
        </is>
      </c>
      <c r="D59" s="1" t="n">
        <v>44858</v>
      </c>
      <c r="E59" s="1" t="n">
        <v>46217</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14531-2022</t>
        </is>
      </c>
      <c r="B60" t="inlineStr">
        <is>
          <t>avverkningsanmälan</t>
        </is>
      </c>
      <c r="C60" t="inlineStr">
        <is>
          <t>Föryngringsavverkning</t>
        </is>
      </c>
      <c r="D60" s="1" t="n">
        <v>44655</v>
      </c>
      <c r="E60" s="1" t="n">
        <v>46217</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s="2" t="inlineStr"/>
    </row>
    <row r="61" ht="15" customHeight="1">
      <c r="A61" t="inlineStr">
        <is>
          <t>A 48233-2022</t>
        </is>
      </c>
      <c r="B61" t="inlineStr">
        <is>
          <t>avverkningsanmälan</t>
        </is>
      </c>
      <c r="C61" t="inlineStr">
        <is>
          <t>Föryngringsavverkning</t>
        </is>
      </c>
      <c r="D61" s="1" t="n">
        <v>44858</v>
      </c>
      <c r="E61" s="1" t="n">
        <v>46217</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29435-2022</t>
        </is>
      </c>
      <c r="B62" t="inlineStr">
        <is>
          <t>avverkningsanmälan</t>
        </is>
      </c>
      <c r="C62" t="inlineStr">
        <is>
          <t>Föryngringsavverkning</t>
        </is>
      </c>
      <c r="D62" s="1" t="n">
        <v>44753</v>
      </c>
      <c r="E62" s="1" t="n">
        <v>46217</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s="2" t="inlineStr"/>
    </row>
    <row r="63" ht="15" customHeight="1">
      <c r="A63" t="inlineStr">
        <is>
          <t>A 39473-2021</t>
        </is>
      </c>
      <c r="B63" t="inlineStr">
        <is>
          <t>avverkningsanmälan</t>
        </is>
      </c>
      <c r="C63" t="inlineStr">
        <is>
          <t>Föryngringsavverkning</t>
        </is>
      </c>
      <c r="D63" s="1" t="n">
        <v>44414</v>
      </c>
      <c r="E63" s="1" t="n">
        <v>46217</v>
      </c>
      <c r="F63" t="inlineStr">
        <is>
          <t>UPPSALA LÄN</t>
        </is>
      </c>
      <c r="G63" t="inlineStr">
        <is>
          <t>ENKÖPING</t>
        </is>
      </c>
      <c r="I63" t="n">
        <v>3.2</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46217</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38005-2022</t>
        </is>
      </c>
      <c r="B65" t="inlineStr">
        <is>
          <t>avverkningsanmälan</t>
        </is>
      </c>
      <c r="C65" t="inlineStr">
        <is>
          <t>Föryngringsavverkning</t>
        </is>
      </c>
      <c r="D65" s="1" t="n">
        <v>44810</v>
      </c>
      <c r="E65" s="1" t="n">
        <v>46217</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s="2" t="inlineStr"/>
    </row>
    <row r="66" ht="15" customHeight="1">
      <c r="A66" t="inlineStr">
        <is>
          <t>A 2680-2022</t>
        </is>
      </c>
      <c r="B66" t="inlineStr">
        <is>
          <t>avverkningsanmälan</t>
        </is>
      </c>
      <c r="C66" t="inlineStr">
        <is>
          <t>Föryngringsavverkning</t>
        </is>
      </c>
      <c r="D66" s="1" t="n">
        <v>44580</v>
      </c>
      <c r="E66" s="1" t="n">
        <v>46217</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s="2" t="inlineStr"/>
    </row>
    <row r="67" ht="15" customHeight="1">
      <c r="A67" t="inlineStr">
        <is>
          <t>A 37410-2022</t>
        </is>
      </c>
      <c r="B67" t="inlineStr">
        <is>
          <t>avverkningsanmälan</t>
        </is>
      </c>
      <c r="C67" t="inlineStr">
        <is>
          <t>Föryngringsavverkning</t>
        </is>
      </c>
      <c r="D67" s="1" t="n">
        <v>44809</v>
      </c>
      <c r="E67" s="1" t="n">
        <v>46217</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s="2" t="inlineStr"/>
    </row>
    <row r="68" ht="15" customHeight="1">
      <c r="A68" t="inlineStr">
        <is>
          <t>A 1979-2022</t>
        </is>
      </c>
      <c r="B68" t="inlineStr">
        <is>
          <t>avverkningsanmälan</t>
        </is>
      </c>
      <c r="C68" t="inlineStr">
        <is>
          <t>Föryngringsavverkning</t>
        </is>
      </c>
      <c r="D68" s="1" t="n">
        <v>44575</v>
      </c>
      <c r="E68" s="1" t="n">
        <v>46217</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s="2" t="inlineStr"/>
    </row>
    <row r="69" ht="15" customHeight="1">
      <c r="A69" t="inlineStr">
        <is>
          <t>A 68107-2021</t>
        </is>
      </c>
      <c r="B69" t="inlineStr">
        <is>
          <t>avverkningsanmälan</t>
        </is>
      </c>
      <c r="C69" t="inlineStr">
        <is>
          <t>Föryngringsavverkning</t>
        </is>
      </c>
      <c r="D69" s="1" t="n">
        <v>44526</v>
      </c>
      <c r="E69" s="1" t="n">
        <v>46217</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46217</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69791-2021</t>
        </is>
      </c>
      <c r="B71" t="inlineStr">
        <is>
          <t>avverkningsanmälan</t>
        </is>
      </c>
      <c r="C71" t="inlineStr">
        <is>
          <t>Föryngringsavverkning</t>
        </is>
      </c>
      <c r="D71" s="1" t="n">
        <v>44532</v>
      </c>
      <c r="E71" s="1" t="n">
        <v>46217</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s="2" t="inlineStr"/>
    </row>
    <row r="72" ht="15" customHeight="1">
      <c r="A72" t="inlineStr">
        <is>
          <t>A 57055-2021</t>
        </is>
      </c>
      <c r="B72" t="inlineStr">
        <is>
          <t>avverkningsanmälan</t>
        </is>
      </c>
      <c r="C72" t="inlineStr">
        <is>
          <t>Föryngringsavverkning</t>
        </is>
      </c>
      <c r="D72" s="1" t="n">
        <v>44482</v>
      </c>
      <c r="E72" s="1" t="n">
        <v>46217</v>
      </c>
      <c r="F72" t="inlineStr">
        <is>
          <t>UPPSALA LÄN</t>
        </is>
      </c>
      <c r="G72" t="inlineStr">
        <is>
          <t>ENKÖPING</t>
        </is>
      </c>
      <c r="I72" t="n">
        <v>3.3</v>
      </c>
      <c r="J72" t="n">
        <v>0</v>
      </c>
      <c r="K72" t="n">
        <v>0</v>
      </c>
      <c r="L72" t="n">
        <v>0</v>
      </c>
      <c r="M72" t="n">
        <v>0</v>
      </c>
      <c r="N72" t="n">
        <v>0</v>
      </c>
      <c r="O72" t="n">
        <v>0</v>
      </c>
      <c r="P72" t="n">
        <v>0</v>
      </c>
      <c r="Q72" t="n">
        <v>0</v>
      </c>
      <c r="R72" t="n">
        <v>0</v>
      </c>
      <c r="S72" t="n">
        <v>0</v>
      </c>
      <c r="T72" t="n">
        <v>0</v>
      </c>
      <c r="U72" s="2" t="inlineStr"/>
    </row>
    <row r="73" ht="15" customHeight="1">
      <c r="A73" t="inlineStr">
        <is>
          <t>A 60874-2021</t>
        </is>
      </c>
      <c r="B73" t="inlineStr">
        <is>
          <t>avverkningsanmälan</t>
        </is>
      </c>
      <c r="C73" t="inlineStr">
        <is>
          <t>Avverkning för annat ändamål</t>
        </is>
      </c>
      <c r="D73" s="1" t="n">
        <v>44497</v>
      </c>
      <c r="E73" s="1" t="n">
        <v>46217</v>
      </c>
      <c r="F73" t="inlineStr">
        <is>
          <t>UPPSALA LÄN</t>
        </is>
      </c>
      <c r="G73" t="inlineStr">
        <is>
          <t>ENKÖPING</t>
        </is>
      </c>
      <c r="I73" t="n">
        <v>0.6</v>
      </c>
      <c r="J73" t="n">
        <v>0</v>
      </c>
      <c r="K73" t="n">
        <v>0</v>
      </c>
      <c r="L73" t="n">
        <v>0</v>
      </c>
      <c r="M73" t="n">
        <v>0</v>
      </c>
      <c r="N73" t="n">
        <v>0</v>
      </c>
      <c r="O73" t="n">
        <v>0</v>
      </c>
      <c r="P73" t="n">
        <v>0</v>
      </c>
      <c r="Q73" t="n">
        <v>0</v>
      </c>
      <c r="R73" t="n">
        <v>0</v>
      </c>
      <c r="S73" t="n">
        <v>0</v>
      </c>
      <c r="T73" t="n">
        <v>0</v>
      </c>
      <c r="U73" s="2" t="inlineStr"/>
    </row>
    <row r="74" ht="15" customHeight="1">
      <c r="A74" t="inlineStr">
        <is>
          <t>A 15021-2022</t>
        </is>
      </c>
      <c r="B74" t="inlineStr">
        <is>
          <t>avverkningsanmälan</t>
        </is>
      </c>
      <c r="C74" t="inlineStr">
        <is>
          <t>Föryngringsavverkning</t>
        </is>
      </c>
      <c r="D74" s="1" t="n">
        <v>44657</v>
      </c>
      <c r="E74" s="1" t="n">
        <v>46217</v>
      </c>
      <c r="F74" t="inlineStr">
        <is>
          <t>UPPSALA LÄN</t>
        </is>
      </c>
      <c r="G74" t="inlineStr">
        <is>
          <t>ENKÖPING</t>
        </is>
      </c>
      <c r="I74" t="n">
        <v>1.1</v>
      </c>
      <c r="J74" t="n">
        <v>0</v>
      </c>
      <c r="K74" t="n">
        <v>0</v>
      </c>
      <c r="L74" t="n">
        <v>0</v>
      </c>
      <c r="M74" t="n">
        <v>0</v>
      </c>
      <c r="N74" t="n">
        <v>0</v>
      </c>
      <c r="O74" t="n">
        <v>0</v>
      </c>
      <c r="P74" t="n">
        <v>0</v>
      </c>
      <c r="Q74" t="n">
        <v>0</v>
      </c>
      <c r="R74" t="n">
        <v>0</v>
      </c>
      <c r="S74" t="n">
        <v>0</v>
      </c>
      <c r="T74" t="n">
        <v>0</v>
      </c>
      <c r="U74" s="2" t="inlineStr"/>
    </row>
    <row r="75" ht="15" customHeight="1">
      <c r="A75" t="inlineStr">
        <is>
          <t>A 31013-2022</t>
        </is>
      </c>
      <c r="B75" t="inlineStr">
        <is>
          <t>avverkningsanmälan</t>
        </is>
      </c>
      <c r="C75" t="inlineStr">
        <is>
          <t>Föryngringsavverkning</t>
        </is>
      </c>
      <c r="D75" s="1" t="n">
        <v>44768</v>
      </c>
      <c r="E75" s="1" t="n">
        <v>46217</v>
      </c>
      <c r="F75" t="inlineStr">
        <is>
          <t>UPPSALA LÄN</t>
        </is>
      </c>
      <c r="G75" t="inlineStr">
        <is>
          <t>ENKÖPING</t>
        </is>
      </c>
      <c r="H75" t="inlineStr">
        <is>
          <t>Allmännings- och besparingsskogar</t>
        </is>
      </c>
      <c r="I75" t="n">
        <v>0.5</v>
      </c>
      <c r="J75" t="n">
        <v>0</v>
      </c>
      <c r="K75" t="n">
        <v>0</v>
      </c>
      <c r="L75" t="n">
        <v>0</v>
      </c>
      <c r="M75" t="n">
        <v>0</v>
      </c>
      <c r="N75" t="n">
        <v>0</v>
      </c>
      <c r="O75" t="n">
        <v>0</v>
      </c>
      <c r="P75" t="n">
        <v>0</v>
      </c>
      <c r="Q75" t="n">
        <v>0</v>
      </c>
      <c r="R75" t="n">
        <v>0</v>
      </c>
      <c r="S75" t="n">
        <v>0</v>
      </c>
      <c r="T75" t="n">
        <v>0</v>
      </c>
      <c r="U75" s="2" t="inlineStr"/>
    </row>
    <row r="76" ht="15" customHeight="1">
      <c r="A76" t="inlineStr">
        <is>
          <t>A 42029-2021</t>
        </is>
      </c>
      <c r="B76" t="inlineStr">
        <is>
          <t>avverkningsanmälan</t>
        </is>
      </c>
      <c r="C76" t="inlineStr">
        <is>
          <t>Föryngringsavverkning</t>
        </is>
      </c>
      <c r="D76" s="1" t="n">
        <v>44426</v>
      </c>
      <c r="E76" s="1" t="n">
        <v>46217</v>
      </c>
      <c r="F76" t="inlineStr">
        <is>
          <t>UPPSALA LÄN</t>
        </is>
      </c>
      <c r="G76" t="inlineStr">
        <is>
          <t>ENKÖPING</t>
        </is>
      </c>
      <c r="I76" t="n">
        <v>5.3</v>
      </c>
      <c r="J76" t="n">
        <v>0</v>
      </c>
      <c r="K76" t="n">
        <v>0</v>
      </c>
      <c r="L76" t="n">
        <v>0</v>
      </c>
      <c r="M76" t="n">
        <v>0</v>
      </c>
      <c r="N76" t="n">
        <v>0</v>
      </c>
      <c r="O76" t="n">
        <v>0</v>
      </c>
      <c r="P76" t="n">
        <v>0</v>
      </c>
      <c r="Q76" t="n">
        <v>0</v>
      </c>
      <c r="R76" t="n">
        <v>0</v>
      </c>
      <c r="S76" t="n">
        <v>0</v>
      </c>
      <c r="T76" t="n">
        <v>0</v>
      </c>
      <c r="U76" s="2" t="inlineStr"/>
    </row>
    <row r="77" ht="15" customHeight="1">
      <c r="A77" t="inlineStr">
        <is>
          <t>A 1971-2022</t>
        </is>
      </c>
      <c r="B77" t="inlineStr">
        <is>
          <t>avverkningsanmälan</t>
        </is>
      </c>
      <c r="C77" t="inlineStr">
        <is>
          <t>Föryngringsavverkning</t>
        </is>
      </c>
      <c r="D77" s="1" t="n">
        <v>44575</v>
      </c>
      <c r="E77" s="1" t="n">
        <v>46217</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s="2" t="inlineStr"/>
    </row>
    <row r="78" ht="15" customHeight="1">
      <c r="A78" t="inlineStr">
        <is>
          <t>A 15924-2022</t>
        </is>
      </c>
      <c r="B78" t="inlineStr">
        <is>
          <t>avverkningsanmälan</t>
        </is>
      </c>
      <c r="C78" t="inlineStr">
        <is>
          <t>Föryngringsavverkning</t>
        </is>
      </c>
      <c r="D78" s="1" t="n">
        <v>44664</v>
      </c>
      <c r="E78" s="1" t="n">
        <v>46217</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s="2" t="inlineStr"/>
    </row>
    <row r="79" ht="15" customHeight="1">
      <c r="A79" t="inlineStr">
        <is>
          <t>A 15943-2022</t>
        </is>
      </c>
      <c r="B79" t="inlineStr">
        <is>
          <t>avverkningsanmälan</t>
        </is>
      </c>
      <c r="C79" t="inlineStr">
        <is>
          <t>Föryngringsavverkning</t>
        </is>
      </c>
      <c r="D79" s="1" t="n">
        <v>44664</v>
      </c>
      <c r="E79" s="1" t="n">
        <v>46217</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s="2" t="inlineStr"/>
    </row>
    <row r="80" ht="15" customHeight="1">
      <c r="A80" t="inlineStr">
        <is>
          <t>A 47106-2021</t>
        </is>
      </c>
      <c r="B80" t="inlineStr">
        <is>
          <t>avverkningsanmälan</t>
        </is>
      </c>
      <c r="C80" t="inlineStr">
        <is>
          <t>Föryngringsavverkning</t>
        </is>
      </c>
      <c r="D80" s="1" t="n">
        <v>44446</v>
      </c>
      <c r="E80" s="1" t="n">
        <v>46217</v>
      </c>
      <c r="F80" t="inlineStr">
        <is>
          <t>UPPSALA LÄN</t>
        </is>
      </c>
      <c r="G80" t="inlineStr">
        <is>
          <t>ENKÖPING</t>
        </is>
      </c>
      <c r="I80" t="n">
        <v>7.6</v>
      </c>
      <c r="J80" t="n">
        <v>0</v>
      </c>
      <c r="K80" t="n">
        <v>0</v>
      </c>
      <c r="L80" t="n">
        <v>0</v>
      </c>
      <c r="M80" t="n">
        <v>0</v>
      </c>
      <c r="N80" t="n">
        <v>0</v>
      </c>
      <c r="O80" t="n">
        <v>0</v>
      </c>
      <c r="P80" t="n">
        <v>0</v>
      </c>
      <c r="Q80" t="n">
        <v>0</v>
      </c>
      <c r="R80" t="n">
        <v>0</v>
      </c>
      <c r="S80" t="n">
        <v>0</v>
      </c>
      <c r="T80" t="n">
        <v>0</v>
      </c>
      <c r="U80" s="2" t="inlineStr"/>
    </row>
    <row r="81" ht="15" customHeight="1">
      <c r="A81" t="inlineStr">
        <is>
          <t>A 19731-2022</t>
        </is>
      </c>
      <c r="B81" t="inlineStr">
        <is>
          <t>avverkningsanmälan</t>
        </is>
      </c>
      <c r="C81" t="inlineStr">
        <is>
          <t>Föryngringsavverkning</t>
        </is>
      </c>
      <c r="D81" s="1" t="n">
        <v>44694</v>
      </c>
      <c r="E81" s="1" t="n">
        <v>46217</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s="2" t="inlineStr"/>
    </row>
    <row r="82" ht="15" customHeight="1">
      <c r="A82" t="inlineStr">
        <is>
          <t>A 57043-2021</t>
        </is>
      </c>
      <c r="B82" t="inlineStr">
        <is>
          <t>avverkningsanmälan</t>
        </is>
      </c>
      <c r="C82" t="inlineStr">
        <is>
          <t>Föryngringsavverkning</t>
        </is>
      </c>
      <c r="D82" s="1" t="n">
        <v>44482</v>
      </c>
      <c r="E82" s="1" t="n">
        <v>46217</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s="2" t="inlineStr"/>
    </row>
    <row r="83" ht="15" customHeight="1">
      <c r="A83" t="inlineStr">
        <is>
          <t>A 24883-2022</t>
        </is>
      </c>
      <c r="B83" t="inlineStr">
        <is>
          <t>avverkningsanmälan</t>
        </is>
      </c>
      <c r="C83" t="inlineStr">
        <is>
          <t>Föryngringsavverkning</t>
        </is>
      </c>
      <c r="D83" s="1" t="n">
        <v>44728</v>
      </c>
      <c r="E83" s="1" t="n">
        <v>46217</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s="2" t="inlineStr"/>
    </row>
    <row r="84" ht="15" customHeight="1">
      <c r="A84" t="inlineStr">
        <is>
          <t>A 17467-2022</t>
        </is>
      </c>
      <c r="B84" t="inlineStr">
        <is>
          <t>avverkningsanmälan</t>
        </is>
      </c>
      <c r="C84" t="inlineStr">
        <is>
          <t>Föryngringsavverkning</t>
        </is>
      </c>
      <c r="D84" s="1" t="n">
        <v>44679</v>
      </c>
      <c r="E84" s="1" t="n">
        <v>46217</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s="2" t="inlineStr"/>
    </row>
    <row r="85" ht="15" customHeight="1">
      <c r="A85" t="inlineStr">
        <is>
          <t>A 42021-2021</t>
        </is>
      </c>
      <c r="B85" t="inlineStr">
        <is>
          <t>avverkningsanmälan</t>
        </is>
      </c>
      <c r="C85" t="inlineStr">
        <is>
          <t>Föryngringsavverkning</t>
        </is>
      </c>
      <c r="D85" s="1" t="n">
        <v>44426</v>
      </c>
      <c r="E85" s="1" t="n">
        <v>46217</v>
      </c>
      <c r="F85" t="inlineStr">
        <is>
          <t>UPPSALA LÄN</t>
        </is>
      </c>
      <c r="G85" t="inlineStr">
        <is>
          <t>ENKÖPING</t>
        </is>
      </c>
      <c r="I85" t="n">
        <v>2.2</v>
      </c>
      <c r="J85" t="n">
        <v>0</v>
      </c>
      <c r="K85" t="n">
        <v>0</v>
      </c>
      <c r="L85" t="n">
        <v>0</v>
      </c>
      <c r="M85" t="n">
        <v>0</v>
      </c>
      <c r="N85" t="n">
        <v>0</v>
      </c>
      <c r="O85" t="n">
        <v>0</v>
      </c>
      <c r="P85" t="n">
        <v>0</v>
      </c>
      <c r="Q85" t="n">
        <v>0</v>
      </c>
      <c r="R85" t="n">
        <v>0</v>
      </c>
      <c r="S85" t="n">
        <v>0</v>
      </c>
      <c r="T85" t="n">
        <v>0</v>
      </c>
      <c r="U85" s="2" t="inlineStr"/>
    </row>
    <row r="86" ht="15" customHeight="1">
      <c r="A86" t="inlineStr">
        <is>
          <t>A 59121-2021</t>
        </is>
      </c>
      <c r="B86" t="inlineStr">
        <is>
          <t>avverkningsanmälan</t>
        </is>
      </c>
      <c r="C86" t="inlineStr">
        <is>
          <t>Föryngringsavverkning</t>
        </is>
      </c>
      <c r="D86" s="1" t="n">
        <v>44490</v>
      </c>
      <c r="E86" s="1" t="n">
        <v>46217</v>
      </c>
      <c r="F86" t="inlineStr">
        <is>
          <t>UPPSALA LÄN</t>
        </is>
      </c>
      <c r="G86" t="inlineStr">
        <is>
          <t>ENKÖPING</t>
        </is>
      </c>
      <c r="I86" t="n">
        <v>2.4</v>
      </c>
      <c r="J86" t="n">
        <v>0</v>
      </c>
      <c r="K86" t="n">
        <v>0</v>
      </c>
      <c r="L86" t="n">
        <v>0</v>
      </c>
      <c r="M86" t="n">
        <v>0</v>
      </c>
      <c r="N86" t="n">
        <v>0</v>
      </c>
      <c r="O86" t="n">
        <v>0</v>
      </c>
      <c r="P86" t="n">
        <v>0</v>
      </c>
      <c r="Q86" t="n">
        <v>0</v>
      </c>
      <c r="R86" t="n">
        <v>0</v>
      </c>
      <c r="S86" t="n">
        <v>0</v>
      </c>
      <c r="T86" t="n">
        <v>0</v>
      </c>
      <c r="U86" s="2" t="inlineStr"/>
    </row>
    <row r="87" ht="15" customHeight="1">
      <c r="A87" t="inlineStr">
        <is>
          <t>A 24815-2022</t>
        </is>
      </c>
      <c r="B87" t="inlineStr">
        <is>
          <t>avverkningsanmälan</t>
        </is>
      </c>
      <c r="C87" t="inlineStr">
        <is>
          <t>Föryngringsavverkning</t>
        </is>
      </c>
      <c r="D87" s="1" t="n">
        <v>44728</v>
      </c>
      <c r="E87" s="1" t="n">
        <v>46217</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s="2" t="inlineStr"/>
    </row>
    <row r="88" ht="15" customHeight="1">
      <c r="A88" t="inlineStr">
        <is>
          <t>A 57078-2021</t>
        </is>
      </c>
      <c r="B88" t="inlineStr">
        <is>
          <t>avverkningsanmälan</t>
        </is>
      </c>
      <c r="C88" t="inlineStr">
        <is>
          <t>Föryngringsavverkning</t>
        </is>
      </c>
      <c r="D88" s="1" t="n">
        <v>44482</v>
      </c>
      <c r="E88" s="1" t="n">
        <v>46217</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s="2" t="inlineStr"/>
    </row>
    <row r="89" ht="15" customHeight="1">
      <c r="A89" t="inlineStr">
        <is>
          <t>A 5211-2024</t>
        </is>
      </c>
      <c r="B89" t="inlineStr">
        <is>
          <t>avverkningsanmälan</t>
        </is>
      </c>
      <c r="C89" t="inlineStr">
        <is>
          <t>Föryngringsavverkning</t>
        </is>
      </c>
      <c r="D89" s="1" t="n">
        <v>45330</v>
      </c>
      <c r="E89" s="1" t="n">
        <v>46217</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s="2" t="inlineStr"/>
    </row>
    <row r="90" ht="15" customHeight="1">
      <c r="A90" t="inlineStr">
        <is>
          <t>A 4044-2024</t>
        </is>
      </c>
      <c r="B90" t="inlineStr">
        <is>
          <t>avverkningsanmälan</t>
        </is>
      </c>
      <c r="C90" t="inlineStr">
        <is>
          <t>Föryngringsavverkning</t>
        </is>
      </c>
      <c r="D90" s="1" t="n">
        <v>45323</v>
      </c>
      <c r="E90" s="1" t="n">
        <v>46217</v>
      </c>
      <c r="F90" t="inlineStr">
        <is>
          <t>UPPSALA LÄN</t>
        </is>
      </c>
      <c r="G90" t="inlineStr">
        <is>
          <t>ENKÖPING</t>
        </is>
      </c>
      <c r="I90" t="n">
        <v>2.1</v>
      </c>
      <c r="J90" t="n">
        <v>0</v>
      </c>
      <c r="K90" t="n">
        <v>0</v>
      </c>
      <c r="L90" t="n">
        <v>0</v>
      </c>
      <c r="M90" t="n">
        <v>0</v>
      </c>
      <c r="N90" t="n">
        <v>0</v>
      </c>
      <c r="O90" t="n">
        <v>0</v>
      </c>
      <c r="P90" t="n">
        <v>0</v>
      </c>
      <c r="Q90" t="n">
        <v>0</v>
      </c>
      <c r="R90" t="n">
        <v>0</v>
      </c>
      <c r="S90" t="n">
        <v>0</v>
      </c>
      <c r="T90" t="n">
        <v>0</v>
      </c>
      <c r="U90" s="2" t="inlineStr"/>
    </row>
    <row r="91" ht="15" customHeight="1">
      <c r="A91" t="inlineStr">
        <is>
          <t>A 30437-2022</t>
        </is>
      </c>
      <c r="B91" t="inlineStr">
        <is>
          <t>avverkningsanmälan</t>
        </is>
      </c>
      <c r="C91" t="inlineStr">
        <is>
          <t>Föryngringsavverkning</t>
        </is>
      </c>
      <c r="D91" s="1" t="n">
        <v>44761</v>
      </c>
      <c r="E91" s="1" t="n">
        <v>46217</v>
      </c>
      <c r="F91" t="inlineStr">
        <is>
          <t>UPPSALA LÄN</t>
        </is>
      </c>
      <c r="G91" t="inlineStr">
        <is>
          <t>ENKÖPING</t>
        </is>
      </c>
      <c r="I91" t="n">
        <v>3.4</v>
      </c>
      <c r="J91" t="n">
        <v>0</v>
      </c>
      <c r="K91" t="n">
        <v>0</v>
      </c>
      <c r="L91" t="n">
        <v>0</v>
      </c>
      <c r="M91" t="n">
        <v>0</v>
      </c>
      <c r="N91" t="n">
        <v>0</v>
      </c>
      <c r="O91" t="n">
        <v>0</v>
      </c>
      <c r="P91" t="n">
        <v>0</v>
      </c>
      <c r="Q91" t="n">
        <v>0</v>
      </c>
      <c r="R91" t="n">
        <v>0</v>
      </c>
      <c r="S91" t="n">
        <v>0</v>
      </c>
      <c r="T91" t="n">
        <v>0</v>
      </c>
      <c r="U91" s="2" t="inlineStr"/>
    </row>
    <row r="92" ht="15" customHeight="1">
      <c r="A92" t="inlineStr">
        <is>
          <t>A 25333-2023</t>
        </is>
      </c>
      <c r="B92" t="inlineStr">
        <is>
          <t>avverkningsanmälan</t>
        </is>
      </c>
      <c r="C92" t="inlineStr">
        <is>
          <t>Föryngringsavverkning</t>
        </is>
      </c>
      <c r="D92" s="1" t="n">
        <v>45083</v>
      </c>
      <c r="E92" s="1" t="n">
        <v>46217</v>
      </c>
      <c r="F92" t="inlineStr">
        <is>
          <t>UPPSALA LÄN</t>
        </is>
      </c>
      <c r="G92" t="inlineStr">
        <is>
          <t>ENKÖPING</t>
        </is>
      </c>
      <c r="I92" t="n">
        <v>2.7</v>
      </c>
      <c r="J92" t="n">
        <v>0</v>
      </c>
      <c r="K92" t="n">
        <v>0</v>
      </c>
      <c r="L92" t="n">
        <v>0</v>
      </c>
      <c r="M92" t="n">
        <v>0</v>
      </c>
      <c r="N92" t="n">
        <v>0</v>
      </c>
      <c r="O92" t="n">
        <v>0</v>
      </c>
      <c r="P92" t="n">
        <v>0</v>
      </c>
      <c r="Q92" t="n">
        <v>0</v>
      </c>
      <c r="R92" t="n">
        <v>0</v>
      </c>
      <c r="S92" t="n">
        <v>0</v>
      </c>
      <c r="T92" t="n">
        <v>0</v>
      </c>
      <c r="U92" s="2" t="inlineStr"/>
    </row>
    <row r="93" ht="15" customHeight="1">
      <c r="A93" t="inlineStr">
        <is>
          <t>A 50747-2022</t>
        </is>
      </c>
      <c r="B93" t="inlineStr">
        <is>
          <t>avverkningsanmälan</t>
        </is>
      </c>
      <c r="C93" t="inlineStr">
        <is>
          <t>Föryngringsavverkning</t>
        </is>
      </c>
      <c r="D93" s="1" t="n">
        <v>44867</v>
      </c>
      <c r="E93" s="1" t="n">
        <v>46217</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57152-2021</t>
        </is>
      </c>
      <c r="B94" t="inlineStr">
        <is>
          <t>avverkningsanmälan</t>
        </is>
      </c>
      <c r="C94" t="inlineStr">
        <is>
          <t>Föryngringsavverkning</t>
        </is>
      </c>
      <c r="D94" s="1" t="n">
        <v>44482</v>
      </c>
      <c r="E94" s="1" t="n">
        <v>46217</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s="2" t="inlineStr"/>
    </row>
    <row r="95" ht="15" customHeight="1">
      <c r="A95" t="inlineStr">
        <is>
          <t>A 20112-2024</t>
        </is>
      </c>
      <c r="B95" t="inlineStr">
        <is>
          <t>avverkningsanmälan</t>
        </is>
      </c>
      <c r="C95" t="inlineStr">
        <is>
          <t>Föryngringsavverkning</t>
        </is>
      </c>
      <c r="D95" s="1" t="n">
        <v>45434</v>
      </c>
      <c r="E95" s="1" t="n">
        <v>46217</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s="2" t="inlineStr"/>
    </row>
    <row r="96" ht="15" customHeight="1">
      <c r="A96" t="inlineStr">
        <is>
          <t>A 51932-2022</t>
        </is>
      </c>
      <c r="B96" t="inlineStr">
        <is>
          <t>avverkningsanmälan</t>
        </is>
      </c>
      <c r="C96" t="inlineStr">
        <is>
          <t>Föryngringsavverkning</t>
        </is>
      </c>
      <c r="D96" s="1" t="n">
        <v>44872</v>
      </c>
      <c r="E96" s="1" t="n">
        <v>46217</v>
      </c>
      <c r="F96" t="inlineStr">
        <is>
          <t>UPPSALA LÄN</t>
        </is>
      </c>
      <c r="G96" t="inlineStr">
        <is>
          <t>ENKÖPING</t>
        </is>
      </c>
      <c r="I96" t="n">
        <v>5.5</v>
      </c>
      <c r="J96" t="n">
        <v>0</v>
      </c>
      <c r="K96" t="n">
        <v>0</v>
      </c>
      <c r="L96" t="n">
        <v>0</v>
      </c>
      <c r="M96" t="n">
        <v>0</v>
      </c>
      <c r="N96" t="n">
        <v>0</v>
      </c>
      <c r="O96" t="n">
        <v>0</v>
      </c>
      <c r="P96" t="n">
        <v>0</v>
      </c>
      <c r="Q96" t="n">
        <v>0</v>
      </c>
      <c r="R96" t="n">
        <v>0</v>
      </c>
      <c r="S96" t="n">
        <v>0</v>
      </c>
      <c r="T96" t="n">
        <v>0</v>
      </c>
      <c r="U96" s="2" t="inlineStr"/>
    </row>
    <row r="97" ht="15" customHeight="1">
      <c r="A97" t="inlineStr">
        <is>
          <t>A 12958-2024</t>
        </is>
      </c>
      <c r="B97" t="inlineStr">
        <is>
          <t>avverkningsanmälan</t>
        </is>
      </c>
      <c r="C97" t="inlineStr">
        <is>
          <t>Föryngringsavverkning</t>
        </is>
      </c>
      <c r="D97" s="1" t="n">
        <v>45385</v>
      </c>
      <c r="E97" s="1" t="n">
        <v>46217</v>
      </c>
      <c r="F97" t="inlineStr">
        <is>
          <t>UPPSALA LÄN</t>
        </is>
      </c>
      <c r="G97" t="inlineStr">
        <is>
          <t>ENKÖPING</t>
        </is>
      </c>
      <c r="I97" t="n">
        <v>2.1</v>
      </c>
      <c r="J97" t="n">
        <v>0</v>
      </c>
      <c r="K97" t="n">
        <v>0</v>
      </c>
      <c r="L97" t="n">
        <v>0</v>
      </c>
      <c r="M97" t="n">
        <v>0</v>
      </c>
      <c r="N97" t="n">
        <v>0</v>
      </c>
      <c r="O97" t="n">
        <v>0</v>
      </c>
      <c r="P97" t="n">
        <v>0</v>
      </c>
      <c r="Q97" t="n">
        <v>0</v>
      </c>
      <c r="R97" t="n">
        <v>0</v>
      </c>
      <c r="S97" t="n">
        <v>0</v>
      </c>
      <c r="T97" t="n">
        <v>0</v>
      </c>
      <c r="U97" s="2" t="inlineStr"/>
    </row>
    <row r="98" ht="15" customHeight="1">
      <c r="A98" t="inlineStr">
        <is>
          <t>A 40812-2022</t>
        </is>
      </c>
      <c r="B98" t="inlineStr">
        <is>
          <t>avverkningsanmälan</t>
        </is>
      </c>
      <c r="C98" t="inlineStr">
        <is>
          <t>Föryngringsavverkning</t>
        </is>
      </c>
      <c r="D98" s="1" t="n">
        <v>44824</v>
      </c>
      <c r="E98" s="1" t="n">
        <v>46217</v>
      </c>
      <c r="F98" t="inlineStr">
        <is>
          <t>UPPSALA LÄN</t>
        </is>
      </c>
      <c r="G98" t="inlineStr">
        <is>
          <t>ENKÖPING</t>
        </is>
      </c>
      <c r="I98" t="n">
        <v>1.4</v>
      </c>
      <c r="J98" t="n">
        <v>0</v>
      </c>
      <c r="K98" t="n">
        <v>0</v>
      </c>
      <c r="L98" t="n">
        <v>0</v>
      </c>
      <c r="M98" t="n">
        <v>0</v>
      </c>
      <c r="N98" t="n">
        <v>0</v>
      </c>
      <c r="O98" t="n">
        <v>0</v>
      </c>
      <c r="P98" t="n">
        <v>0</v>
      </c>
      <c r="Q98" t="n">
        <v>0</v>
      </c>
      <c r="R98" t="n">
        <v>0</v>
      </c>
      <c r="S98" t="n">
        <v>0</v>
      </c>
      <c r="T98" t="n">
        <v>0</v>
      </c>
      <c r="U98" s="2" t="inlineStr"/>
    </row>
    <row r="99" ht="15" customHeight="1">
      <c r="A99" t="inlineStr">
        <is>
          <t>A 24291-2024</t>
        </is>
      </c>
      <c r="B99" t="inlineStr">
        <is>
          <t>avverkningsanmälan</t>
        </is>
      </c>
      <c r="C99" t="inlineStr">
        <is>
          <t>Föryngringsavverkning</t>
        </is>
      </c>
      <c r="D99" s="1" t="n">
        <v>45457</v>
      </c>
      <c r="E99" s="1" t="n">
        <v>46217</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s="2" t="inlineStr"/>
    </row>
    <row r="100" ht="15" customHeight="1">
      <c r="A100" t="inlineStr">
        <is>
          <t>A 47428-2023</t>
        </is>
      </c>
      <c r="B100" t="inlineStr">
        <is>
          <t>avverkningsanmälan</t>
        </is>
      </c>
      <c r="C100" t="inlineStr">
        <is>
          <t>Föryngringsavverkning</t>
        </is>
      </c>
      <c r="D100" s="1" t="n">
        <v>45202</v>
      </c>
      <c r="E100" s="1" t="n">
        <v>46217</v>
      </c>
      <c r="F100" t="inlineStr">
        <is>
          <t>UPPSALA LÄN</t>
        </is>
      </c>
      <c r="G100" t="inlineStr">
        <is>
          <t>ENKÖPING</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44232-2022</t>
        </is>
      </c>
      <c r="B101" t="inlineStr">
        <is>
          <t>avverkningsanmälan</t>
        </is>
      </c>
      <c r="C101" t="inlineStr">
        <is>
          <t>Föryngringsavverkning</t>
        </is>
      </c>
      <c r="D101" s="1" t="n">
        <v>44839</v>
      </c>
      <c r="E101" s="1" t="n">
        <v>46217</v>
      </c>
      <c r="F101" t="inlineStr">
        <is>
          <t>UPPSALA LÄN</t>
        </is>
      </c>
      <c r="G101" t="inlineStr">
        <is>
          <t>ENKÖPING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10468-2025</t>
        </is>
      </c>
      <c r="B102" t="inlineStr">
        <is>
          <t>avverkningsanmälan</t>
        </is>
      </c>
      <c r="C102" t="inlineStr">
        <is>
          <t>Föryngringsavverkning</t>
        </is>
      </c>
      <c r="D102" s="1" t="n">
        <v>45720</v>
      </c>
      <c r="E102" s="1" t="n">
        <v>46217</v>
      </c>
      <c r="F102" t="inlineStr">
        <is>
          <t>UPPSALA LÄN</t>
        </is>
      </c>
      <c r="G102" t="inlineStr">
        <is>
          <t>ENKÖPING</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60350-2022</t>
        </is>
      </c>
      <c r="B103" t="inlineStr">
        <is>
          <t>avverkningsanmälan</t>
        </is>
      </c>
      <c r="C103" t="inlineStr">
        <is>
          <t>Föryngringsavverkning</t>
        </is>
      </c>
      <c r="D103" s="1" t="n">
        <v>44910</v>
      </c>
      <c r="E103" s="1" t="n">
        <v>46217</v>
      </c>
      <c r="F103" t="inlineStr">
        <is>
          <t>UPPSALA LÄN</t>
        </is>
      </c>
      <c r="G103" t="inlineStr">
        <is>
          <t>ENKÖPING</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45362-2022</t>
        </is>
      </c>
      <c r="B104" t="inlineStr">
        <is>
          <t>avverkningsanmälan</t>
        </is>
      </c>
      <c r="C104" t="inlineStr">
        <is>
          <t>Föryngringsavverkning</t>
        </is>
      </c>
      <c r="D104" s="1" t="n">
        <v>44844</v>
      </c>
      <c r="E104" s="1" t="n">
        <v>46217</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56526-2022</t>
        </is>
      </c>
      <c r="B105" t="inlineStr">
        <is>
          <t>avverkningsanmälan</t>
        </is>
      </c>
      <c r="C105" t="inlineStr">
        <is>
          <t>Föryngringsavverkning</t>
        </is>
      </c>
      <c r="D105" s="1" t="n">
        <v>44893</v>
      </c>
      <c r="E105" s="1" t="n">
        <v>46217</v>
      </c>
      <c r="F105" t="inlineStr">
        <is>
          <t>UPPSALA LÄN</t>
        </is>
      </c>
      <c r="G105" t="inlineStr">
        <is>
          <t>ENKÖPING</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30098-2024</t>
        </is>
      </c>
      <c r="B106" t="inlineStr">
        <is>
          <t>avverkningsanmälan</t>
        </is>
      </c>
      <c r="C106" t="inlineStr">
        <is>
          <t>Föryngringsavverkning</t>
        </is>
      </c>
      <c r="D106" s="1" t="n">
        <v>45489</v>
      </c>
      <c r="E106" s="1" t="n">
        <v>46217</v>
      </c>
      <c r="F106" t="inlineStr">
        <is>
          <t>UPPSALA LÄN</t>
        </is>
      </c>
      <c r="G106" t="inlineStr">
        <is>
          <t>ENKÖPING</t>
        </is>
      </c>
      <c r="I106" t="n">
        <v>8.199999999999999</v>
      </c>
      <c r="J106" t="n">
        <v>0</v>
      </c>
      <c r="K106" t="n">
        <v>0</v>
      </c>
      <c r="L106" t="n">
        <v>0</v>
      </c>
      <c r="M106" t="n">
        <v>0</v>
      </c>
      <c r="N106" t="n">
        <v>0</v>
      </c>
      <c r="O106" t="n">
        <v>0</v>
      </c>
      <c r="P106" t="n">
        <v>0</v>
      </c>
      <c r="Q106" t="n">
        <v>0</v>
      </c>
      <c r="R106" t="n">
        <v>0</v>
      </c>
      <c r="S106" t="n">
        <v>0</v>
      </c>
      <c r="T106" t="n">
        <v>0</v>
      </c>
      <c r="U106" s="2" t="inlineStr"/>
    </row>
    <row r="107" ht="15" customHeight="1">
      <c r="A107" t="inlineStr">
        <is>
          <t>A 1651-2024</t>
        </is>
      </c>
      <c r="B107" t="inlineStr">
        <is>
          <t>avverkningsanmälan</t>
        </is>
      </c>
      <c r="C107" t="inlineStr">
        <is>
          <t>Föryngringsavverkning</t>
        </is>
      </c>
      <c r="D107" s="1" t="n">
        <v>45306</v>
      </c>
      <c r="E107" s="1" t="n">
        <v>46217</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s="2" t="inlineStr"/>
    </row>
    <row r="108" ht="15" customHeight="1">
      <c r="A108" t="inlineStr">
        <is>
          <t>A 43488-2023</t>
        </is>
      </c>
      <c r="B108" t="inlineStr">
        <is>
          <t>avverkningsanmälan</t>
        </is>
      </c>
      <c r="C108" t="inlineStr">
        <is>
          <t>Föryngringsavverkning</t>
        </is>
      </c>
      <c r="D108" s="1" t="n">
        <v>45181</v>
      </c>
      <c r="E108" s="1" t="n">
        <v>46217</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2162-2023</t>
        </is>
      </c>
      <c r="B109" t="inlineStr">
        <is>
          <t>avverkningsanmälan</t>
        </is>
      </c>
      <c r="C109" t="inlineStr">
        <is>
          <t>Föryngringsavverkning</t>
        </is>
      </c>
      <c r="D109" s="1" t="n">
        <v>44941</v>
      </c>
      <c r="E109" s="1" t="n">
        <v>46217</v>
      </c>
      <c r="F109" t="inlineStr">
        <is>
          <t>UPPSALA LÄN</t>
        </is>
      </c>
      <c r="G109" t="inlineStr">
        <is>
          <t>ENKÖPING</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12755-2025</t>
        </is>
      </c>
      <c r="B110" t="inlineStr">
        <is>
          <t>avverkningsanmälan</t>
        </is>
      </c>
      <c r="C110" t="inlineStr">
        <is>
          <t>Föryngringsavverkning</t>
        </is>
      </c>
      <c r="D110" s="1" t="n">
        <v>45733</v>
      </c>
      <c r="E110" s="1" t="n">
        <v>46217</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56163-2021</t>
        </is>
      </c>
      <c r="B111" t="inlineStr">
        <is>
          <t>avverkningsanmälan</t>
        </is>
      </c>
      <c r="C111" t="inlineStr">
        <is>
          <t>Föryngringsavverkning</t>
        </is>
      </c>
      <c r="D111" s="1" t="n">
        <v>44477</v>
      </c>
      <c r="E111" s="1" t="n">
        <v>46217</v>
      </c>
      <c r="F111" t="inlineStr">
        <is>
          <t>UPPSALA LÄN</t>
        </is>
      </c>
      <c r="G111" t="inlineStr">
        <is>
          <t>ENKÖPING</t>
        </is>
      </c>
      <c r="H111" t="inlineStr">
        <is>
          <t>Allmännings- och besparingsskogar</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28318-2024</t>
        </is>
      </c>
      <c r="B112" t="inlineStr">
        <is>
          <t>avverkningsanmälan</t>
        </is>
      </c>
      <c r="C112" t="inlineStr">
        <is>
          <t>Föryngringsavverkning</t>
        </is>
      </c>
      <c r="D112" s="1" t="n">
        <v>45477</v>
      </c>
      <c r="E112" s="1" t="n">
        <v>46217</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31242-2024</t>
        </is>
      </c>
      <c r="B113" t="inlineStr">
        <is>
          <t>avverkningsanmälan</t>
        </is>
      </c>
      <c r="C113" t="inlineStr">
        <is>
          <t>Föryngringsavverkning</t>
        </is>
      </c>
      <c r="D113" s="1" t="n">
        <v>45503</v>
      </c>
      <c r="E113" s="1" t="n">
        <v>46217</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69344-2021</t>
        </is>
      </c>
      <c r="B114" t="inlineStr">
        <is>
          <t>avverkningsanmälan</t>
        </is>
      </c>
      <c r="C114" t="inlineStr">
        <is>
          <t>Föryngringsavverkning</t>
        </is>
      </c>
      <c r="D114" s="1" t="n">
        <v>44531</v>
      </c>
      <c r="E114" s="1" t="n">
        <v>46217</v>
      </c>
      <c r="F114" t="inlineStr">
        <is>
          <t>UPPSALA LÄN</t>
        </is>
      </c>
      <c r="G114" t="inlineStr">
        <is>
          <t>ENKÖPING</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27983-2024</t>
        </is>
      </c>
      <c r="B115" t="inlineStr">
        <is>
          <t>avverkningsanmälan</t>
        </is>
      </c>
      <c r="C115" t="inlineStr">
        <is>
          <t>Föryngringsavverkning</t>
        </is>
      </c>
      <c r="D115" s="1" t="n">
        <v>45476</v>
      </c>
      <c r="E115" s="1" t="n">
        <v>46217</v>
      </c>
      <c r="F115" t="inlineStr">
        <is>
          <t>UPPSALA LÄN</t>
        </is>
      </c>
      <c r="G115" t="inlineStr">
        <is>
          <t>ENKÖPING</t>
        </is>
      </c>
      <c r="I115" t="n">
        <v>3.2</v>
      </c>
      <c r="J115" t="n">
        <v>0</v>
      </c>
      <c r="K115" t="n">
        <v>0</v>
      </c>
      <c r="L115" t="n">
        <v>0</v>
      </c>
      <c r="M115" t="n">
        <v>0</v>
      </c>
      <c r="N115" t="n">
        <v>0</v>
      </c>
      <c r="O115" t="n">
        <v>0</v>
      </c>
      <c r="P115" t="n">
        <v>0</v>
      </c>
      <c r="Q115" t="n">
        <v>0</v>
      </c>
      <c r="R115" t="n">
        <v>0</v>
      </c>
      <c r="S115" t="n">
        <v>0</v>
      </c>
      <c r="T115" t="n">
        <v>0</v>
      </c>
      <c r="U115" s="2" t="inlineStr"/>
    </row>
    <row r="116" ht="15" customHeight="1">
      <c r="A116" t="inlineStr">
        <is>
          <t>A 22912-2024</t>
        </is>
      </c>
      <c r="B116" t="inlineStr">
        <is>
          <t>avverkningsanmälan</t>
        </is>
      </c>
      <c r="C116" t="inlineStr">
        <is>
          <t>Föryngringsavverkning</t>
        </is>
      </c>
      <c r="D116" s="1" t="n">
        <v>45448</v>
      </c>
      <c r="E116" s="1" t="n">
        <v>46217</v>
      </c>
      <c r="F116" t="inlineStr">
        <is>
          <t>UPPSALA LÄN</t>
        </is>
      </c>
      <c r="G116" t="inlineStr">
        <is>
          <t>ENKÖPING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9667-2024</t>
        </is>
      </c>
      <c r="B117" t="inlineStr">
        <is>
          <t>avverkningsanmälan</t>
        </is>
      </c>
      <c r="C117" t="inlineStr">
        <is>
          <t>Föryngringsavverkning</t>
        </is>
      </c>
      <c r="D117" s="1" t="n">
        <v>45362</v>
      </c>
      <c r="E117" s="1" t="n">
        <v>46217</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43506-2023</t>
        </is>
      </c>
      <c r="B118" t="inlineStr">
        <is>
          <t>avverkningsanmälan</t>
        </is>
      </c>
      <c r="C118" t="inlineStr">
        <is>
          <t>Föryngringsavverkning</t>
        </is>
      </c>
      <c r="D118" s="1" t="n">
        <v>45181</v>
      </c>
      <c r="E118" s="1" t="n">
        <v>46217</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14004-2023</t>
        </is>
      </c>
      <c r="B119" t="inlineStr">
        <is>
          <t>avverkningsanmälan</t>
        </is>
      </c>
      <c r="C119" t="inlineStr">
        <is>
          <t>Föryngringsavverkning</t>
        </is>
      </c>
      <c r="D119" s="1" t="n">
        <v>45008</v>
      </c>
      <c r="E119" s="1" t="n">
        <v>46217</v>
      </c>
      <c r="F119" t="inlineStr">
        <is>
          <t>UPPSALA LÄN</t>
        </is>
      </c>
      <c r="G119" t="inlineStr">
        <is>
          <t>ENKÖPING</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10465-2022</t>
        </is>
      </c>
      <c r="B120" t="inlineStr">
        <is>
          <t>avverkningsanmälan</t>
        </is>
      </c>
      <c r="C120" t="inlineStr">
        <is>
          <t>Föryngringsavverkning</t>
        </is>
      </c>
      <c r="D120" s="1" t="n">
        <v>44623</v>
      </c>
      <c r="E120" s="1" t="n">
        <v>46217</v>
      </c>
      <c r="F120" t="inlineStr">
        <is>
          <t>UPPSALA LÄN</t>
        </is>
      </c>
      <c r="G120" t="inlineStr">
        <is>
          <t>ENKÖPING</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2164-2023</t>
        </is>
      </c>
      <c r="B121" t="inlineStr">
        <is>
          <t>avverkningsanmälan</t>
        </is>
      </c>
      <c r="C121" t="inlineStr">
        <is>
          <t>Föryngringsavverkning</t>
        </is>
      </c>
      <c r="D121" s="1" t="n">
        <v>44941</v>
      </c>
      <c r="E121" s="1" t="n">
        <v>46217</v>
      </c>
      <c r="F121" t="inlineStr">
        <is>
          <t>UPPSALA LÄN</t>
        </is>
      </c>
      <c r="G121" t="inlineStr">
        <is>
          <t>ENKÖPING</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33955-2024</t>
        </is>
      </c>
      <c r="B122" t="inlineStr">
        <is>
          <t>avverkningsanmälan</t>
        </is>
      </c>
      <c r="C122" t="inlineStr">
        <is>
          <t>Föryngringsavverkning</t>
        </is>
      </c>
      <c r="D122" s="1" t="n">
        <v>45523</v>
      </c>
      <c r="E122" s="1" t="n">
        <v>46217</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6172-2023</t>
        </is>
      </c>
      <c r="B123" t="inlineStr">
        <is>
          <t>avverkningsanmälan</t>
        </is>
      </c>
      <c r="C123" t="inlineStr">
        <is>
          <t>Föryngringsavverkning</t>
        </is>
      </c>
      <c r="D123" s="1" t="n">
        <v>44964</v>
      </c>
      <c r="E123" s="1" t="n">
        <v>46217</v>
      </c>
      <c r="F123" t="inlineStr">
        <is>
          <t>UPPSALA LÄN</t>
        </is>
      </c>
      <c r="G123" t="inlineStr">
        <is>
          <t>ENKÖPING</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10409-2025</t>
        </is>
      </c>
      <c r="B124" t="inlineStr">
        <is>
          <t>avverkningsanmälan</t>
        </is>
      </c>
      <c r="C124" t="inlineStr">
        <is>
          <t>Föryngringsavverkning</t>
        </is>
      </c>
      <c r="D124" s="1" t="n">
        <v>45720</v>
      </c>
      <c r="E124" s="1" t="n">
        <v>46217</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21686-2022</t>
        </is>
      </c>
      <c r="B125" t="inlineStr">
        <is>
          <t>avverkningsanmälan</t>
        </is>
      </c>
      <c r="C125" t="inlineStr">
        <is>
          <t>Föryngringsavverkning</t>
        </is>
      </c>
      <c r="D125" s="1" t="n">
        <v>44707</v>
      </c>
      <c r="E125" s="1" t="n">
        <v>46217</v>
      </c>
      <c r="F125" t="inlineStr">
        <is>
          <t>UPPSALA LÄN</t>
        </is>
      </c>
      <c r="G125" t="inlineStr">
        <is>
          <t>ENKÖPING</t>
        </is>
      </c>
      <c r="I125" t="n">
        <v>2.2</v>
      </c>
      <c r="J125" t="n">
        <v>0</v>
      </c>
      <c r="K125" t="n">
        <v>0</v>
      </c>
      <c r="L125" t="n">
        <v>0</v>
      </c>
      <c r="M125" t="n">
        <v>0</v>
      </c>
      <c r="N125" t="n">
        <v>0</v>
      </c>
      <c r="O125" t="n">
        <v>0</v>
      </c>
      <c r="P125" t="n">
        <v>0</v>
      </c>
      <c r="Q125" t="n">
        <v>0</v>
      </c>
      <c r="R125" t="n">
        <v>0</v>
      </c>
      <c r="S125" t="n">
        <v>0</v>
      </c>
      <c r="T125" t="n">
        <v>0</v>
      </c>
      <c r="U125" s="2" t="inlineStr"/>
    </row>
    <row r="126" ht="15" customHeight="1">
      <c r="A126" t="inlineStr">
        <is>
          <t>A 49525-2021</t>
        </is>
      </c>
      <c r="B126" t="inlineStr">
        <is>
          <t>avverkningsanmälan</t>
        </is>
      </c>
      <c r="C126" t="inlineStr">
        <is>
          <t>Föryngringsavverkning</t>
        </is>
      </c>
      <c r="D126" s="1" t="n">
        <v>44455</v>
      </c>
      <c r="E126" s="1" t="n">
        <v>46217</v>
      </c>
      <c r="F126" t="inlineStr">
        <is>
          <t>UPPSALA LÄN</t>
        </is>
      </c>
      <c r="G126" t="inlineStr">
        <is>
          <t>ENKÖPING</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29479-2022</t>
        </is>
      </c>
      <c r="B127" t="inlineStr">
        <is>
          <t>avverkningsanmälan</t>
        </is>
      </c>
      <c r="C127" t="inlineStr">
        <is>
          <t>Föryngringsavverkning</t>
        </is>
      </c>
      <c r="D127" s="1" t="n">
        <v>44753</v>
      </c>
      <c r="E127" s="1" t="n">
        <v>46217</v>
      </c>
      <c r="F127" t="inlineStr">
        <is>
          <t>UPPSALA LÄN</t>
        </is>
      </c>
      <c r="G127" t="inlineStr">
        <is>
          <t>ENKÖPING</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36599-2025</t>
        </is>
      </c>
      <c r="B128" t="inlineStr">
        <is>
          <t>avverkningsanmälan</t>
        </is>
      </c>
      <c r="C128" t="inlineStr">
        <is>
          <t>Föryngringsavverkning</t>
        </is>
      </c>
      <c r="D128" s="1" t="n">
        <v>45870</v>
      </c>
      <c r="E128" s="1" t="n">
        <v>46217</v>
      </c>
      <c r="F128" t="inlineStr">
        <is>
          <t>UPPSALA LÄN</t>
        </is>
      </c>
      <c r="G128" t="inlineStr">
        <is>
          <t>ENKÖPING</t>
        </is>
      </c>
      <c r="I128" t="n">
        <v>5.9</v>
      </c>
      <c r="J128" t="n">
        <v>0</v>
      </c>
      <c r="K128" t="n">
        <v>0</v>
      </c>
      <c r="L128" t="n">
        <v>0</v>
      </c>
      <c r="M128" t="n">
        <v>0</v>
      </c>
      <c r="N128" t="n">
        <v>0</v>
      </c>
      <c r="O128" t="n">
        <v>0</v>
      </c>
      <c r="P128" t="n">
        <v>0</v>
      </c>
      <c r="Q128" t="n">
        <v>0</v>
      </c>
      <c r="R128" t="n">
        <v>0</v>
      </c>
      <c r="S128" t="n">
        <v>0</v>
      </c>
      <c r="T128" t="n">
        <v>0</v>
      </c>
      <c r="U128" s="2" t="inlineStr"/>
    </row>
    <row r="129" ht="15" customHeight="1">
      <c r="A129" t="inlineStr">
        <is>
          <t>A 69344-2021</t>
        </is>
      </c>
      <c r="B129" t="inlineStr">
        <is>
          <t>avverkningsanmälan</t>
        </is>
      </c>
      <c r="C129" t="inlineStr">
        <is>
          <t>Föryngringsavverkning</t>
        </is>
      </c>
      <c r="D129" s="1" t="n">
        <v>44531</v>
      </c>
      <c r="E129" s="1" t="n">
        <v>46217</v>
      </c>
      <c r="F129" t="inlineStr">
        <is>
          <t>UPPSALA LÄN</t>
        </is>
      </c>
      <c r="G129" t="inlineStr">
        <is>
          <t>ENKÖPING</t>
        </is>
      </c>
      <c r="I129" t="n">
        <v>2.9</v>
      </c>
      <c r="J129" t="n">
        <v>0</v>
      </c>
      <c r="K129" t="n">
        <v>0</v>
      </c>
      <c r="L129" t="n">
        <v>0</v>
      </c>
      <c r="M129" t="n">
        <v>0</v>
      </c>
      <c r="N129" t="n">
        <v>0</v>
      </c>
      <c r="O129" t="n">
        <v>0</v>
      </c>
      <c r="P129" t="n">
        <v>0</v>
      </c>
      <c r="Q129" t="n">
        <v>0</v>
      </c>
      <c r="R129" t="n">
        <v>0</v>
      </c>
      <c r="S129" t="n">
        <v>0</v>
      </c>
      <c r="T129" t="n">
        <v>0</v>
      </c>
      <c r="U129" s="2" t="inlineStr"/>
    </row>
    <row r="130" ht="15" customHeight="1">
      <c r="A130" t="inlineStr">
        <is>
          <t>A 25557-2026</t>
        </is>
      </c>
      <c r="B130" t="inlineStr">
        <is>
          <t>avverkningsanmälan</t>
        </is>
      </c>
      <c r="C130" t="inlineStr">
        <is>
          <t>Föryngringsavverkning</t>
        </is>
      </c>
      <c r="D130" s="1" t="n">
        <v>46177</v>
      </c>
      <c r="E130" s="1" t="n">
        <v>46217</v>
      </c>
      <c r="F130" t="inlineStr">
        <is>
          <t>UPPSALA LÄN</t>
        </is>
      </c>
      <c r="G130" t="inlineStr">
        <is>
          <t>ENKÖPING</t>
        </is>
      </c>
      <c r="I130" t="n">
        <v>4.5</v>
      </c>
      <c r="J130" t="n">
        <v>0</v>
      </c>
      <c r="K130" t="n">
        <v>0</v>
      </c>
      <c r="L130" t="n">
        <v>0</v>
      </c>
      <c r="M130" t="n">
        <v>0</v>
      </c>
      <c r="N130" t="n">
        <v>0</v>
      </c>
      <c r="O130" t="n">
        <v>0</v>
      </c>
      <c r="P130" t="n">
        <v>0</v>
      </c>
      <c r="Q130" t="n">
        <v>0</v>
      </c>
      <c r="R130" t="n">
        <v>0</v>
      </c>
      <c r="S130" t="n">
        <v>0</v>
      </c>
      <c r="T130" t="n">
        <v>0</v>
      </c>
      <c r="U130" s="2" t="inlineStr"/>
    </row>
    <row r="131" ht="15" customHeight="1">
      <c r="A131" t="inlineStr">
        <is>
          <t>A 57328-2024</t>
        </is>
      </c>
      <c r="B131" t="inlineStr">
        <is>
          <t>avverkningsanmälan</t>
        </is>
      </c>
      <c r="C131" t="inlineStr">
        <is>
          <t>Föryngringsavverkning</t>
        </is>
      </c>
      <c r="D131" s="1" t="n">
        <v>45629</v>
      </c>
      <c r="E131" s="1" t="n">
        <v>46217</v>
      </c>
      <c r="F131" t="inlineStr">
        <is>
          <t>UPPSALA LÄN</t>
        </is>
      </c>
      <c r="G131" t="inlineStr">
        <is>
          <t>ENKÖPING</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49622-2024</t>
        </is>
      </c>
      <c r="B132" t="inlineStr">
        <is>
          <t>avverkningsanmälan</t>
        </is>
      </c>
      <c r="C132" t="inlineStr">
        <is>
          <t>Föryngringsavverkning</t>
        </is>
      </c>
      <c r="D132" s="1" t="n">
        <v>45596</v>
      </c>
      <c r="E132" s="1" t="n">
        <v>46217</v>
      </c>
      <c r="F132" t="inlineStr">
        <is>
          <t>UPPSALA LÄN</t>
        </is>
      </c>
      <c r="G132" t="inlineStr">
        <is>
          <t>ENKÖPING</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21017-2023</t>
        </is>
      </c>
      <c r="B133" t="inlineStr">
        <is>
          <t>avverkningsanmälan</t>
        </is>
      </c>
      <c r="C133" t="inlineStr">
        <is>
          <t>Föryngringsavverkning</t>
        </is>
      </c>
      <c r="D133" s="1" t="n">
        <v>45061</v>
      </c>
      <c r="E133" s="1" t="n">
        <v>46217</v>
      </c>
      <c r="F133" t="inlineStr">
        <is>
          <t>UPPSALA LÄN</t>
        </is>
      </c>
      <c r="G133" t="inlineStr">
        <is>
          <t>ENKÖPING</t>
        </is>
      </c>
      <c r="I133" t="n">
        <v>4.8</v>
      </c>
      <c r="J133" t="n">
        <v>0</v>
      </c>
      <c r="K133" t="n">
        <v>0</v>
      </c>
      <c r="L133" t="n">
        <v>0</v>
      </c>
      <c r="M133" t="n">
        <v>0</v>
      </c>
      <c r="N133" t="n">
        <v>0</v>
      </c>
      <c r="O133" t="n">
        <v>0</v>
      </c>
      <c r="P133" t="n">
        <v>0</v>
      </c>
      <c r="Q133" t="n">
        <v>0</v>
      </c>
      <c r="R133" t="n">
        <v>0</v>
      </c>
      <c r="S133" t="n">
        <v>0</v>
      </c>
      <c r="T133" t="n">
        <v>0</v>
      </c>
      <c r="U133" s="2" t="inlineStr"/>
    </row>
    <row r="134" ht="15" customHeight="1">
      <c r="A134" t="inlineStr">
        <is>
          <t>A 56176-2021</t>
        </is>
      </c>
      <c r="B134" t="inlineStr">
        <is>
          <t>avverkningsanmälan</t>
        </is>
      </c>
      <c r="C134" t="inlineStr">
        <is>
          <t>Föryngringsavverkning</t>
        </is>
      </c>
      <c r="D134" s="1" t="n">
        <v>44477</v>
      </c>
      <c r="E134" s="1" t="n">
        <v>46217</v>
      </c>
      <c r="F134" t="inlineStr">
        <is>
          <t>UPPSALA LÄN</t>
        </is>
      </c>
      <c r="G134" t="inlineStr">
        <is>
          <t>ENKÖPING</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25334-2023</t>
        </is>
      </c>
      <c r="B135" t="inlineStr">
        <is>
          <t>avverkningsanmälan</t>
        </is>
      </c>
      <c r="C135" t="inlineStr">
        <is>
          <t>Avverkning för annat ändamål</t>
        </is>
      </c>
      <c r="D135" s="1" t="n">
        <v>45083</v>
      </c>
      <c r="E135" s="1" t="n">
        <v>46217</v>
      </c>
      <c r="F135" t="inlineStr">
        <is>
          <t>UPPSALA LÄN</t>
        </is>
      </c>
      <c r="G135" t="inlineStr">
        <is>
          <t>ENKÖPING</t>
        </is>
      </c>
      <c r="I135" t="n">
        <v>0.2</v>
      </c>
      <c r="J135" t="n">
        <v>0</v>
      </c>
      <c r="K135" t="n">
        <v>0</v>
      </c>
      <c r="L135" t="n">
        <v>0</v>
      </c>
      <c r="M135" t="n">
        <v>0</v>
      </c>
      <c r="N135" t="n">
        <v>0</v>
      </c>
      <c r="O135" t="n">
        <v>0</v>
      </c>
      <c r="P135" t="n">
        <v>0</v>
      </c>
      <c r="Q135" t="n">
        <v>0</v>
      </c>
      <c r="R135" t="n">
        <v>0</v>
      </c>
      <c r="S135" t="n">
        <v>0</v>
      </c>
      <c r="T135" t="n">
        <v>0</v>
      </c>
      <c r="U135" s="2" t="inlineStr"/>
    </row>
    <row r="136" ht="15" customHeight="1">
      <c r="A136" t="inlineStr">
        <is>
          <t>A 47516-2022</t>
        </is>
      </c>
      <c r="B136" t="inlineStr">
        <is>
          <t>avverkningsanmälan</t>
        </is>
      </c>
      <c r="C136" t="inlineStr">
        <is>
          <t>Föryngringsavverkning</t>
        </is>
      </c>
      <c r="D136" s="1" t="n">
        <v>44853</v>
      </c>
      <c r="E136" s="1" t="n">
        <v>46217</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42029-2025</t>
        </is>
      </c>
      <c r="B137" t="inlineStr">
        <is>
          <t>avverkningsanmälan</t>
        </is>
      </c>
      <c r="C137" t="inlineStr">
        <is>
          <t>Föryngringsavverkning</t>
        </is>
      </c>
      <c r="D137" s="1" t="n">
        <v>45903</v>
      </c>
      <c r="E137" s="1" t="n">
        <v>46217</v>
      </c>
      <c r="F137" t="inlineStr">
        <is>
          <t>UPPSALA LÄN</t>
        </is>
      </c>
      <c r="G137" t="inlineStr">
        <is>
          <t>ENKÖPING</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22632-2025</t>
        </is>
      </c>
      <c r="B138" t="inlineStr">
        <is>
          <t>avverkningsanmälan</t>
        </is>
      </c>
      <c r="C138" t="inlineStr">
        <is>
          <t>Föryngringsavverkning</t>
        </is>
      </c>
      <c r="D138" s="1" t="n">
        <v>45789</v>
      </c>
      <c r="E138" s="1" t="n">
        <v>46217</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1695-2025</t>
        </is>
      </c>
      <c r="B139" t="inlineStr">
        <is>
          <t>avverkningsanmälan</t>
        </is>
      </c>
      <c r="C139" t="inlineStr">
        <is>
          <t>Föryngringsavverkning</t>
        </is>
      </c>
      <c r="D139" s="1" t="n">
        <v>45670</v>
      </c>
      <c r="E139" s="1" t="n">
        <v>46217</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59027-2024</t>
        </is>
      </c>
      <c r="B140" t="inlineStr">
        <is>
          <t>avverkningsanmälan</t>
        </is>
      </c>
      <c r="C140" t="inlineStr">
        <is>
          <t>Föryngringsavverkning</t>
        </is>
      </c>
      <c r="D140" s="1" t="n">
        <v>45636</v>
      </c>
      <c r="E140" s="1" t="n">
        <v>46217</v>
      </c>
      <c r="F140" t="inlineStr">
        <is>
          <t>UPPSALA LÄN</t>
        </is>
      </c>
      <c r="G140" t="inlineStr">
        <is>
          <t>ENKÖPING</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3235-2025</t>
        </is>
      </c>
      <c r="B141" t="inlineStr">
        <is>
          <t>avverkningsanmälan</t>
        </is>
      </c>
      <c r="C141" t="inlineStr">
        <is>
          <t>Avverkning för annat ändamål</t>
        </is>
      </c>
      <c r="D141" s="1" t="n">
        <v>45679</v>
      </c>
      <c r="E141" s="1" t="n">
        <v>46217</v>
      </c>
      <c r="F141" t="inlineStr">
        <is>
          <t>UPPSALA LÄN</t>
        </is>
      </c>
      <c r="G141" t="inlineStr">
        <is>
          <t>ENKÖPING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61207-2023</t>
        </is>
      </c>
      <c r="B142" t="inlineStr">
        <is>
          <t>avverkningsanmälan</t>
        </is>
      </c>
      <c r="C142" t="inlineStr">
        <is>
          <t>Föryngringsavverkning</t>
        </is>
      </c>
      <c r="D142" s="1" t="n">
        <v>45264</v>
      </c>
      <c r="E142" s="1" t="n">
        <v>46217</v>
      </c>
      <c r="F142" t="inlineStr">
        <is>
          <t>UPPSALA LÄN</t>
        </is>
      </c>
      <c r="G142" t="inlineStr">
        <is>
          <t>ENKÖPING</t>
        </is>
      </c>
      <c r="I142" t="n">
        <v>10.8</v>
      </c>
      <c r="J142" t="n">
        <v>0</v>
      </c>
      <c r="K142" t="n">
        <v>0</v>
      </c>
      <c r="L142" t="n">
        <v>0</v>
      </c>
      <c r="M142" t="n">
        <v>0</v>
      </c>
      <c r="N142" t="n">
        <v>0</v>
      </c>
      <c r="O142" t="n">
        <v>0</v>
      </c>
      <c r="P142" t="n">
        <v>0</v>
      </c>
      <c r="Q142" t="n">
        <v>0</v>
      </c>
      <c r="R142" t="n">
        <v>0</v>
      </c>
      <c r="S142" t="n">
        <v>0</v>
      </c>
      <c r="T142" t="n">
        <v>0</v>
      </c>
      <c r="U142" s="2" t="inlineStr"/>
    </row>
    <row r="143" ht="15" customHeight="1">
      <c r="A143" t="inlineStr">
        <is>
          <t>A 45755-2025</t>
        </is>
      </c>
      <c r="B143" t="inlineStr">
        <is>
          <t>avverkningsanmälan</t>
        </is>
      </c>
      <c r="C143" t="inlineStr">
        <is>
          <t>Föryngringsavverkning</t>
        </is>
      </c>
      <c r="D143" s="1" t="n">
        <v>45923</v>
      </c>
      <c r="E143" s="1" t="n">
        <v>46217</v>
      </c>
      <c r="F143" t="inlineStr">
        <is>
          <t>UPPSALA LÄN</t>
        </is>
      </c>
      <c r="G143" t="inlineStr">
        <is>
          <t>ENKÖPING</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25566-2026</t>
        </is>
      </c>
      <c r="B144" t="inlineStr">
        <is>
          <t>avverkningsanmälan</t>
        </is>
      </c>
      <c r="C144" t="inlineStr">
        <is>
          <t>Föryngringsavverkning</t>
        </is>
      </c>
      <c r="D144" s="1" t="n">
        <v>46177</v>
      </c>
      <c r="E144" s="1" t="n">
        <v>46217</v>
      </c>
      <c r="F144" t="inlineStr">
        <is>
          <t>UPPSALA LÄN</t>
        </is>
      </c>
      <c r="G144" t="inlineStr">
        <is>
          <t>ENKÖPING</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6959-2025</t>
        </is>
      </c>
      <c r="B145" t="inlineStr">
        <is>
          <t>avverkningsanmälan</t>
        </is>
      </c>
      <c r="C145" t="inlineStr">
        <is>
          <t>Föryngringsavverkning</t>
        </is>
      </c>
      <c r="D145" s="1" t="n">
        <v>45701</v>
      </c>
      <c r="E145" s="1" t="n">
        <v>46217</v>
      </c>
      <c r="F145" t="inlineStr">
        <is>
          <t>UPPSALA LÄN</t>
        </is>
      </c>
      <c r="G145" t="inlineStr">
        <is>
          <t>ENKÖPING</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46590-2025</t>
        </is>
      </c>
      <c r="B146" t="inlineStr">
        <is>
          <t>avverkningsanmälan</t>
        </is>
      </c>
      <c r="C146" t="inlineStr">
        <is>
          <t>Föryngringsavverkning</t>
        </is>
      </c>
      <c r="D146" s="1" t="n">
        <v>45926</v>
      </c>
      <c r="E146" s="1" t="n">
        <v>46217</v>
      </c>
      <c r="F146" t="inlineStr">
        <is>
          <t>UPPSALA LÄN</t>
        </is>
      </c>
      <c r="G146" t="inlineStr">
        <is>
          <t>ENKÖPING</t>
        </is>
      </c>
      <c r="I146" t="n">
        <v>2.7</v>
      </c>
      <c r="J146" t="n">
        <v>0</v>
      </c>
      <c r="K146" t="n">
        <v>0</v>
      </c>
      <c r="L146" t="n">
        <v>0</v>
      </c>
      <c r="M146" t="n">
        <v>0</v>
      </c>
      <c r="N146" t="n">
        <v>0</v>
      </c>
      <c r="O146" t="n">
        <v>0</v>
      </c>
      <c r="P146" t="n">
        <v>0</v>
      </c>
      <c r="Q146" t="n">
        <v>0</v>
      </c>
      <c r="R146" t="n">
        <v>0</v>
      </c>
      <c r="S146" t="n">
        <v>0</v>
      </c>
      <c r="T146" t="n">
        <v>0</v>
      </c>
      <c r="U146" s="2" t="inlineStr"/>
    </row>
    <row r="147" ht="15" customHeight="1">
      <c r="A147" t="inlineStr">
        <is>
          <t>A 52299-2023</t>
        </is>
      </c>
      <c r="B147" t="inlineStr">
        <is>
          <t>avverkningsanmälan</t>
        </is>
      </c>
      <c r="C147" t="inlineStr">
        <is>
          <t>Föryngringsavverkning</t>
        </is>
      </c>
      <c r="D147" s="1" t="n">
        <v>45224</v>
      </c>
      <c r="E147" s="1" t="n">
        <v>46217</v>
      </c>
      <c r="F147" t="inlineStr">
        <is>
          <t>UPPSALA LÄN</t>
        </is>
      </c>
      <c r="G147" t="inlineStr">
        <is>
          <t>ENKÖPING</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32081-2024</t>
        </is>
      </c>
      <c r="B148" t="inlineStr">
        <is>
          <t>avverkningsanmälan</t>
        </is>
      </c>
      <c r="C148" t="inlineStr">
        <is>
          <t>Föryngringsavverkning</t>
        </is>
      </c>
      <c r="D148" s="1" t="n">
        <v>45511</v>
      </c>
      <c r="E148" s="1" t="n">
        <v>46217</v>
      </c>
      <c r="F148" t="inlineStr">
        <is>
          <t>UPPSALA LÄN</t>
        </is>
      </c>
      <c r="G148" t="inlineStr">
        <is>
          <t>ENKÖPING</t>
        </is>
      </c>
      <c r="I148" t="n">
        <v>5.4</v>
      </c>
      <c r="J148" t="n">
        <v>0</v>
      </c>
      <c r="K148" t="n">
        <v>0</v>
      </c>
      <c r="L148" t="n">
        <v>0</v>
      </c>
      <c r="M148" t="n">
        <v>0</v>
      </c>
      <c r="N148" t="n">
        <v>0</v>
      </c>
      <c r="O148" t="n">
        <v>0</v>
      </c>
      <c r="P148" t="n">
        <v>0</v>
      </c>
      <c r="Q148" t="n">
        <v>0</v>
      </c>
      <c r="R148" t="n">
        <v>0</v>
      </c>
      <c r="S148" t="n">
        <v>0</v>
      </c>
      <c r="T148" t="n">
        <v>0</v>
      </c>
      <c r="U148" s="2" t="inlineStr"/>
    </row>
    <row r="149" ht="15" customHeight="1">
      <c r="A149" t="inlineStr">
        <is>
          <t>A 20184-2023</t>
        </is>
      </c>
      <c r="B149" t="inlineStr">
        <is>
          <t>avverkningsanmälan</t>
        </is>
      </c>
      <c r="C149" t="inlineStr">
        <is>
          <t>Föryngringsavverkning</t>
        </is>
      </c>
      <c r="D149" s="1" t="n">
        <v>45055</v>
      </c>
      <c r="E149" s="1" t="n">
        <v>46217</v>
      </c>
      <c r="F149" t="inlineStr">
        <is>
          <t>UPPSALA LÄN</t>
        </is>
      </c>
      <c r="G149" t="inlineStr">
        <is>
          <t>ENKÖPING</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61952-2021</t>
        </is>
      </c>
      <c r="B150" t="inlineStr">
        <is>
          <t>avverkningsanmälan</t>
        </is>
      </c>
      <c r="C150" t="inlineStr">
        <is>
          <t>Föryngringsavverkning</t>
        </is>
      </c>
      <c r="D150" s="1" t="n">
        <v>44502</v>
      </c>
      <c r="E150" s="1" t="n">
        <v>46217</v>
      </c>
      <c r="F150" t="inlineStr">
        <is>
          <t>UPPSALA LÄN</t>
        </is>
      </c>
      <c r="G150" t="inlineStr">
        <is>
          <t>ENKÖPING</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59602-2022</t>
        </is>
      </c>
      <c r="B151" t="inlineStr">
        <is>
          <t>avverkningsanmälan</t>
        </is>
      </c>
      <c r="C151" t="inlineStr">
        <is>
          <t>Föryngringsavverkning</t>
        </is>
      </c>
      <c r="D151" s="1" t="n">
        <v>44907</v>
      </c>
      <c r="E151" s="1" t="n">
        <v>46217</v>
      </c>
      <c r="F151" t="inlineStr">
        <is>
          <t>UPPSALA LÄN</t>
        </is>
      </c>
      <c r="G151" t="inlineStr">
        <is>
          <t>ENKÖPING</t>
        </is>
      </c>
      <c r="I151" t="n">
        <v>14.2</v>
      </c>
      <c r="J151" t="n">
        <v>0</v>
      </c>
      <c r="K151" t="n">
        <v>0</v>
      </c>
      <c r="L151" t="n">
        <v>0</v>
      </c>
      <c r="M151" t="n">
        <v>0</v>
      </c>
      <c r="N151" t="n">
        <v>0</v>
      </c>
      <c r="O151" t="n">
        <v>0</v>
      </c>
      <c r="P151" t="n">
        <v>0</v>
      </c>
      <c r="Q151" t="n">
        <v>0</v>
      </c>
      <c r="R151" t="n">
        <v>0</v>
      </c>
      <c r="S151" t="n">
        <v>0</v>
      </c>
      <c r="T151" t="n">
        <v>0</v>
      </c>
      <c r="U151" s="2" t="inlineStr"/>
    </row>
    <row r="152" ht="15" customHeight="1">
      <c r="A152" t="inlineStr">
        <is>
          <t>A 42589-2022</t>
        </is>
      </c>
      <c r="B152" t="inlineStr">
        <is>
          <t>avverkningsanmälan</t>
        </is>
      </c>
      <c r="C152" t="inlineStr">
        <is>
          <t>Föryngringsavverkning</t>
        </is>
      </c>
      <c r="D152" s="1" t="n">
        <v>44831</v>
      </c>
      <c r="E152" s="1" t="n">
        <v>46217</v>
      </c>
      <c r="F152" t="inlineStr">
        <is>
          <t>UPPSALA LÄN</t>
        </is>
      </c>
      <c r="G152" t="inlineStr">
        <is>
          <t>ENKÖPING</t>
        </is>
      </c>
      <c r="I152" t="n">
        <v>20</v>
      </c>
      <c r="J152" t="n">
        <v>0</v>
      </c>
      <c r="K152" t="n">
        <v>0</v>
      </c>
      <c r="L152" t="n">
        <v>0</v>
      </c>
      <c r="M152" t="n">
        <v>0</v>
      </c>
      <c r="N152" t="n">
        <v>0</v>
      </c>
      <c r="O152" t="n">
        <v>0</v>
      </c>
      <c r="P152" t="n">
        <v>0</v>
      </c>
      <c r="Q152" t="n">
        <v>0</v>
      </c>
      <c r="R152" t="n">
        <v>0</v>
      </c>
      <c r="S152" t="n">
        <v>0</v>
      </c>
      <c r="T152" t="n">
        <v>0</v>
      </c>
      <c r="U152" s="2" t="inlineStr"/>
    </row>
    <row r="153" ht="15" customHeight="1">
      <c r="A153" t="inlineStr">
        <is>
          <t>A 39439-2025</t>
        </is>
      </c>
      <c r="B153" t="inlineStr">
        <is>
          <t>avverkningsanmälan</t>
        </is>
      </c>
      <c r="C153" t="inlineStr">
        <is>
          <t>Föryngringsavverkning</t>
        </is>
      </c>
      <c r="D153" s="1" t="n">
        <v>45889</v>
      </c>
      <c r="E153" s="1" t="n">
        <v>46217</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43103-2025</t>
        </is>
      </c>
      <c r="B154" t="inlineStr">
        <is>
          <t>avverkningsanmälan</t>
        </is>
      </c>
      <c r="C154" t="inlineStr">
        <is>
          <t>Avverkning för annat ändamål</t>
        </is>
      </c>
      <c r="D154" s="1" t="n">
        <v>45909</v>
      </c>
      <c r="E154" s="1" t="n">
        <v>46217</v>
      </c>
      <c r="F154" t="inlineStr">
        <is>
          <t>UPPSALA LÄN</t>
        </is>
      </c>
      <c r="G154" t="inlineStr">
        <is>
          <t>ENKÖPING</t>
        </is>
      </c>
      <c r="I154" t="n">
        <v>2.3</v>
      </c>
      <c r="J154" t="n">
        <v>0</v>
      </c>
      <c r="K154" t="n">
        <v>0</v>
      </c>
      <c r="L154" t="n">
        <v>0</v>
      </c>
      <c r="M154" t="n">
        <v>0</v>
      </c>
      <c r="N154" t="n">
        <v>0</v>
      </c>
      <c r="O154" t="n">
        <v>0</v>
      </c>
      <c r="P154" t="n">
        <v>0</v>
      </c>
      <c r="Q154" t="n">
        <v>0</v>
      </c>
      <c r="R154" t="n">
        <v>0</v>
      </c>
      <c r="S154" t="n">
        <v>0</v>
      </c>
      <c r="T154" t="n">
        <v>0</v>
      </c>
      <c r="U154" s="2" t="inlineStr"/>
    </row>
    <row r="155" ht="15" customHeight="1">
      <c r="A155" t="inlineStr">
        <is>
          <t>A 9487-2025</t>
        </is>
      </c>
      <c r="B155" t="inlineStr">
        <is>
          <t>avverkningsanmälan</t>
        </is>
      </c>
      <c r="C155" t="inlineStr">
        <is>
          <t>Föryngringsavverkning</t>
        </is>
      </c>
      <c r="D155" s="1" t="n">
        <v>45715</v>
      </c>
      <c r="E155" s="1" t="n">
        <v>46217</v>
      </c>
      <c r="F155" t="inlineStr">
        <is>
          <t>UPPSALA LÄN</t>
        </is>
      </c>
      <c r="G155" t="inlineStr">
        <is>
          <t>ENKÖPING</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49073-2025</t>
        </is>
      </c>
      <c r="B156" t="inlineStr">
        <is>
          <t>avverkningsanmälan</t>
        </is>
      </c>
      <c r="C156" t="inlineStr">
        <is>
          <t>Föryngringsavverkning</t>
        </is>
      </c>
      <c r="D156" s="1" t="n">
        <v>45937</v>
      </c>
      <c r="E156" s="1" t="n">
        <v>46217</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37035-2023</t>
        </is>
      </c>
      <c r="B157" t="inlineStr">
        <is>
          <t>avverkningsanmälan</t>
        </is>
      </c>
      <c r="C157" t="inlineStr">
        <is>
          <t>Föryngringsavverkning</t>
        </is>
      </c>
      <c r="D157" s="1" t="n">
        <v>45155</v>
      </c>
      <c r="E157" s="1" t="n">
        <v>46217</v>
      </c>
      <c r="F157" t="inlineStr">
        <is>
          <t>UPPSALA LÄN</t>
        </is>
      </c>
      <c r="G157" t="inlineStr">
        <is>
          <t>ENKÖPING</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46186-2023</t>
        </is>
      </c>
      <c r="B158" t="inlineStr">
        <is>
          <t>avverkningsanmälan</t>
        </is>
      </c>
      <c r="C158" t="inlineStr">
        <is>
          <t>Föryngringsavverkning</t>
        </is>
      </c>
      <c r="D158" s="1" t="n">
        <v>45196</v>
      </c>
      <c r="E158" s="1" t="n">
        <v>46217</v>
      </c>
      <c r="F158" t="inlineStr">
        <is>
          <t>UPPSALA LÄN</t>
        </is>
      </c>
      <c r="G158" t="inlineStr">
        <is>
          <t>ENKÖPING</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15162-2025</t>
        </is>
      </c>
      <c r="B159" t="inlineStr">
        <is>
          <t>avverkningsanmälan</t>
        </is>
      </c>
      <c r="C159" t="inlineStr">
        <is>
          <t>Föryngringsavverkning</t>
        </is>
      </c>
      <c r="D159" s="1" t="n">
        <v>45744</v>
      </c>
      <c r="E159" s="1" t="n">
        <v>46217</v>
      </c>
      <c r="F159" t="inlineStr">
        <is>
          <t>UPPSALA LÄN</t>
        </is>
      </c>
      <c r="G159" t="inlineStr">
        <is>
          <t>ENKÖPING</t>
        </is>
      </c>
      <c r="I159" t="n">
        <v>4.2</v>
      </c>
      <c r="J159" t="n">
        <v>0</v>
      </c>
      <c r="K159" t="n">
        <v>0</v>
      </c>
      <c r="L159" t="n">
        <v>0</v>
      </c>
      <c r="M159" t="n">
        <v>0</v>
      </c>
      <c r="N159" t="n">
        <v>0</v>
      </c>
      <c r="O159" t="n">
        <v>0</v>
      </c>
      <c r="P159" t="n">
        <v>0</v>
      </c>
      <c r="Q159" t="n">
        <v>0</v>
      </c>
      <c r="R159" t="n">
        <v>0</v>
      </c>
      <c r="S159" t="n">
        <v>0</v>
      </c>
      <c r="T159" t="n">
        <v>0</v>
      </c>
      <c r="U159" s="2" t="inlineStr"/>
    </row>
    <row r="160" ht="15" customHeight="1">
      <c r="A160" t="inlineStr">
        <is>
          <t>A 18299-2025</t>
        </is>
      </c>
      <c r="B160" t="inlineStr">
        <is>
          <t>avverkningsanmälan</t>
        </is>
      </c>
      <c r="C160" t="inlineStr">
        <is>
          <t>Föryngringsavverkning</t>
        </is>
      </c>
      <c r="D160" s="1" t="n">
        <v>45762</v>
      </c>
      <c r="E160" s="1" t="n">
        <v>46217</v>
      </c>
      <c r="F160" t="inlineStr">
        <is>
          <t>UPPSALA LÄN</t>
        </is>
      </c>
      <c r="G160" t="inlineStr">
        <is>
          <t>ENKÖPING</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6144-2024</t>
        </is>
      </c>
      <c r="B161" t="inlineStr">
        <is>
          <t>avverkningsanmälan</t>
        </is>
      </c>
      <c r="C161" t="inlineStr">
        <is>
          <t>Föryngringsavverkning</t>
        </is>
      </c>
      <c r="D161" s="1" t="n">
        <v>45337</v>
      </c>
      <c r="E161" s="1" t="n">
        <v>46217</v>
      </c>
      <c r="F161" t="inlineStr">
        <is>
          <t>UPPSALA LÄN</t>
        </is>
      </c>
      <c r="G161" t="inlineStr">
        <is>
          <t>ENKÖPING</t>
        </is>
      </c>
      <c r="I161" t="n">
        <v>13.8</v>
      </c>
      <c r="J161" t="n">
        <v>0</v>
      </c>
      <c r="K161" t="n">
        <v>0</v>
      </c>
      <c r="L161" t="n">
        <v>0</v>
      </c>
      <c r="M161" t="n">
        <v>0</v>
      </c>
      <c r="N161" t="n">
        <v>0</v>
      </c>
      <c r="O161" t="n">
        <v>0</v>
      </c>
      <c r="P161" t="n">
        <v>0</v>
      </c>
      <c r="Q161" t="n">
        <v>0</v>
      </c>
      <c r="R161" t="n">
        <v>0</v>
      </c>
      <c r="S161" t="n">
        <v>0</v>
      </c>
      <c r="T161" t="n">
        <v>0</v>
      </c>
      <c r="U161" s="2" t="inlineStr"/>
    </row>
    <row r="162" ht="15" customHeight="1">
      <c r="A162" t="inlineStr">
        <is>
          <t>A 42564-2024</t>
        </is>
      </c>
      <c r="B162" t="inlineStr">
        <is>
          <t>avverkningsanmälan</t>
        </is>
      </c>
      <c r="C162" t="inlineStr">
        <is>
          <t>Föryngringsavverkning</t>
        </is>
      </c>
      <c r="D162" s="1" t="n">
        <v>45565</v>
      </c>
      <c r="E162" s="1" t="n">
        <v>46217</v>
      </c>
      <c r="F162" t="inlineStr">
        <is>
          <t>UPPSALA LÄN</t>
        </is>
      </c>
      <c r="G162" t="inlineStr">
        <is>
          <t>ENKÖPING</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67984-2021</t>
        </is>
      </c>
      <c r="B163" t="inlineStr">
        <is>
          <t>avverkningsanmälan</t>
        </is>
      </c>
      <c r="C163" t="inlineStr">
        <is>
          <t>Föryngringsavverkning</t>
        </is>
      </c>
      <c r="D163" s="1" t="n">
        <v>44525</v>
      </c>
      <c r="E163" s="1" t="n">
        <v>46217</v>
      </c>
      <c r="F163" t="inlineStr">
        <is>
          <t>UPPSALA LÄN</t>
        </is>
      </c>
      <c r="G163" t="inlineStr">
        <is>
          <t>ENKÖPING</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51162-2025</t>
        </is>
      </c>
      <c r="B164" t="inlineStr">
        <is>
          <t>avverkningsanmälan</t>
        </is>
      </c>
      <c r="C164" t="inlineStr">
        <is>
          <t>Föryngringsavverkning</t>
        </is>
      </c>
      <c r="D164" s="1" t="n">
        <v>45947</v>
      </c>
      <c r="E164" s="1" t="n">
        <v>46217</v>
      </c>
      <c r="F164" t="inlineStr">
        <is>
          <t>UPPSALA LÄN</t>
        </is>
      </c>
      <c r="G164" t="inlineStr">
        <is>
          <t>ENKÖPING</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28862-2025</t>
        </is>
      </c>
      <c r="B165" t="inlineStr">
        <is>
          <t>avverkningsanmälan</t>
        </is>
      </c>
      <c r="C165" t="inlineStr">
        <is>
          <t>Föryngringsavverkning</t>
        </is>
      </c>
      <c r="D165" s="1" t="n">
        <v>45820</v>
      </c>
      <c r="E165" s="1" t="n">
        <v>46217</v>
      </c>
      <c r="F165" t="inlineStr">
        <is>
          <t>UPPSALA LÄN</t>
        </is>
      </c>
      <c r="G165" t="inlineStr">
        <is>
          <t>ENKÖPING</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26017-2025</t>
        </is>
      </c>
      <c r="B166" t="inlineStr">
        <is>
          <t>avverkningsanmälan</t>
        </is>
      </c>
      <c r="C166" t="inlineStr">
        <is>
          <t>Föryngringsavverkning</t>
        </is>
      </c>
      <c r="D166" s="1" t="n">
        <v>45804</v>
      </c>
      <c r="E166" s="1" t="n">
        <v>46217</v>
      </c>
      <c r="F166" t="inlineStr">
        <is>
          <t>UPPSALA LÄN</t>
        </is>
      </c>
      <c r="G166" t="inlineStr">
        <is>
          <t>ENKÖPING</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43896-2022</t>
        </is>
      </c>
      <c r="B167" t="inlineStr">
        <is>
          <t>avverkningsanmälan</t>
        </is>
      </c>
      <c r="C167" t="inlineStr">
        <is>
          <t>Föryngringsavverkning</t>
        </is>
      </c>
      <c r="D167" s="1" t="n">
        <v>44838</v>
      </c>
      <c r="E167" s="1" t="n">
        <v>46217</v>
      </c>
      <c r="F167" t="inlineStr">
        <is>
          <t>UPPSALA LÄN</t>
        </is>
      </c>
      <c r="G167" t="inlineStr">
        <is>
          <t>ENKÖPING</t>
        </is>
      </c>
      <c r="I167" t="n">
        <v>5.3</v>
      </c>
      <c r="J167" t="n">
        <v>0</v>
      </c>
      <c r="K167" t="n">
        <v>0</v>
      </c>
      <c r="L167" t="n">
        <v>0</v>
      </c>
      <c r="M167" t="n">
        <v>0</v>
      </c>
      <c r="N167" t="n">
        <v>0</v>
      </c>
      <c r="O167" t="n">
        <v>0</v>
      </c>
      <c r="P167" t="n">
        <v>0</v>
      </c>
      <c r="Q167" t="n">
        <v>0</v>
      </c>
      <c r="R167" t="n">
        <v>0</v>
      </c>
      <c r="S167" t="n">
        <v>0</v>
      </c>
      <c r="T167" t="n">
        <v>0</v>
      </c>
      <c r="U167" s="2" t="inlineStr"/>
    </row>
    <row r="168" ht="15" customHeight="1">
      <c r="A168" t="inlineStr">
        <is>
          <t>A 43691-2024</t>
        </is>
      </c>
      <c r="B168" t="inlineStr">
        <is>
          <t>avverkningsanmälan</t>
        </is>
      </c>
      <c r="C168" t="inlineStr">
        <is>
          <t>Föryngringsavverkning</t>
        </is>
      </c>
      <c r="D168" s="1" t="n">
        <v>45569</v>
      </c>
      <c r="E168" s="1" t="n">
        <v>46217</v>
      </c>
      <c r="F168" t="inlineStr">
        <is>
          <t>UPPSALA LÄN</t>
        </is>
      </c>
      <c r="G168" t="inlineStr">
        <is>
          <t>ENKÖPING</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43697-2024</t>
        </is>
      </c>
      <c r="B169" t="inlineStr">
        <is>
          <t>avverkningsanmälan</t>
        </is>
      </c>
      <c r="C169" t="inlineStr">
        <is>
          <t>Föryngringsavverkning</t>
        </is>
      </c>
      <c r="D169" s="1" t="n">
        <v>45569</v>
      </c>
      <c r="E169" s="1" t="n">
        <v>46217</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41737-2022</t>
        </is>
      </c>
      <c r="B170" t="inlineStr">
        <is>
          <t>avverkningsanmälan</t>
        </is>
      </c>
      <c r="C170" t="inlineStr">
        <is>
          <t>Föryngringsavverkning</t>
        </is>
      </c>
      <c r="D170" s="1" t="n">
        <v>44827</v>
      </c>
      <c r="E170" s="1" t="n">
        <v>46217</v>
      </c>
      <c r="F170" t="inlineStr">
        <is>
          <t>UPPSALA LÄN</t>
        </is>
      </c>
      <c r="G170" t="inlineStr">
        <is>
          <t>ENKÖPING</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54595-2021</t>
        </is>
      </c>
      <c r="B171" t="inlineStr">
        <is>
          <t>avverkningsanmälan</t>
        </is>
      </c>
      <c r="C171" t="inlineStr">
        <is>
          <t>Föryngringsavverkning</t>
        </is>
      </c>
      <c r="D171" s="1" t="n">
        <v>44473</v>
      </c>
      <c r="E171" s="1" t="n">
        <v>46217</v>
      </c>
      <c r="F171" t="inlineStr">
        <is>
          <t>UPPSALA LÄN</t>
        </is>
      </c>
      <c r="G171" t="inlineStr">
        <is>
          <t>ENKÖPING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22094-2023</t>
        </is>
      </c>
      <c r="B172" t="inlineStr">
        <is>
          <t>avverkningsanmälan</t>
        </is>
      </c>
      <c r="C172" t="inlineStr">
        <is>
          <t>Avverkning för annat ändamål</t>
        </is>
      </c>
      <c r="D172" s="1" t="n">
        <v>45069</v>
      </c>
      <c r="E172" s="1" t="n">
        <v>46217</v>
      </c>
      <c r="F172" t="inlineStr">
        <is>
          <t>UPPSALA LÄN</t>
        </is>
      </c>
      <c r="G172" t="inlineStr">
        <is>
          <t>ENKÖPING</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2850-2025</t>
        </is>
      </c>
      <c r="B173" t="inlineStr">
        <is>
          <t>avverkningsanmälan</t>
        </is>
      </c>
      <c r="C173" t="inlineStr">
        <is>
          <t>Föryngringsavverkning</t>
        </is>
      </c>
      <c r="D173" s="1" t="n">
        <v>45677</v>
      </c>
      <c r="E173" s="1" t="n">
        <v>46217</v>
      </c>
      <c r="F173" t="inlineStr">
        <is>
          <t>UPPSALA LÄN</t>
        </is>
      </c>
      <c r="G173" t="inlineStr">
        <is>
          <t>ENKÖPING</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54844-2025</t>
        </is>
      </c>
      <c r="B174" t="inlineStr">
        <is>
          <t>avverkningsanmälan</t>
        </is>
      </c>
      <c r="C174" t="inlineStr">
        <is>
          <t>Föryngringsavverkning</t>
        </is>
      </c>
      <c r="D174" s="1" t="n">
        <v>45966</v>
      </c>
      <c r="E174" s="1" t="n">
        <v>46217</v>
      </c>
      <c r="F174" t="inlineStr">
        <is>
          <t>UPPSALA LÄN</t>
        </is>
      </c>
      <c r="G174" t="inlineStr">
        <is>
          <t>ENKÖPING</t>
        </is>
      </c>
      <c r="I174" t="n">
        <v>5.5</v>
      </c>
      <c r="J174" t="n">
        <v>0</v>
      </c>
      <c r="K174" t="n">
        <v>0</v>
      </c>
      <c r="L174" t="n">
        <v>0</v>
      </c>
      <c r="M174" t="n">
        <v>0</v>
      </c>
      <c r="N174" t="n">
        <v>0</v>
      </c>
      <c r="O174" t="n">
        <v>0</v>
      </c>
      <c r="P174" t="n">
        <v>0</v>
      </c>
      <c r="Q174" t="n">
        <v>0</v>
      </c>
      <c r="R174" t="n">
        <v>0</v>
      </c>
      <c r="S174" t="n">
        <v>0</v>
      </c>
      <c r="T174" t="n">
        <v>0</v>
      </c>
      <c r="U174" s="2" t="inlineStr"/>
    </row>
    <row r="175" ht="15" customHeight="1">
      <c r="A175" t="inlineStr">
        <is>
          <t>A 24962-2023</t>
        </is>
      </c>
      <c r="B175" t="inlineStr">
        <is>
          <t>avverkningsanmälan</t>
        </is>
      </c>
      <c r="C175" t="inlineStr">
        <is>
          <t>Föryngringsavverkning</t>
        </is>
      </c>
      <c r="D175" s="1" t="n">
        <v>45085</v>
      </c>
      <c r="E175" s="1" t="n">
        <v>46217</v>
      </c>
      <c r="F175" t="inlineStr">
        <is>
          <t>UPPSALA LÄN</t>
        </is>
      </c>
      <c r="G175" t="inlineStr">
        <is>
          <t>ENKÖPING</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37498-2025</t>
        </is>
      </c>
      <c r="B176" t="inlineStr">
        <is>
          <t>avverkningsanmälan</t>
        </is>
      </c>
      <c r="C176" t="inlineStr">
        <is>
          <t>Föryngringsavverkning</t>
        </is>
      </c>
      <c r="D176" s="1" t="n">
        <v>45877</v>
      </c>
      <c r="E176" s="1" t="n">
        <v>46217</v>
      </c>
      <c r="F176" t="inlineStr">
        <is>
          <t>UPPSALA LÄN</t>
        </is>
      </c>
      <c r="G176" t="inlineStr">
        <is>
          <t>ENKÖPING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29513-2025</t>
        </is>
      </c>
      <c r="B177" t="inlineStr">
        <is>
          <t>avverkningsanmälan</t>
        </is>
      </c>
      <c r="C177" t="inlineStr">
        <is>
          <t>Föryngringsavverkning</t>
        </is>
      </c>
      <c r="D177" s="1" t="n">
        <v>45825</v>
      </c>
      <c r="E177" s="1" t="n">
        <v>46217</v>
      </c>
      <c r="F177" t="inlineStr">
        <is>
          <t>UPPSALA LÄN</t>
        </is>
      </c>
      <c r="G177" t="inlineStr">
        <is>
          <t>ENKÖPING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44131-2023</t>
        </is>
      </c>
      <c r="B178" t="inlineStr">
        <is>
          <t>avverkningsanmälan</t>
        </is>
      </c>
      <c r="C178" t="inlineStr">
        <is>
          <t>Föryngringsavverkning</t>
        </is>
      </c>
      <c r="D178" s="1" t="n">
        <v>45188</v>
      </c>
      <c r="E178" s="1" t="n">
        <v>46217</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29482-2022</t>
        </is>
      </c>
      <c r="B179" t="inlineStr">
        <is>
          <t>avverkningsanmälan</t>
        </is>
      </c>
      <c r="C179" t="inlineStr">
        <is>
          <t>Föryngringsavverkning</t>
        </is>
      </c>
      <c r="D179" s="1" t="n">
        <v>44753</v>
      </c>
      <c r="E179" s="1" t="n">
        <v>46217</v>
      </c>
      <c r="F179" t="inlineStr">
        <is>
          <t>UPPSALA LÄN</t>
        </is>
      </c>
      <c r="G179" t="inlineStr">
        <is>
          <t>ENKÖPING</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29483-2022</t>
        </is>
      </c>
      <c r="B180" t="inlineStr">
        <is>
          <t>avverkningsanmälan</t>
        </is>
      </c>
      <c r="C180" t="inlineStr">
        <is>
          <t>Föryngringsavverkning</t>
        </is>
      </c>
      <c r="D180" s="1" t="n">
        <v>44753</v>
      </c>
      <c r="E180" s="1" t="n">
        <v>46217</v>
      </c>
      <c r="F180" t="inlineStr">
        <is>
          <t>UPPSALA LÄN</t>
        </is>
      </c>
      <c r="G180" t="inlineStr">
        <is>
          <t>ENKÖPING</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53496-2022</t>
        </is>
      </c>
      <c r="B181" t="inlineStr">
        <is>
          <t>avverkningsanmälan</t>
        </is>
      </c>
      <c r="C181" t="inlineStr">
        <is>
          <t>Föryngringsavverkning</t>
        </is>
      </c>
      <c r="D181" s="1" t="n">
        <v>44879</v>
      </c>
      <c r="E181" s="1" t="n">
        <v>46217</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7870-2024</t>
        </is>
      </c>
      <c r="B182" t="inlineStr">
        <is>
          <t>avverkningsanmälan</t>
        </is>
      </c>
      <c r="C182" t="inlineStr">
        <is>
          <t>Föryngringsavverkning</t>
        </is>
      </c>
      <c r="D182" s="1" t="n">
        <v>45350</v>
      </c>
      <c r="E182" s="1" t="n">
        <v>46217</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28243-2023</t>
        </is>
      </c>
      <c r="B183" t="inlineStr">
        <is>
          <t>avverkningsanmälan</t>
        </is>
      </c>
      <c r="C183" t="inlineStr">
        <is>
          <t>Föryngringsavverkning</t>
        </is>
      </c>
      <c r="D183" s="1" t="n">
        <v>45099</v>
      </c>
      <c r="E183" s="1" t="n">
        <v>46217</v>
      </c>
      <c r="F183" t="inlineStr">
        <is>
          <t>UPPSALA LÄN</t>
        </is>
      </c>
      <c r="G183" t="inlineStr">
        <is>
          <t>ENKÖPING</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10829-2024</t>
        </is>
      </c>
      <c r="B184" t="inlineStr">
        <is>
          <t>avverkningsanmälan</t>
        </is>
      </c>
      <c r="C184" t="inlineStr">
        <is>
          <t>Föryngringsavverkning</t>
        </is>
      </c>
      <c r="D184" s="1" t="n">
        <v>45369</v>
      </c>
      <c r="E184" s="1" t="n">
        <v>46217</v>
      </c>
      <c r="F184" t="inlineStr">
        <is>
          <t>UPPSALA LÄN</t>
        </is>
      </c>
      <c r="G184" t="inlineStr">
        <is>
          <t>ENKÖPING</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2161-2023</t>
        </is>
      </c>
      <c r="B185" t="inlineStr">
        <is>
          <t>avverkningsanmälan</t>
        </is>
      </c>
      <c r="C185" t="inlineStr">
        <is>
          <t>Föryngringsavverkning</t>
        </is>
      </c>
      <c r="D185" s="1" t="n">
        <v>44941</v>
      </c>
      <c r="E185" s="1" t="n">
        <v>46217</v>
      </c>
      <c r="F185" t="inlineStr">
        <is>
          <t>UPPSALA LÄN</t>
        </is>
      </c>
      <c r="G185" t="inlineStr">
        <is>
          <t>ENKÖPING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2165-2023</t>
        </is>
      </c>
      <c r="B186" t="inlineStr">
        <is>
          <t>avverkningsanmälan</t>
        </is>
      </c>
      <c r="C186" t="inlineStr">
        <is>
          <t>Föryngringsavverkning</t>
        </is>
      </c>
      <c r="D186" s="1" t="n">
        <v>44941</v>
      </c>
      <c r="E186" s="1" t="n">
        <v>46217</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57294-2025</t>
        </is>
      </c>
      <c r="B187" t="inlineStr">
        <is>
          <t>avverkningsanmälan</t>
        </is>
      </c>
      <c r="C187" t="inlineStr">
        <is>
          <t>Föryngringsavverkning</t>
        </is>
      </c>
      <c r="D187" s="1" t="n">
        <v>45979</v>
      </c>
      <c r="E187" s="1" t="n">
        <v>46217</v>
      </c>
      <c r="F187" t="inlineStr">
        <is>
          <t>UPPSALA LÄN</t>
        </is>
      </c>
      <c r="G187" t="inlineStr">
        <is>
          <t>ENKÖPING</t>
        </is>
      </c>
      <c r="I187" t="n">
        <v>6.2</v>
      </c>
      <c r="J187" t="n">
        <v>0</v>
      </c>
      <c r="K187" t="n">
        <v>0</v>
      </c>
      <c r="L187" t="n">
        <v>0</v>
      </c>
      <c r="M187" t="n">
        <v>0</v>
      </c>
      <c r="N187" t="n">
        <v>0</v>
      </c>
      <c r="O187" t="n">
        <v>0</v>
      </c>
      <c r="P187" t="n">
        <v>0</v>
      </c>
      <c r="Q187" t="n">
        <v>0</v>
      </c>
      <c r="R187" t="n">
        <v>0</v>
      </c>
      <c r="S187" t="n">
        <v>0</v>
      </c>
      <c r="T187" t="n">
        <v>0</v>
      </c>
      <c r="U187" s="2" t="inlineStr"/>
    </row>
    <row r="188" ht="15" customHeight="1">
      <c r="A188" t="inlineStr">
        <is>
          <t>A 13853-2023</t>
        </is>
      </c>
      <c r="B188" t="inlineStr">
        <is>
          <t>avverkningsanmälan</t>
        </is>
      </c>
      <c r="C188" t="inlineStr">
        <is>
          <t>Föryngringsavverkning</t>
        </is>
      </c>
      <c r="D188" s="1" t="n">
        <v>45007</v>
      </c>
      <c r="E188" s="1" t="n">
        <v>46217</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57188-2025</t>
        </is>
      </c>
      <c r="B189" t="inlineStr">
        <is>
          <t>avverkningsanmälan</t>
        </is>
      </c>
      <c r="C189" t="inlineStr">
        <is>
          <t>Föryngringsavverkning</t>
        </is>
      </c>
      <c r="D189" s="1" t="n">
        <v>45979</v>
      </c>
      <c r="E189" s="1" t="n">
        <v>46217</v>
      </c>
      <c r="F189" t="inlineStr">
        <is>
          <t>UPPSALA LÄN</t>
        </is>
      </c>
      <c r="G189" t="inlineStr">
        <is>
          <t>ENKÖPING</t>
        </is>
      </c>
      <c r="I189" t="n">
        <v>1.7</v>
      </c>
      <c r="J189" t="n">
        <v>0</v>
      </c>
      <c r="K189" t="n">
        <v>0</v>
      </c>
      <c r="L189" t="n">
        <v>0</v>
      </c>
      <c r="M189" t="n">
        <v>0</v>
      </c>
      <c r="N189" t="n">
        <v>0</v>
      </c>
      <c r="O189" t="n">
        <v>0</v>
      </c>
      <c r="P189" t="n">
        <v>0</v>
      </c>
      <c r="Q189" t="n">
        <v>0</v>
      </c>
      <c r="R189" t="n">
        <v>0</v>
      </c>
      <c r="S189" t="n">
        <v>0</v>
      </c>
      <c r="T189" t="n">
        <v>0</v>
      </c>
      <c r="U189" s="2" t="inlineStr"/>
    </row>
    <row r="190" ht="15" customHeight="1">
      <c r="A190" t="inlineStr">
        <is>
          <t>A 63310-2021</t>
        </is>
      </c>
      <c r="B190" t="inlineStr">
        <is>
          <t>avverkningsanmälan</t>
        </is>
      </c>
      <c r="C190" t="inlineStr">
        <is>
          <t>Avverkning för annat ändamål</t>
        </is>
      </c>
      <c r="D190" s="1" t="n">
        <v>44508</v>
      </c>
      <c r="E190" s="1" t="n">
        <v>46217</v>
      </c>
      <c r="F190" t="inlineStr">
        <is>
          <t>UPPSALA LÄN</t>
        </is>
      </c>
      <c r="G190" t="inlineStr">
        <is>
          <t>ENKÖPING</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21862-2026</t>
        </is>
      </c>
      <c r="B191" t="inlineStr">
        <is>
          <t>avverkningsanmälan</t>
        </is>
      </c>
      <c r="C191" t="inlineStr">
        <is>
          <t>Föryngringsavverkning</t>
        </is>
      </c>
      <c r="D191" s="1" t="n">
        <v>46150</v>
      </c>
      <c r="E191" s="1" t="n">
        <v>46217</v>
      </c>
      <c r="F191" t="inlineStr">
        <is>
          <t>UPPSALA LÄN</t>
        </is>
      </c>
      <c r="G191" t="inlineStr">
        <is>
          <t>ENKÖPING</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61106-2022</t>
        </is>
      </c>
      <c r="B192" t="inlineStr">
        <is>
          <t>avverkningsanmälan</t>
        </is>
      </c>
      <c r="C192" t="inlineStr">
        <is>
          <t>Föryngringsavverkning</t>
        </is>
      </c>
      <c r="D192" s="1" t="n">
        <v>44915</v>
      </c>
      <c r="E192" s="1" t="n">
        <v>46217</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9171-2024</t>
        </is>
      </c>
      <c r="B193" t="inlineStr">
        <is>
          <t>avverkningsanmälan</t>
        </is>
      </c>
      <c r="C193" t="inlineStr">
        <is>
          <t>Föryngringsavverkning</t>
        </is>
      </c>
      <c r="D193" s="1" t="n">
        <v>45358</v>
      </c>
      <c r="E193" s="1" t="n">
        <v>46217</v>
      </c>
      <c r="F193" t="inlineStr">
        <is>
          <t>UPPSALA LÄN</t>
        </is>
      </c>
      <c r="G193" t="inlineStr">
        <is>
          <t>ENKÖPING</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671-2022</t>
        </is>
      </c>
      <c r="B194" t="inlineStr">
        <is>
          <t>avverkningsanmälan</t>
        </is>
      </c>
      <c r="C194" t="inlineStr">
        <is>
          <t>Avverkning för annat ändamål</t>
        </is>
      </c>
      <c r="D194" s="1" t="n">
        <v>44568</v>
      </c>
      <c r="E194" s="1" t="n">
        <v>46217</v>
      </c>
      <c r="F194" t="inlineStr">
        <is>
          <t>UPPSALA LÄN</t>
        </is>
      </c>
      <c r="G194" t="inlineStr">
        <is>
          <t>ENKÖPING</t>
        </is>
      </c>
      <c r="I194" t="n">
        <v>3.5</v>
      </c>
      <c r="J194" t="n">
        <v>0</v>
      </c>
      <c r="K194" t="n">
        <v>0</v>
      </c>
      <c r="L194" t="n">
        <v>0</v>
      </c>
      <c r="M194" t="n">
        <v>0</v>
      </c>
      <c r="N194" t="n">
        <v>0</v>
      </c>
      <c r="O194" t="n">
        <v>0</v>
      </c>
      <c r="P194" t="n">
        <v>0</v>
      </c>
      <c r="Q194" t="n">
        <v>0</v>
      </c>
      <c r="R194" t="n">
        <v>0</v>
      </c>
      <c r="S194" t="n">
        <v>0</v>
      </c>
      <c r="T194" t="n">
        <v>0</v>
      </c>
      <c r="U194" s="2" t="inlineStr"/>
    </row>
    <row r="195" ht="15" customHeight="1">
      <c r="A195" t="inlineStr">
        <is>
          <t>A 11005-2023</t>
        </is>
      </c>
      <c r="B195" t="inlineStr">
        <is>
          <t>avverkningsanmälan</t>
        </is>
      </c>
      <c r="C195" t="inlineStr">
        <is>
          <t>Föryngringsavverkning</t>
        </is>
      </c>
      <c r="D195" s="1" t="n">
        <v>44991</v>
      </c>
      <c r="E195" s="1" t="n">
        <v>46217</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59964-2025</t>
        </is>
      </c>
      <c r="B196" t="inlineStr">
        <is>
          <t>avverkningsanmälan</t>
        </is>
      </c>
      <c r="C196" t="inlineStr">
        <is>
          <t>Föryngringsavverkning</t>
        </is>
      </c>
      <c r="D196" s="1" t="n">
        <v>45993</v>
      </c>
      <c r="E196" s="1" t="n">
        <v>46217</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60175-2025</t>
        </is>
      </c>
      <c r="B197" t="inlineStr">
        <is>
          <t>avverkningsanmälan</t>
        </is>
      </c>
      <c r="C197" t="inlineStr">
        <is>
          <t>Föryngringsavverkning</t>
        </is>
      </c>
      <c r="D197" s="1" t="n">
        <v>45994</v>
      </c>
      <c r="E197" s="1" t="n">
        <v>46217</v>
      </c>
      <c r="F197" t="inlineStr">
        <is>
          <t>UPPSALA LÄN</t>
        </is>
      </c>
      <c r="G197" t="inlineStr">
        <is>
          <t>ENKÖPING</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29918-2023</t>
        </is>
      </c>
      <c r="B198" t="inlineStr">
        <is>
          <t>avverkningsanmälan</t>
        </is>
      </c>
      <c r="C198" t="inlineStr">
        <is>
          <t>Föryngringsavverkning</t>
        </is>
      </c>
      <c r="D198" s="1" t="n">
        <v>45099</v>
      </c>
      <c r="E198" s="1" t="n">
        <v>46217</v>
      </c>
      <c r="F198" t="inlineStr">
        <is>
          <t>UPPSALA LÄN</t>
        </is>
      </c>
      <c r="G198" t="inlineStr">
        <is>
          <t>ENKÖPING</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22315-2026</t>
        </is>
      </c>
      <c r="B199" t="inlineStr">
        <is>
          <t>avverkningsanmälan</t>
        </is>
      </c>
      <c r="C199" t="inlineStr">
        <is>
          <t>Föryngringsavverkning</t>
        </is>
      </c>
      <c r="D199" s="1" t="n">
        <v>46154</v>
      </c>
      <c r="E199" s="1" t="n">
        <v>46217</v>
      </c>
      <c r="F199" t="inlineStr">
        <is>
          <t>UPPSALA LÄN</t>
        </is>
      </c>
      <c r="G199" t="inlineStr">
        <is>
          <t>ENKÖPING</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60340-2025</t>
        </is>
      </c>
      <c r="B200" t="inlineStr">
        <is>
          <t>avverkningsanmälan</t>
        </is>
      </c>
      <c r="C200" t="inlineStr">
        <is>
          <t>Föryngringsavverkning</t>
        </is>
      </c>
      <c r="D200" s="1" t="n">
        <v>45994</v>
      </c>
      <c r="E200" s="1" t="n">
        <v>46217</v>
      </c>
      <c r="F200" t="inlineStr">
        <is>
          <t>UPPSALA LÄN</t>
        </is>
      </c>
      <c r="G200" t="inlineStr">
        <is>
          <t>ENKÖPING</t>
        </is>
      </c>
      <c r="I200" t="n">
        <v>5.6</v>
      </c>
      <c r="J200" t="n">
        <v>0</v>
      </c>
      <c r="K200" t="n">
        <v>0</v>
      </c>
      <c r="L200" t="n">
        <v>0</v>
      </c>
      <c r="M200" t="n">
        <v>0</v>
      </c>
      <c r="N200" t="n">
        <v>0</v>
      </c>
      <c r="O200" t="n">
        <v>0</v>
      </c>
      <c r="P200" t="n">
        <v>0</v>
      </c>
      <c r="Q200" t="n">
        <v>0</v>
      </c>
      <c r="R200" t="n">
        <v>0</v>
      </c>
      <c r="S200" t="n">
        <v>0</v>
      </c>
      <c r="T200" t="n">
        <v>0</v>
      </c>
      <c r="U200" s="2" t="inlineStr"/>
    </row>
    <row r="201" ht="15" customHeight="1">
      <c r="A201" t="inlineStr">
        <is>
          <t>A 58384-2022</t>
        </is>
      </c>
      <c r="B201" t="inlineStr">
        <is>
          <t>avverkningsanmälan</t>
        </is>
      </c>
      <c r="C201" t="inlineStr">
        <is>
          <t>Föryngringsavverkning</t>
        </is>
      </c>
      <c r="D201" s="1" t="n">
        <v>44901</v>
      </c>
      <c r="E201" s="1" t="n">
        <v>46217</v>
      </c>
      <c r="F201" t="inlineStr">
        <is>
          <t>UPPSALA LÄN</t>
        </is>
      </c>
      <c r="G201" t="inlineStr">
        <is>
          <t>ENKÖPING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43016-2021</t>
        </is>
      </c>
      <c r="B202" t="inlineStr">
        <is>
          <t>avverkningsanmälan</t>
        </is>
      </c>
      <c r="C202" t="inlineStr">
        <is>
          <t>Föryngringsavverkning</t>
        </is>
      </c>
      <c r="D202" s="1" t="n">
        <v>44431</v>
      </c>
      <c r="E202" s="1" t="n">
        <v>46217</v>
      </c>
      <c r="F202" t="inlineStr">
        <is>
          <t>UPPSALA LÄN</t>
        </is>
      </c>
      <c r="G202" t="inlineStr">
        <is>
          <t>ENKÖPING</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15893-2024</t>
        </is>
      </c>
      <c r="B203" t="inlineStr">
        <is>
          <t>avverkningsanmälan</t>
        </is>
      </c>
      <c r="C203" t="inlineStr">
        <is>
          <t>Föryngringsavverkning</t>
        </is>
      </c>
      <c r="D203" s="1" t="n">
        <v>45405</v>
      </c>
      <c r="E203" s="1" t="n">
        <v>46217</v>
      </c>
      <c r="F203" t="inlineStr">
        <is>
          <t>UPPSALA LÄN</t>
        </is>
      </c>
      <c r="G203" t="inlineStr">
        <is>
          <t>ENKÖPING</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60947-2025</t>
        </is>
      </c>
      <c r="B204" t="inlineStr">
        <is>
          <t>avverkningsanmälan</t>
        </is>
      </c>
      <c r="C204" t="inlineStr">
        <is>
          <t>Föryngringsavverkning</t>
        </is>
      </c>
      <c r="D204" s="1" t="n">
        <v>45999</v>
      </c>
      <c r="E204" s="1" t="n">
        <v>46217</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57142-2021</t>
        </is>
      </c>
      <c r="B205" t="inlineStr">
        <is>
          <t>avverkningsanmälan</t>
        </is>
      </c>
      <c r="C205" t="inlineStr">
        <is>
          <t>Föryngringsavverkning</t>
        </is>
      </c>
      <c r="D205" s="1" t="n">
        <v>44482</v>
      </c>
      <c r="E205" s="1" t="n">
        <v>46217</v>
      </c>
      <c r="F205" t="inlineStr">
        <is>
          <t>UPPSALA LÄN</t>
        </is>
      </c>
      <c r="G205" t="inlineStr">
        <is>
          <t>ENKÖPING</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57153-2021</t>
        </is>
      </c>
      <c r="B206" t="inlineStr">
        <is>
          <t>avverkningsanmälan</t>
        </is>
      </c>
      <c r="C206" t="inlineStr">
        <is>
          <t>Föryngringsavverkning</t>
        </is>
      </c>
      <c r="D206" s="1" t="n">
        <v>44482</v>
      </c>
      <c r="E206" s="1" t="n">
        <v>46217</v>
      </c>
      <c r="F206" t="inlineStr">
        <is>
          <t>UPPSALA LÄN</t>
        </is>
      </c>
      <c r="G206" t="inlineStr">
        <is>
          <t>ENKÖPING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5188-2022</t>
        </is>
      </c>
      <c r="B207" t="inlineStr">
        <is>
          <t>avverkningsanmälan</t>
        </is>
      </c>
      <c r="C207" t="inlineStr">
        <is>
          <t>Föryngringsavverkning</t>
        </is>
      </c>
      <c r="D207" s="1" t="n">
        <v>44594</v>
      </c>
      <c r="E207" s="1" t="n">
        <v>46217</v>
      </c>
      <c r="F207" t="inlineStr">
        <is>
          <t>UPPSALA LÄN</t>
        </is>
      </c>
      <c r="G207" t="inlineStr">
        <is>
          <t>ENKÖPING</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60934-2025</t>
        </is>
      </c>
      <c r="B208" t="inlineStr">
        <is>
          <t>avverkningsanmälan</t>
        </is>
      </c>
      <c r="C208" t="inlineStr">
        <is>
          <t>Föryngringsavverkning</t>
        </is>
      </c>
      <c r="D208" s="1" t="n">
        <v>45999</v>
      </c>
      <c r="E208" s="1" t="n">
        <v>46217</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19014-2025</t>
        </is>
      </c>
      <c r="B209" t="inlineStr">
        <is>
          <t>avverkningsanmälan</t>
        </is>
      </c>
      <c r="C209" t="inlineStr">
        <is>
          <t>Föryngringsavverkning</t>
        </is>
      </c>
      <c r="D209" s="1" t="n">
        <v>45764</v>
      </c>
      <c r="E209" s="1" t="n">
        <v>46217</v>
      </c>
      <c r="F209" t="inlineStr">
        <is>
          <t>UPPSALA LÄN</t>
        </is>
      </c>
      <c r="G209" t="inlineStr">
        <is>
          <t>ENKÖPING</t>
        </is>
      </c>
      <c r="I209" t="n">
        <v>0.2</v>
      </c>
      <c r="J209" t="n">
        <v>0</v>
      </c>
      <c r="K209" t="n">
        <v>0</v>
      </c>
      <c r="L209" t="n">
        <v>0</v>
      </c>
      <c r="M209" t="n">
        <v>0</v>
      </c>
      <c r="N209" t="n">
        <v>0</v>
      </c>
      <c r="O209" t="n">
        <v>0</v>
      </c>
      <c r="P209" t="n">
        <v>0</v>
      </c>
      <c r="Q209" t="n">
        <v>0</v>
      </c>
      <c r="R209" t="n">
        <v>0</v>
      </c>
      <c r="S209" t="n">
        <v>0</v>
      </c>
      <c r="T209" t="n">
        <v>0</v>
      </c>
      <c r="U209" s="2" t="inlineStr"/>
    </row>
    <row r="210" ht="15" customHeight="1">
      <c r="A210" t="inlineStr">
        <is>
          <t>A 61437-2025</t>
        </is>
      </c>
      <c r="B210" t="inlineStr">
        <is>
          <t>avverkningsanmälan</t>
        </is>
      </c>
      <c r="C210" t="inlineStr">
        <is>
          <t>Föryngringsavverkning</t>
        </is>
      </c>
      <c r="D210" s="1" t="n">
        <v>46001</v>
      </c>
      <c r="E210" s="1" t="n">
        <v>46217</v>
      </c>
      <c r="F210" t="inlineStr">
        <is>
          <t>UPPSALA LÄN</t>
        </is>
      </c>
      <c r="G210" t="inlineStr">
        <is>
          <t>ENKÖPING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19376-2024</t>
        </is>
      </c>
      <c r="B211" t="inlineStr">
        <is>
          <t>avverkningsanmälan</t>
        </is>
      </c>
      <c r="C211" t="inlineStr">
        <is>
          <t>Föryngringsavverkning</t>
        </is>
      </c>
      <c r="D211" s="1" t="n">
        <v>45429</v>
      </c>
      <c r="E211" s="1" t="n">
        <v>46217</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33670-2024</t>
        </is>
      </c>
      <c r="B212" t="inlineStr">
        <is>
          <t>avverkningsanmälan</t>
        </is>
      </c>
      <c r="C212" t="inlineStr">
        <is>
          <t>Föryngringsavverkning</t>
        </is>
      </c>
      <c r="D212" s="1" t="n">
        <v>45520</v>
      </c>
      <c r="E212" s="1" t="n">
        <v>46217</v>
      </c>
      <c r="F212" t="inlineStr">
        <is>
          <t>UPPSALA LÄN</t>
        </is>
      </c>
      <c r="G212" t="inlineStr">
        <is>
          <t>ENKÖPING</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19147-2024</t>
        </is>
      </c>
      <c r="B213" t="inlineStr">
        <is>
          <t>avverkningsanmälan</t>
        </is>
      </c>
      <c r="C213" t="inlineStr">
        <is>
          <t>Föryngringsavverkning</t>
        </is>
      </c>
      <c r="D213" s="1" t="n">
        <v>45428</v>
      </c>
      <c r="E213" s="1" t="n">
        <v>46217</v>
      </c>
      <c r="F213" t="inlineStr">
        <is>
          <t>UPPSALA LÄN</t>
        </is>
      </c>
      <c r="G213" t="inlineStr">
        <is>
          <t>ENKÖPING</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61889-2025</t>
        </is>
      </c>
      <c r="B214" t="inlineStr">
        <is>
          <t>avverkningsanmälan</t>
        </is>
      </c>
      <c r="C214" t="inlineStr">
        <is>
          <t>Föryngringsavverkning</t>
        </is>
      </c>
      <c r="D214" s="1" t="n">
        <v>46003</v>
      </c>
      <c r="E214" s="1" t="n">
        <v>46217</v>
      </c>
      <c r="F214" t="inlineStr">
        <is>
          <t>UPPSALA LÄN</t>
        </is>
      </c>
      <c r="G214" t="inlineStr">
        <is>
          <t>ENKÖPING</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67982-2021</t>
        </is>
      </c>
      <c r="B215" t="inlineStr">
        <is>
          <t>avverkningsanmälan</t>
        </is>
      </c>
      <c r="C215" t="inlineStr">
        <is>
          <t>Föryngringsavverkning</t>
        </is>
      </c>
      <c r="D215" s="1" t="n">
        <v>44525</v>
      </c>
      <c r="E215" s="1" t="n">
        <v>46217</v>
      </c>
      <c r="F215" t="inlineStr">
        <is>
          <t>UPPSALA LÄN</t>
        </is>
      </c>
      <c r="G215" t="inlineStr">
        <is>
          <t>ENKÖPING</t>
        </is>
      </c>
      <c r="I215" t="n">
        <v>1.7</v>
      </c>
      <c r="J215" t="n">
        <v>0</v>
      </c>
      <c r="K215" t="n">
        <v>0</v>
      </c>
      <c r="L215" t="n">
        <v>0</v>
      </c>
      <c r="M215" t="n">
        <v>0</v>
      </c>
      <c r="N215" t="n">
        <v>0</v>
      </c>
      <c r="O215" t="n">
        <v>0</v>
      </c>
      <c r="P215" t="n">
        <v>0</v>
      </c>
      <c r="Q215" t="n">
        <v>0</v>
      </c>
      <c r="R215" t="n">
        <v>0</v>
      </c>
      <c r="S215" t="n">
        <v>0</v>
      </c>
      <c r="T215" t="n">
        <v>0</v>
      </c>
      <c r="U215" s="2" t="inlineStr"/>
    </row>
    <row r="216" ht="15" customHeight="1">
      <c r="A216" t="inlineStr">
        <is>
          <t>A 62601-2025</t>
        </is>
      </c>
      <c r="B216" t="inlineStr">
        <is>
          <t>avverkningsanmälan</t>
        </is>
      </c>
      <c r="C216" t="inlineStr">
        <is>
          <t>Föryngringsavverkning</t>
        </is>
      </c>
      <c r="D216" s="1" t="n">
        <v>46007</v>
      </c>
      <c r="E216" s="1" t="n">
        <v>46217</v>
      </c>
      <c r="F216" t="inlineStr">
        <is>
          <t>UPPSALA LÄN</t>
        </is>
      </c>
      <c r="G216" t="inlineStr">
        <is>
          <t>ENKÖPING</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62602-2025</t>
        </is>
      </c>
      <c r="B217" t="inlineStr">
        <is>
          <t>avverkningsanmälan</t>
        </is>
      </c>
      <c r="C217" t="inlineStr">
        <is>
          <t>Föryngringsavverkning</t>
        </is>
      </c>
      <c r="D217" s="1" t="n">
        <v>46007</v>
      </c>
      <c r="E217" s="1" t="n">
        <v>46217</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62600-2025</t>
        </is>
      </c>
      <c r="B218" t="inlineStr">
        <is>
          <t>avverkningsanmälan</t>
        </is>
      </c>
      <c r="C218" t="inlineStr">
        <is>
          <t>Föryngringsavverkning</t>
        </is>
      </c>
      <c r="D218" s="1" t="n">
        <v>46007</v>
      </c>
      <c r="E218" s="1" t="n">
        <v>46217</v>
      </c>
      <c r="F218" t="inlineStr">
        <is>
          <t>UPPSALA LÄN</t>
        </is>
      </c>
      <c r="G218" t="inlineStr">
        <is>
          <t>ENKÖPING</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63128-2025</t>
        </is>
      </c>
      <c r="B219" t="inlineStr">
        <is>
          <t>avverkningsanmälan</t>
        </is>
      </c>
      <c r="C219" t="inlineStr">
        <is>
          <t>Föryngringsavverkning</t>
        </is>
      </c>
      <c r="D219" s="1" t="n">
        <v>46009</v>
      </c>
      <c r="E219" s="1" t="n">
        <v>46217</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39624-2023</t>
        </is>
      </c>
      <c r="B220" t="inlineStr">
        <is>
          <t>avverkningsanmälan</t>
        </is>
      </c>
      <c r="C220" t="inlineStr">
        <is>
          <t>Föryngringsavverkning</t>
        </is>
      </c>
      <c r="D220" s="1" t="n">
        <v>45164</v>
      </c>
      <c r="E220" s="1" t="n">
        <v>46217</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5892-2023</t>
        </is>
      </c>
      <c r="B221" t="inlineStr">
        <is>
          <t>avverkningsanmälan</t>
        </is>
      </c>
      <c r="C221" t="inlineStr">
        <is>
          <t>Föryngringsavverkning</t>
        </is>
      </c>
      <c r="D221" s="1" t="n">
        <v>44963</v>
      </c>
      <c r="E221" s="1" t="n">
        <v>46217</v>
      </c>
      <c r="F221" t="inlineStr">
        <is>
          <t>UPPSALA LÄN</t>
        </is>
      </c>
      <c r="G221" t="inlineStr">
        <is>
          <t>ENKÖPING</t>
        </is>
      </c>
      <c r="I221" t="n">
        <v>5.5</v>
      </c>
      <c r="J221" t="n">
        <v>0</v>
      </c>
      <c r="K221" t="n">
        <v>0</v>
      </c>
      <c r="L221" t="n">
        <v>0</v>
      </c>
      <c r="M221" t="n">
        <v>0</v>
      </c>
      <c r="N221" t="n">
        <v>0</v>
      </c>
      <c r="O221" t="n">
        <v>0</v>
      </c>
      <c r="P221" t="n">
        <v>0</v>
      </c>
      <c r="Q221" t="n">
        <v>0</v>
      </c>
      <c r="R221" t="n">
        <v>0</v>
      </c>
      <c r="S221" t="n">
        <v>0</v>
      </c>
      <c r="T221" t="n">
        <v>0</v>
      </c>
      <c r="U221" s="2" t="inlineStr"/>
    </row>
    <row r="222" ht="15" customHeight="1">
      <c r="A222" t="inlineStr">
        <is>
          <t>A 39858-2024</t>
        </is>
      </c>
      <c r="B222" t="inlineStr">
        <is>
          <t>avverkningsanmälan</t>
        </is>
      </c>
      <c r="C222" t="inlineStr">
        <is>
          <t>Avverkning för annat ändamål</t>
        </is>
      </c>
      <c r="D222" s="1" t="n">
        <v>45553</v>
      </c>
      <c r="E222" s="1" t="n">
        <v>46217</v>
      </c>
      <c r="F222" t="inlineStr">
        <is>
          <t>UPPSALA LÄN</t>
        </is>
      </c>
      <c r="G222" t="inlineStr">
        <is>
          <t>ENKÖPING</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60848-2025</t>
        </is>
      </c>
      <c r="B223" t="inlineStr">
        <is>
          <t>avverkningsanmälan</t>
        </is>
      </c>
      <c r="C223" t="inlineStr">
        <is>
          <t>Föryngringsavverkning</t>
        </is>
      </c>
      <c r="D223" s="1" t="n">
        <v>45999</v>
      </c>
      <c r="E223" s="1" t="n">
        <v>46217</v>
      </c>
      <c r="F223" t="inlineStr">
        <is>
          <t>UPPSALA LÄN</t>
        </is>
      </c>
      <c r="G223" t="inlineStr">
        <is>
          <t>ENKÖPING</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9957-2023</t>
        </is>
      </c>
      <c r="B224" t="inlineStr">
        <is>
          <t>avverkningsanmälan</t>
        </is>
      </c>
      <c r="C224" t="inlineStr">
        <is>
          <t>Föryngringsavverkning</t>
        </is>
      </c>
      <c r="D224" s="1" t="n">
        <v>44978</v>
      </c>
      <c r="E224" s="1" t="n">
        <v>46217</v>
      </c>
      <c r="F224" t="inlineStr">
        <is>
          <t>UPPSALA LÄN</t>
        </is>
      </c>
      <c r="G224" t="inlineStr">
        <is>
          <t>ENKÖPING</t>
        </is>
      </c>
      <c r="I224" t="n">
        <v>5.9</v>
      </c>
      <c r="J224" t="n">
        <v>0</v>
      </c>
      <c r="K224" t="n">
        <v>0</v>
      </c>
      <c r="L224" t="n">
        <v>0</v>
      </c>
      <c r="M224" t="n">
        <v>0</v>
      </c>
      <c r="N224" t="n">
        <v>0</v>
      </c>
      <c r="O224" t="n">
        <v>0</v>
      </c>
      <c r="P224" t="n">
        <v>0</v>
      </c>
      <c r="Q224" t="n">
        <v>0</v>
      </c>
      <c r="R224" t="n">
        <v>0</v>
      </c>
      <c r="S224" t="n">
        <v>0</v>
      </c>
      <c r="T224" t="n">
        <v>0</v>
      </c>
      <c r="U224" s="2" t="inlineStr"/>
    </row>
    <row r="225" ht="15" customHeight="1">
      <c r="A225" t="inlineStr">
        <is>
          <t>A 192-2026</t>
        </is>
      </c>
      <c r="B225" t="inlineStr">
        <is>
          <t>avverkningsanmälan</t>
        </is>
      </c>
      <c r="C225" t="inlineStr">
        <is>
          <t>Avverkning för annat ändamål</t>
        </is>
      </c>
      <c r="D225" s="1" t="n">
        <v>46025</v>
      </c>
      <c r="E225" s="1" t="n">
        <v>46217</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8152-2022</t>
        </is>
      </c>
      <c r="B226" t="inlineStr">
        <is>
          <t>avverkningsanmälan</t>
        </is>
      </c>
      <c r="C226" t="inlineStr">
        <is>
          <t>Föryngringsavverkning</t>
        </is>
      </c>
      <c r="D226" s="1" t="n">
        <v>44609</v>
      </c>
      <c r="E226" s="1" t="n">
        <v>46217</v>
      </c>
      <c r="F226" t="inlineStr">
        <is>
          <t>UPPSALA LÄN</t>
        </is>
      </c>
      <c r="G226" t="inlineStr">
        <is>
          <t>ENKÖPING</t>
        </is>
      </c>
      <c r="H226" t="inlineStr">
        <is>
          <t>Kyrkan</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861-2026</t>
        </is>
      </c>
      <c r="B227" t="inlineStr">
        <is>
          <t>avverkningsanmälan</t>
        </is>
      </c>
      <c r="C227" t="inlineStr">
        <is>
          <t>Avverkning för annat ändamål</t>
        </is>
      </c>
      <c r="D227" s="1" t="n">
        <v>46030</v>
      </c>
      <c r="E227" s="1" t="n">
        <v>46217</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17657-2025</t>
        </is>
      </c>
      <c r="B228" t="inlineStr">
        <is>
          <t>avverkningsanmälan</t>
        </is>
      </c>
      <c r="C228" t="inlineStr">
        <is>
          <t>Föryngringsavverkning</t>
        </is>
      </c>
      <c r="D228" s="1" t="n">
        <v>45758</v>
      </c>
      <c r="E228" s="1" t="n">
        <v>46217</v>
      </c>
      <c r="F228" t="inlineStr">
        <is>
          <t>UPPSALA LÄN</t>
        </is>
      </c>
      <c r="G228" t="inlineStr">
        <is>
          <t>ENKÖPING</t>
        </is>
      </c>
      <c r="I228" t="n">
        <v>3</v>
      </c>
      <c r="J228" t="n">
        <v>0</v>
      </c>
      <c r="K228" t="n">
        <v>0</v>
      </c>
      <c r="L228" t="n">
        <v>0</v>
      </c>
      <c r="M228" t="n">
        <v>0</v>
      </c>
      <c r="N228" t="n">
        <v>0</v>
      </c>
      <c r="O228" t="n">
        <v>0</v>
      </c>
      <c r="P228" t="n">
        <v>0</v>
      </c>
      <c r="Q228" t="n">
        <v>0</v>
      </c>
      <c r="R228" t="n">
        <v>0</v>
      </c>
      <c r="S228" t="n">
        <v>0</v>
      </c>
      <c r="T228" t="n">
        <v>0</v>
      </c>
      <c r="U228" s="2" t="inlineStr"/>
    </row>
    <row r="229" ht="15" customHeight="1">
      <c r="A229" t="inlineStr">
        <is>
          <t>A 2218-2026</t>
        </is>
      </c>
      <c r="B229" t="inlineStr">
        <is>
          <t>avverkningsanmälan</t>
        </is>
      </c>
      <c r="C229" t="inlineStr">
        <is>
          <t>Föryngringsavverkning</t>
        </is>
      </c>
      <c r="D229" s="1" t="n">
        <v>46036</v>
      </c>
      <c r="E229" s="1" t="n">
        <v>46217</v>
      </c>
      <c r="F229" t="inlineStr">
        <is>
          <t>UPPSALA LÄN</t>
        </is>
      </c>
      <c r="G229" t="inlineStr">
        <is>
          <t>ENKÖPING</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15939-2022</t>
        </is>
      </c>
      <c r="B230" t="inlineStr">
        <is>
          <t>avverkningsanmälan</t>
        </is>
      </c>
      <c r="C230" t="inlineStr">
        <is>
          <t>Föryngringsavverkning</t>
        </is>
      </c>
      <c r="D230" s="1" t="n">
        <v>44664</v>
      </c>
      <c r="E230" s="1" t="n">
        <v>46217</v>
      </c>
      <c r="F230" t="inlineStr">
        <is>
          <t>UPPSALA LÄN</t>
        </is>
      </c>
      <c r="G230" t="inlineStr">
        <is>
          <t>ENKÖPING</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50394-2024</t>
        </is>
      </c>
      <c r="B231" t="inlineStr">
        <is>
          <t>avverkningsanmälan</t>
        </is>
      </c>
      <c r="C231" t="inlineStr">
        <is>
          <t>Föryngringsavverkning</t>
        </is>
      </c>
      <c r="D231" s="1" t="n">
        <v>45600</v>
      </c>
      <c r="E231" s="1" t="n">
        <v>46217</v>
      </c>
      <c r="F231" t="inlineStr">
        <is>
          <t>UPPSALA LÄN</t>
        </is>
      </c>
      <c r="G231" t="inlineStr">
        <is>
          <t>ENKÖPING</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72840-2021</t>
        </is>
      </c>
      <c r="B232" t="inlineStr">
        <is>
          <t>avverkningsanmälan</t>
        </is>
      </c>
      <c r="C232" t="inlineStr">
        <is>
          <t>Föryngringsavverkning</t>
        </is>
      </c>
      <c r="D232" s="1" t="n">
        <v>44547</v>
      </c>
      <c r="E232" s="1" t="n">
        <v>46217</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37870-2023</t>
        </is>
      </c>
      <c r="B233" t="inlineStr">
        <is>
          <t>avverkningsanmälan</t>
        </is>
      </c>
      <c r="C233" t="inlineStr">
        <is>
          <t>Föryngringsavverkning</t>
        </is>
      </c>
      <c r="D233" s="1" t="n">
        <v>45160</v>
      </c>
      <c r="E233" s="1" t="n">
        <v>46217</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7090-2022</t>
        </is>
      </c>
      <c r="B234" t="inlineStr">
        <is>
          <t>avverkningsanmälan</t>
        </is>
      </c>
      <c r="C234" t="inlineStr">
        <is>
          <t>Föryngringsavverkning</t>
        </is>
      </c>
      <c r="D234" s="1" t="n">
        <v>44603</v>
      </c>
      <c r="E234" s="1" t="n">
        <v>46217</v>
      </c>
      <c r="F234" t="inlineStr">
        <is>
          <t>UPPSALA LÄN</t>
        </is>
      </c>
      <c r="G234" t="inlineStr">
        <is>
          <t>ENKÖPING</t>
        </is>
      </c>
      <c r="I234" t="n">
        <v>2.8</v>
      </c>
      <c r="J234" t="n">
        <v>0</v>
      </c>
      <c r="K234" t="n">
        <v>0</v>
      </c>
      <c r="L234" t="n">
        <v>0</v>
      </c>
      <c r="M234" t="n">
        <v>0</v>
      </c>
      <c r="N234" t="n">
        <v>0</v>
      </c>
      <c r="O234" t="n">
        <v>0</v>
      </c>
      <c r="P234" t="n">
        <v>0</v>
      </c>
      <c r="Q234" t="n">
        <v>0</v>
      </c>
      <c r="R234" t="n">
        <v>0</v>
      </c>
      <c r="S234" t="n">
        <v>0</v>
      </c>
      <c r="T234" t="n">
        <v>0</v>
      </c>
      <c r="U234" s="2" t="inlineStr"/>
    </row>
    <row r="235" ht="15" customHeight="1">
      <c r="A235" t="inlineStr">
        <is>
          <t>A 19298-2023</t>
        </is>
      </c>
      <c r="B235" t="inlineStr">
        <is>
          <t>avverkningsanmälan</t>
        </is>
      </c>
      <c r="C235" t="inlineStr">
        <is>
          <t>Föryngringsavverkning</t>
        </is>
      </c>
      <c r="D235" s="1" t="n">
        <v>45048</v>
      </c>
      <c r="E235" s="1" t="n">
        <v>46217</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5104-2026</t>
        </is>
      </c>
      <c r="B236" t="inlineStr">
        <is>
          <t>avverkningsanmälan</t>
        </is>
      </c>
      <c r="C236" t="inlineStr">
        <is>
          <t>Föryngringsavverkning</t>
        </is>
      </c>
      <c r="D236" s="1" t="n">
        <v>46049</v>
      </c>
      <c r="E236" s="1" t="n">
        <v>46217</v>
      </c>
      <c r="F236" t="inlineStr">
        <is>
          <t>UPPSALA LÄN</t>
        </is>
      </c>
      <c r="G236" t="inlineStr">
        <is>
          <t>ENKÖPING</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5569-2026</t>
        </is>
      </c>
      <c r="B237" t="inlineStr">
        <is>
          <t>avverkningsanmälan</t>
        </is>
      </c>
      <c r="C237" t="inlineStr">
        <is>
          <t>Föryngringsavverkning</t>
        </is>
      </c>
      <c r="D237" s="1" t="n">
        <v>46050</v>
      </c>
      <c r="E237" s="1" t="n">
        <v>46217</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5948-2026</t>
        </is>
      </c>
      <c r="B238" t="inlineStr">
        <is>
          <t>avverkningsanmälan</t>
        </is>
      </c>
      <c r="C238" t="inlineStr">
        <is>
          <t>Föryngringsavverkning</t>
        </is>
      </c>
      <c r="D238" s="1" t="n">
        <v>46052</v>
      </c>
      <c r="E238" s="1" t="n">
        <v>46217</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6031-2026</t>
        </is>
      </c>
      <c r="B239" t="inlineStr">
        <is>
          <t>avverkningsanmälan</t>
        </is>
      </c>
      <c r="C239" t="inlineStr">
        <is>
          <t>Föryngringsavverkning</t>
        </is>
      </c>
      <c r="D239" s="1" t="n">
        <v>46052</v>
      </c>
      <c r="E239" s="1" t="n">
        <v>46217</v>
      </c>
      <c r="F239" t="inlineStr">
        <is>
          <t>UPPSALA LÄN</t>
        </is>
      </c>
      <c r="G239" t="inlineStr">
        <is>
          <t>ENKÖPING</t>
        </is>
      </c>
      <c r="I239" t="n">
        <v>4.1</v>
      </c>
      <c r="J239" t="n">
        <v>0</v>
      </c>
      <c r="K239" t="n">
        <v>0</v>
      </c>
      <c r="L239" t="n">
        <v>0</v>
      </c>
      <c r="M239" t="n">
        <v>0</v>
      </c>
      <c r="N239" t="n">
        <v>0</v>
      </c>
      <c r="O239" t="n">
        <v>0</v>
      </c>
      <c r="P239" t="n">
        <v>0</v>
      </c>
      <c r="Q239" t="n">
        <v>0</v>
      </c>
      <c r="R239" t="n">
        <v>0</v>
      </c>
      <c r="S239" t="n">
        <v>0</v>
      </c>
      <c r="T239" t="n">
        <v>0</v>
      </c>
      <c r="U239" s="2" t="inlineStr"/>
    </row>
    <row r="240" ht="15" customHeight="1">
      <c r="A240" t="inlineStr">
        <is>
          <t>A 6047-2026</t>
        </is>
      </c>
      <c r="B240" t="inlineStr">
        <is>
          <t>avverkningsanmälan</t>
        </is>
      </c>
      <c r="C240" t="inlineStr">
        <is>
          <t>Föryngringsavverkning</t>
        </is>
      </c>
      <c r="D240" s="1" t="n">
        <v>46052</v>
      </c>
      <c r="E240" s="1" t="n">
        <v>46217</v>
      </c>
      <c r="F240" t="inlineStr">
        <is>
          <t>UPPSALA LÄN</t>
        </is>
      </c>
      <c r="G240" t="inlineStr">
        <is>
          <t>ENKÖPING</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34617-2022</t>
        </is>
      </c>
      <c r="B241" t="inlineStr">
        <is>
          <t>avverkningsanmälan</t>
        </is>
      </c>
      <c r="C241" t="inlineStr">
        <is>
          <t>Avverkning för annat ändamål</t>
        </is>
      </c>
      <c r="D241" s="1" t="n">
        <v>44795</v>
      </c>
      <c r="E241" s="1" t="n">
        <v>46217</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40202-2024</t>
        </is>
      </c>
      <c r="B242" t="inlineStr">
        <is>
          <t>avverkningsanmälan</t>
        </is>
      </c>
      <c r="C242" t="inlineStr">
        <is>
          <t>Föryngringsavverkning</t>
        </is>
      </c>
      <c r="D242" s="1" t="n">
        <v>45554</v>
      </c>
      <c r="E242" s="1" t="n">
        <v>46217</v>
      </c>
      <c r="F242" t="inlineStr">
        <is>
          <t>UPPSALA LÄN</t>
        </is>
      </c>
      <c r="G242" t="inlineStr">
        <is>
          <t>ENKÖPING</t>
        </is>
      </c>
      <c r="I242" t="n">
        <v>6.2</v>
      </c>
      <c r="J242" t="n">
        <v>0</v>
      </c>
      <c r="K242" t="n">
        <v>0</v>
      </c>
      <c r="L242" t="n">
        <v>0</v>
      </c>
      <c r="M242" t="n">
        <v>0</v>
      </c>
      <c r="N242" t="n">
        <v>0</v>
      </c>
      <c r="O242" t="n">
        <v>0</v>
      </c>
      <c r="P242" t="n">
        <v>0</v>
      </c>
      <c r="Q242" t="n">
        <v>0</v>
      </c>
      <c r="R242" t="n">
        <v>0</v>
      </c>
      <c r="S242" t="n">
        <v>0</v>
      </c>
      <c r="T242" t="n">
        <v>0</v>
      </c>
      <c r="U242" s="2" t="inlineStr"/>
    </row>
    <row r="243" ht="15" customHeight="1">
      <c r="A243" t="inlineStr">
        <is>
          <t>A 40223-2024</t>
        </is>
      </c>
      <c r="B243" t="inlineStr">
        <is>
          <t>avverkningsanmälan</t>
        </is>
      </c>
      <c r="C243" t="inlineStr">
        <is>
          <t>Föryngringsavverkning</t>
        </is>
      </c>
      <c r="D243" s="1" t="n">
        <v>45554</v>
      </c>
      <c r="E243" s="1" t="n">
        <v>46217</v>
      </c>
      <c r="F243" t="inlineStr">
        <is>
          <t>UPPSALA LÄN</t>
        </is>
      </c>
      <c r="G243" t="inlineStr">
        <is>
          <t>ENKÖPING</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69879-2021</t>
        </is>
      </c>
      <c r="B244" t="inlineStr">
        <is>
          <t>avverkningsanmälan</t>
        </is>
      </c>
      <c r="C244" t="inlineStr">
        <is>
          <t>Föryngringsavverkning</t>
        </is>
      </c>
      <c r="D244" s="1" t="n">
        <v>44532</v>
      </c>
      <c r="E244" s="1" t="n">
        <v>46217</v>
      </c>
      <c r="F244" t="inlineStr">
        <is>
          <t>UPPSALA LÄN</t>
        </is>
      </c>
      <c r="G244" t="inlineStr">
        <is>
          <t>ENKÖPING</t>
        </is>
      </c>
      <c r="I244" t="n">
        <v>4.2</v>
      </c>
      <c r="J244" t="n">
        <v>0</v>
      </c>
      <c r="K244" t="n">
        <v>0</v>
      </c>
      <c r="L244" t="n">
        <v>0</v>
      </c>
      <c r="M244" t="n">
        <v>0</v>
      </c>
      <c r="N244" t="n">
        <v>0</v>
      </c>
      <c r="O244" t="n">
        <v>0</v>
      </c>
      <c r="P244" t="n">
        <v>0</v>
      </c>
      <c r="Q244" t="n">
        <v>0</v>
      </c>
      <c r="R244" t="n">
        <v>0</v>
      </c>
      <c r="S244" t="n">
        <v>0</v>
      </c>
      <c r="T244" t="n">
        <v>0</v>
      </c>
      <c r="U244" s="2" t="inlineStr"/>
    </row>
    <row r="245" ht="15" customHeight="1">
      <c r="A245" t="inlineStr">
        <is>
          <t>A 7003-2026</t>
        </is>
      </c>
      <c r="B245" t="inlineStr">
        <is>
          <t>avverkningsanmälan</t>
        </is>
      </c>
      <c r="C245" t="inlineStr">
        <is>
          <t>Föryngringsavverkning</t>
        </is>
      </c>
      <c r="D245" s="1" t="n">
        <v>46057</v>
      </c>
      <c r="E245" s="1" t="n">
        <v>46217</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23301-2024</t>
        </is>
      </c>
      <c r="B246" t="inlineStr">
        <is>
          <t>avverkningsanmälan</t>
        </is>
      </c>
      <c r="C246" t="inlineStr">
        <is>
          <t>Föryngringsavverkning</t>
        </is>
      </c>
      <c r="D246" s="1" t="n">
        <v>45453</v>
      </c>
      <c r="E246" s="1" t="n">
        <v>46217</v>
      </c>
      <c r="F246" t="inlineStr">
        <is>
          <t>UPPSALA LÄN</t>
        </is>
      </c>
      <c r="G246" t="inlineStr">
        <is>
          <t>ENKÖPING</t>
        </is>
      </c>
      <c r="I246" t="n">
        <v>4.3</v>
      </c>
      <c r="J246" t="n">
        <v>0</v>
      </c>
      <c r="K246" t="n">
        <v>0</v>
      </c>
      <c r="L246" t="n">
        <v>0</v>
      </c>
      <c r="M246" t="n">
        <v>0</v>
      </c>
      <c r="N246" t="n">
        <v>0</v>
      </c>
      <c r="O246" t="n">
        <v>0</v>
      </c>
      <c r="P246" t="n">
        <v>0</v>
      </c>
      <c r="Q246" t="n">
        <v>0</v>
      </c>
      <c r="R246" t="n">
        <v>0</v>
      </c>
      <c r="S246" t="n">
        <v>0</v>
      </c>
      <c r="T246" t="n">
        <v>0</v>
      </c>
      <c r="U246" s="2" t="inlineStr"/>
    </row>
    <row r="247" ht="15" customHeight="1">
      <c r="A247" t="inlineStr">
        <is>
          <t>A 2833-2025</t>
        </is>
      </c>
      <c r="B247" t="inlineStr">
        <is>
          <t>avverkningsanmälan</t>
        </is>
      </c>
      <c r="C247" t="inlineStr">
        <is>
          <t>Föryngringsavverkning</t>
        </is>
      </c>
      <c r="D247" s="1" t="n">
        <v>45677</v>
      </c>
      <c r="E247" s="1" t="n">
        <v>46217</v>
      </c>
      <c r="F247" t="inlineStr">
        <is>
          <t>UPPSALA LÄN</t>
        </is>
      </c>
      <c r="G247" t="inlineStr">
        <is>
          <t>ENKÖPING</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7008-2026</t>
        </is>
      </c>
      <c r="B248" t="inlineStr">
        <is>
          <t>avverkningsanmälan</t>
        </is>
      </c>
      <c r="C248" t="inlineStr">
        <is>
          <t>Föryngringsavverkning</t>
        </is>
      </c>
      <c r="D248" s="1" t="n">
        <v>46057</v>
      </c>
      <c r="E248" s="1" t="n">
        <v>46217</v>
      </c>
      <c r="F248" t="inlineStr">
        <is>
          <t>UPPSALA LÄN</t>
        </is>
      </c>
      <c r="G248" t="inlineStr">
        <is>
          <t>ENKÖPING</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33619-2022</t>
        </is>
      </c>
      <c r="B249" t="inlineStr">
        <is>
          <t>avverkningsanmälan</t>
        </is>
      </c>
      <c r="C249" t="inlineStr">
        <is>
          <t>Föryngringsavverkning</t>
        </is>
      </c>
      <c r="D249" s="1" t="n">
        <v>44789</v>
      </c>
      <c r="E249" s="1" t="n">
        <v>46217</v>
      </c>
      <c r="F249" t="inlineStr">
        <is>
          <t>UPPSALA LÄN</t>
        </is>
      </c>
      <c r="G249" t="inlineStr">
        <is>
          <t>ENKÖPING</t>
        </is>
      </c>
      <c r="H249" t="inlineStr">
        <is>
          <t>Allmännings- och besparingsskogar</t>
        </is>
      </c>
      <c r="I249" t="n">
        <v>4.5</v>
      </c>
      <c r="J249" t="n">
        <v>0</v>
      </c>
      <c r="K249" t="n">
        <v>0</v>
      </c>
      <c r="L249" t="n">
        <v>0</v>
      </c>
      <c r="M249" t="n">
        <v>0</v>
      </c>
      <c r="N249" t="n">
        <v>0</v>
      </c>
      <c r="O249" t="n">
        <v>0</v>
      </c>
      <c r="P249" t="n">
        <v>0</v>
      </c>
      <c r="Q249" t="n">
        <v>0</v>
      </c>
      <c r="R249" t="n">
        <v>0</v>
      </c>
      <c r="S249" t="n">
        <v>0</v>
      </c>
      <c r="T249" t="n">
        <v>0</v>
      </c>
      <c r="U249" s="2" t="inlineStr"/>
    </row>
    <row r="250" ht="15" customHeight="1">
      <c r="A250" t="inlineStr">
        <is>
          <t>A 8309-2026</t>
        </is>
      </c>
      <c r="B250" t="inlineStr">
        <is>
          <t>avverkningsanmälan</t>
        </is>
      </c>
      <c r="C250" t="inlineStr">
        <is>
          <t>Föryngringsavverkning</t>
        </is>
      </c>
      <c r="D250" s="1" t="n">
        <v>46064</v>
      </c>
      <c r="E250" s="1" t="n">
        <v>46217</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31604-2023</t>
        </is>
      </c>
      <c r="B251" t="inlineStr">
        <is>
          <t>avverkningsanmälan</t>
        </is>
      </c>
      <c r="C251" t="inlineStr">
        <is>
          <t>Föryngringsavverkning</t>
        </is>
      </c>
      <c r="D251" s="1" t="n">
        <v>45117</v>
      </c>
      <c r="E251" s="1" t="n">
        <v>46217</v>
      </c>
      <c r="F251" t="inlineStr">
        <is>
          <t>UPPSALA LÄN</t>
        </is>
      </c>
      <c r="G251" t="inlineStr">
        <is>
          <t>ENKÖPING</t>
        </is>
      </c>
      <c r="I251" t="n">
        <v>3.5</v>
      </c>
      <c r="J251" t="n">
        <v>0</v>
      </c>
      <c r="K251" t="n">
        <v>0</v>
      </c>
      <c r="L251" t="n">
        <v>0</v>
      </c>
      <c r="M251" t="n">
        <v>0</v>
      </c>
      <c r="N251" t="n">
        <v>0</v>
      </c>
      <c r="O251" t="n">
        <v>0</v>
      </c>
      <c r="P251" t="n">
        <v>0</v>
      </c>
      <c r="Q251" t="n">
        <v>0</v>
      </c>
      <c r="R251" t="n">
        <v>0</v>
      </c>
      <c r="S251" t="n">
        <v>0</v>
      </c>
      <c r="T251" t="n">
        <v>0</v>
      </c>
      <c r="U251" s="2" t="inlineStr"/>
    </row>
    <row r="252" ht="15" customHeight="1">
      <c r="A252" t="inlineStr">
        <is>
          <t>A 23202-2026</t>
        </is>
      </c>
      <c r="B252" t="inlineStr">
        <is>
          <t>avverkningsanmälan</t>
        </is>
      </c>
      <c r="C252" t="inlineStr">
        <is>
          <t>Avverkning för annat ändamål</t>
        </is>
      </c>
      <c r="D252" s="1" t="n">
        <v>46162</v>
      </c>
      <c r="E252" s="1" t="n">
        <v>46217</v>
      </c>
      <c r="F252" t="inlineStr">
        <is>
          <t>UPPSALA LÄN</t>
        </is>
      </c>
      <c r="G252" t="inlineStr">
        <is>
          <t>ENKÖPING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59602-2024</t>
        </is>
      </c>
      <c r="B253" t="inlineStr">
        <is>
          <t>avverkningsanmälan</t>
        </is>
      </c>
      <c r="C253" t="inlineStr">
        <is>
          <t>Föryngringsavverkning</t>
        </is>
      </c>
      <c r="D253" s="1" t="n">
        <v>45638</v>
      </c>
      <c r="E253" s="1" t="n">
        <v>46217</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19488-2022</t>
        </is>
      </c>
      <c r="B254" t="inlineStr">
        <is>
          <t>avverkningsanmälan</t>
        </is>
      </c>
      <c r="C254" t="inlineStr">
        <is>
          <t>Föryngringsavverkning</t>
        </is>
      </c>
      <c r="D254" s="1" t="n">
        <v>44693</v>
      </c>
      <c r="E254" s="1" t="n">
        <v>46217</v>
      </c>
      <c r="F254" t="inlineStr">
        <is>
          <t>UPPSALA LÄN</t>
        </is>
      </c>
      <c r="G254" t="inlineStr">
        <is>
          <t>ENKÖPING</t>
        </is>
      </c>
      <c r="I254" t="n">
        <v>7.8</v>
      </c>
      <c r="J254" t="n">
        <v>0</v>
      </c>
      <c r="K254" t="n">
        <v>0</v>
      </c>
      <c r="L254" t="n">
        <v>0</v>
      </c>
      <c r="M254" t="n">
        <v>0</v>
      </c>
      <c r="N254" t="n">
        <v>0</v>
      </c>
      <c r="O254" t="n">
        <v>0</v>
      </c>
      <c r="P254" t="n">
        <v>0</v>
      </c>
      <c r="Q254" t="n">
        <v>0</v>
      </c>
      <c r="R254" t="n">
        <v>0</v>
      </c>
      <c r="S254" t="n">
        <v>0</v>
      </c>
      <c r="T254" t="n">
        <v>0</v>
      </c>
      <c r="U254" s="2" t="inlineStr"/>
    </row>
    <row r="255" ht="15" customHeight="1">
      <c r="A255" t="inlineStr">
        <is>
          <t>A 9148-2026</t>
        </is>
      </c>
      <c r="B255" t="inlineStr">
        <is>
          <t>avverkningsanmälan</t>
        </is>
      </c>
      <c r="C255" t="inlineStr">
        <is>
          <t>Föryngringsavverkning</t>
        </is>
      </c>
      <c r="D255" s="1" t="n">
        <v>46070</v>
      </c>
      <c r="E255" s="1" t="n">
        <v>46217</v>
      </c>
      <c r="F255" t="inlineStr">
        <is>
          <t>UPPSALA LÄN</t>
        </is>
      </c>
      <c r="G255" t="inlineStr">
        <is>
          <t>ENKÖPING</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6041-2026</t>
        </is>
      </c>
      <c r="B256" t="inlineStr">
        <is>
          <t>avverkningsanmälan</t>
        </is>
      </c>
      <c r="C256" t="inlineStr">
        <is>
          <t>Föryngringsavverkning</t>
        </is>
      </c>
      <c r="D256" s="1" t="n">
        <v>46052</v>
      </c>
      <c r="E256" s="1" t="n">
        <v>46217</v>
      </c>
      <c r="F256" t="inlineStr">
        <is>
          <t>UPPSALA LÄN</t>
        </is>
      </c>
      <c r="G256" t="inlineStr">
        <is>
          <t>ENKÖPING</t>
        </is>
      </c>
      <c r="I256" t="n">
        <v>4</v>
      </c>
      <c r="J256" t="n">
        <v>0</v>
      </c>
      <c r="K256" t="n">
        <v>0</v>
      </c>
      <c r="L256" t="n">
        <v>0</v>
      </c>
      <c r="M256" t="n">
        <v>0</v>
      </c>
      <c r="N256" t="n">
        <v>0</v>
      </c>
      <c r="O256" t="n">
        <v>0</v>
      </c>
      <c r="P256" t="n">
        <v>0</v>
      </c>
      <c r="Q256" t="n">
        <v>0</v>
      </c>
      <c r="R256" t="n">
        <v>0</v>
      </c>
      <c r="S256" t="n">
        <v>0</v>
      </c>
      <c r="T256" t="n">
        <v>0</v>
      </c>
      <c r="U256" s="2" t="inlineStr"/>
    </row>
    <row r="257" ht="15" customHeight="1">
      <c r="A257" t="inlineStr">
        <is>
          <t>A 6044-2026</t>
        </is>
      </c>
      <c r="B257" t="inlineStr">
        <is>
          <t>avverkningsanmälan</t>
        </is>
      </c>
      <c r="C257" t="inlineStr">
        <is>
          <t>Föryngringsavverkning</t>
        </is>
      </c>
      <c r="D257" s="1" t="n">
        <v>46052</v>
      </c>
      <c r="E257" s="1" t="n">
        <v>46217</v>
      </c>
      <c r="F257" t="inlineStr">
        <is>
          <t>UPPSALA LÄN</t>
        </is>
      </c>
      <c r="G257" t="inlineStr">
        <is>
          <t>ENKÖPING</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9467-2026</t>
        </is>
      </c>
      <c r="B258" t="inlineStr">
        <is>
          <t>avverkningsanmälan</t>
        </is>
      </c>
      <c r="C258" t="inlineStr">
        <is>
          <t>Föryngringsavverkning</t>
        </is>
      </c>
      <c r="D258" s="1" t="n">
        <v>46071</v>
      </c>
      <c r="E258" s="1" t="n">
        <v>46217</v>
      </c>
      <c r="F258" t="inlineStr">
        <is>
          <t>UPPSALA LÄN</t>
        </is>
      </c>
      <c r="G258" t="inlineStr">
        <is>
          <t>ENKÖPING</t>
        </is>
      </c>
      <c r="I258" t="n">
        <v>5.9</v>
      </c>
      <c r="J258" t="n">
        <v>0</v>
      </c>
      <c r="K258" t="n">
        <v>0</v>
      </c>
      <c r="L258" t="n">
        <v>0</v>
      </c>
      <c r="M258" t="n">
        <v>0</v>
      </c>
      <c r="N258" t="n">
        <v>0</v>
      </c>
      <c r="O258" t="n">
        <v>0</v>
      </c>
      <c r="P258" t="n">
        <v>0</v>
      </c>
      <c r="Q258" t="n">
        <v>0</v>
      </c>
      <c r="R258" t="n">
        <v>0</v>
      </c>
      <c r="S258" t="n">
        <v>0</v>
      </c>
      <c r="T258" t="n">
        <v>0</v>
      </c>
      <c r="U258" s="2" t="inlineStr"/>
    </row>
    <row r="259" ht="15" customHeight="1">
      <c r="A259" t="inlineStr">
        <is>
          <t>A 9474-2026</t>
        </is>
      </c>
      <c r="B259" t="inlineStr">
        <is>
          <t>avverkningsanmälan</t>
        </is>
      </c>
      <c r="C259" t="inlineStr">
        <is>
          <t>Föryngringsavverkning</t>
        </is>
      </c>
      <c r="D259" s="1" t="n">
        <v>46071</v>
      </c>
      <c r="E259" s="1" t="n">
        <v>46217</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41826-2024</t>
        </is>
      </c>
      <c r="B260" t="inlineStr">
        <is>
          <t>avverkningsanmälan</t>
        </is>
      </c>
      <c r="C260" t="inlineStr">
        <is>
          <t>Föryngringsavverkning</t>
        </is>
      </c>
      <c r="D260" s="1" t="n">
        <v>45561</v>
      </c>
      <c r="E260" s="1" t="n">
        <v>46217</v>
      </c>
      <c r="F260" t="inlineStr">
        <is>
          <t>UPPSALA LÄN</t>
        </is>
      </c>
      <c r="G260" t="inlineStr">
        <is>
          <t>ENKÖPING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9469-2026</t>
        </is>
      </c>
      <c r="B261" t="inlineStr">
        <is>
          <t>avverkningsanmälan</t>
        </is>
      </c>
      <c r="C261" t="inlineStr">
        <is>
          <t>Föryngringsavverkning</t>
        </is>
      </c>
      <c r="D261" s="1" t="n">
        <v>46071</v>
      </c>
      <c r="E261" s="1" t="n">
        <v>46217</v>
      </c>
      <c r="F261" t="inlineStr">
        <is>
          <t>UPPSALA LÄN</t>
        </is>
      </c>
      <c r="G261" t="inlineStr">
        <is>
          <t>ENKÖPING</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16916-2022</t>
        </is>
      </c>
      <c r="B262" t="inlineStr">
        <is>
          <t>avverkningsanmälan</t>
        </is>
      </c>
      <c r="C262" t="inlineStr">
        <is>
          <t>Föryngringsavverkning</t>
        </is>
      </c>
      <c r="D262" s="1" t="n">
        <v>44676</v>
      </c>
      <c r="E262" s="1" t="n">
        <v>46217</v>
      </c>
      <c r="F262" t="inlineStr">
        <is>
          <t>UPPSALA LÄN</t>
        </is>
      </c>
      <c r="G262" t="inlineStr">
        <is>
          <t>ENKÖPING</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44115-2024</t>
        </is>
      </c>
      <c r="B263" t="inlineStr">
        <is>
          <t>avverkningsanmälan</t>
        </is>
      </c>
      <c r="C263" t="inlineStr">
        <is>
          <t>Avverkning för annat ändamål</t>
        </is>
      </c>
      <c r="D263" s="1" t="n">
        <v>45572</v>
      </c>
      <c r="E263" s="1" t="n">
        <v>46217</v>
      </c>
      <c r="F263" t="inlineStr">
        <is>
          <t>UPPSALA LÄN</t>
        </is>
      </c>
      <c r="G263" t="inlineStr">
        <is>
          <t>ENKÖPING</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30634-2022</t>
        </is>
      </c>
      <c r="B264" t="inlineStr">
        <is>
          <t>avverkningsanmälan</t>
        </is>
      </c>
      <c r="C264" t="inlineStr">
        <is>
          <t>Föryngringsavverkning</t>
        </is>
      </c>
      <c r="D264" s="1" t="n">
        <v>44763</v>
      </c>
      <c r="E264" s="1" t="n">
        <v>46217</v>
      </c>
      <c r="F264" t="inlineStr">
        <is>
          <t>UPPSALA LÄN</t>
        </is>
      </c>
      <c r="G264" t="inlineStr">
        <is>
          <t>ENKÖPING</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3300-2025</t>
        </is>
      </c>
      <c r="B265" t="inlineStr">
        <is>
          <t>avverkningsanmälan</t>
        </is>
      </c>
      <c r="C265" t="inlineStr">
        <is>
          <t>Föryngringsavverkning</t>
        </is>
      </c>
      <c r="D265" s="1" t="n">
        <v>45679</v>
      </c>
      <c r="E265" s="1" t="n">
        <v>46217</v>
      </c>
      <c r="F265" t="inlineStr">
        <is>
          <t>UPPSALA LÄN</t>
        </is>
      </c>
      <c r="G265" t="inlineStr">
        <is>
          <t>ENKÖPING</t>
        </is>
      </c>
      <c r="I265" t="n">
        <v>8.9</v>
      </c>
      <c r="J265" t="n">
        <v>0</v>
      </c>
      <c r="K265" t="n">
        <v>0</v>
      </c>
      <c r="L265" t="n">
        <v>0</v>
      </c>
      <c r="M265" t="n">
        <v>0</v>
      </c>
      <c r="N265" t="n">
        <v>0</v>
      </c>
      <c r="O265" t="n">
        <v>0</v>
      </c>
      <c r="P265" t="n">
        <v>0</v>
      </c>
      <c r="Q265" t="n">
        <v>0</v>
      </c>
      <c r="R265" t="n">
        <v>0</v>
      </c>
      <c r="S265" t="n">
        <v>0</v>
      </c>
      <c r="T265" t="n">
        <v>0</v>
      </c>
      <c r="U265" s="2" t="inlineStr"/>
    </row>
    <row r="266" ht="15" customHeight="1">
      <c r="A266" t="inlineStr">
        <is>
          <t>A 51133-2025</t>
        </is>
      </c>
      <c r="B266" t="inlineStr">
        <is>
          <t>avverkningsanmälan</t>
        </is>
      </c>
      <c r="C266" t="inlineStr">
        <is>
          <t>Föryngringsavverkning</t>
        </is>
      </c>
      <c r="D266" s="1" t="n">
        <v>45947</v>
      </c>
      <c r="E266" s="1" t="n">
        <v>46217</v>
      </c>
      <c r="F266" t="inlineStr">
        <is>
          <t>UPPSALA LÄN</t>
        </is>
      </c>
      <c r="G266" t="inlineStr">
        <is>
          <t>ENKÖPING</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12411-2026</t>
        </is>
      </c>
      <c r="B267" t="inlineStr">
        <is>
          <t>avverkningsanmälan</t>
        </is>
      </c>
      <c r="C267" t="inlineStr">
        <is>
          <t>Avverkning för att bevara och utveckla /försöksver</t>
        </is>
      </c>
      <c r="D267" s="1" t="n">
        <v>46090</v>
      </c>
      <c r="E267" s="1" t="n">
        <v>46217</v>
      </c>
      <c r="F267" t="inlineStr">
        <is>
          <t>UPPSALA LÄN</t>
        </is>
      </c>
      <c r="G267" t="inlineStr">
        <is>
          <t>ENKÖPING</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51120-2023</t>
        </is>
      </c>
      <c r="B268" t="inlineStr">
        <is>
          <t>avverkningsanmälan</t>
        </is>
      </c>
      <c r="C268" t="inlineStr">
        <is>
          <t>Föryngringsavverkning</t>
        </is>
      </c>
      <c r="D268" s="1" t="n">
        <v>45219</v>
      </c>
      <c r="E268" s="1" t="n">
        <v>46217</v>
      </c>
      <c r="F268" t="inlineStr">
        <is>
          <t>UPPSALA LÄN</t>
        </is>
      </c>
      <c r="G268" t="inlineStr">
        <is>
          <t>ENKÖPING</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54357-2023</t>
        </is>
      </c>
      <c r="B269" t="inlineStr">
        <is>
          <t>avverkningsanmälan</t>
        </is>
      </c>
      <c r="C269" t="inlineStr">
        <is>
          <t>Föryngringsavverkning</t>
        </is>
      </c>
      <c r="D269" s="1" t="n">
        <v>45225</v>
      </c>
      <c r="E269" s="1" t="n">
        <v>46217</v>
      </c>
      <c r="F269" t="inlineStr">
        <is>
          <t>UPPSALA LÄN</t>
        </is>
      </c>
      <c r="G269" t="inlineStr">
        <is>
          <t>ENKÖPING</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5953-2026</t>
        </is>
      </c>
      <c r="B270" t="inlineStr">
        <is>
          <t>avverkningsanmälan</t>
        </is>
      </c>
      <c r="C270" t="inlineStr">
        <is>
          <t>Föryngringsavverkning</t>
        </is>
      </c>
      <c r="D270" s="1" t="n">
        <v>46052</v>
      </c>
      <c r="E270" s="1" t="n">
        <v>46217</v>
      </c>
      <c r="F270" t="inlineStr">
        <is>
          <t>UPPSALA LÄN</t>
        </is>
      </c>
      <c r="G270" t="inlineStr">
        <is>
          <t>ENKÖPING</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12996-2026</t>
        </is>
      </c>
      <c r="B271" t="inlineStr">
        <is>
          <t>avverkningsanmälan</t>
        </is>
      </c>
      <c r="C271" t="inlineStr">
        <is>
          <t>Föryngringsavverkning</t>
        </is>
      </c>
      <c r="D271" s="1" t="n">
        <v>46092</v>
      </c>
      <c r="E271" s="1" t="n">
        <v>46217</v>
      </c>
      <c r="F271" t="inlineStr">
        <is>
          <t>UPPSALA LÄN</t>
        </is>
      </c>
      <c r="G271" t="inlineStr">
        <is>
          <t>ENKÖPING</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63402-2023</t>
        </is>
      </c>
      <c r="B272" t="inlineStr">
        <is>
          <t>avverkningsanmälan</t>
        </is>
      </c>
      <c r="C272" t="inlineStr">
        <is>
          <t>Föryngringsavverkning</t>
        </is>
      </c>
      <c r="D272" s="1" t="n">
        <v>45274</v>
      </c>
      <c r="E272" s="1" t="n">
        <v>46217</v>
      </c>
      <c r="F272" t="inlineStr">
        <is>
          <t>UPPSALA LÄN</t>
        </is>
      </c>
      <c r="G272" t="inlineStr">
        <is>
          <t>ENKÖPING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13590-2026</t>
        </is>
      </c>
      <c r="B273" t="inlineStr">
        <is>
          <t>avverkningsanmälan</t>
        </is>
      </c>
      <c r="C273" t="inlineStr">
        <is>
          <t>Avverkning för annat ändamål</t>
        </is>
      </c>
      <c r="D273" s="1" t="n">
        <v>46096</v>
      </c>
      <c r="E273" s="1" t="n">
        <v>46217</v>
      </c>
      <c r="F273" t="inlineStr">
        <is>
          <t>UPPSALA LÄN</t>
        </is>
      </c>
      <c r="G273" t="inlineStr">
        <is>
          <t>ENKÖPING</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56837-2024</t>
        </is>
      </c>
      <c r="B274" t="inlineStr">
        <is>
          <t>avverkningsanmälan</t>
        </is>
      </c>
      <c r="C274" t="inlineStr">
        <is>
          <t>Föryngringsavverkning</t>
        </is>
      </c>
      <c r="D274" s="1" t="n">
        <v>45628</v>
      </c>
      <c r="E274" s="1" t="n">
        <v>46217</v>
      </c>
      <c r="F274" t="inlineStr">
        <is>
          <t>UPPSALA LÄN</t>
        </is>
      </c>
      <c r="G274" t="inlineStr">
        <is>
          <t>ENKÖPING</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14178-2026</t>
        </is>
      </c>
      <c r="B275" t="inlineStr">
        <is>
          <t>avverkningsanmälan</t>
        </is>
      </c>
      <c r="C275" t="inlineStr">
        <is>
          <t>Föryngringsavverkning</t>
        </is>
      </c>
      <c r="D275" s="1" t="n">
        <v>46099</v>
      </c>
      <c r="E275" s="1" t="n">
        <v>46217</v>
      </c>
      <c r="F275" t="inlineStr">
        <is>
          <t>UPPSALA LÄN</t>
        </is>
      </c>
      <c r="G275" t="inlineStr">
        <is>
          <t>ENKÖPING</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14260-2026</t>
        </is>
      </c>
      <c r="B276" t="inlineStr">
        <is>
          <t>avverkningsanmälan</t>
        </is>
      </c>
      <c r="C276" t="inlineStr">
        <is>
          <t>Föryngringsavverkning</t>
        </is>
      </c>
      <c r="D276" s="1" t="n">
        <v>46099</v>
      </c>
      <c r="E276" s="1" t="n">
        <v>46217</v>
      </c>
      <c r="F276" t="inlineStr">
        <is>
          <t>UPPSALA LÄN</t>
        </is>
      </c>
      <c r="G276" t="inlineStr">
        <is>
          <t>ENKÖPING</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14298-2026</t>
        </is>
      </c>
      <c r="B277" t="inlineStr">
        <is>
          <t>avverkningsanmälan</t>
        </is>
      </c>
      <c r="C277" t="inlineStr">
        <is>
          <t>Föryngringsavverkning</t>
        </is>
      </c>
      <c r="D277" s="1" t="n">
        <v>46099</v>
      </c>
      <c r="E277" s="1" t="n">
        <v>46217</v>
      </c>
      <c r="F277" t="inlineStr">
        <is>
          <t>UPPSALA LÄN</t>
        </is>
      </c>
      <c r="G277" t="inlineStr">
        <is>
          <t>ENKÖPING</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14182-2026</t>
        </is>
      </c>
      <c r="B278" t="inlineStr">
        <is>
          <t>avverkningsanmälan</t>
        </is>
      </c>
      <c r="C278" t="inlineStr">
        <is>
          <t>Föryngringsavverkning</t>
        </is>
      </c>
      <c r="D278" s="1" t="n">
        <v>46099</v>
      </c>
      <c r="E278" s="1" t="n">
        <v>46217</v>
      </c>
      <c r="F278" t="inlineStr">
        <is>
          <t>UPPSALA LÄN</t>
        </is>
      </c>
      <c r="G278" t="inlineStr">
        <is>
          <t>ENKÖPING</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14296-2026</t>
        </is>
      </c>
      <c r="B279" t="inlineStr">
        <is>
          <t>avverkningsanmälan</t>
        </is>
      </c>
      <c r="C279" t="inlineStr">
        <is>
          <t>Föryngringsavverkning</t>
        </is>
      </c>
      <c r="D279" s="1" t="n">
        <v>46099</v>
      </c>
      <c r="E279" s="1" t="n">
        <v>46217</v>
      </c>
      <c r="F279" t="inlineStr">
        <is>
          <t>UPPSALA LÄN</t>
        </is>
      </c>
      <c r="G279" t="inlineStr">
        <is>
          <t>ENKÖPING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30405-2026</t>
        </is>
      </c>
      <c r="B280" t="inlineStr">
        <is>
          <t>avverkningsanmälan</t>
        </is>
      </c>
      <c r="C280" t="inlineStr">
        <is>
          <t>Föryngringsavverkning</t>
        </is>
      </c>
      <c r="D280" s="1" t="n">
        <v>46209</v>
      </c>
      <c r="E280" s="1" t="n">
        <v>46217</v>
      </c>
      <c r="F280" t="inlineStr">
        <is>
          <t>UPPSALA LÄN</t>
        </is>
      </c>
      <c r="G280" t="inlineStr">
        <is>
          <t>ENKÖPING</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15003-2026</t>
        </is>
      </c>
      <c r="B281" t="inlineStr">
        <is>
          <t>avverkningsanmälan</t>
        </is>
      </c>
      <c r="C281" t="inlineStr">
        <is>
          <t>Föryngringsavverkning</t>
        </is>
      </c>
      <c r="D281" s="1" t="n">
        <v>46104</v>
      </c>
      <c r="E281" s="1" t="n">
        <v>46217</v>
      </c>
      <c r="F281" t="inlineStr">
        <is>
          <t>UPPSALA LÄN</t>
        </is>
      </c>
      <c r="G281" t="inlineStr">
        <is>
          <t>ENKÖPING</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62158-2023</t>
        </is>
      </c>
      <c r="B282" t="inlineStr">
        <is>
          <t>avverkningsanmälan</t>
        </is>
      </c>
      <c r="C282" t="inlineStr">
        <is>
          <t>Föryngringsavverkning</t>
        </is>
      </c>
      <c r="D282" s="1" t="n">
        <v>45267</v>
      </c>
      <c r="E282" s="1" t="n">
        <v>46217</v>
      </c>
      <c r="F282" t="inlineStr">
        <is>
          <t>UPPSALA LÄN</t>
        </is>
      </c>
      <c r="G282" t="inlineStr">
        <is>
          <t>ENKÖPING</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23882-2026</t>
        </is>
      </c>
      <c r="B283" t="inlineStr">
        <is>
          <t>avverkningsanmälan</t>
        </is>
      </c>
      <c r="C283" t="inlineStr">
        <is>
          <t>Föryngringsavverkning</t>
        </is>
      </c>
      <c r="D283" s="1" t="n">
        <v>46167</v>
      </c>
      <c r="E283" s="1" t="n">
        <v>46217</v>
      </c>
      <c r="F283" t="inlineStr">
        <is>
          <t>UPPSALA LÄN</t>
        </is>
      </c>
      <c r="G283" t="inlineStr">
        <is>
          <t>ENKÖPING</t>
        </is>
      </c>
      <c r="I283" t="n">
        <v>8.5</v>
      </c>
      <c r="J283" t="n">
        <v>0</v>
      </c>
      <c r="K283" t="n">
        <v>0</v>
      </c>
      <c r="L283" t="n">
        <v>0</v>
      </c>
      <c r="M283" t="n">
        <v>0</v>
      </c>
      <c r="N283" t="n">
        <v>0</v>
      </c>
      <c r="O283" t="n">
        <v>0</v>
      </c>
      <c r="P283" t="n">
        <v>0</v>
      </c>
      <c r="Q283" t="n">
        <v>0</v>
      </c>
      <c r="R283" t="n">
        <v>0</v>
      </c>
      <c r="S283" t="n">
        <v>0</v>
      </c>
      <c r="T283" t="n">
        <v>0</v>
      </c>
      <c r="U283" s="2" t="inlineStr"/>
    </row>
    <row r="284" ht="15" customHeight="1">
      <c r="A284" t="inlineStr">
        <is>
          <t>A 60874-2023</t>
        </is>
      </c>
      <c r="B284" t="inlineStr">
        <is>
          <t>avverkningsanmälan</t>
        </is>
      </c>
      <c r="C284" t="inlineStr">
        <is>
          <t>Föryngringsavverkning</t>
        </is>
      </c>
      <c r="D284" s="1" t="n">
        <v>45261</v>
      </c>
      <c r="E284" s="1" t="n">
        <v>46217</v>
      </c>
      <c r="F284" t="inlineStr">
        <is>
          <t>UPPSALA LÄN</t>
        </is>
      </c>
      <c r="G284" t="inlineStr">
        <is>
          <t>ENKÖPING</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15547-2026</t>
        </is>
      </c>
      <c r="B285" t="inlineStr">
        <is>
          <t>avverkningsanmälan</t>
        </is>
      </c>
      <c r="C285" t="inlineStr">
        <is>
          <t>Föryngringsavverkning</t>
        </is>
      </c>
      <c r="D285" s="1" t="n">
        <v>46106</v>
      </c>
      <c r="E285" s="1" t="n">
        <v>46217</v>
      </c>
      <c r="F285" t="inlineStr">
        <is>
          <t>UPPSALA LÄN</t>
        </is>
      </c>
      <c r="G285" t="inlineStr">
        <is>
          <t>ENKÖPING</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23889-2026</t>
        </is>
      </c>
      <c r="B286" t="inlineStr">
        <is>
          <t>avverkningsanmälan</t>
        </is>
      </c>
      <c r="C286" t="inlineStr">
        <is>
          <t>Föryngringsavverkning</t>
        </is>
      </c>
      <c r="D286" s="1" t="n">
        <v>46167</v>
      </c>
      <c r="E286" s="1" t="n">
        <v>46217</v>
      </c>
      <c r="F286" t="inlineStr">
        <is>
          <t>UPPSALA LÄN</t>
        </is>
      </c>
      <c r="G286" t="inlineStr">
        <is>
          <t>ENKÖPING</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3550-2023</t>
        </is>
      </c>
      <c r="B287" t="inlineStr">
        <is>
          <t>avverkningsanmälan</t>
        </is>
      </c>
      <c r="C287" t="inlineStr">
        <is>
          <t>Föryngringsavverkning</t>
        </is>
      </c>
      <c r="D287" s="1" t="n">
        <v>44950</v>
      </c>
      <c r="E287" s="1" t="n">
        <v>46217</v>
      </c>
      <c r="F287" t="inlineStr">
        <is>
          <t>UPPSALA LÄN</t>
        </is>
      </c>
      <c r="G287" t="inlineStr">
        <is>
          <t>ENKÖPING</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26292-2022</t>
        </is>
      </c>
      <c r="B288" t="inlineStr">
        <is>
          <t>avverkningsanmälan</t>
        </is>
      </c>
      <c r="C288" t="inlineStr">
        <is>
          <t>Föryngringsavverkning</t>
        </is>
      </c>
      <c r="D288" s="1" t="n">
        <v>44735</v>
      </c>
      <c r="E288" s="1" t="n">
        <v>46217</v>
      </c>
      <c r="F288" t="inlineStr">
        <is>
          <t>UPPSALA LÄN</t>
        </is>
      </c>
      <c r="G288" t="inlineStr">
        <is>
          <t>ENKÖPING</t>
        </is>
      </c>
      <c r="H288" t="inlineStr">
        <is>
          <t>Kyrkan</t>
        </is>
      </c>
      <c r="I288" t="n">
        <v>4.6</v>
      </c>
      <c r="J288" t="n">
        <v>0</v>
      </c>
      <c r="K288" t="n">
        <v>0</v>
      </c>
      <c r="L288" t="n">
        <v>0</v>
      </c>
      <c r="M288" t="n">
        <v>0</v>
      </c>
      <c r="N288" t="n">
        <v>0</v>
      </c>
      <c r="O288" t="n">
        <v>0</v>
      </c>
      <c r="P288" t="n">
        <v>0</v>
      </c>
      <c r="Q288" t="n">
        <v>0</v>
      </c>
      <c r="R288" t="n">
        <v>0</v>
      </c>
      <c r="S288" t="n">
        <v>0</v>
      </c>
      <c r="T288" t="n">
        <v>0</v>
      </c>
      <c r="U288" s="2" t="inlineStr"/>
    </row>
    <row r="289" ht="15" customHeight="1">
      <c r="A289" t="inlineStr">
        <is>
          <t>A 17418-2026</t>
        </is>
      </c>
      <c r="B289" t="inlineStr">
        <is>
          <t>avverkningsanmälan</t>
        </is>
      </c>
      <c r="C289" t="inlineStr">
        <is>
          <t>Föryngringsavverkning</t>
        </is>
      </c>
      <c r="D289" s="1" t="n">
        <v>46120</v>
      </c>
      <c r="E289" s="1" t="n">
        <v>46217</v>
      </c>
      <c r="F289" t="inlineStr">
        <is>
          <t>UPPSALA LÄN</t>
        </is>
      </c>
      <c r="G289" t="inlineStr">
        <is>
          <t>ENKÖPING</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30725-2026</t>
        </is>
      </c>
      <c r="B290" t="inlineStr">
        <is>
          <t>avverkningsanmälan</t>
        </is>
      </c>
      <c r="C290" t="inlineStr">
        <is>
          <t>Avverkning för annat ändamål</t>
        </is>
      </c>
      <c r="D290" s="1" t="n">
        <v>46211</v>
      </c>
      <c r="E290" s="1" t="n">
        <v>46217</v>
      </c>
      <c r="F290" t="inlineStr">
        <is>
          <t>UPPSALA LÄN</t>
        </is>
      </c>
      <c r="G290" t="inlineStr">
        <is>
          <t>ENKÖPING</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17419-2026</t>
        </is>
      </c>
      <c r="B291" t="inlineStr">
        <is>
          <t>avverkningsanmälan</t>
        </is>
      </c>
      <c r="C291" t="inlineStr">
        <is>
          <t>Föryngringsavverkning</t>
        </is>
      </c>
      <c r="D291" s="1" t="n">
        <v>46120</v>
      </c>
      <c r="E291" s="1" t="n">
        <v>46217</v>
      </c>
      <c r="F291" t="inlineStr">
        <is>
          <t>UPPSALA LÄN</t>
        </is>
      </c>
      <c r="G291" t="inlineStr">
        <is>
          <t>ENKÖPING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56713-2024</t>
        </is>
      </c>
      <c r="B292" t="inlineStr">
        <is>
          <t>avverkningsanmälan</t>
        </is>
      </c>
      <c r="C292" t="inlineStr">
        <is>
          <t>Föryngringsavverkning</t>
        </is>
      </c>
      <c r="D292" s="1" t="n">
        <v>45628</v>
      </c>
      <c r="E292" s="1" t="n">
        <v>46217</v>
      </c>
      <c r="F292" t="inlineStr">
        <is>
          <t>UPPSALA LÄN</t>
        </is>
      </c>
      <c r="G292" t="inlineStr">
        <is>
          <t>ENKÖPING</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10458-2022</t>
        </is>
      </c>
      <c r="B293" t="inlineStr">
        <is>
          <t>avverkningsanmälan</t>
        </is>
      </c>
      <c r="C293" t="inlineStr">
        <is>
          <t>Föryngringsavverkning</t>
        </is>
      </c>
      <c r="D293" s="1" t="n">
        <v>44623</v>
      </c>
      <c r="E293" s="1" t="n">
        <v>46217</v>
      </c>
      <c r="F293" t="inlineStr">
        <is>
          <t>UPPSALA LÄN</t>
        </is>
      </c>
      <c r="G293" t="inlineStr">
        <is>
          <t>ENKÖPING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18565-2026</t>
        </is>
      </c>
      <c r="B294" t="inlineStr">
        <is>
          <t>avverkningsanmälan</t>
        </is>
      </c>
      <c r="C294" t="inlineStr">
        <is>
          <t>Föryngringsavverkning</t>
        </is>
      </c>
      <c r="D294" s="1" t="n">
        <v>46127</v>
      </c>
      <c r="E294" s="1" t="n">
        <v>46217</v>
      </c>
      <c r="F294" t="inlineStr">
        <is>
          <t>UPPSALA LÄN</t>
        </is>
      </c>
      <c r="G294" t="inlineStr">
        <is>
          <t>ENKÖPING</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16967-2022</t>
        </is>
      </c>
      <c r="B295" t="inlineStr">
        <is>
          <t>avverkningsanmälan</t>
        </is>
      </c>
      <c r="C295" t="inlineStr">
        <is>
          <t>Föryngringsavverkning</t>
        </is>
      </c>
      <c r="D295" s="1" t="n">
        <v>44676</v>
      </c>
      <c r="E295" s="1" t="n">
        <v>46217</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45142-2023</t>
        </is>
      </c>
      <c r="B296" t="inlineStr">
        <is>
          <t>avverkningsanmälan</t>
        </is>
      </c>
      <c r="C296" t="inlineStr">
        <is>
          <t>Avverkning för att bevara och utveckla /försöksver</t>
        </is>
      </c>
      <c r="D296" s="1" t="n">
        <v>45191</v>
      </c>
      <c r="E296" s="1" t="n">
        <v>46217</v>
      </c>
      <c r="F296" t="inlineStr">
        <is>
          <t>UPPSALA LÄN</t>
        </is>
      </c>
      <c r="G296" t="inlineStr">
        <is>
          <t>ENKÖPING</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40773-2022</t>
        </is>
      </c>
      <c r="B297" t="inlineStr">
        <is>
          <t>avverkningsanmälan</t>
        </is>
      </c>
      <c r="C297" t="inlineStr">
        <is>
          <t>Föryngringsavverkning</t>
        </is>
      </c>
      <c r="D297" s="1" t="n">
        <v>44824</v>
      </c>
      <c r="E297" s="1" t="n">
        <v>46217</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18562-2026</t>
        </is>
      </c>
      <c r="B298" t="inlineStr">
        <is>
          <t>avverkningsanmälan</t>
        </is>
      </c>
      <c r="C298" t="inlineStr">
        <is>
          <t>Föryngringsavverkning</t>
        </is>
      </c>
      <c r="D298" s="1" t="n">
        <v>46127</v>
      </c>
      <c r="E298" s="1" t="n">
        <v>46217</v>
      </c>
      <c r="F298" t="inlineStr">
        <is>
          <t>UPPSALA LÄN</t>
        </is>
      </c>
      <c r="G298" t="inlineStr">
        <is>
          <t>ENKÖPING</t>
        </is>
      </c>
      <c r="I298" t="n">
        <v>4</v>
      </c>
      <c r="J298" t="n">
        <v>0</v>
      </c>
      <c r="K298" t="n">
        <v>0</v>
      </c>
      <c r="L298" t="n">
        <v>0</v>
      </c>
      <c r="M298" t="n">
        <v>0</v>
      </c>
      <c r="N298" t="n">
        <v>0</v>
      </c>
      <c r="O298" t="n">
        <v>0</v>
      </c>
      <c r="P298" t="n">
        <v>0</v>
      </c>
      <c r="Q298" t="n">
        <v>0</v>
      </c>
      <c r="R298" t="n">
        <v>0</v>
      </c>
      <c r="S298" t="n">
        <v>0</v>
      </c>
      <c r="T298" t="n">
        <v>0</v>
      </c>
      <c r="U298" s="2" t="inlineStr"/>
    </row>
    <row r="299" ht="15" customHeight="1">
      <c r="A299" t="inlineStr">
        <is>
          <t>A 62599-2025</t>
        </is>
      </c>
      <c r="B299" t="inlineStr">
        <is>
          <t>avverkningsanmälan</t>
        </is>
      </c>
      <c r="C299" t="inlineStr">
        <is>
          <t>Föryngringsavverkning</t>
        </is>
      </c>
      <c r="D299" s="1" t="n">
        <v>46007</v>
      </c>
      <c r="E299" s="1" t="n">
        <v>46217</v>
      </c>
      <c r="F299" t="inlineStr">
        <is>
          <t>UPPSALA LÄN</t>
        </is>
      </c>
      <c r="G299" t="inlineStr">
        <is>
          <t>ENKÖPING</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57998-2024</t>
        </is>
      </c>
      <c r="B300" t="inlineStr">
        <is>
          <t>avverkningsanmälan</t>
        </is>
      </c>
      <c r="C300" t="inlineStr">
        <is>
          <t>Föryngringsavverkning</t>
        </is>
      </c>
      <c r="D300" s="1" t="n">
        <v>45631</v>
      </c>
      <c r="E300" s="1" t="n">
        <v>46217</v>
      </c>
      <c r="F300" t="inlineStr">
        <is>
          <t>UPPSALA LÄN</t>
        </is>
      </c>
      <c r="G300" t="inlineStr">
        <is>
          <t>ENKÖPING</t>
        </is>
      </c>
      <c r="I300" t="n">
        <v>8.699999999999999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14332-2024</t>
        </is>
      </c>
      <c r="B301" t="inlineStr">
        <is>
          <t>avverkningsanmälan</t>
        </is>
      </c>
      <c r="C301" t="inlineStr">
        <is>
          <t>Föryngringsavverkning</t>
        </is>
      </c>
      <c r="D301" s="1" t="n">
        <v>45393</v>
      </c>
      <c r="E301" s="1" t="n">
        <v>46217</v>
      </c>
      <c r="F301" t="inlineStr">
        <is>
          <t>UPPSALA LÄN</t>
        </is>
      </c>
      <c r="G301" t="inlineStr">
        <is>
          <t>ENKÖPING</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18831-2023</t>
        </is>
      </c>
      <c r="B302" t="inlineStr">
        <is>
          <t>avverkningsanmälan</t>
        </is>
      </c>
      <c r="C302" t="inlineStr">
        <is>
          <t>Föryngringsavverkning</t>
        </is>
      </c>
      <c r="D302" s="1" t="n">
        <v>45044</v>
      </c>
      <c r="E302" s="1" t="n">
        <v>46217</v>
      </c>
      <c r="F302" t="inlineStr">
        <is>
          <t>UPPSALA LÄN</t>
        </is>
      </c>
      <c r="G302" t="inlineStr">
        <is>
          <t>ENKÖPING</t>
        </is>
      </c>
      <c r="I302" t="n">
        <v>4.3</v>
      </c>
      <c r="J302" t="n">
        <v>0</v>
      </c>
      <c r="K302" t="n">
        <v>0</v>
      </c>
      <c r="L302" t="n">
        <v>0</v>
      </c>
      <c r="M302" t="n">
        <v>0</v>
      </c>
      <c r="N302" t="n">
        <v>0</v>
      </c>
      <c r="O302" t="n">
        <v>0</v>
      </c>
      <c r="P302" t="n">
        <v>0</v>
      </c>
      <c r="Q302" t="n">
        <v>0</v>
      </c>
      <c r="R302" t="n">
        <v>0</v>
      </c>
      <c r="S302" t="n">
        <v>0</v>
      </c>
      <c r="T302" t="n">
        <v>0</v>
      </c>
      <c r="U302" s="2" t="inlineStr"/>
    </row>
    <row r="303" ht="15" customHeight="1">
      <c r="A303" t="inlineStr">
        <is>
          <t>A 18643-2026</t>
        </is>
      </c>
      <c r="B303" t="inlineStr">
        <is>
          <t>avverkningsanmälan</t>
        </is>
      </c>
      <c r="C303" t="inlineStr">
        <is>
          <t>Föryngringsavverkning</t>
        </is>
      </c>
      <c r="D303" s="1" t="n">
        <v>46128</v>
      </c>
      <c r="E303" s="1" t="n">
        <v>46217</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18644-2026</t>
        </is>
      </c>
      <c r="B304" t="inlineStr">
        <is>
          <t>avverkningsanmälan</t>
        </is>
      </c>
      <c r="C304" t="inlineStr">
        <is>
          <t>Föryngringsavverkning</t>
        </is>
      </c>
      <c r="D304" s="1" t="n">
        <v>46128</v>
      </c>
      <c r="E304" s="1" t="n">
        <v>46217</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9257-2026</t>
        </is>
      </c>
      <c r="B305" t="inlineStr">
        <is>
          <t>avverkningsanmälan</t>
        </is>
      </c>
      <c r="C305" t="inlineStr">
        <is>
          <t>Föryngringsavverkning</t>
        </is>
      </c>
      <c r="D305" s="1" t="n">
        <v>46070</v>
      </c>
      <c r="E305" s="1" t="n">
        <v>46217</v>
      </c>
      <c r="F305" t="inlineStr">
        <is>
          <t>UPPSALA LÄN</t>
        </is>
      </c>
      <c r="G305" t="inlineStr">
        <is>
          <t>ENKÖPING</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18806-2026</t>
        </is>
      </c>
      <c r="B306" t="inlineStr">
        <is>
          <t>avverkningsanmälan</t>
        </is>
      </c>
      <c r="C306" t="inlineStr">
        <is>
          <t>Föryngringsavverkning</t>
        </is>
      </c>
      <c r="D306" s="1" t="n">
        <v>46128</v>
      </c>
      <c r="E306" s="1" t="n">
        <v>46217</v>
      </c>
      <c r="F306" t="inlineStr">
        <is>
          <t>UPPSALA LÄN</t>
        </is>
      </c>
      <c r="G306" t="inlineStr">
        <is>
          <t>ENKÖPING</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33581-2023</t>
        </is>
      </c>
      <c r="B307" t="inlineStr">
        <is>
          <t>avverkningsanmälan</t>
        </is>
      </c>
      <c r="C307" t="inlineStr">
        <is>
          <t>Föryngringsavverkning</t>
        </is>
      </c>
      <c r="D307" s="1" t="n">
        <v>45131</v>
      </c>
      <c r="E307" s="1" t="n">
        <v>46217</v>
      </c>
      <c r="F307" t="inlineStr">
        <is>
          <t>UPPSALA LÄN</t>
        </is>
      </c>
      <c r="G307" t="inlineStr">
        <is>
          <t>ENKÖPING</t>
        </is>
      </c>
      <c r="I307" t="n">
        <v>3.5</v>
      </c>
      <c r="J307" t="n">
        <v>0</v>
      </c>
      <c r="K307" t="n">
        <v>0</v>
      </c>
      <c r="L307" t="n">
        <v>0</v>
      </c>
      <c r="M307" t="n">
        <v>0</v>
      </c>
      <c r="N307" t="n">
        <v>0</v>
      </c>
      <c r="O307" t="n">
        <v>0</v>
      </c>
      <c r="P307" t="n">
        <v>0</v>
      </c>
      <c r="Q307" t="n">
        <v>0</v>
      </c>
      <c r="R307" t="n">
        <v>0</v>
      </c>
      <c r="S307" t="n">
        <v>0</v>
      </c>
      <c r="T307" t="n">
        <v>0</v>
      </c>
      <c r="U307" s="2" t="inlineStr"/>
    </row>
    <row r="308" ht="15" customHeight="1">
      <c r="A308" t="inlineStr">
        <is>
          <t>A 37115-2024</t>
        </is>
      </c>
      <c r="B308" t="inlineStr">
        <is>
          <t>avverkningsanmälan</t>
        </is>
      </c>
      <c r="C308" t="inlineStr">
        <is>
          <t>Föryngringsavverkning</t>
        </is>
      </c>
      <c r="D308" s="1" t="n">
        <v>45539</v>
      </c>
      <c r="E308" s="1" t="n">
        <v>46217</v>
      </c>
      <c r="F308" t="inlineStr">
        <is>
          <t>UPPSALA LÄN</t>
        </is>
      </c>
      <c r="G308" t="inlineStr">
        <is>
          <t>ENKÖPING</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24887-2026</t>
        </is>
      </c>
      <c r="B309" t="inlineStr">
        <is>
          <t>avverkningsanmälan</t>
        </is>
      </c>
      <c r="C309" t="inlineStr">
        <is>
          <t>Föryngringsavverkning</t>
        </is>
      </c>
      <c r="D309" s="1" t="n">
        <v>46174</v>
      </c>
      <c r="E309" s="1" t="n">
        <v>46217</v>
      </c>
      <c r="F309" t="inlineStr">
        <is>
          <t>UPPSALA LÄN</t>
        </is>
      </c>
      <c r="G309" t="inlineStr">
        <is>
          <t>ENKÖPING</t>
        </is>
      </c>
      <c r="I309" t="n">
        <v>8</v>
      </c>
      <c r="J309" t="n">
        <v>0</v>
      </c>
      <c r="K309" t="n">
        <v>0</v>
      </c>
      <c r="L309" t="n">
        <v>0</v>
      </c>
      <c r="M309" t="n">
        <v>0</v>
      </c>
      <c r="N309" t="n">
        <v>0</v>
      </c>
      <c r="O309" t="n">
        <v>0</v>
      </c>
      <c r="P309" t="n">
        <v>0</v>
      </c>
      <c r="Q309" t="n">
        <v>0</v>
      </c>
      <c r="R309" t="n">
        <v>0</v>
      </c>
      <c r="S309" t="n">
        <v>0</v>
      </c>
      <c r="T309" t="n">
        <v>0</v>
      </c>
      <c r="U309" s="2" t="inlineStr"/>
    </row>
    <row r="310" ht="15" customHeight="1">
      <c r="A310" t="inlineStr">
        <is>
          <t>A 1960-2022</t>
        </is>
      </c>
      <c r="B310" t="inlineStr">
        <is>
          <t>avverkningsanmälan</t>
        </is>
      </c>
      <c r="C310" t="inlineStr">
        <is>
          <t>Föryngringsavverkning</t>
        </is>
      </c>
      <c r="D310" s="1" t="n">
        <v>44575</v>
      </c>
      <c r="E310" s="1" t="n">
        <v>46217</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18028-2023</t>
        </is>
      </c>
      <c r="B311" t="inlineStr">
        <is>
          <t>avverkningsanmälan</t>
        </is>
      </c>
      <c r="C311" t="inlineStr">
        <is>
          <t>Föryngringsavverkning</t>
        </is>
      </c>
      <c r="D311" s="1" t="n">
        <v>45040</v>
      </c>
      <c r="E311" s="1" t="n">
        <v>46217</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49568-2022</t>
        </is>
      </c>
      <c r="B312" t="inlineStr">
        <is>
          <t>avverkningsanmälan</t>
        </is>
      </c>
      <c r="C312" t="inlineStr">
        <is>
          <t>Föryngringsavverkning</t>
        </is>
      </c>
      <c r="D312" s="1" t="n">
        <v>44862</v>
      </c>
      <c r="E312" s="1" t="n">
        <v>46217</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42459-2024</t>
        </is>
      </c>
      <c r="B313" t="inlineStr">
        <is>
          <t>avverkningsanmälan</t>
        </is>
      </c>
      <c r="C313" t="inlineStr">
        <is>
          <t>Föryngringsavverkning</t>
        </is>
      </c>
      <c r="D313" s="1" t="n">
        <v>45565</v>
      </c>
      <c r="E313" s="1" t="n">
        <v>46217</v>
      </c>
      <c r="F313" t="inlineStr">
        <is>
          <t>UPPSALA LÄN</t>
        </is>
      </c>
      <c r="G313" t="inlineStr">
        <is>
          <t>ENKÖPING</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48864-2022</t>
        </is>
      </c>
      <c r="B314" t="inlineStr">
        <is>
          <t>avverkningsanmälan</t>
        </is>
      </c>
      <c r="C314" t="inlineStr">
        <is>
          <t>Föryngringsavverkning</t>
        </is>
      </c>
      <c r="D314" s="1" t="n">
        <v>44859</v>
      </c>
      <c r="E314" s="1" t="n">
        <v>46217</v>
      </c>
      <c r="F314" t="inlineStr">
        <is>
          <t>UPPSALA LÄN</t>
        </is>
      </c>
      <c r="G314" t="inlineStr">
        <is>
          <t>ENKÖPING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31622-2022</t>
        </is>
      </c>
      <c r="B315" t="inlineStr">
        <is>
          <t>avverkningsanmälan</t>
        </is>
      </c>
      <c r="C315" t="inlineStr">
        <is>
          <t>Föryngringsavverkning</t>
        </is>
      </c>
      <c r="D315" s="1" t="n">
        <v>44775</v>
      </c>
      <c r="E315" s="1" t="n">
        <v>46217</v>
      </c>
      <c r="F315" t="inlineStr">
        <is>
          <t>UPPSALA LÄN</t>
        </is>
      </c>
      <c r="G315" t="inlineStr">
        <is>
          <t>ENKÖPING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6356-2022</t>
        </is>
      </c>
      <c r="B316" t="inlineStr">
        <is>
          <t>avverkningsanmälan</t>
        </is>
      </c>
      <c r="C316" t="inlineStr">
        <is>
          <t>Föryngringsavverkning</t>
        </is>
      </c>
      <c r="D316" s="1" t="n">
        <v>44600</v>
      </c>
      <c r="E316" s="1" t="n">
        <v>46217</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57147-2021</t>
        </is>
      </c>
      <c r="B317" t="inlineStr">
        <is>
          <t>avverkningsanmälan</t>
        </is>
      </c>
      <c r="C317" t="inlineStr">
        <is>
          <t>Föryngringsavverkning</t>
        </is>
      </c>
      <c r="D317" s="1" t="n">
        <v>44482</v>
      </c>
      <c r="E317" s="1" t="n">
        <v>46217</v>
      </c>
      <c r="F317" t="inlineStr">
        <is>
          <t>UPPSALA LÄN</t>
        </is>
      </c>
      <c r="G317" t="inlineStr">
        <is>
          <t>ENKÖPING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47909-2024</t>
        </is>
      </c>
      <c r="B318" t="inlineStr">
        <is>
          <t>avverkningsanmälan</t>
        </is>
      </c>
      <c r="C318" t="inlineStr">
        <is>
          <t>Föryngringsavverkning</t>
        </is>
      </c>
      <c r="D318" s="1" t="n">
        <v>45589</v>
      </c>
      <c r="E318" s="1" t="n">
        <v>46217</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52005-2024</t>
        </is>
      </c>
      <c r="B319" t="inlineStr">
        <is>
          <t>avverkningsanmälan</t>
        </is>
      </c>
      <c r="C319" t="inlineStr">
        <is>
          <t>Föryngringsavverkning</t>
        </is>
      </c>
      <c r="D319" s="1" t="n">
        <v>45607</v>
      </c>
      <c r="E319" s="1" t="n">
        <v>46217</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43492-2023</t>
        </is>
      </c>
      <c r="B320" t="inlineStr">
        <is>
          <t>avverkningsanmälan</t>
        </is>
      </c>
      <c r="C320" t="inlineStr">
        <is>
          <t>Föryngringsavverkning</t>
        </is>
      </c>
      <c r="D320" s="1" t="n">
        <v>45181</v>
      </c>
      <c r="E320" s="1" t="n">
        <v>46217</v>
      </c>
      <c r="F320" t="inlineStr">
        <is>
          <t>UPPSALA LÄN</t>
        </is>
      </c>
      <c r="G320" t="inlineStr">
        <is>
          <t>ENKÖPING</t>
        </is>
      </c>
      <c r="I320" t="n">
        <v>1.6</v>
      </c>
      <c r="J320" t="n">
        <v>0</v>
      </c>
      <c r="K320" t="n">
        <v>0</v>
      </c>
      <c r="L320" t="n">
        <v>0</v>
      </c>
      <c r="M320" t="n">
        <v>0</v>
      </c>
      <c r="N320" t="n">
        <v>0</v>
      </c>
      <c r="O320" t="n">
        <v>0</v>
      </c>
      <c r="P320" t="n">
        <v>0</v>
      </c>
      <c r="Q320" t="n">
        <v>0</v>
      </c>
      <c r="R320" t="n">
        <v>0</v>
      </c>
      <c r="S320" t="n">
        <v>0</v>
      </c>
      <c r="T320" t="n">
        <v>0</v>
      </c>
      <c r="U320" s="2" t="inlineStr"/>
    </row>
    <row r="321" ht="15" customHeight="1">
      <c r="A321" t="inlineStr">
        <is>
          <t>A 1536-2024</t>
        </is>
      </c>
      <c r="B321" t="inlineStr">
        <is>
          <t>avverkningsanmälan</t>
        </is>
      </c>
      <c r="C321" t="inlineStr">
        <is>
          <t>Föryngringsavverkning</t>
        </is>
      </c>
      <c r="D321" s="1" t="n">
        <v>45306</v>
      </c>
      <c r="E321" s="1" t="n">
        <v>46217</v>
      </c>
      <c r="F321" t="inlineStr">
        <is>
          <t>UPPSALA LÄN</t>
        </is>
      </c>
      <c r="G321" t="inlineStr">
        <is>
          <t>ENKÖPING</t>
        </is>
      </c>
      <c r="H321" t="inlineStr">
        <is>
          <t>Kyrkan</t>
        </is>
      </c>
      <c r="I321" t="n">
        <v>5.6</v>
      </c>
      <c r="J321" t="n">
        <v>0</v>
      </c>
      <c r="K321" t="n">
        <v>0</v>
      </c>
      <c r="L321" t="n">
        <v>0</v>
      </c>
      <c r="M321" t="n">
        <v>0</v>
      </c>
      <c r="N321" t="n">
        <v>0</v>
      </c>
      <c r="O321" t="n">
        <v>0</v>
      </c>
      <c r="P321" t="n">
        <v>0</v>
      </c>
      <c r="Q321" t="n">
        <v>0</v>
      </c>
      <c r="R321" t="n">
        <v>0</v>
      </c>
      <c r="S321" t="n">
        <v>0</v>
      </c>
      <c r="T321" t="n">
        <v>0</v>
      </c>
      <c r="U321" s="2" t="inlineStr"/>
    </row>
    <row r="322" ht="15" customHeight="1">
      <c r="A322" t="inlineStr">
        <is>
          <t>A 16916-2023</t>
        </is>
      </c>
      <c r="B322" t="inlineStr">
        <is>
          <t>avverkningsanmälan</t>
        </is>
      </c>
      <c r="C322" t="inlineStr">
        <is>
          <t>Föryngringsavverkning</t>
        </is>
      </c>
      <c r="D322" s="1" t="n">
        <v>45033</v>
      </c>
      <c r="E322" s="1" t="n">
        <v>46217</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16920-2023</t>
        </is>
      </c>
      <c r="B323" t="inlineStr">
        <is>
          <t>avverkningsanmälan</t>
        </is>
      </c>
      <c r="C323" t="inlineStr">
        <is>
          <t>Föryngringsavverkning</t>
        </is>
      </c>
      <c r="D323" s="1" t="n">
        <v>45033</v>
      </c>
      <c r="E323" s="1" t="n">
        <v>46217</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52388-2024</t>
        </is>
      </c>
      <c r="B324" t="inlineStr">
        <is>
          <t>avverkningsanmälan</t>
        </is>
      </c>
      <c r="C324" t="inlineStr">
        <is>
          <t>Föryngringsavverkning</t>
        </is>
      </c>
      <c r="D324" s="1" t="n">
        <v>45609</v>
      </c>
      <c r="E324" s="1" t="n">
        <v>46217</v>
      </c>
      <c r="F324" t="inlineStr">
        <is>
          <t>UPPSALA LÄN</t>
        </is>
      </c>
      <c r="G324" t="inlineStr">
        <is>
          <t>ENKÖPING</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1992-2022</t>
        </is>
      </c>
      <c r="B325" t="inlineStr">
        <is>
          <t>avverkningsanmälan</t>
        </is>
      </c>
      <c r="C325" t="inlineStr">
        <is>
          <t>Föryngringsavverkning</t>
        </is>
      </c>
      <c r="D325" s="1" t="n">
        <v>44575</v>
      </c>
      <c r="E325" s="1" t="n">
        <v>46217</v>
      </c>
      <c r="F325" t="inlineStr">
        <is>
          <t>UPPSALA LÄN</t>
        </is>
      </c>
      <c r="G325" t="inlineStr">
        <is>
          <t>ENKÖPING</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6626-2023</t>
        </is>
      </c>
      <c r="B326" t="inlineStr">
        <is>
          <t>avverkningsanmälan</t>
        </is>
      </c>
      <c r="C326" t="inlineStr">
        <is>
          <t>Föryngringsavverkning</t>
        </is>
      </c>
      <c r="D326" s="1" t="n">
        <v>44966</v>
      </c>
      <c r="E326" s="1" t="n">
        <v>46217</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48843-2023</t>
        </is>
      </c>
      <c r="B327" t="inlineStr">
        <is>
          <t>avverkningsanmälan</t>
        </is>
      </c>
      <c r="C327" t="inlineStr">
        <is>
          <t>Föryngringsavverkning</t>
        </is>
      </c>
      <c r="D327" s="1" t="n">
        <v>45209</v>
      </c>
      <c r="E327" s="1" t="n">
        <v>46217</v>
      </c>
      <c r="F327" t="inlineStr">
        <is>
          <t>UPPSALA LÄN</t>
        </is>
      </c>
      <c r="G327" t="inlineStr">
        <is>
          <t>ENKÖPING</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57940-2022</t>
        </is>
      </c>
      <c r="B328" t="inlineStr">
        <is>
          <t>avverkningsanmälan</t>
        </is>
      </c>
      <c r="C328" t="inlineStr">
        <is>
          <t>Föryngringsavverkning</t>
        </is>
      </c>
      <c r="D328" s="1" t="n">
        <v>44900</v>
      </c>
      <c r="E328" s="1" t="n">
        <v>46217</v>
      </c>
      <c r="F328" t="inlineStr">
        <is>
          <t>UPPSALA LÄN</t>
        </is>
      </c>
      <c r="G328" t="inlineStr">
        <is>
          <t>ENKÖPING</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35079-2024</t>
        </is>
      </c>
      <c r="B329" t="inlineStr">
        <is>
          <t>avverkningsanmälan</t>
        </is>
      </c>
      <c r="C329" t="inlineStr">
        <is>
          <t>Föryngringsavverkning</t>
        </is>
      </c>
      <c r="D329" s="1" t="n">
        <v>45527</v>
      </c>
      <c r="E329" s="1" t="n">
        <v>46217</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53595-2023</t>
        </is>
      </c>
      <c r="B330" t="inlineStr">
        <is>
          <t>avverkningsanmälan</t>
        </is>
      </c>
      <c r="C330" t="inlineStr">
        <is>
          <t>Föryngringsavverkning</t>
        </is>
      </c>
      <c r="D330" s="1" t="n">
        <v>45223</v>
      </c>
      <c r="E330" s="1" t="n">
        <v>46217</v>
      </c>
      <c r="F330" t="inlineStr">
        <is>
          <t>UPPSALA LÄN</t>
        </is>
      </c>
      <c r="G330" t="inlineStr">
        <is>
          <t>ENKÖPING</t>
        </is>
      </c>
      <c r="I330" t="n">
        <v>2.6</v>
      </c>
      <c r="J330" t="n">
        <v>0</v>
      </c>
      <c r="K330" t="n">
        <v>0</v>
      </c>
      <c r="L330" t="n">
        <v>0</v>
      </c>
      <c r="M330" t="n">
        <v>0</v>
      </c>
      <c r="N330" t="n">
        <v>0</v>
      </c>
      <c r="O330" t="n">
        <v>0</v>
      </c>
      <c r="P330" t="n">
        <v>0</v>
      </c>
      <c r="Q330" t="n">
        <v>0</v>
      </c>
      <c r="R330" t="n">
        <v>0</v>
      </c>
      <c r="S330" t="n">
        <v>0</v>
      </c>
      <c r="T330" t="n">
        <v>0</v>
      </c>
      <c r="U330" s="2" t="inlineStr"/>
    </row>
    <row r="331" ht="15" customHeight="1">
      <c r="A331" t="inlineStr">
        <is>
          <t>A 60533-2021</t>
        </is>
      </c>
      <c r="B331" t="inlineStr">
        <is>
          <t>avverkningsanmälan</t>
        </is>
      </c>
      <c r="C331" t="inlineStr">
        <is>
          <t>Föryngringsavverkning</t>
        </is>
      </c>
      <c r="D331" s="1" t="n">
        <v>44496</v>
      </c>
      <c r="E331" s="1" t="n">
        <v>46217</v>
      </c>
      <c r="F331" t="inlineStr">
        <is>
          <t>UPPSALA LÄN</t>
        </is>
      </c>
      <c r="G331" t="inlineStr">
        <is>
          <t>ENKÖPING</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15757-2023</t>
        </is>
      </c>
      <c r="B332" t="inlineStr">
        <is>
          <t>avverkningsanmälan</t>
        </is>
      </c>
      <c r="C332" t="inlineStr">
        <is>
          <t>Föryngringsavverkning</t>
        </is>
      </c>
      <c r="D332" s="1" t="n">
        <v>45021</v>
      </c>
      <c r="E332" s="1" t="n">
        <v>46217</v>
      </c>
      <c r="F332" t="inlineStr">
        <is>
          <t>UPPSALA LÄN</t>
        </is>
      </c>
      <c r="G332" t="inlineStr">
        <is>
          <t>ENKÖPING</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43230-2023</t>
        </is>
      </c>
      <c r="B333" t="inlineStr">
        <is>
          <t>avverkningsanmälan</t>
        </is>
      </c>
      <c r="C333" t="inlineStr">
        <is>
          <t>Föryngringsavverkning</t>
        </is>
      </c>
      <c r="D333" s="1" t="n">
        <v>45183</v>
      </c>
      <c r="E333" s="1" t="n">
        <v>46217</v>
      </c>
      <c r="F333" t="inlineStr">
        <is>
          <t>UPPSALA LÄN</t>
        </is>
      </c>
      <c r="G333" t="inlineStr">
        <is>
          <t>ENKÖPING</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56886-2023</t>
        </is>
      </c>
      <c r="B334" t="inlineStr">
        <is>
          <t>avverkningsanmälan</t>
        </is>
      </c>
      <c r="C334" t="inlineStr">
        <is>
          <t>Avverkning för annat ändamål</t>
        </is>
      </c>
      <c r="D334" s="1" t="n">
        <v>45239</v>
      </c>
      <c r="E334" s="1" t="n">
        <v>46217</v>
      </c>
      <c r="F334" t="inlineStr">
        <is>
          <t>UPPSALA LÄN</t>
        </is>
      </c>
      <c r="G334" t="inlineStr">
        <is>
          <t>ENKÖPING</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12102-2024</t>
        </is>
      </c>
      <c r="B335" t="inlineStr">
        <is>
          <t>avverkningsanmälan</t>
        </is>
      </c>
      <c r="C335" t="inlineStr">
        <is>
          <t>Föryngringsavverkning</t>
        </is>
      </c>
      <c r="D335" s="1" t="n">
        <v>45377</v>
      </c>
      <c r="E335" s="1" t="n">
        <v>46217</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45283-2022</t>
        </is>
      </c>
      <c r="B336" t="inlineStr">
        <is>
          <t>avverkningsanmälan</t>
        </is>
      </c>
      <c r="C336" t="inlineStr">
        <is>
          <t>Föryngringsavverkning</t>
        </is>
      </c>
      <c r="D336" s="1" t="n">
        <v>44844</v>
      </c>
      <c r="E336" s="1" t="n">
        <v>46217</v>
      </c>
      <c r="F336" t="inlineStr">
        <is>
          <t>UPPSALA LÄN</t>
        </is>
      </c>
      <c r="G336" t="inlineStr">
        <is>
          <t>ENKÖPING</t>
        </is>
      </c>
      <c r="I336" t="n">
        <v>5.9</v>
      </c>
      <c r="J336" t="n">
        <v>0</v>
      </c>
      <c r="K336" t="n">
        <v>0</v>
      </c>
      <c r="L336" t="n">
        <v>0</v>
      </c>
      <c r="M336" t="n">
        <v>0</v>
      </c>
      <c r="N336" t="n">
        <v>0</v>
      </c>
      <c r="O336" t="n">
        <v>0</v>
      </c>
      <c r="P336" t="n">
        <v>0</v>
      </c>
      <c r="Q336" t="n">
        <v>0</v>
      </c>
      <c r="R336" t="n">
        <v>0</v>
      </c>
      <c r="S336" t="n">
        <v>0</v>
      </c>
      <c r="T336" t="n">
        <v>0</v>
      </c>
      <c r="U336" s="2" t="inlineStr"/>
    </row>
    <row r="337" ht="15" customHeight="1">
      <c r="A337" t="inlineStr">
        <is>
          <t>A 849-2025</t>
        </is>
      </c>
      <c r="B337" t="inlineStr">
        <is>
          <t>avverkningsanmälan</t>
        </is>
      </c>
      <c r="C337" t="inlineStr">
        <is>
          <t>Föryngringsavverkning</t>
        </is>
      </c>
      <c r="D337" s="1" t="n">
        <v>45665</v>
      </c>
      <c r="E337" s="1" t="n">
        <v>46217</v>
      </c>
      <c r="F337" t="inlineStr">
        <is>
          <t>UPPSALA LÄN</t>
        </is>
      </c>
      <c r="G337" t="inlineStr">
        <is>
          <t>ENKÖPING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58147-2024</t>
        </is>
      </c>
      <c r="B338" t="inlineStr">
        <is>
          <t>avverkningsanmälan</t>
        </is>
      </c>
      <c r="C338" t="inlineStr">
        <is>
          <t>Föryngringsavverkning</t>
        </is>
      </c>
      <c r="D338" s="1" t="n">
        <v>45632</v>
      </c>
      <c r="E338" s="1" t="n">
        <v>46217</v>
      </c>
      <c r="F338" t="inlineStr">
        <is>
          <t>UPPSALA LÄN</t>
        </is>
      </c>
      <c r="G338" t="inlineStr">
        <is>
          <t>ENKÖPING</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34735-2023</t>
        </is>
      </c>
      <c r="B339" t="inlineStr">
        <is>
          <t>avverkningsanmälan</t>
        </is>
      </c>
      <c r="C339" t="inlineStr">
        <is>
          <t>Föryngringsavverkning</t>
        </is>
      </c>
      <c r="D339" s="1" t="n">
        <v>45139</v>
      </c>
      <c r="E339" s="1" t="n">
        <v>46217</v>
      </c>
      <c r="F339" t="inlineStr">
        <is>
          <t>UPPSALA LÄN</t>
        </is>
      </c>
      <c r="G339" t="inlineStr">
        <is>
          <t>ENKÖPING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57209-2024</t>
        </is>
      </c>
      <c r="B340" t="inlineStr">
        <is>
          <t>avverkningsanmälan</t>
        </is>
      </c>
      <c r="C340" t="inlineStr">
        <is>
          <t>Föryngringsavverkning</t>
        </is>
      </c>
      <c r="D340" s="1" t="n">
        <v>45629</v>
      </c>
      <c r="E340" s="1" t="n">
        <v>46217</v>
      </c>
      <c r="F340" t="inlineStr">
        <is>
          <t>UPPSALA LÄN</t>
        </is>
      </c>
      <c r="G340" t="inlineStr">
        <is>
          <t>ENKÖPING</t>
        </is>
      </c>
      <c r="I340" t="n">
        <v>3.2</v>
      </c>
      <c r="J340" t="n">
        <v>0</v>
      </c>
      <c r="K340" t="n">
        <v>0</v>
      </c>
      <c r="L340" t="n">
        <v>0</v>
      </c>
      <c r="M340" t="n">
        <v>0</v>
      </c>
      <c r="N340" t="n">
        <v>0</v>
      </c>
      <c r="O340" t="n">
        <v>0</v>
      </c>
      <c r="P340" t="n">
        <v>0</v>
      </c>
      <c r="Q340" t="n">
        <v>0</v>
      </c>
      <c r="R340" t="n">
        <v>0</v>
      </c>
      <c r="S340" t="n">
        <v>0</v>
      </c>
      <c r="T340" t="n">
        <v>0</v>
      </c>
      <c r="U340" s="2" t="inlineStr"/>
    </row>
    <row r="341" ht="15" customHeight="1">
      <c r="A341" t="inlineStr">
        <is>
          <t>A 13110-2023</t>
        </is>
      </c>
      <c r="B341" t="inlineStr">
        <is>
          <t>avverkningsanmälan</t>
        </is>
      </c>
      <c r="C341" t="inlineStr">
        <is>
          <t>Föryngringsavverkning</t>
        </is>
      </c>
      <c r="D341" s="1" t="n">
        <v>45001</v>
      </c>
      <c r="E341" s="1" t="n">
        <v>46217</v>
      </c>
      <c r="F341" t="inlineStr">
        <is>
          <t>UPPSALA LÄN</t>
        </is>
      </c>
      <c r="G341" t="inlineStr">
        <is>
          <t>ENKÖPING</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49627-2024</t>
        </is>
      </c>
      <c r="B342" t="inlineStr">
        <is>
          <t>avverkningsanmälan</t>
        </is>
      </c>
      <c r="C342" t="inlineStr">
        <is>
          <t>Föryngringsavverkning</t>
        </is>
      </c>
      <c r="D342" s="1" t="n">
        <v>45596</v>
      </c>
      <c r="E342" s="1" t="n">
        <v>46217</v>
      </c>
      <c r="F342" t="inlineStr">
        <is>
          <t>UPPSALA LÄN</t>
        </is>
      </c>
      <c r="G342" t="inlineStr">
        <is>
          <t>ENKÖPING</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9231-2023</t>
        </is>
      </c>
      <c r="B343" t="inlineStr">
        <is>
          <t>avverkningsanmälan</t>
        </is>
      </c>
      <c r="C343" t="inlineStr">
        <is>
          <t>Föryngringsavverkning</t>
        </is>
      </c>
      <c r="D343" s="1" t="n">
        <v>44980</v>
      </c>
      <c r="E343" s="1" t="n">
        <v>46217</v>
      </c>
      <c r="F343" t="inlineStr">
        <is>
          <t>UPPSALA LÄN</t>
        </is>
      </c>
      <c r="G343" t="inlineStr">
        <is>
          <t>ENKÖPING</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27538-2023</t>
        </is>
      </c>
      <c r="B344" t="inlineStr">
        <is>
          <t>avverkningsanmälan</t>
        </is>
      </c>
      <c r="C344" t="inlineStr">
        <is>
          <t>Föryngringsavverkning</t>
        </is>
      </c>
      <c r="D344" s="1" t="n">
        <v>45097</v>
      </c>
      <c r="E344" s="1" t="n">
        <v>46217</v>
      </c>
      <c r="F344" t="inlineStr">
        <is>
          <t>UPPSALA LÄN</t>
        </is>
      </c>
      <c r="G344" t="inlineStr">
        <is>
          <t>ENKÖPING</t>
        </is>
      </c>
      <c r="I344" t="n">
        <v>5.8</v>
      </c>
      <c r="J344" t="n">
        <v>0</v>
      </c>
      <c r="K344" t="n">
        <v>0</v>
      </c>
      <c r="L344" t="n">
        <v>0</v>
      </c>
      <c r="M344" t="n">
        <v>0</v>
      </c>
      <c r="N344" t="n">
        <v>0</v>
      </c>
      <c r="O344" t="n">
        <v>0</v>
      </c>
      <c r="P344" t="n">
        <v>0</v>
      </c>
      <c r="Q344" t="n">
        <v>0</v>
      </c>
      <c r="R344" t="n">
        <v>0</v>
      </c>
      <c r="S344" t="n">
        <v>0</v>
      </c>
      <c r="T344" t="n">
        <v>0</v>
      </c>
      <c r="U344" s="2" t="inlineStr"/>
    </row>
    <row r="345" ht="15" customHeight="1">
      <c r="A345" t="inlineStr">
        <is>
          <t>A 18821-2023</t>
        </is>
      </c>
      <c r="B345" t="inlineStr">
        <is>
          <t>avverkningsanmälan</t>
        </is>
      </c>
      <c r="C345" t="inlineStr">
        <is>
          <t>Föryngringsavverkning</t>
        </is>
      </c>
      <c r="D345" s="1" t="n">
        <v>45044</v>
      </c>
      <c r="E345" s="1" t="n">
        <v>46217</v>
      </c>
      <c r="F345" t="inlineStr">
        <is>
          <t>UPPSALA LÄN</t>
        </is>
      </c>
      <c r="G345" t="inlineStr">
        <is>
          <t>ENKÖPING</t>
        </is>
      </c>
      <c r="I345" t="n">
        <v>6</v>
      </c>
      <c r="J345" t="n">
        <v>0</v>
      </c>
      <c r="K345" t="n">
        <v>0</v>
      </c>
      <c r="L345" t="n">
        <v>0</v>
      </c>
      <c r="M345" t="n">
        <v>0</v>
      </c>
      <c r="N345" t="n">
        <v>0</v>
      </c>
      <c r="O345" t="n">
        <v>0</v>
      </c>
      <c r="P345" t="n">
        <v>0</v>
      </c>
      <c r="Q345" t="n">
        <v>0</v>
      </c>
      <c r="R345" t="n">
        <v>0</v>
      </c>
      <c r="S345" t="n">
        <v>0</v>
      </c>
      <c r="T345" t="n">
        <v>0</v>
      </c>
      <c r="U345" s="2" t="inlineStr"/>
    </row>
    <row r="346" ht="15" customHeight="1">
      <c r="A346" t="inlineStr">
        <is>
          <t>A 9041-2023</t>
        </is>
      </c>
      <c r="B346" t="inlineStr">
        <is>
          <t>avverkningsanmälan</t>
        </is>
      </c>
      <c r="C346" t="inlineStr">
        <is>
          <t>Föryngringsavverkning</t>
        </is>
      </c>
      <c r="D346" s="1" t="n">
        <v>44979</v>
      </c>
      <c r="E346" s="1" t="n">
        <v>46217</v>
      </c>
      <c r="F346" t="inlineStr">
        <is>
          <t>UPPSALA LÄN</t>
        </is>
      </c>
      <c r="G346" t="inlineStr">
        <is>
          <t>ENKÖPING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27786-2023</t>
        </is>
      </c>
      <c r="B347" t="inlineStr">
        <is>
          <t>avverkningsanmälan</t>
        </is>
      </c>
      <c r="C347" t="inlineStr">
        <is>
          <t>Föryngringsavverkning</t>
        </is>
      </c>
      <c r="D347" s="1" t="n">
        <v>45098</v>
      </c>
      <c r="E347" s="1" t="n">
        <v>46217</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15942-2022</t>
        </is>
      </c>
      <c r="B348" t="inlineStr">
        <is>
          <t>avverkningsanmälan</t>
        </is>
      </c>
      <c r="C348" t="inlineStr">
        <is>
          <t>Föryngringsavverkning</t>
        </is>
      </c>
      <c r="D348" s="1" t="n">
        <v>44664</v>
      </c>
      <c r="E348" s="1" t="n">
        <v>46217</v>
      </c>
      <c r="F348" t="inlineStr">
        <is>
          <t>UPPSALA LÄN</t>
        </is>
      </c>
      <c r="G348" t="inlineStr">
        <is>
          <t>ENKÖPING</t>
        </is>
      </c>
      <c r="I348" t="n">
        <v>6.6</v>
      </c>
      <c r="J348" t="n">
        <v>0</v>
      </c>
      <c r="K348" t="n">
        <v>0</v>
      </c>
      <c r="L348" t="n">
        <v>0</v>
      </c>
      <c r="M348" t="n">
        <v>0</v>
      </c>
      <c r="N348" t="n">
        <v>0</v>
      </c>
      <c r="O348" t="n">
        <v>0</v>
      </c>
      <c r="P348" t="n">
        <v>0</v>
      </c>
      <c r="Q348" t="n">
        <v>0</v>
      </c>
      <c r="R348" t="n">
        <v>0</v>
      </c>
      <c r="S348" t="n">
        <v>0</v>
      </c>
      <c r="T348" t="n">
        <v>0</v>
      </c>
      <c r="U348" s="2" t="inlineStr"/>
    </row>
    <row r="349" ht="15" customHeight="1">
      <c r="A349" t="inlineStr">
        <is>
          <t>A 50006-2023</t>
        </is>
      </c>
      <c r="B349" t="inlineStr">
        <is>
          <t>avverkningsanmälan</t>
        </is>
      </c>
      <c r="C349" t="inlineStr">
        <is>
          <t>Föryngringsavverkning</t>
        </is>
      </c>
      <c r="D349" s="1" t="n">
        <v>45215</v>
      </c>
      <c r="E349" s="1" t="n">
        <v>46217</v>
      </c>
      <c r="F349" t="inlineStr">
        <is>
          <t>UPPSALA LÄN</t>
        </is>
      </c>
      <c r="G349" t="inlineStr">
        <is>
          <t>ENKÖPING</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53607-2023</t>
        </is>
      </c>
      <c r="B350" t="inlineStr">
        <is>
          <t>avverkningsanmälan</t>
        </is>
      </c>
      <c r="C350" t="inlineStr">
        <is>
          <t>Föryngringsavverkning</t>
        </is>
      </c>
      <c r="D350" s="1" t="n">
        <v>45230</v>
      </c>
      <c r="E350" s="1" t="n">
        <v>46217</v>
      </c>
      <c r="F350" t="inlineStr">
        <is>
          <t>UPPSALA LÄN</t>
        </is>
      </c>
      <c r="G350" t="inlineStr">
        <is>
          <t>ENKÖPING</t>
        </is>
      </c>
      <c r="H350" t="inlineStr">
        <is>
          <t>Allmännings- och besparingsskogar</t>
        </is>
      </c>
      <c r="I350" t="n">
        <v>6.3</v>
      </c>
      <c r="J350" t="n">
        <v>0</v>
      </c>
      <c r="K350" t="n">
        <v>0</v>
      </c>
      <c r="L350" t="n">
        <v>0</v>
      </c>
      <c r="M350" t="n">
        <v>0</v>
      </c>
      <c r="N350" t="n">
        <v>0</v>
      </c>
      <c r="O350" t="n">
        <v>0</v>
      </c>
      <c r="P350" t="n">
        <v>0</v>
      </c>
      <c r="Q350" t="n">
        <v>0</v>
      </c>
      <c r="R350" t="n">
        <v>0</v>
      </c>
      <c r="S350" t="n">
        <v>0</v>
      </c>
      <c r="T350" t="n">
        <v>0</v>
      </c>
      <c r="U350" s="2" t="inlineStr"/>
    </row>
    <row r="351" ht="15" customHeight="1">
      <c r="A351" t="inlineStr">
        <is>
          <t>A 59497-2022</t>
        </is>
      </c>
      <c r="B351" t="inlineStr">
        <is>
          <t>avverkningsanmälan</t>
        </is>
      </c>
      <c r="C351" t="inlineStr">
        <is>
          <t>Föryngringsavverkning</t>
        </is>
      </c>
      <c r="D351" s="1" t="n">
        <v>44907</v>
      </c>
      <c r="E351" s="1" t="n">
        <v>46217</v>
      </c>
      <c r="F351" t="inlineStr">
        <is>
          <t>UPPSALA LÄN</t>
        </is>
      </c>
      <c r="G351" t="inlineStr">
        <is>
          <t>ENKÖPING</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49614-2024</t>
        </is>
      </c>
      <c r="B352" t="inlineStr">
        <is>
          <t>avverkningsanmälan</t>
        </is>
      </c>
      <c r="C352" t="inlineStr">
        <is>
          <t>Föryngringsavverkning</t>
        </is>
      </c>
      <c r="D352" s="1" t="n">
        <v>45596</v>
      </c>
      <c r="E352" s="1" t="n">
        <v>46217</v>
      </c>
      <c r="F352" t="inlineStr">
        <is>
          <t>UPPSALA LÄN</t>
        </is>
      </c>
      <c r="G352" t="inlineStr">
        <is>
          <t>ENKÖPING</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12878-2025</t>
        </is>
      </c>
      <c r="B353" t="inlineStr">
        <is>
          <t>avverkningsanmälan</t>
        </is>
      </c>
      <c r="C353" t="inlineStr">
        <is>
          <t>Föryngringsavverkning</t>
        </is>
      </c>
      <c r="D353" s="1" t="n">
        <v>45733</v>
      </c>
      <c r="E353" s="1" t="n">
        <v>46217</v>
      </c>
      <c r="F353" t="inlineStr">
        <is>
          <t>UPPSALA LÄN</t>
        </is>
      </c>
      <c r="G353" t="inlineStr">
        <is>
          <t>ENKÖPING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52889-2022</t>
        </is>
      </c>
      <c r="B354" t="inlineStr">
        <is>
          <t>avverkningsanmälan</t>
        </is>
      </c>
      <c r="C354" t="inlineStr">
        <is>
          <t>Föryngringsavverkning</t>
        </is>
      </c>
      <c r="D354" s="1" t="n">
        <v>44875</v>
      </c>
      <c r="E354" s="1" t="n">
        <v>46217</v>
      </c>
      <c r="F354" t="inlineStr">
        <is>
          <t>UPPSALA LÄN</t>
        </is>
      </c>
      <c r="G354" t="inlineStr">
        <is>
          <t>ENKÖPING</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47681-2024</t>
        </is>
      </c>
      <c r="B355" t="inlineStr">
        <is>
          <t>avverkningsanmälan</t>
        </is>
      </c>
      <c r="C355" t="inlineStr">
        <is>
          <t>Föryngringsavverkning</t>
        </is>
      </c>
      <c r="D355" s="1" t="n">
        <v>45588</v>
      </c>
      <c r="E355" s="1" t="n">
        <v>46217</v>
      </c>
      <c r="F355" t="inlineStr">
        <is>
          <t>UPPSALA LÄN</t>
        </is>
      </c>
      <c r="G355" t="inlineStr">
        <is>
          <t>ENKÖPING</t>
        </is>
      </c>
      <c r="I355" t="n">
        <v>4.2</v>
      </c>
      <c r="J355" t="n">
        <v>0</v>
      </c>
      <c r="K355" t="n">
        <v>0</v>
      </c>
      <c r="L355" t="n">
        <v>0</v>
      </c>
      <c r="M355" t="n">
        <v>0</v>
      </c>
      <c r="N355" t="n">
        <v>0</v>
      </c>
      <c r="O355" t="n">
        <v>0</v>
      </c>
      <c r="P355" t="n">
        <v>0</v>
      </c>
      <c r="Q355" t="n">
        <v>0</v>
      </c>
      <c r="R355" t="n">
        <v>0</v>
      </c>
      <c r="S355" t="n">
        <v>0</v>
      </c>
      <c r="T355" t="n">
        <v>0</v>
      </c>
      <c r="U355" s="2" t="inlineStr"/>
    </row>
    <row r="356" ht="15" customHeight="1">
      <c r="A356" t="inlineStr">
        <is>
          <t>A 12754-2025</t>
        </is>
      </c>
      <c r="B356" t="inlineStr">
        <is>
          <t>avverkningsanmälan</t>
        </is>
      </c>
      <c r="C356" t="inlineStr">
        <is>
          <t>Föryngringsavverkning</t>
        </is>
      </c>
      <c r="D356" s="1" t="n">
        <v>45733</v>
      </c>
      <c r="E356" s="1" t="n">
        <v>46217</v>
      </c>
      <c r="F356" t="inlineStr">
        <is>
          <t>UPPSALA LÄN</t>
        </is>
      </c>
      <c r="G356" t="inlineStr">
        <is>
          <t>ENKÖPING</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54588-2024</t>
        </is>
      </c>
      <c r="B357" t="inlineStr">
        <is>
          <t>avverkningsanmälan</t>
        </is>
      </c>
      <c r="C357" t="inlineStr">
        <is>
          <t>Föryngringsavverkning</t>
        </is>
      </c>
      <c r="D357" s="1" t="n">
        <v>45617</v>
      </c>
      <c r="E357" s="1" t="n">
        <v>46217</v>
      </c>
      <c r="F357" t="inlineStr">
        <is>
          <t>UPPSALA LÄN</t>
        </is>
      </c>
      <c r="G357" t="inlineStr">
        <is>
          <t>ENKÖPING</t>
        </is>
      </c>
      <c r="I357" t="n">
        <v>3.7</v>
      </c>
      <c r="J357" t="n">
        <v>0</v>
      </c>
      <c r="K357" t="n">
        <v>0</v>
      </c>
      <c r="L357" t="n">
        <v>0</v>
      </c>
      <c r="M357" t="n">
        <v>0</v>
      </c>
      <c r="N357" t="n">
        <v>0</v>
      </c>
      <c r="O357" t="n">
        <v>0</v>
      </c>
      <c r="P357" t="n">
        <v>0</v>
      </c>
      <c r="Q357" t="n">
        <v>0</v>
      </c>
      <c r="R357" t="n">
        <v>0</v>
      </c>
      <c r="S357" t="n">
        <v>0</v>
      </c>
      <c r="T357" t="n">
        <v>0</v>
      </c>
      <c r="U357" s="2" t="inlineStr"/>
    </row>
    <row r="358" ht="15" customHeight="1">
      <c r="A358" t="inlineStr">
        <is>
          <t>A 51524-2022</t>
        </is>
      </c>
      <c r="B358" t="inlineStr">
        <is>
          <t>avverkningsanmälan</t>
        </is>
      </c>
      <c r="C358" t="inlineStr">
        <is>
          <t>Föryngringsavverkning</t>
        </is>
      </c>
      <c r="D358" s="1" t="n">
        <v>44869</v>
      </c>
      <c r="E358" s="1" t="n">
        <v>46217</v>
      </c>
      <c r="F358" t="inlineStr">
        <is>
          <t>UPPSALA LÄN</t>
        </is>
      </c>
      <c r="G358" t="inlineStr">
        <is>
          <t>ENKÖPING</t>
        </is>
      </c>
      <c r="I358" t="n">
        <v>6.6</v>
      </c>
      <c r="J358" t="n">
        <v>0</v>
      </c>
      <c r="K358" t="n">
        <v>0</v>
      </c>
      <c r="L358" t="n">
        <v>0</v>
      </c>
      <c r="M358" t="n">
        <v>0</v>
      </c>
      <c r="N358" t="n">
        <v>0</v>
      </c>
      <c r="O358" t="n">
        <v>0</v>
      </c>
      <c r="P358" t="n">
        <v>0</v>
      </c>
      <c r="Q358" t="n">
        <v>0</v>
      </c>
      <c r="R358" t="n">
        <v>0</v>
      </c>
      <c r="S358" t="n">
        <v>0</v>
      </c>
      <c r="T358" t="n">
        <v>0</v>
      </c>
      <c r="U358" s="2" t="inlineStr"/>
    </row>
    <row r="359" ht="15" customHeight="1">
      <c r="A359" t="inlineStr">
        <is>
          <t>A 8137-2025</t>
        </is>
      </c>
      <c r="B359" t="inlineStr">
        <is>
          <t>avverkningsanmälan</t>
        </is>
      </c>
      <c r="C359" t="inlineStr">
        <is>
          <t>Föryngringsavverkning</t>
        </is>
      </c>
      <c r="D359" s="1" t="n">
        <v>45707</v>
      </c>
      <c r="E359" s="1" t="n">
        <v>46217</v>
      </c>
      <c r="F359" t="inlineStr">
        <is>
          <t>UPPSALA LÄN</t>
        </is>
      </c>
      <c r="G359" t="inlineStr">
        <is>
          <t>ENKÖPING</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7868-2024</t>
        </is>
      </c>
      <c r="B360" t="inlineStr">
        <is>
          <t>avverkningsanmälan</t>
        </is>
      </c>
      <c r="C360" t="inlineStr">
        <is>
          <t>Föryngringsavverkning</t>
        </is>
      </c>
      <c r="D360" s="1" t="n">
        <v>45350</v>
      </c>
      <c r="E360" s="1" t="n">
        <v>46217</v>
      </c>
      <c r="F360" t="inlineStr">
        <is>
          <t>UPPSALA LÄN</t>
        </is>
      </c>
      <c r="G360" t="inlineStr">
        <is>
          <t>ENKÖPING</t>
        </is>
      </c>
      <c r="I360" t="n">
        <v>0.3</v>
      </c>
      <c r="J360" t="n">
        <v>0</v>
      </c>
      <c r="K360" t="n">
        <v>0</v>
      </c>
      <c r="L360" t="n">
        <v>0</v>
      </c>
      <c r="M360" t="n">
        <v>0</v>
      </c>
      <c r="N360" t="n">
        <v>0</v>
      </c>
      <c r="O360" t="n">
        <v>0</v>
      </c>
      <c r="P360" t="n">
        <v>0</v>
      </c>
      <c r="Q360" t="n">
        <v>0</v>
      </c>
      <c r="R360" t="n">
        <v>0</v>
      </c>
      <c r="S360" t="n">
        <v>0</v>
      </c>
      <c r="T360" t="n">
        <v>0</v>
      </c>
      <c r="U360" s="2" t="inlineStr"/>
    </row>
    <row r="361" ht="15" customHeight="1">
      <c r="A361" t="inlineStr">
        <is>
          <t>A 35052-2024</t>
        </is>
      </c>
      <c r="B361" t="inlineStr">
        <is>
          <t>avverkningsanmälan</t>
        </is>
      </c>
      <c r="C361" t="inlineStr">
        <is>
          <t>Föryngringsavverkning</t>
        </is>
      </c>
      <c r="D361" s="1" t="n">
        <v>45527</v>
      </c>
      <c r="E361" s="1" t="n">
        <v>46217</v>
      </c>
      <c r="F361" t="inlineStr">
        <is>
          <t>UPPSALA LÄN</t>
        </is>
      </c>
      <c r="G361" t="inlineStr">
        <is>
          <t>ENKÖPING</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14518-2025</t>
        </is>
      </c>
      <c r="B362" t="inlineStr">
        <is>
          <t>avverkningsanmälan</t>
        </is>
      </c>
      <c r="C362" t="inlineStr">
        <is>
          <t>Föryngringsavverkning</t>
        </is>
      </c>
      <c r="D362" s="1" t="n">
        <v>45741</v>
      </c>
      <c r="E362" s="1" t="n">
        <v>46217</v>
      </c>
      <c r="F362" t="inlineStr">
        <is>
          <t>UPPSALA LÄN</t>
        </is>
      </c>
      <c r="G362" t="inlineStr">
        <is>
          <t>ENKÖPING</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54776-2024</t>
        </is>
      </c>
      <c r="B363" t="inlineStr">
        <is>
          <t>avverkningsanmälan</t>
        </is>
      </c>
      <c r="C363" t="inlineStr">
        <is>
          <t>Föryngringsavverkning</t>
        </is>
      </c>
      <c r="D363" s="1" t="n">
        <v>45618</v>
      </c>
      <c r="E363" s="1" t="n">
        <v>46217</v>
      </c>
      <c r="F363" t="inlineStr">
        <is>
          <t>UPPSALA LÄN</t>
        </is>
      </c>
      <c r="G363" t="inlineStr">
        <is>
          <t>ENKÖPING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30087-2024</t>
        </is>
      </c>
      <c r="B364" t="inlineStr">
        <is>
          <t>avverkningsanmälan</t>
        </is>
      </c>
      <c r="C364" t="inlineStr">
        <is>
          <t>Föryngringsavverkning</t>
        </is>
      </c>
      <c r="D364" s="1" t="n">
        <v>45489</v>
      </c>
      <c r="E364" s="1" t="n">
        <v>46217</v>
      </c>
      <c r="F364" t="inlineStr">
        <is>
          <t>UPPSALA LÄN</t>
        </is>
      </c>
      <c r="G364" t="inlineStr">
        <is>
          <t>ENKÖPING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22795-2025</t>
        </is>
      </c>
      <c r="B365" t="inlineStr">
        <is>
          <t>avverkningsanmälan</t>
        </is>
      </c>
      <c r="C365" t="inlineStr">
        <is>
          <t>Föryngringsavverkning</t>
        </is>
      </c>
      <c r="D365" s="1" t="n">
        <v>45789</v>
      </c>
      <c r="E365" s="1" t="n">
        <v>46217</v>
      </c>
      <c r="F365" t="inlineStr">
        <is>
          <t>UPPSALA LÄN</t>
        </is>
      </c>
      <c r="G365" t="inlineStr">
        <is>
          <t>ENKÖPING</t>
        </is>
      </c>
      <c r="I365" t="n">
        <v>10.4</v>
      </c>
      <c r="J365" t="n">
        <v>0</v>
      </c>
      <c r="K365" t="n">
        <v>0</v>
      </c>
      <c r="L365" t="n">
        <v>0</v>
      </c>
      <c r="M365" t="n">
        <v>0</v>
      </c>
      <c r="N365" t="n">
        <v>0</v>
      </c>
      <c r="O365" t="n">
        <v>0</v>
      </c>
      <c r="P365" t="n">
        <v>0</v>
      </c>
      <c r="Q365" t="n">
        <v>0</v>
      </c>
      <c r="R365" t="n">
        <v>0</v>
      </c>
      <c r="S365" t="n">
        <v>0</v>
      </c>
      <c r="T365" t="n">
        <v>0</v>
      </c>
      <c r="U365" s="2" t="inlineStr"/>
    </row>
    <row r="366" ht="15" customHeight="1">
      <c r="A366" t="inlineStr">
        <is>
          <t>A 22802-2025</t>
        </is>
      </c>
      <c r="B366" t="inlineStr">
        <is>
          <t>avverkningsanmälan</t>
        </is>
      </c>
      <c r="C366" t="inlineStr">
        <is>
          <t>Föryngringsavverkning</t>
        </is>
      </c>
      <c r="D366" s="1" t="n">
        <v>45789</v>
      </c>
      <c r="E366" s="1" t="n">
        <v>46217</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6981-2025</t>
        </is>
      </c>
      <c r="B367" t="inlineStr">
        <is>
          <t>avverkningsanmälan</t>
        </is>
      </c>
      <c r="C367" t="inlineStr">
        <is>
          <t>Föryngringsavverkning</t>
        </is>
      </c>
      <c r="D367" s="1" t="n">
        <v>45701</v>
      </c>
      <c r="E367" s="1" t="n">
        <v>46217</v>
      </c>
      <c r="F367" t="inlineStr">
        <is>
          <t>UPPSALA LÄN</t>
        </is>
      </c>
      <c r="G367" t="inlineStr">
        <is>
          <t>ENKÖPING</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22981-2025</t>
        </is>
      </c>
      <c r="B368" t="inlineStr">
        <is>
          <t>avverkningsanmälan</t>
        </is>
      </c>
      <c r="C368" t="inlineStr">
        <is>
          <t>Föryngringsavverkning</t>
        </is>
      </c>
      <c r="D368" s="1" t="n">
        <v>45790</v>
      </c>
      <c r="E368" s="1" t="n">
        <v>46217</v>
      </c>
      <c r="F368" t="inlineStr">
        <is>
          <t>UPPSALA LÄN</t>
        </is>
      </c>
      <c r="G368" t="inlineStr">
        <is>
          <t>ENKÖPING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68123-2021</t>
        </is>
      </c>
      <c r="B369" t="inlineStr">
        <is>
          <t>avverkningsanmälan</t>
        </is>
      </c>
      <c r="C369" t="inlineStr">
        <is>
          <t>Föryngringsavverkning</t>
        </is>
      </c>
      <c r="D369" s="1" t="n">
        <v>44526</v>
      </c>
      <c r="E369" s="1" t="n">
        <v>46217</v>
      </c>
      <c r="F369" t="inlineStr">
        <is>
          <t>UPPSALA LÄN</t>
        </is>
      </c>
      <c r="G369" t="inlineStr">
        <is>
          <t>ENKÖPING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5749-2025</t>
        </is>
      </c>
      <c r="B370" t="inlineStr">
        <is>
          <t>avverkningsanmälan</t>
        </is>
      </c>
      <c r="C370" t="inlineStr">
        <is>
          <t>Föryngringsavverkning</t>
        </is>
      </c>
      <c r="D370" s="1" t="n">
        <v>45694</v>
      </c>
      <c r="E370" s="1" t="n">
        <v>46217</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8020-2022</t>
        </is>
      </c>
      <c r="B371" t="inlineStr">
        <is>
          <t>avverkningsanmälan</t>
        </is>
      </c>
      <c r="C371" t="inlineStr">
        <is>
          <t>Föryngringsavverkning</t>
        </is>
      </c>
      <c r="D371" s="1" t="n">
        <v>44609</v>
      </c>
      <c r="E371" s="1" t="n">
        <v>46217</v>
      </c>
      <c r="F371" t="inlineStr">
        <is>
          <t>UPPSALA LÄN</t>
        </is>
      </c>
      <c r="G371" t="inlineStr">
        <is>
          <t>ENKÖPING</t>
        </is>
      </c>
      <c r="I371" t="n">
        <v>6</v>
      </c>
      <c r="J371" t="n">
        <v>0</v>
      </c>
      <c r="K371" t="n">
        <v>0</v>
      </c>
      <c r="L371" t="n">
        <v>0</v>
      </c>
      <c r="M371" t="n">
        <v>0</v>
      </c>
      <c r="N371" t="n">
        <v>0</v>
      </c>
      <c r="O371" t="n">
        <v>0</v>
      </c>
      <c r="P371" t="n">
        <v>0</v>
      </c>
      <c r="Q371" t="n">
        <v>0</v>
      </c>
      <c r="R371" t="n">
        <v>0</v>
      </c>
      <c r="S371" t="n">
        <v>0</v>
      </c>
      <c r="T371" t="n">
        <v>0</v>
      </c>
      <c r="U371" s="2" t="inlineStr"/>
    </row>
    <row r="372" ht="15" customHeight="1">
      <c r="A372" t="inlineStr">
        <is>
          <t>A 34805-2024</t>
        </is>
      </c>
      <c r="B372" t="inlineStr">
        <is>
          <t>avverkningsanmälan</t>
        </is>
      </c>
      <c r="C372" t="inlineStr">
        <is>
          <t>Föryngringsavverkning</t>
        </is>
      </c>
      <c r="D372" s="1" t="n">
        <v>45526</v>
      </c>
      <c r="E372" s="1" t="n">
        <v>46217</v>
      </c>
      <c r="F372" t="inlineStr">
        <is>
          <t>UPPSALA LÄN</t>
        </is>
      </c>
      <c r="G372" t="inlineStr">
        <is>
          <t>ENKÖPING</t>
        </is>
      </c>
      <c r="I372" t="n">
        <v>3.6</v>
      </c>
      <c r="J372" t="n">
        <v>0</v>
      </c>
      <c r="K372" t="n">
        <v>0</v>
      </c>
      <c r="L372" t="n">
        <v>0</v>
      </c>
      <c r="M372" t="n">
        <v>0</v>
      </c>
      <c r="N372" t="n">
        <v>0</v>
      </c>
      <c r="O372" t="n">
        <v>0</v>
      </c>
      <c r="P372" t="n">
        <v>0</v>
      </c>
      <c r="Q372" t="n">
        <v>0</v>
      </c>
      <c r="R372" t="n">
        <v>0</v>
      </c>
      <c r="S372" t="n">
        <v>0</v>
      </c>
      <c r="T372" t="n">
        <v>0</v>
      </c>
      <c r="U372" s="2" t="inlineStr"/>
    </row>
    <row r="373" ht="15" customHeight="1">
      <c r="A373" t="inlineStr">
        <is>
          <t>A 314-2025</t>
        </is>
      </c>
      <c r="B373" t="inlineStr">
        <is>
          <t>avverkningsanmälan</t>
        </is>
      </c>
      <c r="C373" t="inlineStr">
        <is>
          <t>Föryngringsavverkning</t>
        </is>
      </c>
      <c r="D373" s="1" t="n">
        <v>45656</v>
      </c>
      <c r="E373" s="1" t="n">
        <v>46217</v>
      </c>
      <c r="F373" t="inlineStr">
        <is>
          <t>UPPSALA LÄN</t>
        </is>
      </c>
      <c r="G373" t="inlineStr">
        <is>
          <t>ENKÖPING</t>
        </is>
      </c>
      <c r="I373" t="n">
        <v>9</v>
      </c>
      <c r="J373" t="n">
        <v>0</v>
      </c>
      <c r="K373" t="n">
        <v>0</v>
      </c>
      <c r="L373" t="n">
        <v>0</v>
      </c>
      <c r="M373" t="n">
        <v>0</v>
      </c>
      <c r="N373" t="n">
        <v>0</v>
      </c>
      <c r="O373" t="n">
        <v>0</v>
      </c>
      <c r="P373" t="n">
        <v>0</v>
      </c>
      <c r="Q373" t="n">
        <v>0</v>
      </c>
      <c r="R373" t="n">
        <v>0</v>
      </c>
      <c r="S373" t="n">
        <v>0</v>
      </c>
      <c r="T373" t="n">
        <v>0</v>
      </c>
      <c r="U373" s="2" t="inlineStr"/>
    </row>
    <row r="374" ht="15" customHeight="1">
      <c r="A374" t="inlineStr">
        <is>
          <t>A 5712-2025</t>
        </is>
      </c>
      <c r="B374" t="inlineStr">
        <is>
          <t>avverkningsanmälan</t>
        </is>
      </c>
      <c r="C374" t="inlineStr">
        <is>
          <t>Föryngringsavverkning</t>
        </is>
      </c>
      <c r="D374" s="1" t="n">
        <v>45694</v>
      </c>
      <c r="E374" s="1" t="n">
        <v>46217</v>
      </c>
      <c r="F374" t="inlineStr">
        <is>
          <t>UPPSALA LÄN</t>
        </is>
      </c>
      <c r="G374" t="inlineStr">
        <is>
          <t>ENKÖPING</t>
        </is>
      </c>
      <c r="I374" t="n">
        <v>5.1</v>
      </c>
      <c r="J374" t="n">
        <v>0</v>
      </c>
      <c r="K374" t="n">
        <v>0</v>
      </c>
      <c r="L374" t="n">
        <v>0</v>
      </c>
      <c r="M374" t="n">
        <v>0</v>
      </c>
      <c r="N374" t="n">
        <v>0</v>
      </c>
      <c r="O374" t="n">
        <v>0</v>
      </c>
      <c r="P374" t="n">
        <v>0</v>
      </c>
      <c r="Q374" t="n">
        <v>0</v>
      </c>
      <c r="R374" t="n">
        <v>0</v>
      </c>
      <c r="S374" t="n">
        <v>0</v>
      </c>
      <c r="T374" t="n">
        <v>0</v>
      </c>
      <c r="U374" s="2" t="inlineStr"/>
    </row>
    <row r="375" ht="15" customHeight="1">
      <c r="A375" t="inlineStr">
        <is>
          <t>A 45956-2024</t>
        </is>
      </c>
      <c r="B375" t="inlineStr">
        <is>
          <t>avverkningsanmälan</t>
        </is>
      </c>
      <c r="C375" t="inlineStr">
        <is>
          <t>Föryngringsavverkning</t>
        </is>
      </c>
      <c r="D375" s="1" t="n">
        <v>45580</v>
      </c>
      <c r="E375" s="1" t="n">
        <v>46217</v>
      </c>
      <c r="F375" t="inlineStr">
        <is>
          <t>UPPSALA LÄN</t>
        </is>
      </c>
      <c r="G375" t="inlineStr">
        <is>
          <t>ENKÖPING</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11627-2025</t>
        </is>
      </c>
      <c r="B376" t="inlineStr">
        <is>
          <t>avverkningsanmälan</t>
        </is>
      </c>
      <c r="C376" t="inlineStr">
        <is>
          <t>Föryngringsavverkning</t>
        </is>
      </c>
      <c r="D376" s="1" t="n">
        <v>45727</v>
      </c>
      <c r="E376" s="1" t="n">
        <v>46217</v>
      </c>
      <c r="F376" t="inlineStr">
        <is>
          <t>UPPSALA LÄN</t>
        </is>
      </c>
      <c r="G376" t="inlineStr">
        <is>
          <t>ENKÖPING</t>
        </is>
      </c>
      <c r="I376" t="n">
        <v>5.5</v>
      </c>
      <c r="J376" t="n">
        <v>0</v>
      </c>
      <c r="K376" t="n">
        <v>0</v>
      </c>
      <c r="L376" t="n">
        <v>0</v>
      </c>
      <c r="M376" t="n">
        <v>0</v>
      </c>
      <c r="N376" t="n">
        <v>0</v>
      </c>
      <c r="O376" t="n">
        <v>0</v>
      </c>
      <c r="P376" t="n">
        <v>0</v>
      </c>
      <c r="Q376" t="n">
        <v>0</v>
      </c>
      <c r="R376" t="n">
        <v>0</v>
      </c>
      <c r="S376" t="n">
        <v>0</v>
      </c>
      <c r="T376" t="n">
        <v>0</v>
      </c>
      <c r="U376" s="2" t="inlineStr"/>
    </row>
    <row r="377" ht="15" customHeight="1">
      <c r="A377" t="inlineStr">
        <is>
          <t>A 74090-2021</t>
        </is>
      </c>
      <c r="B377" t="inlineStr">
        <is>
          <t>avverkningsanmälan</t>
        </is>
      </c>
      <c r="C377" t="inlineStr">
        <is>
          <t>Föryngringsavverkning</t>
        </is>
      </c>
      <c r="D377" s="1" t="n">
        <v>44557</v>
      </c>
      <c r="E377" s="1" t="n">
        <v>46217</v>
      </c>
      <c r="F377" t="inlineStr">
        <is>
          <t>UPPSALA LÄN</t>
        </is>
      </c>
      <c r="G377" t="inlineStr">
        <is>
          <t>ENKÖPING</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58092-2024</t>
        </is>
      </c>
      <c r="B378" t="inlineStr">
        <is>
          <t>avverkningsanmälan</t>
        </is>
      </c>
      <c r="C378" t="inlineStr">
        <is>
          <t>Avverkning för annat ändamål</t>
        </is>
      </c>
      <c r="D378" s="1" t="n">
        <v>45632</v>
      </c>
      <c r="E378" s="1" t="n">
        <v>46217</v>
      </c>
      <c r="F378" t="inlineStr">
        <is>
          <t>UPPSALA LÄN</t>
        </is>
      </c>
      <c r="G378" t="inlineStr">
        <is>
          <t>ENKÖPING</t>
        </is>
      </c>
      <c r="I378" t="n">
        <v>4.8</v>
      </c>
      <c r="J378" t="n">
        <v>0</v>
      </c>
      <c r="K378" t="n">
        <v>0</v>
      </c>
      <c r="L378" t="n">
        <v>0</v>
      </c>
      <c r="M378" t="n">
        <v>0</v>
      </c>
      <c r="N378" t="n">
        <v>0</v>
      </c>
      <c r="O378" t="n">
        <v>0</v>
      </c>
      <c r="P378" t="n">
        <v>0</v>
      </c>
      <c r="Q378" t="n">
        <v>0</v>
      </c>
      <c r="R378" t="n">
        <v>0</v>
      </c>
      <c r="S378" t="n">
        <v>0</v>
      </c>
      <c r="T378" t="n">
        <v>0</v>
      </c>
      <c r="U378" s="2" t="inlineStr"/>
    </row>
    <row r="379" ht="15" customHeight="1">
      <c r="A379" t="inlineStr">
        <is>
          <t>A 24411-2024</t>
        </is>
      </c>
      <c r="B379" t="inlineStr">
        <is>
          <t>avverkningsanmälan</t>
        </is>
      </c>
      <c r="C379" t="inlineStr">
        <is>
          <t>Föryngringsavverkning</t>
        </is>
      </c>
      <c r="D379" s="1" t="n">
        <v>45457</v>
      </c>
      <c r="E379" s="1" t="n">
        <v>46217</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25988-2025</t>
        </is>
      </c>
      <c r="B380" t="inlineStr">
        <is>
          <t>avverkningsanmälan</t>
        </is>
      </c>
      <c r="C380" t="inlineStr">
        <is>
          <t>Föryngringsavverkning</t>
        </is>
      </c>
      <c r="D380" s="1" t="n">
        <v>45804</v>
      </c>
      <c r="E380" s="1" t="n">
        <v>46217</v>
      </c>
      <c r="F380" t="inlineStr">
        <is>
          <t>UPPSALA LÄN</t>
        </is>
      </c>
      <c r="G380" t="inlineStr">
        <is>
          <t>ENKÖPING</t>
        </is>
      </c>
      <c r="I380" t="n">
        <v>4.7</v>
      </c>
      <c r="J380" t="n">
        <v>0</v>
      </c>
      <c r="K380" t="n">
        <v>0</v>
      </c>
      <c r="L380" t="n">
        <v>0</v>
      </c>
      <c r="M380" t="n">
        <v>0</v>
      </c>
      <c r="N380" t="n">
        <v>0</v>
      </c>
      <c r="O380" t="n">
        <v>0</v>
      </c>
      <c r="P380" t="n">
        <v>0</v>
      </c>
      <c r="Q380" t="n">
        <v>0</v>
      </c>
      <c r="R380" t="n">
        <v>0</v>
      </c>
      <c r="S380" t="n">
        <v>0</v>
      </c>
      <c r="T380" t="n">
        <v>0</v>
      </c>
      <c r="U380" s="2" t="inlineStr"/>
    </row>
    <row r="381" ht="15" customHeight="1">
      <c r="A381" t="inlineStr">
        <is>
          <t>A 26030-2025</t>
        </is>
      </c>
      <c r="B381" t="inlineStr">
        <is>
          <t>avverkningsanmälan</t>
        </is>
      </c>
      <c r="C381" t="inlineStr">
        <is>
          <t>Föryngringsavverkning</t>
        </is>
      </c>
      <c r="D381" s="1" t="n">
        <v>45804</v>
      </c>
      <c r="E381" s="1" t="n">
        <v>46217</v>
      </c>
      <c r="F381" t="inlineStr">
        <is>
          <t>UPPSALA LÄN</t>
        </is>
      </c>
      <c r="G381" t="inlineStr">
        <is>
          <t>ENKÖPING</t>
        </is>
      </c>
      <c r="I381" t="n">
        <v>0.3</v>
      </c>
      <c r="J381" t="n">
        <v>0</v>
      </c>
      <c r="K381" t="n">
        <v>0</v>
      </c>
      <c r="L381" t="n">
        <v>0</v>
      </c>
      <c r="M381" t="n">
        <v>0</v>
      </c>
      <c r="N381" t="n">
        <v>0</v>
      </c>
      <c r="O381" t="n">
        <v>0</v>
      </c>
      <c r="P381" t="n">
        <v>0</v>
      </c>
      <c r="Q381" t="n">
        <v>0</v>
      </c>
      <c r="R381" t="n">
        <v>0</v>
      </c>
      <c r="S381" t="n">
        <v>0</v>
      </c>
      <c r="T381" t="n">
        <v>0</v>
      </c>
      <c r="U381" s="2" t="inlineStr"/>
    </row>
    <row r="382" ht="15" customHeight="1">
      <c r="A382" t="inlineStr">
        <is>
          <t>A 26005-2025</t>
        </is>
      </c>
      <c r="B382" t="inlineStr">
        <is>
          <t>avverkningsanmälan</t>
        </is>
      </c>
      <c r="C382" t="inlineStr">
        <is>
          <t>Föryngringsavverkning</t>
        </is>
      </c>
      <c r="D382" s="1" t="n">
        <v>45804</v>
      </c>
      <c r="E382" s="1" t="n">
        <v>46217</v>
      </c>
      <c r="F382" t="inlineStr">
        <is>
          <t>UPPSALA LÄN</t>
        </is>
      </c>
      <c r="G382" t="inlineStr">
        <is>
          <t>ENKÖPING</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35067-2024</t>
        </is>
      </c>
      <c r="B383" t="inlineStr">
        <is>
          <t>avverkningsanmälan</t>
        </is>
      </c>
      <c r="C383" t="inlineStr">
        <is>
          <t>Föryngringsavverkning</t>
        </is>
      </c>
      <c r="D383" s="1" t="n">
        <v>45527</v>
      </c>
      <c r="E383" s="1" t="n">
        <v>46217</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28855-2025</t>
        </is>
      </c>
      <c r="B384" t="inlineStr">
        <is>
          <t>avverkningsanmälan</t>
        </is>
      </c>
      <c r="C384" t="inlineStr">
        <is>
          <t>Föryngringsavverkning</t>
        </is>
      </c>
      <c r="D384" s="1" t="n">
        <v>45820</v>
      </c>
      <c r="E384" s="1" t="n">
        <v>46217</v>
      </c>
      <c r="F384" t="inlineStr">
        <is>
          <t>UPPSALA LÄN</t>
        </is>
      </c>
      <c r="G384" t="inlineStr">
        <is>
          <t>ENKÖPING</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39009-2024</t>
        </is>
      </c>
      <c r="B385" t="inlineStr">
        <is>
          <t>avverkningsanmälan</t>
        </is>
      </c>
      <c r="C385" t="inlineStr">
        <is>
          <t>Föryngringsavverkning</t>
        </is>
      </c>
      <c r="D385" s="1" t="n">
        <v>45548</v>
      </c>
      <c r="E385" s="1" t="n">
        <v>46217</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8537-2025</t>
        </is>
      </c>
      <c r="B386" t="inlineStr">
        <is>
          <t>avverkningsanmälan</t>
        </is>
      </c>
      <c r="C386" t="inlineStr">
        <is>
          <t>Föryngringsavverkning</t>
        </is>
      </c>
      <c r="D386" s="1" t="n">
        <v>45709</v>
      </c>
      <c r="E386" s="1" t="n">
        <v>46217</v>
      </c>
      <c r="F386" t="inlineStr">
        <is>
          <t>UPPSALA LÄN</t>
        </is>
      </c>
      <c r="G386" t="inlineStr">
        <is>
          <t>ENKÖPING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30837-2025</t>
        </is>
      </c>
      <c r="B387" t="inlineStr">
        <is>
          <t>avverkningsanmälan</t>
        </is>
      </c>
      <c r="C387" t="inlineStr">
        <is>
          <t>Föryngringsavverkning</t>
        </is>
      </c>
      <c r="D387" s="1" t="n">
        <v>45831</v>
      </c>
      <c r="E387" s="1" t="n">
        <v>46217</v>
      </c>
      <c r="F387" t="inlineStr">
        <is>
          <t>UPPSALA LÄN</t>
        </is>
      </c>
      <c r="G387" t="inlineStr">
        <is>
          <t>ENKÖPING</t>
        </is>
      </c>
      <c r="I387" t="n">
        <v>3.8</v>
      </c>
      <c r="J387" t="n">
        <v>0</v>
      </c>
      <c r="K387" t="n">
        <v>0</v>
      </c>
      <c r="L387" t="n">
        <v>0</v>
      </c>
      <c r="M387" t="n">
        <v>0</v>
      </c>
      <c r="N387" t="n">
        <v>0</v>
      </c>
      <c r="O387" t="n">
        <v>0</v>
      </c>
      <c r="P387" t="n">
        <v>0</v>
      </c>
      <c r="Q387" t="n">
        <v>0</v>
      </c>
      <c r="R387" t="n">
        <v>0</v>
      </c>
      <c r="S387" t="n">
        <v>0</v>
      </c>
      <c r="T387" t="n">
        <v>0</v>
      </c>
      <c r="U387" s="2" t="inlineStr"/>
    </row>
    <row r="388" ht="15" customHeight="1">
      <c r="A388" t="inlineStr">
        <is>
          <t>A 32111-2025</t>
        </is>
      </c>
      <c r="B388" t="inlineStr">
        <is>
          <t>avverkningsanmälan</t>
        </is>
      </c>
      <c r="C388" t="inlineStr">
        <is>
          <t>Föryngringsavverkning</t>
        </is>
      </c>
      <c r="D388" s="1" t="n">
        <v>45835</v>
      </c>
      <c r="E388" s="1" t="n">
        <v>46217</v>
      </c>
      <c r="F388" t="inlineStr">
        <is>
          <t>UPPSALA LÄN</t>
        </is>
      </c>
      <c r="G388" t="inlineStr">
        <is>
          <t>ENKÖPING</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15740-2025</t>
        </is>
      </c>
      <c r="B389" t="inlineStr">
        <is>
          <t>avverkningsanmälan</t>
        </is>
      </c>
      <c r="C389" t="inlineStr">
        <is>
          <t>Föryngringsavverkning</t>
        </is>
      </c>
      <c r="D389" s="1" t="n">
        <v>45748</v>
      </c>
      <c r="E389" s="1" t="n">
        <v>46217</v>
      </c>
      <c r="F389" t="inlineStr">
        <is>
          <t>UPPSALA LÄN</t>
        </is>
      </c>
      <c r="G389" t="inlineStr">
        <is>
          <t>ENKÖPING</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57848-2024</t>
        </is>
      </c>
      <c r="B390" t="inlineStr">
        <is>
          <t>avverkningsanmälan</t>
        </is>
      </c>
      <c r="C390" t="inlineStr">
        <is>
          <t>Föryngringsavverkning</t>
        </is>
      </c>
      <c r="D390" s="1" t="n">
        <v>45631</v>
      </c>
      <c r="E390" s="1" t="n">
        <v>46217</v>
      </c>
      <c r="F390" t="inlineStr">
        <is>
          <t>UPPSALA LÄN</t>
        </is>
      </c>
      <c r="G390" t="inlineStr">
        <is>
          <t>ENKÖPING</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18994-2025</t>
        </is>
      </c>
      <c r="B391" t="inlineStr">
        <is>
          <t>avverkningsanmälan</t>
        </is>
      </c>
      <c r="C391" t="inlineStr">
        <is>
          <t>Föryngringsavverkning</t>
        </is>
      </c>
      <c r="D391" s="1" t="n">
        <v>45764</v>
      </c>
      <c r="E391" s="1" t="n">
        <v>46217</v>
      </c>
      <c r="F391" t="inlineStr">
        <is>
          <t>UPPSALA LÄN</t>
        </is>
      </c>
      <c r="G391" t="inlineStr">
        <is>
          <t>ENKÖPING</t>
        </is>
      </c>
      <c r="I391" t="n">
        <v>3.8</v>
      </c>
      <c r="J391" t="n">
        <v>0</v>
      </c>
      <c r="K391" t="n">
        <v>0</v>
      </c>
      <c r="L391" t="n">
        <v>0</v>
      </c>
      <c r="M391" t="n">
        <v>0</v>
      </c>
      <c r="N391" t="n">
        <v>0</v>
      </c>
      <c r="O391" t="n">
        <v>0</v>
      </c>
      <c r="P391" t="n">
        <v>0</v>
      </c>
      <c r="Q391" t="n">
        <v>0</v>
      </c>
      <c r="R391" t="n">
        <v>0</v>
      </c>
      <c r="S391" t="n">
        <v>0</v>
      </c>
      <c r="T391" t="n">
        <v>0</v>
      </c>
      <c r="U391" s="2" t="inlineStr"/>
    </row>
    <row r="392" ht="15" customHeight="1">
      <c r="A392" t="inlineStr">
        <is>
          <t>A 49601-2024</t>
        </is>
      </c>
      <c r="B392" t="inlineStr">
        <is>
          <t>avverkningsanmälan</t>
        </is>
      </c>
      <c r="C392" t="inlineStr">
        <is>
          <t>Föryngringsavverkning</t>
        </is>
      </c>
      <c r="D392" s="1" t="n">
        <v>45596</v>
      </c>
      <c r="E392" s="1" t="n">
        <v>46217</v>
      </c>
      <c r="F392" t="inlineStr">
        <is>
          <t>UPPSALA LÄN</t>
        </is>
      </c>
      <c r="G392" t="inlineStr">
        <is>
          <t>ENKÖPING</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17844-2025</t>
        </is>
      </c>
      <c r="B393" t="inlineStr">
        <is>
          <t>avverkningsanmälan</t>
        </is>
      </c>
      <c r="C393" t="inlineStr">
        <is>
          <t>Föryngringsavverkning</t>
        </is>
      </c>
      <c r="D393" s="1" t="n">
        <v>45758</v>
      </c>
      <c r="E393" s="1" t="n">
        <v>46217</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21501-2025</t>
        </is>
      </c>
      <c r="B394" t="inlineStr">
        <is>
          <t>avverkningsanmälan</t>
        </is>
      </c>
      <c r="C394" t="inlineStr">
        <is>
          <t>Föryngringsavverkning</t>
        </is>
      </c>
      <c r="D394" s="1" t="n">
        <v>45782</v>
      </c>
      <c r="E394" s="1" t="n">
        <v>46217</v>
      </c>
      <c r="F394" t="inlineStr">
        <is>
          <t>UPPSALA LÄN</t>
        </is>
      </c>
      <c r="G394" t="inlineStr">
        <is>
          <t>ENKÖPING</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36350-2025</t>
        </is>
      </c>
      <c r="B395" t="inlineStr">
        <is>
          <t>avverkningsanmälan</t>
        </is>
      </c>
      <c r="C395" t="inlineStr">
        <is>
          <t>Föryngringsavverkning</t>
        </is>
      </c>
      <c r="D395" s="1" t="n">
        <v>45868</v>
      </c>
      <c r="E395" s="1" t="n">
        <v>46217</v>
      </c>
      <c r="F395" t="inlineStr">
        <is>
          <t>UPPSALA LÄN</t>
        </is>
      </c>
      <c r="G395" t="inlineStr">
        <is>
          <t>ENKÖPING</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S 5780-2021</t>
        </is>
      </c>
      <c r="B396" t="inlineStr">
        <is>
          <t>samrådsanmälan</t>
        </is>
      </c>
      <c r="C396" t="inlineStr">
        <is>
          <t>Basväg</t>
        </is>
      </c>
      <c r="D396" s="1" t="n">
        <v>44438</v>
      </c>
      <c r="E396" s="1" t="n">
        <v>46217</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s="2" t="inlineStr"/>
    </row>
    <row r="397" ht="15" customHeight="1">
      <c r="A397" t="inlineStr">
        <is>
          <t>S 335-2025</t>
        </is>
      </c>
      <c r="B397" t="inlineStr">
        <is>
          <t>samrådsanmälan</t>
        </is>
      </c>
      <c r="C397" t="inlineStr">
        <is>
          <t>Annan skogsbruksåtgärd</t>
        </is>
      </c>
      <c r="D397" s="1" t="n">
        <v>45692</v>
      </c>
      <c r="E397" s="1" t="n">
        <v>46217</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s="2" t="inlineStr"/>
    </row>
    <row r="398">
      <c r="A398" t="inlineStr">
        <is>
          <t>S 6474-2021</t>
        </is>
      </c>
      <c r="B398" t="inlineStr">
        <is>
          <t>samrådsanmälan</t>
        </is>
      </c>
      <c r="C398" t="inlineStr">
        <is>
          <t>Åtgärd i nyckelbiotop</t>
        </is>
      </c>
      <c r="D398" s="1" t="n">
        <v>44451</v>
      </c>
      <c r="E398" s="1" t="n">
        <v>46217</v>
      </c>
      <c r="F398" t="inlineStr">
        <is>
          <t>UPPSALA LÄN</t>
        </is>
      </c>
      <c r="G398" t="inlineStr">
        <is>
          <t>ENKÖPING</t>
        </is>
      </c>
      <c r="I398" t="n">
        <v>0.9</v>
      </c>
      <c r="J398" t="n">
        <v>0</v>
      </c>
      <c r="K398" t="n">
        <v>0</v>
      </c>
      <c r="L398" t="n">
        <v>0</v>
      </c>
      <c r="M398" t="n">
        <v>0</v>
      </c>
      <c r="N398" t="n">
        <v>0</v>
      </c>
      <c r="O398" t="n">
        <v>0</v>
      </c>
      <c r="P398" t="n">
        <v>0</v>
      </c>
      <c r="Q398" t="n">
        <v>0</v>
      </c>
      <c r="R398" t="n">
        <v>0</v>
      </c>
      <c r="S398" t="n">
        <v>0</v>
      </c>
      <c r="T398" t="n">
        <v>0</v>
      </c>
      <c r="U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2026-07-14T09:00:53Z</dcterms:created>
  <dcterms:modified xmlns:dcterms="http://purl.org/dc/terms/" xmlns:xsi="http://www.w3.org/2001/XMLSchema-instance" xsi:type="dcterms:W3CDTF">2026-07-14T09:00:53Z</dcterms:modified>
</cp:coreProperties>
</file>