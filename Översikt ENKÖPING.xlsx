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46129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46129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46129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46129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46129</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46129</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46129</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46129</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46129</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46129</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46129</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46129</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50105-2023</t>
        </is>
      </c>
      <c r="B14" s="1" t="n">
        <v>45215</v>
      </c>
      <c r="C14" s="1" t="n">
        <v>46129</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9147-2026</t>
        </is>
      </c>
      <c r="B15" s="1" t="n">
        <v>46070.30649305556</v>
      </c>
      <c r="C15" s="1" t="n">
        <v>46129</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425-2024</t>
        </is>
      </c>
      <c r="B16" s="1" t="n">
        <v>45296</v>
      </c>
      <c r="C16" s="1" t="n">
        <v>46129</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46129</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36523-2021</t>
        </is>
      </c>
      <c r="B18" s="1" t="n">
        <v>44391</v>
      </c>
      <c r="C18" s="1" t="n">
        <v>46129</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46129</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46129</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17942-2024</t>
        </is>
      </c>
      <c r="B21" s="1" t="n">
        <v>45419</v>
      </c>
      <c r="C21" s="1" t="n">
        <v>46129</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26347-2025</t>
        </is>
      </c>
      <c r="B22" s="1" t="n">
        <v>45805.7403125</v>
      </c>
      <c r="C22" s="1" t="n">
        <v>46129</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46129</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29510-2025</t>
        </is>
      </c>
      <c r="B24" s="1" t="n">
        <v>45825</v>
      </c>
      <c r="C24" s="1" t="n">
        <v>46129</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1524-2023</t>
        </is>
      </c>
      <c r="B25" s="1" t="n">
        <v>44935</v>
      </c>
      <c r="C25" s="1" t="n">
        <v>46129</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52439-2025</t>
        </is>
      </c>
      <c r="B26" s="1" t="n">
        <v>45954.40697916667</v>
      </c>
      <c r="C26" s="1" t="n">
        <v>46129</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4166-2026</t>
        </is>
      </c>
      <c r="B27" s="1" t="n">
        <v>46044.66402777778</v>
      </c>
      <c r="C27" s="1" t="n">
        <v>46129</v>
      </c>
      <c r="D27" t="inlineStr">
        <is>
          <t>UPPSALA LÄN</t>
        </is>
      </c>
      <c r="E27" t="inlineStr">
        <is>
          <t>ENKÖPING</t>
        </is>
      </c>
      <c r="G27" t="n">
        <v>1.7</v>
      </c>
      <c r="H27" t="n">
        <v>1</v>
      </c>
      <c r="I27" t="n">
        <v>0</v>
      </c>
      <c r="J27" t="n">
        <v>1</v>
      </c>
      <c r="K27" t="n">
        <v>0</v>
      </c>
      <c r="L27" t="n">
        <v>0</v>
      </c>
      <c r="M27" t="n">
        <v>0</v>
      </c>
      <c r="N27" t="n">
        <v>0</v>
      </c>
      <c r="O27" t="n">
        <v>1</v>
      </c>
      <c r="P27" t="n">
        <v>0</v>
      </c>
      <c r="Q27" t="n">
        <v>1</v>
      </c>
      <c r="R27" s="2" t="inlineStr">
        <is>
          <t>Gulsparv</t>
        </is>
      </c>
      <c r="S27">
        <f>HYPERLINK("https://klasma.github.io/Logging_0381/artfynd/A 4166-2026 artfynd.xlsx", "A 4166-2026")</f>
        <v/>
      </c>
      <c r="T27">
        <f>HYPERLINK("https://klasma.github.io/Logging_0381/kartor/A 4166-2026 karta.png", "A 4166-2026")</f>
        <v/>
      </c>
      <c r="V27">
        <f>HYPERLINK("https://klasma.github.io/Logging_0381/klagomål/A 4166-2026 FSC-klagomål.docx", "A 4166-2026")</f>
        <v/>
      </c>
      <c r="W27">
        <f>HYPERLINK("https://klasma.github.io/Logging_0381/klagomålsmail/A 4166-2026 FSC-klagomål mail.docx", "A 4166-2026")</f>
        <v/>
      </c>
      <c r="X27">
        <f>HYPERLINK("https://klasma.github.io/Logging_0381/tillsyn/A 4166-2026 tillsynsbegäran.docx", "A 4166-2026")</f>
        <v/>
      </c>
      <c r="Y27">
        <f>HYPERLINK("https://klasma.github.io/Logging_0381/tillsynsmail/A 4166-2026 tillsynsbegäran mail.docx", "A 4166-2026")</f>
        <v/>
      </c>
      <c r="Z27">
        <f>HYPERLINK("https://klasma.github.io/Logging_0381/fåglar/A 4166-2026 prioriterade fågelarter.docx", "A 4166-2026")</f>
        <v/>
      </c>
    </row>
    <row r="28" ht="15" customHeight="1">
      <c r="A28" t="inlineStr">
        <is>
          <t>A 28900-2024</t>
        </is>
      </c>
      <c r="B28" s="1" t="n">
        <v>45480</v>
      </c>
      <c r="C28" s="1" t="n">
        <v>46129</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46129</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Tallkötticka</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46129</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46129</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46129</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55582-2021</t>
        </is>
      </c>
      <c r="B33" s="1" t="n">
        <v>44475</v>
      </c>
      <c r="C33" s="1" t="n">
        <v>46129</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46129</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46129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46129</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46129</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46129</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46129</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46129</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46129</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46129</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46129</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46129</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46129</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46129</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46129</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46129</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46129</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46129</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46129</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46129</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46129</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46129</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46129</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46129</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46129</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46129</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46129</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46129</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46129</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46129</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46129</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46129</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46129</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46129</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46129</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46129</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46129</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46129</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46129</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46129</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46129</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46129</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46129</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46129</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46129</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20067-2021</t>
        </is>
      </c>
      <c r="B78" s="1" t="n">
        <v>44314</v>
      </c>
      <c r="C78" s="1" t="n">
        <v>46129</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46129</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46129</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46129</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46129</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46129</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19630-2021</t>
        </is>
      </c>
      <c r="B84" s="1" t="n">
        <v>44312.61876157407</v>
      </c>
      <c r="C84" s="1" t="n">
        <v>46129</v>
      </c>
      <c r="D84" t="inlineStr">
        <is>
          <t>UPPSALA LÄN</t>
        </is>
      </c>
      <c r="E84" t="inlineStr">
        <is>
          <t>ENKÖPING</t>
        </is>
      </c>
      <c r="G84" t="n">
        <v>2.7</v>
      </c>
      <c r="H84" t="n">
        <v>0</v>
      </c>
      <c r="I84" t="n">
        <v>0</v>
      </c>
      <c r="J84" t="n">
        <v>0</v>
      </c>
      <c r="K84" t="n">
        <v>0</v>
      </c>
      <c r="L84" t="n">
        <v>0</v>
      </c>
      <c r="M84" t="n">
        <v>0</v>
      </c>
      <c r="N84" t="n">
        <v>0</v>
      </c>
      <c r="O84" t="n">
        <v>0</v>
      </c>
      <c r="P84" t="n">
        <v>0</v>
      </c>
      <c r="Q84" t="n">
        <v>0</v>
      </c>
      <c r="R84" s="2" t="inlineStr"/>
    </row>
    <row r="85" ht="15" customHeight="1">
      <c r="A85" t="inlineStr">
        <is>
          <t>A 24883-2022</t>
        </is>
      </c>
      <c r="B85" s="1" t="n">
        <v>44728</v>
      </c>
      <c r="C85" s="1" t="n">
        <v>46129</v>
      </c>
      <c r="D85" t="inlineStr">
        <is>
          <t>UPPSALA LÄN</t>
        </is>
      </c>
      <c r="E85" t="inlineStr">
        <is>
          <t>ENKÖPING</t>
        </is>
      </c>
      <c r="G85" t="n">
        <v>2.5</v>
      </c>
      <c r="H85" t="n">
        <v>0</v>
      </c>
      <c r="I85" t="n">
        <v>0</v>
      </c>
      <c r="J85" t="n">
        <v>0</v>
      </c>
      <c r="K85" t="n">
        <v>0</v>
      </c>
      <c r="L85" t="n">
        <v>0</v>
      </c>
      <c r="M85" t="n">
        <v>0</v>
      </c>
      <c r="N85" t="n">
        <v>0</v>
      </c>
      <c r="O85" t="n">
        <v>0</v>
      </c>
      <c r="P85" t="n">
        <v>0</v>
      </c>
      <c r="Q85" t="n">
        <v>0</v>
      </c>
      <c r="R85" s="2" t="inlineStr"/>
    </row>
    <row r="86" ht="15" customHeight="1">
      <c r="A86" t="inlineStr">
        <is>
          <t>A 68127-2021</t>
        </is>
      </c>
      <c r="B86" s="1" t="n">
        <v>44526.39513888889</v>
      </c>
      <c r="C86" s="1" t="n">
        <v>46129</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42021-2021</t>
        </is>
      </c>
      <c r="B87" s="1" t="n">
        <v>44426</v>
      </c>
      <c r="C87" s="1" t="n">
        <v>46129</v>
      </c>
      <c r="D87" t="inlineStr">
        <is>
          <t>UPPSALA LÄN</t>
        </is>
      </c>
      <c r="E87" t="inlineStr">
        <is>
          <t>ENKÖPING</t>
        </is>
      </c>
      <c r="G87" t="n">
        <v>2.2</v>
      </c>
      <c r="H87" t="n">
        <v>0</v>
      </c>
      <c r="I87" t="n">
        <v>0</v>
      </c>
      <c r="J87" t="n">
        <v>0</v>
      </c>
      <c r="K87" t="n">
        <v>0</v>
      </c>
      <c r="L87" t="n">
        <v>0</v>
      </c>
      <c r="M87" t="n">
        <v>0</v>
      </c>
      <c r="N87" t="n">
        <v>0</v>
      </c>
      <c r="O87" t="n">
        <v>0</v>
      </c>
      <c r="P87" t="n">
        <v>0</v>
      </c>
      <c r="Q87" t="n">
        <v>0</v>
      </c>
      <c r="R87" s="2" t="inlineStr"/>
    </row>
    <row r="88" ht="15" customHeight="1">
      <c r="A88" t="inlineStr">
        <is>
          <t>A 17467-2022</t>
        </is>
      </c>
      <c r="B88" s="1" t="n">
        <v>44679</v>
      </c>
      <c r="C88" s="1" t="n">
        <v>46129</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59121-2021</t>
        </is>
      </c>
      <c r="B89" s="1" t="n">
        <v>44490</v>
      </c>
      <c r="C89" s="1" t="n">
        <v>46129</v>
      </c>
      <c r="D89" t="inlineStr">
        <is>
          <t>UPPSALA LÄN</t>
        </is>
      </c>
      <c r="E89" t="inlineStr">
        <is>
          <t>ENKÖPING</t>
        </is>
      </c>
      <c r="G89" t="n">
        <v>2.4</v>
      </c>
      <c r="H89" t="n">
        <v>0</v>
      </c>
      <c r="I89" t="n">
        <v>0</v>
      </c>
      <c r="J89" t="n">
        <v>0</v>
      </c>
      <c r="K89" t="n">
        <v>0</v>
      </c>
      <c r="L89" t="n">
        <v>0</v>
      </c>
      <c r="M89" t="n">
        <v>0</v>
      </c>
      <c r="N89" t="n">
        <v>0</v>
      </c>
      <c r="O89" t="n">
        <v>0</v>
      </c>
      <c r="P89" t="n">
        <v>0</v>
      </c>
      <c r="Q89" t="n">
        <v>0</v>
      </c>
      <c r="R89" s="2" t="inlineStr"/>
    </row>
    <row r="90" ht="15" customHeight="1">
      <c r="A90" t="inlineStr">
        <is>
          <t>A 24815-2022</t>
        </is>
      </c>
      <c r="B90" s="1" t="n">
        <v>44728</v>
      </c>
      <c r="C90" s="1" t="n">
        <v>46129</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57078-2021</t>
        </is>
      </c>
      <c r="B91" s="1" t="n">
        <v>44482.57855324074</v>
      </c>
      <c r="C91" s="1" t="n">
        <v>46129</v>
      </c>
      <c r="D91" t="inlineStr">
        <is>
          <t>UPPSALA LÄN</t>
        </is>
      </c>
      <c r="E91" t="inlineStr">
        <is>
          <t>ENKÖPING</t>
        </is>
      </c>
      <c r="G91" t="n">
        <v>3</v>
      </c>
      <c r="H91" t="n">
        <v>0</v>
      </c>
      <c r="I91" t="n">
        <v>0</v>
      </c>
      <c r="J91" t="n">
        <v>0</v>
      </c>
      <c r="K91" t="n">
        <v>0</v>
      </c>
      <c r="L91" t="n">
        <v>0</v>
      </c>
      <c r="M91" t="n">
        <v>0</v>
      </c>
      <c r="N91" t="n">
        <v>0</v>
      </c>
      <c r="O91" t="n">
        <v>0</v>
      </c>
      <c r="P91" t="n">
        <v>0</v>
      </c>
      <c r="Q91" t="n">
        <v>0</v>
      </c>
      <c r="R91" s="2" t="inlineStr"/>
    </row>
    <row r="92" ht="15" customHeight="1">
      <c r="A92" t="inlineStr">
        <is>
          <t>A 29983-2021</t>
        </is>
      </c>
      <c r="B92" s="1" t="n">
        <v>44363</v>
      </c>
      <c r="C92" s="1" t="n">
        <v>46129</v>
      </c>
      <c r="D92" t="inlineStr">
        <is>
          <t>UPPSALA LÄN</t>
        </is>
      </c>
      <c r="E92" t="inlineStr">
        <is>
          <t>ENKÖPING</t>
        </is>
      </c>
      <c r="F92" t="inlineStr">
        <is>
          <t>Kommuner</t>
        </is>
      </c>
      <c r="G92" t="n">
        <v>3.1</v>
      </c>
      <c r="H92" t="n">
        <v>0</v>
      </c>
      <c r="I92" t="n">
        <v>0</v>
      </c>
      <c r="J92" t="n">
        <v>0</v>
      </c>
      <c r="K92" t="n">
        <v>0</v>
      </c>
      <c r="L92" t="n">
        <v>0</v>
      </c>
      <c r="M92" t="n">
        <v>0</v>
      </c>
      <c r="N92" t="n">
        <v>0</v>
      </c>
      <c r="O92" t="n">
        <v>0</v>
      </c>
      <c r="P92" t="n">
        <v>0</v>
      </c>
      <c r="Q92" t="n">
        <v>0</v>
      </c>
      <c r="R92" s="2" t="inlineStr"/>
    </row>
    <row r="93" ht="15" customHeight="1">
      <c r="A93" t="inlineStr">
        <is>
          <t>A 49063-2024</t>
        </is>
      </c>
      <c r="B93" s="1" t="n">
        <v>45594.59869212963</v>
      </c>
      <c r="C93" s="1" t="n">
        <v>46129</v>
      </c>
      <c r="D93" t="inlineStr">
        <is>
          <t>UPPSALA LÄN</t>
        </is>
      </c>
      <c r="E93" t="inlineStr">
        <is>
          <t>ENKÖPING</t>
        </is>
      </c>
      <c r="G93" t="n">
        <v>1.5</v>
      </c>
      <c r="H93" t="n">
        <v>0</v>
      </c>
      <c r="I93" t="n">
        <v>0</v>
      </c>
      <c r="J93" t="n">
        <v>0</v>
      </c>
      <c r="K93" t="n">
        <v>0</v>
      </c>
      <c r="L93" t="n">
        <v>0</v>
      </c>
      <c r="M93" t="n">
        <v>0</v>
      </c>
      <c r="N93" t="n">
        <v>0</v>
      </c>
      <c r="O93" t="n">
        <v>0</v>
      </c>
      <c r="P93" t="n">
        <v>0</v>
      </c>
      <c r="Q93" t="n">
        <v>0</v>
      </c>
      <c r="R93" s="2" t="inlineStr"/>
    </row>
    <row r="94" ht="15" customHeight="1">
      <c r="A94" t="inlineStr">
        <is>
          <t>A 50747-2022</t>
        </is>
      </c>
      <c r="B94" s="1" t="n">
        <v>44867.40162037037</v>
      </c>
      <c r="C94" s="1" t="n">
        <v>46129</v>
      </c>
      <c r="D94" t="inlineStr">
        <is>
          <t>UPPSALA LÄN</t>
        </is>
      </c>
      <c r="E94" t="inlineStr">
        <is>
          <t>ENKÖPING</t>
        </is>
      </c>
      <c r="G94" t="n">
        <v>1.5</v>
      </c>
      <c r="H94" t="n">
        <v>0</v>
      </c>
      <c r="I94" t="n">
        <v>0</v>
      </c>
      <c r="J94" t="n">
        <v>0</v>
      </c>
      <c r="K94" t="n">
        <v>0</v>
      </c>
      <c r="L94" t="n">
        <v>0</v>
      </c>
      <c r="M94" t="n">
        <v>0</v>
      </c>
      <c r="N94" t="n">
        <v>0</v>
      </c>
      <c r="O94" t="n">
        <v>0</v>
      </c>
      <c r="P94" t="n">
        <v>0</v>
      </c>
      <c r="Q94" t="n">
        <v>0</v>
      </c>
      <c r="R94" s="2" t="inlineStr"/>
    </row>
    <row r="95" ht="15" customHeight="1">
      <c r="A95" t="inlineStr">
        <is>
          <t>A 13853-2023</t>
        </is>
      </c>
      <c r="B95" s="1" t="n">
        <v>45007</v>
      </c>
      <c r="C95" s="1" t="n">
        <v>46129</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17657-2025</t>
        </is>
      </c>
      <c r="B96" s="1" t="n">
        <v>45758.35006944444</v>
      </c>
      <c r="C96" s="1" t="n">
        <v>46129</v>
      </c>
      <c r="D96" t="inlineStr">
        <is>
          <t>UPPSALA LÄN</t>
        </is>
      </c>
      <c r="E96" t="inlineStr">
        <is>
          <t>ENKÖPING</t>
        </is>
      </c>
      <c r="G96" t="n">
        <v>3</v>
      </c>
      <c r="H96" t="n">
        <v>0</v>
      </c>
      <c r="I96" t="n">
        <v>0</v>
      </c>
      <c r="J96" t="n">
        <v>0</v>
      </c>
      <c r="K96" t="n">
        <v>0</v>
      </c>
      <c r="L96" t="n">
        <v>0</v>
      </c>
      <c r="M96" t="n">
        <v>0</v>
      </c>
      <c r="N96" t="n">
        <v>0</v>
      </c>
      <c r="O96" t="n">
        <v>0</v>
      </c>
      <c r="P96" t="n">
        <v>0</v>
      </c>
      <c r="Q96" t="n">
        <v>0</v>
      </c>
      <c r="R96" s="2" t="inlineStr"/>
    </row>
    <row r="97" ht="15" customHeight="1">
      <c r="A97" t="inlineStr">
        <is>
          <t>A 47681-2024</t>
        </is>
      </c>
      <c r="B97" s="1" t="n">
        <v>45588</v>
      </c>
      <c r="C97" s="1" t="n">
        <v>46129</v>
      </c>
      <c r="D97" t="inlineStr">
        <is>
          <t>UPPSALA LÄN</t>
        </is>
      </c>
      <c r="E97" t="inlineStr">
        <is>
          <t>ENKÖPING</t>
        </is>
      </c>
      <c r="G97" t="n">
        <v>4.2</v>
      </c>
      <c r="H97" t="n">
        <v>0</v>
      </c>
      <c r="I97" t="n">
        <v>0</v>
      </c>
      <c r="J97" t="n">
        <v>0</v>
      </c>
      <c r="K97" t="n">
        <v>0</v>
      </c>
      <c r="L97" t="n">
        <v>0</v>
      </c>
      <c r="M97" t="n">
        <v>0</v>
      </c>
      <c r="N97" t="n">
        <v>0</v>
      </c>
      <c r="O97" t="n">
        <v>0</v>
      </c>
      <c r="P97" t="n">
        <v>0</v>
      </c>
      <c r="Q97" t="n">
        <v>0</v>
      </c>
      <c r="R97" s="2" t="inlineStr"/>
    </row>
    <row r="98" ht="15" customHeight="1">
      <c r="A98" t="inlineStr">
        <is>
          <t>A 49568-2022</t>
        </is>
      </c>
      <c r="B98" s="1" t="n">
        <v>44862.32791666667</v>
      </c>
      <c r="C98" s="1" t="n">
        <v>46129</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53496-2022</t>
        </is>
      </c>
      <c r="B99" s="1" t="n">
        <v>44879.57217592592</v>
      </c>
      <c r="C99" s="1" t="n">
        <v>46129</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27786-2023</t>
        </is>
      </c>
      <c r="B100" s="1" t="n">
        <v>45098</v>
      </c>
      <c r="C100" s="1" t="n">
        <v>46129</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15942-2022</t>
        </is>
      </c>
      <c r="B101" s="1" t="n">
        <v>44664</v>
      </c>
      <c r="C101" s="1" t="n">
        <v>46129</v>
      </c>
      <c r="D101" t="inlineStr">
        <is>
          <t>UPPSALA LÄN</t>
        </is>
      </c>
      <c r="E101" t="inlineStr">
        <is>
          <t>ENKÖPING</t>
        </is>
      </c>
      <c r="G101" t="n">
        <v>6.6</v>
      </c>
      <c r="H101" t="n">
        <v>0</v>
      </c>
      <c r="I101" t="n">
        <v>0</v>
      </c>
      <c r="J101" t="n">
        <v>0</v>
      </c>
      <c r="K101" t="n">
        <v>0</v>
      </c>
      <c r="L101" t="n">
        <v>0</v>
      </c>
      <c r="M101" t="n">
        <v>0</v>
      </c>
      <c r="N101" t="n">
        <v>0</v>
      </c>
      <c r="O101" t="n">
        <v>0</v>
      </c>
      <c r="P101" t="n">
        <v>0</v>
      </c>
      <c r="Q101" t="n">
        <v>0</v>
      </c>
      <c r="R101" s="2" t="inlineStr"/>
    </row>
    <row r="102" ht="15" customHeight="1">
      <c r="A102" t="inlineStr">
        <is>
          <t>A 2974-2025</t>
        </is>
      </c>
      <c r="B102" s="1" t="n">
        <v>45678.47168981482</v>
      </c>
      <c r="C102" s="1" t="n">
        <v>46129</v>
      </c>
      <c r="D102" t="inlineStr">
        <is>
          <t>UPPSALA LÄN</t>
        </is>
      </c>
      <c r="E102" t="inlineStr">
        <is>
          <t>ENKÖPING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48864-2022</t>
        </is>
      </c>
      <c r="B103" s="1" t="n">
        <v>44859</v>
      </c>
      <c r="C103" s="1" t="n">
        <v>46129</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10468-2025</t>
        </is>
      </c>
      <c r="B104" s="1" t="n">
        <v>45720</v>
      </c>
      <c r="C104" s="1" t="n">
        <v>46129</v>
      </c>
      <c r="D104" t="inlineStr">
        <is>
          <t>UPPSALA LÄN</t>
        </is>
      </c>
      <c r="E104" t="inlineStr">
        <is>
          <t>ENKÖPING</t>
        </is>
      </c>
      <c r="G104" t="n">
        <v>1.6</v>
      </c>
      <c r="H104" t="n">
        <v>0</v>
      </c>
      <c r="I104" t="n">
        <v>0</v>
      </c>
      <c r="J104" t="n">
        <v>0</v>
      </c>
      <c r="K104" t="n">
        <v>0</v>
      </c>
      <c r="L104" t="n">
        <v>0</v>
      </c>
      <c r="M104" t="n">
        <v>0</v>
      </c>
      <c r="N104" t="n">
        <v>0</v>
      </c>
      <c r="O104" t="n">
        <v>0</v>
      </c>
      <c r="P104" t="n">
        <v>0</v>
      </c>
      <c r="Q104" t="n">
        <v>0</v>
      </c>
      <c r="R104" s="2" t="inlineStr"/>
    </row>
    <row r="105" ht="15" customHeight="1">
      <c r="A105" t="inlineStr">
        <is>
          <t>A 6242-2025</t>
        </is>
      </c>
      <c r="B105" s="1" t="n">
        <v>45697</v>
      </c>
      <c r="C105" s="1" t="n">
        <v>46129</v>
      </c>
      <c r="D105" t="inlineStr">
        <is>
          <t>UPPSALA LÄN</t>
        </is>
      </c>
      <c r="E105" t="inlineStr">
        <is>
          <t>ENKÖPING</t>
        </is>
      </c>
      <c r="G105" t="n">
        <v>17.9</v>
      </c>
      <c r="H105" t="n">
        <v>0</v>
      </c>
      <c r="I105" t="n">
        <v>0</v>
      </c>
      <c r="J105" t="n">
        <v>0</v>
      </c>
      <c r="K105" t="n">
        <v>0</v>
      </c>
      <c r="L105" t="n">
        <v>0</v>
      </c>
      <c r="M105" t="n">
        <v>0</v>
      </c>
      <c r="N105" t="n">
        <v>0</v>
      </c>
      <c r="O105" t="n">
        <v>0</v>
      </c>
      <c r="P105" t="n">
        <v>0</v>
      </c>
      <c r="Q105" t="n">
        <v>0</v>
      </c>
      <c r="R105" s="2" t="inlineStr"/>
    </row>
    <row r="106" ht="15" customHeight="1">
      <c r="A106" t="inlineStr">
        <is>
          <t>A 42459-2024</t>
        </is>
      </c>
      <c r="B106" s="1" t="n">
        <v>45565</v>
      </c>
      <c r="C106" s="1" t="n">
        <v>46129</v>
      </c>
      <c r="D106" t="inlineStr">
        <is>
          <t>UPPSALA LÄN</t>
        </is>
      </c>
      <c r="E106" t="inlineStr">
        <is>
          <t>ENKÖPING</t>
        </is>
      </c>
      <c r="G106" t="n">
        <v>3.6</v>
      </c>
      <c r="H106" t="n">
        <v>0</v>
      </c>
      <c r="I106" t="n">
        <v>0</v>
      </c>
      <c r="J106" t="n">
        <v>0</v>
      </c>
      <c r="K106" t="n">
        <v>0</v>
      </c>
      <c r="L106" t="n">
        <v>0</v>
      </c>
      <c r="M106" t="n">
        <v>0</v>
      </c>
      <c r="N106" t="n">
        <v>0</v>
      </c>
      <c r="O106" t="n">
        <v>0</v>
      </c>
      <c r="P106" t="n">
        <v>0</v>
      </c>
      <c r="Q106" t="n">
        <v>0</v>
      </c>
      <c r="R106" s="2" t="inlineStr"/>
    </row>
    <row r="107" ht="15" customHeight="1">
      <c r="A107" t="inlineStr">
        <is>
          <t>A 5211-2024</t>
        </is>
      </c>
      <c r="B107" s="1" t="n">
        <v>45330</v>
      </c>
      <c r="C107" s="1" t="n">
        <v>46129</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22156-2025</t>
        </is>
      </c>
      <c r="B108" s="1" t="n">
        <v>45785.57512731481</v>
      </c>
      <c r="C108" s="1" t="n">
        <v>46129</v>
      </c>
      <c r="D108" t="inlineStr">
        <is>
          <t>UPPSALA LÄN</t>
        </is>
      </c>
      <c r="E108" t="inlineStr">
        <is>
          <t>ENKÖPING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22150-2025</t>
        </is>
      </c>
      <c r="B109" s="1" t="n">
        <v>45785.56398148148</v>
      </c>
      <c r="C109" s="1" t="n">
        <v>46129</v>
      </c>
      <c r="D109" t="inlineStr">
        <is>
          <t>UPPSALA LÄN</t>
        </is>
      </c>
      <c r="E109" t="inlineStr">
        <is>
          <t>ENKÖPING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10409-2025</t>
        </is>
      </c>
      <c r="B110" s="1" t="n">
        <v>45720.631875</v>
      </c>
      <c r="C110" s="1" t="n">
        <v>46129</v>
      </c>
      <c r="D110" t="inlineStr">
        <is>
          <t>UPPSALA LÄN</t>
        </is>
      </c>
      <c r="E110" t="inlineStr">
        <is>
          <t>ENKÖPING</t>
        </is>
      </c>
      <c r="G110" t="n">
        <v>2.2</v>
      </c>
      <c r="H110" t="n">
        <v>0</v>
      </c>
      <c r="I110" t="n">
        <v>0</v>
      </c>
      <c r="J110" t="n">
        <v>0</v>
      </c>
      <c r="K110" t="n">
        <v>0</v>
      </c>
      <c r="L110" t="n">
        <v>0</v>
      </c>
      <c r="M110" t="n">
        <v>0</v>
      </c>
      <c r="N110" t="n">
        <v>0</v>
      </c>
      <c r="O110" t="n">
        <v>0</v>
      </c>
      <c r="P110" t="n">
        <v>0</v>
      </c>
      <c r="Q110" t="n">
        <v>0</v>
      </c>
      <c r="R110" s="2" t="inlineStr"/>
    </row>
    <row r="111" ht="15" customHeight="1">
      <c r="A111" t="inlineStr">
        <is>
          <t>A 18299-2025</t>
        </is>
      </c>
      <c r="B111" s="1" t="n">
        <v>45762</v>
      </c>
      <c r="C111" s="1" t="n">
        <v>46129</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30087-2024</t>
        </is>
      </c>
      <c r="B112" s="1" t="n">
        <v>45489.39447916667</v>
      </c>
      <c r="C112" s="1" t="n">
        <v>46129</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54776-2024</t>
        </is>
      </c>
      <c r="B113" s="1" t="n">
        <v>45618</v>
      </c>
      <c r="C113" s="1" t="n">
        <v>46129</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22729-2025</t>
        </is>
      </c>
      <c r="B114" s="1" t="n">
        <v>45789.57790509259</v>
      </c>
      <c r="C114" s="1" t="n">
        <v>46129</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14518-2025</t>
        </is>
      </c>
      <c r="B115" s="1" t="n">
        <v>45741</v>
      </c>
      <c r="C115" s="1" t="n">
        <v>46129</v>
      </c>
      <c r="D115" t="inlineStr">
        <is>
          <t>UPPSALA LÄN</t>
        </is>
      </c>
      <c r="E115" t="inlineStr">
        <is>
          <t>ENKÖPING</t>
        </is>
      </c>
      <c r="G115" t="n">
        <v>2</v>
      </c>
      <c r="H115" t="n">
        <v>0</v>
      </c>
      <c r="I115" t="n">
        <v>0</v>
      </c>
      <c r="J115" t="n">
        <v>0</v>
      </c>
      <c r="K115" t="n">
        <v>0</v>
      </c>
      <c r="L115" t="n">
        <v>0</v>
      </c>
      <c r="M115" t="n">
        <v>0</v>
      </c>
      <c r="N115" t="n">
        <v>0</v>
      </c>
      <c r="O115" t="n">
        <v>0</v>
      </c>
      <c r="P115" t="n">
        <v>0</v>
      </c>
      <c r="Q115" t="n">
        <v>0</v>
      </c>
      <c r="R115" s="2" t="inlineStr"/>
    </row>
    <row r="116" ht="15" customHeight="1">
      <c r="A116" t="inlineStr">
        <is>
          <t>A 21686-2022</t>
        </is>
      </c>
      <c r="B116" s="1" t="n">
        <v>44707</v>
      </c>
      <c r="C116" s="1" t="n">
        <v>46129</v>
      </c>
      <c r="D116" t="inlineStr">
        <is>
          <t>UPPSALA LÄN</t>
        </is>
      </c>
      <c r="E116" t="inlineStr">
        <is>
          <t>ENKÖPING</t>
        </is>
      </c>
      <c r="G116" t="n">
        <v>2.2</v>
      </c>
      <c r="H116" t="n">
        <v>0</v>
      </c>
      <c r="I116" t="n">
        <v>0</v>
      </c>
      <c r="J116" t="n">
        <v>0</v>
      </c>
      <c r="K116" t="n">
        <v>0</v>
      </c>
      <c r="L116" t="n">
        <v>0</v>
      </c>
      <c r="M116" t="n">
        <v>0</v>
      </c>
      <c r="N116" t="n">
        <v>0</v>
      </c>
      <c r="O116" t="n">
        <v>0</v>
      </c>
      <c r="P116" t="n">
        <v>0</v>
      </c>
      <c r="Q116" t="n">
        <v>0</v>
      </c>
      <c r="R116" s="2" t="inlineStr"/>
    </row>
    <row r="117" ht="15" customHeight="1">
      <c r="A117" t="inlineStr">
        <is>
          <t>A 22677-2025</t>
        </is>
      </c>
      <c r="B117" s="1" t="n">
        <v>45789.49515046296</v>
      </c>
      <c r="C117" s="1" t="n">
        <v>46129</v>
      </c>
      <c r="D117" t="inlineStr">
        <is>
          <t>UPPSALA LÄN</t>
        </is>
      </c>
      <c r="E117" t="inlineStr">
        <is>
          <t>ENKÖPING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22679-2025</t>
        </is>
      </c>
      <c r="B118" s="1" t="n">
        <v>45789.49747685185</v>
      </c>
      <c r="C118" s="1" t="n">
        <v>46129</v>
      </c>
      <c r="D118" t="inlineStr">
        <is>
          <t>UPPSALA LÄN</t>
        </is>
      </c>
      <c r="E118" t="inlineStr">
        <is>
          <t>ENKÖPING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18831-2023</t>
        </is>
      </c>
      <c r="B119" s="1" t="n">
        <v>45044.40798611111</v>
      </c>
      <c r="C119" s="1" t="n">
        <v>46129</v>
      </c>
      <c r="D119" t="inlineStr">
        <is>
          <t>UPPSALA LÄN</t>
        </is>
      </c>
      <c r="E119" t="inlineStr">
        <is>
          <t>ENKÖPING</t>
        </is>
      </c>
      <c r="G119" t="n">
        <v>4.3</v>
      </c>
      <c r="H119" t="n">
        <v>0</v>
      </c>
      <c r="I119" t="n">
        <v>0</v>
      </c>
      <c r="J119" t="n">
        <v>0</v>
      </c>
      <c r="K119" t="n">
        <v>0</v>
      </c>
      <c r="L119" t="n">
        <v>0</v>
      </c>
      <c r="M119" t="n">
        <v>0</v>
      </c>
      <c r="N119" t="n">
        <v>0</v>
      </c>
      <c r="O119" t="n">
        <v>0</v>
      </c>
      <c r="P119" t="n">
        <v>0</v>
      </c>
      <c r="Q119" t="n">
        <v>0</v>
      </c>
      <c r="R119" s="2" t="inlineStr"/>
    </row>
    <row r="120" ht="15" customHeight="1">
      <c r="A120" t="inlineStr">
        <is>
          <t>A 22770-2025</t>
        </is>
      </c>
      <c r="B120" s="1" t="n">
        <v>45789.63454861111</v>
      </c>
      <c r="C120" s="1" t="n">
        <v>46129</v>
      </c>
      <c r="D120" t="inlineStr">
        <is>
          <t>UPPSALA LÄN</t>
        </is>
      </c>
      <c r="E120" t="inlineStr">
        <is>
          <t>ENKÖPING</t>
        </is>
      </c>
      <c r="G120" t="n">
        <v>4.5</v>
      </c>
      <c r="H120" t="n">
        <v>0</v>
      </c>
      <c r="I120" t="n">
        <v>0</v>
      </c>
      <c r="J120" t="n">
        <v>0</v>
      </c>
      <c r="K120" t="n">
        <v>0</v>
      </c>
      <c r="L120" t="n">
        <v>0</v>
      </c>
      <c r="M120" t="n">
        <v>0</v>
      </c>
      <c r="N120" t="n">
        <v>0</v>
      </c>
      <c r="O120" t="n">
        <v>0</v>
      </c>
      <c r="P120" t="n">
        <v>0</v>
      </c>
      <c r="Q120" t="n">
        <v>0</v>
      </c>
      <c r="R120" s="2" t="inlineStr"/>
    </row>
    <row r="121" ht="15" customHeight="1">
      <c r="A121" t="inlineStr">
        <is>
          <t>A 22800-2025</t>
        </is>
      </c>
      <c r="B121" s="1" t="n">
        <v>45789.6669212963</v>
      </c>
      <c r="C121" s="1" t="n">
        <v>46129</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6981-2025</t>
        </is>
      </c>
      <c r="B122" s="1" t="n">
        <v>45701</v>
      </c>
      <c r="C122" s="1" t="n">
        <v>46129</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22786-2025</t>
        </is>
      </c>
      <c r="B123" s="1" t="n">
        <v>45789.64643518518</v>
      </c>
      <c r="C123" s="1" t="n">
        <v>46129</v>
      </c>
      <c r="D123" t="inlineStr">
        <is>
          <t>UPPSALA LÄN</t>
        </is>
      </c>
      <c r="E123" t="inlineStr">
        <is>
          <t>ENKÖPING</t>
        </is>
      </c>
      <c r="G123" t="n">
        <v>0.9</v>
      </c>
      <c r="H123" t="n">
        <v>0</v>
      </c>
      <c r="I123" t="n">
        <v>0</v>
      </c>
      <c r="J123" t="n">
        <v>0</v>
      </c>
      <c r="K123" t="n">
        <v>0</v>
      </c>
      <c r="L123" t="n">
        <v>0</v>
      </c>
      <c r="M123" t="n">
        <v>0</v>
      </c>
      <c r="N123" t="n">
        <v>0</v>
      </c>
      <c r="O123" t="n">
        <v>0</v>
      </c>
      <c r="P123" t="n">
        <v>0</v>
      </c>
      <c r="Q123" t="n">
        <v>0</v>
      </c>
      <c r="R123" s="2" t="inlineStr"/>
    </row>
    <row r="124" ht="15" customHeight="1">
      <c r="A124" t="inlineStr">
        <is>
          <t>A 68123-2021</t>
        </is>
      </c>
      <c r="B124" s="1" t="n">
        <v>44526.39126157408</v>
      </c>
      <c r="C124" s="1" t="n">
        <v>46129</v>
      </c>
      <c r="D124" t="inlineStr">
        <is>
          <t>UPPSALA LÄN</t>
        </is>
      </c>
      <c r="E124" t="inlineStr">
        <is>
          <t>ENKÖPING</t>
        </is>
      </c>
      <c r="G124" t="n">
        <v>0.9</v>
      </c>
      <c r="H124" t="n">
        <v>0</v>
      </c>
      <c r="I124" t="n">
        <v>0</v>
      </c>
      <c r="J124" t="n">
        <v>0</v>
      </c>
      <c r="K124" t="n">
        <v>0</v>
      </c>
      <c r="L124" t="n">
        <v>0</v>
      </c>
      <c r="M124" t="n">
        <v>0</v>
      </c>
      <c r="N124" t="n">
        <v>0</v>
      </c>
      <c r="O124" t="n">
        <v>0</v>
      </c>
      <c r="P124" t="n">
        <v>0</v>
      </c>
      <c r="Q124" t="n">
        <v>0</v>
      </c>
      <c r="R124" s="2" t="inlineStr"/>
    </row>
    <row r="125" ht="15" customHeight="1">
      <c r="A125" t="inlineStr">
        <is>
          <t>A 22680-2025</t>
        </is>
      </c>
      <c r="B125" s="1" t="n">
        <v>45789.5005787037</v>
      </c>
      <c r="C125" s="1" t="n">
        <v>46129</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22802-2025</t>
        </is>
      </c>
      <c r="B126" s="1" t="n">
        <v>45789.6686574074</v>
      </c>
      <c r="C126" s="1" t="n">
        <v>46129</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6172-2023</t>
        </is>
      </c>
      <c r="B127" s="1" t="n">
        <v>44964.68663194445</v>
      </c>
      <c r="C127" s="1" t="n">
        <v>46129</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14402-2023</t>
        </is>
      </c>
      <c r="B128" s="1" t="n">
        <v>45012</v>
      </c>
      <c r="C128" s="1" t="n">
        <v>46129</v>
      </c>
      <c r="D128" t="inlineStr">
        <is>
          <t>UPPSALA LÄN</t>
        </is>
      </c>
      <c r="E128" t="inlineStr">
        <is>
          <t>ENKÖPING</t>
        </is>
      </c>
      <c r="G128" t="n">
        <v>9.5</v>
      </c>
      <c r="H128" t="n">
        <v>0</v>
      </c>
      <c r="I128" t="n">
        <v>0</v>
      </c>
      <c r="J128" t="n">
        <v>0</v>
      </c>
      <c r="K128" t="n">
        <v>0</v>
      </c>
      <c r="L128" t="n">
        <v>0</v>
      </c>
      <c r="M128" t="n">
        <v>0</v>
      </c>
      <c r="N128" t="n">
        <v>0</v>
      </c>
      <c r="O128" t="n">
        <v>0</v>
      </c>
      <c r="P128" t="n">
        <v>0</v>
      </c>
      <c r="Q128" t="n">
        <v>0</v>
      </c>
      <c r="R128" s="2" t="inlineStr"/>
    </row>
    <row r="129" ht="15" customHeight="1">
      <c r="A129" t="inlineStr">
        <is>
          <t>A 22793-2025</t>
        </is>
      </c>
      <c r="B129" s="1" t="n">
        <v>45789.65693287037</v>
      </c>
      <c r="C129" s="1" t="n">
        <v>46129</v>
      </c>
      <c r="D129" t="inlineStr">
        <is>
          <t>UPPSALA LÄN</t>
        </is>
      </c>
      <c r="E129" t="inlineStr">
        <is>
          <t>ENKÖPING</t>
        </is>
      </c>
      <c r="G129" t="n">
        <v>3.2</v>
      </c>
      <c r="H129" t="n">
        <v>0</v>
      </c>
      <c r="I129" t="n">
        <v>0</v>
      </c>
      <c r="J129" t="n">
        <v>0</v>
      </c>
      <c r="K129" t="n">
        <v>0</v>
      </c>
      <c r="L129" t="n">
        <v>0</v>
      </c>
      <c r="M129" t="n">
        <v>0</v>
      </c>
      <c r="N129" t="n">
        <v>0</v>
      </c>
      <c r="O129" t="n">
        <v>0</v>
      </c>
      <c r="P129" t="n">
        <v>0</v>
      </c>
      <c r="Q129" t="n">
        <v>0</v>
      </c>
      <c r="R129" s="2" t="inlineStr"/>
    </row>
    <row r="130" ht="15" customHeight="1">
      <c r="A130" t="inlineStr">
        <is>
          <t>A 22795-2025</t>
        </is>
      </c>
      <c r="B130" s="1" t="n">
        <v>45789.65944444444</v>
      </c>
      <c r="C130" s="1" t="n">
        <v>46129</v>
      </c>
      <c r="D130" t="inlineStr">
        <is>
          <t>UPPSALA LÄN</t>
        </is>
      </c>
      <c r="E130" t="inlineStr">
        <is>
          <t>ENKÖPING</t>
        </is>
      </c>
      <c r="G130" t="n">
        <v>10.4</v>
      </c>
      <c r="H130" t="n">
        <v>0</v>
      </c>
      <c r="I130" t="n">
        <v>0</v>
      </c>
      <c r="J130" t="n">
        <v>0</v>
      </c>
      <c r="K130" t="n">
        <v>0</v>
      </c>
      <c r="L130" t="n">
        <v>0</v>
      </c>
      <c r="M130" t="n">
        <v>0</v>
      </c>
      <c r="N130" t="n">
        <v>0</v>
      </c>
      <c r="O130" t="n">
        <v>0</v>
      </c>
      <c r="P130" t="n">
        <v>0</v>
      </c>
      <c r="Q130" t="n">
        <v>0</v>
      </c>
      <c r="R130" s="2" t="inlineStr"/>
    </row>
    <row r="131" ht="15" customHeight="1">
      <c r="A131" t="inlineStr">
        <is>
          <t>A 56176-2021</t>
        </is>
      </c>
      <c r="B131" s="1" t="n">
        <v>44477</v>
      </c>
      <c r="C131" s="1" t="n">
        <v>46129</v>
      </c>
      <c r="D131" t="inlineStr">
        <is>
          <t>UPPSALA LÄN</t>
        </is>
      </c>
      <c r="E131" t="inlineStr">
        <is>
          <t>ENKÖPING</t>
        </is>
      </c>
      <c r="G131" t="n">
        <v>2.9</v>
      </c>
      <c r="H131" t="n">
        <v>0</v>
      </c>
      <c r="I131" t="n">
        <v>0</v>
      </c>
      <c r="J131" t="n">
        <v>0</v>
      </c>
      <c r="K131" t="n">
        <v>0</v>
      </c>
      <c r="L131" t="n">
        <v>0</v>
      </c>
      <c r="M131" t="n">
        <v>0</v>
      </c>
      <c r="N131" t="n">
        <v>0</v>
      </c>
      <c r="O131" t="n">
        <v>0</v>
      </c>
      <c r="P131" t="n">
        <v>0</v>
      </c>
      <c r="Q131" t="n">
        <v>0</v>
      </c>
      <c r="R131" s="2" t="inlineStr"/>
    </row>
    <row r="132" ht="15" customHeight="1">
      <c r="A132" t="inlineStr">
        <is>
          <t>A 22725-2025</t>
        </is>
      </c>
      <c r="B132" s="1" t="n">
        <v>45789.57371527778</v>
      </c>
      <c r="C132" s="1" t="n">
        <v>46129</v>
      </c>
      <c r="D132" t="inlineStr">
        <is>
          <t>UPPSALA LÄN</t>
        </is>
      </c>
      <c r="E132" t="inlineStr">
        <is>
          <t>ENKÖPING</t>
        </is>
      </c>
      <c r="G132" t="n">
        <v>4.8</v>
      </c>
      <c r="H132" t="n">
        <v>0</v>
      </c>
      <c r="I132" t="n">
        <v>0</v>
      </c>
      <c r="J132" t="n">
        <v>0</v>
      </c>
      <c r="K132" t="n">
        <v>0</v>
      </c>
      <c r="L132" t="n">
        <v>0</v>
      </c>
      <c r="M132" t="n">
        <v>0</v>
      </c>
      <c r="N132" t="n">
        <v>0</v>
      </c>
      <c r="O132" t="n">
        <v>0</v>
      </c>
      <c r="P132" t="n">
        <v>0</v>
      </c>
      <c r="Q132" t="n">
        <v>0</v>
      </c>
      <c r="R132" s="2" t="inlineStr"/>
    </row>
    <row r="133" ht="15" customHeight="1">
      <c r="A133" t="inlineStr">
        <is>
          <t>A 27983-2024</t>
        </is>
      </c>
      <c r="B133" s="1" t="n">
        <v>45476</v>
      </c>
      <c r="C133" s="1" t="n">
        <v>46129</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19298-2023</t>
        </is>
      </c>
      <c r="B134" s="1" t="n">
        <v>45048</v>
      </c>
      <c r="C134" s="1" t="n">
        <v>46129</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56625-2025</t>
        </is>
      </c>
      <c r="B135" s="1" t="n">
        <v>45975.60608796297</v>
      </c>
      <c r="C135" s="1" t="n">
        <v>46129</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69344-2021</t>
        </is>
      </c>
      <c r="B136" s="1" t="n">
        <v>44531</v>
      </c>
      <c r="C136" s="1" t="n">
        <v>46129</v>
      </c>
      <c r="D136" t="inlineStr">
        <is>
          <t>UPPSALA LÄN</t>
        </is>
      </c>
      <c r="E136" t="inlineStr">
        <is>
          <t>ENKÖPING</t>
        </is>
      </c>
      <c r="G136" t="n">
        <v>2.9</v>
      </c>
      <c r="H136" t="n">
        <v>0</v>
      </c>
      <c r="I136" t="n">
        <v>0</v>
      </c>
      <c r="J136" t="n">
        <v>0</v>
      </c>
      <c r="K136" t="n">
        <v>0</v>
      </c>
      <c r="L136" t="n">
        <v>0</v>
      </c>
      <c r="M136" t="n">
        <v>0</v>
      </c>
      <c r="N136" t="n">
        <v>0</v>
      </c>
      <c r="O136" t="n">
        <v>0</v>
      </c>
      <c r="P136" t="n">
        <v>0</v>
      </c>
      <c r="Q136" t="n">
        <v>0</v>
      </c>
      <c r="R136" s="2" t="inlineStr"/>
    </row>
    <row r="137" ht="15" customHeight="1">
      <c r="A137" t="inlineStr">
        <is>
          <t>A 15939-2022</t>
        </is>
      </c>
      <c r="B137" s="1" t="n">
        <v>44664</v>
      </c>
      <c r="C137" s="1" t="n">
        <v>46129</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57153-2021</t>
        </is>
      </c>
      <c r="B138" s="1" t="n">
        <v>44482</v>
      </c>
      <c r="C138" s="1" t="n">
        <v>46129</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22981-2025</t>
        </is>
      </c>
      <c r="B139" s="1" t="n">
        <v>45790.56964120371</v>
      </c>
      <c r="C139" s="1" t="n">
        <v>46129</v>
      </c>
      <c r="D139" t="inlineStr">
        <is>
          <t>UPPSALA LÄN</t>
        </is>
      </c>
      <c r="E139" t="inlineStr">
        <is>
          <t>ENKÖPING</t>
        </is>
      </c>
      <c r="G139" t="n">
        <v>1.5</v>
      </c>
      <c r="H139" t="n">
        <v>0</v>
      </c>
      <c r="I139" t="n">
        <v>0</v>
      </c>
      <c r="J139" t="n">
        <v>0</v>
      </c>
      <c r="K139" t="n">
        <v>0</v>
      </c>
      <c r="L139" t="n">
        <v>0</v>
      </c>
      <c r="M139" t="n">
        <v>0</v>
      </c>
      <c r="N139" t="n">
        <v>0</v>
      </c>
      <c r="O139" t="n">
        <v>0</v>
      </c>
      <c r="P139" t="n">
        <v>0</v>
      </c>
      <c r="Q139" t="n">
        <v>0</v>
      </c>
      <c r="R139" s="2" t="inlineStr"/>
    </row>
    <row r="140" ht="15" customHeight="1">
      <c r="A140" t="inlineStr">
        <is>
          <t>A 43697-2024</t>
        </is>
      </c>
      <c r="B140" s="1" t="n">
        <v>45569</v>
      </c>
      <c r="C140" s="1" t="n">
        <v>46129</v>
      </c>
      <c r="D140" t="inlineStr">
        <is>
          <t>UPPSALA LÄN</t>
        </is>
      </c>
      <c r="E140" t="inlineStr">
        <is>
          <t>ENKÖPING</t>
        </is>
      </c>
      <c r="G140" t="n">
        <v>2.1</v>
      </c>
      <c r="H140" t="n">
        <v>0</v>
      </c>
      <c r="I140" t="n">
        <v>0</v>
      </c>
      <c r="J140" t="n">
        <v>0</v>
      </c>
      <c r="K140" t="n">
        <v>0</v>
      </c>
      <c r="L140" t="n">
        <v>0</v>
      </c>
      <c r="M140" t="n">
        <v>0</v>
      </c>
      <c r="N140" t="n">
        <v>0</v>
      </c>
      <c r="O140" t="n">
        <v>0</v>
      </c>
      <c r="P140" t="n">
        <v>0</v>
      </c>
      <c r="Q140" t="n">
        <v>0</v>
      </c>
      <c r="R140" s="2" t="inlineStr"/>
    </row>
    <row r="141" ht="15" customHeight="1">
      <c r="A141" t="inlineStr">
        <is>
          <t>A 45283-2022</t>
        </is>
      </c>
      <c r="B141" s="1" t="n">
        <v>44844</v>
      </c>
      <c r="C141" s="1" t="n">
        <v>46129</v>
      </c>
      <c r="D141" t="inlineStr">
        <is>
          <t>UPPSALA LÄN</t>
        </is>
      </c>
      <c r="E141" t="inlineStr">
        <is>
          <t>ENKÖPING</t>
        </is>
      </c>
      <c r="G141" t="n">
        <v>5.9</v>
      </c>
      <c r="H141" t="n">
        <v>0</v>
      </c>
      <c r="I141" t="n">
        <v>0</v>
      </c>
      <c r="J141" t="n">
        <v>0</v>
      </c>
      <c r="K141" t="n">
        <v>0</v>
      </c>
      <c r="L141" t="n">
        <v>0</v>
      </c>
      <c r="M141" t="n">
        <v>0</v>
      </c>
      <c r="N141" t="n">
        <v>0</v>
      </c>
      <c r="O141" t="n">
        <v>0</v>
      </c>
      <c r="P141" t="n">
        <v>0</v>
      </c>
      <c r="Q141" t="n">
        <v>0</v>
      </c>
      <c r="R141" s="2" t="inlineStr"/>
    </row>
    <row r="142" ht="15" customHeight="1">
      <c r="A142" t="inlineStr">
        <is>
          <t>A 45956-2024</t>
        </is>
      </c>
      <c r="B142" s="1" t="n">
        <v>45580</v>
      </c>
      <c r="C142" s="1" t="n">
        <v>46129</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10831-2024</t>
        </is>
      </c>
      <c r="B143" s="1" t="n">
        <v>45369</v>
      </c>
      <c r="C143" s="1" t="n">
        <v>46129</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41826-2024</t>
        </is>
      </c>
      <c r="B144" s="1" t="n">
        <v>45561</v>
      </c>
      <c r="C144" s="1" t="n">
        <v>46129</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8020-2022</t>
        </is>
      </c>
      <c r="B145" s="1" t="n">
        <v>44609</v>
      </c>
      <c r="C145" s="1" t="n">
        <v>46129</v>
      </c>
      <c r="D145" t="inlineStr">
        <is>
          <t>UPPSALA LÄN</t>
        </is>
      </c>
      <c r="E145" t="inlineStr">
        <is>
          <t>ENKÖPING</t>
        </is>
      </c>
      <c r="G145" t="n">
        <v>6</v>
      </c>
      <c r="H145" t="n">
        <v>0</v>
      </c>
      <c r="I145" t="n">
        <v>0</v>
      </c>
      <c r="J145" t="n">
        <v>0</v>
      </c>
      <c r="K145" t="n">
        <v>0</v>
      </c>
      <c r="L145" t="n">
        <v>0</v>
      </c>
      <c r="M145" t="n">
        <v>0</v>
      </c>
      <c r="N145" t="n">
        <v>0</v>
      </c>
      <c r="O145" t="n">
        <v>0</v>
      </c>
      <c r="P145" t="n">
        <v>0</v>
      </c>
      <c r="Q145" t="n">
        <v>0</v>
      </c>
      <c r="R145" s="2" t="inlineStr"/>
    </row>
    <row r="146" ht="15" customHeight="1">
      <c r="A146" t="inlineStr">
        <is>
          <t>A 74090-2021</t>
        </is>
      </c>
      <c r="B146" s="1" t="n">
        <v>44557</v>
      </c>
      <c r="C146" s="1" t="n">
        <v>46129</v>
      </c>
      <c r="D146" t="inlineStr">
        <is>
          <t>UPPSALA LÄN</t>
        </is>
      </c>
      <c r="E146" t="inlineStr">
        <is>
          <t>ENKÖPING</t>
        </is>
      </c>
      <c r="G146" t="n">
        <v>2.1</v>
      </c>
      <c r="H146" t="n">
        <v>0</v>
      </c>
      <c r="I146" t="n">
        <v>0</v>
      </c>
      <c r="J146" t="n">
        <v>0</v>
      </c>
      <c r="K146" t="n">
        <v>0</v>
      </c>
      <c r="L146" t="n">
        <v>0</v>
      </c>
      <c r="M146" t="n">
        <v>0</v>
      </c>
      <c r="N146" t="n">
        <v>0</v>
      </c>
      <c r="O146" t="n">
        <v>0</v>
      </c>
      <c r="P146" t="n">
        <v>0</v>
      </c>
      <c r="Q146" t="n">
        <v>0</v>
      </c>
      <c r="R146" s="2" t="inlineStr"/>
    </row>
    <row r="147" ht="15" customHeight="1">
      <c r="A147" t="inlineStr">
        <is>
          <t>A 34805-2024</t>
        </is>
      </c>
      <c r="B147" s="1" t="n">
        <v>45526</v>
      </c>
      <c r="C147" s="1" t="n">
        <v>46129</v>
      </c>
      <c r="D147" t="inlineStr">
        <is>
          <t>UPPSALA LÄN</t>
        </is>
      </c>
      <c r="E147" t="inlineStr">
        <is>
          <t>ENKÖPING</t>
        </is>
      </c>
      <c r="G147" t="n">
        <v>3.6</v>
      </c>
      <c r="H147" t="n">
        <v>0</v>
      </c>
      <c r="I147" t="n">
        <v>0</v>
      </c>
      <c r="J147" t="n">
        <v>0</v>
      </c>
      <c r="K147" t="n">
        <v>0</v>
      </c>
      <c r="L147" t="n">
        <v>0</v>
      </c>
      <c r="M147" t="n">
        <v>0</v>
      </c>
      <c r="N147" t="n">
        <v>0</v>
      </c>
      <c r="O147" t="n">
        <v>0</v>
      </c>
      <c r="P147" t="n">
        <v>0</v>
      </c>
      <c r="Q147" t="n">
        <v>0</v>
      </c>
      <c r="R147" s="2" t="inlineStr"/>
    </row>
    <row r="148" ht="15" customHeight="1">
      <c r="A148" t="inlineStr">
        <is>
          <t>A 17729-2023</t>
        </is>
      </c>
      <c r="B148" s="1" t="n">
        <v>45037</v>
      </c>
      <c r="C148" s="1" t="n">
        <v>46129</v>
      </c>
      <c r="D148" t="inlineStr">
        <is>
          <t>UPPSALA LÄN</t>
        </is>
      </c>
      <c r="E148" t="inlineStr">
        <is>
          <t>ENKÖPING</t>
        </is>
      </c>
      <c r="G148" t="n">
        <v>10.2</v>
      </c>
      <c r="H148" t="n">
        <v>0</v>
      </c>
      <c r="I148" t="n">
        <v>0</v>
      </c>
      <c r="J148" t="n">
        <v>0</v>
      </c>
      <c r="K148" t="n">
        <v>0</v>
      </c>
      <c r="L148" t="n">
        <v>0</v>
      </c>
      <c r="M148" t="n">
        <v>0</v>
      </c>
      <c r="N148" t="n">
        <v>0</v>
      </c>
      <c r="O148" t="n">
        <v>0</v>
      </c>
      <c r="P148" t="n">
        <v>0</v>
      </c>
      <c r="Q148" t="n">
        <v>0</v>
      </c>
      <c r="R148" s="2" t="inlineStr"/>
    </row>
    <row r="149" ht="15" customHeight="1">
      <c r="A149" t="inlineStr">
        <is>
          <t>A 42589-2022</t>
        </is>
      </c>
      <c r="B149" s="1" t="n">
        <v>44831</v>
      </c>
      <c r="C149" s="1" t="n">
        <v>46129</v>
      </c>
      <c r="D149" t="inlineStr">
        <is>
          <t>UPPSALA LÄN</t>
        </is>
      </c>
      <c r="E149" t="inlineStr">
        <is>
          <t>ENKÖPING</t>
        </is>
      </c>
      <c r="G149" t="n">
        <v>20</v>
      </c>
      <c r="H149" t="n">
        <v>0</v>
      </c>
      <c r="I149" t="n">
        <v>0</v>
      </c>
      <c r="J149" t="n">
        <v>0</v>
      </c>
      <c r="K149" t="n">
        <v>0</v>
      </c>
      <c r="L149" t="n">
        <v>0</v>
      </c>
      <c r="M149" t="n">
        <v>0</v>
      </c>
      <c r="N149" t="n">
        <v>0</v>
      </c>
      <c r="O149" t="n">
        <v>0</v>
      </c>
      <c r="P149" t="n">
        <v>0</v>
      </c>
      <c r="Q149" t="n">
        <v>0</v>
      </c>
      <c r="R149" s="2" t="inlineStr"/>
    </row>
    <row r="150" ht="15" customHeight="1">
      <c r="A150" t="inlineStr">
        <is>
          <t>A 840-2025</t>
        </is>
      </c>
      <c r="B150" s="1" t="n">
        <v>45665</v>
      </c>
      <c r="C150" s="1" t="n">
        <v>46129</v>
      </c>
      <c r="D150" t="inlineStr">
        <is>
          <t>UPPSALA LÄN</t>
        </is>
      </c>
      <c r="E150" t="inlineStr">
        <is>
          <t>ENKÖPING</t>
        </is>
      </c>
      <c r="G150" t="n">
        <v>0.9</v>
      </c>
      <c r="H150" t="n">
        <v>0</v>
      </c>
      <c r="I150" t="n">
        <v>0</v>
      </c>
      <c r="J150" t="n">
        <v>0</v>
      </c>
      <c r="K150" t="n">
        <v>0</v>
      </c>
      <c r="L150" t="n">
        <v>0</v>
      </c>
      <c r="M150" t="n">
        <v>0</v>
      </c>
      <c r="N150" t="n">
        <v>0</v>
      </c>
      <c r="O150" t="n">
        <v>0</v>
      </c>
      <c r="P150" t="n">
        <v>0</v>
      </c>
      <c r="Q150" t="n">
        <v>0</v>
      </c>
      <c r="R150" s="2" t="inlineStr"/>
    </row>
    <row r="151" ht="15" customHeight="1">
      <c r="A151" t="inlineStr">
        <is>
          <t>A 5712-2025</t>
        </is>
      </c>
      <c r="B151" s="1" t="n">
        <v>45694</v>
      </c>
      <c r="C151" s="1" t="n">
        <v>46129</v>
      </c>
      <c r="D151" t="inlineStr">
        <is>
          <t>UPPSALA LÄN</t>
        </is>
      </c>
      <c r="E151" t="inlineStr">
        <is>
          <t>ENKÖPING</t>
        </is>
      </c>
      <c r="G151" t="n">
        <v>5.1</v>
      </c>
      <c r="H151" t="n">
        <v>0</v>
      </c>
      <c r="I151" t="n">
        <v>0</v>
      </c>
      <c r="J151" t="n">
        <v>0</v>
      </c>
      <c r="K151" t="n">
        <v>0</v>
      </c>
      <c r="L151" t="n">
        <v>0</v>
      </c>
      <c r="M151" t="n">
        <v>0</v>
      </c>
      <c r="N151" t="n">
        <v>0</v>
      </c>
      <c r="O151" t="n">
        <v>0</v>
      </c>
      <c r="P151" t="n">
        <v>0</v>
      </c>
      <c r="Q151" t="n">
        <v>0</v>
      </c>
      <c r="R151" s="2" t="inlineStr"/>
    </row>
    <row r="152" ht="15" customHeight="1">
      <c r="A152" t="inlineStr">
        <is>
          <t>A 5749-2025</t>
        </is>
      </c>
      <c r="B152" s="1" t="n">
        <v>45694</v>
      </c>
      <c r="C152" s="1" t="n">
        <v>46129</v>
      </c>
      <c r="D152" t="inlineStr">
        <is>
          <t>UPPSALA LÄN</t>
        </is>
      </c>
      <c r="E152" t="inlineStr">
        <is>
          <t>ENKÖPING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37115-2024</t>
        </is>
      </c>
      <c r="B153" s="1" t="n">
        <v>45539</v>
      </c>
      <c r="C153" s="1" t="n">
        <v>46129</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314-2025</t>
        </is>
      </c>
      <c r="B154" s="1" t="n">
        <v>45656</v>
      </c>
      <c r="C154" s="1" t="n">
        <v>46129</v>
      </c>
      <c r="D154" t="inlineStr">
        <is>
          <t>UPPSALA LÄN</t>
        </is>
      </c>
      <c r="E154" t="inlineStr">
        <is>
          <t>ENKÖPING</t>
        </is>
      </c>
      <c r="G154" t="n">
        <v>9</v>
      </c>
      <c r="H154" t="n">
        <v>0</v>
      </c>
      <c r="I154" t="n">
        <v>0</v>
      </c>
      <c r="J154" t="n">
        <v>0</v>
      </c>
      <c r="K154" t="n">
        <v>0</v>
      </c>
      <c r="L154" t="n">
        <v>0</v>
      </c>
      <c r="M154" t="n">
        <v>0</v>
      </c>
      <c r="N154" t="n">
        <v>0</v>
      </c>
      <c r="O154" t="n">
        <v>0</v>
      </c>
      <c r="P154" t="n">
        <v>0</v>
      </c>
      <c r="Q154" t="n">
        <v>0</v>
      </c>
      <c r="R154" s="2" t="inlineStr"/>
    </row>
    <row r="155" ht="15" customHeight="1">
      <c r="A155" t="inlineStr">
        <is>
          <t>A 11627-2025</t>
        </is>
      </c>
      <c r="B155" s="1" t="n">
        <v>45727</v>
      </c>
      <c r="C155" s="1" t="n">
        <v>46129</v>
      </c>
      <c r="D155" t="inlineStr">
        <is>
          <t>UPPSALA LÄN</t>
        </is>
      </c>
      <c r="E155" t="inlineStr">
        <is>
          <t>ENKÖPING</t>
        </is>
      </c>
      <c r="G155" t="n">
        <v>5.5</v>
      </c>
      <c r="H155" t="n">
        <v>0</v>
      </c>
      <c r="I155" t="n">
        <v>0</v>
      </c>
      <c r="J155" t="n">
        <v>0</v>
      </c>
      <c r="K155" t="n">
        <v>0</v>
      </c>
      <c r="L155" t="n">
        <v>0</v>
      </c>
      <c r="M155" t="n">
        <v>0</v>
      </c>
      <c r="N155" t="n">
        <v>0</v>
      </c>
      <c r="O155" t="n">
        <v>0</v>
      </c>
      <c r="P155" t="n">
        <v>0</v>
      </c>
      <c r="Q155" t="n">
        <v>0</v>
      </c>
      <c r="R155" s="2" t="inlineStr"/>
    </row>
    <row r="156" ht="15" customHeight="1">
      <c r="A156" t="inlineStr">
        <is>
          <t>A 39746-2025</t>
        </is>
      </c>
      <c r="B156" s="1" t="n">
        <v>45891</v>
      </c>
      <c r="C156" s="1" t="n">
        <v>46129</v>
      </c>
      <c r="D156" t="inlineStr">
        <is>
          <t>UPPSALA LÄN</t>
        </is>
      </c>
      <c r="E156" t="inlineStr">
        <is>
          <t>ENKÖPING</t>
        </is>
      </c>
      <c r="G156" t="n">
        <v>7.4</v>
      </c>
      <c r="H156" t="n">
        <v>0</v>
      </c>
      <c r="I156" t="n">
        <v>0</v>
      </c>
      <c r="J156" t="n">
        <v>0</v>
      </c>
      <c r="K156" t="n">
        <v>0</v>
      </c>
      <c r="L156" t="n">
        <v>0</v>
      </c>
      <c r="M156" t="n">
        <v>0</v>
      </c>
      <c r="N156" t="n">
        <v>0</v>
      </c>
      <c r="O156" t="n">
        <v>0</v>
      </c>
      <c r="P156" t="n">
        <v>0</v>
      </c>
      <c r="Q156" t="n">
        <v>0</v>
      </c>
      <c r="R156" s="2" t="inlineStr"/>
    </row>
    <row r="157" ht="15" customHeight="1">
      <c r="A157" t="inlineStr">
        <is>
          <t>A 45142-2023</t>
        </is>
      </c>
      <c r="B157" s="1" t="n">
        <v>45191.4702662037</v>
      </c>
      <c r="C157" s="1" t="n">
        <v>46129</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11918-2025</t>
        </is>
      </c>
      <c r="B158" s="1" t="n">
        <v>45728.49331018519</v>
      </c>
      <c r="C158" s="1" t="n">
        <v>46129</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24411-2024</t>
        </is>
      </c>
      <c r="B159" s="1" t="n">
        <v>45457</v>
      </c>
      <c r="C159" s="1" t="n">
        <v>46129</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31242-2024</t>
        </is>
      </c>
      <c r="B160" s="1" t="n">
        <v>45503</v>
      </c>
      <c r="C160" s="1" t="n">
        <v>46129</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57294-2025</t>
        </is>
      </c>
      <c r="B161" s="1" t="n">
        <v>45979</v>
      </c>
      <c r="C161" s="1" t="n">
        <v>46129</v>
      </c>
      <c r="D161" t="inlineStr">
        <is>
          <t>UPPSALA LÄN</t>
        </is>
      </c>
      <c r="E161" t="inlineStr">
        <is>
          <t>ENKÖPING</t>
        </is>
      </c>
      <c r="G161" t="n">
        <v>6.2</v>
      </c>
      <c r="H161" t="n">
        <v>0</v>
      </c>
      <c r="I161" t="n">
        <v>0</v>
      </c>
      <c r="J161" t="n">
        <v>0</v>
      </c>
      <c r="K161" t="n">
        <v>0</v>
      </c>
      <c r="L161" t="n">
        <v>0</v>
      </c>
      <c r="M161" t="n">
        <v>0</v>
      </c>
      <c r="N161" t="n">
        <v>0</v>
      </c>
      <c r="O161" t="n">
        <v>0</v>
      </c>
      <c r="P161" t="n">
        <v>0</v>
      </c>
      <c r="Q161" t="n">
        <v>0</v>
      </c>
      <c r="R161" s="2" t="inlineStr"/>
    </row>
    <row r="162" ht="15" customHeight="1">
      <c r="A162" t="inlineStr">
        <is>
          <t>A 845-2025</t>
        </is>
      </c>
      <c r="B162" s="1" t="n">
        <v>45665</v>
      </c>
      <c r="C162" s="1" t="n">
        <v>46129</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849-2025</t>
        </is>
      </c>
      <c r="B163" s="1" t="n">
        <v>45665</v>
      </c>
      <c r="C163" s="1" t="n">
        <v>46129</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41616-2025</t>
        </is>
      </c>
      <c r="B164" s="1" t="n">
        <v>45901.69684027778</v>
      </c>
      <c r="C164" s="1" t="n">
        <v>46129</v>
      </c>
      <c r="D164" t="inlineStr">
        <is>
          <t>UPPSALA LÄN</t>
        </is>
      </c>
      <c r="E164" t="inlineStr">
        <is>
          <t>ENKÖPING</t>
        </is>
      </c>
      <c r="F164" t="inlineStr">
        <is>
          <t>Allmännings- och besparingsskogar</t>
        </is>
      </c>
      <c r="G164" t="n">
        <v>17.3</v>
      </c>
      <c r="H164" t="n">
        <v>0</v>
      </c>
      <c r="I164" t="n">
        <v>0</v>
      </c>
      <c r="J164" t="n">
        <v>0</v>
      </c>
      <c r="K164" t="n">
        <v>0</v>
      </c>
      <c r="L164" t="n">
        <v>0</v>
      </c>
      <c r="M164" t="n">
        <v>0</v>
      </c>
      <c r="N164" t="n">
        <v>0</v>
      </c>
      <c r="O164" t="n">
        <v>0</v>
      </c>
      <c r="P164" t="n">
        <v>0</v>
      </c>
      <c r="Q164" t="n">
        <v>0</v>
      </c>
      <c r="R164" s="2" t="inlineStr"/>
    </row>
    <row r="165" ht="15" customHeight="1">
      <c r="A165" t="inlineStr">
        <is>
          <t>A 58092-2024</t>
        </is>
      </c>
      <c r="B165" s="1" t="n">
        <v>45632</v>
      </c>
      <c r="C165" s="1" t="n">
        <v>46129</v>
      </c>
      <c r="D165" t="inlineStr">
        <is>
          <t>UPPSALA LÄN</t>
        </is>
      </c>
      <c r="E165" t="inlineStr">
        <is>
          <t>ENKÖPING</t>
        </is>
      </c>
      <c r="G165" t="n">
        <v>4.8</v>
      </c>
      <c r="H165" t="n">
        <v>0</v>
      </c>
      <c r="I165" t="n">
        <v>0</v>
      </c>
      <c r="J165" t="n">
        <v>0</v>
      </c>
      <c r="K165" t="n">
        <v>0</v>
      </c>
      <c r="L165" t="n">
        <v>0</v>
      </c>
      <c r="M165" t="n">
        <v>0</v>
      </c>
      <c r="N165" t="n">
        <v>0</v>
      </c>
      <c r="O165" t="n">
        <v>0</v>
      </c>
      <c r="P165" t="n">
        <v>0</v>
      </c>
      <c r="Q165" t="n">
        <v>0</v>
      </c>
      <c r="R165" s="2" t="inlineStr"/>
    </row>
    <row r="166" ht="15" customHeight="1">
      <c r="A166" t="inlineStr">
        <is>
          <t>A 41637-2025</t>
        </is>
      </c>
      <c r="B166" s="1" t="n">
        <v>45901</v>
      </c>
      <c r="C166" s="1" t="n">
        <v>46129</v>
      </c>
      <c r="D166" t="inlineStr">
        <is>
          <t>UPPSALA LÄN</t>
        </is>
      </c>
      <c r="E166" t="inlineStr">
        <is>
          <t>ENKÖPING</t>
        </is>
      </c>
      <c r="F166" t="inlineStr">
        <is>
          <t>Allmännings- och besparingsskogar</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41618-2025</t>
        </is>
      </c>
      <c r="B167" s="1" t="n">
        <v>45901.70085648148</v>
      </c>
      <c r="C167" s="1" t="n">
        <v>46129</v>
      </c>
      <c r="D167" t="inlineStr">
        <is>
          <t>UPPSALA LÄN</t>
        </is>
      </c>
      <c r="E167" t="inlineStr">
        <is>
          <t>ENKÖPING</t>
        </is>
      </c>
      <c r="F167" t="inlineStr">
        <is>
          <t>Allmännings- och besparingsskogar</t>
        </is>
      </c>
      <c r="G167" t="n">
        <v>5.3</v>
      </c>
      <c r="H167" t="n">
        <v>0</v>
      </c>
      <c r="I167" t="n">
        <v>0</v>
      </c>
      <c r="J167" t="n">
        <v>0</v>
      </c>
      <c r="K167" t="n">
        <v>0</v>
      </c>
      <c r="L167" t="n">
        <v>0</v>
      </c>
      <c r="M167" t="n">
        <v>0</v>
      </c>
      <c r="N167" t="n">
        <v>0</v>
      </c>
      <c r="O167" t="n">
        <v>0</v>
      </c>
      <c r="P167" t="n">
        <v>0</v>
      </c>
      <c r="Q167" t="n">
        <v>0</v>
      </c>
      <c r="R167" s="2" t="inlineStr"/>
    </row>
    <row r="168" ht="15" customHeight="1">
      <c r="A168" t="inlineStr">
        <is>
          <t>A 62158-2023</t>
        </is>
      </c>
      <c r="B168" s="1" t="n">
        <v>45267</v>
      </c>
      <c r="C168" s="1" t="n">
        <v>46129</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60350-2022</t>
        </is>
      </c>
      <c r="B169" s="1" t="n">
        <v>44910</v>
      </c>
      <c r="C169" s="1" t="n">
        <v>46129</v>
      </c>
      <c r="D169" t="inlineStr">
        <is>
          <t>UPPSALA LÄN</t>
        </is>
      </c>
      <c r="E169" t="inlineStr">
        <is>
          <t>ENKÖPING</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26024-2025</t>
        </is>
      </c>
      <c r="B170" s="1" t="n">
        <v>45804.6831712963</v>
      </c>
      <c r="C170" s="1" t="n">
        <v>46129</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26042-2025</t>
        </is>
      </c>
      <c r="B171" s="1" t="n">
        <v>45804.70018518518</v>
      </c>
      <c r="C171" s="1" t="n">
        <v>46129</v>
      </c>
      <c r="D171" t="inlineStr">
        <is>
          <t>UPPSALA LÄN</t>
        </is>
      </c>
      <c r="E171" t="inlineStr">
        <is>
          <t>ENKÖPING</t>
        </is>
      </c>
      <c r="G171" t="n">
        <v>1.2</v>
      </c>
      <c r="H171" t="n">
        <v>0</v>
      </c>
      <c r="I171" t="n">
        <v>0</v>
      </c>
      <c r="J171" t="n">
        <v>0</v>
      </c>
      <c r="K171" t="n">
        <v>0</v>
      </c>
      <c r="L171" t="n">
        <v>0</v>
      </c>
      <c r="M171" t="n">
        <v>0</v>
      </c>
      <c r="N171" t="n">
        <v>0</v>
      </c>
      <c r="O171" t="n">
        <v>0</v>
      </c>
      <c r="P171" t="n">
        <v>0</v>
      </c>
      <c r="Q171" t="n">
        <v>0</v>
      </c>
      <c r="R171" s="2" t="inlineStr"/>
    </row>
    <row r="172" ht="15" customHeight="1">
      <c r="A172" t="inlineStr">
        <is>
          <t>A 26005-2025</t>
        </is>
      </c>
      <c r="B172" s="1" t="n">
        <v>45804.67055555555</v>
      </c>
      <c r="C172" s="1" t="n">
        <v>46129</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26026-2025</t>
        </is>
      </c>
      <c r="B173" s="1" t="n">
        <v>45804.68510416667</v>
      </c>
      <c r="C173" s="1" t="n">
        <v>46129</v>
      </c>
      <c r="D173" t="inlineStr">
        <is>
          <t>UPPSALA LÄN</t>
        </is>
      </c>
      <c r="E173" t="inlineStr">
        <is>
          <t>ENKÖPING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26030-2025</t>
        </is>
      </c>
      <c r="B174" s="1" t="n">
        <v>45804.68815972222</v>
      </c>
      <c r="C174" s="1" t="n">
        <v>46129</v>
      </c>
      <c r="D174" t="inlineStr">
        <is>
          <t>UPPSALA LÄN</t>
        </is>
      </c>
      <c r="E174" t="inlineStr">
        <is>
          <t>ENKÖPING</t>
        </is>
      </c>
      <c r="G174" t="n">
        <v>0.3</v>
      </c>
      <c r="H174" t="n">
        <v>0</v>
      </c>
      <c r="I174" t="n">
        <v>0</v>
      </c>
      <c r="J174" t="n">
        <v>0</v>
      </c>
      <c r="K174" t="n">
        <v>0</v>
      </c>
      <c r="L174" t="n">
        <v>0</v>
      </c>
      <c r="M174" t="n">
        <v>0</v>
      </c>
      <c r="N174" t="n">
        <v>0</v>
      </c>
      <c r="O174" t="n">
        <v>0</v>
      </c>
      <c r="P174" t="n">
        <v>0</v>
      </c>
      <c r="Q174" t="n">
        <v>0</v>
      </c>
      <c r="R174" s="2" t="inlineStr"/>
    </row>
    <row r="175" ht="15" customHeight="1">
      <c r="A175" t="inlineStr">
        <is>
          <t>A 26022-2025</t>
        </is>
      </c>
      <c r="B175" s="1" t="n">
        <v>45804.68006944445</v>
      </c>
      <c r="C175" s="1" t="n">
        <v>46129</v>
      </c>
      <c r="D175" t="inlineStr">
        <is>
          <t>UPPSALA LÄN</t>
        </is>
      </c>
      <c r="E175" t="inlineStr">
        <is>
          <t>ENKÖPING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25988-2025</t>
        </is>
      </c>
      <c r="B176" s="1" t="n">
        <v>45804.64814814815</v>
      </c>
      <c r="C176" s="1" t="n">
        <v>46129</v>
      </c>
      <c r="D176" t="inlineStr">
        <is>
          <t>UPPSALA LÄN</t>
        </is>
      </c>
      <c r="E176" t="inlineStr">
        <is>
          <t>ENKÖPING</t>
        </is>
      </c>
      <c r="G176" t="n">
        <v>4.7</v>
      </c>
      <c r="H176" t="n">
        <v>0</v>
      </c>
      <c r="I176" t="n">
        <v>0</v>
      </c>
      <c r="J176" t="n">
        <v>0</v>
      </c>
      <c r="K176" t="n">
        <v>0</v>
      </c>
      <c r="L176" t="n">
        <v>0</v>
      </c>
      <c r="M176" t="n">
        <v>0</v>
      </c>
      <c r="N176" t="n">
        <v>0</v>
      </c>
      <c r="O176" t="n">
        <v>0</v>
      </c>
      <c r="P176" t="n">
        <v>0</v>
      </c>
      <c r="Q176" t="n">
        <v>0</v>
      </c>
      <c r="R176" s="2" t="inlineStr"/>
    </row>
    <row r="177" ht="15" customHeight="1">
      <c r="A177" t="inlineStr">
        <is>
          <t>A 26031-2025</t>
        </is>
      </c>
      <c r="B177" s="1" t="n">
        <v>45804.69050925926</v>
      </c>
      <c r="C177" s="1" t="n">
        <v>46129</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26041-2025</t>
        </is>
      </c>
      <c r="B178" s="1" t="n">
        <v>45804.69883101852</v>
      </c>
      <c r="C178" s="1" t="n">
        <v>46129</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35647-2021</t>
        </is>
      </c>
      <c r="B179" s="1" t="n">
        <v>44386</v>
      </c>
      <c r="C179" s="1" t="n">
        <v>46129</v>
      </c>
      <c r="D179" t="inlineStr">
        <is>
          <t>UPPSALA LÄN</t>
        </is>
      </c>
      <c r="E179" t="inlineStr">
        <is>
          <t>ENKÖPING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42029-2025</t>
        </is>
      </c>
      <c r="B180" s="1" t="n">
        <v>45903</v>
      </c>
      <c r="C180" s="1" t="n">
        <v>46129</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41765-2025</t>
        </is>
      </c>
      <c r="B181" s="1" t="n">
        <v>45902</v>
      </c>
      <c r="C181" s="1" t="n">
        <v>46129</v>
      </c>
      <c r="D181" t="inlineStr">
        <is>
          <t>UPPSALA LÄN</t>
        </is>
      </c>
      <c r="E181" t="inlineStr">
        <is>
          <t>ENKÖPING</t>
        </is>
      </c>
      <c r="G181" t="n">
        <v>2.7</v>
      </c>
      <c r="H181" t="n">
        <v>0</v>
      </c>
      <c r="I181" t="n">
        <v>0</v>
      </c>
      <c r="J181" t="n">
        <v>0</v>
      </c>
      <c r="K181" t="n">
        <v>0</v>
      </c>
      <c r="L181" t="n">
        <v>0</v>
      </c>
      <c r="M181" t="n">
        <v>0</v>
      </c>
      <c r="N181" t="n">
        <v>0</v>
      </c>
      <c r="O181" t="n">
        <v>0</v>
      </c>
      <c r="P181" t="n">
        <v>0</v>
      </c>
      <c r="Q181" t="n">
        <v>0</v>
      </c>
      <c r="R181" s="2" t="inlineStr"/>
    </row>
    <row r="182" ht="15" customHeight="1">
      <c r="A182" t="inlineStr">
        <is>
          <t>A 25847-2025</t>
        </is>
      </c>
      <c r="B182" s="1" t="n">
        <v>45804</v>
      </c>
      <c r="C182" s="1" t="n">
        <v>46129</v>
      </c>
      <c r="D182" t="inlineStr">
        <is>
          <t>UPPSALA LÄN</t>
        </is>
      </c>
      <c r="E182" t="inlineStr">
        <is>
          <t>ENKÖPING</t>
        </is>
      </c>
      <c r="G182" t="n">
        <v>3.6</v>
      </c>
      <c r="H182" t="n">
        <v>0</v>
      </c>
      <c r="I182" t="n">
        <v>0</v>
      </c>
      <c r="J182" t="n">
        <v>0</v>
      </c>
      <c r="K182" t="n">
        <v>0</v>
      </c>
      <c r="L182" t="n">
        <v>0</v>
      </c>
      <c r="M182" t="n">
        <v>0</v>
      </c>
      <c r="N182" t="n">
        <v>0</v>
      </c>
      <c r="O182" t="n">
        <v>0</v>
      </c>
      <c r="P182" t="n">
        <v>0</v>
      </c>
      <c r="Q182" t="n">
        <v>0</v>
      </c>
      <c r="R182" s="2" t="inlineStr"/>
    </row>
    <row r="183" ht="15" customHeight="1">
      <c r="A183" t="inlineStr">
        <is>
          <t>A 26047-2025</t>
        </is>
      </c>
      <c r="B183" s="1" t="n">
        <v>45804.70835648148</v>
      </c>
      <c r="C183" s="1" t="n">
        <v>46129</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47516-2022</t>
        </is>
      </c>
      <c r="B184" s="1" t="n">
        <v>44853.68895833333</v>
      </c>
      <c r="C184" s="1" t="n">
        <v>46129</v>
      </c>
      <c r="D184" t="inlineStr">
        <is>
          <t>UPPSALA LÄN</t>
        </is>
      </c>
      <c r="E184" t="inlineStr">
        <is>
          <t>ENKÖPING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35067-2024</t>
        </is>
      </c>
      <c r="B185" s="1" t="n">
        <v>45527.66153935185</v>
      </c>
      <c r="C185" s="1" t="n">
        <v>46129</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41764-2025</t>
        </is>
      </c>
      <c r="B186" s="1" t="n">
        <v>45902</v>
      </c>
      <c r="C186" s="1" t="n">
        <v>46129</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51042-2024</t>
        </is>
      </c>
      <c r="B187" s="1" t="n">
        <v>45603.4342824074</v>
      </c>
      <c r="C187" s="1" t="n">
        <v>46129</v>
      </c>
      <c r="D187" t="inlineStr">
        <is>
          <t>UPPSALA LÄN</t>
        </is>
      </c>
      <c r="E187" t="inlineStr">
        <is>
          <t>ENKÖPING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51037-2024</t>
        </is>
      </c>
      <c r="B188" s="1" t="n">
        <v>45603.43005787037</v>
      </c>
      <c r="C188" s="1" t="n">
        <v>46129</v>
      </c>
      <c r="D188" t="inlineStr">
        <is>
          <t>UPPSALA LÄN</t>
        </is>
      </c>
      <c r="E188" t="inlineStr">
        <is>
          <t>ENKÖPING</t>
        </is>
      </c>
      <c r="G188" t="n">
        <v>5.7</v>
      </c>
      <c r="H188" t="n">
        <v>0</v>
      </c>
      <c r="I188" t="n">
        <v>0</v>
      </c>
      <c r="J188" t="n">
        <v>0</v>
      </c>
      <c r="K188" t="n">
        <v>0</v>
      </c>
      <c r="L188" t="n">
        <v>0</v>
      </c>
      <c r="M188" t="n">
        <v>0</v>
      </c>
      <c r="N188" t="n">
        <v>0</v>
      </c>
      <c r="O188" t="n">
        <v>0</v>
      </c>
      <c r="P188" t="n">
        <v>0</v>
      </c>
      <c r="Q188" t="n">
        <v>0</v>
      </c>
      <c r="R188" s="2" t="inlineStr"/>
    </row>
    <row r="189" ht="15" customHeight="1">
      <c r="A189" t="inlineStr">
        <is>
          <t>A 42756-2025</t>
        </is>
      </c>
      <c r="B189" s="1" t="n">
        <v>45908</v>
      </c>
      <c r="C189" s="1" t="n">
        <v>46129</v>
      </c>
      <c r="D189" t="inlineStr">
        <is>
          <t>UPPSALA LÄN</t>
        </is>
      </c>
      <c r="E189" t="inlineStr">
        <is>
          <t>ENKÖPING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58025-2025</t>
        </is>
      </c>
      <c r="B190" s="1" t="n">
        <v>45982</v>
      </c>
      <c r="C190" s="1" t="n">
        <v>46129</v>
      </c>
      <c r="D190" t="inlineStr">
        <is>
          <t>UPPSALA LÄN</t>
        </is>
      </c>
      <c r="E190" t="inlineStr">
        <is>
          <t>ENKÖPING</t>
        </is>
      </c>
      <c r="G190" t="n">
        <v>3.2</v>
      </c>
      <c r="H190" t="n">
        <v>0</v>
      </c>
      <c r="I190" t="n">
        <v>0</v>
      </c>
      <c r="J190" t="n">
        <v>0</v>
      </c>
      <c r="K190" t="n">
        <v>0</v>
      </c>
      <c r="L190" t="n">
        <v>0</v>
      </c>
      <c r="M190" t="n">
        <v>0</v>
      </c>
      <c r="N190" t="n">
        <v>0</v>
      </c>
      <c r="O190" t="n">
        <v>0</v>
      </c>
      <c r="P190" t="n">
        <v>0</v>
      </c>
      <c r="Q190" t="n">
        <v>0</v>
      </c>
      <c r="R190" s="2" t="inlineStr"/>
    </row>
    <row r="191" ht="15" customHeight="1">
      <c r="A191" t="inlineStr">
        <is>
          <t>A 22632-2025</t>
        </is>
      </c>
      <c r="B191" s="1" t="n">
        <v>45789.44361111111</v>
      </c>
      <c r="C191" s="1" t="n">
        <v>46129</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10458-2022</t>
        </is>
      </c>
      <c r="B192" s="1" t="n">
        <v>44623.56711805556</v>
      </c>
      <c r="C192" s="1" t="n">
        <v>46129</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44115-2024</t>
        </is>
      </c>
      <c r="B193" s="1" t="n">
        <v>45572</v>
      </c>
      <c r="C193" s="1" t="n">
        <v>46129</v>
      </c>
      <c r="D193" t="inlineStr">
        <is>
          <t>UPPSALA LÄN</t>
        </is>
      </c>
      <c r="E193" t="inlineStr">
        <is>
          <t>ENKÖPING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9957-2023</t>
        </is>
      </c>
      <c r="B194" s="1" t="n">
        <v>44978</v>
      </c>
      <c r="C194" s="1" t="n">
        <v>46129</v>
      </c>
      <c r="D194" t="inlineStr">
        <is>
          <t>UPPSALA LÄN</t>
        </is>
      </c>
      <c r="E194" t="inlineStr">
        <is>
          <t>ENKÖPING</t>
        </is>
      </c>
      <c r="G194" t="n">
        <v>5.9</v>
      </c>
      <c r="H194" t="n">
        <v>0</v>
      </c>
      <c r="I194" t="n">
        <v>0</v>
      </c>
      <c r="J194" t="n">
        <v>0</v>
      </c>
      <c r="K194" t="n">
        <v>0</v>
      </c>
      <c r="L194" t="n">
        <v>0</v>
      </c>
      <c r="M194" t="n">
        <v>0</v>
      </c>
      <c r="N194" t="n">
        <v>0</v>
      </c>
      <c r="O194" t="n">
        <v>0</v>
      </c>
      <c r="P194" t="n">
        <v>0</v>
      </c>
      <c r="Q194" t="n">
        <v>0</v>
      </c>
      <c r="R194" s="2" t="inlineStr"/>
    </row>
    <row r="195" ht="15" customHeight="1">
      <c r="A195" t="inlineStr">
        <is>
          <t>A 51027-2024</t>
        </is>
      </c>
      <c r="B195" s="1" t="n">
        <v>45603</v>
      </c>
      <c r="C195" s="1" t="n">
        <v>46129</v>
      </c>
      <c r="D195" t="inlineStr">
        <is>
          <t>UPPSALA LÄN</t>
        </is>
      </c>
      <c r="E195" t="inlineStr">
        <is>
          <t>ENKÖPING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57188-2025</t>
        </is>
      </c>
      <c r="B196" s="1" t="n">
        <v>45979</v>
      </c>
      <c r="C196" s="1" t="n">
        <v>46129</v>
      </c>
      <c r="D196" t="inlineStr">
        <is>
          <t>UPPSALA LÄN</t>
        </is>
      </c>
      <c r="E196" t="inlineStr">
        <is>
          <t>ENKÖPING</t>
        </is>
      </c>
      <c r="G196" t="n">
        <v>1.7</v>
      </c>
      <c r="H196" t="n">
        <v>0</v>
      </c>
      <c r="I196" t="n">
        <v>0</v>
      </c>
      <c r="J196" t="n">
        <v>0</v>
      </c>
      <c r="K196" t="n">
        <v>0</v>
      </c>
      <c r="L196" t="n">
        <v>0</v>
      </c>
      <c r="M196" t="n">
        <v>0</v>
      </c>
      <c r="N196" t="n">
        <v>0</v>
      </c>
      <c r="O196" t="n">
        <v>0</v>
      </c>
      <c r="P196" t="n">
        <v>0</v>
      </c>
      <c r="Q196" t="n">
        <v>0</v>
      </c>
      <c r="R196" s="2" t="inlineStr"/>
    </row>
    <row r="197" ht="15" customHeight="1">
      <c r="A197" t="inlineStr">
        <is>
          <t>A 27829-2025</t>
        </is>
      </c>
      <c r="B197" s="1" t="n">
        <v>45817</v>
      </c>
      <c r="C197" s="1" t="n">
        <v>46129</v>
      </c>
      <c r="D197" t="inlineStr">
        <is>
          <t>UPPSALA LÄN</t>
        </is>
      </c>
      <c r="E197" t="inlineStr">
        <is>
          <t>ENKÖPING</t>
        </is>
      </c>
      <c r="G197" t="n">
        <v>2.1</v>
      </c>
      <c r="H197" t="n">
        <v>0</v>
      </c>
      <c r="I197" t="n">
        <v>0</v>
      </c>
      <c r="J197" t="n">
        <v>0</v>
      </c>
      <c r="K197" t="n">
        <v>0</v>
      </c>
      <c r="L197" t="n">
        <v>0</v>
      </c>
      <c r="M197" t="n">
        <v>0</v>
      </c>
      <c r="N197" t="n">
        <v>0</v>
      </c>
      <c r="O197" t="n">
        <v>0</v>
      </c>
      <c r="P197" t="n">
        <v>0</v>
      </c>
      <c r="Q197" t="n">
        <v>0</v>
      </c>
      <c r="R197" s="2" t="inlineStr"/>
    </row>
    <row r="198" ht="15" customHeight="1">
      <c r="A198" t="inlineStr">
        <is>
          <t>A 63402-2023</t>
        </is>
      </c>
      <c r="B198" s="1" t="n">
        <v>45274.50646990741</v>
      </c>
      <c r="C198" s="1" t="n">
        <v>46129</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43999-2025</t>
        </is>
      </c>
      <c r="B199" s="1" t="n">
        <v>45915.45158564814</v>
      </c>
      <c r="C199" s="1" t="n">
        <v>46129</v>
      </c>
      <c r="D199" t="inlineStr">
        <is>
          <t>UPPSALA LÄN</t>
        </is>
      </c>
      <c r="E199" t="inlineStr">
        <is>
          <t>ENKÖPING</t>
        </is>
      </c>
      <c r="G199" t="n">
        <v>4.1</v>
      </c>
      <c r="H199" t="n">
        <v>0</v>
      </c>
      <c r="I199" t="n">
        <v>0</v>
      </c>
      <c r="J199" t="n">
        <v>0</v>
      </c>
      <c r="K199" t="n">
        <v>0</v>
      </c>
      <c r="L199" t="n">
        <v>0</v>
      </c>
      <c r="M199" t="n">
        <v>0</v>
      </c>
      <c r="N199" t="n">
        <v>0</v>
      </c>
      <c r="O199" t="n">
        <v>0</v>
      </c>
      <c r="P199" t="n">
        <v>0</v>
      </c>
      <c r="Q199" t="n">
        <v>0</v>
      </c>
      <c r="R199" s="2" t="inlineStr"/>
    </row>
    <row r="200" ht="15" customHeight="1">
      <c r="A200" t="inlineStr">
        <is>
          <t>A 39009-2024</t>
        </is>
      </c>
      <c r="B200" s="1" t="n">
        <v>45548</v>
      </c>
      <c r="C200" s="1" t="n">
        <v>46129</v>
      </c>
      <c r="D200" t="inlineStr">
        <is>
          <t>UPPSALA LÄN</t>
        </is>
      </c>
      <c r="E200" t="inlineStr">
        <is>
          <t>ENKÖPING</t>
        </is>
      </c>
      <c r="G200" t="n">
        <v>0.7</v>
      </c>
      <c r="H200" t="n">
        <v>0</v>
      </c>
      <c r="I200" t="n">
        <v>0</v>
      </c>
      <c r="J200" t="n">
        <v>0</v>
      </c>
      <c r="K200" t="n">
        <v>0</v>
      </c>
      <c r="L200" t="n">
        <v>0</v>
      </c>
      <c r="M200" t="n">
        <v>0</v>
      </c>
      <c r="N200" t="n">
        <v>0</v>
      </c>
      <c r="O200" t="n">
        <v>0</v>
      </c>
      <c r="P200" t="n">
        <v>0</v>
      </c>
      <c r="Q200" t="n">
        <v>0</v>
      </c>
      <c r="R200" s="2" t="inlineStr"/>
    </row>
    <row r="201" ht="15" customHeight="1">
      <c r="A201" t="inlineStr">
        <is>
          <t>A 8537-2025</t>
        </is>
      </c>
      <c r="B201" s="1" t="n">
        <v>45709</v>
      </c>
      <c r="C201" s="1" t="n">
        <v>46129</v>
      </c>
      <c r="D201" t="inlineStr">
        <is>
          <t>UPPSALA LÄN</t>
        </is>
      </c>
      <c r="E201" t="inlineStr">
        <is>
          <t>ENKÖPING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16916-2023</t>
        </is>
      </c>
      <c r="B202" s="1" t="n">
        <v>45033.58347222222</v>
      </c>
      <c r="C202" s="1" t="n">
        <v>46129</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56886-2023</t>
        </is>
      </c>
      <c r="B203" s="1" t="n">
        <v>45239</v>
      </c>
      <c r="C203" s="1" t="n">
        <v>46129</v>
      </c>
      <c r="D203" t="inlineStr">
        <is>
          <t>UPPSALA LÄN</t>
        </is>
      </c>
      <c r="E203" t="inlineStr">
        <is>
          <t>ENKÖPING</t>
        </is>
      </c>
      <c r="G203" t="n">
        <v>2</v>
      </c>
      <c r="H203" t="n">
        <v>0</v>
      </c>
      <c r="I203" t="n">
        <v>0</v>
      </c>
      <c r="J203" t="n">
        <v>0</v>
      </c>
      <c r="K203" t="n">
        <v>0</v>
      </c>
      <c r="L203" t="n">
        <v>0</v>
      </c>
      <c r="M203" t="n">
        <v>0</v>
      </c>
      <c r="N203" t="n">
        <v>0</v>
      </c>
      <c r="O203" t="n">
        <v>0</v>
      </c>
      <c r="P203" t="n">
        <v>0</v>
      </c>
      <c r="Q203" t="n">
        <v>0</v>
      </c>
      <c r="R203" s="2" t="inlineStr"/>
    </row>
    <row r="204" ht="15" customHeight="1">
      <c r="A204" t="inlineStr">
        <is>
          <t>A 28758-2025</t>
        </is>
      </c>
      <c r="B204" s="1" t="n">
        <v>45820.41212962963</v>
      </c>
      <c r="C204" s="1" t="n">
        <v>46129</v>
      </c>
      <c r="D204" t="inlineStr">
        <is>
          <t>UPPSALA LÄN</t>
        </is>
      </c>
      <c r="E204" t="inlineStr">
        <is>
          <t>ENKÖPING</t>
        </is>
      </c>
      <c r="G204" t="n">
        <v>2.4</v>
      </c>
      <c r="H204" t="n">
        <v>0</v>
      </c>
      <c r="I204" t="n">
        <v>0</v>
      </c>
      <c r="J204" t="n">
        <v>0</v>
      </c>
      <c r="K204" t="n">
        <v>0</v>
      </c>
      <c r="L204" t="n">
        <v>0</v>
      </c>
      <c r="M204" t="n">
        <v>0</v>
      </c>
      <c r="N204" t="n">
        <v>0</v>
      </c>
      <c r="O204" t="n">
        <v>0</v>
      </c>
      <c r="P204" t="n">
        <v>0</v>
      </c>
      <c r="Q204" t="n">
        <v>0</v>
      </c>
      <c r="R204" s="2" t="inlineStr"/>
    </row>
    <row r="205" ht="15" customHeight="1">
      <c r="A205" t="inlineStr">
        <is>
          <t>A 28862-2025</t>
        </is>
      </c>
      <c r="B205" s="1" t="n">
        <v>45820.59189814814</v>
      </c>
      <c r="C205" s="1" t="n">
        <v>46129</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44419-2025</t>
        </is>
      </c>
      <c r="B206" s="1" t="n">
        <v>45916.54671296296</v>
      </c>
      <c r="C206" s="1" t="n">
        <v>46129</v>
      </c>
      <c r="D206" t="inlineStr">
        <is>
          <t>UPPSALA LÄN</t>
        </is>
      </c>
      <c r="E206" t="inlineStr">
        <is>
          <t>ENKÖPING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59668-2025</t>
        </is>
      </c>
      <c r="B207" s="1" t="n">
        <v>45992.45567129629</v>
      </c>
      <c r="C207" s="1" t="n">
        <v>46129</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28855-2025</t>
        </is>
      </c>
      <c r="B208" s="1" t="n">
        <v>45820.58274305556</v>
      </c>
      <c r="C208" s="1" t="n">
        <v>46129</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59964-2025</t>
        </is>
      </c>
      <c r="B209" s="1" t="n">
        <v>45993.48043981481</v>
      </c>
      <c r="C209" s="1" t="n">
        <v>46129</v>
      </c>
      <c r="D209" t="inlineStr">
        <is>
          <t>UPPSALA LÄN</t>
        </is>
      </c>
      <c r="E209" t="inlineStr">
        <is>
          <t>ENKÖPING</t>
        </is>
      </c>
      <c r="G209" t="n">
        <v>2.1</v>
      </c>
      <c r="H209" t="n">
        <v>0</v>
      </c>
      <c r="I209" t="n">
        <v>0</v>
      </c>
      <c r="J209" t="n">
        <v>0</v>
      </c>
      <c r="K209" t="n">
        <v>0</v>
      </c>
      <c r="L209" t="n">
        <v>0</v>
      </c>
      <c r="M209" t="n">
        <v>0</v>
      </c>
      <c r="N209" t="n">
        <v>0</v>
      </c>
      <c r="O209" t="n">
        <v>0</v>
      </c>
      <c r="P209" t="n">
        <v>0</v>
      </c>
      <c r="Q209" t="n">
        <v>0</v>
      </c>
      <c r="R209" s="2" t="inlineStr"/>
    </row>
    <row r="210" ht="15" customHeight="1">
      <c r="A210" t="inlineStr">
        <is>
          <t>A 29093-2025</t>
        </is>
      </c>
      <c r="B210" s="1" t="n">
        <v>45821.55743055556</v>
      </c>
      <c r="C210" s="1" t="n">
        <v>46129</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60340-2025</t>
        </is>
      </c>
      <c r="B211" s="1" t="n">
        <v>45994.83415509259</v>
      </c>
      <c r="C211" s="1" t="n">
        <v>46129</v>
      </c>
      <c r="D211" t="inlineStr">
        <is>
          <t>UPPSALA LÄN</t>
        </is>
      </c>
      <c r="E211" t="inlineStr">
        <is>
          <t>ENKÖPING</t>
        </is>
      </c>
      <c r="G211" t="n">
        <v>5.6</v>
      </c>
      <c r="H211" t="n">
        <v>0</v>
      </c>
      <c r="I211" t="n">
        <v>0</v>
      </c>
      <c r="J211" t="n">
        <v>0</v>
      </c>
      <c r="K211" t="n">
        <v>0</v>
      </c>
      <c r="L211" t="n">
        <v>0</v>
      </c>
      <c r="M211" t="n">
        <v>0</v>
      </c>
      <c r="N211" t="n">
        <v>0</v>
      </c>
      <c r="O211" t="n">
        <v>0</v>
      </c>
      <c r="P211" t="n">
        <v>0</v>
      </c>
      <c r="Q211" t="n">
        <v>0</v>
      </c>
      <c r="R211" s="2" t="inlineStr"/>
    </row>
    <row r="212" ht="15" customHeight="1">
      <c r="A212" t="inlineStr">
        <is>
          <t>A 32477-2025</t>
        </is>
      </c>
      <c r="B212" s="1" t="n">
        <v>45838.43098379629</v>
      </c>
      <c r="C212" s="1" t="n">
        <v>46129</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18592-2021</t>
        </is>
      </c>
      <c r="B213" s="1" t="n">
        <v>44306</v>
      </c>
      <c r="C213" s="1" t="n">
        <v>46129</v>
      </c>
      <c r="D213" t="inlineStr">
        <is>
          <t>UPPSALA LÄN</t>
        </is>
      </c>
      <c r="E213" t="inlineStr">
        <is>
          <t>ENKÖPING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6356-2022</t>
        </is>
      </c>
      <c r="B214" s="1" t="n">
        <v>44600</v>
      </c>
      <c r="C214" s="1" t="n">
        <v>46129</v>
      </c>
      <c r="D214" t="inlineStr">
        <is>
          <t>UPPSALA LÄN</t>
        </is>
      </c>
      <c r="E214" t="inlineStr">
        <is>
          <t>ENKÖPING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60174-2025</t>
        </is>
      </c>
      <c r="B215" s="1" t="n">
        <v>45994.45039351852</v>
      </c>
      <c r="C215" s="1" t="n">
        <v>46129</v>
      </c>
      <c r="D215" t="inlineStr">
        <is>
          <t>UPPSALA LÄN</t>
        </is>
      </c>
      <c r="E215" t="inlineStr">
        <is>
          <t>ENKÖPING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60175-2025</t>
        </is>
      </c>
      <c r="B216" s="1" t="n">
        <v>45994.45378472222</v>
      </c>
      <c r="C216" s="1" t="n">
        <v>46129</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45755-2025</t>
        </is>
      </c>
      <c r="B217" s="1" t="n">
        <v>45923.50240740741</v>
      </c>
      <c r="C217" s="1" t="n">
        <v>46129</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30837-2025</t>
        </is>
      </c>
      <c r="B218" s="1" t="n">
        <v>45831.7063425926</v>
      </c>
      <c r="C218" s="1" t="n">
        <v>46129</v>
      </c>
      <c r="D218" t="inlineStr">
        <is>
          <t>UPPSALA LÄN</t>
        </is>
      </c>
      <c r="E218" t="inlineStr">
        <is>
          <t>ENKÖPING</t>
        </is>
      </c>
      <c r="G218" t="n">
        <v>3.8</v>
      </c>
      <c r="H218" t="n">
        <v>0</v>
      </c>
      <c r="I218" t="n">
        <v>0</v>
      </c>
      <c r="J218" t="n">
        <v>0</v>
      </c>
      <c r="K218" t="n">
        <v>0</v>
      </c>
      <c r="L218" t="n">
        <v>0</v>
      </c>
      <c r="M218" t="n">
        <v>0</v>
      </c>
      <c r="N218" t="n">
        <v>0</v>
      </c>
      <c r="O218" t="n">
        <v>0</v>
      </c>
      <c r="P218" t="n">
        <v>0</v>
      </c>
      <c r="Q218" t="n">
        <v>0</v>
      </c>
      <c r="R218" s="2" t="inlineStr"/>
    </row>
    <row r="219" ht="15" customHeight="1">
      <c r="A219" t="inlineStr">
        <is>
          <t>A 34989-2025</t>
        </is>
      </c>
      <c r="B219" s="1" t="n">
        <v>45849</v>
      </c>
      <c r="C219" s="1" t="n">
        <v>46129</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34990-2025</t>
        </is>
      </c>
      <c r="B220" s="1" t="n">
        <v>45849.78916666667</v>
      </c>
      <c r="C220" s="1" t="n">
        <v>46129</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32111-2025</t>
        </is>
      </c>
      <c r="B221" s="1" t="n">
        <v>45835</v>
      </c>
      <c r="C221" s="1" t="n">
        <v>46129</v>
      </c>
      <c r="D221" t="inlineStr">
        <is>
          <t>UPPSALA LÄN</t>
        </is>
      </c>
      <c r="E221" t="inlineStr">
        <is>
          <t>ENKÖPING</t>
        </is>
      </c>
      <c r="G221" t="n">
        <v>1.7</v>
      </c>
      <c r="H221" t="n">
        <v>0</v>
      </c>
      <c r="I221" t="n">
        <v>0</v>
      </c>
      <c r="J221" t="n">
        <v>0</v>
      </c>
      <c r="K221" t="n">
        <v>0</v>
      </c>
      <c r="L221" t="n">
        <v>0</v>
      </c>
      <c r="M221" t="n">
        <v>0</v>
      </c>
      <c r="N221" t="n">
        <v>0</v>
      </c>
      <c r="O221" t="n">
        <v>0</v>
      </c>
      <c r="P221" t="n">
        <v>0</v>
      </c>
      <c r="Q221" t="n">
        <v>0</v>
      </c>
      <c r="R221" s="2" t="inlineStr"/>
    </row>
    <row r="222" ht="15" customHeight="1">
      <c r="A222" t="inlineStr">
        <is>
          <t>A 32031-2025</t>
        </is>
      </c>
      <c r="B222" s="1" t="n">
        <v>45835.41712962963</v>
      </c>
      <c r="C222" s="1" t="n">
        <v>46129</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46940-2025</t>
        </is>
      </c>
      <c r="B223" s="1" t="n">
        <v>45929.45483796296</v>
      </c>
      <c r="C223" s="1" t="n">
        <v>46129</v>
      </c>
      <c r="D223" t="inlineStr">
        <is>
          <t>UPPSALA LÄN</t>
        </is>
      </c>
      <c r="E223" t="inlineStr">
        <is>
          <t>ENKÖPING</t>
        </is>
      </c>
      <c r="G223" t="n">
        <v>5.3</v>
      </c>
      <c r="H223" t="n">
        <v>0</v>
      </c>
      <c r="I223" t="n">
        <v>0</v>
      </c>
      <c r="J223" t="n">
        <v>0</v>
      </c>
      <c r="K223" t="n">
        <v>0</v>
      </c>
      <c r="L223" t="n">
        <v>0</v>
      </c>
      <c r="M223" t="n">
        <v>0</v>
      </c>
      <c r="N223" t="n">
        <v>0</v>
      </c>
      <c r="O223" t="n">
        <v>0</v>
      </c>
      <c r="P223" t="n">
        <v>0</v>
      </c>
      <c r="Q223" t="n">
        <v>0</v>
      </c>
      <c r="R223" s="2" t="inlineStr"/>
    </row>
    <row r="224" ht="15" customHeight="1">
      <c r="A224" t="inlineStr">
        <is>
          <t>A 46590-2025</t>
        </is>
      </c>
      <c r="B224" s="1" t="n">
        <v>45926.39542824074</v>
      </c>
      <c r="C224" s="1" t="n">
        <v>46129</v>
      </c>
      <c r="D224" t="inlineStr">
        <is>
          <t>UPPSALA LÄN</t>
        </is>
      </c>
      <c r="E224" t="inlineStr">
        <is>
          <t>ENKÖPING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60947-2025</t>
        </is>
      </c>
      <c r="B225" s="1" t="n">
        <v>45999</v>
      </c>
      <c r="C225" s="1" t="n">
        <v>46129</v>
      </c>
      <c r="D225" t="inlineStr">
        <is>
          <t>UPPSALA LÄN</t>
        </is>
      </c>
      <c r="E225" t="inlineStr">
        <is>
          <t>ENKÖPING</t>
        </is>
      </c>
      <c r="G225" t="n">
        <v>4</v>
      </c>
      <c r="H225" t="n">
        <v>0</v>
      </c>
      <c r="I225" t="n">
        <v>0</v>
      </c>
      <c r="J225" t="n">
        <v>0</v>
      </c>
      <c r="K225" t="n">
        <v>0</v>
      </c>
      <c r="L225" t="n">
        <v>0</v>
      </c>
      <c r="M225" t="n">
        <v>0</v>
      </c>
      <c r="N225" t="n">
        <v>0</v>
      </c>
      <c r="O225" t="n">
        <v>0</v>
      </c>
      <c r="P225" t="n">
        <v>0</v>
      </c>
      <c r="Q225" t="n">
        <v>0</v>
      </c>
      <c r="R225" s="2" t="inlineStr"/>
    </row>
    <row r="226" ht="15" customHeight="1">
      <c r="A226" t="inlineStr">
        <is>
          <t>A 49614-2024</t>
        </is>
      </c>
      <c r="B226" s="1" t="n">
        <v>45596.57716435185</v>
      </c>
      <c r="C226" s="1" t="n">
        <v>46129</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49632-2024</t>
        </is>
      </c>
      <c r="B227" s="1" t="n">
        <v>45596</v>
      </c>
      <c r="C227" s="1" t="n">
        <v>46129</v>
      </c>
      <c r="D227" t="inlineStr">
        <is>
          <t>UPPSALA LÄN</t>
        </is>
      </c>
      <c r="E227" t="inlineStr">
        <is>
          <t>ENKÖPING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29479-2022</t>
        </is>
      </c>
      <c r="B228" s="1" t="n">
        <v>44753.57265046296</v>
      </c>
      <c r="C228" s="1" t="n">
        <v>46129</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47441-2025</t>
        </is>
      </c>
      <c r="B229" s="1" t="n">
        <v>45930.63986111111</v>
      </c>
      <c r="C229" s="1" t="n">
        <v>46129</v>
      </c>
      <c r="D229" t="inlineStr">
        <is>
          <t>UPPSALA LÄN</t>
        </is>
      </c>
      <c r="E229" t="inlineStr">
        <is>
          <t>ENKÖPING</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15740-2025</t>
        </is>
      </c>
      <c r="B230" s="1" t="n">
        <v>45748</v>
      </c>
      <c r="C230" s="1" t="n">
        <v>46129</v>
      </c>
      <c r="D230" t="inlineStr">
        <is>
          <t>UPPSALA LÄN</t>
        </is>
      </c>
      <c r="E230" t="inlineStr">
        <is>
          <t>ENKÖPING</t>
        </is>
      </c>
      <c r="G230" t="n">
        <v>0.9</v>
      </c>
      <c r="H230" t="n">
        <v>0</v>
      </c>
      <c r="I230" t="n">
        <v>0</v>
      </c>
      <c r="J230" t="n">
        <v>0</v>
      </c>
      <c r="K230" t="n">
        <v>0</v>
      </c>
      <c r="L230" t="n">
        <v>0</v>
      </c>
      <c r="M230" t="n">
        <v>0</v>
      </c>
      <c r="N230" t="n">
        <v>0</v>
      </c>
      <c r="O230" t="n">
        <v>0</v>
      </c>
      <c r="P230" t="n">
        <v>0</v>
      </c>
      <c r="Q230" t="n">
        <v>0</v>
      </c>
      <c r="R230" s="2" t="inlineStr"/>
    </row>
    <row r="231" ht="15" customHeight="1">
      <c r="A231" t="inlineStr">
        <is>
          <t>A 27538-2023</t>
        </is>
      </c>
      <c r="B231" s="1" t="n">
        <v>45097</v>
      </c>
      <c r="C231" s="1" t="n">
        <v>46129</v>
      </c>
      <c r="D231" t="inlineStr">
        <is>
          <t>UPPSALA LÄN</t>
        </is>
      </c>
      <c r="E231" t="inlineStr">
        <is>
          <t>ENKÖPING</t>
        </is>
      </c>
      <c r="G231" t="n">
        <v>5.8</v>
      </c>
      <c r="H231" t="n">
        <v>0</v>
      </c>
      <c r="I231" t="n">
        <v>0</v>
      </c>
      <c r="J231" t="n">
        <v>0</v>
      </c>
      <c r="K231" t="n">
        <v>0</v>
      </c>
      <c r="L231" t="n">
        <v>0</v>
      </c>
      <c r="M231" t="n">
        <v>0</v>
      </c>
      <c r="N231" t="n">
        <v>0</v>
      </c>
      <c r="O231" t="n">
        <v>0</v>
      </c>
      <c r="P231" t="n">
        <v>0</v>
      </c>
      <c r="Q231" t="n">
        <v>0</v>
      </c>
      <c r="R231" s="2" t="inlineStr"/>
    </row>
    <row r="232" ht="15" customHeight="1">
      <c r="A232" t="inlineStr">
        <is>
          <t>A 15409-2025</t>
        </is>
      </c>
      <c r="B232" s="1" t="n">
        <v>45747</v>
      </c>
      <c r="C232" s="1" t="n">
        <v>46129</v>
      </c>
      <c r="D232" t="inlineStr">
        <is>
          <t>UPPSALA LÄN</t>
        </is>
      </c>
      <c r="E232" t="inlineStr">
        <is>
          <t>ENKÖPING</t>
        </is>
      </c>
      <c r="G232" t="n">
        <v>2.5</v>
      </c>
      <c r="H232" t="n">
        <v>0</v>
      </c>
      <c r="I232" t="n">
        <v>0</v>
      </c>
      <c r="J232" t="n">
        <v>0</v>
      </c>
      <c r="K232" t="n">
        <v>0</v>
      </c>
      <c r="L232" t="n">
        <v>0</v>
      </c>
      <c r="M232" t="n">
        <v>0</v>
      </c>
      <c r="N232" t="n">
        <v>0</v>
      </c>
      <c r="O232" t="n">
        <v>0</v>
      </c>
      <c r="P232" t="n">
        <v>0</v>
      </c>
      <c r="Q232" t="n">
        <v>0</v>
      </c>
      <c r="R232" s="2" t="inlineStr"/>
    </row>
    <row r="233" ht="15" customHeight="1">
      <c r="A233" t="inlineStr">
        <is>
          <t>A 60874-2023</t>
        </is>
      </c>
      <c r="B233" s="1" t="n">
        <v>45261.06280092592</v>
      </c>
      <c r="C233" s="1" t="n">
        <v>46129</v>
      </c>
      <c r="D233" t="inlineStr">
        <is>
          <t>UPPSALA LÄN</t>
        </is>
      </c>
      <c r="E233" t="inlineStr">
        <is>
          <t>ENKÖPING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50394-2024</t>
        </is>
      </c>
      <c r="B234" s="1" t="n">
        <v>45600</v>
      </c>
      <c r="C234" s="1" t="n">
        <v>46129</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51010-2024</t>
        </is>
      </c>
      <c r="B235" s="1" t="n">
        <v>45603.39285879629</v>
      </c>
      <c r="C235" s="1" t="n">
        <v>46129</v>
      </c>
      <c r="D235" t="inlineStr">
        <is>
          <t>UPPSALA LÄN</t>
        </is>
      </c>
      <c r="E235" t="inlineStr">
        <is>
          <t>ENKÖPING</t>
        </is>
      </c>
      <c r="G235" t="n">
        <v>1.7</v>
      </c>
      <c r="H235" t="n">
        <v>0</v>
      </c>
      <c r="I235" t="n">
        <v>0</v>
      </c>
      <c r="J235" t="n">
        <v>0</v>
      </c>
      <c r="K235" t="n">
        <v>0</v>
      </c>
      <c r="L235" t="n">
        <v>0</v>
      </c>
      <c r="M235" t="n">
        <v>0</v>
      </c>
      <c r="N235" t="n">
        <v>0</v>
      </c>
      <c r="O235" t="n">
        <v>0</v>
      </c>
      <c r="P235" t="n">
        <v>0</v>
      </c>
      <c r="Q235" t="n">
        <v>0</v>
      </c>
      <c r="R235" s="2" t="inlineStr"/>
    </row>
    <row r="236" ht="15" customHeight="1">
      <c r="A236" t="inlineStr">
        <is>
          <t>A 18994-2025</t>
        </is>
      </c>
      <c r="B236" s="1" t="n">
        <v>45764.57350694444</v>
      </c>
      <c r="C236" s="1" t="n">
        <v>46129</v>
      </c>
      <c r="D236" t="inlineStr">
        <is>
          <t>UPPSALA LÄN</t>
        </is>
      </c>
      <c r="E236" t="inlineStr">
        <is>
          <t>ENKÖPING</t>
        </is>
      </c>
      <c r="G236" t="n">
        <v>3.8</v>
      </c>
      <c r="H236" t="n">
        <v>0</v>
      </c>
      <c r="I236" t="n">
        <v>0</v>
      </c>
      <c r="J236" t="n">
        <v>0</v>
      </c>
      <c r="K236" t="n">
        <v>0</v>
      </c>
      <c r="L236" t="n">
        <v>0</v>
      </c>
      <c r="M236" t="n">
        <v>0</v>
      </c>
      <c r="N236" t="n">
        <v>0</v>
      </c>
      <c r="O236" t="n">
        <v>0</v>
      </c>
      <c r="P236" t="n">
        <v>0</v>
      </c>
      <c r="Q236" t="n">
        <v>0</v>
      </c>
      <c r="R236" s="2" t="inlineStr"/>
    </row>
    <row r="237" ht="15" customHeight="1">
      <c r="A237" t="inlineStr">
        <is>
          <t>A 43016-2021</t>
        </is>
      </c>
      <c r="B237" s="1" t="n">
        <v>44431</v>
      </c>
      <c r="C237" s="1" t="n">
        <v>46129</v>
      </c>
      <c r="D237" t="inlineStr">
        <is>
          <t>UPPSALA LÄN</t>
        </is>
      </c>
      <c r="E237" t="inlineStr">
        <is>
          <t>ENKÖPING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39439-2025</t>
        </is>
      </c>
      <c r="B238" s="1" t="n">
        <v>45889</v>
      </c>
      <c r="C238" s="1" t="n">
        <v>46129</v>
      </c>
      <c r="D238" t="inlineStr">
        <is>
          <t>UPPSALA LÄN</t>
        </is>
      </c>
      <c r="E238" t="inlineStr">
        <is>
          <t>ENKÖPING</t>
        </is>
      </c>
      <c r="G238" t="n">
        <v>0.4</v>
      </c>
      <c r="H238" t="n">
        <v>0</v>
      </c>
      <c r="I238" t="n">
        <v>0</v>
      </c>
      <c r="J238" t="n">
        <v>0</v>
      </c>
      <c r="K238" t="n">
        <v>0</v>
      </c>
      <c r="L238" t="n">
        <v>0</v>
      </c>
      <c r="M238" t="n">
        <v>0</v>
      </c>
      <c r="N238" t="n">
        <v>0</v>
      </c>
      <c r="O238" t="n">
        <v>0</v>
      </c>
      <c r="P238" t="n">
        <v>0</v>
      </c>
      <c r="Q238" t="n">
        <v>0</v>
      </c>
      <c r="R238" s="2" t="inlineStr"/>
    </row>
    <row r="239" ht="15" customHeight="1">
      <c r="A239" t="inlineStr">
        <is>
          <t>A 57848-2024</t>
        </is>
      </c>
      <c r="B239" s="1" t="n">
        <v>45631.40947916666</v>
      </c>
      <c r="C239" s="1" t="n">
        <v>46129</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49601-2024</t>
        </is>
      </c>
      <c r="B240" s="1" t="n">
        <v>45596.56288194445</v>
      </c>
      <c r="C240" s="1" t="n">
        <v>46129</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48678-2025</t>
        </is>
      </c>
      <c r="B241" s="1" t="n">
        <v>45936.59168981481</v>
      </c>
      <c r="C241" s="1" t="n">
        <v>46129</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48423-2025</t>
        </is>
      </c>
      <c r="B242" s="1" t="n">
        <v>45934.68024305555</v>
      </c>
      <c r="C242" s="1" t="n">
        <v>46129</v>
      </c>
      <c r="D242" t="inlineStr">
        <is>
          <t>UPPSALA LÄN</t>
        </is>
      </c>
      <c r="E242" t="inlineStr">
        <is>
          <t>ENKÖPING</t>
        </is>
      </c>
      <c r="G242" t="n">
        <v>4.3</v>
      </c>
      <c r="H242" t="n">
        <v>0</v>
      </c>
      <c r="I242" t="n">
        <v>0</v>
      </c>
      <c r="J242" t="n">
        <v>0</v>
      </c>
      <c r="K242" t="n">
        <v>0</v>
      </c>
      <c r="L242" t="n">
        <v>0</v>
      </c>
      <c r="M242" t="n">
        <v>0</v>
      </c>
      <c r="N242" t="n">
        <v>0</v>
      </c>
      <c r="O242" t="n">
        <v>0</v>
      </c>
      <c r="P242" t="n">
        <v>0</v>
      </c>
      <c r="Q242" t="n">
        <v>0</v>
      </c>
      <c r="R242" s="2" t="inlineStr"/>
    </row>
    <row r="243" ht="15" customHeight="1">
      <c r="A243" t="inlineStr">
        <is>
          <t>A 48424-2025</t>
        </is>
      </c>
      <c r="B243" s="1" t="n">
        <v>45934.69131944444</v>
      </c>
      <c r="C243" s="1" t="n">
        <v>46129</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19147-2024</t>
        </is>
      </c>
      <c r="B244" s="1" t="n">
        <v>45428</v>
      </c>
      <c r="C244" s="1" t="n">
        <v>46129</v>
      </c>
      <c r="D244" t="inlineStr">
        <is>
          <t>UPPSALA LÄN</t>
        </is>
      </c>
      <c r="E244" t="inlineStr">
        <is>
          <t>ENKÖPING</t>
        </is>
      </c>
      <c r="G244" t="n">
        <v>1.9</v>
      </c>
      <c r="H244" t="n">
        <v>0</v>
      </c>
      <c r="I244" t="n">
        <v>0</v>
      </c>
      <c r="J244" t="n">
        <v>0</v>
      </c>
      <c r="K244" t="n">
        <v>0</v>
      </c>
      <c r="L244" t="n">
        <v>0</v>
      </c>
      <c r="M244" t="n">
        <v>0</v>
      </c>
      <c r="N244" t="n">
        <v>0</v>
      </c>
      <c r="O244" t="n">
        <v>0</v>
      </c>
      <c r="P244" t="n">
        <v>0</v>
      </c>
      <c r="Q244" t="n">
        <v>0</v>
      </c>
      <c r="R244" s="2" t="inlineStr"/>
    </row>
    <row r="245" ht="15" customHeight="1">
      <c r="A245" t="inlineStr">
        <is>
          <t>A 49073-2025</t>
        </is>
      </c>
      <c r="B245" s="1" t="n">
        <v>45937.65512731481</v>
      </c>
      <c r="C245" s="1" t="n">
        <v>46129</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57209-2024</t>
        </is>
      </c>
      <c r="B246" s="1" t="n">
        <v>45629.49311342592</v>
      </c>
      <c r="C246" s="1" t="n">
        <v>46129</v>
      </c>
      <c r="D246" t="inlineStr">
        <is>
          <t>UPPSALA LÄN</t>
        </is>
      </c>
      <c r="E246" t="inlineStr">
        <is>
          <t>ENKÖPING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51120-2023</t>
        </is>
      </c>
      <c r="B247" s="1" t="n">
        <v>45219.3088425926</v>
      </c>
      <c r="C247" s="1" t="n">
        <v>46129</v>
      </c>
      <c r="D247" t="inlineStr">
        <is>
          <t>UPPSALA LÄN</t>
        </is>
      </c>
      <c r="E247" t="inlineStr">
        <is>
          <t>ENKÖPING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12878-2025</t>
        </is>
      </c>
      <c r="B248" s="1" t="n">
        <v>45733.68571759259</v>
      </c>
      <c r="C248" s="1" t="n">
        <v>46129</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60934-2025</t>
        </is>
      </c>
      <c r="B249" s="1" t="n">
        <v>45999</v>
      </c>
      <c r="C249" s="1" t="n">
        <v>46129</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61437-2025</t>
        </is>
      </c>
      <c r="B250" s="1" t="n">
        <v>46001.5659375</v>
      </c>
      <c r="C250" s="1" t="n">
        <v>46129</v>
      </c>
      <c r="D250" t="inlineStr">
        <is>
          <t>UPPSALA LÄN</t>
        </is>
      </c>
      <c r="E250" t="inlineStr">
        <is>
          <t>ENKÖPING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29513-2025</t>
        </is>
      </c>
      <c r="B251" s="1" t="n">
        <v>45825</v>
      </c>
      <c r="C251" s="1" t="n">
        <v>46129</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17844-2025</t>
        </is>
      </c>
      <c r="B252" s="1" t="n">
        <v>45758.59920138889</v>
      </c>
      <c r="C252" s="1" t="n">
        <v>46129</v>
      </c>
      <c r="D252" t="inlineStr">
        <is>
          <t>UPPSALA LÄN</t>
        </is>
      </c>
      <c r="E252" t="inlineStr">
        <is>
          <t>ENKÖPING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27837-2025</t>
        </is>
      </c>
      <c r="B253" s="1" t="n">
        <v>45817.37207175926</v>
      </c>
      <c r="C253" s="1" t="n">
        <v>46129</v>
      </c>
      <c r="D253" t="inlineStr">
        <is>
          <t>UPPSALA LÄN</t>
        </is>
      </c>
      <c r="E253" t="inlineStr">
        <is>
          <t>ENKÖPING</t>
        </is>
      </c>
      <c r="G253" t="n">
        <v>7.3</v>
      </c>
      <c r="H253" t="n">
        <v>0</v>
      </c>
      <c r="I253" t="n">
        <v>0</v>
      </c>
      <c r="J253" t="n">
        <v>0</v>
      </c>
      <c r="K253" t="n">
        <v>0</v>
      </c>
      <c r="L253" t="n">
        <v>0</v>
      </c>
      <c r="M253" t="n">
        <v>0</v>
      </c>
      <c r="N253" t="n">
        <v>0</v>
      </c>
      <c r="O253" t="n">
        <v>0</v>
      </c>
      <c r="P253" t="n">
        <v>0</v>
      </c>
      <c r="Q253" t="n">
        <v>0</v>
      </c>
      <c r="R253" s="2" t="inlineStr"/>
    </row>
    <row r="254" ht="15" customHeight="1">
      <c r="A254" t="inlineStr">
        <is>
          <t>A 43103-2025</t>
        </is>
      </c>
      <c r="B254" s="1" t="n">
        <v>45909</v>
      </c>
      <c r="C254" s="1" t="n">
        <v>46129</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43896-2022</t>
        </is>
      </c>
      <c r="B255" s="1" t="n">
        <v>44838</v>
      </c>
      <c r="C255" s="1" t="n">
        <v>46129</v>
      </c>
      <c r="D255" t="inlineStr">
        <is>
          <t>UPPSALA LÄN</t>
        </is>
      </c>
      <c r="E255" t="inlineStr">
        <is>
          <t>ENKÖPING</t>
        </is>
      </c>
      <c r="G255" t="n">
        <v>5.3</v>
      </c>
      <c r="H255" t="n">
        <v>0</v>
      </c>
      <c r="I255" t="n">
        <v>0</v>
      </c>
      <c r="J255" t="n">
        <v>0</v>
      </c>
      <c r="K255" t="n">
        <v>0</v>
      </c>
      <c r="L255" t="n">
        <v>0</v>
      </c>
      <c r="M255" t="n">
        <v>0</v>
      </c>
      <c r="N255" t="n">
        <v>0</v>
      </c>
      <c r="O255" t="n">
        <v>0</v>
      </c>
      <c r="P255" t="n">
        <v>0</v>
      </c>
      <c r="Q255" t="n">
        <v>0</v>
      </c>
      <c r="R255" s="2" t="inlineStr"/>
    </row>
    <row r="256" ht="15" customHeight="1">
      <c r="A256" t="inlineStr">
        <is>
          <t>A 49068-2025</t>
        </is>
      </c>
      <c r="B256" s="1" t="n">
        <v>45937.64766203704</v>
      </c>
      <c r="C256" s="1" t="n">
        <v>46129</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7090-2022</t>
        </is>
      </c>
      <c r="B257" s="1" t="n">
        <v>44603.59520833333</v>
      </c>
      <c r="C257" s="1" t="n">
        <v>46129</v>
      </c>
      <c r="D257" t="inlineStr">
        <is>
          <t>UPPSALA LÄN</t>
        </is>
      </c>
      <c r="E257" t="inlineStr">
        <is>
          <t>ENKÖPING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9487-2025</t>
        </is>
      </c>
      <c r="B258" s="1" t="n">
        <v>45715.49331018519</v>
      </c>
      <c r="C258" s="1" t="n">
        <v>46129</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6144-2024</t>
        </is>
      </c>
      <c r="B259" s="1" t="n">
        <v>45337.4684837963</v>
      </c>
      <c r="C259" s="1" t="n">
        <v>46129</v>
      </c>
      <c r="D259" t="inlineStr">
        <is>
          <t>UPPSALA LÄN</t>
        </is>
      </c>
      <c r="E259" t="inlineStr">
        <is>
          <t>ENKÖPING</t>
        </is>
      </c>
      <c r="G259" t="n">
        <v>13.8</v>
      </c>
      <c r="H259" t="n">
        <v>0</v>
      </c>
      <c r="I259" t="n">
        <v>0</v>
      </c>
      <c r="J259" t="n">
        <v>0</v>
      </c>
      <c r="K259" t="n">
        <v>0</v>
      </c>
      <c r="L259" t="n">
        <v>0</v>
      </c>
      <c r="M259" t="n">
        <v>0</v>
      </c>
      <c r="N259" t="n">
        <v>0</v>
      </c>
      <c r="O259" t="n">
        <v>0</v>
      </c>
      <c r="P259" t="n">
        <v>0</v>
      </c>
      <c r="Q259" t="n">
        <v>0</v>
      </c>
      <c r="R259" s="2" t="inlineStr"/>
    </row>
    <row r="260" ht="15" customHeight="1">
      <c r="A260" t="inlineStr">
        <is>
          <t>A 33955-2024</t>
        </is>
      </c>
      <c r="B260" s="1" t="n">
        <v>45523.46952546296</v>
      </c>
      <c r="C260" s="1" t="n">
        <v>46129</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21501-2025</t>
        </is>
      </c>
      <c r="B261" s="1" t="n">
        <v>45782</v>
      </c>
      <c r="C261" s="1" t="n">
        <v>46129</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34988-2025</t>
        </is>
      </c>
      <c r="B262" s="1" t="n">
        <v>45849</v>
      </c>
      <c r="C262" s="1" t="n">
        <v>46129</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34987-2025</t>
        </is>
      </c>
      <c r="B263" s="1" t="n">
        <v>45849</v>
      </c>
      <c r="C263" s="1" t="n">
        <v>46129</v>
      </c>
      <c r="D263" t="inlineStr">
        <is>
          <t>UPPSALA LÄN</t>
        </is>
      </c>
      <c r="E263" t="inlineStr">
        <is>
          <t>ENKÖPING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51162-2025</t>
        </is>
      </c>
      <c r="B264" s="1" t="n">
        <v>45947.58820601852</v>
      </c>
      <c r="C264" s="1" t="n">
        <v>46129</v>
      </c>
      <c r="D264" t="inlineStr">
        <is>
          <t>UPPSALA LÄN</t>
        </is>
      </c>
      <c r="E264" t="inlineStr">
        <is>
          <t>ENKÖPING</t>
        </is>
      </c>
      <c r="G264" t="n">
        <v>3.4</v>
      </c>
      <c r="H264" t="n">
        <v>0</v>
      </c>
      <c r="I264" t="n">
        <v>0</v>
      </c>
      <c r="J264" t="n">
        <v>0</v>
      </c>
      <c r="K264" t="n">
        <v>0</v>
      </c>
      <c r="L264" t="n">
        <v>0</v>
      </c>
      <c r="M264" t="n">
        <v>0</v>
      </c>
      <c r="N264" t="n">
        <v>0</v>
      </c>
      <c r="O264" t="n">
        <v>0</v>
      </c>
      <c r="P264" t="n">
        <v>0</v>
      </c>
      <c r="Q264" t="n">
        <v>0</v>
      </c>
      <c r="R264" s="2" t="inlineStr"/>
    </row>
    <row r="265" ht="15" customHeight="1">
      <c r="A265" t="inlineStr">
        <is>
          <t>A 29477-2025</t>
        </is>
      </c>
      <c r="B265" s="1" t="n">
        <v>45824.71537037037</v>
      </c>
      <c r="C265" s="1" t="n">
        <v>46129</v>
      </c>
      <c r="D265" t="inlineStr">
        <is>
          <t>UPPSALA LÄN</t>
        </is>
      </c>
      <c r="E265" t="inlineStr">
        <is>
          <t>ENKÖPING</t>
        </is>
      </c>
      <c r="G265" t="n">
        <v>13.4</v>
      </c>
      <c r="H265" t="n">
        <v>0</v>
      </c>
      <c r="I265" t="n">
        <v>0</v>
      </c>
      <c r="J265" t="n">
        <v>0</v>
      </c>
      <c r="K265" t="n">
        <v>0</v>
      </c>
      <c r="L265" t="n">
        <v>0</v>
      </c>
      <c r="M265" t="n">
        <v>0</v>
      </c>
      <c r="N265" t="n">
        <v>0</v>
      </c>
      <c r="O265" t="n">
        <v>0</v>
      </c>
      <c r="P265" t="n">
        <v>0</v>
      </c>
      <c r="Q265" t="n">
        <v>0</v>
      </c>
      <c r="R265" s="2" t="inlineStr"/>
    </row>
    <row r="266" ht="15" customHeight="1">
      <c r="A266" t="inlineStr">
        <is>
          <t>A 36492-2025</t>
        </is>
      </c>
      <c r="B266" s="1" t="n">
        <v>45869</v>
      </c>
      <c r="C266" s="1" t="n">
        <v>46129</v>
      </c>
      <c r="D266" t="inlineStr">
        <is>
          <t>UPPSALA LÄN</t>
        </is>
      </c>
      <c r="E266" t="inlineStr">
        <is>
          <t>ENKÖPING</t>
        </is>
      </c>
      <c r="G266" t="n">
        <v>6.3</v>
      </c>
      <c r="H266" t="n">
        <v>0</v>
      </c>
      <c r="I266" t="n">
        <v>0</v>
      </c>
      <c r="J266" t="n">
        <v>0</v>
      </c>
      <c r="K266" t="n">
        <v>0</v>
      </c>
      <c r="L266" t="n">
        <v>0</v>
      </c>
      <c r="M266" t="n">
        <v>0</v>
      </c>
      <c r="N266" t="n">
        <v>0</v>
      </c>
      <c r="O266" t="n">
        <v>0</v>
      </c>
      <c r="P266" t="n">
        <v>0</v>
      </c>
      <c r="Q266" t="n">
        <v>0</v>
      </c>
      <c r="R266" s="2" t="inlineStr"/>
    </row>
    <row r="267" ht="15" customHeight="1">
      <c r="A267" t="inlineStr">
        <is>
          <t>A 51133-2025</t>
        </is>
      </c>
      <c r="B267" s="1" t="n">
        <v>45947.55598379629</v>
      </c>
      <c r="C267" s="1" t="n">
        <v>46129</v>
      </c>
      <c r="D267" t="inlineStr">
        <is>
          <t>UPPSALA LÄN</t>
        </is>
      </c>
      <c r="E267" t="inlineStr">
        <is>
          <t>ENKÖPING</t>
        </is>
      </c>
      <c r="G267" t="n">
        <v>2.4</v>
      </c>
      <c r="H267" t="n">
        <v>0</v>
      </c>
      <c r="I267" t="n">
        <v>0</v>
      </c>
      <c r="J267" t="n">
        <v>0</v>
      </c>
      <c r="K267" t="n">
        <v>0</v>
      </c>
      <c r="L267" t="n">
        <v>0</v>
      </c>
      <c r="M267" t="n">
        <v>0</v>
      </c>
      <c r="N267" t="n">
        <v>0</v>
      </c>
      <c r="O267" t="n">
        <v>0</v>
      </c>
      <c r="P267" t="n">
        <v>0</v>
      </c>
      <c r="Q267" t="n">
        <v>0</v>
      </c>
      <c r="R267" s="2" t="inlineStr"/>
    </row>
    <row r="268" ht="15" customHeight="1">
      <c r="A268" t="inlineStr">
        <is>
          <t>A 61778-2025</t>
        </is>
      </c>
      <c r="B268" s="1" t="n">
        <v>46002.66555555556</v>
      </c>
      <c r="C268" s="1" t="n">
        <v>46129</v>
      </c>
      <c r="D268" t="inlineStr">
        <is>
          <t>UPPSALA LÄN</t>
        </is>
      </c>
      <c r="E268" t="inlineStr">
        <is>
          <t>ENKÖPING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36350-2025</t>
        </is>
      </c>
      <c r="B269" s="1" t="n">
        <v>45868</v>
      </c>
      <c r="C269" s="1" t="n">
        <v>46129</v>
      </c>
      <c r="D269" t="inlineStr">
        <is>
          <t>UPPSALA LÄN</t>
        </is>
      </c>
      <c r="E269" t="inlineStr">
        <is>
          <t>ENKÖPING</t>
        </is>
      </c>
      <c r="G269" t="n">
        <v>1.9</v>
      </c>
      <c r="H269" t="n">
        <v>0</v>
      </c>
      <c r="I269" t="n">
        <v>0</v>
      </c>
      <c r="J269" t="n">
        <v>0</v>
      </c>
      <c r="K269" t="n">
        <v>0</v>
      </c>
      <c r="L269" t="n">
        <v>0</v>
      </c>
      <c r="M269" t="n">
        <v>0</v>
      </c>
      <c r="N269" t="n">
        <v>0</v>
      </c>
      <c r="O269" t="n">
        <v>0</v>
      </c>
      <c r="P269" t="n">
        <v>0</v>
      </c>
      <c r="Q269" t="n">
        <v>0</v>
      </c>
      <c r="R269" s="2" t="inlineStr"/>
    </row>
    <row r="270" ht="15" customHeight="1">
      <c r="A270" t="inlineStr">
        <is>
          <t>A 61811-2025</t>
        </is>
      </c>
      <c r="B270" s="1" t="n">
        <v>46002.90059027778</v>
      </c>
      <c r="C270" s="1" t="n">
        <v>46129</v>
      </c>
      <c r="D270" t="inlineStr">
        <is>
          <t>UPPSALA LÄN</t>
        </is>
      </c>
      <c r="E270" t="inlineStr">
        <is>
          <t>ENKÖPING</t>
        </is>
      </c>
      <c r="F270" t="inlineStr">
        <is>
          <t>Allmännings- och besparingsskogar</t>
        </is>
      </c>
      <c r="G270" t="n">
        <v>4.7</v>
      </c>
      <c r="H270" t="n">
        <v>0</v>
      </c>
      <c r="I270" t="n">
        <v>0</v>
      </c>
      <c r="J270" t="n">
        <v>0</v>
      </c>
      <c r="K270" t="n">
        <v>0</v>
      </c>
      <c r="L270" t="n">
        <v>0</v>
      </c>
      <c r="M270" t="n">
        <v>0</v>
      </c>
      <c r="N270" t="n">
        <v>0</v>
      </c>
      <c r="O270" t="n">
        <v>0</v>
      </c>
      <c r="P270" t="n">
        <v>0</v>
      </c>
      <c r="Q270" t="n">
        <v>0</v>
      </c>
      <c r="R270" s="2" t="inlineStr"/>
    </row>
    <row r="271" ht="15" customHeight="1">
      <c r="A271" t="inlineStr">
        <is>
          <t>A 16920-2023</t>
        </is>
      </c>
      <c r="B271" s="1" t="n">
        <v>45033.59030092593</v>
      </c>
      <c r="C271" s="1" t="n">
        <v>46129</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38941-2025</t>
        </is>
      </c>
      <c r="B272" s="1" t="n">
        <v>45887</v>
      </c>
      <c r="C272" s="1" t="n">
        <v>46129</v>
      </c>
      <c r="D272" t="inlineStr">
        <is>
          <t>UPPSALA LÄN</t>
        </is>
      </c>
      <c r="E272" t="inlineStr">
        <is>
          <t>ENKÖPING</t>
        </is>
      </c>
      <c r="F272" t="inlineStr">
        <is>
          <t>Övriga statliga verk och myndigheter</t>
        </is>
      </c>
      <c r="G272" t="n">
        <v>0.6</v>
      </c>
      <c r="H272" t="n">
        <v>0</v>
      </c>
      <c r="I272" t="n">
        <v>0</v>
      </c>
      <c r="J272" t="n">
        <v>0</v>
      </c>
      <c r="K272" t="n">
        <v>0</v>
      </c>
      <c r="L272" t="n">
        <v>0</v>
      </c>
      <c r="M272" t="n">
        <v>0</v>
      </c>
      <c r="N272" t="n">
        <v>0</v>
      </c>
      <c r="O272" t="n">
        <v>0</v>
      </c>
      <c r="P272" t="n">
        <v>0</v>
      </c>
      <c r="Q272" t="n">
        <v>0</v>
      </c>
      <c r="R272" s="2" t="inlineStr"/>
    </row>
    <row r="273" ht="15" customHeight="1">
      <c r="A273" t="inlineStr">
        <is>
          <t>A 53586-2024</t>
        </is>
      </c>
      <c r="B273" s="1" t="n">
        <v>45614</v>
      </c>
      <c r="C273" s="1" t="n">
        <v>46129</v>
      </c>
      <c r="D273" t="inlineStr">
        <is>
          <t>UPPSALA LÄN</t>
        </is>
      </c>
      <c r="E273" t="inlineStr">
        <is>
          <t>ENKÖPING</t>
        </is>
      </c>
      <c r="G273" t="n">
        <v>6.6</v>
      </c>
      <c r="H273" t="n">
        <v>0</v>
      </c>
      <c r="I273" t="n">
        <v>0</v>
      </c>
      <c r="J273" t="n">
        <v>0</v>
      </c>
      <c r="K273" t="n">
        <v>0</v>
      </c>
      <c r="L273" t="n">
        <v>0</v>
      </c>
      <c r="M273" t="n">
        <v>0</v>
      </c>
      <c r="N273" t="n">
        <v>0</v>
      </c>
      <c r="O273" t="n">
        <v>0</v>
      </c>
      <c r="P273" t="n">
        <v>0</v>
      </c>
      <c r="Q273" t="n">
        <v>0</v>
      </c>
      <c r="R273" s="2" t="inlineStr"/>
    </row>
    <row r="274" ht="15" customHeight="1">
      <c r="A274" t="inlineStr">
        <is>
          <t>A 26017-2025</t>
        </is>
      </c>
      <c r="B274" s="1" t="n">
        <v>45804</v>
      </c>
      <c r="C274" s="1" t="n">
        <v>46129</v>
      </c>
      <c r="D274" t="inlineStr">
        <is>
          <t>UPPSALA LÄN</t>
        </is>
      </c>
      <c r="E274" t="inlineStr">
        <is>
          <t>ENKÖPING</t>
        </is>
      </c>
      <c r="G274" t="n">
        <v>0.4</v>
      </c>
      <c r="H274" t="n">
        <v>0</v>
      </c>
      <c r="I274" t="n">
        <v>0</v>
      </c>
      <c r="J274" t="n">
        <v>0</v>
      </c>
      <c r="K274" t="n">
        <v>0</v>
      </c>
      <c r="L274" t="n">
        <v>0</v>
      </c>
      <c r="M274" t="n">
        <v>0</v>
      </c>
      <c r="N274" t="n">
        <v>0</v>
      </c>
      <c r="O274" t="n">
        <v>0</v>
      </c>
      <c r="P274" t="n">
        <v>0</v>
      </c>
      <c r="Q274" t="n">
        <v>0</v>
      </c>
      <c r="R274" s="2" t="inlineStr"/>
    </row>
    <row r="275" ht="15" customHeight="1">
      <c r="A275" t="inlineStr">
        <is>
          <t>A 36599-2025</t>
        </is>
      </c>
      <c r="B275" s="1" t="n">
        <v>45870.51723379629</v>
      </c>
      <c r="C275" s="1" t="n">
        <v>46129</v>
      </c>
      <c r="D275" t="inlineStr">
        <is>
          <t>UPPSALA LÄN</t>
        </is>
      </c>
      <c r="E275" t="inlineStr">
        <is>
          <t>ENKÖPING</t>
        </is>
      </c>
      <c r="G275" t="n">
        <v>5.9</v>
      </c>
      <c r="H275" t="n">
        <v>0</v>
      </c>
      <c r="I275" t="n">
        <v>0</v>
      </c>
      <c r="J275" t="n">
        <v>0</v>
      </c>
      <c r="K275" t="n">
        <v>0</v>
      </c>
      <c r="L275" t="n">
        <v>0</v>
      </c>
      <c r="M275" t="n">
        <v>0</v>
      </c>
      <c r="N275" t="n">
        <v>0</v>
      </c>
      <c r="O275" t="n">
        <v>0</v>
      </c>
      <c r="P275" t="n">
        <v>0</v>
      </c>
      <c r="Q275" t="n">
        <v>0</v>
      </c>
      <c r="R275" s="2" t="inlineStr"/>
    </row>
    <row r="276" ht="15" customHeight="1">
      <c r="A276" t="inlineStr">
        <is>
          <t>A 61889-2025</t>
        </is>
      </c>
      <c r="B276" s="1" t="n">
        <v>46003.44765046296</v>
      </c>
      <c r="C276" s="1" t="n">
        <v>46129</v>
      </c>
      <c r="D276" t="inlineStr">
        <is>
          <t>UPPSALA LÄN</t>
        </is>
      </c>
      <c r="E276" t="inlineStr">
        <is>
          <t>ENKÖPING</t>
        </is>
      </c>
      <c r="G276" t="n">
        <v>2.3</v>
      </c>
      <c r="H276" t="n">
        <v>0</v>
      </c>
      <c r="I276" t="n">
        <v>0</v>
      </c>
      <c r="J276" t="n">
        <v>0</v>
      </c>
      <c r="K276" t="n">
        <v>0</v>
      </c>
      <c r="L276" t="n">
        <v>0</v>
      </c>
      <c r="M276" t="n">
        <v>0</v>
      </c>
      <c r="N276" t="n">
        <v>0</v>
      </c>
      <c r="O276" t="n">
        <v>0</v>
      </c>
      <c r="P276" t="n">
        <v>0</v>
      </c>
      <c r="Q276" t="n">
        <v>0</v>
      </c>
      <c r="R276" s="2" t="inlineStr"/>
    </row>
    <row r="277" ht="15" customHeight="1">
      <c r="A277" t="inlineStr">
        <is>
          <t>A 37498-2025</t>
        </is>
      </c>
      <c r="B277" s="1" t="n">
        <v>45877</v>
      </c>
      <c r="C277" s="1" t="n">
        <v>46129</v>
      </c>
      <c r="D277" t="inlineStr">
        <is>
          <t>UPPSALA LÄN</t>
        </is>
      </c>
      <c r="E277" t="inlineStr">
        <is>
          <t>ENKÖPING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43506-2023</t>
        </is>
      </c>
      <c r="B278" s="1" t="n">
        <v>45181</v>
      </c>
      <c r="C278" s="1" t="n">
        <v>46129</v>
      </c>
      <c r="D278" t="inlineStr">
        <is>
          <t>UPPSALA LÄN</t>
        </is>
      </c>
      <c r="E278" t="inlineStr">
        <is>
          <t>ENKÖPING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37296-2025</t>
        </is>
      </c>
      <c r="B279" s="1" t="n">
        <v>45876</v>
      </c>
      <c r="C279" s="1" t="n">
        <v>46129</v>
      </c>
      <c r="D279" t="inlineStr">
        <is>
          <t>UPPSALA LÄN</t>
        </is>
      </c>
      <c r="E279" t="inlineStr">
        <is>
          <t>ENKÖPING</t>
        </is>
      </c>
      <c r="G279" t="n">
        <v>9.5</v>
      </c>
      <c r="H279" t="n">
        <v>0</v>
      </c>
      <c r="I279" t="n">
        <v>0</v>
      </c>
      <c r="J279" t="n">
        <v>0</v>
      </c>
      <c r="K279" t="n">
        <v>0</v>
      </c>
      <c r="L279" t="n">
        <v>0</v>
      </c>
      <c r="M279" t="n">
        <v>0</v>
      </c>
      <c r="N279" t="n">
        <v>0</v>
      </c>
      <c r="O279" t="n">
        <v>0</v>
      </c>
      <c r="P279" t="n">
        <v>0</v>
      </c>
      <c r="Q279" t="n">
        <v>0</v>
      </c>
      <c r="R279" s="2" t="inlineStr"/>
    </row>
    <row r="280" ht="15" customHeight="1">
      <c r="A280" t="inlineStr">
        <is>
          <t>A 37319-2025</t>
        </is>
      </c>
      <c r="B280" s="1" t="n">
        <v>45876</v>
      </c>
      <c r="C280" s="1" t="n">
        <v>46129</v>
      </c>
      <c r="D280" t="inlineStr">
        <is>
          <t>UPPSALA LÄN</t>
        </is>
      </c>
      <c r="E280" t="inlineStr">
        <is>
          <t>ENKÖPING</t>
        </is>
      </c>
      <c r="G280" t="n">
        <v>9.5</v>
      </c>
      <c r="H280" t="n">
        <v>0</v>
      </c>
      <c r="I280" t="n">
        <v>0</v>
      </c>
      <c r="J280" t="n">
        <v>0</v>
      </c>
      <c r="K280" t="n">
        <v>0</v>
      </c>
      <c r="L280" t="n">
        <v>0</v>
      </c>
      <c r="M280" t="n">
        <v>0</v>
      </c>
      <c r="N280" t="n">
        <v>0</v>
      </c>
      <c r="O280" t="n">
        <v>0</v>
      </c>
      <c r="P280" t="n">
        <v>0</v>
      </c>
      <c r="Q280" t="n">
        <v>0</v>
      </c>
      <c r="R280" s="2" t="inlineStr"/>
    </row>
    <row r="281" ht="15" customHeight="1">
      <c r="A281" t="inlineStr">
        <is>
          <t>A 46186-2023</t>
        </is>
      </c>
      <c r="B281" s="1" t="n">
        <v>45196</v>
      </c>
      <c r="C281" s="1" t="n">
        <v>46129</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54595-2021</t>
        </is>
      </c>
      <c r="B282" s="1" t="n">
        <v>44473.58824074074</v>
      </c>
      <c r="C282" s="1" t="n">
        <v>46129</v>
      </c>
      <c r="D282" t="inlineStr">
        <is>
          <t>UPPSALA LÄN</t>
        </is>
      </c>
      <c r="E282" t="inlineStr">
        <is>
          <t>ENKÖPING</t>
        </is>
      </c>
      <c r="G282" t="n">
        <v>1</v>
      </c>
      <c r="H282" t="n">
        <v>0</v>
      </c>
      <c r="I282" t="n">
        <v>0</v>
      </c>
      <c r="J282" t="n">
        <v>0</v>
      </c>
      <c r="K282" t="n">
        <v>0</v>
      </c>
      <c r="L282" t="n">
        <v>0</v>
      </c>
      <c r="M282" t="n">
        <v>0</v>
      </c>
      <c r="N282" t="n">
        <v>0</v>
      </c>
      <c r="O282" t="n">
        <v>0</v>
      </c>
      <c r="P282" t="n">
        <v>0</v>
      </c>
      <c r="Q282" t="n">
        <v>0</v>
      </c>
      <c r="R282" s="2" t="inlineStr"/>
    </row>
    <row r="283" ht="15" customHeight="1">
      <c r="A283" t="inlineStr">
        <is>
          <t>A 54588-2024</t>
        </is>
      </c>
      <c r="B283" s="1" t="n">
        <v>45617</v>
      </c>
      <c r="C283" s="1" t="n">
        <v>46129</v>
      </c>
      <c r="D283" t="inlineStr">
        <is>
          <t>UPPSALA LÄN</t>
        </is>
      </c>
      <c r="E283" t="inlineStr">
        <is>
          <t>ENKÖPING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49622-2024</t>
        </is>
      </c>
      <c r="B284" s="1" t="n">
        <v>45596.58372685185</v>
      </c>
      <c r="C284" s="1" t="n">
        <v>46129</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47428-2023</t>
        </is>
      </c>
      <c r="B285" s="1" t="n">
        <v>45202.66664351852</v>
      </c>
      <c r="C285" s="1" t="n">
        <v>46129</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26011-2025</t>
        </is>
      </c>
      <c r="B286" s="1" t="n">
        <v>45804.67412037037</v>
      </c>
      <c r="C286" s="1" t="n">
        <v>46129</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5892-2023</t>
        </is>
      </c>
      <c r="B287" s="1" t="n">
        <v>44963.64883101852</v>
      </c>
      <c r="C287" s="1" t="n">
        <v>46129</v>
      </c>
      <c r="D287" t="inlineStr">
        <is>
          <t>UPPSALA LÄN</t>
        </is>
      </c>
      <c r="E287" t="inlineStr">
        <is>
          <t>ENKÖPING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671-2022</t>
        </is>
      </c>
      <c r="B288" s="1" t="n">
        <v>44568</v>
      </c>
      <c r="C288" s="1" t="n">
        <v>46129</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43488-2023</t>
        </is>
      </c>
      <c r="B289" s="1" t="n">
        <v>45181</v>
      </c>
      <c r="C289" s="1" t="n">
        <v>46129</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2850-2025</t>
        </is>
      </c>
      <c r="B290" s="1" t="n">
        <v>45677</v>
      </c>
      <c r="C290" s="1" t="n">
        <v>46129</v>
      </c>
      <c r="D290" t="inlineStr">
        <is>
          <t>UPPSALA LÄN</t>
        </is>
      </c>
      <c r="E290" t="inlineStr">
        <is>
          <t>ENKÖPING</t>
        </is>
      </c>
      <c r="G290" t="n">
        <v>0.3</v>
      </c>
      <c r="H290" t="n">
        <v>0</v>
      </c>
      <c r="I290" t="n">
        <v>0</v>
      </c>
      <c r="J290" t="n">
        <v>0</v>
      </c>
      <c r="K290" t="n">
        <v>0</v>
      </c>
      <c r="L290" t="n">
        <v>0</v>
      </c>
      <c r="M290" t="n">
        <v>0</v>
      </c>
      <c r="N290" t="n">
        <v>0</v>
      </c>
      <c r="O290" t="n">
        <v>0</v>
      </c>
      <c r="P290" t="n">
        <v>0</v>
      </c>
      <c r="Q290" t="n">
        <v>0</v>
      </c>
      <c r="R290" s="2" t="inlineStr"/>
    </row>
    <row r="291" ht="15" customHeight="1">
      <c r="A291" t="inlineStr">
        <is>
          <t>A 9171-2024</t>
        </is>
      </c>
      <c r="B291" s="1" t="n">
        <v>45358</v>
      </c>
      <c r="C291" s="1" t="n">
        <v>46129</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54541-2025</t>
        </is>
      </c>
      <c r="B292" s="1" t="n">
        <v>45965.64733796296</v>
      </c>
      <c r="C292" s="1" t="n">
        <v>46129</v>
      </c>
      <c r="D292" t="inlineStr">
        <is>
          <t>UPPSALA LÄN</t>
        </is>
      </c>
      <c r="E292" t="inlineStr">
        <is>
          <t>ENKÖPING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54263-2025</t>
        </is>
      </c>
      <c r="B293" s="1" t="n">
        <v>45964.66271990741</v>
      </c>
      <c r="C293" s="1" t="n">
        <v>46129</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62599-2025</t>
        </is>
      </c>
      <c r="B294" s="1" t="n">
        <v>46007.91961805556</v>
      </c>
      <c r="C294" s="1" t="n">
        <v>46129</v>
      </c>
      <c r="D294" t="inlineStr">
        <is>
          <t>UPPSALA LÄN</t>
        </is>
      </c>
      <c r="E294" t="inlineStr">
        <is>
          <t>ENKÖPING</t>
        </is>
      </c>
      <c r="G294" t="n">
        <v>1.6</v>
      </c>
      <c r="H294" t="n">
        <v>0</v>
      </c>
      <c r="I294" t="n">
        <v>0</v>
      </c>
      <c r="J294" t="n">
        <v>0</v>
      </c>
      <c r="K294" t="n">
        <v>0</v>
      </c>
      <c r="L294" t="n">
        <v>0</v>
      </c>
      <c r="M294" t="n">
        <v>0</v>
      </c>
      <c r="N294" t="n">
        <v>0</v>
      </c>
      <c r="O294" t="n">
        <v>0</v>
      </c>
      <c r="P294" t="n">
        <v>0</v>
      </c>
      <c r="Q294" t="n">
        <v>0</v>
      </c>
      <c r="R294" s="2" t="inlineStr"/>
    </row>
    <row r="295" ht="15" customHeight="1">
      <c r="A295" t="inlineStr">
        <is>
          <t>A 62772-2025</t>
        </is>
      </c>
      <c r="B295" s="1" t="n">
        <v>46008.60365740741</v>
      </c>
      <c r="C295" s="1" t="n">
        <v>46129</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43230-2023</t>
        </is>
      </c>
      <c r="B296" s="1" t="n">
        <v>45183</v>
      </c>
      <c r="C296" s="1" t="n">
        <v>46129</v>
      </c>
      <c r="D296" t="inlineStr">
        <is>
          <t>UPPSALA LÄN</t>
        </is>
      </c>
      <c r="E296" t="inlineStr">
        <is>
          <t>ENKÖPING</t>
        </is>
      </c>
      <c r="G296" t="n">
        <v>2.1</v>
      </c>
      <c r="H296" t="n">
        <v>0</v>
      </c>
      <c r="I296" t="n">
        <v>0</v>
      </c>
      <c r="J296" t="n">
        <v>0</v>
      </c>
      <c r="K296" t="n">
        <v>0</v>
      </c>
      <c r="L296" t="n">
        <v>0</v>
      </c>
      <c r="M296" t="n">
        <v>0</v>
      </c>
      <c r="N296" t="n">
        <v>0</v>
      </c>
      <c r="O296" t="n">
        <v>0</v>
      </c>
      <c r="P296" t="n">
        <v>0</v>
      </c>
      <c r="Q296" t="n">
        <v>0</v>
      </c>
      <c r="R296" s="2" t="inlineStr"/>
    </row>
    <row r="297" ht="15" customHeight="1">
      <c r="A297" t="inlineStr">
        <is>
          <t>A 45362-2022</t>
        </is>
      </c>
      <c r="B297" s="1" t="n">
        <v>44844.62366898148</v>
      </c>
      <c r="C297" s="1" t="n">
        <v>46129</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72840-2021</t>
        </is>
      </c>
      <c r="B298" s="1" t="n">
        <v>44547</v>
      </c>
      <c r="C298" s="1" t="n">
        <v>46129</v>
      </c>
      <c r="D298" t="inlineStr">
        <is>
          <t>UPPSALA LÄN</t>
        </is>
      </c>
      <c r="E298" t="inlineStr">
        <is>
          <t>ENKÖPING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63128-2025</t>
        </is>
      </c>
      <c r="B299" s="1" t="n">
        <v>46009</v>
      </c>
      <c r="C299" s="1" t="n">
        <v>46129</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62600-2025</t>
        </is>
      </c>
      <c r="B300" s="1" t="n">
        <v>46007.92175925926</v>
      </c>
      <c r="C300" s="1" t="n">
        <v>46129</v>
      </c>
      <c r="D300" t="inlineStr">
        <is>
          <t>UPPSALA LÄN</t>
        </is>
      </c>
      <c r="E300" t="inlineStr">
        <is>
          <t>ENKÖPING</t>
        </is>
      </c>
      <c r="G300" t="n">
        <v>2</v>
      </c>
      <c r="H300" t="n">
        <v>0</v>
      </c>
      <c r="I300" t="n">
        <v>0</v>
      </c>
      <c r="J300" t="n">
        <v>0</v>
      </c>
      <c r="K300" t="n">
        <v>0</v>
      </c>
      <c r="L300" t="n">
        <v>0</v>
      </c>
      <c r="M300" t="n">
        <v>0</v>
      </c>
      <c r="N300" t="n">
        <v>0</v>
      </c>
      <c r="O300" t="n">
        <v>0</v>
      </c>
      <c r="P300" t="n">
        <v>0</v>
      </c>
      <c r="Q300" t="n">
        <v>0</v>
      </c>
      <c r="R300" s="2" t="inlineStr"/>
    </row>
    <row r="301" ht="15" customHeight="1">
      <c r="A301" t="inlineStr">
        <is>
          <t>A 62602-2025</t>
        </is>
      </c>
      <c r="B301" s="1" t="n">
        <v>46007.92581018519</v>
      </c>
      <c r="C301" s="1" t="n">
        <v>46129</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54844-2025</t>
        </is>
      </c>
      <c r="B302" s="1" t="n">
        <v>45966.69570601852</v>
      </c>
      <c r="C302" s="1" t="n">
        <v>46129</v>
      </c>
      <c r="D302" t="inlineStr">
        <is>
          <t>UPPSALA LÄN</t>
        </is>
      </c>
      <c r="E302" t="inlineStr">
        <is>
          <t>ENKÖPING</t>
        </is>
      </c>
      <c r="G302" t="n">
        <v>5.5</v>
      </c>
      <c r="H302" t="n">
        <v>0</v>
      </c>
      <c r="I302" t="n">
        <v>0</v>
      </c>
      <c r="J302" t="n">
        <v>0</v>
      </c>
      <c r="K302" t="n">
        <v>0</v>
      </c>
      <c r="L302" t="n">
        <v>0</v>
      </c>
      <c r="M302" t="n">
        <v>0</v>
      </c>
      <c r="N302" t="n">
        <v>0</v>
      </c>
      <c r="O302" t="n">
        <v>0</v>
      </c>
      <c r="P302" t="n">
        <v>0</v>
      </c>
      <c r="Q302" t="n">
        <v>0</v>
      </c>
      <c r="R302" s="2" t="inlineStr"/>
    </row>
    <row r="303" ht="15" customHeight="1">
      <c r="A303" t="inlineStr">
        <is>
          <t>A 62601-2025</t>
        </is>
      </c>
      <c r="B303" s="1" t="n">
        <v>46007.92395833333</v>
      </c>
      <c r="C303" s="1" t="n">
        <v>46129</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54758-2025</t>
        </is>
      </c>
      <c r="B304" s="1" t="n">
        <v>45966.59737268519</v>
      </c>
      <c r="C304" s="1" t="n">
        <v>46129</v>
      </c>
      <c r="D304" t="inlineStr">
        <is>
          <t>UPPSALA LÄN</t>
        </is>
      </c>
      <c r="E304" t="inlineStr">
        <is>
          <t>ENKÖPING</t>
        </is>
      </c>
      <c r="G304" t="n">
        <v>3.3</v>
      </c>
      <c r="H304" t="n">
        <v>0</v>
      </c>
      <c r="I304" t="n">
        <v>0</v>
      </c>
      <c r="J304" t="n">
        <v>0</v>
      </c>
      <c r="K304" t="n">
        <v>0</v>
      </c>
      <c r="L304" t="n">
        <v>0</v>
      </c>
      <c r="M304" t="n">
        <v>0</v>
      </c>
      <c r="N304" t="n">
        <v>0</v>
      </c>
      <c r="O304" t="n">
        <v>0</v>
      </c>
      <c r="P304" t="n">
        <v>0</v>
      </c>
      <c r="Q304" t="n">
        <v>0</v>
      </c>
      <c r="R304" s="2" t="inlineStr"/>
    </row>
    <row r="305" ht="15" customHeight="1">
      <c r="A305" t="inlineStr">
        <is>
          <t>A 55567-2025</t>
        </is>
      </c>
      <c r="B305" s="1" t="n">
        <v>45971.65589120371</v>
      </c>
      <c r="C305" s="1" t="n">
        <v>46129</v>
      </c>
      <c r="D305" t="inlineStr">
        <is>
          <t>UPPSALA LÄN</t>
        </is>
      </c>
      <c r="E305" t="inlineStr">
        <is>
          <t>ENKÖPING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34617-2022</t>
        </is>
      </c>
      <c r="B306" s="1" t="n">
        <v>44795</v>
      </c>
      <c r="C306" s="1" t="n">
        <v>46129</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1992-2022</t>
        </is>
      </c>
      <c r="B307" s="1" t="n">
        <v>44575.56153935185</v>
      </c>
      <c r="C307" s="1" t="n">
        <v>46129</v>
      </c>
      <c r="D307" t="inlineStr">
        <is>
          <t>UPPSALA LÄN</t>
        </is>
      </c>
      <c r="E307" t="inlineStr">
        <is>
          <t>ENKÖPING</t>
        </is>
      </c>
      <c r="G307" t="n">
        <v>2.8</v>
      </c>
      <c r="H307" t="n">
        <v>0</v>
      </c>
      <c r="I307" t="n">
        <v>0</v>
      </c>
      <c r="J307" t="n">
        <v>0</v>
      </c>
      <c r="K307" t="n">
        <v>0</v>
      </c>
      <c r="L307" t="n">
        <v>0</v>
      </c>
      <c r="M307" t="n">
        <v>0</v>
      </c>
      <c r="N307" t="n">
        <v>0</v>
      </c>
      <c r="O307" t="n">
        <v>0</v>
      </c>
      <c r="P307" t="n">
        <v>0</v>
      </c>
      <c r="Q307" t="n">
        <v>0</v>
      </c>
      <c r="R307" s="2" t="inlineStr"/>
    </row>
    <row r="308" ht="15" customHeight="1">
      <c r="A308" t="inlineStr">
        <is>
          <t>A 18583-2021</t>
        </is>
      </c>
      <c r="B308" s="1" t="n">
        <v>44306</v>
      </c>
      <c r="C308" s="1" t="n">
        <v>46129</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1695-2025</t>
        </is>
      </c>
      <c r="B309" s="1" t="n">
        <v>45670</v>
      </c>
      <c r="C309" s="1" t="n">
        <v>46129</v>
      </c>
      <c r="D309" t="inlineStr">
        <is>
          <t>UPPSALA LÄN</t>
        </is>
      </c>
      <c r="E309" t="inlineStr">
        <is>
          <t>ENKÖPING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21017-2023</t>
        </is>
      </c>
      <c r="B310" s="1" t="n">
        <v>45061</v>
      </c>
      <c r="C310" s="1" t="n">
        <v>46129</v>
      </c>
      <c r="D310" t="inlineStr">
        <is>
          <t>UPPSALA LÄN</t>
        </is>
      </c>
      <c r="E310" t="inlineStr">
        <is>
          <t>ENKÖPING</t>
        </is>
      </c>
      <c r="G310" t="n">
        <v>4.8</v>
      </c>
      <c r="H310" t="n">
        <v>0</v>
      </c>
      <c r="I310" t="n">
        <v>0</v>
      </c>
      <c r="J310" t="n">
        <v>0</v>
      </c>
      <c r="K310" t="n">
        <v>0</v>
      </c>
      <c r="L310" t="n">
        <v>0</v>
      </c>
      <c r="M310" t="n">
        <v>0</v>
      </c>
      <c r="N310" t="n">
        <v>0</v>
      </c>
      <c r="O310" t="n">
        <v>0</v>
      </c>
      <c r="P310" t="n">
        <v>0</v>
      </c>
      <c r="Q310" t="n">
        <v>0</v>
      </c>
      <c r="R310" s="2" t="inlineStr"/>
    </row>
    <row r="311" ht="15" customHeight="1">
      <c r="A311" t="inlineStr">
        <is>
          <t>A 54357-2023</t>
        </is>
      </c>
      <c r="B311" s="1" t="n">
        <v>45225</v>
      </c>
      <c r="C311" s="1" t="n">
        <v>46129</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24962-2023</t>
        </is>
      </c>
      <c r="B312" s="1" t="n">
        <v>45085.60123842592</v>
      </c>
      <c r="C312" s="1" t="n">
        <v>46129</v>
      </c>
      <c r="D312" t="inlineStr">
        <is>
          <t>UPPSALA LÄN</t>
        </is>
      </c>
      <c r="E312" t="inlineStr">
        <is>
          <t>ENKÖPING</t>
        </is>
      </c>
      <c r="G312" t="n">
        <v>2.8</v>
      </c>
      <c r="H312" t="n">
        <v>0</v>
      </c>
      <c r="I312" t="n">
        <v>0</v>
      </c>
      <c r="J312" t="n">
        <v>0</v>
      </c>
      <c r="K312" t="n">
        <v>0</v>
      </c>
      <c r="L312" t="n">
        <v>0</v>
      </c>
      <c r="M312" t="n">
        <v>0</v>
      </c>
      <c r="N312" t="n">
        <v>0</v>
      </c>
      <c r="O312" t="n">
        <v>0</v>
      </c>
      <c r="P312" t="n">
        <v>0</v>
      </c>
      <c r="Q312" t="n">
        <v>0</v>
      </c>
      <c r="R312" s="2" t="inlineStr"/>
    </row>
    <row r="313" ht="15" customHeight="1">
      <c r="A313" t="inlineStr">
        <is>
          <t>A 58961-2024</t>
        </is>
      </c>
      <c r="B313" s="1" t="n">
        <v>45636.585</v>
      </c>
      <c r="C313" s="1" t="n">
        <v>46129</v>
      </c>
      <c r="D313" t="inlineStr">
        <is>
          <t>UPPSALA LÄN</t>
        </is>
      </c>
      <c r="E313" t="inlineStr">
        <is>
          <t>ENKÖPING</t>
        </is>
      </c>
      <c r="G313" t="n">
        <v>4</v>
      </c>
      <c r="H313" t="n">
        <v>0</v>
      </c>
      <c r="I313" t="n">
        <v>0</v>
      </c>
      <c r="J313" t="n">
        <v>0</v>
      </c>
      <c r="K313" t="n">
        <v>0</v>
      </c>
      <c r="L313" t="n">
        <v>0</v>
      </c>
      <c r="M313" t="n">
        <v>0</v>
      </c>
      <c r="N313" t="n">
        <v>0</v>
      </c>
      <c r="O313" t="n">
        <v>0</v>
      </c>
      <c r="P313" t="n">
        <v>0</v>
      </c>
      <c r="Q313" t="n">
        <v>0</v>
      </c>
      <c r="R313" s="2" t="inlineStr"/>
    </row>
    <row r="314" ht="15" customHeight="1">
      <c r="A314" t="inlineStr">
        <is>
          <t>A 53595-2023</t>
        </is>
      </c>
      <c r="B314" s="1" t="n">
        <v>45223</v>
      </c>
      <c r="C314" s="1" t="n">
        <v>46129</v>
      </c>
      <c r="D314" t="inlineStr">
        <is>
          <t>UPPSALA LÄN</t>
        </is>
      </c>
      <c r="E314" t="inlineStr">
        <is>
          <t>ENKÖPING</t>
        </is>
      </c>
      <c r="G314" t="n">
        <v>2.6</v>
      </c>
      <c r="H314" t="n">
        <v>0</v>
      </c>
      <c r="I314" t="n">
        <v>0</v>
      </c>
      <c r="J314" t="n">
        <v>0</v>
      </c>
      <c r="K314" t="n">
        <v>0</v>
      </c>
      <c r="L314" t="n">
        <v>0</v>
      </c>
      <c r="M314" t="n">
        <v>0</v>
      </c>
      <c r="N314" t="n">
        <v>0</v>
      </c>
      <c r="O314" t="n">
        <v>0</v>
      </c>
      <c r="P314" t="n">
        <v>0</v>
      </c>
      <c r="Q314" t="n">
        <v>0</v>
      </c>
      <c r="R314" s="2" t="inlineStr"/>
    </row>
    <row r="315" ht="15" customHeight="1">
      <c r="A315" t="inlineStr">
        <is>
          <t>A 60848-2025</t>
        </is>
      </c>
      <c r="B315" s="1" t="n">
        <v>45999</v>
      </c>
      <c r="C315" s="1" t="n">
        <v>46129</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15893-2024</t>
        </is>
      </c>
      <c r="B316" s="1" t="n">
        <v>45405</v>
      </c>
      <c r="C316" s="1" t="n">
        <v>46129</v>
      </c>
      <c r="D316" t="inlineStr">
        <is>
          <t>UPPSALA LÄN</t>
        </is>
      </c>
      <c r="E316" t="inlineStr">
        <is>
          <t>ENKÖPING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18028-2023</t>
        </is>
      </c>
      <c r="B317" s="1" t="n">
        <v>45040</v>
      </c>
      <c r="C317" s="1" t="n">
        <v>46129</v>
      </c>
      <c r="D317" t="inlineStr">
        <is>
          <t>UPPSALA LÄN</t>
        </is>
      </c>
      <c r="E317" t="inlineStr">
        <is>
          <t>ENKÖPING</t>
        </is>
      </c>
      <c r="G317" t="n">
        <v>1.1</v>
      </c>
      <c r="H317" t="n">
        <v>0</v>
      </c>
      <c r="I317" t="n">
        <v>0</v>
      </c>
      <c r="J317" t="n">
        <v>0</v>
      </c>
      <c r="K317" t="n">
        <v>0</v>
      </c>
      <c r="L317" t="n">
        <v>0</v>
      </c>
      <c r="M317" t="n">
        <v>0</v>
      </c>
      <c r="N317" t="n">
        <v>0</v>
      </c>
      <c r="O317" t="n">
        <v>0</v>
      </c>
      <c r="P317" t="n">
        <v>0</v>
      </c>
      <c r="Q317" t="n">
        <v>0</v>
      </c>
      <c r="R317" s="2" t="inlineStr"/>
    </row>
    <row r="318" ht="15" customHeight="1">
      <c r="A318" t="inlineStr">
        <is>
          <t>A 192-2026</t>
        </is>
      </c>
      <c r="B318" s="1" t="n">
        <v>46025</v>
      </c>
      <c r="C318" s="1" t="n">
        <v>46129</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48843-2023</t>
        </is>
      </c>
      <c r="B319" s="1" t="n">
        <v>45209</v>
      </c>
      <c r="C319" s="1" t="n">
        <v>46129</v>
      </c>
      <c r="D319" t="inlineStr">
        <is>
          <t>UPPSALA LÄN</t>
        </is>
      </c>
      <c r="E319" t="inlineStr">
        <is>
          <t>ENKÖPING</t>
        </is>
      </c>
      <c r="G319" t="n">
        <v>1.3</v>
      </c>
      <c r="H319" t="n">
        <v>0</v>
      </c>
      <c r="I319" t="n">
        <v>0</v>
      </c>
      <c r="J319" t="n">
        <v>0</v>
      </c>
      <c r="K319" t="n">
        <v>0</v>
      </c>
      <c r="L319" t="n">
        <v>0</v>
      </c>
      <c r="M319" t="n">
        <v>0</v>
      </c>
      <c r="N319" t="n">
        <v>0</v>
      </c>
      <c r="O319" t="n">
        <v>0</v>
      </c>
      <c r="P319" t="n">
        <v>0</v>
      </c>
      <c r="Q319" t="n">
        <v>0</v>
      </c>
      <c r="R319" s="2" t="inlineStr"/>
    </row>
    <row r="320" ht="15" customHeight="1">
      <c r="A320" t="inlineStr">
        <is>
          <t>A 33670-2024</t>
        </is>
      </c>
      <c r="B320" s="1" t="n">
        <v>45520</v>
      </c>
      <c r="C320" s="1" t="n">
        <v>46129</v>
      </c>
      <c r="D320" t="inlineStr">
        <is>
          <t>UPPSALA LÄN</t>
        </is>
      </c>
      <c r="E320" t="inlineStr">
        <is>
          <t>ENKÖPING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861-2026</t>
        </is>
      </c>
      <c r="B321" s="1" t="n">
        <v>46030</v>
      </c>
      <c r="C321" s="1" t="n">
        <v>46129</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19376-2024</t>
        </is>
      </c>
      <c r="B322" s="1" t="n">
        <v>45429</v>
      </c>
      <c r="C322" s="1" t="n">
        <v>46129</v>
      </c>
      <c r="D322" t="inlineStr">
        <is>
          <t>UPPSALA LÄN</t>
        </is>
      </c>
      <c r="E322" t="inlineStr">
        <is>
          <t>ENKÖPING</t>
        </is>
      </c>
      <c r="G322" t="n">
        <v>1.6</v>
      </c>
      <c r="H322" t="n">
        <v>0</v>
      </c>
      <c r="I322" t="n">
        <v>0</v>
      </c>
      <c r="J322" t="n">
        <v>0</v>
      </c>
      <c r="K322" t="n">
        <v>0</v>
      </c>
      <c r="L322" t="n">
        <v>0</v>
      </c>
      <c r="M322" t="n">
        <v>0</v>
      </c>
      <c r="N322" t="n">
        <v>0</v>
      </c>
      <c r="O322" t="n">
        <v>0</v>
      </c>
      <c r="P322" t="n">
        <v>0</v>
      </c>
      <c r="Q322" t="n">
        <v>0</v>
      </c>
      <c r="R322" s="2" t="inlineStr"/>
    </row>
    <row r="323" ht="15" customHeight="1">
      <c r="A323" t="inlineStr">
        <is>
          <t>A 2258-2026</t>
        </is>
      </c>
      <c r="B323" s="1" t="n">
        <v>46036</v>
      </c>
      <c r="C323" s="1" t="n">
        <v>46129</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12020-2024</t>
        </is>
      </c>
      <c r="B324" s="1" t="n">
        <v>45377</v>
      </c>
      <c r="C324" s="1" t="n">
        <v>46129</v>
      </c>
      <c r="D324" t="inlineStr">
        <is>
          <t>UPPSALA LÄN</t>
        </is>
      </c>
      <c r="E324" t="inlineStr">
        <is>
          <t>ENKÖPING</t>
        </is>
      </c>
      <c r="G324" t="n">
        <v>2</v>
      </c>
      <c r="H324" t="n">
        <v>0</v>
      </c>
      <c r="I324" t="n">
        <v>0</v>
      </c>
      <c r="J324" t="n">
        <v>0</v>
      </c>
      <c r="K324" t="n">
        <v>0</v>
      </c>
      <c r="L324" t="n">
        <v>0</v>
      </c>
      <c r="M324" t="n">
        <v>0</v>
      </c>
      <c r="N324" t="n">
        <v>0</v>
      </c>
      <c r="O324" t="n">
        <v>0</v>
      </c>
      <c r="P324" t="n">
        <v>0</v>
      </c>
      <c r="Q324" t="n">
        <v>0</v>
      </c>
      <c r="R324" s="2" t="inlineStr"/>
    </row>
    <row r="325" ht="15" customHeight="1">
      <c r="A325" t="inlineStr">
        <is>
          <t>A 2218-2026</t>
        </is>
      </c>
      <c r="B325" s="1" t="n">
        <v>46036.50010416667</v>
      </c>
      <c r="C325" s="1" t="n">
        <v>46129</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10465-2022</t>
        </is>
      </c>
      <c r="B326" s="1" t="n">
        <v>44623</v>
      </c>
      <c r="C326" s="1" t="n">
        <v>46129</v>
      </c>
      <c r="D326" t="inlineStr">
        <is>
          <t>UPPSALA LÄN</t>
        </is>
      </c>
      <c r="E326" t="inlineStr">
        <is>
          <t>ENKÖPING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14332-2024</t>
        </is>
      </c>
      <c r="B327" s="1" t="n">
        <v>45393</v>
      </c>
      <c r="C327" s="1" t="n">
        <v>46129</v>
      </c>
      <c r="D327" t="inlineStr">
        <is>
          <t>UPPSALA LÄN</t>
        </is>
      </c>
      <c r="E327" t="inlineStr">
        <is>
          <t>ENKÖPING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61207-2023</t>
        </is>
      </c>
      <c r="B328" s="1" t="n">
        <v>45264.39444444444</v>
      </c>
      <c r="C328" s="1" t="n">
        <v>46129</v>
      </c>
      <c r="D328" t="inlineStr">
        <is>
          <t>UPPSALA LÄN</t>
        </is>
      </c>
      <c r="E328" t="inlineStr">
        <is>
          <t>ENKÖPING</t>
        </is>
      </c>
      <c r="G328" t="n">
        <v>10.8</v>
      </c>
      <c r="H328" t="n">
        <v>0</v>
      </c>
      <c r="I328" t="n">
        <v>0</v>
      </c>
      <c r="J328" t="n">
        <v>0</v>
      </c>
      <c r="K328" t="n">
        <v>0</v>
      </c>
      <c r="L328" t="n">
        <v>0</v>
      </c>
      <c r="M328" t="n">
        <v>0</v>
      </c>
      <c r="N328" t="n">
        <v>0</v>
      </c>
      <c r="O328" t="n">
        <v>0</v>
      </c>
      <c r="P328" t="n">
        <v>0</v>
      </c>
      <c r="Q328" t="n">
        <v>0</v>
      </c>
      <c r="R328" s="2" t="inlineStr"/>
    </row>
    <row r="329" ht="15" customHeight="1">
      <c r="A329" t="inlineStr">
        <is>
          <t>A 40812-2022</t>
        </is>
      </c>
      <c r="B329" s="1" t="n">
        <v>44824.68791666667</v>
      </c>
      <c r="C329" s="1" t="n">
        <v>46129</v>
      </c>
      <c r="D329" t="inlineStr">
        <is>
          <t>UPPSALA LÄN</t>
        </is>
      </c>
      <c r="E329" t="inlineStr">
        <is>
          <t>ENKÖPING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43691-2024</t>
        </is>
      </c>
      <c r="B330" s="1" t="n">
        <v>45569</v>
      </c>
      <c r="C330" s="1" t="n">
        <v>46129</v>
      </c>
      <c r="D330" t="inlineStr">
        <is>
          <t>UPPSALA LÄN</t>
        </is>
      </c>
      <c r="E330" t="inlineStr">
        <is>
          <t>ENKÖPING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25333-2023</t>
        </is>
      </c>
      <c r="B331" s="1" t="n">
        <v>45083</v>
      </c>
      <c r="C331" s="1" t="n">
        <v>46129</v>
      </c>
      <c r="D331" t="inlineStr">
        <is>
          <t>UPPSALA LÄN</t>
        </is>
      </c>
      <c r="E331" t="inlineStr">
        <is>
          <t>ENKÖPING</t>
        </is>
      </c>
      <c r="G331" t="n">
        <v>2.7</v>
      </c>
      <c r="H331" t="n">
        <v>0</v>
      </c>
      <c r="I331" t="n">
        <v>0</v>
      </c>
      <c r="J331" t="n">
        <v>0</v>
      </c>
      <c r="K331" t="n">
        <v>0</v>
      </c>
      <c r="L331" t="n">
        <v>0</v>
      </c>
      <c r="M331" t="n">
        <v>0</v>
      </c>
      <c r="N331" t="n">
        <v>0</v>
      </c>
      <c r="O331" t="n">
        <v>0</v>
      </c>
      <c r="P331" t="n">
        <v>0</v>
      </c>
      <c r="Q331" t="n">
        <v>0</v>
      </c>
      <c r="R331" s="2" t="inlineStr"/>
    </row>
    <row r="332" ht="15" customHeight="1">
      <c r="A332" t="inlineStr">
        <is>
          <t>A 3300-2025</t>
        </is>
      </c>
      <c r="B332" s="1" t="n">
        <v>45679</v>
      </c>
      <c r="C332" s="1" t="n">
        <v>46129</v>
      </c>
      <c r="D332" t="inlineStr">
        <is>
          <t>UPPSALA LÄN</t>
        </is>
      </c>
      <c r="E332" t="inlineStr">
        <is>
          <t>ENKÖPING</t>
        </is>
      </c>
      <c r="G332" t="n">
        <v>8.9</v>
      </c>
      <c r="H332" t="n">
        <v>0</v>
      </c>
      <c r="I332" t="n">
        <v>0</v>
      </c>
      <c r="J332" t="n">
        <v>0</v>
      </c>
      <c r="K332" t="n">
        <v>0</v>
      </c>
      <c r="L332" t="n">
        <v>0</v>
      </c>
      <c r="M332" t="n">
        <v>0</v>
      </c>
      <c r="N332" t="n">
        <v>0</v>
      </c>
      <c r="O332" t="n">
        <v>0</v>
      </c>
      <c r="P332" t="n">
        <v>0</v>
      </c>
      <c r="Q332" t="n">
        <v>0</v>
      </c>
      <c r="R332" s="2" t="inlineStr"/>
    </row>
    <row r="333" ht="15" customHeight="1">
      <c r="A333" t="inlineStr">
        <is>
          <t>A 12754-2025</t>
        </is>
      </c>
      <c r="B333" s="1" t="n">
        <v>45733.56331018519</v>
      </c>
      <c r="C333" s="1" t="n">
        <v>46129</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16176-2025</t>
        </is>
      </c>
      <c r="B334" s="1" t="n">
        <v>45750</v>
      </c>
      <c r="C334" s="1" t="n">
        <v>46129</v>
      </c>
      <c r="D334" t="inlineStr">
        <is>
          <t>UPPSALA LÄN</t>
        </is>
      </c>
      <c r="E334" t="inlineStr">
        <is>
          <t>ENKÖPING</t>
        </is>
      </c>
      <c r="G334" t="n">
        <v>3.9</v>
      </c>
      <c r="H334" t="n">
        <v>0</v>
      </c>
      <c r="I334" t="n">
        <v>0</v>
      </c>
      <c r="J334" t="n">
        <v>0</v>
      </c>
      <c r="K334" t="n">
        <v>0</v>
      </c>
      <c r="L334" t="n">
        <v>0</v>
      </c>
      <c r="M334" t="n">
        <v>0</v>
      </c>
      <c r="N334" t="n">
        <v>0</v>
      </c>
      <c r="O334" t="n">
        <v>0</v>
      </c>
      <c r="P334" t="n">
        <v>0</v>
      </c>
      <c r="Q334" t="n">
        <v>0</v>
      </c>
      <c r="R334" s="2" t="inlineStr"/>
    </row>
    <row r="335" ht="15" customHeight="1">
      <c r="A335" t="inlineStr">
        <is>
          <t>A 56713-2024</t>
        </is>
      </c>
      <c r="B335" s="1" t="n">
        <v>45628</v>
      </c>
      <c r="C335" s="1" t="n">
        <v>46129</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12411-2026</t>
        </is>
      </c>
      <c r="B336" s="1" t="n">
        <v>46090.42670138889</v>
      </c>
      <c r="C336" s="1" t="n">
        <v>46129</v>
      </c>
      <c r="D336" t="inlineStr">
        <is>
          <t>UPPSALA LÄN</t>
        </is>
      </c>
      <c r="E336" t="inlineStr">
        <is>
          <t>ENKÖPING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37870-2023</t>
        </is>
      </c>
      <c r="B337" s="1" t="n">
        <v>45160.41996527778</v>
      </c>
      <c r="C337" s="1" t="n">
        <v>46129</v>
      </c>
      <c r="D337" t="inlineStr">
        <is>
          <t>UPPSALA LÄN</t>
        </is>
      </c>
      <c r="E337" t="inlineStr">
        <is>
          <t>ENKÖPING</t>
        </is>
      </c>
      <c r="G337" t="n">
        <v>3.5</v>
      </c>
      <c r="H337" t="n">
        <v>0</v>
      </c>
      <c r="I337" t="n">
        <v>0</v>
      </c>
      <c r="J337" t="n">
        <v>0</v>
      </c>
      <c r="K337" t="n">
        <v>0</v>
      </c>
      <c r="L337" t="n">
        <v>0</v>
      </c>
      <c r="M337" t="n">
        <v>0</v>
      </c>
      <c r="N337" t="n">
        <v>0</v>
      </c>
      <c r="O337" t="n">
        <v>0</v>
      </c>
      <c r="P337" t="n">
        <v>0</v>
      </c>
      <c r="Q337" t="n">
        <v>0</v>
      </c>
      <c r="R337" s="2" t="inlineStr"/>
    </row>
    <row r="338" ht="15" customHeight="1">
      <c r="A338" t="inlineStr">
        <is>
          <t>A 5104-2026</t>
        </is>
      </c>
      <c r="B338" s="1" t="n">
        <v>46049.56914351852</v>
      </c>
      <c r="C338" s="1" t="n">
        <v>46129</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22094-2023</t>
        </is>
      </c>
      <c r="B339" s="1" t="n">
        <v>45069</v>
      </c>
      <c r="C339" s="1" t="n">
        <v>46129</v>
      </c>
      <c r="D339" t="inlineStr">
        <is>
          <t>UPPSALA LÄN</t>
        </is>
      </c>
      <c r="E339" t="inlineStr">
        <is>
          <t>ENKÖPING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15405-2025</t>
        </is>
      </c>
      <c r="B340" s="1" t="n">
        <v>45747.44670138889</v>
      </c>
      <c r="C340" s="1" t="n">
        <v>46129</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35079-2024</t>
        </is>
      </c>
      <c r="B341" s="1" t="n">
        <v>45527.66770833333</v>
      </c>
      <c r="C341" s="1" t="n">
        <v>46129</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33581-2023</t>
        </is>
      </c>
      <c r="B342" s="1" t="n">
        <v>45131</v>
      </c>
      <c r="C342" s="1" t="n">
        <v>46129</v>
      </c>
      <c r="D342" t="inlineStr">
        <is>
          <t>UPPSALA LÄN</t>
        </is>
      </c>
      <c r="E342" t="inlineStr">
        <is>
          <t>ENKÖPING</t>
        </is>
      </c>
      <c r="G342" t="n">
        <v>3.5</v>
      </c>
      <c r="H342" t="n">
        <v>0</v>
      </c>
      <c r="I342" t="n">
        <v>0</v>
      </c>
      <c r="J342" t="n">
        <v>0</v>
      </c>
      <c r="K342" t="n">
        <v>0</v>
      </c>
      <c r="L342" t="n">
        <v>0</v>
      </c>
      <c r="M342" t="n">
        <v>0</v>
      </c>
      <c r="N342" t="n">
        <v>0</v>
      </c>
      <c r="O342" t="n">
        <v>0</v>
      </c>
      <c r="P342" t="n">
        <v>0</v>
      </c>
      <c r="Q342" t="n">
        <v>0</v>
      </c>
      <c r="R342" s="2" t="inlineStr"/>
    </row>
    <row r="343" ht="15" customHeight="1">
      <c r="A343" t="inlineStr">
        <is>
          <t>A 12996-2026</t>
        </is>
      </c>
      <c r="B343" s="1" t="n">
        <v>46092.68149305556</v>
      </c>
      <c r="C343" s="1" t="n">
        <v>46129</v>
      </c>
      <c r="D343" t="inlineStr">
        <is>
          <t>UPPSALA LÄN</t>
        </is>
      </c>
      <c r="E343" t="inlineStr">
        <is>
          <t>ENKÖPING</t>
        </is>
      </c>
      <c r="G343" t="n">
        <v>2</v>
      </c>
      <c r="H343" t="n">
        <v>0</v>
      </c>
      <c r="I343" t="n">
        <v>0</v>
      </c>
      <c r="J343" t="n">
        <v>0</v>
      </c>
      <c r="K343" t="n">
        <v>0</v>
      </c>
      <c r="L343" t="n">
        <v>0</v>
      </c>
      <c r="M343" t="n">
        <v>0</v>
      </c>
      <c r="N343" t="n">
        <v>0</v>
      </c>
      <c r="O343" t="n">
        <v>0</v>
      </c>
      <c r="P343" t="n">
        <v>0</v>
      </c>
      <c r="Q343" t="n">
        <v>0</v>
      </c>
      <c r="R343" s="2" t="inlineStr"/>
    </row>
    <row r="344" ht="15" customHeight="1">
      <c r="A344" t="inlineStr">
        <is>
          <t>A 25990-2025</t>
        </is>
      </c>
      <c r="B344" s="1" t="n">
        <v>45804.65229166667</v>
      </c>
      <c r="C344" s="1" t="n">
        <v>46129</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46129</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47909-2024</t>
        </is>
      </c>
      <c r="B346" s="1" t="n">
        <v>45589.31866898148</v>
      </c>
      <c r="C346" s="1" t="n">
        <v>46129</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5569-2026</t>
        </is>
      </c>
      <c r="B347" s="1" t="n">
        <v>46050.89431712963</v>
      </c>
      <c r="C347" s="1" t="n">
        <v>46129</v>
      </c>
      <c r="D347" t="inlineStr">
        <is>
          <t>UPPSALA LÄN</t>
        </is>
      </c>
      <c r="E347" t="inlineStr">
        <is>
          <t>ENKÖPING</t>
        </is>
      </c>
      <c r="G347" t="n">
        <v>1.6</v>
      </c>
      <c r="H347" t="n">
        <v>0</v>
      </c>
      <c r="I347" t="n">
        <v>0</v>
      </c>
      <c r="J347" t="n">
        <v>0</v>
      </c>
      <c r="K347" t="n">
        <v>0</v>
      </c>
      <c r="L347" t="n">
        <v>0</v>
      </c>
      <c r="M347" t="n">
        <v>0</v>
      </c>
      <c r="N347" t="n">
        <v>0</v>
      </c>
      <c r="O347" t="n">
        <v>0</v>
      </c>
      <c r="P347" t="n">
        <v>0</v>
      </c>
      <c r="Q347" t="n">
        <v>0</v>
      </c>
      <c r="R347" s="2" t="inlineStr"/>
    </row>
    <row r="348" ht="15" customHeight="1">
      <c r="A348" t="inlineStr">
        <is>
          <t>A 51932-2022</t>
        </is>
      </c>
      <c r="B348" s="1" t="n">
        <v>44872</v>
      </c>
      <c r="C348" s="1" t="n">
        <v>46129</v>
      </c>
      <c r="D348" t="inlineStr">
        <is>
          <t>UPPSALA LÄN</t>
        </is>
      </c>
      <c r="E348" t="inlineStr">
        <is>
          <t>ENKÖPING</t>
        </is>
      </c>
      <c r="G348" t="n">
        <v>5.5</v>
      </c>
      <c r="H348" t="n">
        <v>0</v>
      </c>
      <c r="I348" t="n">
        <v>0</v>
      </c>
      <c r="J348" t="n">
        <v>0</v>
      </c>
      <c r="K348" t="n">
        <v>0</v>
      </c>
      <c r="L348" t="n">
        <v>0</v>
      </c>
      <c r="M348" t="n">
        <v>0</v>
      </c>
      <c r="N348" t="n">
        <v>0</v>
      </c>
      <c r="O348" t="n">
        <v>0</v>
      </c>
      <c r="P348" t="n">
        <v>0</v>
      </c>
      <c r="Q348" t="n">
        <v>0</v>
      </c>
      <c r="R348" s="2" t="inlineStr"/>
    </row>
    <row r="349" ht="15" customHeight="1">
      <c r="A349" t="inlineStr">
        <is>
          <t>A 12997-2026</t>
        </is>
      </c>
      <c r="B349" s="1" t="n">
        <v>46092.6834375</v>
      </c>
      <c r="C349" s="1" t="n">
        <v>46129</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25989-2025</t>
        </is>
      </c>
      <c r="B350" s="1" t="n">
        <v>45804.65050925926</v>
      </c>
      <c r="C350" s="1" t="n">
        <v>46129</v>
      </c>
      <c r="D350" t="inlineStr">
        <is>
          <t>UPPSALA LÄN</t>
        </is>
      </c>
      <c r="E350" t="inlineStr">
        <is>
          <t>ENKÖPING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5948-2026</t>
        </is>
      </c>
      <c r="B351" s="1" t="n">
        <v>46052</v>
      </c>
      <c r="C351" s="1" t="n">
        <v>46129</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6049-2026</t>
        </is>
      </c>
      <c r="B352" s="1" t="n">
        <v>46052.63005787037</v>
      </c>
      <c r="C352" s="1" t="n">
        <v>46129</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6031-2026</t>
        </is>
      </c>
      <c r="B353" s="1" t="n">
        <v>46052.61201388889</v>
      </c>
      <c r="C353" s="1" t="n">
        <v>46129</v>
      </c>
      <c r="D353" t="inlineStr">
        <is>
          <t>UPPSALA LÄN</t>
        </is>
      </c>
      <c r="E353" t="inlineStr">
        <is>
          <t>ENKÖPING</t>
        </is>
      </c>
      <c r="G353" t="n">
        <v>4.1</v>
      </c>
      <c r="H353" t="n">
        <v>0</v>
      </c>
      <c r="I353" t="n">
        <v>0</v>
      </c>
      <c r="J353" t="n">
        <v>0</v>
      </c>
      <c r="K353" t="n">
        <v>0</v>
      </c>
      <c r="L353" t="n">
        <v>0</v>
      </c>
      <c r="M353" t="n">
        <v>0</v>
      </c>
      <c r="N353" t="n">
        <v>0</v>
      </c>
      <c r="O353" t="n">
        <v>0</v>
      </c>
      <c r="P353" t="n">
        <v>0</v>
      </c>
      <c r="Q353" t="n">
        <v>0</v>
      </c>
      <c r="R353" s="2" t="inlineStr"/>
    </row>
    <row r="354" ht="15" customHeight="1">
      <c r="A354" t="inlineStr">
        <is>
          <t>A 6044-2026</t>
        </is>
      </c>
      <c r="B354" s="1" t="n">
        <v>46052.62506944445</v>
      </c>
      <c r="C354" s="1" t="n">
        <v>46129</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59497-2022</t>
        </is>
      </c>
      <c r="B355" s="1" t="n">
        <v>44907.48258101852</v>
      </c>
      <c r="C355" s="1" t="n">
        <v>46129</v>
      </c>
      <c r="D355" t="inlineStr">
        <is>
          <t>UPPSALA LÄN</t>
        </is>
      </c>
      <c r="E355" t="inlineStr">
        <is>
          <t>ENKÖPING</t>
        </is>
      </c>
      <c r="G355" t="n">
        <v>1.1</v>
      </c>
      <c r="H355" t="n">
        <v>0</v>
      </c>
      <c r="I355" t="n">
        <v>0</v>
      </c>
      <c r="J355" t="n">
        <v>0</v>
      </c>
      <c r="K355" t="n">
        <v>0</v>
      </c>
      <c r="L355" t="n">
        <v>0</v>
      </c>
      <c r="M355" t="n">
        <v>0</v>
      </c>
      <c r="N355" t="n">
        <v>0</v>
      </c>
      <c r="O355" t="n">
        <v>0</v>
      </c>
      <c r="P355" t="n">
        <v>0</v>
      </c>
      <c r="Q355" t="n">
        <v>0</v>
      </c>
      <c r="R355" s="2" t="inlineStr"/>
    </row>
    <row r="356" ht="15" customHeight="1">
      <c r="A356" t="inlineStr">
        <is>
          <t>A 9041-2023</t>
        </is>
      </c>
      <c r="B356" s="1" t="n">
        <v>44979</v>
      </c>
      <c r="C356" s="1" t="n">
        <v>46129</v>
      </c>
      <c r="D356" t="inlineStr">
        <is>
          <t>UPPSALA LÄN</t>
        </is>
      </c>
      <c r="E356" t="inlineStr">
        <is>
          <t>ENKÖPING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13590-2026</t>
        </is>
      </c>
      <c r="B357" s="1" t="n">
        <v>46096</v>
      </c>
      <c r="C357" s="1" t="n">
        <v>46129</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5953-2026</t>
        </is>
      </c>
      <c r="B358" s="1" t="n">
        <v>46052.49119212963</v>
      </c>
      <c r="C358" s="1" t="n">
        <v>46129</v>
      </c>
      <c r="D358" t="inlineStr">
        <is>
          <t>UPPSALA LÄN</t>
        </is>
      </c>
      <c r="E358" t="inlineStr">
        <is>
          <t>ENKÖPING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12755-2025</t>
        </is>
      </c>
      <c r="B359" s="1" t="n">
        <v>45733.56541666666</v>
      </c>
      <c r="C359" s="1" t="n">
        <v>46129</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6047-2026</t>
        </is>
      </c>
      <c r="B360" s="1" t="n">
        <v>46052.62738425926</v>
      </c>
      <c r="C360" s="1" t="n">
        <v>46129</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6041-2026</t>
        </is>
      </c>
      <c r="B361" s="1" t="n">
        <v>46052.62184027778</v>
      </c>
      <c r="C361" s="1" t="n">
        <v>46129</v>
      </c>
      <c r="D361" t="inlineStr">
        <is>
          <t>UPPSALA LÄN</t>
        </is>
      </c>
      <c r="E361" t="inlineStr">
        <is>
          <t>ENKÖPING</t>
        </is>
      </c>
      <c r="G361" t="n">
        <v>4</v>
      </c>
      <c r="H361" t="n">
        <v>0</v>
      </c>
      <c r="I361" t="n">
        <v>0</v>
      </c>
      <c r="J361" t="n">
        <v>0</v>
      </c>
      <c r="K361" t="n">
        <v>0</v>
      </c>
      <c r="L361" t="n">
        <v>0</v>
      </c>
      <c r="M361" t="n">
        <v>0</v>
      </c>
      <c r="N361" t="n">
        <v>0</v>
      </c>
      <c r="O361" t="n">
        <v>0</v>
      </c>
      <c r="P361" t="n">
        <v>0</v>
      </c>
      <c r="Q361" t="n">
        <v>0</v>
      </c>
      <c r="R361" s="2" t="inlineStr"/>
    </row>
    <row r="362" ht="15" customHeight="1">
      <c r="A362" t="inlineStr">
        <is>
          <t>A 59027-2024</t>
        </is>
      </c>
      <c r="B362" s="1" t="n">
        <v>45636.68755787037</v>
      </c>
      <c r="C362" s="1" t="n">
        <v>46129</v>
      </c>
      <c r="D362" t="inlineStr">
        <is>
          <t>UPPSALA LÄN</t>
        </is>
      </c>
      <c r="E362" t="inlineStr">
        <is>
          <t>ENKÖPING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53587-2024</t>
        </is>
      </c>
      <c r="B363" s="1" t="n">
        <v>45614.66953703704</v>
      </c>
      <c r="C363" s="1" t="n">
        <v>46129</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14296-2026</t>
        </is>
      </c>
      <c r="B364" s="1" t="n">
        <v>46099.7181712963</v>
      </c>
      <c r="C364" s="1" t="n">
        <v>46129</v>
      </c>
      <c r="D364" t="inlineStr">
        <is>
          <t>UPPSALA LÄN</t>
        </is>
      </c>
      <c r="E364" t="inlineStr">
        <is>
          <t>ENKÖPING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7008-2026</t>
        </is>
      </c>
      <c r="B365" s="1" t="n">
        <v>46057.63806712963</v>
      </c>
      <c r="C365" s="1" t="n">
        <v>46129</v>
      </c>
      <c r="D365" t="inlineStr">
        <is>
          <t>UPPSALA LÄN</t>
        </is>
      </c>
      <c r="E365" t="inlineStr">
        <is>
          <t>ENKÖPING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11503-2024</t>
        </is>
      </c>
      <c r="B366" s="1" t="n">
        <v>45372.68020833333</v>
      </c>
      <c r="C366" s="1" t="n">
        <v>46129</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39115-2024</t>
        </is>
      </c>
      <c r="B367" s="1" t="n">
        <v>45548</v>
      </c>
      <c r="C367" s="1" t="n">
        <v>46129</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25334-2023</t>
        </is>
      </c>
      <c r="B368" s="1" t="n">
        <v>45083</v>
      </c>
      <c r="C368" s="1" t="n">
        <v>46129</v>
      </c>
      <c r="D368" t="inlineStr">
        <is>
          <t>UPPSALA LÄN</t>
        </is>
      </c>
      <c r="E368" t="inlineStr">
        <is>
          <t>ENKÖPING</t>
        </is>
      </c>
      <c r="G368" t="n">
        <v>0.2</v>
      </c>
      <c r="H368" t="n">
        <v>0</v>
      </c>
      <c r="I368" t="n">
        <v>0</v>
      </c>
      <c r="J368" t="n">
        <v>0</v>
      </c>
      <c r="K368" t="n">
        <v>0</v>
      </c>
      <c r="L368" t="n">
        <v>0</v>
      </c>
      <c r="M368" t="n">
        <v>0</v>
      </c>
      <c r="N368" t="n">
        <v>0</v>
      </c>
      <c r="O368" t="n">
        <v>0</v>
      </c>
      <c r="P368" t="n">
        <v>0</v>
      </c>
      <c r="Q368" t="n">
        <v>0</v>
      </c>
      <c r="R368" s="2" t="inlineStr"/>
    </row>
    <row r="369" ht="15" customHeight="1">
      <c r="A369" t="inlineStr">
        <is>
          <t>A 7003-2026</t>
        </is>
      </c>
      <c r="B369" s="1" t="n">
        <v>46057.63243055555</v>
      </c>
      <c r="C369" s="1" t="n">
        <v>46129</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14178-2026</t>
        </is>
      </c>
      <c r="B370" s="1" t="n">
        <v>46099.49608796297</v>
      </c>
      <c r="C370" s="1" t="n">
        <v>46129</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14260-2026</t>
        </is>
      </c>
      <c r="B371" s="1" t="n">
        <v>46099.63395833333</v>
      </c>
      <c r="C371" s="1" t="n">
        <v>46129</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56837-2024</t>
        </is>
      </c>
      <c r="B372" s="1" t="n">
        <v>45628</v>
      </c>
      <c r="C372" s="1" t="n">
        <v>46129</v>
      </c>
      <c r="D372" t="inlineStr">
        <is>
          <t>UPPSALA LÄN</t>
        </is>
      </c>
      <c r="E372" t="inlineStr">
        <is>
          <t>ENKÖPING</t>
        </is>
      </c>
      <c r="G372" t="n">
        <v>2.2</v>
      </c>
      <c r="H372" t="n">
        <v>0</v>
      </c>
      <c r="I372" t="n">
        <v>0</v>
      </c>
      <c r="J372" t="n">
        <v>0</v>
      </c>
      <c r="K372" t="n">
        <v>0</v>
      </c>
      <c r="L372" t="n">
        <v>0</v>
      </c>
      <c r="M372" t="n">
        <v>0</v>
      </c>
      <c r="N372" t="n">
        <v>0</v>
      </c>
      <c r="O372" t="n">
        <v>0</v>
      </c>
      <c r="P372" t="n">
        <v>0</v>
      </c>
      <c r="Q372" t="n">
        <v>0</v>
      </c>
      <c r="R372" s="2" t="inlineStr"/>
    </row>
    <row r="373" ht="15" customHeight="1">
      <c r="A373" t="inlineStr">
        <is>
          <t>A 14182-2026</t>
        </is>
      </c>
      <c r="B373" s="1" t="n">
        <v>46099.49839120371</v>
      </c>
      <c r="C373" s="1" t="n">
        <v>46129</v>
      </c>
      <c r="D373" t="inlineStr">
        <is>
          <t>UPPSALA LÄN</t>
        </is>
      </c>
      <c r="E373" t="inlineStr">
        <is>
          <t>ENKÖPING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7168-2026</t>
        </is>
      </c>
      <c r="B374" s="1" t="n">
        <v>46058.45831018518</v>
      </c>
      <c r="C374" s="1" t="n">
        <v>46129</v>
      </c>
      <c r="D374" t="inlineStr">
        <is>
          <t>UPPSALA LÄN</t>
        </is>
      </c>
      <c r="E374" t="inlineStr">
        <is>
          <t>ENKÖPING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7172-2026</t>
        </is>
      </c>
      <c r="B375" s="1" t="n">
        <v>46058.46113425926</v>
      </c>
      <c r="C375" s="1" t="n">
        <v>46129</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18821-2023</t>
        </is>
      </c>
      <c r="B376" s="1" t="n">
        <v>45044.3782175926</v>
      </c>
      <c r="C376" s="1" t="n">
        <v>46129</v>
      </c>
      <c r="D376" t="inlineStr">
        <is>
          <t>UPPSALA LÄN</t>
        </is>
      </c>
      <c r="E376" t="inlineStr">
        <is>
          <t>ENKÖPING</t>
        </is>
      </c>
      <c r="G376" t="n">
        <v>6</v>
      </c>
      <c r="H376" t="n">
        <v>0</v>
      </c>
      <c r="I376" t="n">
        <v>0</v>
      </c>
      <c r="J376" t="n">
        <v>0</v>
      </c>
      <c r="K376" t="n">
        <v>0</v>
      </c>
      <c r="L376" t="n">
        <v>0</v>
      </c>
      <c r="M376" t="n">
        <v>0</v>
      </c>
      <c r="N376" t="n">
        <v>0</v>
      </c>
      <c r="O376" t="n">
        <v>0</v>
      </c>
      <c r="P376" t="n">
        <v>0</v>
      </c>
      <c r="Q376" t="n">
        <v>0</v>
      </c>
      <c r="R376" s="2" t="inlineStr"/>
    </row>
    <row r="377" ht="15" customHeight="1">
      <c r="A377" t="inlineStr">
        <is>
          <t>A 14229-2026</t>
        </is>
      </c>
      <c r="B377" s="1" t="n">
        <v>46099</v>
      </c>
      <c r="C377" s="1" t="n">
        <v>46129</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7175-2026</t>
        </is>
      </c>
      <c r="B378" s="1" t="n">
        <v>46058.46399305556</v>
      </c>
      <c r="C378" s="1" t="n">
        <v>46129</v>
      </c>
      <c r="D378" t="inlineStr">
        <is>
          <t>UPPSALA LÄN</t>
        </is>
      </c>
      <c r="E378" t="inlineStr">
        <is>
          <t>ENKÖPING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57335-2024</t>
        </is>
      </c>
      <c r="B379" s="1" t="n">
        <v>45629.63302083333</v>
      </c>
      <c r="C379" s="1" t="n">
        <v>46129</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7167-2026</t>
        </is>
      </c>
      <c r="B380" s="1" t="n">
        <v>46058.45677083333</v>
      </c>
      <c r="C380" s="1" t="n">
        <v>46129</v>
      </c>
      <c r="D380" t="inlineStr">
        <is>
          <t>UPPSALA LÄN</t>
        </is>
      </c>
      <c r="E380" t="inlineStr">
        <is>
          <t>ENKÖPING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57835-2024</t>
        </is>
      </c>
      <c r="B381" s="1" t="n">
        <v>45631.39947916667</v>
      </c>
      <c r="C381" s="1" t="n">
        <v>46129</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53208-2023</t>
        </is>
      </c>
      <c r="B382" s="1" t="n">
        <v>45226</v>
      </c>
      <c r="C382" s="1" t="n">
        <v>46129</v>
      </c>
      <c r="D382" t="inlineStr">
        <is>
          <t>UPPSALA LÄN</t>
        </is>
      </c>
      <c r="E382" t="inlineStr">
        <is>
          <t>ENKÖPING</t>
        </is>
      </c>
      <c r="G382" t="n">
        <v>4.3</v>
      </c>
      <c r="H382" t="n">
        <v>0</v>
      </c>
      <c r="I382" t="n">
        <v>0</v>
      </c>
      <c r="J382" t="n">
        <v>0</v>
      </c>
      <c r="K382" t="n">
        <v>0</v>
      </c>
      <c r="L382" t="n">
        <v>0</v>
      </c>
      <c r="M382" t="n">
        <v>0</v>
      </c>
      <c r="N382" t="n">
        <v>0</v>
      </c>
      <c r="O382" t="n">
        <v>0</v>
      </c>
      <c r="P382" t="n">
        <v>0</v>
      </c>
      <c r="Q382" t="n">
        <v>0</v>
      </c>
      <c r="R382" s="2" t="inlineStr"/>
    </row>
    <row r="383" ht="15" customHeight="1">
      <c r="A383" t="inlineStr">
        <is>
          <t>A 19013-2025</t>
        </is>
      </c>
      <c r="B383" s="1" t="n">
        <v>45764.59533564815</v>
      </c>
      <c r="C383" s="1" t="n">
        <v>46129</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15003-2026</t>
        </is>
      </c>
      <c r="B384" s="1" t="n">
        <v>46104.60931712963</v>
      </c>
      <c r="C384" s="1" t="n">
        <v>46129</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2164-2023</t>
        </is>
      </c>
      <c r="B385" s="1" t="n">
        <v>44941</v>
      </c>
      <c r="C385" s="1" t="n">
        <v>46129</v>
      </c>
      <c r="D385" t="inlineStr">
        <is>
          <t>UPPSALA LÄN</t>
        </is>
      </c>
      <c r="E385" t="inlineStr">
        <is>
          <t>ENKÖPING</t>
        </is>
      </c>
      <c r="G385" t="n">
        <v>2.5</v>
      </c>
      <c r="H385" t="n">
        <v>0</v>
      </c>
      <c r="I385" t="n">
        <v>0</v>
      </c>
      <c r="J385" t="n">
        <v>0</v>
      </c>
      <c r="K385" t="n">
        <v>0</v>
      </c>
      <c r="L385" t="n">
        <v>0</v>
      </c>
      <c r="M385" t="n">
        <v>0</v>
      </c>
      <c r="N385" t="n">
        <v>0</v>
      </c>
      <c r="O385" t="n">
        <v>0</v>
      </c>
      <c r="P385" t="n">
        <v>0</v>
      </c>
      <c r="Q385" t="n">
        <v>0</v>
      </c>
      <c r="R385" s="2" t="inlineStr"/>
    </row>
    <row r="386" ht="15" customHeight="1">
      <c r="A386" t="inlineStr">
        <is>
          <t>A 61952-2021</t>
        </is>
      </c>
      <c r="B386" s="1" t="n">
        <v>44502</v>
      </c>
      <c r="C386" s="1" t="n">
        <v>46129</v>
      </c>
      <c r="D386" t="inlineStr">
        <is>
          <t>UPPSALA LÄN</t>
        </is>
      </c>
      <c r="E386" t="inlineStr">
        <is>
          <t>ENKÖPING</t>
        </is>
      </c>
      <c r="G386" t="n">
        <v>2.3</v>
      </c>
      <c r="H386" t="n">
        <v>0</v>
      </c>
      <c r="I386" t="n">
        <v>0</v>
      </c>
      <c r="J386" t="n">
        <v>0</v>
      </c>
      <c r="K386" t="n">
        <v>0</v>
      </c>
      <c r="L386" t="n">
        <v>0</v>
      </c>
      <c r="M386" t="n">
        <v>0</v>
      </c>
      <c r="N386" t="n">
        <v>0</v>
      </c>
      <c r="O386" t="n">
        <v>0</v>
      </c>
      <c r="P386" t="n">
        <v>0</v>
      </c>
      <c r="Q386" t="n">
        <v>0</v>
      </c>
      <c r="R386" s="2" t="inlineStr"/>
    </row>
    <row r="387" ht="15" customHeight="1">
      <c r="A387" t="inlineStr">
        <is>
          <t>A 14298-2026</t>
        </is>
      </c>
      <c r="B387" s="1" t="n">
        <v>46099</v>
      </c>
      <c r="C387" s="1" t="n">
        <v>46129</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14083-2025</t>
        </is>
      </c>
      <c r="B388" s="1" t="n">
        <v>45740</v>
      </c>
      <c r="C388" s="1" t="n">
        <v>46129</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8309-2026</t>
        </is>
      </c>
      <c r="B389" s="1" t="n">
        <v>46064.59081018518</v>
      </c>
      <c r="C389" s="1" t="n">
        <v>46129</v>
      </c>
      <c r="D389" t="inlineStr">
        <is>
          <t>UPPSALA LÄN</t>
        </is>
      </c>
      <c r="E389" t="inlineStr">
        <is>
          <t>ENKÖPING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69879-2021</t>
        </is>
      </c>
      <c r="B390" s="1" t="n">
        <v>44532</v>
      </c>
      <c r="C390" s="1" t="n">
        <v>46129</v>
      </c>
      <c r="D390" t="inlineStr">
        <is>
          <t>UPPSALA LÄN</t>
        </is>
      </c>
      <c r="E390" t="inlineStr">
        <is>
          <t>ENKÖPING</t>
        </is>
      </c>
      <c r="G390" t="n">
        <v>4.2</v>
      </c>
      <c r="H390" t="n">
        <v>0</v>
      </c>
      <c r="I390" t="n">
        <v>0</v>
      </c>
      <c r="J390" t="n">
        <v>0</v>
      </c>
      <c r="K390" t="n">
        <v>0</v>
      </c>
      <c r="L390" t="n">
        <v>0</v>
      </c>
      <c r="M390" t="n">
        <v>0</v>
      </c>
      <c r="N390" t="n">
        <v>0</v>
      </c>
      <c r="O390" t="n">
        <v>0</v>
      </c>
      <c r="P390" t="n">
        <v>0</v>
      </c>
      <c r="Q390" t="n">
        <v>0</v>
      </c>
      <c r="R390" s="2" t="inlineStr"/>
    </row>
    <row r="391" ht="15" customHeight="1">
      <c r="A391" t="inlineStr">
        <is>
          <t>A 15547-2026</t>
        </is>
      </c>
      <c r="B391" s="1" t="n">
        <v>46106.52613425926</v>
      </c>
      <c r="C391" s="1" t="n">
        <v>46129</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15757-2023</t>
        </is>
      </c>
      <c r="B392" s="1" t="n">
        <v>45021</v>
      </c>
      <c r="C392" s="1" t="n">
        <v>46129</v>
      </c>
      <c r="D392" t="inlineStr">
        <is>
          <t>UPPSALA LÄN</t>
        </is>
      </c>
      <c r="E392" t="inlineStr">
        <is>
          <t>ENKÖPING</t>
        </is>
      </c>
      <c r="G392" t="n">
        <v>3</v>
      </c>
      <c r="H392" t="n">
        <v>0</v>
      </c>
      <c r="I392" t="n">
        <v>0</v>
      </c>
      <c r="J392" t="n">
        <v>0</v>
      </c>
      <c r="K392" t="n">
        <v>0</v>
      </c>
      <c r="L392" t="n">
        <v>0</v>
      </c>
      <c r="M392" t="n">
        <v>0</v>
      </c>
      <c r="N392" t="n">
        <v>0</v>
      </c>
      <c r="O392" t="n">
        <v>0</v>
      </c>
      <c r="P392" t="n">
        <v>0</v>
      </c>
      <c r="Q392" t="n">
        <v>0</v>
      </c>
      <c r="R392" s="2" t="inlineStr"/>
    </row>
    <row r="393" ht="15" customHeight="1">
      <c r="A393" t="inlineStr">
        <is>
          <t>A 2161-2023</t>
        </is>
      </c>
      <c r="B393" s="1" t="n">
        <v>44941</v>
      </c>
      <c r="C393" s="1" t="n">
        <v>46129</v>
      </c>
      <c r="D393" t="inlineStr">
        <is>
          <t>UPPSALA LÄN</t>
        </is>
      </c>
      <c r="E393" t="inlineStr">
        <is>
          <t>ENKÖPING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2165-2023</t>
        </is>
      </c>
      <c r="B394" s="1" t="n">
        <v>44941</v>
      </c>
      <c r="C394" s="1" t="n">
        <v>46129</v>
      </c>
      <c r="D394" t="inlineStr">
        <is>
          <t>UPPSALA LÄN</t>
        </is>
      </c>
      <c r="E394" t="inlineStr">
        <is>
          <t>ENKÖPING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20112-2024</t>
        </is>
      </c>
      <c r="B395" s="1" t="n">
        <v>45434</v>
      </c>
      <c r="C395" s="1" t="n">
        <v>46129</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9257-2026</t>
        </is>
      </c>
      <c r="B396" s="1" t="n">
        <v>46070.51166666667</v>
      </c>
      <c r="C396" s="1" t="n">
        <v>46129</v>
      </c>
      <c r="D396" t="inlineStr">
        <is>
          <t>UPPSALA LÄN</t>
        </is>
      </c>
      <c r="E396" t="inlineStr">
        <is>
          <t>ENKÖPING</t>
        </is>
      </c>
      <c r="G396" t="n">
        <v>2.6</v>
      </c>
      <c r="H396" t="n">
        <v>0</v>
      </c>
      <c r="I396" t="n">
        <v>0</v>
      </c>
      <c r="J396" t="n">
        <v>0</v>
      </c>
      <c r="K396" t="n">
        <v>0</v>
      </c>
      <c r="L396" t="n">
        <v>0</v>
      </c>
      <c r="M396" t="n">
        <v>0</v>
      </c>
      <c r="N396" t="n">
        <v>0</v>
      </c>
      <c r="O396" t="n">
        <v>0</v>
      </c>
      <c r="P396" t="n">
        <v>0</v>
      </c>
      <c r="Q396" t="n">
        <v>0</v>
      </c>
      <c r="R396" s="2" t="inlineStr"/>
    </row>
    <row r="397" ht="15" customHeight="1">
      <c r="A397" t="inlineStr">
        <is>
          <t>A 2162-2023</t>
        </is>
      </c>
      <c r="B397" s="1" t="n">
        <v>44941</v>
      </c>
      <c r="C397" s="1" t="n">
        <v>46129</v>
      </c>
      <c r="D397" t="inlineStr">
        <is>
          <t>UPPSALA LÄN</t>
        </is>
      </c>
      <c r="E397" t="inlineStr">
        <is>
          <t>ENKÖPING</t>
        </is>
      </c>
      <c r="G397" t="n">
        <v>2.4</v>
      </c>
      <c r="H397" t="n">
        <v>0</v>
      </c>
      <c r="I397" t="n">
        <v>0</v>
      </c>
      <c r="J397" t="n">
        <v>0</v>
      </c>
      <c r="K397" t="n">
        <v>0</v>
      </c>
      <c r="L397" t="n">
        <v>0</v>
      </c>
      <c r="M397" t="n">
        <v>0</v>
      </c>
      <c r="N397" t="n">
        <v>0</v>
      </c>
      <c r="O397" t="n">
        <v>0</v>
      </c>
      <c r="P397" t="n">
        <v>0</v>
      </c>
      <c r="Q397" t="n">
        <v>0</v>
      </c>
      <c r="R397" s="2" t="inlineStr"/>
    </row>
    <row r="398" ht="15" customHeight="1">
      <c r="A398" t="inlineStr">
        <is>
          <t>A 9474-2026</t>
        </is>
      </c>
      <c r="B398" s="1" t="n">
        <v>46071.52324074074</v>
      </c>
      <c r="C398" s="1" t="n">
        <v>46129</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32081-2024</t>
        </is>
      </c>
      <c r="B399" s="1" t="n">
        <v>45511.34605324074</v>
      </c>
      <c r="C399" s="1" t="n">
        <v>46129</v>
      </c>
      <c r="D399" t="inlineStr">
        <is>
          <t>UPPSALA LÄN</t>
        </is>
      </c>
      <c r="E399" t="inlineStr">
        <is>
          <t>ENKÖPING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9467-2026</t>
        </is>
      </c>
      <c r="B400" s="1" t="n">
        <v>46071.50694444445</v>
      </c>
      <c r="C400" s="1" t="n">
        <v>46129</v>
      </c>
      <c r="D400" t="inlineStr">
        <is>
          <t>UPPSALA LÄN</t>
        </is>
      </c>
      <c r="E400" t="inlineStr">
        <is>
          <t>ENKÖPING</t>
        </is>
      </c>
      <c r="G400" t="n">
        <v>5.9</v>
      </c>
      <c r="H400" t="n">
        <v>0</v>
      </c>
      <c r="I400" t="n">
        <v>0</v>
      </c>
      <c r="J400" t="n">
        <v>0</v>
      </c>
      <c r="K400" t="n">
        <v>0</v>
      </c>
      <c r="L400" t="n">
        <v>0</v>
      </c>
      <c r="M400" t="n">
        <v>0</v>
      </c>
      <c r="N400" t="n">
        <v>0</v>
      </c>
      <c r="O400" t="n">
        <v>0</v>
      </c>
      <c r="P400" t="n">
        <v>0</v>
      </c>
      <c r="Q400" t="n">
        <v>0</v>
      </c>
      <c r="R400" s="2" t="inlineStr"/>
    </row>
    <row r="401" ht="15" customHeight="1">
      <c r="A401" t="inlineStr">
        <is>
          <t>A 9469-2026</t>
        </is>
      </c>
      <c r="B401" s="1" t="n">
        <v>46071.51248842593</v>
      </c>
      <c r="C401" s="1" t="n">
        <v>46129</v>
      </c>
      <c r="D401" t="inlineStr">
        <is>
          <t>UPPSALA LÄN</t>
        </is>
      </c>
      <c r="E401" t="inlineStr">
        <is>
          <t>ENKÖPING</t>
        </is>
      </c>
      <c r="G401" t="n">
        <v>3</v>
      </c>
      <c r="H401" t="n">
        <v>0</v>
      </c>
      <c r="I401" t="n">
        <v>0</v>
      </c>
      <c r="J401" t="n">
        <v>0</v>
      </c>
      <c r="K401" t="n">
        <v>0</v>
      </c>
      <c r="L401" t="n">
        <v>0</v>
      </c>
      <c r="M401" t="n">
        <v>0</v>
      </c>
      <c r="N401" t="n">
        <v>0</v>
      </c>
      <c r="O401" t="n">
        <v>0</v>
      </c>
      <c r="P401" t="n">
        <v>0</v>
      </c>
      <c r="Q401" t="n">
        <v>0</v>
      </c>
      <c r="R401" s="2" t="inlineStr"/>
    </row>
    <row r="402" ht="15" customHeight="1">
      <c r="A402" t="inlineStr">
        <is>
          <t>A 9148-2026</t>
        </is>
      </c>
      <c r="B402" s="1" t="n">
        <v>46070.30946759259</v>
      </c>
      <c r="C402" s="1" t="n">
        <v>46129</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2968-2025</t>
        </is>
      </c>
      <c r="B403" s="1" t="n">
        <v>45678</v>
      </c>
      <c r="C403" s="1" t="n">
        <v>46129</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49525-2021</t>
        </is>
      </c>
      <c r="B404" s="1" t="n">
        <v>44455</v>
      </c>
      <c r="C404" s="1" t="n">
        <v>46129</v>
      </c>
      <c r="D404" t="inlineStr">
        <is>
          <t>UPPSALA LÄN</t>
        </is>
      </c>
      <c r="E404" t="inlineStr">
        <is>
          <t>ENKÖPING</t>
        </is>
      </c>
      <c r="G404" t="n">
        <v>1.8</v>
      </c>
      <c r="H404" t="n">
        <v>0</v>
      </c>
      <c r="I404" t="n">
        <v>0</v>
      </c>
      <c r="J404" t="n">
        <v>0</v>
      </c>
      <c r="K404" t="n">
        <v>0</v>
      </c>
      <c r="L404" t="n">
        <v>0</v>
      </c>
      <c r="M404" t="n">
        <v>0</v>
      </c>
      <c r="N404" t="n">
        <v>0</v>
      </c>
      <c r="O404" t="n">
        <v>0</v>
      </c>
      <c r="P404" t="n">
        <v>0</v>
      </c>
      <c r="Q404" t="n">
        <v>0</v>
      </c>
      <c r="R404" s="2" t="inlineStr"/>
    </row>
    <row r="405" ht="15" customHeight="1">
      <c r="A405" t="inlineStr">
        <is>
          <t>A 6959-2025</t>
        </is>
      </c>
      <c r="B405" s="1" t="n">
        <v>45701.49315972222</v>
      </c>
      <c r="C405" s="1" t="n">
        <v>46129</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30437-2022</t>
        </is>
      </c>
      <c r="B406" s="1" t="n">
        <v>44761</v>
      </c>
      <c r="C406" s="1" t="n">
        <v>46129</v>
      </c>
      <c r="D406" t="inlineStr">
        <is>
          <t>UPPSALA LÄN</t>
        </is>
      </c>
      <c r="E406" t="inlineStr">
        <is>
          <t>ENKÖPING</t>
        </is>
      </c>
      <c r="G406" t="n">
        <v>3.4</v>
      </c>
      <c r="H406" t="n">
        <v>0</v>
      </c>
      <c r="I406" t="n">
        <v>0</v>
      </c>
      <c r="J406" t="n">
        <v>0</v>
      </c>
      <c r="K406" t="n">
        <v>0</v>
      </c>
      <c r="L406" t="n">
        <v>0</v>
      </c>
      <c r="M406" t="n">
        <v>0</v>
      </c>
      <c r="N406" t="n">
        <v>0</v>
      </c>
      <c r="O406" t="n">
        <v>0</v>
      </c>
      <c r="P406" t="n">
        <v>0</v>
      </c>
      <c r="Q406" t="n">
        <v>0</v>
      </c>
      <c r="R406" s="2" t="inlineStr"/>
    </row>
    <row r="407" ht="15" customHeight="1">
      <c r="A407" t="inlineStr">
        <is>
          <t>A 51011-2024</t>
        </is>
      </c>
      <c r="B407" s="1" t="n">
        <v>45603.39427083333</v>
      </c>
      <c r="C407" s="1" t="n">
        <v>46129</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26319-2022</t>
        </is>
      </c>
      <c r="B408" s="1" t="n">
        <v>44735</v>
      </c>
      <c r="C408" s="1" t="n">
        <v>46129</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29918-2023</t>
        </is>
      </c>
      <c r="B409" s="1" t="n">
        <v>45099</v>
      </c>
      <c r="C409" s="1" t="n">
        <v>46129</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60125-2024</t>
        </is>
      </c>
      <c r="B410" s="1" t="n">
        <v>45642</v>
      </c>
      <c r="C410" s="1" t="n">
        <v>46129</v>
      </c>
      <c r="D410" t="inlineStr">
        <is>
          <t>UPPSALA LÄN</t>
        </is>
      </c>
      <c r="E410" t="inlineStr">
        <is>
          <t>ENKÖPING</t>
        </is>
      </c>
      <c r="G410" t="n">
        <v>2.1</v>
      </c>
      <c r="H410" t="n">
        <v>0</v>
      </c>
      <c r="I410" t="n">
        <v>0</v>
      </c>
      <c r="J410" t="n">
        <v>0</v>
      </c>
      <c r="K410" t="n">
        <v>0</v>
      </c>
      <c r="L410" t="n">
        <v>0</v>
      </c>
      <c r="M410" t="n">
        <v>0</v>
      </c>
      <c r="N410" t="n">
        <v>0</v>
      </c>
      <c r="O410" t="n">
        <v>0</v>
      </c>
      <c r="P410" t="n">
        <v>0</v>
      </c>
      <c r="Q410" t="n">
        <v>0</v>
      </c>
      <c r="R410" s="2" t="inlineStr"/>
    </row>
    <row r="411" ht="15" customHeight="1">
      <c r="A411" t="inlineStr">
        <is>
          <t>A 24291-2024</t>
        </is>
      </c>
      <c r="B411" s="1" t="n">
        <v>45457.4584837963</v>
      </c>
      <c r="C411" s="1" t="n">
        <v>46129</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17418-2026</t>
        </is>
      </c>
      <c r="B412" s="1" t="n">
        <v>46120.3591087963</v>
      </c>
      <c r="C412" s="1" t="n">
        <v>46129</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17419-2026</t>
        </is>
      </c>
      <c r="B413" s="1" t="n">
        <v>46120.36064814815</v>
      </c>
      <c r="C413" s="1" t="n">
        <v>46129</v>
      </c>
      <c r="D413" t="inlineStr">
        <is>
          <t>UPPSALA LÄN</t>
        </is>
      </c>
      <c r="E413" t="inlineStr">
        <is>
          <t>ENKÖPING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2833-2025</t>
        </is>
      </c>
      <c r="B414" s="1" t="n">
        <v>45677.63206018518</v>
      </c>
      <c r="C414" s="1" t="n">
        <v>46129</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50006-2023</t>
        </is>
      </c>
      <c r="B415" s="1" t="n">
        <v>45215</v>
      </c>
      <c r="C415" s="1" t="n">
        <v>46129</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56526-2022</t>
        </is>
      </c>
      <c r="B416" s="1" t="n">
        <v>44893</v>
      </c>
      <c r="C416" s="1" t="n">
        <v>46129</v>
      </c>
      <c r="D416" t="inlineStr">
        <is>
          <t>UPPSALA LÄN</t>
        </is>
      </c>
      <c r="E416" t="inlineStr">
        <is>
          <t>ENKÖPING</t>
        </is>
      </c>
      <c r="G416" t="n">
        <v>3.8</v>
      </c>
      <c r="H416" t="n">
        <v>0</v>
      </c>
      <c r="I416" t="n">
        <v>0</v>
      </c>
      <c r="J416" t="n">
        <v>0</v>
      </c>
      <c r="K416" t="n">
        <v>0</v>
      </c>
      <c r="L416" t="n">
        <v>0</v>
      </c>
      <c r="M416" t="n">
        <v>0</v>
      </c>
      <c r="N416" t="n">
        <v>0</v>
      </c>
      <c r="O416" t="n">
        <v>0</v>
      </c>
      <c r="P416" t="n">
        <v>0</v>
      </c>
      <c r="Q416" t="n">
        <v>0</v>
      </c>
      <c r="R416" s="2" t="inlineStr"/>
    </row>
    <row r="417" ht="15" customHeight="1">
      <c r="A417" t="inlineStr">
        <is>
          <t>A 39858-2024</t>
        </is>
      </c>
      <c r="B417" s="1" t="n">
        <v>45553</v>
      </c>
      <c r="C417" s="1" t="n">
        <v>46129</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60289-2022</t>
        </is>
      </c>
      <c r="B418" s="1" t="n">
        <v>44910.53026620371</v>
      </c>
      <c r="C418" s="1" t="n">
        <v>46129</v>
      </c>
      <c r="D418" t="inlineStr">
        <is>
          <t>UPPSALA LÄN</t>
        </is>
      </c>
      <c r="E418" t="inlineStr">
        <is>
          <t>ENKÖPING</t>
        </is>
      </c>
      <c r="G418" t="n">
        <v>3.2</v>
      </c>
      <c r="H418" t="n">
        <v>0</v>
      </c>
      <c r="I418" t="n">
        <v>0</v>
      </c>
      <c r="J418" t="n">
        <v>0</v>
      </c>
      <c r="K418" t="n">
        <v>0</v>
      </c>
      <c r="L418" t="n">
        <v>0</v>
      </c>
      <c r="M418" t="n">
        <v>0</v>
      </c>
      <c r="N418" t="n">
        <v>0</v>
      </c>
      <c r="O418" t="n">
        <v>0</v>
      </c>
      <c r="P418" t="n">
        <v>0</v>
      </c>
      <c r="Q418" t="n">
        <v>0</v>
      </c>
      <c r="R418" s="2" t="inlineStr"/>
    </row>
    <row r="419" ht="15" customHeight="1">
      <c r="A419" t="inlineStr">
        <is>
          <t>A 13110-2023</t>
        </is>
      </c>
      <c r="B419" s="1" t="n">
        <v>45001</v>
      </c>
      <c r="C419" s="1" t="n">
        <v>46129</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58384-2022</t>
        </is>
      </c>
      <c r="B420" s="1" t="n">
        <v>44901</v>
      </c>
      <c r="C420" s="1" t="n">
        <v>46129</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59602-2022</t>
        </is>
      </c>
      <c r="B421" s="1" t="n">
        <v>44907.72241898148</v>
      </c>
      <c r="C421" s="1" t="n">
        <v>46129</v>
      </c>
      <c r="D421" t="inlineStr">
        <is>
          <t>UPPSALA LÄN</t>
        </is>
      </c>
      <c r="E421" t="inlineStr">
        <is>
          <t>ENKÖPING</t>
        </is>
      </c>
      <c r="G421" t="n">
        <v>14.2</v>
      </c>
      <c r="H421" t="n">
        <v>0</v>
      </c>
      <c r="I421" t="n">
        <v>0</v>
      </c>
      <c r="J421" t="n">
        <v>0</v>
      </c>
      <c r="K421" t="n">
        <v>0</v>
      </c>
      <c r="L421" t="n">
        <v>0</v>
      </c>
      <c r="M421" t="n">
        <v>0</v>
      </c>
      <c r="N421" t="n">
        <v>0</v>
      </c>
      <c r="O421" t="n">
        <v>0</v>
      </c>
      <c r="P421" t="n">
        <v>0</v>
      </c>
      <c r="Q421" t="n">
        <v>0</v>
      </c>
      <c r="R421" s="2" t="inlineStr"/>
    </row>
    <row r="422" ht="15" customHeight="1">
      <c r="A422" t="inlineStr">
        <is>
          <t>A 31965-2021</t>
        </is>
      </c>
      <c r="B422" s="1" t="n">
        <v>44370.56901620371</v>
      </c>
      <c r="C422" s="1" t="n">
        <v>46129</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67984-2021</t>
        </is>
      </c>
      <c r="B423" s="1" t="n">
        <v>44525.70237268518</v>
      </c>
      <c r="C423" s="1" t="n">
        <v>46129</v>
      </c>
      <c r="D423" t="inlineStr">
        <is>
          <t>UPPSALA LÄN</t>
        </is>
      </c>
      <c r="E423" t="inlineStr">
        <is>
          <t>ENKÖPING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33619-2022</t>
        </is>
      </c>
      <c r="B424" s="1" t="n">
        <v>44789</v>
      </c>
      <c r="C424" s="1" t="n">
        <v>46129</v>
      </c>
      <c r="D424" t="inlineStr">
        <is>
          <t>UPPSALA LÄN</t>
        </is>
      </c>
      <c r="E424" t="inlineStr">
        <is>
          <t>ENKÖPING</t>
        </is>
      </c>
      <c r="F424" t="inlineStr">
        <is>
          <t>Allmännings- och besparingsskogar</t>
        </is>
      </c>
      <c r="G424" t="n">
        <v>4.5</v>
      </c>
      <c r="H424" t="n">
        <v>0</v>
      </c>
      <c r="I424" t="n">
        <v>0</v>
      </c>
      <c r="J424" t="n">
        <v>0</v>
      </c>
      <c r="K424" t="n">
        <v>0</v>
      </c>
      <c r="L424" t="n">
        <v>0</v>
      </c>
      <c r="M424" t="n">
        <v>0</v>
      </c>
      <c r="N424" t="n">
        <v>0</v>
      </c>
      <c r="O424" t="n">
        <v>0</v>
      </c>
      <c r="P424" t="n">
        <v>0</v>
      </c>
      <c r="Q424" t="n">
        <v>0</v>
      </c>
      <c r="R424" s="2" t="inlineStr"/>
    </row>
    <row r="425" ht="15" customHeight="1">
      <c r="A425" t="inlineStr">
        <is>
          <t>A 18643-2026</t>
        </is>
      </c>
      <c r="B425" s="1" t="n">
        <v>46128.33024305556</v>
      </c>
      <c r="C425" s="1" t="n">
        <v>46129</v>
      </c>
      <c r="D425" t="inlineStr">
        <is>
          <t>UPPSALA LÄN</t>
        </is>
      </c>
      <c r="E425" t="inlineStr">
        <is>
          <t>ENKÖPING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10829-2024</t>
        </is>
      </c>
      <c r="B426" s="1" t="n">
        <v>45369</v>
      </c>
      <c r="C426" s="1" t="n">
        <v>46129</v>
      </c>
      <c r="D426" t="inlineStr">
        <is>
          <t>UPPSALA LÄN</t>
        </is>
      </c>
      <c r="E426" t="inlineStr">
        <is>
          <t>ENKÖPING</t>
        </is>
      </c>
      <c r="G426" t="n">
        <v>2.1</v>
      </c>
      <c r="H426" t="n">
        <v>0</v>
      </c>
      <c r="I426" t="n">
        <v>0</v>
      </c>
      <c r="J426" t="n">
        <v>0</v>
      </c>
      <c r="K426" t="n">
        <v>0</v>
      </c>
      <c r="L426" t="n">
        <v>0</v>
      </c>
      <c r="M426" t="n">
        <v>0</v>
      </c>
      <c r="N426" t="n">
        <v>0</v>
      </c>
      <c r="O426" t="n">
        <v>0</v>
      </c>
      <c r="P426" t="n">
        <v>0</v>
      </c>
      <c r="Q426" t="n">
        <v>0</v>
      </c>
      <c r="R426" s="2" t="inlineStr"/>
    </row>
    <row r="427" ht="15" customHeight="1">
      <c r="A427" t="inlineStr">
        <is>
          <t>A 67982-2021</t>
        </is>
      </c>
      <c r="B427" s="1" t="n">
        <v>44525</v>
      </c>
      <c r="C427" s="1" t="n">
        <v>46129</v>
      </c>
      <c r="D427" t="inlineStr">
        <is>
          <t>UPPSALA LÄN</t>
        </is>
      </c>
      <c r="E427" t="inlineStr">
        <is>
          <t>ENKÖPING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51034-2024</t>
        </is>
      </c>
      <c r="B428" s="1" t="n">
        <v>45603.4262037037</v>
      </c>
      <c r="C428" s="1" t="n">
        <v>46129</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51036-2024</t>
        </is>
      </c>
      <c r="B429" s="1" t="n">
        <v>45603.42839120371</v>
      </c>
      <c r="C429" s="1" t="n">
        <v>46129</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18806-2026</t>
        </is>
      </c>
      <c r="B430" s="1" t="n">
        <v>46128.63238425926</v>
      </c>
      <c r="C430" s="1" t="n">
        <v>46129</v>
      </c>
      <c r="D430" t="inlineStr">
        <is>
          <t>UPPSALA LÄN</t>
        </is>
      </c>
      <c r="E430" t="inlineStr">
        <is>
          <t>ENKÖPING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18565-2026</t>
        </is>
      </c>
      <c r="B431" s="1" t="n">
        <v>46127.5871412037</v>
      </c>
      <c r="C431" s="1" t="n">
        <v>46129</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55876-2024</t>
        </is>
      </c>
      <c r="B432" s="1" t="n">
        <v>45623.5546412037</v>
      </c>
      <c r="C432" s="1" t="n">
        <v>46129</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18644-2026</t>
        </is>
      </c>
      <c r="B433" s="1" t="n">
        <v>46128.33157407407</v>
      </c>
      <c r="C433" s="1" t="n">
        <v>46129</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11005-2023</t>
        </is>
      </c>
      <c r="B434" s="1" t="n">
        <v>44991</v>
      </c>
      <c r="C434" s="1" t="n">
        <v>46129</v>
      </c>
      <c r="D434" t="inlineStr">
        <is>
          <t>UPPSALA LÄN</t>
        </is>
      </c>
      <c r="E434" t="inlineStr">
        <is>
          <t>ENKÖPING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57142-2021</t>
        </is>
      </c>
      <c r="B435" s="1" t="n">
        <v>44482</v>
      </c>
      <c r="C435" s="1" t="n">
        <v>46129</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57147-2021</t>
        </is>
      </c>
      <c r="B436" s="1" t="n">
        <v>44482</v>
      </c>
      <c r="C436" s="1" t="n">
        <v>46129</v>
      </c>
      <c r="D436" t="inlineStr">
        <is>
          <t>UPPSALA LÄN</t>
        </is>
      </c>
      <c r="E436" t="inlineStr">
        <is>
          <t>ENKÖPING</t>
        </is>
      </c>
      <c r="G436" t="n">
        <v>5.7</v>
      </c>
      <c r="H436" t="n">
        <v>0</v>
      </c>
      <c r="I436" t="n">
        <v>0</v>
      </c>
      <c r="J436" t="n">
        <v>0</v>
      </c>
      <c r="K436" t="n">
        <v>0</v>
      </c>
      <c r="L436" t="n">
        <v>0</v>
      </c>
      <c r="M436" t="n">
        <v>0</v>
      </c>
      <c r="N436" t="n">
        <v>0</v>
      </c>
      <c r="O436" t="n">
        <v>0</v>
      </c>
      <c r="P436" t="n">
        <v>0</v>
      </c>
      <c r="Q436" t="n">
        <v>0</v>
      </c>
      <c r="R436" s="2" t="inlineStr"/>
    </row>
    <row r="437" ht="15" customHeight="1">
      <c r="A437" t="inlineStr">
        <is>
          <t>A 7868-2024</t>
        </is>
      </c>
      <c r="B437" s="1" t="n">
        <v>45350.33020833333</v>
      </c>
      <c r="C437" s="1" t="n">
        <v>46129</v>
      </c>
      <c r="D437" t="inlineStr">
        <is>
          <t>UPPSALA LÄN</t>
        </is>
      </c>
      <c r="E437" t="inlineStr">
        <is>
          <t>ENKÖPING</t>
        </is>
      </c>
      <c r="G437" t="n">
        <v>0.3</v>
      </c>
      <c r="H437" t="n">
        <v>0</v>
      </c>
      <c r="I437" t="n">
        <v>0</v>
      </c>
      <c r="J437" t="n">
        <v>0</v>
      </c>
      <c r="K437" t="n">
        <v>0</v>
      </c>
      <c r="L437" t="n">
        <v>0</v>
      </c>
      <c r="M437" t="n">
        <v>0</v>
      </c>
      <c r="N437" t="n">
        <v>0</v>
      </c>
      <c r="O437" t="n">
        <v>0</v>
      </c>
      <c r="P437" t="n">
        <v>0</v>
      </c>
      <c r="Q437" t="n">
        <v>0</v>
      </c>
      <c r="R437" s="2" t="inlineStr"/>
    </row>
    <row r="438" ht="15" customHeight="1">
      <c r="A438" t="inlineStr">
        <is>
          <t>A 7870-2024</t>
        </is>
      </c>
      <c r="B438" s="1" t="n">
        <v>45350.33349537037</v>
      </c>
      <c r="C438" s="1" t="n">
        <v>46129</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9231-2023</t>
        </is>
      </c>
      <c r="B439" s="1" t="n">
        <v>44980</v>
      </c>
      <c r="C439" s="1" t="n">
        <v>46129</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46129</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30514-2021</t>
        </is>
      </c>
      <c r="B441" s="1" t="n">
        <v>44364</v>
      </c>
      <c r="C441" s="1" t="n">
        <v>46129</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31604-2023</t>
        </is>
      </c>
      <c r="B442" s="1" t="n">
        <v>45117.50368055556</v>
      </c>
      <c r="C442" s="1" t="n">
        <v>46129</v>
      </c>
      <c r="D442" t="inlineStr">
        <is>
          <t>UPPSALA LÄN</t>
        </is>
      </c>
      <c r="E442" t="inlineStr">
        <is>
          <t>ENKÖPING</t>
        </is>
      </c>
      <c r="G442" t="n">
        <v>3.5</v>
      </c>
      <c r="H442" t="n">
        <v>0</v>
      </c>
      <c r="I442" t="n">
        <v>0</v>
      </c>
      <c r="J442" t="n">
        <v>0</v>
      </c>
      <c r="K442" t="n">
        <v>0</v>
      </c>
      <c r="L442" t="n">
        <v>0</v>
      </c>
      <c r="M442" t="n">
        <v>0</v>
      </c>
      <c r="N442" t="n">
        <v>0</v>
      </c>
      <c r="O442" t="n">
        <v>0</v>
      </c>
      <c r="P442" t="n">
        <v>0</v>
      </c>
      <c r="Q442" t="n">
        <v>0</v>
      </c>
      <c r="R442" s="2" t="inlineStr"/>
    </row>
    <row r="443" ht="15" customHeight="1">
      <c r="A443" t="inlineStr">
        <is>
          <t>A 25598-2021</t>
        </is>
      </c>
      <c r="B443" s="1" t="n">
        <v>44343.4558912037</v>
      </c>
      <c r="C443" s="1" t="n">
        <v>46129</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15162-2025</t>
        </is>
      </c>
      <c r="B444" s="1" t="n">
        <v>45744</v>
      </c>
      <c r="C444" s="1" t="n">
        <v>46129</v>
      </c>
      <c r="D444" t="inlineStr">
        <is>
          <t>UPPSALA LÄN</t>
        </is>
      </c>
      <c r="E444" t="inlineStr">
        <is>
          <t>ENKÖPING</t>
        </is>
      </c>
      <c r="G444" t="n">
        <v>4.2</v>
      </c>
      <c r="H444" t="n">
        <v>0</v>
      </c>
      <c r="I444" t="n">
        <v>0</v>
      </c>
      <c r="J444" t="n">
        <v>0</v>
      </c>
      <c r="K444" t="n">
        <v>0</v>
      </c>
      <c r="L444" t="n">
        <v>0</v>
      </c>
      <c r="M444" t="n">
        <v>0</v>
      </c>
      <c r="N444" t="n">
        <v>0</v>
      </c>
      <c r="O444" t="n">
        <v>0</v>
      </c>
      <c r="P444" t="n">
        <v>0</v>
      </c>
      <c r="Q444" t="n">
        <v>0</v>
      </c>
      <c r="R444" s="2" t="inlineStr"/>
    </row>
    <row r="445" ht="15" customHeight="1">
      <c r="A445" t="inlineStr">
        <is>
          <t>A 52388-2024</t>
        </is>
      </c>
      <c r="B445" s="1" t="n">
        <v>45609.42939814815</v>
      </c>
      <c r="C445" s="1" t="n">
        <v>46129</v>
      </c>
      <c r="D445" t="inlineStr">
        <is>
          <t>UPPSALA LÄN</t>
        </is>
      </c>
      <c r="E445" t="inlineStr">
        <is>
          <t>ENKÖPING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53607-2023</t>
        </is>
      </c>
      <c r="B446" s="1" t="n">
        <v>45230</v>
      </c>
      <c r="C446" s="1" t="n">
        <v>46129</v>
      </c>
      <c r="D446" t="inlineStr">
        <is>
          <t>UPPSALA LÄN</t>
        </is>
      </c>
      <c r="E446" t="inlineStr">
        <is>
          <t>ENKÖPING</t>
        </is>
      </c>
      <c r="F446" t="inlineStr">
        <is>
          <t>Allmännings- och besparingsskogar</t>
        </is>
      </c>
      <c r="G446" t="n">
        <v>6.3</v>
      </c>
      <c r="H446" t="n">
        <v>0</v>
      </c>
      <c r="I446" t="n">
        <v>0</v>
      </c>
      <c r="J446" t="n">
        <v>0</v>
      </c>
      <c r="K446" t="n">
        <v>0</v>
      </c>
      <c r="L446" t="n">
        <v>0</v>
      </c>
      <c r="M446" t="n">
        <v>0</v>
      </c>
      <c r="N446" t="n">
        <v>0</v>
      </c>
      <c r="O446" t="n">
        <v>0</v>
      </c>
      <c r="P446" t="n">
        <v>0</v>
      </c>
      <c r="Q446" t="n">
        <v>0</v>
      </c>
      <c r="R446" s="2" t="inlineStr"/>
    </row>
    <row r="447" ht="15" customHeight="1">
      <c r="A447" t="inlineStr">
        <is>
          <t>A 40202-2024</t>
        </is>
      </c>
      <c r="B447" s="1" t="n">
        <v>45554</v>
      </c>
      <c r="C447" s="1" t="n">
        <v>46129</v>
      </c>
      <c r="D447" t="inlineStr">
        <is>
          <t>UPPSALA LÄN</t>
        </is>
      </c>
      <c r="E447" t="inlineStr">
        <is>
          <t>ENKÖPING</t>
        </is>
      </c>
      <c r="G447" t="n">
        <v>6.2</v>
      </c>
      <c r="H447" t="n">
        <v>0</v>
      </c>
      <c r="I447" t="n">
        <v>0</v>
      </c>
      <c r="J447" t="n">
        <v>0</v>
      </c>
      <c r="K447" t="n">
        <v>0</v>
      </c>
      <c r="L447" t="n">
        <v>0</v>
      </c>
      <c r="M447" t="n">
        <v>0</v>
      </c>
      <c r="N447" t="n">
        <v>0</v>
      </c>
      <c r="O447" t="n">
        <v>0</v>
      </c>
      <c r="P447" t="n">
        <v>0</v>
      </c>
      <c r="Q447" t="n">
        <v>0</v>
      </c>
      <c r="R447" s="2" t="inlineStr"/>
    </row>
    <row r="448" ht="15" customHeight="1">
      <c r="A448" t="inlineStr">
        <is>
          <t>A 57152-2021</t>
        </is>
      </c>
      <c r="B448" s="1" t="n">
        <v>44482</v>
      </c>
      <c r="C448" s="1" t="n">
        <v>46129</v>
      </c>
      <c r="D448" t="inlineStr">
        <is>
          <t>UPPSALA LÄN</t>
        </is>
      </c>
      <c r="E448" t="inlineStr">
        <is>
          <t>ENKÖPING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34124-2021</t>
        </is>
      </c>
      <c r="B449" s="1" t="n">
        <v>44379</v>
      </c>
      <c r="C449" s="1" t="n">
        <v>46129</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28518-2024</t>
        </is>
      </c>
      <c r="B450" s="1" t="n">
        <v>45477</v>
      </c>
      <c r="C450" s="1" t="n">
        <v>46129</v>
      </c>
      <c r="D450" t="inlineStr">
        <is>
          <t>UPPSALA LÄN</t>
        </is>
      </c>
      <c r="E450" t="inlineStr">
        <is>
          <t>ENKÖPING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52299-2023</t>
        </is>
      </c>
      <c r="B451" s="1" t="n">
        <v>45224.61636574074</v>
      </c>
      <c r="C451" s="1" t="n">
        <v>46129</v>
      </c>
      <c r="D451" t="inlineStr">
        <is>
          <t>UPPSALA LÄN</t>
        </is>
      </c>
      <c r="E451" t="inlineStr">
        <is>
          <t>ENKÖPING</t>
        </is>
      </c>
      <c r="G451" t="n">
        <v>2.2</v>
      </c>
      <c r="H451" t="n">
        <v>0</v>
      </c>
      <c r="I451" t="n">
        <v>0</v>
      </c>
      <c r="J451" t="n">
        <v>0</v>
      </c>
      <c r="K451" t="n">
        <v>0</v>
      </c>
      <c r="L451" t="n">
        <v>0</v>
      </c>
      <c r="M451" t="n">
        <v>0</v>
      </c>
      <c r="N451" t="n">
        <v>0</v>
      </c>
      <c r="O451" t="n">
        <v>0</v>
      </c>
      <c r="P451" t="n">
        <v>0</v>
      </c>
      <c r="Q451" t="n">
        <v>0</v>
      </c>
      <c r="R451" s="2" t="inlineStr"/>
    </row>
    <row r="452" ht="15" customHeight="1">
      <c r="A452" t="inlineStr">
        <is>
          <t>A 30634-2022</t>
        </is>
      </c>
      <c r="B452" s="1" t="n">
        <v>44763.45711805556</v>
      </c>
      <c r="C452" s="1" t="n">
        <v>46129</v>
      </c>
      <c r="D452" t="inlineStr">
        <is>
          <t>UPPSALA LÄN</t>
        </is>
      </c>
      <c r="E452" t="inlineStr">
        <is>
          <t>ENKÖPING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18259-2025</t>
        </is>
      </c>
      <c r="B453" s="1" t="n">
        <v>45762</v>
      </c>
      <c r="C453" s="1" t="n">
        <v>46129</v>
      </c>
      <c r="D453" t="inlineStr">
        <is>
          <t>UPPSALA LÄN</t>
        </is>
      </c>
      <c r="E453" t="inlineStr">
        <is>
          <t>ENKÖPING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14004-2023</t>
        </is>
      </c>
      <c r="B454" s="1" t="n">
        <v>45008</v>
      </c>
      <c r="C454" s="1" t="n">
        <v>46129</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52005-2024</t>
        </is>
      </c>
      <c r="B455" s="1" t="n">
        <v>45607.7627662037</v>
      </c>
      <c r="C455" s="1" t="n">
        <v>46129</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1960-2022</t>
        </is>
      </c>
      <c r="B456" s="1" t="n">
        <v>44575</v>
      </c>
      <c r="C456" s="1" t="n">
        <v>46129</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49627-2024</t>
        </is>
      </c>
      <c r="B457" s="1" t="n">
        <v>45596.59140046296</v>
      </c>
      <c r="C457" s="1" t="n">
        <v>46129</v>
      </c>
      <c r="D457" t="inlineStr">
        <is>
          <t>UPPSALA LÄN</t>
        </is>
      </c>
      <c r="E457" t="inlineStr">
        <is>
          <t>ENKÖPING</t>
        </is>
      </c>
      <c r="G457" t="n">
        <v>0.4</v>
      </c>
      <c r="H457" t="n">
        <v>0</v>
      </c>
      <c r="I457" t="n">
        <v>0</v>
      </c>
      <c r="J457" t="n">
        <v>0</v>
      </c>
      <c r="K457" t="n">
        <v>0</v>
      </c>
      <c r="L457" t="n">
        <v>0</v>
      </c>
      <c r="M457" t="n">
        <v>0</v>
      </c>
      <c r="N457" t="n">
        <v>0</v>
      </c>
      <c r="O457" t="n">
        <v>0</v>
      </c>
      <c r="P457" t="n">
        <v>0</v>
      </c>
      <c r="Q457" t="n">
        <v>0</v>
      </c>
      <c r="R457" s="2" t="inlineStr"/>
    </row>
    <row r="458" ht="15" customHeight="1">
      <c r="A458" t="inlineStr">
        <is>
          <t>A 57998-2024</t>
        </is>
      </c>
      <c r="B458" s="1" t="n">
        <v>45631</v>
      </c>
      <c r="C458" s="1" t="n">
        <v>46129</v>
      </c>
      <c r="D458" t="inlineStr">
        <is>
          <t>UPPSALA LÄN</t>
        </is>
      </c>
      <c r="E458" t="inlineStr">
        <is>
          <t>ENKÖPING</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9667-2024</t>
        </is>
      </c>
      <c r="B459" s="1" t="n">
        <v>45362.45130787037</v>
      </c>
      <c r="C459" s="1" t="n">
        <v>46129</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35645-2021</t>
        </is>
      </c>
      <c r="B460" s="1" t="n">
        <v>44386.42</v>
      </c>
      <c r="C460" s="1" t="n">
        <v>46129</v>
      </c>
      <c r="D460" t="inlineStr">
        <is>
          <t>UPPSALA LÄN</t>
        </is>
      </c>
      <c r="E460" t="inlineStr">
        <is>
          <t>ENKÖPING</t>
        </is>
      </c>
      <c r="G460" t="n">
        <v>2.7</v>
      </c>
      <c r="H460" t="n">
        <v>0</v>
      </c>
      <c r="I460" t="n">
        <v>0</v>
      </c>
      <c r="J460" t="n">
        <v>0</v>
      </c>
      <c r="K460" t="n">
        <v>0</v>
      </c>
      <c r="L460" t="n">
        <v>0</v>
      </c>
      <c r="M460" t="n">
        <v>0</v>
      </c>
      <c r="N460" t="n">
        <v>0</v>
      </c>
      <c r="O460" t="n">
        <v>0</v>
      </c>
      <c r="P460" t="n">
        <v>0</v>
      </c>
      <c r="Q460" t="n">
        <v>0</v>
      </c>
      <c r="R460" s="2" t="inlineStr"/>
    </row>
    <row r="461" ht="15" customHeight="1">
      <c r="A461" t="inlineStr">
        <is>
          <t>A 15711-2025</t>
        </is>
      </c>
      <c r="B461" s="1" t="n">
        <v>45748</v>
      </c>
      <c r="C461" s="1" t="n">
        <v>46129</v>
      </c>
      <c r="D461" t="inlineStr">
        <is>
          <t>UPPSALA LÄN</t>
        </is>
      </c>
      <c r="E461" t="inlineStr">
        <is>
          <t>ENKÖPING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28318-2024</t>
        </is>
      </c>
      <c r="B462" s="1" t="n">
        <v>45477</v>
      </c>
      <c r="C462" s="1" t="n">
        <v>46129</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69344-2021</t>
        </is>
      </c>
      <c r="B463" s="1" t="n">
        <v>44531</v>
      </c>
      <c r="C463" s="1" t="n">
        <v>46129</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51524-2022</t>
        </is>
      </c>
      <c r="B464" s="1" t="n">
        <v>44869</v>
      </c>
      <c r="C464" s="1" t="n">
        <v>46129</v>
      </c>
      <c r="D464" t="inlineStr">
        <is>
          <t>UPPSALA LÄN</t>
        </is>
      </c>
      <c r="E464" t="inlineStr">
        <is>
          <t>ENKÖPING</t>
        </is>
      </c>
      <c r="G464" t="n">
        <v>6.6</v>
      </c>
      <c r="H464" t="n">
        <v>0</v>
      </c>
      <c r="I464" t="n">
        <v>0</v>
      </c>
      <c r="J464" t="n">
        <v>0</v>
      </c>
      <c r="K464" t="n">
        <v>0</v>
      </c>
      <c r="L464" t="n">
        <v>0</v>
      </c>
      <c r="M464" t="n">
        <v>0</v>
      </c>
      <c r="N464" t="n">
        <v>0</v>
      </c>
      <c r="O464" t="n">
        <v>0</v>
      </c>
      <c r="P464" t="n">
        <v>0</v>
      </c>
      <c r="Q464" t="n">
        <v>0</v>
      </c>
      <c r="R464" s="2" t="inlineStr"/>
    </row>
    <row r="465" ht="15" customHeight="1">
      <c r="A465" t="inlineStr">
        <is>
          <t>A 46103-2023</t>
        </is>
      </c>
      <c r="B465" s="1" t="n">
        <v>45190</v>
      </c>
      <c r="C465" s="1" t="n">
        <v>46129</v>
      </c>
      <c r="D465" t="inlineStr">
        <is>
          <t>UPPSALA LÄN</t>
        </is>
      </c>
      <c r="E465" t="inlineStr">
        <is>
          <t>ENKÖPING</t>
        </is>
      </c>
      <c r="G465" t="n">
        <v>4.6</v>
      </c>
      <c r="H465" t="n">
        <v>0</v>
      </c>
      <c r="I465" t="n">
        <v>0</v>
      </c>
      <c r="J465" t="n">
        <v>0</v>
      </c>
      <c r="K465" t="n">
        <v>0</v>
      </c>
      <c r="L465" t="n">
        <v>0</v>
      </c>
      <c r="M465" t="n">
        <v>0</v>
      </c>
      <c r="N465" t="n">
        <v>0</v>
      </c>
      <c r="O465" t="n">
        <v>0</v>
      </c>
      <c r="P465" t="n">
        <v>0</v>
      </c>
      <c r="Q465" t="n">
        <v>0</v>
      </c>
      <c r="R465" s="2" t="inlineStr"/>
    </row>
    <row r="466" ht="15" customHeight="1">
      <c r="A466" t="inlineStr">
        <is>
          <t>A 41737-2022</t>
        </is>
      </c>
      <c r="B466" s="1" t="n">
        <v>44827.63826388889</v>
      </c>
      <c r="C466" s="1" t="n">
        <v>46129</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8137-2025</t>
        </is>
      </c>
      <c r="B467" s="1" t="n">
        <v>45707.8561574074</v>
      </c>
      <c r="C467" s="1" t="n">
        <v>46129</v>
      </c>
      <c r="D467" t="inlineStr">
        <is>
          <t>UPPSALA LÄN</t>
        </is>
      </c>
      <c r="E467" t="inlineStr">
        <is>
          <t>ENKÖPING</t>
        </is>
      </c>
      <c r="G467" t="n">
        <v>0.4</v>
      </c>
      <c r="H467" t="n">
        <v>0</v>
      </c>
      <c r="I467" t="n">
        <v>0</v>
      </c>
      <c r="J467" t="n">
        <v>0</v>
      </c>
      <c r="K467" t="n">
        <v>0</v>
      </c>
      <c r="L467" t="n">
        <v>0</v>
      </c>
      <c r="M467" t="n">
        <v>0</v>
      </c>
      <c r="N467" t="n">
        <v>0</v>
      </c>
      <c r="O467" t="n">
        <v>0</v>
      </c>
      <c r="P467" t="n">
        <v>0</v>
      </c>
      <c r="Q467" t="n">
        <v>0</v>
      </c>
      <c r="R467" s="2" t="inlineStr"/>
    </row>
    <row r="468" ht="15" customHeight="1">
      <c r="A468" t="inlineStr">
        <is>
          <t>A 23301-2024</t>
        </is>
      </c>
      <c r="B468" s="1" t="n">
        <v>45453.4396412037</v>
      </c>
      <c r="C468" s="1" t="n">
        <v>46129</v>
      </c>
      <c r="D468" t="inlineStr">
        <is>
          <t>UPPSALA LÄN</t>
        </is>
      </c>
      <c r="E468" t="inlineStr">
        <is>
          <t>ENKÖPING</t>
        </is>
      </c>
      <c r="G468" t="n">
        <v>4.3</v>
      </c>
      <c r="H468" t="n">
        <v>0</v>
      </c>
      <c r="I468" t="n">
        <v>0</v>
      </c>
      <c r="J468" t="n">
        <v>0</v>
      </c>
      <c r="K468" t="n">
        <v>0</v>
      </c>
      <c r="L468" t="n">
        <v>0</v>
      </c>
      <c r="M468" t="n">
        <v>0</v>
      </c>
      <c r="N468" t="n">
        <v>0</v>
      </c>
      <c r="O468" t="n">
        <v>0</v>
      </c>
      <c r="P468" t="n">
        <v>0</v>
      </c>
      <c r="Q468" t="n">
        <v>0</v>
      </c>
      <c r="R468" s="2" t="inlineStr"/>
    </row>
    <row r="469" ht="15" customHeight="1">
      <c r="A469" t="inlineStr">
        <is>
          <t>A 52380-2024</t>
        </is>
      </c>
      <c r="B469" s="1" t="n">
        <v>45609</v>
      </c>
      <c r="C469" s="1" t="n">
        <v>46129</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30098-2024</t>
        </is>
      </c>
      <c r="B470" s="1" t="n">
        <v>45489.41609953704</v>
      </c>
      <c r="C470" s="1" t="n">
        <v>46129</v>
      </c>
      <c r="D470" t="inlineStr">
        <is>
          <t>UPPSALA LÄN</t>
        </is>
      </c>
      <c r="E470" t="inlineStr">
        <is>
          <t>ENKÖPING</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34735-2023</t>
        </is>
      </c>
      <c r="B471" s="1" t="n">
        <v>45139</v>
      </c>
      <c r="C471" s="1" t="n">
        <v>46129</v>
      </c>
      <c r="D471" t="inlineStr">
        <is>
          <t>UPPSALA LÄN</t>
        </is>
      </c>
      <c r="E471" t="inlineStr">
        <is>
          <t>ENKÖPING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57328-2024</t>
        </is>
      </c>
      <c r="B472" s="1" t="n">
        <v>45629.62798611111</v>
      </c>
      <c r="C472" s="1" t="n">
        <v>46129</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29482-2022</t>
        </is>
      </c>
      <c r="B473" s="1" t="n">
        <v>44753.57703703704</v>
      </c>
      <c r="C473" s="1" t="n">
        <v>46129</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29483-2022</t>
        </is>
      </c>
      <c r="B474" s="1" t="n">
        <v>44753.57829861111</v>
      </c>
      <c r="C474" s="1" t="n">
        <v>46129</v>
      </c>
      <c r="D474" t="inlineStr">
        <is>
          <t>UPPSALA LÄN</t>
        </is>
      </c>
      <c r="E474" t="inlineStr">
        <is>
          <t>ENKÖPING</t>
        </is>
      </c>
      <c r="G474" t="n">
        <v>3.6</v>
      </c>
      <c r="H474" t="n">
        <v>0</v>
      </c>
      <c r="I474" t="n">
        <v>0</v>
      </c>
      <c r="J474" t="n">
        <v>0</v>
      </c>
      <c r="K474" t="n">
        <v>0</v>
      </c>
      <c r="L474" t="n">
        <v>0</v>
      </c>
      <c r="M474" t="n">
        <v>0</v>
      </c>
      <c r="N474" t="n">
        <v>0</v>
      </c>
      <c r="O474" t="n">
        <v>0</v>
      </c>
      <c r="P474" t="n">
        <v>0</v>
      </c>
      <c r="Q474" t="n">
        <v>0</v>
      </c>
      <c r="R474" s="2" t="inlineStr"/>
    </row>
    <row r="475" ht="15" customHeight="1">
      <c r="A475" t="inlineStr">
        <is>
          <t>A 44232-2022</t>
        </is>
      </c>
      <c r="B475" s="1" t="n">
        <v>44839</v>
      </c>
      <c r="C475" s="1" t="n">
        <v>46129</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61106-2022</t>
        </is>
      </c>
      <c r="B476" s="1" t="n">
        <v>44915.4128587963</v>
      </c>
      <c r="C476" s="1" t="n">
        <v>46129</v>
      </c>
      <c r="D476" t="inlineStr">
        <is>
          <t>UPPSALA LÄN</t>
        </is>
      </c>
      <c r="E476" t="inlineStr">
        <is>
          <t>ENKÖPING</t>
        </is>
      </c>
      <c r="G476" t="n">
        <v>0.8</v>
      </c>
      <c r="H476" t="n">
        <v>0</v>
      </c>
      <c r="I476" t="n">
        <v>0</v>
      </c>
      <c r="J476" t="n">
        <v>0</v>
      </c>
      <c r="K476" t="n">
        <v>0</v>
      </c>
      <c r="L476" t="n">
        <v>0</v>
      </c>
      <c r="M476" t="n">
        <v>0</v>
      </c>
      <c r="N476" t="n">
        <v>0</v>
      </c>
      <c r="O476" t="n">
        <v>0</v>
      </c>
      <c r="P476" t="n">
        <v>0</v>
      </c>
      <c r="Q476" t="n">
        <v>0</v>
      </c>
      <c r="R476" s="2" t="inlineStr"/>
    </row>
    <row r="477" ht="15" customHeight="1">
      <c r="A477" t="inlineStr">
        <is>
          <t>A 39624-2023</t>
        </is>
      </c>
      <c r="B477" s="1" t="n">
        <v>45164</v>
      </c>
      <c r="C477" s="1" t="n">
        <v>46129</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20184-2023</t>
        </is>
      </c>
      <c r="B478" s="1" t="n">
        <v>45055.5670949074</v>
      </c>
      <c r="C478" s="1" t="n">
        <v>46129</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8152-2022</t>
        </is>
      </c>
      <c r="B479" s="1" t="n">
        <v>44609</v>
      </c>
      <c r="C479" s="1" t="n">
        <v>46129</v>
      </c>
      <c r="D479" t="inlineStr">
        <is>
          <t>UPPSALA LÄN</t>
        </is>
      </c>
      <c r="E479" t="inlineStr">
        <is>
          <t>ENKÖPING</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40223-2024</t>
        </is>
      </c>
      <c r="B480" s="1" t="n">
        <v>45554</v>
      </c>
      <c r="C480" s="1" t="n">
        <v>46129</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37035-2023</t>
        </is>
      </c>
      <c r="B481" s="1" t="n">
        <v>45155</v>
      </c>
      <c r="C481" s="1" t="n">
        <v>46129</v>
      </c>
      <c r="D481" t="inlineStr">
        <is>
          <t>UPPSALA LÄN</t>
        </is>
      </c>
      <c r="E481" t="inlineStr">
        <is>
          <t>ENKÖPING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52889-2022</t>
        </is>
      </c>
      <c r="B482" s="1" t="n">
        <v>44875</v>
      </c>
      <c r="C482" s="1" t="n">
        <v>46129</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51030-2024</t>
        </is>
      </c>
      <c r="B483" s="1" t="n">
        <v>45603</v>
      </c>
      <c r="C483" s="1" t="n">
        <v>46129</v>
      </c>
      <c r="D483" t="inlineStr">
        <is>
          <t>UPPSALA LÄN</t>
        </is>
      </c>
      <c r="E483" t="inlineStr">
        <is>
          <t>ENKÖPING</t>
        </is>
      </c>
      <c r="G483" t="n">
        <v>2</v>
      </c>
      <c r="H483" t="n">
        <v>0</v>
      </c>
      <c r="I483" t="n">
        <v>0</v>
      </c>
      <c r="J483" t="n">
        <v>0</v>
      </c>
      <c r="K483" t="n">
        <v>0</v>
      </c>
      <c r="L483" t="n">
        <v>0</v>
      </c>
      <c r="M483" t="n">
        <v>0</v>
      </c>
      <c r="N483" t="n">
        <v>0</v>
      </c>
      <c r="O483" t="n">
        <v>0</v>
      </c>
      <c r="P483" t="n">
        <v>0</v>
      </c>
      <c r="Q483" t="n">
        <v>0</v>
      </c>
      <c r="R483" s="2" t="inlineStr"/>
    </row>
    <row r="484" ht="15" customHeight="1">
      <c r="A484" t="inlineStr">
        <is>
          <t>A 26292-2022</t>
        </is>
      </c>
      <c r="B484" s="1" t="n">
        <v>44735</v>
      </c>
      <c r="C484" s="1" t="n">
        <v>46129</v>
      </c>
      <c r="D484" t="inlineStr">
        <is>
          <t>UPPSALA LÄN</t>
        </is>
      </c>
      <c r="E484" t="inlineStr">
        <is>
          <t>ENKÖPING</t>
        </is>
      </c>
      <c r="F484" t="inlineStr">
        <is>
          <t>Kyrkan</t>
        </is>
      </c>
      <c r="G484" t="n">
        <v>4.6</v>
      </c>
      <c r="H484" t="n">
        <v>0</v>
      </c>
      <c r="I484" t="n">
        <v>0</v>
      </c>
      <c r="J484" t="n">
        <v>0</v>
      </c>
      <c r="K484" t="n">
        <v>0</v>
      </c>
      <c r="L484" t="n">
        <v>0</v>
      </c>
      <c r="M484" t="n">
        <v>0</v>
      </c>
      <c r="N484" t="n">
        <v>0</v>
      </c>
      <c r="O484" t="n">
        <v>0</v>
      </c>
      <c r="P484" t="n">
        <v>0</v>
      </c>
      <c r="Q484" t="n">
        <v>0</v>
      </c>
      <c r="R484" s="2" t="inlineStr"/>
    </row>
    <row r="485" ht="15" customHeight="1">
      <c r="A485" t="inlineStr">
        <is>
          <t>A 4044-2024</t>
        </is>
      </c>
      <c r="B485" s="1" t="n">
        <v>45323.45954861111</v>
      </c>
      <c r="C485" s="1" t="n">
        <v>46129</v>
      </c>
      <c r="D485" t="inlineStr">
        <is>
          <t>UPPSALA LÄN</t>
        </is>
      </c>
      <c r="E485" t="inlineStr">
        <is>
          <t>ENKÖPING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33349-2024</t>
        </is>
      </c>
      <c r="B486" s="1" t="n">
        <v>45519</v>
      </c>
      <c r="C486" s="1" t="n">
        <v>46129</v>
      </c>
      <c r="D486" t="inlineStr">
        <is>
          <t>UPPSALA LÄN</t>
        </is>
      </c>
      <c r="E486" t="inlineStr">
        <is>
          <t>ENKÖPING</t>
        </is>
      </c>
      <c r="G486" t="n">
        <v>3.6</v>
      </c>
      <c r="H486" t="n">
        <v>0</v>
      </c>
      <c r="I486" t="n">
        <v>0</v>
      </c>
      <c r="J486" t="n">
        <v>0</v>
      </c>
      <c r="K486" t="n">
        <v>0</v>
      </c>
      <c r="L486" t="n">
        <v>0</v>
      </c>
      <c r="M486" t="n">
        <v>0</v>
      </c>
      <c r="N486" t="n">
        <v>0</v>
      </c>
      <c r="O486" t="n">
        <v>0</v>
      </c>
      <c r="P486" t="n">
        <v>0</v>
      </c>
      <c r="Q486" t="n">
        <v>0</v>
      </c>
      <c r="R486" s="2" t="inlineStr"/>
    </row>
    <row r="487" ht="15" customHeight="1">
      <c r="A487" t="inlineStr">
        <is>
          <t>A 22912-2024</t>
        </is>
      </c>
      <c r="B487" s="1" t="n">
        <v>45448.73118055556</v>
      </c>
      <c r="C487" s="1" t="n">
        <v>46129</v>
      </c>
      <c r="D487" t="inlineStr">
        <is>
          <t>UPPSALA LÄN</t>
        </is>
      </c>
      <c r="E487" t="inlineStr">
        <is>
          <t>ENKÖPING</t>
        </is>
      </c>
      <c r="G487" t="n">
        <v>2.8</v>
      </c>
      <c r="H487" t="n">
        <v>0</v>
      </c>
      <c r="I487" t="n">
        <v>0</v>
      </c>
      <c r="J487" t="n">
        <v>0</v>
      </c>
      <c r="K487" t="n">
        <v>0</v>
      </c>
      <c r="L487" t="n">
        <v>0</v>
      </c>
      <c r="M487" t="n">
        <v>0</v>
      </c>
      <c r="N487" t="n">
        <v>0</v>
      </c>
      <c r="O487" t="n">
        <v>0</v>
      </c>
      <c r="P487" t="n">
        <v>0</v>
      </c>
      <c r="Q487" t="n">
        <v>0</v>
      </c>
      <c r="R487" s="2" t="inlineStr"/>
    </row>
    <row r="488" ht="15" customHeight="1">
      <c r="A488" t="inlineStr">
        <is>
          <t>A 21612-2023</t>
        </is>
      </c>
      <c r="B488" s="1" t="n">
        <v>45063</v>
      </c>
      <c r="C488" s="1" t="n">
        <v>46129</v>
      </c>
      <c r="D488" t="inlineStr">
        <is>
          <t>UPPSALA LÄN</t>
        </is>
      </c>
      <c r="E488" t="inlineStr">
        <is>
          <t>ENKÖPING</t>
        </is>
      </c>
      <c r="F488" t="inlineStr">
        <is>
          <t>Allmännings- och besparingsskogar</t>
        </is>
      </c>
      <c r="G488" t="n">
        <v>1</v>
      </c>
      <c r="H488" t="n">
        <v>0</v>
      </c>
      <c r="I488" t="n">
        <v>0</v>
      </c>
      <c r="J488" t="n">
        <v>0</v>
      </c>
      <c r="K488" t="n">
        <v>0</v>
      </c>
      <c r="L488" t="n">
        <v>0</v>
      </c>
      <c r="M488" t="n">
        <v>0</v>
      </c>
      <c r="N488" t="n">
        <v>0</v>
      </c>
      <c r="O488" t="n">
        <v>0</v>
      </c>
      <c r="P488" t="n">
        <v>0</v>
      </c>
      <c r="Q488" t="n">
        <v>0</v>
      </c>
      <c r="R488" s="2" t="inlineStr"/>
    </row>
    <row r="489" ht="15" customHeight="1">
      <c r="A489" t="inlineStr">
        <is>
          <t>A 14243-2025</t>
        </is>
      </c>
      <c r="B489" s="1" t="n">
        <v>45740.61288194444</v>
      </c>
      <c r="C489" s="1" t="n">
        <v>46129</v>
      </c>
      <c r="D489" t="inlineStr">
        <is>
          <t>UPPSALA LÄN</t>
        </is>
      </c>
      <c r="E489" t="inlineStr">
        <is>
          <t>ENKÖPING</t>
        </is>
      </c>
      <c r="G489" t="n">
        <v>2.2</v>
      </c>
      <c r="H489" t="n">
        <v>0</v>
      </c>
      <c r="I489" t="n">
        <v>0</v>
      </c>
      <c r="J489" t="n">
        <v>0</v>
      </c>
      <c r="K489" t="n">
        <v>0</v>
      </c>
      <c r="L489" t="n">
        <v>0</v>
      </c>
      <c r="M489" t="n">
        <v>0</v>
      </c>
      <c r="N489" t="n">
        <v>0</v>
      </c>
      <c r="O489" t="n">
        <v>0</v>
      </c>
      <c r="P489" t="n">
        <v>0</v>
      </c>
      <c r="Q489" t="n">
        <v>0</v>
      </c>
      <c r="R489" s="2" t="inlineStr"/>
    </row>
    <row r="490" ht="15" customHeight="1">
      <c r="A490" t="inlineStr">
        <is>
          <t>A 33343-2024</t>
        </is>
      </c>
      <c r="B490" s="1" t="n">
        <v>45519</v>
      </c>
      <c r="C490" s="1" t="n">
        <v>46129</v>
      </c>
      <c r="D490" t="inlineStr">
        <is>
          <t>UPPSALA LÄN</t>
        </is>
      </c>
      <c r="E490" t="inlineStr">
        <is>
          <t>ENKÖPING</t>
        </is>
      </c>
      <c r="G490" t="n">
        <v>2</v>
      </c>
      <c r="H490" t="n">
        <v>0</v>
      </c>
      <c r="I490" t="n">
        <v>0</v>
      </c>
      <c r="J490" t="n">
        <v>0</v>
      </c>
      <c r="K490" t="n">
        <v>0</v>
      </c>
      <c r="L490" t="n">
        <v>0</v>
      </c>
      <c r="M490" t="n">
        <v>0</v>
      </c>
      <c r="N490" t="n">
        <v>0</v>
      </c>
      <c r="O490" t="n">
        <v>0</v>
      </c>
      <c r="P490" t="n">
        <v>0</v>
      </c>
      <c r="Q490" t="n">
        <v>0</v>
      </c>
      <c r="R490" s="2" t="inlineStr"/>
    </row>
    <row r="491" ht="15" customHeight="1">
      <c r="A491" t="inlineStr">
        <is>
          <t>A 18302-2025</t>
        </is>
      </c>
      <c r="B491" s="1" t="n">
        <v>45762</v>
      </c>
      <c r="C491" s="1" t="n">
        <v>46129</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28243-2023</t>
        </is>
      </c>
      <c r="B492" s="1" t="n">
        <v>45099.58885416666</v>
      </c>
      <c r="C492" s="1" t="n">
        <v>46129</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3235-2025</t>
        </is>
      </c>
      <c r="B493" s="1" t="n">
        <v>45679</v>
      </c>
      <c r="C493" s="1" t="n">
        <v>46129</v>
      </c>
      <c r="D493" t="inlineStr">
        <is>
          <t>UPPSALA LÄN</t>
        </is>
      </c>
      <c r="E493" t="inlineStr">
        <is>
          <t>ENKÖPING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41828-2024</t>
        </is>
      </c>
      <c r="B494" s="1" t="n">
        <v>45561</v>
      </c>
      <c r="C494" s="1" t="n">
        <v>46129</v>
      </c>
      <c r="D494" t="inlineStr">
        <is>
          <t>UPPSALA LÄN</t>
        </is>
      </c>
      <c r="E494" t="inlineStr">
        <is>
          <t>ENKÖPING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1536-2024</t>
        </is>
      </c>
      <c r="B495" s="1" t="n">
        <v>45306</v>
      </c>
      <c r="C495" s="1" t="n">
        <v>46129</v>
      </c>
      <c r="D495" t="inlineStr">
        <is>
          <t>UPPSALA LÄN</t>
        </is>
      </c>
      <c r="E495" t="inlineStr">
        <is>
          <t>ENKÖPING</t>
        </is>
      </c>
      <c r="F495" t="inlineStr">
        <is>
          <t>Kyrkan</t>
        </is>
      </c>
      <c r="G495" t="n">
        <v>5.6</v>
      </c>
      <c r="H495" t="n">
        <v>0</v>
      </c>
      <c r="I495" t="n">
        <v>0</v>
      </c>
      <c r="J495" t="n">
        <v>0</v>
      </c>
      <c r="K495" t="n">
        <v>0</v>
      </c>
      <c r="L495" t="n">
        <v>0</v>
      </c>
      <c r="M495" t="n">
        <v>0</v>
      </c>
      <c r="N495" t="n">
        <v>0</v>
      </c>
      <c r="O495" t="n">
        <v>0</v>
      </c>
      <c r="P495" t="n">
        <v>0</v>
      </c>
      <c r="Q495" t="n">
        <v>0</v>
      </c>
      <c r="R495" s="2" t="inlineStr"/>
    </row>
    <row r="496" ht="15" customHeight="1">
      <c r="A496" t="inlineStr">
        <is>
          <t>A 42564-2024</t>
        </is>
      </c>
      <c r="B496" s="1" t="n">
        <v>45565.63358796296</v>
      </c>
      <c r="C496" s="1" t="n">
        <v>46129</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43492-2023</t>
        </is>
      </c>
      <c r="B497" s="1" t="n">
        <v>45181</v>
      </c>
      <c r="C497" s="1" t="n">
        <v>46129</v>
      </c>
      <c r="D497" t="inlineStr">
        <is>
          <t>UPPSALA LÄN</t>
        </is>
      </c>
      <c r="E497" t="inlineStr">
        <is>
          <t>ENKÖPING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6626-2023</t>
        </is>
      </c>
      <c r="B498" s="1" t="n">
        <v>44966.55946759259</v>
      </c>
      <c r="C498" s="1" t="n">
        <v>46129</v>
      </c>
      <c r="D498" t="inlineStr">
        <is>
          <t>UPPSALA LÄN</t>
        </is>
      </c>
      <c r="E498" t="inlineStr">
        <is>
          <t>ENKÖPING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17165-2025</t>
        </is>
      </c>
      <c r="B499" s="1" t="n">
        <v>45756</v>
      </c>
      <c r="C499" s="1" t="n">
        <v>46129</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5013-2025</t>
        </is>
      </c>
      <c r="B500" s="1" t="n">
        <v>45691</v>
      </c>
      <c r="C500" s="1" t="n">
        <v>46129</v>
      </c>
      <c r="D500" t="inlineStr">
        <is>
          <t>UPPSALA LÄN</t>
        </is>
      </c>
      <c r="E500" t="inlineStr">
        <is>
          <t>ENKÖPING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37170-2021</t>
        </is>
      </c>
      <c r="B501" s="1" t="n">
        <v>44395</v>
      </c>
      <c r="C501" s="1" t="n">
        <v>46129</v>
      </c>
      <c r="D501" t="inlineStr">
        <is>
          <t>UPPSALA LÄN</t>
        </is>
      </c>
      <c r="E501" t="inlineStr">
        <is>
          <t>ENKÖPING</t>
        </is>
      </c>
      <c r="G501" t="n">
        <v>1.5</v>
      </c>
      <c r="H501" t="n">
        <v>0</v>
      </c>
      <c r="I501" t="n">
        <v>0</v>
      </c>
      <c r="J501" t="n">
        <v>0</v>
      </c>
      <c r="K501" t="n">
        <v>0</v>
      </c>
      <c r="L501" t="n">
        <v>0</v>
      </c>
      <c r="M501" t="n">
        <v>0</v>
      </c>
      <c r="N501" t="n">
        <v>0</v>
      </c>
      <c r="O501" t="n">
        <v>0</v>
      </c>
      <c r="P501" t="n">
        <v>0</v>
      </c>
      <c r="Q501" t="n">
        <v>0</v>
      </c>
      <c r="R501" s="2" t="inlineStr"/>
    </row>
    <row r="502" ht="15" customHeight="1">
      <c r="A502" t="inlineStr">
        <is>
          <t>A 58147-2024</t>
        </is>
      </c>
      <c r="B502" s="1" t="n">
        <v>45632.4334375</v>
      </c>
      <c r="C502" s="1" t="n">
        <v>46129</v>
      </c>
      <c r="D502" t="inlineStr">
        <is>
          <t>UPPSALA LÄN</t>
        </is>
      </c>
      <c r="E502" t="inlineStr">
        <is>
          <t>ENKÖPING</t>
        </is>
      </c>
      <c r="G502" t="n">
        <v>3</v>
      </c>
      <c r="H502" t="n">
        <v>0</v>
      </c>
      <c r="I502" t="n">
        <v>0</v>
      </c>
      <c r="J502" t="n">
        <v>0</v>
      </c>
      <c r="K502" t="n">
        <v>0</v>
      </c>
      <c r="L502" t="n">
        <v>0</v>
      </c>
      <c r="M502" t="n">
        <v>0</v>
      </c>
      <c r="N502" t="n">
        <v>0</v>
      </c>
      <c r="O502" t="n">
        <v>0</v>
      </c>
      <c r="P502" t="n">
        <v>0</v>
      </c>
      <c r="Q502" t="n">
        <v>0</v>
      </c>
      <c r="R502" s="2" t="inlineStr"/>
    </row>
    <row r="503" ht="15" customHeight="1">
      <c r="A503" t="inlineStr">
        <is>
          <t>A 3550-2023</t>
        </is>
      </c>
      <c r="B503" s="1" t="n">
        <v>44950</v>
      </c>
      <c r="C503" s="1" t="n">
        <v>46129</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19014-2025</t>
        </is>
      </c>
      <c r="B504" s="1" t="n">
        <v>45764.59631944444</v>
      </c>
      <c r="C504" s="1" t="n">
        <v>46129</v>
      </c>
      <c r="D504" t="inlineStr">
        <is>
          <t>UPPSALA LÄN</t>
        </is>
      </c>
      <c r="E504" t="inlineStr">
        <is>
          <t>ENKÖPING</t>
        </is>
      </c>
      <c r="G504" t="n">
        <v>0.2</v>
      </c>
      <c r="H504" t="n">
        <v>0</v>
      </c>
      <c r="I504" t="n">
        <v>0</v>
      </c>
      <c r="J504" t="n">
        <v>0</v>
      </c>
      <c r="K504" t="n">
        <v>0</v>
      </c>
      <c r="L504" t="n">
        <v>0</v>
      </c>
      <c r="M504" t="n">
        <v>0</v>
      </c>
      <c r="N504" t="n">
        <v>0</v>
      </c>
      <c r="O504" t="n">
        <v>0</v>
      </c>
      <c r="P504" t="n">
        <v>0</v>
      </c>
      <c r="Q504" t="n">
        <v>0</v>
      </c>
      <c r="R504" s="2" t="inlineStr"/>
    </row>
    <row r="505" ht="15" customHeight="1">
      <c r="A505" t="inlineStr">
        <is>
          <t>A 12958-2024</t>
        </is>
      </c>
      <c r="B505" s="1" t="n">
        <v>45385</v>
      </c>
      <c r="C505" s="1" t="n">
        <v>46129</v>
      </c>
      <c r="D505" t="inlineStr">
        <is>
          <t>UPPSALA LÄN</t>
        </is>
      </c>
      <c r="E505" t="inlineStr">
        <is>
          <t>ENKÖPING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1651-2024</t>
        </is>
      </c>
      <c r="B506" s="1" t="n">
        <v>45306.73770833333</v>
      </c>
      <c r="C506" s="1" t="n">
        <v>46129</v>
      </c>
      <c r="D506" t="inlineStr">
        <is>
          <t>UPPSALA LÄN</t>
        </is>
      </c>
      <c r="E506" t="inlineStr">
        <is>
          <t>ENKÖPING</t>
        </is>
      </c>
      <c r="G506" t="n">
        <v>10.2</v>
      </c>
      <c r="H506" t="n">
        <v>0</v>
      </c>
      <c r="I506" t="n">
        <v>0</v>
      </c>
      <c r="J506" t="n">
        <v>0</v>
      </c>
      <c r="K506" t="n">
        <v>0</v>
      </c>
      <c r="L506" t="n">
        <v>0</v>
      </c>
      <c r="M506" t="n">
        <v>0</v>
      </c>
      <c r="N506" t="n">
        <v>0</v>
      </c>
      <c r="O506" t="n">
        <v>0</v>
      </c>
      <c r="P506" t="n">
        <v>0</v>
      </c>
      <c r="Q506" t="n">
        <v>0</v>
      </c>
      <c r="R506" s="2" t="inlineStr"/>
    </row>
    <row r="507" ht="15" customHeight="1">
      <c r="A507" t="inlineStr">
        <is>
          <t>A 51012-2024</t>
        </is>
      </c>
      <c r="B507" s="1" t="n">
        <v>45603.39686342593</v>
      </c>
      <c r="C507" s="1" t="n">
        <v>46129</v>
      </c>
      <c r="D507" t="inlineStr">
        <is>
          <t>UPPSALA LÄN</t>
        </is>
      </c>
      <c r="E507" t="inlineStr">
        <is>
          <t>ENKÖPING</t>
        </is>
      </c>
      <c r="G507" t="n">
        <v>2.7</v>
      </c>
      <c r="H507" t="n">
        <v>0</v>
      </c>
      <c r="I507" t="n">
        <v>0</v>
      </c>
      <c r="J507" t="n">
        <v>0</v>
      </c>
      <c r="K507" t="n">
        <v>0</v>
      </c>
      <c r="L507" t="n">
        <v>0</v>
      </c>
      <c r="M507" t="n">
        <v>0</v>
      </c>
      <c r="N507" t="n">
        <v>0</v>
      </c>
      <c r="O507" t="n">
        <v>0</v>
      </c>
      <c r="P507" t="n">
        <v>0</v>
      </c>
      <c r="Q507" t="n">
        <v>0</v>
      </c>
      <c r="R507" s="2" t="inlineStr"/>
    </row>
    <row r="508" ht="15" customHeight="1">
      <c r="A508" t="inlineStr">
        <is>
          <t>A 57940-2022</t>
        </is>
      </c>
      <c r="B508" s="1" t="n">
        <v>44900</v>
      </c>
      <c r="C508" s="1" t="n">
        <v>46129</v>
      </c>
      <c r="D508" t="inlineStr">
        <is>
          <t>UPPSALA LÄN</t>
        </is>
      </c>
      <c r="E508" t="inlineStr">
        <is>
          <t>ENKÖPING</t>
        </is>
      </c>
      <c r="G508" t="n">
        <v>1.9</v>
      </c>
      <c r="H508" t="n">
        <v>0</v>
      </c>
      <c r="I508" t="n">
        <v>0</v>
      </c>
      <c r="J508" t="n">
        <v>0</v>
      </c>
      <c r="K508" t="n">
        <v>0</v>
      </c>
      <c r="L508" t="n">
        <v>0</v>
      </c>
      <c r="M508" t="n">
        <v>0</v>
      </c>
      <c r="N508" t="n">
        <v>0</v>
      </c>
      <c r="O508" t="n">
        <v>0</v>
      </c>
      <c r="P508" t="n">
        <v>0</v>
      </c>
      <c r="Q508" t="n">
        <v>0</v>
      </c>
      <c r="R508" s="2" t="inlineStr"/>
    </row>
    <row r="509" ht="15" customHeight="1">
      <c r="A509" t="inlineStr">
        <is>
          <t>A 63310-2021</t>
        </is>
      </c>
      <c r="B509" s="1" t="n">
        <v>44508</v>
      </c>
      <c r="C509" s="1" t="n">
        <v>46129</v>
      </c>
      <c r="D509" t="inlineStr">
        <is>
          <t>UPPSALA LÄN</t>
        </is>
      </c>
      <c r="E509" t="inlineStr">
        <is>
          <t>ENKÖPING</t>
        </is>
      </c>
      <c r="G509" t="n">
        <v>3.5</v>
      </c>
      <c r="H509" t="n">
        <v>0</v>
      </c>
      <c r="I509" t="n">
        <v>0</v>
      </c>
      <c r="J509" t="n">
        <v>0</v>
      </c>
      <c r="K509" t="n">
        <v>0</v>
      </c>
      <c r="L509" t="n">
        <v>0</v>
      </c>
      <c r="M509" t="n">
        <v>0</v>
      </c>
      <c r="N509" t="n">
        <v>0</v>
      </c>
      <c r="O509" t="n">
        <v>0</v>
      </c>
      <c r="P509" t="n">
        <v>0</v>
      </c>
      <c r="Q509" t="n">
        <v>0</v>
      </c>
      <c r="R509" s="2" t="inlineStr"/>
    </row>
    <row r="510" ht="15" customHeight="1">
      <c r="A510" t="inlineStr">
        <is>
          <t>A 20440-2025</t>
        </is>
      </c>
      <c r="B510" s="1" t="n">
        <v>45775</v>
      </c>
      <c r="C510" s="1" t="n">
        <v>46129</v>
      </c>
      <c r="D510" t="inlineStr">
        <is>
          <t>UPPSALA LÄN</t>
        </is>
      </c>
      <c r="E510" t="inlineStr">
        <is>
          <t>ENKÖPING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19488-2022</t>
        </is>
      </c>
      <c r="B511" s="1" t="n">
        <v>44693</v>
      </c>
      <c r="C511" s="1" t="n">
        <v>46129</v>
      </c>
      <c r="D511" t="inlineStr">
        <is>
          <t>UPPSALA LÄN</t>
        </is>
      </c>
      <c r="E511" t="inlineStr">
        <is>
          <t>ENKÖPING</t>
        </is>
      </c>
      <c r="G511" t="n">
        <v>7.8</v>
      </c>
      <c r="H511" t="n">
        <v>0</v>
      </c>
      <c r="I511" t="n">
        <v>0</v>
      </c>
      <c r="J511" t="n">
        <v>0</v>
      </c>
      <c r="K511" t="n">
        <v>0</v>
      </c>
      <c r="L511" t="n">
        <v>0</v>
      </c>
      <c r="M511" t="n">
        <v>0</v>
      </c>
      <c r="N511" t="n">
        <v>0</v>
      </c>
      <c r="O511" t="n">
        <v>0</v>
      </c>
      <c r="P511" t="n">
        <v>0</v>
      </c>
      <c r="Q511" t="n">
        <v>0</v>
      </c>
      <c r="R511" s="2" t="inlineStr"/>
    </row>
    <row r="512" ht="15" customHeight="1">
      <c r="A512" t="inlineStr">
        <is>
          <t>A 5188-2022</t>
        </is>
      </c>
      <c r="B512" s="1" t="n">
        <v>44594.4471412037</v>
      </c>
      <c r="C512" s="1" t="n">
        <v>46129</v>
      </c>
      <c r="D512" t="inlineStr">
        <is>
          <t>UPPSALA LÄN</t>
        </is>
      </c>
      <c r="E512" t="inlineStr">
        <is>
          <t>ENKÖPING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31622-2022</t>
        </is>
      </c>
      <c r="B513" s="1" t="n">
        <v>44775</v>
      </c>
      <c r="C513" s="1" t="n">
        <v>46129</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12102-2024</t>
        </is>
      </c>
      <c r="B514" s="1" t="n">
        <v>45377</v>
      </c>
      <c r="C514" s="1" t="n">
        <v>46129</v>
      </c>
      <c r="D514" t="inlineStr">
        <is>
          <t>UPPSALA LÄN</t>
        </is>
      </c>
      <c r="E514" t="inlineStr">
        <is>
          <t>ENKÖPING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59602-2024</t>
        </is>
      </c>
      <c r="B515" s="1" t="n">
        <v>45638</v>
      </c>
      <c r="C515" s="1" t="n">
        <v>46129</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44131-2023</t>
        </is>
      </c>
      <c r="B516" s="1" t="n">
        <v>45188</v>
      </c>
      <c r="C516" s="1" t="n">
        <v>46129</v>
      </c>
      <c r="D516" t="inlineStr">
        <is>
          <t>UPPSALA LÄN</t>
        </is>
      </c>
      <c r="E516" t="inlineStr">
        <is>
          <t>ENKÖPING</t>
        </is>
      </c>
      <c r="G516" t="n">
        <v>0.3</v>
      </c>
      <c r="H516" t="n">
        <v>0</v>
      </c>
      <c r="I516" t="n">
        <v>0</v>
      </c>
      <c r="J516" t="n">
        <v>0</v>
      </c>
      <c r="K516" t="n">
        <v>0</v>
      </c>
      <c r="L516" t="n">
        <v>0</v>
      </c>
      <c r="M516" t="n">
        <v>0</v>
      </c>
      <c r="N516" t="n">
        <v>0</v>
      </c>
      <c r="O516" t="n">
        <v>0</v>
      </c>
      <c r="P516" t="n">
        <v>0</v>
      </c>
      <c r="Q516" t="n">
        <v>0</v>
      </c>
      <c r="R516" s="2" t="inlineStr"/>
    </row>
    <row r="517" ht="15" customHeight="1">
      <c r="A517" t="inlineStr">
        <is>
          <t>A 60533-2021</t>
        </is>
      </c>
      <c r="B517" s="1" t="n">
        <v>44496</v>
      </c>
      <c r="C517" s="1" t="n">
        <v>46129</v>
      </c>
      <c r="D517" t="inlineStr">
        <is>
          <t>UPPSALA LÄN</t>
        </is>
      </c>
      <c r="E517" t="inlineStr">
        <is>
          <t>ENKÖPING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35052-2024</t>
        </is>
      </c>
      <c r="B518" s="1" t="n">
        <v>45527.6516087963</v>
      </c>
      <c r="C518" s="1" t="n">
        <v>46129</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c r="A519" t="inlineStr">
        <is>
          <t>A 51008-2024</t>
        </is>
      </c>
      <c r="B519" s="1" t="n">
        <v>45603.39041666667</v>
      </c>
      <c r="C519" s="1" t="n">
        <v>46129</v>
      </c>
      <c r="D519" t="inlineStr">
        <is>
          <t>UPPSALA LÄN</t>
        </is>
      </c>
      <c r="E519" t="inlineStr">
        <is>
          <t>ENKÖPING</t>
        </is>
      </c>
      <c r="G519" t="n">
        <v>2.4</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2026-04-17T10:25:05Z</dcterms:created>
  <dcterms:modified xmlns:dcterms="http://purl.org/dc/terms/" xmlns:xsi="http://www.w3.org/2001/XMLSchema-instance" xsi:type="dcterms:W3CDTF">2026-04-17T10:25:06Z</dcterms:modified>
</cp:coreProperties>
</file>