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45729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45729</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45729</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45729</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45729</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45729</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45729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45729</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45729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45729</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45729</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45729</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45729</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45729</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45729</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45729</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45729</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45729</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45729</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45729</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45729</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45729</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45729</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45729</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45729</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45729</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45729</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45729</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45729</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45729</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45729</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45729</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45729</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45729</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45729</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45729</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45729</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45729</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45729</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45729</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45729</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45729</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45729</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45729</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45729</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45729</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45729</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45729</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45729</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45729</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45729</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45729</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45729</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45729</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45729</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45729</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45729</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11015-2025</t>
        </is>
      </c>
      <c r="B59" s="1" t="n">
        <v>45723</v>
      </c>
      <c r="C59" s="1" t="n">
        <v>45729</v>
      </c>
      <c r="D59" t="inlineStr">
        <is>
          <t>UPPSALA LÄN</t>
        </is>
      </c>
      <c r="E59" t="inlineStr">
        <is>
          <t>ENKÖPING</t>
        </is>
      </c>
      <c r="G59" t="n">
        <v>1.3</v>
      </c>
      <c r="H59" t="n">
        <v>0</v>
      </c>
      <c r="I59" t="n">
        <v>1</v>
      </c>
      <c r="J59" t="n">
        <v>0</v>
      </c>
      <c r="K59" t="n">
        <v>0</v>
      </c>
      <c r="L59" t="n">
        <v>0</v>
      </c>
      <c r="M59" t="n">
        <v>0</v>
      </c>
      <c r="N59" t="n">
        <v>0</v>
      </c>
      <c r="O59" t="n">
        <v>0</v>
      </c>
      <c r="P59" t="n">
        <v>0</v>
      </c>
      <c r="Q59" t="n">
        <v>1</v>
      </c>
      <c r="R59" s="2" t="inlineStr">
        <is>
          <t>Svart trolldruva</t>
        </is>
      </c>
      <c r="S59">
        <f>HYPERLINK("https://klasma.github.io/Logging_0381/artfynd/A 11015-2025 artfynd.xlsx", "A 11015-2025")</f>
        <v/>
      </c>
      <c r="T59">
        <f>HYPERLINK("https://klasma.github.io/Logging_0381/kartor/A 11015-2025 karta.png", "A 11015-2025")</f>
        <v/>
      </c>
      <c r="V59">
        <f>HYPERLINK("https://klasma.github.io/Logging_0381/klagomål/A 11015-2025 FSC-klagomål.docx", "A 11015-2025")</f>
        <v/>
      </c>
      <c r="W59">
        <f>HYPERLINK("https://klasma.github.io/Logging_0381/klagomålsmail/A 11015-2025 FSC-klagomål mail.docx", "A 11015-2025")</f>
        <v/>
      </c>
      <c r="X59">
        <f>HYPERLINK("https://klasma.github.io/Logging_0381/tillsyn/A 11015-2025 tillsynsbegäran.docx", "A 11015-2025")</f>
        <v/>
      </c>
      <c r="Y59">
        <f>HYPERLINK("https://klasma.github.io/Logging_0381/tillsynsmail/A 11015-2025 tillsynsbegäran mail.docx", "A 11015-2025")</f>
        <v/>
      </c>
    </row>
    <row r="60" ht="15" customHeight="1">
      <c r="A60" t="inlineStr">
        <is>
          <t>A 11018-2025</t>
        </is>
      </c>
      <c r="B60" s="1" t="n">
        <v>45723</v>
      </c>
      <c r="C60" s="1" t="n">
        <v>45729</v>
      </c>
      <c r="D60" t="inlineStr">
        <is>
          <t>UPPSALA LÄN</t>
        </is>
      </c>
      <c r="E60" t="inlineStr">
        <is>
          <t>ENKÖPING</t>
        </is>
      </c>
      <c r="G60" t="n">
        <v>1.6</v>
      </c>
      <c r="H60" t="n">
        <v>0</v>
      </c>
      <c r="I60" t="n">
        <v>0</v>
      </c>
      <c r="J60" t="n">
        <v>0</v>
      </c>
      <c r="K60" t="n">
        <v>0</v>
      </c>
      <c r="L60" t="n">
        <v>1</v>
      </c>
      <c r="M60" t="n">
        <v>0</v>
      </c>
      <c r="N60" t="n">
        <v>0</v>
      </c>
      <c r="O60" t="n">
        <v>1</v>
      </c>
      <c r="P60" t="n">
        <v>1</v>
      </c>
      <c r="Q60" t="n">
        <v>1</v>
      </c>
      <c r="R60" s="2" t="inlineStr">
        <is>
          <t>Ask</t>
        </is>
      </c>
      <c r="S60">
        <f>HYPERLINK("https://klasma.github.io/Logging_0381/artfynd/A 11018-2025 artfynd.xlsx", "A 11018-2025")</f>
        <v/>
      </c>
      <c r="T60">
        <f>HYPERLINK("https://klasma.github.io/Logging_0381/kartor/A 11018-2025 karta.png", "A 11018-2025")</f>
        <v/>
      </c>
      <c r="V60">
        <f>HYPERLINK("https://klasma.github.io/Logging_0381/klagomål/A 11018-2025 FSC-klagomål.docx", "A 11018-2025")</f>
        <v/>
      </c>
      <c r="W60">
        <f>HYPERLINK("https://klasma.github.io/Logging_0381/klagomålsmail/A 11018-2025 FSC-klagomål mail.docx", "A 11018-2025")</f>
        <v/>
      </c>
      <c r="X60">
        <f>HYPERLINK("https://klasma.github.io/Logging_0381/tillsyn/A 11018-2025 tillsynsbegäran.docx", "A 11018-2025")</f>
        <v/>
      </c>
      <c r="Y60">
        <f>HYPERLINK("https://klasma.github.io/Logging_0381/tillsynsmail/A 11018-2025 tillsynsbegäran mail.docx", "A 11018-2025")</f>
        <v/>
      </c>
    </row>
    <row r="61" ht="15" customHeight="1">
      <c r="A61" t="inlineStr">
        <is>
          <t>A 18148-2019</t>
        </is>
      </c>
      <c r="B61" s="1" t="n">
        <v>43558</v>
      </c>
      <c r="C61" s="1" t="n">
        <v>45729</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45729</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45729</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45729</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45729</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45729</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45729</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45729</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45729</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45729</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45729</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45729</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45729</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45729</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45729</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45729</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45729</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45729</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45729</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45729</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45729</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45729</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45729</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45729</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45729</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45729</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45729</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45729</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45729</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45729</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45729</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45729</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45729</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45729</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45729</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45729</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45729</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45729</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45729</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45729</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45729</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45729</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45729</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45729</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45729</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45729</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45729</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45729</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45729</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45729</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45729</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45729</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45729</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45729</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45729</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45729</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45729</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45729</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45729</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45729</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45729</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45729</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45729</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45729</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45729</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45729</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45729</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45729</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45729</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45729</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45729</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45729</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45729</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45729</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45729</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45729</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45729</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45729</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45729</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45729</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45729</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45729</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45729</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45729</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45729</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45729</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45729</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45729</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45729</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45729</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45729</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45729</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45729</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45729</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45729</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45729</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45729</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45729</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45729</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45729</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45729</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45729</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45729</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45729</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45729</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45729</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45729</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45729</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45729</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45729</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45729</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45729</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45729</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45729</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45729</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45729</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45729</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45729</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45729</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45729</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45729</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45729</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45729</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45729</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45729</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45729</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45729</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45729</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45729</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45729</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45729</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45729</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45729</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45729</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45729</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45729</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45729</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45729</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45729</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45729</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45729</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45729</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45729</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45729</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45729</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45729</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45729</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45729</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45729</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45729</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45729</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45729</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45729</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45729</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45729</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45729</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45729</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45729</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45729</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45729</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45729</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45729</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45729</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45729</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45729</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45729</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45729</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45729</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45729</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45729</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45729</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45729</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45729</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45729</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45729</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45729</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45729</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45729</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45729</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45729</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45729</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45729</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45729</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45729</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45729</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45729</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45729</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45729</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45729</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45729</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45729</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45729</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45729</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45729</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45729</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45729</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45729</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45729</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45729</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45729</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45729</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45729</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45729</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45729</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45729</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45729</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45729</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45729</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45729</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45729</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45729</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45729</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45729</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45729</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45729</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45729</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45729</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45729</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45729</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45729</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45729</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45729</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45729</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45729</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45729</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45729</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45729</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45729</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45729</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45729</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45729</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45729</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45729</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45729</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45729</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45729</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45729</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45729</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45729</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45729</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45729</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45729</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45729</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45729</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45729</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45729</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45729</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45729</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45729</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45729</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45729</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45729</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45729</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45729</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45729</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45729</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45729</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45729</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45729</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45729</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45729</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45729</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45729</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45729</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45729</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45729</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45729</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45729</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45729</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45729</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45729</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45729</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45729</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45729</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45729</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45729</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45729</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45729</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45729</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45729</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45729</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45729</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45729</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45729</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45729</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45729</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45729</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45729</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45729</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45729</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45729</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45729</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45729</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45729</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45729</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45729</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45729</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45729</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45729</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45729</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45729</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45729</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45729</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45729</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45729</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45729</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45729</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45729</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45729</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45729</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45729</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45729</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45729</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45729</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45729</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45729</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45729</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45729</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45729</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45729</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45729</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45729</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45729</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45729</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45729</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45729</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45729</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45729</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45729</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45729</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45729</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45729</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45729</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45729</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45729</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45729</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45729</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45729</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45729</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45729</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45729</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45729</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45729</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45729</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45729</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45729</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45729</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45729</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45729</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45729</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45729</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45729</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45729</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45729</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45729</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45729</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45729</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45729</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45729</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45729</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45729</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45729</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45729</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45729</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45729</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45729</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45729</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45729</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45729</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45729</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45729</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45729</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45729</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45729</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45729</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45729</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45729</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45729</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45729</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45729</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45729</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45729</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45729</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45729</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45729</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45729</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45729</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45729</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45729</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45729</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45729</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45729</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45729</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45729</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45729</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45729</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45729</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45729</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45729</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45729</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45729</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45729</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45729</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45729</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45729</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45729</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45729</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45729</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45729</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45729</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45729</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45729</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45729</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45729</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45729</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45729</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45729</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45729</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45729</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45729</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45729</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45729</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45729</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45729</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45729</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45729</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45729</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45729</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45729</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45729</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45729</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45729</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45729</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45729</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45729</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45729</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45729</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45729</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45729</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45729</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45729</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45729</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45729</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45729</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45729</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45729</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45729</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45729</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45729</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45729</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45729</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45729</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45729</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45729</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45729</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45729</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45729</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45729</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45729</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45729</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45729</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45729</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45729</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45729</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45729</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45729</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45729</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45729</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45729</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45729</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45729</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45729</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45729</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45729</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45729</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45729</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45729</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45729</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45729</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45729</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45729</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45729</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45729</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45729</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45729</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45729</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45729</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45729</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45729</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45729</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45729</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45729</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45729</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45729</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45729</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45729</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45729</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45729</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45729</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45729</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45729</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45729</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45729</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45729</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45729</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45729</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45729</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45729</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45729</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45729</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45729</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45729</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45729</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45729</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45729</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45729</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45729</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45729</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45729</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45729</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45729</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45729</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45729</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45729</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45729</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45729</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45729</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45729</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45729</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45729</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45729</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45729</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45729</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45729</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45729</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45729</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45729</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45729</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45729</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45729</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45729</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45729</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45729</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45729</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45729</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45729</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45729</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45729</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45729</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45729</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45729</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45729</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45729</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45729</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45729</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45729</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45729</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45729</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45729</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45729</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45729</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45729</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45729</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45729</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45729</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45729</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45729</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45729</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45729</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45729</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45729</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45729</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45729</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45729</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45729</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45729</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45729</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45729</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45729</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45729</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45729</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45729</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45729</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45729</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45729</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45729</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45729</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45729</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45729</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45729</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45729</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45729</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45729</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45729</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45729</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45729</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45729</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45729</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45729</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45729</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45729</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45729</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45729</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45729</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45729</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45729</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45729</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45729</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45729</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45729</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45729</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45729</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45729</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45729</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45729</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45729</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45729</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45729</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45729</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45729</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45729</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45729</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45729</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45729</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45729</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45729</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45729</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45729</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45729</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45729</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45729</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45729</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45729</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45729</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45729</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45729</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45729</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45729</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45729</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45729</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45729</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45729</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45729</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45729</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45729</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45729</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45729</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45729</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45729</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45729</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45729</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45729</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45729</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45729</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45729</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45729</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45729</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45729</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45729</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45729</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45729</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45729</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45729</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45729</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45729</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45729</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45729</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45729</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45729</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45729</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45729</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45729</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45729</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45729</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45729</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45729</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45729</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45729</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45729</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45729</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45729</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45729</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45729</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45729</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45729</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45729</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45729</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45729</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45729</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45729</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45729</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45729</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45729</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45729</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45729</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45729</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45729</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45729</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45729</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45729</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45729</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45729</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45729</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45729</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45729</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45729</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45729</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45729</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45729</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45729</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45729</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45729</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45729</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45729</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45729</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45729</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45729</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45729</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45729</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45729</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45729</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45729</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45729</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45729</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45729</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45729</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45729</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45729</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45729</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45729</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45729</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45729</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45729</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45729</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45729</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45729</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45729</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45729</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45729</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45729</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45729</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45729</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45729</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45729</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45729</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45729</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45729</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45729</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45729</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45729</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45729</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45729</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45729</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45729</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45729</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45729</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45729</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45729</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45729</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45729</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45729</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45729</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45729</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45729</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45729</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45729</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45729</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45729</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45729</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45729</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45729</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45729</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45729</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45729</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45729</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45729</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45729</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45729</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45729</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45729</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45729</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45729</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45729</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45729</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45729</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45729</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45729</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45729</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45729</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45729</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45729</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45729</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45729</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45729</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45729</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45729</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45729</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45729</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45729</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45729</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45729</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45729</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45729</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45729</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45729</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45729</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45729</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45729</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45729</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45729</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45729</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45729</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45729</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45729</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45729</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45729</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45729</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45729</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45729</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45729</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45729</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45729</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45729</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45729</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45729</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45729</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45729</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45729</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45729</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45729</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45729</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45729</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45729</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45729</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45729</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45729</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45729</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45729</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45729</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45729</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45729</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45729</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45729</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45729</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45729</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45729</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45729</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45729</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45729</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45729</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45729</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45729</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45729</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6981-2025</t>
        </is>
      </c>
      <c r="B914" s="1" t="n">
        <v>45701</v>
      </c>
      <c r="C914" s="1" t="n">
        <v>45729</v>
      </c>
      <c r="D914" t="inlineStr">
        <is>
          <t>UPPSALA LÄN</t>
        </is>
      </c>
      <c r="E914" t="inlineStr">
        <is>
          <t>ENKÖPING</t>
        </is>
      </c>
      <c r="G914" t="n">
        <v>0.9</v>
      </c>
      <c r="H914" t="n">
        <v>0</v>
      </c>
      <c r="I914" t="n">
        <v>0</v>
      </c>
      <c r="J914" t="n">
        <v>0</v>
      </c>
      <c r="K914" t="n">
        <v>0</v>
      </c>
      <c r="L914" t="n">
        <v>0</v>
      </c>
      <c r="M914" t="n">
        <v>0</v>
      </c>
      <c r="N914" t="n">
        <v>0</v>
      </c>
      <c r="O914" t="n">
        <v>0</v>
      </c>
      <c r="P914" t="n">
        <v>0</v>
      </c>
      <c r="Q914" t="n">
        <v>0</v>
      </c>
      <c r="R914" s="2" t="inlineStr"/>
    </row>
    <row r="915" ht="15" customHeight="1">
      <c r="A915" t="inlineStr">
        <is>
          <t>A 6959-2025</t>
        </is>
      </c>
      <c r="B915" s="1" t="n">
        <v>45701</v>
      </c>
      <c r="C915" s="1" t="n">
        <v>45729</v>
      </c>
      <c r="D915" t="inlineStr">
        <is>
          <t>UPPSALA LÄN</t>
        </is>
      </c>
      <c r="E915" t="inlineStr">
        <is>
          <t>ENKÖPING</t>
        </is>
      </c>
      <c r="G915" t="n">
        <v>1.8</v>
      </c>
      <c r="H915" t="n">
        <v>0</v>
      </c>
      <c r="I915" t="n">
        <v>0</v>
      </c>
      <c r="J915" t="n">
        <v>0</v>
      </c>
      <c r="K915" t="n">
        <v>0</v>
      </c>
      <c r="L915" t="n">
        <v>0</v>
      </c>
      <c r="M915" t="n">
        <v>0</v>
      </c>
      <c r="N915" t="n">
        <v>0</v>
      </c>
      <c r="O915" t="n">
        <v>0</v>
      </c>
      <c r="P915" t="n">
        <v>0</v>
      </c>
      <c r="Q915" t="n">
        <v>0</v>
      </c>
      <c r="R915" s="2" t="inlineStr"/>
    </row>
    <row r="916" ht="15" customHeight="1">
      <c r="A916" t="inlineStr">
        <is>
          <t>A 8136-2025</t>
        </is>
      </c>
      <c r="B916" s="1" t="n">
        <v>45707</v>
      </c>
      <c r="C916" s="1" t="n">
        <v>45729</v>
      </c>
      <c r="D916" t="inlineStr">
        <is>
          <t>UPPSALA LÄN</t>
        </is>
      </c>
      <c r="E916" t="inlineStr">
        <is>
          <t>ENKÖPING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8137-2025</t>
        </is>
      </c>
      <c r="B917" s="1" t="n">
        <v>45707</v>
      </c>
      <c r="C917" s="1" t="n">
        <v>45729</v>
      </c>
      <c r="D917" t="inlineStr">
        <is>
          <t>UPPSALA LÄN</t>
        </is>
      </c>
      <c r="E917" t="inlineStr">
        <is>
          <t>ENKÖPING</t>
        </is>
      </c>
      <c r="G917" t="n">
        <v>0.4</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45729</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45729</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9490-2025</t>
        </is>
      </c>
      <c r="B920" s="1" t="n">
        <v>45715</v>
      </c>
      <c r="C920" s="1" t="n">
        <v>45729</v>
      </c>
      <c r="D920" t="inlineStr">
        <is>
          <t>UPPSALA LÄN</t>
        </is>
      </c>
      <c r="E920" t="inlineStr">
        <is>
          <t>ENKÖPING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9493-2025</t>
        </is>
      </c>
      <c r="B921" s="1" t="n">
        <v>45715</v>
      </c>
      <c r="C921" s="1" t="n">
        <v>45729</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9658-2025</t>
        </is>
      </c>
      <c r="B922" s="1" t="n">
        <v>45716</v>
      </c>
      <c r="C922" s="1" t="n">
        <v>45729</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9662-2025</t>
        </is>
      </c>
      <c r="B923" s="1" t="n">
        <v>45716</v>
      </c>
      <c r="C923" s="1" t="n">
        <v>45729</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9656-2025</t>
        </is>
      </c>
      <c r="B924" s="1" t="n">
        <v>45716</v>
      </c>
      <c r="C924" s="1" t="n">
        <v>45729</v>
      </c>
      <c r="D924" t="inlineStr">
        <is>
          <t>UPPSALA LÄN</t>
        </is>
      </c>
      <c r="E924" t="inlineStr">
        <is>
          <t>ENKÖPING</t>
        </is>
      </c>
      <c r="G924" t="n">
        <v>3.6</v>
      </c>
      <c r="H924" t="n">
        <v>0</v>
      </c>
      <c r="I924" t="n">
        <v>0</v>
      </c>
      <c r="J924" t="n">
        <v>0</v>
      </c>
      <c r="K924" t="n">
        <v>0</v>
      </c>
      <c r="L924" t="n">
        <v>0</v>
      </c>
      <c r="M924" t="n">
        <v>0</v>
      </c>
      <c r="N924" t="n">
        <v>0</v>
      </c>
      <c r="O924" t="n">
        <v>0</v>
      </c>
      <c r="P924" t="n">
        <v>0</v>
      </c>
      <c r="Q924" t="n">
        <v>0</v>
      </c>
      <c r="R924" s="2" t="inlineStr"/>
    </row>
    <row r="925" ht="15" customHeight="1">
      <c r="A925" t="inlineStr">
        <is>
          <t>A 9660-2025</t>
        </is>
      </c>
      <c r="B925" s="1" t="n">
        <v>45716</v>
      </c>
      <c r="C925" s="1" t="n">
        <v>45729</v>
      </c>
      <c r="D925" t="inlineStr">
        <is>
          <t>UPPSALA LÄN</t>
        </is>
      </c>
      <c r="E925" t="inlineStr">
        <is>
          <t>ENKÖPING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45729</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45729</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45729</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45729</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45729</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45729</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45729</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c r="A933" t="inlineStr">
        <is>
          <t>A 11918-2025</t>
        </is>
      </c>
      <c r="B933" s="1" t="n">
        <v>45728</v>
      </c>
      <c r="C933" s="1" t="n">
        <v>45729</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2025-03-13T16:42:51Z</dcterms:created>
  <dcterms:modified xmlns:dcterms="http://purl.org/dc/terms/" xmlns:xsi="http://www.w3.org/2001/XMLSchema-instance" xsi:type="dcterms:W3CDTF">2025-03-13T16:42:52Z</dcterms:modified>
</cp:coreProperties>
</file>