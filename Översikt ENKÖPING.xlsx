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45883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45883</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45883</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1988-2022</t>
        </is>
      </c>
      <c r="B5" s="1" t="n">
        <v>44575</v>
      </c>
      <c r="C5" s="1" t="n">
        <v>45883</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45883</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68998-2021</t>
        </is>
      </c>
      <c r="B7" s="1" t="n">
        <v>44530</v>
      </c>
      <c r="C7" s="1" t="n">
        <v>45883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45883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45883</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45883</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45883</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45883</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45883</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45883</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45883</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45883</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45883</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45883</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23385-2021</t>
        </is>
      </c>
      <c r="B19" s="1" t="n">
        <v>44333.6091087963</v>
      </c>
      <c r="C19" s="1" t="n">
        <v>45883</v>
      </c>
      <c r="D19" t="inlineStr">
        <is>
          <t>UPPSALA LÄN</t>
        </is>
      </c>
      <c r="E19" t="inlineStr">
        <is>
          <t>ENKÖPING</t>
        </is>
      </c>
      <c r="G19" t="n">
        <v>0.7</v>
      </c>
      <c r="H19" t="n">
        <v>1</v>
      </c>
      <c r="I19" t="n">
        <v>0</v>
      </c>
      <c r="J19" t="n">
        <v>1</v>
      </c>
      <c r="K19" t="n">
        <v>0</v>
      </c>
      <c r="L19" t="n">
        <v>0</v>
      </c>
      <c r="M19" t="n">
        <v>0</v>
      </c>
      <c r="N19" t="n">
        <v>0</v>
      </c>
      <c r="O19" t="n">
        <v>1</v>
      </c>
      <c r="P19" t="n">
        <v>0</v>
      </c>
      <c r="Q19" t="n">
        <v>1</v>
      </c>
      <c r="R19" s="2" t="inlineStr">
        <is>
          <t>Talltita</t>
        </is>
      </c>
      <c r="S19">
        <f>HYPERLINK("https://klasma.github.io/Logging_0381/artfynd/A 23385-2021 artfynd.xlsx", "A 23385-2021")</f>
        <v/>
      </c>
      <c r="T19">
        <f>HYPERLINK("https://klasma.github.io/Logging_0381/kartor/A 23385-2021 karta.png", "A 23385-2021")</f>
        <v/>
      </c>
      <c r="V19">
        <f>HYPERLINK("https://klasma.github.io/Logging_0381/klagomål/A 23385-2021 FSC-klagomål.docx", "A 23385-2021")</f>
        <v/>
      </c>
      <c r="W19">
        <f>HYPERLINK("https://klasma.github.io/Logging_0381/klagomålsmail/A 23385-2021 FSC-klagomål mail.docx", "A 23385-2021")</f>
        <v/>
      </c>
      <c r="X19">
        <f>HYPERLINK("https://klasma.github.io/Logging_0381/tillsyn/A 23385-2021 tillsynsbegäran.docx", "A 23385-2021")</f>
        <v/>
      </c>
      <c r="Y19">
        <f>HYPERLINK("https://klasma.github.io/Logging_0381/tillsynsmail/A 23385-2021 tillsynsbegäran mail.docx", "A 23385-2021")</f>
        <v/>
      </c>
      <c r="Z19">
        <f>HYPERLINK("https://klasma.github.io/Logging_0381/fåglar/A 23385-2021 prioriterade fågelarter.docx", "A 23385-2021")</f>
        <v/>
      </c>
    </row>
    <row r="20" ht="15" customHeight="1">
      <c r="A20" t="inlineStr">
        <is>
          <t>A 74028-2021</t>
        </is>
      </c>
      <c r="B20" s="1" t="n">
        <v>44557.4596875</v>
      </c>
      <c r="C20" s="1" t="n">
        <v>45883</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1524-2023</t>
        </is>
      </c>
      <c r="B21" s="1" t="n">
        <v>44935</v>
      </c>
      <c r="C21" s="1" t="n">
        <v>45883</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Skogsduva</t>
        </is>
      </c>
      <c r="S21">
        <f>HYPERLINK("https://klasma.github.io/Logging_0381/artfynd/A 1524-2023 artfynd.xlsx", "A 1524-2023")</f>
        <v/>
      </c>
      <c r="T21">
        <f>HYPERLINK("https://klasma.github.io/Logging_0381/kartor/A 1524-2023 karta.png", "A 1524-2023")</f>
        <v/>
      </c>
      <c r="V21">
        <f>HYPERLINK("https://klasma.github.io/Logging_0381/klagomål/A 1524-2023 FSC-klagomål.docx", "A 1524-2023")</f>
        <v/>
      </c>
      <c r="W21">
        <f>HYPERLINK("https://klasma.github.io/Logging_0381/klagomålsmail/A 1524-2023 FSC-klagomål mail.docx", "A 1524-2023")</f>
        <v/>
      </c>
      <c r="X21">
        <f>HYPERLINK("https://klasma.github.io/Logging_0381/tillsyn/A 1524-2023 tillsynsbegäran.docx", "A 1524-2023")</f>
        <v/>
      </c>
      <c r="Y21">
        <f>HYPERLINK("https://klasma.github.io/Logging_0381/tillsynsmail/A 1524-2023 tillsynsbegäran mail.docx", "A 1524-2023")</f>
        <v/>
      </c>
      <c r="Z21">
        <f>HYPERLINK("https://klasma.github.io/Logging_0381/fåglar/A 1524-2023 prioriterade fågelarter.docx", "A 1524-2023")</f>
        <v/>
      </c>
    </row>
    <row r="22" ht="15" customHeight="1">
      <c r="A22" t="inlineStr">
        <is>
          <t>A 46749-2024</t>
        </is>
      </c>
      <c r="B22" s="1" t="n">
        <v>45583.48347222222</v>
      </c>
      <c r="C22" s="1" t="n">
        <v>45883</v>
      </c>
      <c r="D22" t="inlineStr">
        <is>
          <t>UPPSALA LÄN</t>
        </is>
      </c>
      <c r="E22" t="inlineStr">
        <is>
          <t>ENKÖPING</t>
        </is>
      </c>
      <c r="G22" t="n">
        <v>8.5</v>
      </c>
      <c r="H22" t="n">
        <v>0</v>
      </c>
      <c r="I22" t="n">
        <v>0</v>
      </c>
      <c r="J22" t="n">
        <v>1</v>
      </c>
      <c r="K22" t="n">
        <v>0</v>
      </c>
      <c r="L22" t="n">
        <v>0</v>
      </c>
      <c r="M22" t="n">
        <v>0</v>
      </c>
      <c r="N22" t="n">
        <v>0</v>
      </c>
      <c r="O22" t="n">
        <v>1</v>
      </c>
      <c r="P22" t="n">
        <v>0</v>
      </c>
      <c r="Q22" t="n">
        <v>1</v>
      </c>
      <c r="R22" s="2" t="inlineStr">
        <is>
          <t>Leptoporus erubescens</t>
        </is>
      </c>
      <c r="S22">
        <f>HYPERLINK("https://klasma.github.io/Logging_0381/artfynd/A 46749-2024 artfynd.xlsx", "A 46749-2024")</f>
        <v/>
      </c>
      <c r="T22">
        <f>HYPERLINK("https://klasma.github.io/Logging_0381/kartor/A 46749-2024 karta.png", "A 46749-2024")</f>
        <v/>
      </c>
      <c r="V22">
        <f>HYPERLINK("https://klasma.github.io/Logging_0381/klagomål/A 46749-2024 FSC-klagomål.docx", "A 46749-2024")</f>
        <v/>
      </c>
      <c r="W22">
        <f>HYPERLINK("https://klasma.github.io/Logging_0381/klagomålsmail/A 46749-2024 FSC-klagomål mail.docx", "A 46749-2024")</f>
        <v/>
      </c>
      <c r="X22">
        <f>HYPERLINK("https://klasma.github.io/Logging_0381/tillsyn/A 46749-2024 tillsynsbegäran.docx", "A 46749-2024")</f>
        <v/>
      </c>
      <c r="Y22">
        <f>HYPERLINK("https://klasma.github.io/Logging_0381/tillsynsmail/A 46749-2024 tillsynsbegäran mail.docx", "A 46749-2024")</f>
        <v/>
      </c>
    </row>
    <row r="23" ht="15" customHeight="1">
      <c r="A23" t="inlineStr">
        <is>
          <t>A 33339-2024</t>
        </is>
      </c>
      <c r="B23" s="1" t="n">
        <v>45519</v>
      </c>
      <c r="C23" s="1" t="n">
        <v>45883</v>
      </c>
      <c r="D23" t="inlineStr">
        <is>
          <t>UPPSALA LÄN</t>
        </is>
      </c>
      <c r="E23" t="inlineStr">
        <is>
          <t>ENKÖPING</t>
        </is>
      </c>
      <c r="G23" t="n">
        <v>2.3</v>
      </c>
      <c r="H23" t="n">
        <v>0</v>
      </c>
      <c r="I23" t="n">
        <v>0</v>
      </c>
      <c r="J23" t="n">
        <v>1</v>
      </c>
      <c r="K23" t="n">
        <v>0</v>
      </c>
      <c r="L23" t="n">
        <v>0</v>
      </c>
      <c r="M23" t="n">
        <v>0</v>
      </c>
      <c r="N23" t="n">
        <v>0</v>
      </c>
      <c r="O23" t="n">
        <v>1</v>
      </c>
      <c r="P23" t="n">
        <v>0</v>
      </c>
      <c r="Q23" t="n">
        <v>1</v>
      </c>
      <c r="R23" s="2" t="inlineStr">
        <is>
          <t>Ullticka</t>
        </is>
      </c>
      <c r="S23">
        <f>HYPERLINK("https://klasma.github.io/Logging_0381/artfynd/A 33339-2024 artfynd.xlsx", "A 33339-2024")</f>
        <v/>
      </c>
      <c r="T23">
        <f>HYPERLINK("https://klasma.github.io/Logging_0381/kartor/A 33339-2024 karta.png", "A 33339-2024")</f>
        <v/>
      </c>
      <c r="V23">
        <f>HYPERLINK("https://klasma.github.io/Logging_0381/klagomål/A 33339-2024 FSC-klagomål.docx", "A 33339-2024")</f>
        <v/>
      </c>
      <c r="W23">
        <f>HYPERLINK("https://klasma.github.io/Logging_0381/klagomålsmail/A 33339-2024 FSC-klagomål mail.docx", "A 33339-2024")</f>
        <v/>
      </c>
      <c r="X23">
        <f>HYPERLINK("https://klasma.github.io/Logging_0381/tillsyn/A 33339-2024 tillsynsbegäran.docx", "A 33339-2024")</f>
        <v/>
      </c>
      <c r="Y23">
        <f>HYPERLINK("https://klasma.github.io/Logging_0381/tillsynsmail/A 33339-2024 tillsynsbegäran mail.docx", "A 33339-2024")</f>
        <v/>
      </c>
    </row>
    <row r="24" ht="15" customHeight="1">
      <c r="A24" t="inlineStr">
        <is>
          <t>A 21970-2025</t>
        </is>
      </c>
      <c r="B24" s="1" t="n">
        <v>45784.63335648148</v>
      </c>
      <c r="C24" s="1" t="n">
        <v>45883</v>
      </c>
      <c r="D24" t="inlineStr">
        <is>
          <t>UPPSALA LÄN</t>
        </is>
      </c>
      <c r="E24" t="inlineStr">
        <is>
          <t>ENKÖPING</t>
        </is>
      </c>
      <c r="G24" t="n">
        <v>5.3</v>
      </c>
      <c r="H24" t="n">
        <v>1</v>
      </c>
      <c r="I24" t="n">
        <v>0</v>
      </c>
      <c r="J24" t="n">
        <v>0</v>
      </c>
      <c r="K24" t="n">
        <v>0</v>
      </c>
      <c r="L24" t="n">
        <v>0</v>
      </c>
      <c r="M24" t="n">
        <v>0</v>
      </c>
      <c r="N24" t="n">
        <v>0</v>
      </c>
      <c r="O24" t="n">
        <v>0</v>
      </c>
      <c r="P24" t="n">
        <v>0</v>
      </c>
      <c r="Q24" t="n">
        <v>1</v>
      </c>
      <c r="R24" s="2" t="inlineStr">
        <is>
          <t>Blåsippa</t>
        </is>
      </c>
      <c r="S24">
        <f>HYPERLINK("https://klasma.github.io/Logging_0381/artfynd/A 21970-2025 artfynd.xlsx", "A 21970-2025")</f>
        <v/>
      </c>
      <c r="T24">
        <f>HYPERLINK("https://klasma.github.io/Logging_0381/kartor/A 21970-2025 karta.png", "A 21970-2025")</f>
        <v/>
      </c>
      <c r="V24">
        <f>HYPERLINK("https://klasma.github.io/Logging_0381/klagomål/A 21970-2025 FSC-klagomål.docx", "A 21970-2025")</f>
        <v/>
      </c>
      <c r="W24">
        <f>HYPERLINK("https://klasma.github.io/Logging_0381/klagomålsmail/A 21970-2025 FSC-klagomål mail.docx", "A 21970-2025")</f>
        <v/>
      </c>
      <c r="X24">
        <f>HYPERLINK("https://klasma.github.io/Logging_0381/tillsyn/A 21970-2025 tillsynsbegäran.docx", "A 21970-2025")</f>
        <v/>
      </c>
      <c r="Y24">
        <f>HYPERLINK("https://klasma.github.io/Logging_0381/tillsynsmail/A 21970-2025 tillsynsbegäran mail.docx", "A 21970-2025")</f>
        <v/>
      </c>
    </row>
    <row r="25" ht="15" customHeight="1">
      <c r="A25" t="inlineStr">
        <is>
          <t>A 23961-2022</t>
        </is>
      </c>
      <c r="B25" s="1" t="n">
        <v>44722</v>
      </c>
      <c r="C25" s="1" t="n">
        <v>45883</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45883</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11015-2025</t>
        </is>
      </c>
      <c r="B27" s="1" t="n">
        <v>45723.46288194445</v>
      </c>
      <c r="C27" s="1" t="n">
        <v>45883</v>
      </c>
      <c r="D27" t="inlineStr">
        <is>
          <t>UPPSALA LÄN</t>
        </is>
      </c>
      <c r="E27" t="inlineStr">
        <is>
          <t>ENKÖPING</t>
        </is>
      </c>
      <c r="G27" t="n">
        <v>1.3</v>
      </c>
      <c r="H27" t="n">
        <v>0</v>
      </c>
      <c r="I27" t="n">
        <v>1</v>
      </c>
      <c r="J27" t="n">
        <v>0</v>
      </c>
      <c r="K27" t="n">
        <v>0</v>
      </c>
      <c r="L27" t="n">
        <v>0</v>
      </c>
      <c r="M27" t="n">
        <v>0</v>
      </c>
      <c r="N27" t="n">
        <v>0</v>
      </c>
      <c r="O27" t="n">
        <v>0</v>
      </c>
      <c r="P27" t="n">
        <v>0</v>
      </c>
      <c r="Q27" t="n">
        <v>1</v>
      </c>
      <c r="R27" s="2" t="inlineStr">
        <is>
          <t>Svart trolldruva</t>
        </is>
      </c>
      <c r="S27">
        <f>HYPERLINK("https://klasma.github.io/Logging_0381/artfynd/A 11015-2025 artfynd.xlsx", "A 11015-2025")</f>
        <v/>
      </c>
      <c r="T27">
        <f>HYPERLINK("https://klasma.github.io/Logging_0381/kartor/A 11015-2025 karta.png", "A 11015-2025")</f>
        <v/>
      </c>
      <c r="V27">
        <f>HYPERLINK("https://klasma.github.io/Logging_0381/klagomål/A 11015-2025 FSC-klagomål.docx", "A 11015-2025")</f>
        <v/>
      </c>
      <c r="W27">
        <f>HYPERLINK("https://klasma.github.io/Logging_0381/klagomålsmail/A 11015-2025 FSC-klagomål mail.docx", "A 11015-2025")</f>
        <v/>
      </c>
      <c r="X27">
        <f>HYPERLINK("https://klasma.github.io/Logging_0381/tillsyn/A 11015-2025 tillsynsbegäran.docx", "A 11015-2025")</f>
        <v/>
      </c>
      <c r="Y27">
        <f>HYPERLINK("https://klasma.github.io/Logging_0381/tillsynsmail/A 11015-2025 tillsynsbegäran mail.docx", "A 11015-2025")</f>
        <v/>
      </c>
    </row>
    <row r="28" ht="15" customHeight="1">
      <c r="A28" t="inlineStr">
        <is>
          <t>A 11018-2025</t>
        </is>
      </c>
      <c r="B28" s="1" t="n">
        <v>45723.46591435185</v>
      </c>
      <c r="C28" s="1" t="n">
        <v>45883</v>
      </c>
      <c r="D28" t="inlineStr">
        <is>
          <t>UPPSALA LÄN</t>
        </is>
      </c>
      <c r="E28" t="inlineStr">
        <is>
          <t>ENKÖPING</t>
        </is>
      </c>
      <c r="G28" t="n">
        <v>1.6</v>
      </c>
      <c r="H28" t="n">
        <v>0</v>
      </c>
      <c r="I28" t="n">
        <v>0</v>
      </c>
      <c r="J28" t="n">
        <v>0</v>
      </c>
      <c r="K28" t="n">
        <v>0</v>
      </c>
      <c r="L28" t="n">
        <v>1</v>
      </c>
      <c r="M28" t="n">
        <v>0</v>
      </c>
      <c r="N28" t="n">
        <v>0</v>
      </c>
      <c r="O28" t="n">
        <v>1</v>
      </c>
      <c r="P28" t="n">
        <v>1</v>
      </c>
      <c r="Q28" t="n">
        <v>1</v>
      </c>
      <c r="R28" s="2" t="inlineStr">
        <is>
          <t>Ask</t>
        </is>
      </c>
      <c r="S28">
        <f>HYPERLINK("https://klasma.github.io/Logging_0381/artfynd/A 11018-2025 artfynd.xlsx", "A 11018-2025")</f>
        <v/>
      </c>
      <c r="T28">
        <f>HYPERLINK("https://klasma.github.io/Logging_0381/kartor/A 11018-2025 karta.png", "A 11018-2025")</f>
        <v/>
      </c>
      <c r="V28">
        <f>HYPERLINK("https://klasma.github.io/Logging_0381/klagomål/A 11018-2025 FSC-klagomål.docx", "A 11018-2025")</f>
        <v/>
      </c>
      <c r="W28">
        <f>HYPERLINK("https://klasma.github.io/Logging_0381/klagomålsmail/A 11018-2025 FSC-klagomål mail.docx", "A 11018-2025")</f>
        <v/>
      </c>
      <c r="X28">
        <f>HYPERLINK("https://klasma.github.io/Logging_0381/tillsyn/A 11018-2025 tillsynsbegäran.docx", "A 11018-2025")</f>
        <v/>
      </c>
      <c r="Y28">
        <f>HYPERLINK("https://klasma.github.io/Logging_0381/tillsynsmail/A 11018-2025 tillsynsbegäran mail.docx", "A 11018-2025")</f>
        <v/>
      </c>
    </row>
    <row r="29" ht="15" customHeight="1">
      <c r="A29" t="inlineStr">
        <is>
          <t>A 17942-2024</t>
        </is>
      </c>
      <c r="B29" s="1" t="n">
        <v>45419</v>
      </c>
      <c r="C29" s="1" t="n">
        <v>45883</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26347-2025</t>
        </is>
      </c>
      <c r="B30" s="1" t="n">
        <v>45805.7403125</v>
      </c>
      <c r="C30" s="1" t="n">
        <v>45883</v>
      </c>
      <c r="D30" t="inlineStr">
        <is>
          <t>UPPSALA LÄN</t>
        </is>
      </c>
      <c r="E30" t="inlineStr">
        <is>
          <t>ENKÖPING</t>
        </is>
      </c>
      <c r="G30" t="n">
        <v>7.3</v>
      </c>
      <c r="H30" t="n">
        <v>1</v>
      </c>
      <c r="I30" t="n">
        <v>0</v>
      </c>
      <c r="J30" t="n">
        <v>0</v>
      </c>
      <c r="K30" t="n">
        <v>1</v>
      </c>
      <c r="L30" t="n">
        <v>0</v>
      </c>
      <c r="M30" t="n">
        <v>0</v>
      </c>
      <c r="N30" t="n">
        <v>0</v>
      </c>
      <c r="O30" t="n">
        <v>1</v>
      </c>
      <c r="P30" t="n">
        <v>1</v>
      </c>
      <c r="Q30" t="n">
        <v>1</v>
      </c>
      <c r="R30" s="2" t="inlineStr">
        <is>
          <t>Tofsvipa</t>
        </is>
      </c>
      <c r="S30">
        <f>HYPERLINK("https://klasma.github.io/Logging_0381/artfynd/A 26347-2025 artfynd.xlsx", "A 26347-2025")</f>
        <v/>
      </c>
      <c r="T30">
        <f>HYPERLINK("https://klasma.github.io/Logging_0381/kartor/A 26347-2025 karta.png", "A 26347-2025")</f>
        <v/>
      </c>
      <c r="V30">
        <f>HYPERLINK("https://klasma.github.io/Logging_0381/klagomål/A 26347-2025 FSC-klagomål.docx", "A 26347-2025")</f>
        <v/>
      </c>
      <c r="W30">
        <f>HYPERLINK("https://klasma.github.io/Logging_0381/klagomålsmail/A 26347-2025 FSC-klagomål mail.docx", "A 26347-2025")</f>
        <v/>
      </c>
      <c r="X30">
        <f>HYPERLINK("https://klasma.github.io/Logging_0381/tillsyn/A 26347-2025 tillsynsbegäran.docx", "A 26347-2025")</f>
        <v/>
      </c>
      <c r="Y30">
        <f>HYPERLINK("https://klasma.github.io/Logging_0381/tillsynsmail/A 26347-2025 tillsynsbegäran mail.docx", "A 26347-2025")</f>
        <v/>
      </c>
    </row>
    <row r="31" ht="15" customHeight="1">
      <c r="A31" t="inlineStr">
        <is>
          <t>A 45116-2023</t>
        </is>
      </c>
      <c r="B31" s="1" t="n">
        <v>45191</v>
      </c>
      <c r="C31" s="1" t="n">
        <v>45883</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27060-2025</t>
        </is>
      </c>
      <c r="B32" s="1" t="n">
        <v>45811.63590277778</v>
      </c>
      <c r="C32" s="1" t="n">
        <v>45883</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29510-2025</t>
        </is>
      </c>
      <c r="B33" s="1" t="n">
        <v>45825</v>
      </c>
      <c r="C33" s="1" t="n">
        <v>45883</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45883</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45883</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45883</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45883</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45883</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45883</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45883</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45883</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45883</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45883</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45883</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45883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45883</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45883</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45883</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45883</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45883</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45883</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45883</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45883</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45883</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45883</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45883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22058-2021</t>
        </is>
      </c>
      <c r="B57" s="1" t="n">
        <v>44323</v>
      </c>
      <c r="C57" s="1" t="n">
        <v>45883</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53344-2020</t>
        </is>
      </c>
      <c r="B58" s="1" t="n">
        <v>44123</v>
      </c>
      <c r="C58" s="1" t="n">
        <v>45883</v>
      </c>
      <c r="D58" t="inlineStr">
        <is>
          <t>UPPSALA LÄN</t>
        </is>
      </c>
      <c r="E58" t="inlineStr">
        <is>
          <t>ENKÖPING</t>
        </is>
      </c>
      <c r="G58" t="n">
        <v>0.8</v>
      </c>
      <c r="H58" t="n">
        <v>0</v>
      </c>
      <c r="I58" t="n">
        <v>0</v>
      </c>
      <c r="J58" t="n">
        <v>0</v>
      </c>
      <c r="K58" t="n">
        <v>0</v>
      </c>
      <c r="L58" t="n">
        <v>0</v>
      </c>
      <c r="M58" t="n">
        <v>0</v>
      </c>
      <c r="N58" t="n">
        <v>0</v>
      </c>
      <c r="O58" t="n">
        <v>0</v>
      </c>
      <c r="P58" t="n">
        <v>0</v>
      </c>
      <c r="Q58" t="n">
        <v>0</v>
      </c>
      <c r="R58" s="2" t="inlineStr"/>
    </row>
    <row r="59" ht="15" customHeight="1">
      <c r="A59" t="inlineStr">
        <is>
          <t>A 39922-2022</t>
        </is>
      </c>
      <c r="B59" s="1" t="n">
        <v>44819</v>
      </c>
      <c r="C59" s="1" t="n">
        <v>45883</v>
      </c>
      <c r="D59" t="inlineStr">
        <is>
          <t>UPPSALA LÄN</t>
        </is>
      </c>
      <c r="E59" t="inlineStr">
        <is>
          <t>ENKÖPING</t>
        </is>
      </c>
      <c r="G59" t="n">
        <v>1.7</v>
      </c>
      <c r="H59" t="n">
        <v>0</v>
      </c>
      <c r="I59" t="n">
        <v>0</v>
      </c>
      <c r="J59" t="n">
        <v>0</v>
      </c>
      <c r="K59" t="n">
        <v>0</v>
      </c>
      <c r="L59" t="n">
        <v>0</v>
      </c>
      <c r="M59" t="n">
        <v>0</v>
      </c>
      <c r="N59" t="n">
        <v>0</v>
      </c>
      <c r="O59" t="n">
        <v>0</v>
      </c>
      <c r="P59" t="n">
        <v>0</v>
      </c>
      <c r="Q59" t="n">
        <v>0</v>
      </c>
      <c r="R59" s="2" t="inlineStr"/>
    </row>
    <row r="60" ht="15" customHeight="1">
      <c r="A60" t="inlineStr">
        <is>
          <t>A 41736-2022</t>
        </is>
      </c>
      <c r="B60" s="1" t="n">
        <v>44827</v>
      </c>
      <c r="C60" s="1" t="n">
        <v>45883</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3861-2022</t>
        </is>
      </c>
      <c r="B61" s="1" t="n">
        <v>44587</v>
      </c>
      <c r="C61" s="1" t="n">
        <v>45883</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16967-2022</t>
        </is>
      </c>
      <c r="B62" s="1" t="n">
        <v>44676</v>
      </c>
      <c r="C62" s="1" t="n">
        <v>45883</v>
      </c>
      <c r="D62" t="inlineStr">
        <is>
          <t>UPPSALA LÄN</t>
        </is>
      </c>
      <c r="E62" t="inlineStr">
        <is>
          <t>ENKÖPING</t>
        </is>
      </c>
      <c r="G62" t="n">
        <v>0.6</v>
      </c>
      <c r="H62" t="n">
        <v>0</v>
      </c>
      <c r="I62" t="n">
        <v>0</v>
      </c>
      <c r="J62" t="n">
        <v>0</v>
      </c>
      <c r="K62" t="n">
        <v>0</v>
      </c>
      <c r="L62" t="n">
        <v>0</v>
      </c>
      <c r="M62" t="n">
        <v>0</v>
      </c>
      <c r="N62" t="n">
        <v>0</v>
      </c>
      <c r="O62" t="n">
        <v>0</v>
      </c>
      <c r="P62" t="n">
        <v>0</v>
      </c>
      <c r="Q62" t="n">
        <v>0</v>
      </c>
      <c r="R62" s="2" t="inlineStr"/>
    </row>
    <row r="63" ht="15" customHeight="1">
      <c r="A63" t="inlineStr">
        <is>
          <t>A 498-2022</t>
        </is>
      </c>
      <c r="B63" s="1" t="n">
        <v>44566</v>
      </c>
      <c r="C63" s="1" t="n">
        <v>45883</v>
      </c>
      <c r="D63" t="inlineStr">
        <is>
          <t>UPPSALA LÄN</t>
        </is>
      </c>
      <c r="E63" t="inlineStr">
        <is>
          <t>ENKÖPING</t>
        </is>
      </c>
      <c r="F63" t="inlineStr">
        <is>
          <t>Övriga statliga verk och myndigheter</t>
        </is>
      </c>
      <c r="G63" t="n">
        <v>11.1</v>
      </c>
      <c r="H63" t="n">
        <v>0</v>
      </c>
      <c r="I63" t="n">
        <v>0</v>
      </c>
      <c r="J63" t="n">
        <v>0</v>
      </c>
      <c r="K63" t="n">
        <v>0</v>
      </c>
      <c r="L63" t="n">
        <v>0</v>
      </c>
      <c r="M63" t="n">
        <v>0</v>
      </c>
      <c r="N63" t="n">
        <v>0</v>
      </c>
      <c r="O63" t="n">
        <v>0</v>
      </c>
      <c r="P63" t="n">
        <v>0</v>
      </c>
      <c r="Q63" t="n">
        <v>0</v>
      </c>
      <c r="R63" s="2" t="inlineStr"/>
    </row>
    <row r="64" ht="15" customHeight="1">
      <c r="A64" t="inlineStr">
        <is>
          <t>A 1965-2022</t>
        </is>
      </c>
      <c r="B64" s="1" t="n">
        <v>44575</v>
      </c>
      <c r="C64" s="1" t="n">
        <v>45883</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48230-2022</t>
        </is>
      </c>
      <c r="B65" s="1" t="n">
        <v>44858.45100694444</v>
      </c>
      <c r="C65" s="1" t="n">
        <v>45883</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14531-2022</t>
        </is>
      </c>
      <c r="B66" s="1" t="n">
        <v>44655</v>
      </c>
      <c r="C66" s="1" t="n">
        <v>45883</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48233-2022</t>
        </is>
      </c>
      <c r="B67" s="1" t="n">
        <v>44858.45300925926</v>
      </c>
      <c r="C67" s="1" t="n">
        <v>45883</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51091-2020</t>
        </is>
      </c>
      <c r="B68" s="1" t="n">
        <v>44112</v>
      </c>
      <c r="C68" s="1" t="n">
        <v>45883</v>
      </c>
      <c r="D68" t="inlineStr">
        <is>
          <t>UPPSALA LÄN</t>
        </is>
      </c>
      <c r="E68" t="inlineStr">
        <is>
          <t>ENKÖPING</t>
        </is>
      </c>
      <c r="G68" t="n">
        <v>3.6</v>
      </c>
      <c r="H68" t="n">
        <v>0</v>
      </c>
      <c r="I68" t="n">
        <v>0</v>
      </c>
      <c r="J68" t="n">
        <v>0</v>
      </c>
      <c r="K68" t="n">
        <v>0</v>
      </c>
      <c r="L68" t="n">
        <v>0</v>
      </c>
      <c r="M68" t="n">
        <v>0</v>
      </c>
      <c r="N68" t="n">
        <v>0</v>
      </c>
      <c r="O68" t="n">
        <v>0</v>
      </c>
      <c r="P68" t="n">
        <v>0</v>
      </c>
      <c r="Q68" t="n">
        <v>0</v>
      </c>
      <c r="R68" s="2" t="inlineStr"/>
    </row>
    <row r="69" ht="15" customHeight="1">
      <c r="A69" t="inlineStr">
        <is>
          <t>A 29435-2022</t>
        </is>
      </c>
      <c r="B69" s="1" t="n">
        <v>44753.49215277778</v>
      </c>
      <c r="C69" s="1" t="n">
        <v>45883</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45883</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16498-2021</t>
        </is>
      </c>
      <c r="B71" s="1" t="n">
        <v>44293</v>
      </c>
      <c r="C71" s="1" t="n">
        <v>45883</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39473-2021</t>
        </is>
      </c>
      <c r="B72" s="1" t="n">
        <v>44414</v>
      </c>
      <c r="C72" s="1" t="n">
        <v>45883</v>
      </c>
      <c r="D72" t="inlineStr">
        <is>
          <t>UPPSALA LÄN</t>
        </is>
      </c>
      <c r="E72" t="inlineStr">
        <is>
          <t>ENKÖPING</t>
        </is>
      </c>
      <c r="G72" t="n">
        <v>3.2</v>
      </c>
      <c r="H72" t="n">
        <v>0</v>
      </c>
      <c r="I72" t="n">
        <v>0</v>
      </c>
      <c r="J72" t="n">
        <v>0</v>
      </c>
      <c r="K72" t="n">
        <v>0</v>
      </c>
      <c r="L72" t="n">
        <v>0</v>
      </c>
      <c r="M72" t="n">
        <v>0</v>
      </c>
      <c r="N72" t="n">
        <v>0</v>
      </c>
      <c r="O72" t="n">
        <v>0</v>
      </c>
      <c r="P72" t="n">
        <v>0</v>
      </c>
      <c r="Q72" t="n">
        <v>0</v>
      </c>
      <c r="R72" s="2" t="inlineStr"/>
    </row>
    <row r="73" ht="15" customHeight="1">
      <c r="A73" t="inlineStr">
        <is>
          <t>A 4170-2022</t>
        </is>
      </c>
      <c r="B73" s="1" t="n">
        <v>44588</v>
      </c>
      <c r="C73" s="1" t="n">
        <v>45883</v>
      </c>
      <c r="D73" t="inlineStr">
        <is>
          <t>UPPSALA LÄN</t>
        </is>
      </c>
      <c r="E73" t="inlineStr">
        <is>
          <t>ENKÖPING</t>
        </is>
      </c>
      <c r="G73" t="n">
        <v>2</v>
      </c>
      <c r="H73" t="n">
        <v>0</v>
      </c>
      <c r="I73" t="n">
        <v>0</v>
      </c>
      <c r="J73" t="n">
        <v>0</v>
      </c>
      <c r="K73" t="n">
        <v>0</v>
      </c>
      <c r="L73" t="n">
        <v>0</v>
      </c>
      <c r="M73" t="n">
        <v>0</v>
      </c>
      <c r="N73" t="n">
        <v>0</v>
      </c>
      <c r="O73" t="n">
        <v>0</v>
      </c>
      <c r="P73" t="n">
        <v>0</v>
      </c>
      <c r="Q73" t="n">
        <v>0</v>
      </c>
      <c r="R73" s="2" t="inlineStr"/>
    </row>
    <row r="74" ht="15" customHeight="1">
      <c r="A74" t="inlineStr">
        <is>
          <t>A 38005-2022</t>
        </is>
      </c>
      <c r="B74" s="1" t="n">
        <v>44810</v>
      </c>
      <c r="C74" s="1" t="n">
        <v>45883</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63715-2020</t>
        </is>
      </c>
      <c r="B75" s="1" t="n">
        <v>44166</v>
      </c>
      <c r="C75" s="1" t="n">
        <v>45883</v>
      </c>
      <c r="D75" t="inlineStr">
        <is>
          <t>UPPSALA LÄN</t>
        </is>
      </c>
      <c r="E75" t="inlineStr">
        <is>
          <t>ENKÖPING</t>
        </is>
      </c>
      <c r="F75" t="inlineStr">
        <is>
          <t>Övriga statliga verk och myndigheter</t>
        </is>
      </c>
      <c r="G75" t="n">
        <v>5.9</v>
      </c>
      <c r="H75" t="n">
        <v>0</v>
      </c>
      <c r="I75" t="n">
        <v>0</v>
      </c>
      <c r="J75" t="n">
        <v>0</v>
      </c>
      <c r="K75" t="n">
        <v>0</v>
      </c>
      <c r="L75" t="n">
        <v>0</v>
      </c>
      <c r="M75" t="n">
        <v>0</v>
      </c>
      <c r="N75" t="n">
        <v>0</v>
      </c>
      <c r="O75" t="n">
        <v>0</v>
      </c>
      <c r="P75" t="n">
        <v>0</v>
      </c>
      <c r="Q75" t="n">
        <v>0</v>
      </c>
      <c r="R75" s="2" t="inlineStr"/>
    </row>
    <row r="76" ht="15" customHeight="1">
      <c r="A76" t="inlineStr">
        <is>
          <t>A 29425-2022</t>
        </is>
      </c>
      <c r="B76" s="1" t="n">
        <v>44753.47837962963</v>
      </c>
      <c r="C76" s="1" t="n">
        <v>45883</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52896-2022</t>
        </is>
      </c>
      <c r="B77" s="1" t="n">
        <v>44875.5665625</v>
      </c>
      <c r="C77" s="1" t="n">
        <v>45883</v>
      </c>
      <c r="D77" t="inlineStr">
        <is>
          <t>UPPSALA LÄN</t>
        </is>
      </c>
      <c r="E77" t="inlineStr">
        <is>
          <t>ENKÖPING</t>
        </is>
      </c>
      <c r="G77" t="n">
        <v>0.8</v>
      </c>
      <c r="H77" t="n">
        <v>0</v>
      </c>
      <c r="I77" t="n">
        <v>0</v>
      </c>
      <c r="J77" t="n">
        <v>0</v>
      </c>
      <c r="K77" t="n">
        <v>0</v>
      </c>
      <c r="L77" t="n">
        <v>0</v>
      </c>
      <c r="M77" t="n">
        <v>0</v>
      </c>
      <c r="N77" t="n">
        <v>0</v>
      </c>
      <c r="O77" t="n">
        <v>0</v>
      </c>
      <c r="P77" t="n">
        <v>0</v>
      </c>
      <c r="Q77" t="n">
        <v>0</v>
      </c>
      <c r="R77" s="2" t="inlineStr"/>
    </row>
    <row r="78" ht="15" customHeight="1">
      <c r="A78" t="inlineStr">
        <is>
          <t>A 2680-2022</t>
        </is>
      </c>
      <c r="B78" s="1" t="n">
        <v>44580</v>
      </c>
      <c r="C78" s="1" t="n">
        <v>45883</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12732-2021</t>
        </is>
      </c>
      <c r="B79" s="1" t="n">
        <v>44270.62864583333</v>
      </c>
      <c r="C79" s="1" t="n">
        <v>45883</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3903-2021</t>
        </is>
      </c>
      <c r="B80" s="1" t="n">
        <v>44217</v>
      </c>
      <c r="C80" s="1" t="n">
        <v>45883</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52014-2021</t>
        </is>
      </c>
      <c r="B81" s="1" t="n">
        <v>44463.3425462963</v>
      </c>
      <c r="C81" s="1" t="n">
        <v>45883</v>
      </c>
      <c r="D81" t="inlineStr">
        <is>
          <t>UPPSALA LÄN</t>
        </is>
      </c>
      <c r="E81" t="inlineStr">
        <is>
          <t>ENKÖPING</t>
        </is>
      </c>
      <c r="G81" t="n">
        <v>5.8</v>
      </c>
      <c r="H81" t="n">
        <v>0</v>
      </c>
      <c r="I81" t="n">
        <v>0</v>
      </c>
      <c r="J81" t="n">
        <v>0</v>
      </c>
      <c r="K81" t="n">
        <v>0</v>
      </c>
      <c r="L81" t="n">
        <v>0</v>
      </c>
      <c r="M81" t="n">
        <v>0</v>
      </c>
      <c r="N81" t="n">
        <v>0</v>
      </c>
      <c r="O81" t="n">
        <v>0</v>
      </c>
      <c r="P81" t="n">
        <v>0</v>
      </c>
      <c r="Q81" t="n">
        <v>0</v>
      </c>
      <c r="R81" s="2" t="inlineStr"/>
    </row>
    <row r="82" ht="15" customHeight="1">
      <c r="A82" t="inlineStr">
        <is>
          <t>A 17264-2021</t>
        </is>
      </c>
      <c r="B82" s="1" t="n">
        <v>44298.56068287037</v>
      </c>
      <c r="C82" s="1" t="n">
        <v>45883</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17268-2021</t>
        </is>
      </c>
      <c r="B83" s="1" t="n">
        <v>44298.56302083333</v>
      </c>
      <c r="C83" s="1" t="n">
        <v>45883</v>
      </c>
      <c r="D83" t="inlineStr">
        <is>
          <t>UPPSALA LÄN</t>
        </is>
      </c>
      <c r="E83" t="inlineStr">
        <is>
          <t>ENKÖPING</t>
        </is>
      </c>
      <c r="G83" t="n">
        <v>0.4</v>
      </c>
      <c r="H83" t="n">
        <v>0</v>
      </c>
      <c r="I83" t="n">
        <v>0</v>
      </c>
      <c r="J83" t="n">
        <v>0</v>
      </c>
      <c r="K83" t="n">
        <v>0</v>
      </c>
      <c r="L83" t="n">
        <v>0</v>
      </c>
      <c r="M83" t="n">
        <v>0</v>
      </c>
      <c r="N83" t="n">
        <v>0</v>
      </c>
      <c r="O83" t="n">
        <v>0</v>
      </c>
      <c r="P83" t="n">
        <v>0</v>
      </c>
      <c r="Q83" t="n">
        <v>0</v>
      </c>
      <c r="R83" s="2" t="inlineStr"/>
    </row>
    <row r="84" ht="15" customHeight="1">
      <c r="A84" t="inlineStr">
        <is>
          <t>A 37410-2022</t>
        </is>
      </c>
      <c r="B84" s="1" t="n">
        <v>44809</v>
      </c>
      <c r="C84" s="1" t="n">
        <v>45883</v>
      </c>
      <c r="D84" t="inlineStr">
        <is>
          <t>UPPSALA LÄN</t>
        </is>
      </c>
      <c r="E84" t="inlineStr">
        <is>
          <t>ENKÖPING</t>
        </is>
      </c>
      <c r="G84" t="n">
        <v>3.6</v>
      </c>
      <c r="H84" t="n">
        <v>0</v>
      </c>
      <c r="I84" t="n">
        <v>0</v>
      </c>
      <c r="J84" t="n">
        <v>0</v>
      </c>
      <c r="K84" t="n">
        <v>0</v>
      </c>
      <c r="L84" t="n">
        <v>0</v>
      </c>
      <c r="M84" t="n">
        <v>0</v>
      </c>
      <c r="N84" t="n">
        <v>0</v>
      </c>
      <c r="O84" t="n">
        <v>0</v>
      </c>
      <c r="P84" t="n">
        <v>0</v>
      </c>
      <c r="Q84" t="n">
        <v>0</v>
      </c>
      <c r="R84" s="2" t="inlineStr"/>
    </row>
    <row r="85" ht="15" customHeight="1">
      <c r="A85" t="inlineStr">
        <is>
          <t>A 67713-2020</t>
        </is>
      </c>
      <c r="B85" s="1" t="n">
        <v>44182</v>
      </c>
      <c r="C85" s="1" t="n">
        <v>45883</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1979-2022</t>
        </is>
      </c>
      <c r="B86" s="1" t="n">
        <v>44575</v>
      </c>
      <c r="C86" s="1" t="n">
        <v>45883</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40773-2022</t>
        </is>
      </c>
      <c r="B87" s="1" t="n">
        <v>44824.61237268519</v>
      </c>
      <c r="C87" s="1" t="n">
        <v>45883</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53352-2020</t>
        </is>
      </c>
      <c r="B88" s="1" t="n">
        <v>44123</v>
      </c>
      <c r="C88" s="1" t="n">
        <v>45883</v>
      </c>
      <c r="D88" t="inlineStr">
        <is>
          <t>UPPSALA LÄN</t>
        </is>
      </c>
      <c r="E88" t="inlineStr">
        <is>
          <t>ENKÖPING</t>
        </is>
      </c>
      <c r="G88" t="n">
        <v>2.9</v>
      </c>
      <c r="H88" t="n">
        <v>0</v>
      </c>
      <c r="I88" t="n">
        <v>0</v>
      </c>
      <c r="J88" t="n">
        <v>0</v>
      </c>
      <c r="K88" t="n">
        <v>0</v>
      </c>
      <c r="L88" t="n">
        <v>0</v>
      </c>
      <c r="M88" t="n">
        <v>0</v>
      </c>
      <c r="N88" t="n">
        <v>0</v>
      </c>
      <c r="O88" t="n">
        <v>0</v>
      </c>
      <c r="P88" t="n">
        <v>0</v>
      </c>
      <c r="Q88" t="n">
        <v>0</v>
      </c>
      <c r="R88" s="2" t="inlineStr"/>
    </row>
    <row r="89" ht="15" customHeight="1">
      <c r="A89" t="inlineStr">
        <is>
          <t>A 11688-2021</t>
        </is>
      </c>
      <c r="B89" s="1" t="n">
        <v>44264</v>
      </c>
      <c r="C89" s="1" t="n">
        <v>45883</v>
      </c>
      <c r="D89" t="inlineStr">
        <is>
          <t>UPPSALA LÄN</t>
        </is>
      </c>
      <c r="E89" t="inlineStr">
        <is>
          <t>ENKÖPING</t>
        </is>
      </c>
      <c r="G89" t="n">
        <v>4.7</v>
      </c>
      <c r="H89" t="n">
        <v>0</v>
      </c>
      <c r="I89" t="n">
        <v>0</v>
      </c>
      <c r="J89" t="n">
        <v>0</v>
      </c>
      <c r="K89" t="n">
        <v>0</v>
      </c>
      <c r="L89" t="n">
        <v>0</v>
      </c>
      <c r="M89" t="n">
        <v>0</v>
      </c>
      <c r="N89" t="n">
        <v>0</v>
      </c>
      <c r="O89" t="n">
        <v>0</v>
      </c>
      <c r="P89" t="n">
        <v>0</v>
      </c>
      <c r="Q89" t="n">
        <v>0</v>
      </c>
      <c r="R89" s="2" t="inlineStr"/>
    </row>
    <row r="90" ht="15" customHeight="1">
      <c r="A90" t="inlineStr">
        <is>
          <t>A 62046-2021</t>
        </is>
      </c>
      <c r="B90" s="1" t="n">
        <v>44502</v>
      </c>
      <c r="C90" s="1" t="n">
        <v>45883</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12538-2021</t>
        </is>
      </c>
      <c r="B91" s="1" t="n">
        <v>44269</v>
      </c>
      <c r="C91" s="1" t="n">
        <v>45883</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45883</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28795-2021</t>
        </is>
      </c>
      <c r="B93" s="1" t="n">
        <v>44357</v>
      </c>
      <c r="C93" s="1" t="n">
        <v>45883</v>
      </c>
      <c r="D93" t="inlineStr">
        <is>
          <t>UPPSALA LÄN</t>
        </is>
      </c>
      <c r="E93" t="inlineStr">
        <is>
          <t>ENKÖPING</t>
        </is>
      </c>
      <c r="F93" t="inlineStr">
        <is>
          <t>Allmännings- och besparingsskogar</t>
        </is>
      </c>
      <c r="G93" t="n">
        <v>2.8</v>
      </c>
      <c r="H93" t="n">
        <v>0</v>
      </c>
      <c r="I93" t="n">
        <v>0</v>
      </c>
      <c r="J93" t="n">
        <v>0</v>
      </c>
      <c r="K93" t="n">
        <v>0</v>
      </c>
      <c r="L93" t="n">
        <v>0</v>
      </c>
      <c r="M93" t="n">
        <v>0</v>
      </c>
      <c r="N93" t="n">
        <v>0</v>
      </c>
      <c r="O93" t="n">
        <v>0</v>
      </c>
      <c r="P93" t="n">
        <v>0</v>
      </c>
      <c r="Q93" t="n">
        <v>0</v>
      </c>
      <c r="R93" s="2" t="inlineStr"/>
    </row>
    <row r="94" ht="15" customHeight="1">
      <c r="A94" t="inlineStr">
        <is>
          <t>A 14839-2021</t>
        </is>
      </c>
      <c r="B94" s="1" t="n">
        <v>44280</v>
      </c>
      <c r="C94" s="1" t="n">
        <v>45883</v>
      </c>
      <c r="D94" t="inlineStr">
        <is>
          <t>UPPSALA LÄN</t>
        </is>
      </c>
      <c r="E94" t="inlineStr">
        <is>
          <t>ENKÖPING</t>
        </is>
      </c>
      <c r="G94" t="n">
        <v>11.4</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45883</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42021-2021</t>
        </is>
      </c>
      <c r="B96" s="1" t="n">
        <v>44426</v>
      </c>
      <c r="C96" s="1" t="n">
        <v>45883</v>
      </c>
      <c r="D96" t="inlineStr">
        <is>
          <t>UPPSALA LÄN</t>
        </is>
      </c>
      <c r="E96" t="inlineStr">
        <is>
          <t>ENKÖPING</t>
        </is>
      </c>
      <c r="G96" t="n">
        <v>2.2</v>
      </c>
      <c r="H96" t="n">
        <v>0</v>
      </c>
      <c r="I96" t="n">
        <v>0</v>
      </c>
      <c r="J96" t="n">
        <v>0</v>
      </c>
      <c r="K96" t="n">
        <v>0</v>
      </c>
      <c r="L96" t="n">
        <v>0</v>
      </c>
      <c r="M96" t="n">
        <v>0</v>
      </c>
      <c r="N96" t="n">
        <v>0</v>
      </c>
      <c r="O96" t="n">
        <v>0</v>
      </c>
      <c r="P96" t="n">
        <v>0</v>
      </c>
      <c r="Q96" t="n">
        <v>0</v>
      </c>
      <c r="R96" s="2" t="inlineStr"/>
    </row>
    <row r="97" ht="15" customHeight="1">
      <c r="A97" t="inlineStr">
        <is>
          <t>A 17467-2022</t>
        </is>
      </c>
      <c r="B97" s="1" t="n">
        <v>44679</v>
      </c>
      <c r="C97" s="1" t="n">
        <v>45883</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68107-2021</t>
        </is>
      </c>
      <c r="B98" s="1" t="n">
        <v>44526</v>
      </c>
      <c r="C98" s="1" t="n">
        <v>45883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45883</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45883</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59121-2021</t>
        </is>
      </c>
      <c r="B101" s="1" t="n">
        <v>44490</v>
      </c>
      <c r="C101" s="1" t="n">
        <v>45883</v>
      </c>
      <c r="D101" t="inlineStr">
        <is>
          <t>UPPSALA LÄN</t>
        </is>
      </c>
      <c r="E101" t="inlineStr">
        <is>
          <t>ENKÖPING</t>
        </is>
      </c>
      <c r="G101" t="n">
        <v>2.4</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45883</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24815-2022</t>
        </is>
      </c>
      <c r="B103" s="1" t="n">
        <v>44728</v>
      </c>
      <c r="C103" s="1" t="n">
        <v>45883</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57078-2021</t>
        </is>
      </c>
      <c r="B104" s="1" t="n">
        <v>44482.57855324074</v>
      </c>
      <c r="C104" s="1" t="n">
        <v>45883</v>
      </c>
      <c r="D104" t="inlineStr">
        <is>
          <t>UPPSALA LÄN</t>
        </is>
      </c>
      <c r="E104" t="inlineStr">
        <is>
          <t>ENKÖPING</t>
        </is>
      </c>
      <c r="G104" t="n">
        <v>3</v>
      </c>
      <c r="H104" t="n">
        <v>0</v>
      </c>
      <c r="I104" t="n">
        <v>0</v>
      </c>
      <c r="J104" t="n">
        <v>0</v>
      </c>
      <c r="K104" t="n">
        <v>0</v>
      </c>
      <c r="L104" t="n">
        <v>0</v>
      </c>
      <c r="M104" t="n">
        <v>0</v>
      </c>
      <c r="N104" t="n">
        <v>0</v>
      </c>
      <c r="O104" t="n">
        <v>0</v>
      </c>
      <c r="P104" t="n">
        <v>0</v>
      </c>
      <c r="Q104" t="n">
        <v>0</v>
      </c>
      <c r="R104" s="2" t="inlineStr"/>
    </row>
    <row r="105" ht="15" customHeight="1">
      <c r="A105" t="inlineStr">
        <is>
          <t>A 69791-2021</t>
        </is>
      </c>
      <c r="B105" s="1" t="n">
        <v>44532</v>
      </c>
      <c r="C105" s="1" t="n">
        <v>45883</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49375-2021</t>
        </is>
      </c>
      <c r="B106" s="1" t="n">
        <v>44454</v>
      </c>
      <c r="C106" s="1" t="n">
        <v>45883</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57802-2020</t>
        </is>
      </c>
      <c r="B107" s="1" t="n">
        <v>44141</v>
      </c>
      <c r="C107" s="1" t="n">
        <v>45883</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1971-2022</t>
        </is>
      </c>
      <c r="B108" s="1" t="n">
        <v>44575</v>
      </c>
      <c r="C108" s="1" t="n">
        <v>45883</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57055-2021</t>
        </is>
      </c>
      <c r="B109" s="1" t="n">
        <v>44482.55201388889</v>
      </c>
      <c r="C109" s="1" t="n">
        <v>45883</v>
      </c>
      <c r="D109" t="inlineStr">
        <is>
          <t>UPPSALA LÄN</t>
        </is>
      </c>
      <c r="E109" t="inlineStr">
        <is>
          <t>ENKÖPING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60874-2021</t>
        </is>
      </c>
      <c r="B110" s="1" t="n">
        <v>44497</v>
      </c>
      <c r="C110" s="1" t="n">
        <v>45883</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20067-2021</t>
        </is>
      </c>
      <c r="B111" s="1" t="n">
        <v>44314</v>
      </c>
      <c r="C111" s="1" t="n">
        <v>45883</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29983-2021</t>
        </is>
      </c>
      <c r="B112" s="1" t="n">
        <v>44363</v>
      </c>
      <c r="C112" s="1" t="n">
        <v>45883</v>
      </c>
      <c r="D112" t="inlineStr">
        <is>
          <t>UPPSALA LÄN</t>
        </is>
      </c>
      <c r="E112" t="inlineStr">
        <is>
          <t>ENKÖPING</t>
        </is>
      </c>
      <c r="F112" t="inlineStr">
        <is>
          <t>Kommuner</t>
        </is>
      </c>
      <c r="G112" t="n">
        <v>3.1</v>
      </c>
      <c r="H112" t="n">
        <v>0</v>
      </c>
      <c r="I112" t="n">
        <v>0</v>
      </c>
      <c r="J112" t="n">
        <v>0</v>
      </c>
      <c r="K112" t="n">
        <v>0</v>
      </c>
      <c r="L112" t="n">
        <v>0</v>
      </c>
      <c r="M112" t="n">
        <v>0</v>
      </c>
      <c r="N112" t="n">
        <v>0</v>
      </c>
      <c r="O112" t="n">
        <v>0</v>
      </c>
      <c r="P112" t="n">
        <v>0</v>
      </c>
      <c r="Q112" t="n">
        <v>0</v>
      </c>
      <c r="R112" s="2" t="inlineStr"/>
    </row>
    <row r="113" ht="15" customHeight="1">
      <c r="A113" t="inlineStr">
        <is>
          <t>A 15924-2022</t>
        </is>
      </c>
      <c r="B113" s="1" t="n">
        <v>44664</v>
      </c>
      <c r="C113" s="1" t="n">
        <v>45883</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15943-2022</t>
        </is>
      </c>
      <c r="B114" s="1" t="n">
        <v>44664.66428240741</v>
      </c>
      <c r="C114" s="1" t="n">
        <v>45883</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47106-2021</t>
        </is>
      </c>
      <c r="B115" s="1" t="n">
        <v>44446</v>
      </c>
      <c r="C115" s="1" t="n">
        <v>45883</v>
      </c>
      <c r="D115" t="inlineStr">
        <is>
          <t>UPPSALA LÄN</t>
        </is>
      </c>
      <c r="E115" t="inlineStr">
        <is>
          <t>ENKÖPING</t>
        </is>
      </c>
      <c r="G115" t="n">
        <v>7.6</v>
      </c>
      <c r="H115" t="n">
        <v>0</v>
      </c>
      <c r="I115" t="n">
        <v>0</v>
      </c>
      <c r="J115" t="n">
        <v>0</v>
      </c>
      <c r="K115" t="n">
        <v>0</v>
      </c>
      <c r="L115" t="n">
        <v>0</v>
      </c>
      <c r="M115" t="n">
        <v>0</v>
      </c>
      <c r="N115" t="n">
        <v>0</v>
      </c>
      <c r="O115" t="n">
        <v>0</v>
      </c>
      <c r="P115" t="n">
        <v>0</v>
      </c>
      <c r="Q115" t="n">
        <v>0</v>
      </c>
      <c r="R115" s="2" t="inlineStr"/>
    </row>
    <row r="116" ht="15" customHeight="1">
      <c r="A116" t="inlineStr">
        <is>
          <t>A 19731-2022</t>
        </is>
      </c>
      <c r="B116" s="1" t="n">
        <v>44694</v>
      </c>
      <c r="C116" s="1" t="n">
        <v>45883</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25598-2021</t>
        </is>
      </c>
      <c r="B117" s="1" t="n">
        <v>44343.4558912037</v>
      </c>
      <c r="C117" s="1" t="n">
        <v>45883</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32081-2024</t>
        </is>
      </c>
      <c r="B118" s="1" t="n">
        <v>45511.34605324074</v>
      </c>
      <c r="C118" s="1" t="n">
        <v>45883</v>
      </c>
      <c r="D118" t="inlineStr">
        <is>
          <t>UPPSALA LÄN</t>
        </is>
      </c>
      <c r="E118" t="inlineStr">
        <is>
          <t>ENKÖPING</t>
        </is>
      </c>
      <c r="G118" t="n">
        <v>5.4</v>
      </c>
      <c r="H118" t="n">
        <v>0</v>
      </c>
      <c r="I118" t="n">
        <v>0</v>
      </c>
      <c r="J118" t="n">
        <v>0</v>
      </c>
      <c r="K118" t="n">
        <v>0</v>
      </c>
      <c r="L118" t="n">
        <v>0</v>
      </c>
      <c r="M118" t="n">
        <v>0</v>
      </c>
      <c r="N118" t="n">
        <v>0</v>
      </c>
      <c r="O118" t="n">
        <v>0</v>
      </c>
      <c r="P118" t="n">
        <v>0</v>
      </c>
      <c r="Q118" t="n">
        <v>0</v>
      </c>
      <c r="R118" s="2" t="inlineStr"/>
    </row>
    <row r="119" ht="15" customHeight="1">
      <c r="A119" t="inlineStr">
        <is>
          <t>A 31965-2021</t>
        </is>
      </c>
      <c r="B119" s="1" t="n">
        <v>44370.56901620371</v>
      </c>
      <c r="C119" s="1" t="n">
        <v>45883</v>
      </c>
      <c r="D119" t="inlineStr">
        <is>
          <t>UPPSALA LÄN</t>
        </is>
      </c>
      <c r="E119" t="inlineStr">
        <is>
          <t>ENKÖPING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10468-2025</t>
        </is>
      </c>
      <c r="B120" s="1" t="n">
        <v>45720</v>
      </c>
      <c r="C120" s="1" t="n">
        <v>45883</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43488-2023</t>
        </is>
      </c>
      <c r="B121" s="1" t="n">
        <v>45181</v>
      </c>
      <c r="C121" s="1" t="n">
        <v>45883</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12755-2025</t>
        </is>
      </c>
      <c r="B122" s="1" t="n">
        <v>45733.56541666666</v>
      </c>
      <c r="C122" s="1" t="n">
        <v>45883</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20184-2023</t>
        </is>
      </c>
      <c r="B123" s="1" t="n">
        <v>45055.5670949074</v>
      </c>
      <c r="C123" s="1" t="n">
        <v>45883</v>
      </c>
      <c r="D123" t="inlineStr">
        <is>
          <t>UPPSALA LÄN</t>
        </is>
      </c>
      <c r="E123" t="inlineStr">
        <is>
          <t>ENKÖPING</t>
        </is>
      </c>
      <c r="G123" t="n">
        <v>3.2</v>
      </c>
      <c r="H123" t="n">
        <v>0</v>
      </c>
      <c r="I123" t="n">
        <v>0</v>
      </c>
      <c r="J123" t="n">
        <v>0</v>
      </c>
      <c r="K123" t="n">
        <v>0</v>
      </c>
      <c r="L123" t="n">
        <v>0</v>
      </c>
      <c r="M123" t="n">
        <v>0</v>
      </c>
      <c r="N123" t="n">
        <v>0</v>
      </c>
      <c r="O123" t="n">
        <v>0</v>
      </c>
      <c r="P123" t="n">
        <v>0</v>
      </c>
      <c r="Q123" t="n">
        <v>0</v>
      </c>
      <c r="R123" s="2" t="inlineStr"/>
    </row>
    <row r="124" ht="15" customHeight="1">
      <c r="A124" t="inlineStr">
        <is>
          <t>A 57043-2021</t>
        </is>
      </c>
      <c r="B124" s="1" t="n">
        <v>44482.53399305556</v>
      </c>
      <c r="C124" s="1" t="n">
        <v>45883</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4044-2024</t>
        </is>
      </c>
      <c r="B125" s="1" t="n">
        <v>45323.45954861111</v>
      </c>
      <c r="C125" s="1" t="n">
        <v>45883</v>
      </c>
      <c r="D125" t="inlineStr">
        <is>
          <t>UPPSALA LÄN</t>
        </is>
      </c>
      <c r="E125" t="inlineStr">
        <is>
          <t>ENKÖPING</t>
        </is>
      </c>
      <c r="G125" t="n">
        <v>2.1</v>
      </c>
      <c r="H125" t="n">
        <v>0</v>
      </c>
      <c r="I125" t="n">
        <v>0</v>
      </c>
      <c r="J125" t="n">
        <v>0</v>
      </c>
      <c r="K125" t="n">
        <v>0</v>
      </c>
      <c r="L125" t="n">
        <v>0</v>
      </c>
      <c r="M125" t="n">
        <v>0</v>
      </c>
      <c r="N125" t="n">
        <v>0</v>
      </c>
      <c r="O125" t="n">
        <v>0</v>
      </c>
      <c r="P125" t="n">
        <v>0</v>
      </c>
      <c r="Q125" t="n">
        <v>0</v>
      </c>
      <c r="R125" s="2" t="inlineStr"/>
    </row>
    <row r="126" ht="15" customHeight="1">
      <c r="A126" t="inlineStr">
        <is>
          <t>A 47516-2022</t>
        </is>
      </c>
      <c r="B126" s="1" t="n">
        <v>44853.68895833333</v>
      </c>
      <c r="C126" s="1" t="n">
        <v>45883</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15021-2022</t>
        </is>
      </c>
      <c r="B127" s="1" t="n">
        <v>44657</v>
      </c>
      <c r="C127" s="1" t="n">
        <v>45883</v>
      </c>
      <c r="D127" t="inlineStr">
        <is>
          <t>UPPSALA LÄN</t>
        </is>
      </c>
      <c r="E127" t="inlineStr">
        <is>
          <t>ENKÖPING</t>
        </is>
      </c>
      <c r="G127" t="n">
        <v>1.1</v>
      </c>
      <c r="H127" t="n">
        <v>0</v>
      </c>
      <c r="I127" t="n">
        <v>0</v>
      </c>
      <c r="J127" t="n">
        <v>0</v>
      </c>
      <c r="K127" t="n">
        <v>0</v>
      </c>
      <c r="L127" t="n">
        <v>0</v>
      </c>
      <c r="M127" t="n">
        <v>0</v>
      </c>
      <c r="N127" t="n">
        <v>0</v>
      </c>
      <c r="O127" t="n">
        <v>0</v>
      </c>
      <c r="P127" t="n">
        <v>0</v>
      </c>
      <c r="Q127" t="n">
        <v>0</v>
      </c>
      <c r="R127" s="2" t="inlineStr"/>
    </row>
    <row r="128" ht="15" customHeight="1">
      <c r="A128" t="inlineStr">
        <is>
          <t>A 61952-2021</t>
        </is>
      </c>
      <c r="B128" s="1" t="n">
        <v>44502</v>
      </c>
      <c r="C128" s="1" t="n">
        <v>45883</v>
      </c>
      <c r="D128" t="inlineStr">
        <is>
          <t>UPPSALA LÄN</t>
        </is>
      </c>
      <c r="E128" t="inlineStr">
        <is>
          <t>ENKÖPING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45883</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46103-2023</t>
        </is>
      </c>
      <c r="B130" s="1" t="n">
        <v>45190</v>
      </c>
      <c r="C130" s="1" t="n">
        <v>45883</v>
      </c>
      <c r="D130" t="inlineStr">
        <is>
          <t>UPPSALA LÄN</t>
        </is>
      </c>
      <c r="E130" t="inlineStr">
        <is>
          <t>ENKÖPING</t>
        </is>
      </c>
      <c r="G130" t="n">
        <v>4.6</v>
      </c>
      <c r="H130" t="n">
        <v>0</v>
      </c>
      <c r="I130" t="n">
        <v>0</v>
      </c>
      <c r="J130" t="n">
        <v>0</v>
      </c>
      <c r="K130" t="n">
        <v>0</v>
      </c>
      <c r="L130" t="n">
        <v>0</v>
      </c>
      <c r="M130" t="n">
        <v>0</v>
      </c>
      <c r="N130" t="n">
        <v>0</v>
      </c>
      <c r="O130" t="n">
        <v>0</v>
      </c>
      <c r="P130" t="n">
        <v>0</v>
      </c>
      <c r="Q130" t="n">
        <v>0</v>
      </c>
      <c r="R130" s="2" t="inlineStr"/>
    </row>
    <row r="131" ht="15" customHeight="1">
      <c r="A131" t="inlineStr">
        <is>
          <t>A 59602-2022</t>
        </is>
      </c>
      <c r="B131" s="1" t="n">
        <v>44907.72241898148</v>
      </c>
      <c r="C131" s="1" t="n">
        <v>45883</v>
      </c>
      <c r="D131" t="inlineStr">
        <is>
          <t>UPPSALA LÄN</t>
        </is>
      </c>
      <c r="E131" t="inlineStr">
        <is>
          <t>ENKÖPING</t>
        </is>
      </c>
      <c r="G131" t="n">
        <v>14.2</v>
      </c>
      <c r="H131" t="n">
        <v>0</v>
      </c>
      <c r="I131" t="n">
        <v>0</v>
      </c>
      <c r="J131" t="n">
        <v>0</v>
      </c>
      <c r="K131" t="n">
        <v>0</v>
      </c>
      <c r="L131" t="n">
        <v>0</v>
      </c>
      <c r="M131" t="n">
        <v>0</v>
      </c>
      <c r="N131" t="n">
        <v>0</v>
      </c>
      <c r="O131" t="n">
        <v>0</v>
      </c>
      <c r="P131" t="n">
        <v>0</v>
      </c>
      <c r="Q131" t="n">
        <v>0</v>
      </c>
      <c r="R131" s="2" t="inlineStr"/>
    </row>
    <row r="132" ht="15" customHeight="1">
      <c r="A132" t="inlineStr">
        <is>
          <t>A 42589-2022</t>
        </is>
      </c>
      <c r="B132" s="1" t="n">
        <v>44831</v>
      </c>
      <c r="C132" s="1" t="n">
        <v>45883</v>
      </c>
      <c r="D132" t="inlineStr">
        <is>
          <t>UPPSALA LÄN</t>
        </is>
      </c>
      <c r="E132" t="inlineStr">
        <is>
          <t>ENKÖPING</t>
        </is>
      </c>
      <c r="G132" t="n">
        <v>20</v>
      </c>
      <c r="H132" t="n">
        <v>0</v>
      </c>
      <c r="I132" t="n">
        <v>0</v>
      </c>
      <c r="J132" t="n">
        <v>0</v>
      </c>
      <c r="K132" t="n">
        <v>0</v>
      </c>
      <c r="L132" t="n">
        <v>0</v>
      </c>
      <c r="M132" t="n">
        <v>0</v>
      </c>
      <c r="N132" t="n">
        <v>0</v>
      </c>
      <c r="O132" t="n">
        <v>0</v>
      </c>
      <c r="P132" t="n">
        <v>0</v>
      </c>
      <c r="Q132" t="n">
        <v>0</v>
      </c>
      <c r="R132" s="2" t="inlineStr"/>
    </row>
    <row r="133" ht="15" customHeight="1">
      <c r="A133" t="inlineStr">
        <is>
          <t>A 58798-2020</t>
        </is>
      </c>
      <c r="B133" s="1" t="n">
        <v>44146</v>
      </c>
      <c r="C133" s="1" t="n">
        <v>45883</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35645-2021</t>
        </is>
      </c>
      <c r="B134" s="1" t="n">
        <v>44386.42</v>
      </c>
      <c r="C134" s="1" t="n">
        <v>45883</v>
      </c>
      <c r="D134" t="inlineStr">
        <is>
          <t>UPPSALA LÄN</t>
        </is>
      </c>
      <c r="E134" t="inlineStr">
        <is>
          <t>ENKÖPING</t>
        </is>
      </c>
      <c r="G134" t="n">
        <v>2.7</v>
      </c>
      <c r="H134" t="n">
        <v>0</v>
      </c>
      <c r="I134" t="n">
        <v>0</v>
      </c>
      <c r="J134" t="n">
        <v>0</v>
      </c>
      <c r="K134" t="n">
        <v>0</v>
      </c>
      <c r="L134" t="n">
        <v>0</v>
      </c>
      <c r="M134" t="n">
        <v>0</v>
      </c>
      <c r="N134" t="n">
        <v>0</v>
      </c>
      <c r="O134" t="n">
        <v>0</v>
      </c>
      <c r="P134" t="n">
        <v>0</v>
      </c>
      <c r="Q134" t="n">
        <v>0</v>
      </c>
      <c r="R134" s="2" t="inlineStr"/>
    </row>
    <row r="135" ht="15" customHeight="1">
      <c r="A135" t="inlineStr">
        <is>
          <t>A 2968-2025</t>
        </is>
      </c>
      <c r="B135" s="1" t="n">
        <v>45678</v>
      </c>
      <c r="C135" s="1" t="n">
        <v>45883</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25333-2023</t>
        </is>
      </c>
      <c r="B136" s="1" t="n">
        <v>45083</v>
      </c>
      <c r="C136" s="1" t="n">
        <v>45883</v>
      </c>
      <c r="D136" t="inlineStr">
        <is>
          <t>UPPSALA LÄN</t>
        </is>
      </c>
      <c r="E136" t="inlineStr">
        <is>
          <t>ENKÖPING</t>
        </is>
      </c>
      <c r="G136" t="n">
        <v>2.7</v>
      </c>
      <c r="H136" t="n">
        <v>0</v>
      </c>
      <c r="I136" t="n">
        <v>0</v>
      </c>
      <c r="J136" t="n">
        <v>0</v>
      </c>
      <c r="K136" t="n">
        <v>0</v>
      </c>
      <c r="L136" t="n">
        <v>0</v>
      </c>
      <c r="M136" t="n">
        <v>0</v>
      </c>
      <c r="N136" t="n">
        <v>0</v>
      </c>
      <c r="O136" t="n">
        <v>0</v>
      </c>
      <c r="P136" t="n">
        <v>0</v>
      </c>
      <c r="Q136" t="n">
        <v>0</v>
      </c>
      <c r="R136" s="2" t="inlineStr"/>
    </row>
    <row r="137" ht="15" customHeight="1">
      <c r="A137" t="inlineStr">
        <is>
          <t>A 9487-2025</t>
        </is>
      </c>
      <c r="B137" s="1" t="n">
        <v>45715.49331018519</v>
      </c>
      <c r="C137" s="1" t="n">
        <v>45883</v>
      </c>
      <c r="D137" t="inlineStr">
        <is>
          <t>UPPSALA LÄN</t>
        </is>
      </c>
      <c r="E137" t="inlineStr">
        <is>
          <t>ENKÖPING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52464-2020</t>
        </is>
      </c>
      <c r="B138" s="1" t="n">
        <v>44118</v>
      </c>
      <c r="C138" s="1" t="n">
        <v>45883</v>
      </c>
      <c r="D138" t="inlineStr">
        <is>
          <t>UPPSALA LÄN</t>
        </is>
      </c>
      <c r="E138" t="inlineStr">
        <is>
          <t>ENKÖPING</t>
        </is>
      </c>
      <c r="G138" t="n">
        <v>4.6</v>
      </c>
      <c r="H138" t="n">
        <v>0</v>
      </c>
      <c r="I138" t="n">
        <v>0</v>
      </c>
      <c r="J138" t="n">
        <v>0</v>
      </c>
      <c r="K138" t="n">
        <v>0</v>
      </c>
      <c r="L138" t="n">
        <v>0</v>
      </c>
      <c r="M138" t="n">
        <v>0</v>
      </c>
      <c r="N138" t="n">
        <v>0</v>
      </c>
      <c r="O138" t="n">
        <v>0</v>
      </c>
      <c r="P138" t="n">
        <v>0</v>
      </c>
      <c r="Q138" t="n">
        <v>0</v>
      </c>
      <c r="R138" s="2" t="inlineStr"/>
    </row>
    <row r="139" ht="15" customHeight="1">
      <c r="A139" t="inlineStr">
        <is>
          <t>A 50747-2022</t>
        </is>
      </c>
      <c r="B139" s="1" t="n">
        <v>44867.40162037037</v>
      </c>
      <c r="C139" s="1" t="n">
        <v>45883</v>
      </c>
      <c r="D139" t="inlineStr">
        <is>
          <t>UPPSALA LÄN</t>
        </is>
      </c>
      <c r="E139" t="inlineStr">
        <is>
          <t>ENKÖPING</t>
        </is>
      </c>
      <c r="G139" t="n">
        <v>1.5</v>
      </c>
      <c r="H139" t="n">
        <v>0</v>
      </c>
      <c r="I139" t="n">
        <v>0</v>
      </c>
      <c r="J139" t="n">
        <v>0</v>
      </c>
      <c r="K139" t="n">
        <v>0</v>
      </c>
      <c r="L139" t="n">
        <v>0</v>
      </c>
      <c r="M139" t="n">
        <v>0</v>
      </c>
      <c r="N139" t="n">
        <v>0</v>
      </c>
      <c r="O139" t="n">
        <v>0</v>
      </c>
      <c r="P139" t="n">
        <v>0</v>
      </c>
      <c r="Q139" t="n">
        <v>0</v>
      </c>
      <c r="R139" s="2" t="inlineStr"/>
    </row>
    <row r="140" ht="15" customHeight="1">
      <c r="A140" t="inlineStr">
        <is>
          <t>A 16176-2025</t>
        </is>
      </c>
      <c r="B140" s="1" t="n">
        <v>45750</v>
      </c>
      <c r="C140" s="1" t="n">
        <v>45883</v>
      </c>
      <c r="D140" t="inlineStr">
        <is>
          <t>UPPSALA LÄN</t>
        </is>
      </c>
      <c r="E140" t="inlineStr">
        <is>
          <t>ENKÖPING</t>
        </is>
      </c>
      <c r="G140" t="n">
        <v>3.9</v>
      </c>
      <c r="H140" t="n">
        <v>0</v>
      </c>
      <c r="I140" t="n">
        <v>0</v>
      </c>
      <c r="J140" t="n">
        <v>0</v>
      </c>
      <c r="K140" t="n">
        <v>0</v>
      </c>
      <c r="L140" t="n">
        <v>0</v>
      </c>
      <c r="M140" t="n">
        <v>0</v>
      </c>
      <c r="N140" t="n">
        <v>0</v>
      </c>
      <c r="O140" t="n">
        <v>0</v>
      </c>
      <c r="P140" t="n">
        <v>0</v>
      </c>
      <c r="Q140" t="n">
        <v>0</v>
      </c>
      <c r="R140" s="2" t="inlineStr"/>
    </row>
    <row r="141" ht="15" customHeight="1">
      <c r="A141" t="inlineStr">
        <is>
          <t>A 57152-2021</t>
        </is>
      </c>
      <c r="B141" s="1" t="n">
        <v>44482</v>
      </c>
      <c r="C141" s="1" t="n">
        <v>45883</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37035-2023</t>
        </is>
      </c>
      <c r="B142" s="1" t="n">
        <v>45155</v>
      </c>
      <c r="C142" s="1" t="n">
        <v>45883</v>
      </c>
      <c r="D142" t="inlineStr">
        <is>
          <t>UPPSALA LÄN</t>
        </is>
      </c>
      <c r="E142" t="inlineStr">
        <is>
          <t>ENKÖPING</t>
        </is>
      </c>
      <c r="G142" t="n">
        <v>1.2</v>
      </c>
      <c r="H142" t="n">
        <v>0</v>
      </c>
      <c r="I142" t="n">
        <v>0</v>
      </c>
      <c r="J142" t="n">
        <v>0</v>
      </c>
      <c r="K142" t="n">
        <v>0</v>
      </c>
      <c r="L142" t="n">
        <v>0</v>
      </c>
      <c r="M142" t="n">
        <v>0</v>
      </c>
      <c r="N142" t="n">
        <v>0</v>
      </c>
      <c r="O142" t="n">
        <v>0</v>
      </c>
      <c r="P142" t="n">
        <v>0</v>
      </c>
      <c r="Q142" t="n">
        <v>0</v>
      </c>
      <c r="R142" s="2" t="inlineStr"/>
    </row>
    <row r="143" ht="15" customHeight="1">
      <c r="A143" t="inlineStr">
        <is>
          <t>A 31013-2022</t>
        </is>
      </c>
      <c r="B143" s="1" t="n">
        <v>44768</v>
      </c>
      <c r="C143" s="1" t="n">
        <v>45883</v>
      </c>
      <c r="D143" t="inlineStr">
        <is>
          <t>UPPSALA LÄN</t>
        </is>
      </c>
      <c r="E143" t="inlineStr">
        <is>
          <t>ENKÖPING</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30437-2022</t>
        </is>
      </c>
      <c r="B144" s="1" t="n">
        <v>44761</v>
      </c>
      <c r="C144" s="1" t="n">
        <v>45883</v>
      </c>
      <c r="D144" t="inlineStr">
        <is>
          <t>UPPSALA LÄN</t>
        </is>
      </c>
      <c r="E144" t="inlineStr">
        <is>
          <t>ENKÖPING</t>
        </is>
      </c>
      <c r="G144" t="n">
        <v>3.4</v>
      </c>
      <c r="H144" t="n">
        <v>0</v>
      </c>
      <c r="I144" t="n">
        <v>0</v>
      </c>
      <c r="J144" t="n">
        <v>0</v>
      </c>
      <c r="K144" t="n">
        <v>0</v>
      </c>
      <c r="L144" t="n">
        <v>0</v>
      </c>
      <c r="M144" t="n">
        <v>0</v>
      </c>
      <c r="N144" t="n">
        <v>0</v>
      </c>
      <c r="O144" t="n">
        <v>0</v>
      </c>
      <c r="P144" t="n">
        <v>0</v>
      </c>
      <c r="Q144" t="n">
        <v>0</v>
      </c>
      <c r="R144" s="2" t="inlineStr"/>
    </row>
    <row r="145" ht="15" customHeight="1">
      <c r="A145" t="inlineStr">
        <is>
          <t>A 12572-2021</t>
        </is>
      </c>
      <c r="B145" s="1" t="n">
        <v>44270.36438657407</v>
      </c>
      <c r="C145" s="1" t="n">
        <v>45883</v>
      </c>
      <c r="D145" t="inlineStr">
        <is>
          <t>UPPSALA LÄN</t>
        </is>
      </c>
      <c r="E145" t="inlineStr">
        <is>
          <t>ENKÖPING</t>
        </is>
      </c>
      <c r="G145" t="n">
        <v>3.3</v>
      </c>
      <c r="H145" t="n">
        <v>0</v>
      </c>
      <c r="I145" t="n">
        <v>0</v>
      </c>
      <c r="J145" t="n">
        <v>0</v>
      </c>
      <c r="K145" t="n">
        <v>0</v>
      </c>
      <c r="L145" t="n">
        <v>0</v>
      </c>
      <c r="M145" t="n">
        <v>0</v>
      </c>
      <c r="N145" t="n">
        <v>0</v>
      </c>
      <c r="O145" t="n">
        <v>0</v>
      </c>
      <c r="P145" t="n">
        <v>0</v>
      </c>
      <c r="Q145" t="n">
        <v>0</v>
      </c>
      <c r="R145" s="2" t="inlineStr"/>
    </row>
    <row r="146" ht="15" customHeight="1">
      <c r="A146" t="inlineStr">
        <is>
          <t>A 46186-2023</t>
        </is>
      </c>
      <c r="B146" s="1" t="n">
        <v>45196</v>
      </c>
      <c r="C146" s="1" t="n">
        <v>45883</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15162-2025</t>
        </is>
      </c>
      <c r="B147" s="1" t="n">
        <v>45744</v>
      </c>
      <c r="C147" s="1" t="n">
        <v>45883</v>
      </c>
      <c r="D147" t="inlineStr">
        <is>
          <t>UPPSALA LÄN</t>
        </is>
      </c>
      <c r="E147" t="inlineStr">
        <is>
          <t>ENKÖPING</t>
        </is>
      </c>
      <c r="G147" t="n">
        <v>4.2</v>
      </c>
      <c r="H147" t="n">
        <v>0</v>
      </c>
      <c r="I147" t="n">
        <v>0</v>
      </c>
      <c r="J147" t="n">
        <v>0</v>
      </c>
      <c r="K147" t="n">
        <v>0</v>
      </c>
      <c r="L147" t="n">
        <v>0</v>
      </c>
      <c r="M147" t="n">
        <v>0</v>
      </c>
      <c r="N147" t="n">
        <v>0</v>
      </c>
      <c r="O147" t="n">
        <v>0</v>
      </c>
      <c r="P147" t="n">
        <v>0</v>
      </c>
      <c r="Q147" t="n">
        <v>0</v>
      </c>
      <c r="R147" s="2" t="inlineStr"/>
    </row>
    <row r="148" ht="15" customHeight="1">
      <c r="A148" t="inlineStr">
        <is>
          <t>A 20112-2024</t>
        </is>
      </c>
      <c r="B148" s="1" t="n">
        <v>45434</v>
      </c>
      <c r="C148" s="1" t="n">
        <v>45883</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18299-2025</t>
        </is>
      </c>
      <c r="B149" s="1" t="n">
        <v>45762</v>
      </c>
      <c r="C149" s="1" t="n">
        <v>45883</v>
      </c>
      <c r="D149" t="inlineStr">
        <is>
          <t>UPPSALA LÄN</t>
        </is>
      </c>
      <c r="E149" t="inlineStr">
        <is>
          <t>ENKÖPING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6242-2025</t>
        </is>
      </c>
      <c r="B150" s="1" t="n">
        <v>45697</v>
      </c>
      <c r="C150" s="1" t="n">
        <v>45883</v>
      </c>
      <c r="D150" t="inlineStr">
        <is>
          <t>UPPSALA LÄN</t>
        </is>
      </c>
      <c r="E150" t="inlineStr">
        <is>
          <t>ENKÖPING</t>
        </is>
      </c>
      <c r="G150" t="n">
        <v>17.9</v>
      </c>
      <c r="H150" t="n">
        <v>0</v>
      </c>
      <c r="I150" t="n">
        <v>0</v>
      </c>
      <c r="J150" t="n">
        <v>0</v>
      </c>
      <c r="K150" t="n">
        <v>0</v>
      </c>
      <c r="L150" t="n">
        <v>0</v>
      </c>
      <c r="M150" t="n">
        <v>0</v>
      </c>
      <c r="N150" t="n">
        <v>0</v>
      </c>
      <c r="O150" t="n">
        <v>0</v>
      </c>
      <c r="P150" t="n">
        <v>0</v>
      </c>
      <c r="Q150" t="n">
        <v>0</v>
      </c>
      <c r="R150" s="2" t="inlineStr"/>
    </row>
    <row r="151" ht="15" customHeight="1">
      <c r="A151" t="inlineStr">
        <is>
          <t>A 53586-2024</t>
        </is>
      </c>
      <c r="B151" s="1" t="n">
        <v>45614</v>
      </c>
      <c r="C151" s="1" t="n">
        <v>45883</v>
      </c>
      <c r="D151" t="inlineStr">
        <is>
          <t>UPPSALA LÄN</t>
        </is>
      </c>
      <c r="E151" t="inlineStr">
        <is>
          <t>ENKÖPING</t>
        </is>
      </c>
      <c r="G151" t="n">
        <v>6.6</v>
      </c>
      <c r="H151" t="n">
        <v>0</v>
      </c>
      <c r="I151" t="n">
        <v>0</v>
      </c>
      <c r="J151" t="n">
        <v>0</v>
      </c>
      <c r="K151" t="n">
        <v>0</v>
      </c>
      <c r="L151" t="n">
        <v>0</v>
      </c>
      <c r="M151" t="n">
        <v>0</v>
      </c>
      <c r="N151" t="n">
        <v>0</v>
      </c>
      <c r="O151" t="n">
        <v>0</v>
      </c>
      <c r="P151" t="n">
        <v>0</v>
      </c>
      <c r="Q151" t="n">
        <v>0</v>
      </c>
      <c r="R151" s="2" t="inlineStr"/>
    </row>
    <row r="152" ht="15" customHeight="1">
      <c r="A152" t="inlineStr">
        <is>
          <t>A 6144-2024</t>
        </is>
      </c>
      <c r="B152" s="1" t="n">
        <v>45337.4684837963</v>
      </c>
      <c r="C152" s="1" t="n">
        <v>45883</v>
      </c>
      <c r="D152" t="inlineStr">
        <is>
          <t>UPPSALA LÄN</t>
        </is>
      </c>
      <c r="E152" t="inlineStr">
        <is>
          <t>ENKÖPING</t>
        </is>
      </c>
      <c r="G152" t="n">
        <v>13.8</v>
      </c>
      <c r="H152" t="n">
        <v>0</v>
      </c>
      <c r="I152" t="n">
        <v>0</v>
      </c>
      <c r="J152" t="n">
        <v>0</v>
      </c>
      <c r="K152" t="n">
        <v>0</v>
      </c>
      <c r="L152" t="n">
        <v>0</v>
      </c>
      <c r="M152" t="n">
        <v>0</v>
      </c>
      <c r="N152" t="n">
        <v>0</v>
      </c>
      <c r="O152" t="n">
        <v>0</v>
      </c>
      <c r="P152" t="n">
        <v>0</v>
      </c>
      <c r="Q152" t="n">
        <v>0</v>
      </c>
      <c r="R152" s="2" t="inlineStr"/>
    </row>
    <row r="153" ht="15" customHeight="1">
      <c r="A153" t="inlineStr">
        <is>
          <t>A 51932-2022</t>
        </is>
      </c>
      <c r="B153" s="1" t="n">
        <v>44872</v>
      </c>
      <c r="C153" s="1" t="n">
        <v>45883</v>
      </c>
      <c r="D153" t="inlineStr">
        <is>
          <t>UPPSALA LÄN</t>
        </is>
      </c>
      <c r="E153" t="inlineStr">
        <is>
          <t>ENKÖPING</t>
        </is>
      </c>
      <c r="G153" t="n">
        <v>5.5</v>
      </c>
      <c r="H153" t="n">
        <v>0</v>
      </c>
      <c r="I153" t="n">
        <v>0</v>
      </c>
      <c r="J153" t="n">
        <v>0</v>
      </c>
      <c r="K153" t="n">
        <v>0</v>
      </c>
      <c r="L153" t="n">
        <v>0</v>
      </c>
      <c r="M153" t="n">
        <v>0</v>
      </c>
      <c r="N153" t="n">
        <v>0</v>
      </c>
      <c r="O153" t="n">
        <v>0</v>
      </c>
      <c r="P153" t="n">
        <v>0</v>
      </c>
      <c r="Q153" t="n">
        <v>0</v>
      </c>
      <c r="R153" s="2" t="inlineStr"/>
    </row>
    <row r="154" ht="15" customHeight="1">
      <c r="A154" t="inlineStr">
        <is>
          <t>A 51034-2024</t>
        </is>
      </c>
      <c r="B154" s="1" t="n">
        <v>45603.4262037037</v>
      </c>
      <c r="C154" s="1" t="n">
        <v>45883</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51036-2024</t>
        </is>
      </c>
      <c r="B155" s="1" t="n">
        <v>45603.42839120371</v>
      </c>
      <c r="C155" s="1" t="n">
        <v>45883</v>
      </c>
      <c r="D155" t="inlineStr">
        <is>
          <t>UPPSALA LÄN</t>
        </is>
      </c>
      <c r="E155" t="inlineStr">
        <is>
          <t>ENKÖPING</t>
        </is>
      </c>
      <c r="G155" t="n">
        <v>2.6</v>
      </c>
      <c r="H155" t="n">
        <v>0</v>
      </c>
      <c r="I155" t="n">
        <v>0</v>
      </c>
      <c r="J155" t="n">
        <v>0</v>
      </c>
      <c r="K155" t="n">
        <v>0</v>
      </c>
      <c r="L155" t="n">
        <v>0</v>
      </c>
      <c r="M155" t="n">
        <v>0</v>
      </c>
      <c r="N155" t="n">
        <v>0</v>
      </c>
      <c r="O155" t="n">
        <v>0</v>
      </c>
      <c r="P155" t="n">
        <v>0</v>
      </c>
      <c r="Q155" t="n">
        <v>0</v>
      </c>
      <c r="R155" s="2" t="inlineStr"/>
    </row>
    <row r="156" ht="15" customHeight="1">
      <c r="A156" t="inlineStr">
        <is>
          <t>A 67984-2021</t>
        </is>
      </c>
      <c r="B156" s="1" t="n">
        <v>44525.70237268518</v>
      </c>
      <c r="C156" s="1" t="n">
        <v>45883</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43492-2023</t>
        </is>
      </c>
      <c r="B157" s="1" t="n">
        <v>45181</v>
      </c>
      <c r="C157" s="1" t="n">
        <v>45883</v>
      </c>
      <c r="D157" t="inlineStr">
        <is>
          <t>UPPSALA LÄN</t>
        </is>
      </c>
      <c r="E157" t="inlineStr">
        <is>
          <t>ENKÖPING</t>
        </is>
      </c>
      <c r="G157" t="n">
        <v>1.6</v>
      </c>
      <c r="H157" t="n">
        <v>0</v>
      </c>
      <c r="I157" t="n">
        <v>0</v>
      </c>
      <c r="J157" t="n">
        <v>0</v>
      </c>
      <c r="K157" t="n">
        <v>0</v>
      </c>
      <c r="L157" t="n">
        <v>0</v>
      </c>
      <c r="M157" t="n">
        <v>0</v>
      </c>
      <c r="N157" t="n">
        <v>0</v>
      </c>
      <c r="O157" t="n">
        <v>0</v>
      </c>
      <c r="P157" t="n">
        <v>0</v>
      </c>
      <c r="Q157" t="n">
        <v>0</v>
      </c>
      <c r="R157" s="2" t="inlineStr"/>
    </row>
    <row r="158" ht="15" customHeight="1">
      <c r="A158" t="inlineStr">
        <is>
          <t>A 46593-2020</t>
        </is>
      </c>
      <c r="B158" s="1" t="n">
        <v>44095</v>
      </c>
      <c r="C158" s="1" t="n">
        <v>45883</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1536-2024</t>
        </is>
      </c>
      <c r="B159" s="1" t="n">
        <v>45306</v>
      </c>
      <c r="C159" s="1" t="n">
        <v>45883</v>
      </c>
      <c r="D159" t="inlineStr">
        <is>
          <t>UPPSALA LÄN</t>
        </is>
      </c>
      <c r="E159" t="inlineStr">
        <is>
          <t>ENKÖPING</t>
        </is>
      </c>
      <c r="F159" t="inlineStr">
        <is>
          <t>Kyrkan</t>
        </is>
      </c>
      <c r="G159" t="n">
        <v>5.6</v>
      </c>
      <c r="H159" t="n">
        <v>0</v>
      </c>
      <c r="I159" t="n">
        <v>0</v>
      </c>
      <c r="J159" t="n">
        <v>0</v>
      </c>
      <c r="K159" t="n">
        <v>0</v>
      </c>
      <c r="L159" t="n">
        <v>0</v>
      </c>
      <c r="M159" t="n">
        <v>0</v>
      </c>
      <c r="N159" t="n">
        <v>0</v>
      </c>
      <c r="O159" t="n">
        <v>0</v>
      </c>
      <c r="P159" t="n">
        <v>0</v>
      </c>
      <c r="Q159" t="n">
        <v>0</v>
      </c>
      <c r="R159" s="2" t="inlineStr"/>
    </row>
    <row r="160" ht="15" customHeight="1">
      <c r="A160" t="inlineStr">
        <is>
          <t>A 12958-2024</t>
        </is>
      </c>
      <c r="B160" s="1" t="n">
        <v>45385</v>
      </c>
      <c r="C160" s="1" t="n">
        <v>45883</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49625-2024</t>
        </is>
      </c>
      <c r="B161" s="1" t="n">
        <v>45596.5891087963</v>
      </c>
      <c r="C161" s="1" t="n">
        <v>45883</v>
      </c>
      <c r="D161" t="inlineStr">
        <is>
          <t>UPPSALA LÄN</t>
        </is>
      </c>
      <c r="E161" t="inlineStr">
        <is>
          <t>ENKÖPING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2974-2025</t>
        </is>
      </c>
      <c r="B162" s="1" t="n">
        <v>45678.47168981482</v>
      </c>
      <c r="C162" s="1" t="n">
        <v>45883</v>
      </c>
      <c r="D162" t="inlineStr">
        <is>
          <t>UPPSALA LÄN</t>
        </is>
      </c>
      <c r="E162" t="inlineStr">
        <is>
          <t>ENKÖPING</t>
        </is>
      </c>
      <c r="G162" t="n">
        <v>1.6</v>
      </c>
      <c r="H162" t="n">
        <v>0</v>
      </c>
      <c r="I162" t="n">
        <v>0</v>
      </c>
      <c r="J162" t="n">
        <v>0</v>
      </c>
      <c r="K162" t="n">
        <v>0</v>
      </c>
      <c r="L162" t="n">
        <v>0</v>
      </c>
      <c r="M162" t="n">
        <v>0</v>
      </c>
      <c r="N162" t="n">
        <v>0</v>
      </c>
      <c r="O162" t="n">
        <v>0</v>
      </c>
      <c r="P162" t="n">
        <v>0</v>
      </c>
      <c r="Q162" t="n">
        <v>0</v>
      </c>
      <c r="R162" s="2" t="inlineStr"/>
    </row>
    <row r="163" ht="15" customHeight="1">
      <c r="A163" t="inlineStr">
        <is>
          <t>A 16916-2023</t>
        </is>
      </c>
      <c r="B163" s="1" t="n">
        <v>45033.58347222222</v>
      </c>
      <c r="C163" s="1" t="n">
        <v>45883</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18592-2021</t>
        </is>
      </c>
      <c r="B164" s="1" t="n">
        <v>44306</v>
      </c>
      <c r="C164" s="1" t="n">
        <v>45883</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11918-2025</t>
        </is>
      </c>
      <c r="B165" s="1" t="n">
        <v>45728.49331018519</v>
      </c>
      <c r="C165" s="1" t="n">
        <v>45883</v>
      </c>
      <c r="D165" t="inlineStr">
        <is>
          <t>UPPSALA LÄN</t>
        </is>
      </c>
      <c r="E165" t="inlineStr">
        <is>
          <t>ENKÖPING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16920-2023</t>
        </is>
      </c>
      <c r="B166" s="1" t="n">
        <v>45033.59030092593</v>
      </c>
      <c r="C166" s="1" t="n">
        <v>45883</v>
      </c>
      <c r="D166" t="inlineStr">
        <is>
          <t>UPPSALA LÄN</t>
        </is>
      </c>
      <c r="E166" t="inlineStr">
        <is>
          <t>ENKÖPING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40812-2022</t>
        </is>
      </c>
      <c r="B167" s="1" t="n">
        <v>44824.68791666667</v>
      </c>
      <c r="C167" s="1" t="n">
        <v>45883</v>
      </c>
      <c r="D167" t="inlineStr">
        <is>
          <t>UPPSALA LÄN</t>
        </is>
      </c>
      <c r="E167" t="inlineStr">
        <is>
          <t>ENKÖPING</t>
        </is>
      </c>
      <c r="G167" t="n">
        <v>1.4</v>
      </c>
      <c r="H167" t="n">
        <v>0</v>
      </c>
      <c r="I167" t="n">
        <v>0</v>
      </c>
      <c r="J167" t="n">
        <v>0</v>
      </c>
      <c r="K167" t="n">
        <v>0</v>
      </c>
      <c r="L167" t="n">
        <v>0</v>
      </c>
      <c r="M167" t="n">
        <v>0</v>
      </c>
      <c r="N167" t="n">
        <v>0</v>
      </c>
      <c r="O167" t="n">
        <v>0</v>
      </c>
      <c r="P167" t="n">
        <v>0</v>
      </c>
      <c r="Q167" t="n">
        <v>0</v>
      </c>
      <c r="R167" s="2" t="inlineStr"/>
    </row>
    <row r="168" ht="15" customHeight="1">
      <c r="A168" t="inlineStr">
        <is>
          <t>A 24291-2024</t>
        </is>
      </c>
      <c r="B168" s="1" t="n">
        <v>45457.4584837963</v>
      </c>
      <c r="C168" s="1" t="n">
        <v>45883</v>
      </c>
      <c r="D168" t="inlineStr">
        <is>
          <t>UPPSALA LÄN</t>
        </is>
      </c>
      <c r="E168" t="inlineStr">
        <is>
          <t>ENKÖPING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21017-2023</t>
        </is>
      </c>
      <c r="B169" s="1" t="n">
        <v>45061</v>
      </c>
      <c r="C169" s="1" t="n">
        <v>45883</v>
      </c>
      <c r="D169" t="inlineStr">
        <is>
          <t>UPPSALA LÄN</t>
        </is>
      </c>
      <c r="E169" t="inlineStr">
        <is>
          <t>ENKÖPING</t>
        </is>
      </c>
      <c r="G169" t="n">
        <v>4.8</v>
      </c>
      <c r="H169" t="n">
        <v>0</v>
      </c>
      <c r="I169" t="n">
        <v>0</v>
      </c>
      <c r="J169" t="n">
        <v>0</v>
      </c>
      <c r="K169" t="n">
        <v>0</v>
      </c>
      <c r="L169" t="n">
        <v>0</v>
      </c>
      <c r="M169" t="n">
        <v>0</v>
      </c>
      <c r="N169" t="n">
        <v>0</v>
      </c>
      <c r="O169" t="n">
        <v>0</v>
      </c>
      <c r="P169" t="n">
        <v>0</v>
      </c>
      <c r="Q169" t="n">
        <v>0</v>
      </c>
      <c r="R169" s="2" t="inlineStr"/>
    </row>
    <row r="170" ht="15" customHeight="1">
      <c r="A170" t="inlineStr">
        <is>
          <t>A 52169-2020</t>
        </is>
      </c>
      <c r="B170" s="1" t="n">
        <v>44117</v>
      </c>
      <c r="C170" s="1" t="n">
        <v>45883</v>
      </c>
      <c r="D170" t="inlineStr">
        <is>
          <t>UPPSALA LÄN</t>
        </is>
      </c>
      <c r="E170" t="inlineStr">
        <is>
          <t>ENKÖPING</t>
        </is>
      </c>
      <c r="F170" t="inlineStr">
        <is>
          <t>Allmännings- och besparingsskogar</t>
        </is>
      </c>
      <c r="G170" t="n">
        <v>1.5</v>
      </c>
      <c r="H170" t="n">
        <v>0</v>
      </c>
      <c r="I170" t="n">
        <v>0</v>
      </c>
      <c r="J170" t="n">
        <v>0</v>
      </c>
      <c r="K170" t="n">
        <v>0</v>
      </c>
      <c r="L170" t="n">
        <v>0</v>
      </c>
      <c r="M170" t="n">
        <v>0</v>
      </c>
      <c r="N170" t="n">
        <v>0</v>
      </c>
      <c r="O170" t="n">
        <v>0</v>
      </c>
      <c r="P170" t="n">
        <v>0</v>
      </c>
      <c r="Q170" t="n">
        <v>0</v>
      </c>
      <c r="R170" s="2" t="inlineStr"/>
    </row>
    <row r="171" ht="15" customHeight="1">
      <c r="A171" t="inlineStr">
        <is>
          <t>A 44232-2022</t>
        </is>
      </c>
      <c r="B171" s="1" t="n">
        <v>44839</v>
      </c>
      <c r="C171" s="1" t="n">
        <v>45883</v>
      </c>
      <c r="D171" t="inlineStr">
        <is>
          <t>UPPSALA LÄN</t>
        </is>
      </c>
      <c r="E171" t="inlineStr">
        <is>
          <t>ENKÖPING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47428-2023</t>
        </is>
      </c>
      <c r="B172" s="1" t="n">
        <v>45202.66664351852</v>
      </c>
      <c r="C172" s="1" t="n">
        <v>45883</v>
      </c>
      <c r="D172" t="inlineStr">
        <is>
          <t>UPPSALA LÄN</t>
        </is>
      </c>
      <c r="E172" t="inlineStr">
        <is>
          <t>ENKÖPING</t>
        </is>
      </c>
      <c r="G172" t="n">
        <v>3</v>
      </c>
      <c r="H172" t="n">
        <v>0</v>
      </c>
      <c r="I172" t="n">
        <v>0</v>
      </c>
      <c r="J172" t="n">
        <v>0</v>
      </c>
      <c r="K172" t="n">
        <v>0</v>
      </c>
      <c r="L172" t="n">
        <v>0</v>
      </c>
      <c r="M172" t="n">
        <v>0</v>
      </c>
      <c r="N172" t="n">
        <v>0</v>
      </c>
      <c r="O172" t="n">
        <v>0</v>
      </c>
      <c r="P172" t="n">
        <v>0</v>
      </c>
      <c r="Q172" t="n">
        <v>0</v>
      </c>
      <c r="R172" s="2" t="inlineStr"/>
    </row>
    <row r="173" ht="15" customHeight="1">
      <c r="A173" t="inlineStr">
        <is>
          <t>A 43896-2022</t>
        </is>
      </c>
      <c r="B173" s="1" t="n">
        <v>44838</v>
      </c>
      <c r="C173" s="1" t="n">
        <v>45883</v>
      </c>
      <c r="D173" t="inlineStr">
        <is>
          <t>UPPSALA LÄN</t>
        </is>
      </c>
      <c r="E173" t="inlineStr">
        <is>
          <t>ENKÖPING</t>
        </is>
      </c>
      <c r="G173" t="n">
        <v>5.3</v>
      </c>
      <c r="H173" t="n">
        <v>0</v>
      </c>
      <c r="I173" t="n">
        <v>0</v>
      </c>
      <c r="J173" t="n">
        <v>0</v>
      </c>
      <c r="K173" t="n">
        <v>0</v>
      </c>
      <c r="L173" t="n">
        <v>0</v>
      </c>
      <c r="M173" t="n">
        <v>0</v>
      </c>
      <c r="N173" t="n">
        <v>0</v>
      </c>
      <c r="O173" t="n">
        <v>0</v>
      </c>
      <c r="P173" t="n">
        <v>0</v>
      </c>
      <c r="Q173" t="n">
        <v>0</v>
      </c>
      <c r="R173" s="2" t="inlineStr"/>
    </row>
    <row r="174" ht="15" customHeight="1">
      <c r="A174" t="inlineStr">
        <is>
          <t>A 17038-2025</t>
        </is>
      </c>
      <c r="B174" s="1" t="n">
        <v>45755.57776620371</v>
      </c>
      <c r="C174" s="1" t="n">
        <v>45883</v>
      </c>
      <c r="D174" t="inlineStr">
        <is>
          <t>UPPSALA LÄN</t>
        </is>
      </c>
      <c r="E174" t="inlineStr">
        <is>
          <t>ENKÖPING</t>
        </is>
      </c>
      <c r="G174" t="n">
        <v>4.8</v>
      </c>
      <c r="H174" t="n">
        <v>0</v>
      </c>
      <c r="I174" t="n">
        <v>0</v>
      </c>
      <c r="J174" t="n">
        <v>0</v>
      </c>
      <c r="K174" t="n">
        <v>0</v>
      </c>
      <c r="L174" t="n">
        <v>0</v>
      </c>
      <c r="M174" t="n">
        <v>0</v>
      </c>
      <c r="N174" t="n">
        <v>0</v>
      </c>
      <c r="O174" t="n">
        <v>0</v>
      </c>
      <c r="P174" t="n">
        <v>0</v>
      </c>
      <c r="Q174" t="n">
        <v>0</v>
      </c>
      <c r="R174" s="2" t="inlineStr"/>
    </row>
    <row r="175" ht="15" customHeight="1">
      <c r="A175" t="inlineStr">
        <is>
          <t>A 20440-2025</t>
        </is>
      </c>
      <c r="B175" s="1" t="n">
        <v>45775</v>
      </c>
      <c r="C175" s="1" t="n">
        <v>45883</v>
      </c>
      <c r="D175" t="inlineStr">
        <is>
          <t>UPPSALA LÄN</t>
        </is>
      </c>
      <c r="E175" t="inlineStr">
        <is>
          <t>ENKÖPING</t>
        </is>
      </c>
      <c r="G175" t="n">
        <v>1.6</v>
      </c>
      <c r="H175" t="n">
        <v>0</v>
      </c>
      <c r="I175" t="n">
        <v>0</v>
      </c>
      <c r="J175" t="n">
        <v>0</v>
      </c>
      <c r="K175" t="n">
        <v>0</v>
      </c>
      <c r="L175" t="n">
        <v>0</v>
      </c>
      <c r="M175" t="n">
        <v>0</v>
      </c>
      <c r="N175" t="n">
        <v>0</v>
      </c>
      <c r="O175" t="n">
        <v>0</v>
      </c>
      <c r="P175" t="n">
        <v>0</v>
      </c>
      <c r="Q175" t="n">
        <v>0</v>
      </c>
      <c r="R175" s="2" t="inlineStr"/>
    </row>
    <row r="176" ht="15" customHeight="1">
      <c r="A176" t="inlineStr">
        <is>
          <t>A 18038-2025</t>
        </is>
      </c>
      <c r="B176" s="1" t="n">
        <v>45761</v>
      </c>
      <c r="C176" s="1" t="n">
        <v>45883</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52388-2024</t>
        </is>
      </c>
      <c r="B177" s="1" t="n">
        <v>45609.42939814815</v>
      </c>
      <c r="C177" s="1" t="n">
        <v>45883</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45362-2022</t>
        </is>
      </c>
      <c r="B178" s="1" t="n">
        <v>44844.62366898148</v>
      </c>
      <c r="C178" s="1" t="n">
        <v>45883</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56526-2022</t>
        </is>
      </c>
      <c r="B179" s="1" t="n">
        <v>44893</v>
      </c>
      <c r="C179" s="1" t="n">
        <v>45883</v>
      </c>
      <c r="D179" t="inlineStr">
        <is>
          <t>UPPSALA LÄN</t>
        </is>
      </c>
      <c r="E179" t="inlineStr">
        <is>
          <t>ENKÖPING</t>
        </is>
      </c>
      <c r="G179" t="n">
        <v>3.8</v>
      </c>
      <c r="H179" t="n">
        <v>0</v>
      </c>
      <c r="I179" t="n">
        <v>0</v>
      </c>
      <c r="J179" t="n">
        <v>0</v>
      </c>
      <c r="K179" t="n">
        <v>0</v>
      </c>
      <c r="L179" t="n">
        <v>0</v>
      </c>
      <c r="M179" t="n">
        <v>0</v>
      </c>
      <c r="N179" t="n">
        <v>0</v>
      </c>
      <c r="O179" t="n">
        <v>0</v>
      </c>
      <c r="P179" t="n">
        <v>0</v>
      </c>
      <c r="Q179" t="n">
        <v>0</v>
      </c>
      <c r="R179" s="2" t="inlineStr"/>
    </row>
    <row r="180" ht="15" customHeight="1">
      <c r="A180" t="inlineStr">
        <is>
          <t>A 60350-2022</t>
        </is>
      </c>
      <c r="B180" s="1" t="n">
        <v>44910</v>
      </c>
      <c r="C180" s="1" t="n">
        <v>45883</v>
      </c>
      <c r="D180" t="inlineStr">
        <is>
          <t>UPPSALA LÄN</t>
        </is>
      </c>
      <c r="E180" t="inlineStr">
        <is>
          <t>ENKÖPING</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28518-2024</t>
        </is>
      </c>
      <c r="B181" s="1" t="n">
        <v>45477</v>
      </c>
      <c r="C181" s="1" t="n">
        <v>45883</v>
      </c>
      <c r="D181" t="inlineStr">
        <is>
          <t>UPPSALA LÄN</t>
        </is>
      </c>
      <c r="E181" t="inlineStr">
        <is>
          <t>ENKÖPING</t>
        </is>
      </c>
      <c r="G181" t="n">
        <v>3.4</v>
      </c>
      <c r="H181" t="n">
        <v>0</v>
      </c>
      <c r="I181" t="n">
        <v>0</v>
      </c>
      <c r="J181" t="n">
        <v>0</v>
      </c>
      <c r="K181" t="n">
        <v>0</v>
      </c>
      <c r="L181" t="n">
        <v>0</v>
      </c>
      <c r="M181" t="n">
        <v>0</v>
      </c>
      <c r="N181" t="n">
        <v>0</v>
      </c>
      <c r="O181" t="n">
        <v>0</v>
      </c>
      <c r="P181" t="n">
        <v>0</v>
      </c>
      <c r="Q181" t="n">
        <v>0</v>
      </c>
      <c r="R181" s="2" t="inlineStr"/>
    </row>
    <row r="182" ht="15" customHeight="1">
      <c r="A182" t="inlineStr">
        <is>
          <t>A 12434-2021</t>
        </is>
      </c>
      <c r="B182" s="1" t="n">
        <v>44267</v>
      </c>
      <c r="C182" s="1" t="n">
        <v>45883</v>
      </c>
      <c r="D182" t="inlineStr">
        <is>
          <t>UPPSALA LÄN</t>
        </is>
      </c>
      <c r="E182" t="inlineStr">
        <is>
          <t>ENKÖPING</t>
        </is>
      </c>
      <c r="G182" t="n">
        <v>5.3</v>
      </c>
      <c r="H182" t="n">
        <v>0</v>
      </c>
      <c r="I182" t="n">
        <v>0</v>
      </c>
      <c r="J182" t="n">
        <v>0</v>
      </c>
      <c r="K182" t="n">
        <v>0</v>
      </c>
      <c r="L182" t="n">
        <v>0</v>
      </c>
      <c r="M182" t="n">
        <v>0</v>
      </c>
      <c r="N182" t="n">
        <v>0</v>
      </c>
      <c r="O182" t="n">
        <v>0</v>
      </c>
      <c r="P182" t="n">
        <v>0</v>
      </c>
      <c r="Q182" t="n">
        <v>0</v>
      </c>
      <c r="R182" s="2" t="inlineStr"/>
    </row>
    <row r="183" ht="15" customHeight="1">
      <c r="A183" t="inlineStr">
        <is>
          <t>A 41737-2022</t>
        </is>
      </c>
      <c r="B183" s="1" t="n">
        <v>44827.63826388889</v>
      </c>
      <c r="C183" s="1" t="n">
        <v>45883</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54595-2021</t>
        </is>
      </c>
      <c r="B184" s="1" t="n">
        <v>44473.58824074074</v>
      </c>
      <c r="C184" s="1" t="n">
        <v>45883</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22094-2023</t>
        </is>
      </c>
      <c r="B185" s="1" t="n">
        <v>45069</v>
      </c>
      <c r="C185" s="1" t="n">
        <v>45883</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1992-2022</t>
        </is>
      </c>
      <c r="B186" s="1" t="n">
        <v>44575.56153935185</v>
      </c>
      <c r="C186" s="1" t="n">
        <v>45883</v>
      </c>
      <c r="D186" t="inlineStr">
        <is>
          <t>UPPSALA LÄN</t>
        </is>
      </c>
      <c r="E186" t="inlineStr">
        <is>
          <t>ENKÖPING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6626-2023</t>
        </is>
      </c>
      <c r="B187" s="1" t="n">
        <v>44966.55946759259</v>
      </c>
      <c r="C187" s="1" t="n">
        <v>45883</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30098-2024</t>
        </is>
      </c>
      <c r="B188" s="1" t="n">
        <v>45489.41609953704</v>
      </c>
      <c r="C188" s="1" t="n">
        <v>45883</v>
      </c>
      <c r="D188" t="inlineStr">
        <is>
          <t>UPPSALA LÄN</t>
        </is>
      </c>
      <c r="E188" t="inlineStr">
        <is>
          <t>ENKÖPING</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35647-2021</t>
        </is>
      </c>
      <c r="B189" s="1" t="n">
        <v>44386</v>
      </c>
      <c r="C189" s="1" t="n">
        <v>45883</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27837-2025</t>
        </is>
      </c>
      <c r="B190" s="1" t="n">
        <v>45817.37207175926</v>
      </c>
      <c r="C190" s="1" t="n">
        <v>45883</v>
      </c>
      <c r="D190" t="inlineStr">
        <is>
          <t>UPPSALA LÄN</t>
        </is>
      </c>
      <c r="E190" t="inlineStr">
        <is>
          <t>ENKÖPING</t>
        </is>
      </c>
      <c r="G190" t="n">
        <v>7.3</v>
      </c>
      <c r="H190" t="n">
        <v>0</v>
      </c>
      <c r="I190" t="n">
        <v>0</v>
      </c>
      <c r="J190" t="n">
        <v>0</v>
      </c>
      <c r="K190" t="n">
        <v>0</v>
      </c>
      <c r="L190" t="n">
        <v>0</v>
      </c>
      <c r="M190" t="n">
        <v>0</v>
      </c>
      <c r="N190" t="n">
        <v>0</v>
      </c>
      <c r="O190" t="n">
        <v>0</v>
      </c>
      <c r="P190" t="n">
        <v>0</v>
      </c>
      <c r="Q190" t="n">
        <v>0</v>
      </c>
      <c r="R190" s="2" t="inlineStr"/>
    </row>
    <row r="191" ht="15" customHeight="1">
      <c r="A191" t="inlineStr">
        <is>
          <t>A 1651-2024</t>
        </is>
      </c>
      <c r="B191" s="1" t="n">
        <v>45306.73770833333</v>
      </c>
      <c r="C191" s="1" t="n">
        <v>45883</v>
      </c>
      <c r="D191" t="inlineStr">
        <is>
          <t>UPPSALA LÄN</t>
        </is>
      </c>
      <c r="E191" t="inlineStr">
        <is>
          <t>ENKÖPING</t>
        </is>
      </c>
      <c r="G191" t="n">
        <v>10.2</v>
      </c>
      <c r="H191" t="n">
        <v>0</v>
      </c>
      <c r="I191" t="n">
        <v>0</v>
      </c>
      <c r="J191" t="n">
        <v>0</v>
      </c>
      <c r="K191" t="n">
        <v>0</v>
      </c>
      <c r="L191" t="n">
        <v>0</v>
      </c>
      <c r="M191" t="n">
        <v>0</v>
      </c>
      <c r="N191" t="n">
        <v>0</v>
      </c>
      <c r="O191" t="n">
        <v>0</v>
      </c>
      <c r="P191" t="n">
        <v>0</v>
      </c>
      <c r="Q191" t="n">
        <v>0</v>
      </c>
      <c r="R191" s="2" t="inlineStr"/>
    </row>
    <row r="192" ht="15" customHeight="1">
      <c r="A192" t="inlineStr">
        <is>
          <t>A 60289-2022</t>
        </is>
      </c>
      <c r="B192" s="1" t="n">
        <v>44910.53026620371</v>
      </c>
      <c r="C192" s="1" t="n">
        <v>45883</v>
      </c>
      <c r="D192" t="inlineStr">
        <is>
          <t>UPPSALA LÄN</t>
        </is>
      </c>
      <c r="E192" t="inlineStr">
        <is>
          <t>ENKÖPING</t>
        </is>
      </c>
      <c r="G192" t="n">
        <v>3.2</v>
      </c>
      <c r="H192" t="n">
        <v>0</v>
      </c>
      <c r="I192" t="n">
        <v>0</v>
      </c>
      <c r="J192" t="n">
        <v>0</v>
      </c>
      <c r="K192" t="n">
        <v>0</v>
      </c>
      <c r="L192" t="n">
        <v>0</v>
      </c>
      <c r="M192" t="n">
        <v>0</v>
      </c>
      <c r="N192" t="n">
        <v>0</v>
      </c>
      <c r="O192" t="n">
        <v>0</v>
      </c>
      <c r="P192" t="n">
        <v>0</v>
      </c>
      <c r="Q192" t="n">
        <v>0</v>
      </c>
      <c r="R192" s="2" t="inlineStr"/>
    </row>
    <row r="193" ht="15" customHeight="1">
      <c r="A193" t="inlineStr">
        <is>
          <t>A 24962-2023</t>
        </is>
      </c>
      <c r="B193" s="1" t="n">
        <v>45085.60123842592</v>
      </c>
      <c r="C193" s="1" t="n">
        <v>45883</v>
      </c>
      <c r="D193" t="inlineStr">
        <is>
          <t>UPPSALA LÄN</t>
        </is>
      </c>
      <c r="E193" t="inlineStr">
        <is>
          <t>ENKÖPING</t>
        </is>
      </c>
      <c r="G193" t="n">
        <v>2.8</v>
      </c>
      <c r="H193" t="n">
        <v>0</v>
      </c>
      <c r="I193" t="n">
        <v>0</v>
      </c>
      <c r="J193" t="n">
        <v>0</v>
      </c>
      <c r="K193" t="n">
        <v>0</v>
      </c>
      <c r="L193" t="n">
        <v>0</v>
      </c>
      <c r="M193" t="n">
        <v>0</v>
      </c>
      <c r="N193" t="n">
        <v>0</v>
      </c>
      <c r="O193" t="n">
        <v>0</v>
      </c>
      <c r="P193" t="n">
        <v>0</v>
      </c>
      <c r="Q193" t="n">
        <v>0</v>
      </c>
      <c r="R193" s="2" t="inlineStr"/>
    </row>
    <row r="194" ht="15" customHeight="1">
      <c r="A194" t="inlineStr">
        <is>
          <t>A 48843-2023</t>
        </is>
      </c>
      <c r="B194" s="1" t="n">
        <v>45209</v>
      </c>
      <c r="C194" s="1" t="n">
        <v>45883</v>
      </c>
      <c r="D194" t="inlineStr">
        <is>
          <t>UPPSALA LÄN</t>
        </is>
      </c>
      <c r="E194" t="inlineStr">
        <is>
          <t>ENKÖPING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44131-2023</t>
        </is>
      </c>
      <c r="B195" s="1" t="n">
        <v>45188</v>
      </c>
      <c r="C195" s="1" t="n">
        <v>45883</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29482-2022</t>
        </is>
      </c>
      <c r="B196" s="1" t="n">
        <v>44753.57703703704</v>
      </c>
      <c r="C196" s="1" t="n">
        <v>45883</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29483-2022</t>
        </is>
      </c>
      <c r="B197" s="1" t="n">
        <v>44753.57829861111</v>
      </c>
      <c r="C197" s="1" t="n">
        <v>45883</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37170-2021</t>
        </is>
      </c>
      <c r="B198" s="1" t="n">
        <v>44395</v>
      </c>
      <c r="C198" s="1" t="n">
        <v>45883</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57940-2022</t>
        </is>
      </c>
      <c r="B199" s="1" t="n">
        <v>44900</v>
      </c>
      <c r="C199" s="1" t="n">
        <v>45883</v>
      </c>
      <c r="D199" t="inlineStr">
        <is>
          <t>UPPSALA LÄN</t>
        </is>
      </c>
      <c r="E199" t="inlineStr">
        <is>
          <t>ENKÖPING</t>
        </is>
      </c>
      <c r="G199" t="n">
        <v>1.9</v>
      </c>
      <c r="H199" t="n">
        <v>0</v>
      </c>
      <c r="I199" t="n">
        <v>0</v>
      </c>
      <c r="J199" t="n">
        <v>0</v>
      </c>
      <c r="K199" t="n">
        <v>0</v>
      </c>
      <c r="L199" t="n">
        <v>0</v>
      </c>
      <c r="M199" t="n">
        <v>0</v>
      </c>
      <c r="N199" t="n">
        <v>0</v>
      </c>
      <c r="O199" t="n">
        <v>0</v>
      </c>
      <c r="P199" t="n">
        <v>0</v>
      </c>
      <c r="Q199" t="n">
        <v>0</v>
      </c>
      <c r="R199" s="2" t="inlineStr"/>
    </row>
    <row r="200" ht="15" customHeight="1">
      <c r="A200" t="inlineStr">
        <is>
          <t>A 53343-2020</t>
        </is>
      </c>
      <c r="B200" s="1" t="n">
        <v>44123.53505787037</v>
      </c>
      <c r="C200" s="1" t="n">
        <v>45883</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35079-2024</t>
        </is>
      </c>
      <c r="B201" s="1" t="n">
        <v>45527.66770833333</v>
      </c>
      <c r="C201" s="1" t="n">
        <v>45883</v>
      </c>
      <c r="D201" t="inlineStr">
        <is>
          <t>UPPSALA LÄN</t>
        </is>
      </c>
      <c r="E201" t="inlineStr">
        <is>
          <t>ENKÖPING</t>
        </is>
      </c>
      <c r="G201" t="n">
        <v>0.5</v>
      </c>
      <c r="H201" t="n">
        <v>0</v>
      </c>
      <c r="I201" t="n">
        <v>0</v>
      </c>
      <c r="J201" t="n">
        <v>0</v>
      </c>
      <c r="K201" t="n">
        <v>0</v>
      </c>
      <c r="L201" t="n">
        <v>0</v>
      </c>
      <c r="M201" t="n">
        <v>0</v>
      </c>
      <c r="N201" t="n">
        <v>0</v>
      </c>
      <c r="O201" t="n">
        <v>0</v>
      </c>
      <c r="P201" t="n">
        <v>0</v>
      </c>
      <c r="Q201" t="n">
        <v>0</v>
      </c>
      <c r="R201" s="2" t="inlineStr"/>
    </row>
    <row r="202" ht="15" customHeight="1">
      <c r="A202" t="inlineStr">
        <is>
          <t>A 53595-2023</t>
        </is>
      </c>
      <c r="B202" s="1" t="n">
        <v>45223</v>
      </c>
      <c r="C202" s="1" t="n">
        <v>45883</v>
      </c>
      <c r="D202" t="inlineStr">
        <is>
          <t>UPPSALA LÄN</t>
        </is>
      </c>
      <c r="E202" t="inlineStr">
        <is>
          <t>ENKÖPING</t>
        </is>
      </c>
      <c r="G202" t="n">
        <v>2.6</v>
      </c>
      <c r="H202" t="n">
        <v>0</v>
      </c>
      <c r="I202" t="n">
        <v>0</v>
      </c>
      <c r="J202" t="n">
        <v>0</v>
      </c>
      <c r="K202" t="n">
        <v>0</v>
      </c>
      <c r="L202" t="n">
        <v>0</v>
      </c>
      <c r="M202" t="n">
        <v>0</v>
      </c>
      <c r="N202" t="n">
        <v>0</v>
      </c>
      <c r="O202" t="n">
        <v>0</v>
      </c>
      <c r="P202" t="n">
        <v>0</v>
      </c>
      <c r="Q202" t="n">
        <v>0</v>
      </c>
      <c r="R202" s="2" t="inlineStr"/>
    </row>
    <row r="203" ht="15" customHeight="1">
      <c r="A203" t="inlineStr">
        <is>
          <t>A 53496-2022</t>
        </is>
      </c>
      <c r="B203" s="1" t="n">
        <v>44879.57217592592</v>
      </c>
      <c r="C203" s="1" t="n">
        <v>45883</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7870-2024</t>
        </is>
      </c>
      <c r="B204" s="1" t="n">
        <v>45350.33349537037</v>
      </c>
      <c r="C204" s="1" t="n">
        <v>45883</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28243-2023</t>
        </is>
      </c>
      <c r="B205" s="1" t="n">
        <v>45099.58885416666</v>
      </c>
      <c r="C205" s="1" t="n">
        <v>45883</v>
      </c>
      <c r="D205" t="inlineStr">
        <is>
          <t>UPPSALA LÄN</t>
        </is>
      </c>
      <c r="E205" t="inlineStr">
        <is>
          <t>ENKÖPING</t>
        </is>
      </c>
      <c r="G205" t="n">
        <v>1.9</v>
      </c>
      <c r="H205" t="n">
        <v>0</v>
      </c>
      <c r="I205" t="n">
        <v>0</v>
      </c>
      <c r="J205" t="n">
        <v>0</v>
      </c>
      <c r="K205" t="n">
        <v>0</v>
      </c>
      <c r="L205" t="n">
        <v>0</v>
      </c>
      <c r="M205" t="n">
        <v>0</v>
      </c>
      <c r="N205" t="n">
        <v>0</v>
      </c>
      <c r="O205" t="n">
        <v>0</v>
      </c>
      <c r="P205" t="n">
        <v>0</v>
      </c>
      <c r="Q205" t="n">
        <v>0</v>
      </c>
      <c r="R205" s="2" t="inlineStr"/>
    </row>
    <row r="206" ht="15" customHeight="1">
      <c r="A206" t="inlineStr">
        <is>
          <t>A 10829-2024</t>
        </is>
      </c>
      <c r="B206" s="1" t="n">
        <v>45369</v>
      </c>
      <c r="C206" s="1" t="n">
        <v>45883</v>
      </c>
      <c r="D206" t="inlineStr">
        <is>
          <t>UPPSALA LÄN</t>
        </is>
      </c>
      <c r="E206" t="inlineStr">
        <is>
          <t>ENKÖPING</t>
        </is>
      </c>
      <c r="G206" t="n">
        <v>2.1</v>
      </c>
      <c r="H206" t="n">
        <v>0</v>
      </c>
      <c r="I206" t="n">
        <v>0</v>
      </c>
      <c r="J206" t="n">
        <v>0</v>
      </c>
      <c r="K206" t="n">
        <v>0</v>
      </c>
      <c r="L206" t="n">
        <v>0</v>
      </c>
      <c r="M206" t="n">
        <v>0</v>
      </c>
      <c r="N206" t="n">
        <v>0</v>
      </c>
      <c r="O206" t="n">
        <v>0</v>
      </c>
      <c r="P206" t="n">
        <v>0</v>
      </c>
      <c r="Q206" t="n">
        <v>0</v>
      </c>
      <c r="R206" s="2" t="inlineStr"/>
    </row>
    <row r="207" ht="15" customHeight="1">
      <c r="A207" t="inlineStr">
        <is>
          <t>A 2161-2023</t>
        </is>
      </c>
      <c r="B207" s="1" t="n">
        <v>44941</v>
      </c>
      <c r="C207" s="1" t="n">
        <v>45883</v>
      </c>
      <c r="D207" t="inlineStr">
        <is>
          <t>UPPSALA LÄN</t>
        </is>
      </c>
      <c r="E207" t="inlineStr">
        <is>
          <t>ENKÖPING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2165-2023</t>
        </is>
      </c>
      <c r="B208" s="1" t="n">
        <v>44941</v>
      </c>
      <c r="C208" s="1" t="n">
        <v>45883</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31242-2024</t>
        </is>
      </c>
      <c r="B209" s="1" t="n">
        <v>45503</v>
      </c>
      <c r="C209" s="1" t="n">
        <v>45883</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8306-2021</t>
        </is>
      </c>
      <c r="B210" s="1" t="n">
        <v>44244</v>
      </c>
      <c r="C210" s="1" t="n">
        <v>45883</v>
      </c>
      <c r="D210" t="inlineStr">
        <is>
          <t>UPPSALA LÄN</t>
        </is>
      </c>
      <c r="E210" t="inlineStr">
        <is>
          <t>ENKÖPING</t>
        </is>
      </c>
      <c r="G210" t="n">
        <v>14.9</v>
      </c>
      <c r="H210" t="n">
        <v>0</v>
      </c>
      <c r="I210" t="n">
        <v>0</v>
      </c>
      <c r="J210" t="n">
        <v>0</v>
      </c>
      <c r="K210" t="n">
        <v>0</v>
      </c>
      <c r="L210" t="n">
        <v>0</v>
      </c>
      <c r="M210" t="n">
        <v>0</v>
      </c>
      <c r="N210" t="n">
        <v>0</v>
      </c>
      <c r="O210" t="n">
        <v>0</v>
      </c>
      <c r="P210" t="n">
        <v>0</v>
      </c>
      <c r="Q210" t="n">
        <v>0</v>
      </c>
      <c r="R210" s="2" t="inlineStr"/>
    </row>
    <row r="211" ht="15" customHeight="1">
      <c r="A211" t="inlineStr">
        <is>
          <t>A 2162-2023</t>
        </is>
      </c>
      <c r="B211" s="1" t="n">
        <v>44941</v>
      </c>
      <c r="C211" s="1" t="n">
        <v>45883</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56163-2021</t>
        </is>
      </c>
      <c r="B212" s="1" t="n">
        <v>44477</v>
      </c>
      <c r="C212" s="1" t="n">
        <v>45883</v>
      </c>
      <c r="D212" t="inlineStr">
        <is>
          <t>UPPSALA LÄN</t>
        </is>
      </c>
      <c r="E212" t="inlineStr">
        <is>
          <t>ENKÖPING</t>
        </is>
      </c>
      <c r="F212" t="inlineStr">
        <is>
          <t>Allmännings- och besparingsskogar</t>
        </is>
      </c>
      <c r="G212" t="n">
        <v>0.6</v>
      </c>
      <c r="H212" t="n">
        <v>0</v>
      </c>
      <c r="I212" t="n">
        <v>0</v>
      </c>
      <c r="J212" t="n">
        <v>0</v>
      </c>
      <c r="K212" t="n">
        <v>0</v>
      </c>
      <c r="L212" t="n">
        <v>0</v>
      </c>
      <c r="M212" t="n">
        <v>0</v>
      </c>
      <c r="N212" t="n">
        <v>0</v>
      </c>
      <c r="O212" t="n">
        <v>0</v>
      </c>
      <c r="P212" t="n">
        <v>0</v>
      </c>
      <c r="Q212" t="n">
        <v>0</v>
      </c>
      <c r="R212" s="2" t="inlineStr"/>
    </row>
    <row r="213" ht="15" customHeight="1">
      <c r="A213" t="inlineStr">
        <is>
          <t>A 60533-2021</t>
        </is>
      </c>
      <c r="B213" s="1" t="n">
        <v>44496</v>
      </c>
      <c r="C213" s="1" t="n">
        <v>45883</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15757-2023</t>
        </is>
      </c>
      <c r="B214" s="1" t="n">
        <v>45021</v>
      </c>
      <c r="C214" s="1" t="n">
        <v>45883</v>
      </c>
      <c r="D214" t="inlineStr">
        <is>
          <t>UPPSALA LÄN</t>
        </is>
      </c>
      <c r="E214" t="inlineStr">
        <is>
          <t>ENKÖPING</t>
        </is>
      </c>
      <c r="G214" t="n">
        <v>3</v>
      </c>
      <c r="H214" t="n">
        <v>0</v>
      </c>
      <c r="I214" t="n">
        <v>0</v>
      </c>
      <c r="J214" t="n">
        <v>0</v>
      </c>
      <c r="K214" t="n">
        <v>0</v>
      </c>
      <c r="L214" t="n">
        <v>0</v>
      </c>
      <c r="M214" t="n">
        <v>0</v>
      </c>
      <c r="N214" t="n">
        <v>0</v>
      </c>
      <c r="O214" t="n">
        <v>0</v>
      </c>
      <c r="P214" t="n">
        <v>0</v>
      </c>
      <c r="Q214" t="n">
        <v>0</v>
      </c>
      <c r="R214" s="2" t="inlineStr"/>
    </row>
    <row r="215" ht="15" customHeight="1">
      <c r="A215" t="inlineStr">
        <is>
          <t>A 43230-2023</t>
        </is>
      </c>
      <c r="B215" s="1" t="n">
        <v>45183</v>
      </c>
      <c r="C215" s="1" t="n">
        <v>45883</v>
      </c>
      <c r="D215" t="inlineStr">
        <is>
          <t>UPPSALA LÄN</t>
        </is>
      </c>
      <c r="E215" t="inlineStr">
        <is>
          <t>ENKÖPING</t>
        </is>
      </c>
      <c r="G215" t="n">
        <v>2.1</v>
      </c>
      <c r="H215" t="n">
        <v>0</v>
      </c>
      <c r="I215" t="n">
        <v>0</v>
      </c>
      <c r="J215" t="n">
        <v>0</v>
      </c>
      <c r="K215" t="n">
        <v>0</v>
      </c>
      <c r="L215" t="n">
        <v>0</v>
      </c>
      <c r="M215" t="n">
        <v>0</v>
      </c>
      <c r="N215" t="n">
        <v>0</v>
      </c>
      <c r="O215" t="n">
        <v>0</v>
      </c>
      <c r="P215" t="n">
        <v>0</v>
      </c>
      <c r="Q215" t="n">
        <v>0</v>
      </c>
      <c r="R215" s="2" t="inlineStr"/>
    </row>
    <row r="216" ht="15" customHeight="1">
      <c r="A216" t="inlineStr">
        <is>
          <t>A 28318-2024</t>
        </is>
      </c>
      <c r="B216" s="1" t="n">
        <v>45477</v>
      </c>
      <c r="C216" s="1" t="n">
        <v>45883</v>
      </c>
      <c r="D216" t="inlineStr">
        <is>
          <t>UPPSALA LÄN</t>
        </is>
      </c>
      <c r="E216" t="inlineStr">
        <is>
          <t>ENKÖPING</t>
        </is>
      </c>
      <c r="G216" t="n">
        <v>0.5</v>
      </c>
      <c r="H216" t="n">
        <v>0</v>
      </c>
      <c r="I216" t="n">
        <v>0</v>
      </c>
      <c r="J216" t="n">
        <v>0</v>
      </c>
      <c r="K216" t="n">
        <v>0</v>
      </c>
      <c r="L216" t="n">
        <v>0</v>
      </c>
      <c r="M216" t="n">
        <v>0</v>
      </c>
      <c r="N216" t="n">
        <v>0</v>
      </c>
      <c r="O216" t="n">
        <v>0</v>
      </c>
      <c r="P216" t="n">
        <v>0</v>
      </c>
      <c r="Q216" t="n">
        <v>0</v>
      </c>
      <c r="R216" s="2" t="inlineStr"/>
    </row>
    <row r="217" ht="15" customHeight="1">
      <c r="A217" t="inlineStr">
        <is>
          <t>A 56886-2023</t>
        </is>
      </c>
      <c r="B217" s="1" t="n">
        <v>45239</v>
      </c>
      <c r="C217" s="1" t="n">
        <v>45883</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51011-2024</t>
        </is>
      </c>
      <c r="B218" s="1" t="n">
        <v>45603.39427083333</v>
      </c>
      <c r="C218" s="1" t="n">
        <v>45883</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49622-2024</t>
        </is>
      </c>
      <c r="B219" s="1" t="n">
        <v>45596.58372685185</v>
      </c>
      <c r="C219" s="1" t="n">
        <v>45883</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45378-2020</t>
        </is>
      </c>
      <c r="B220" s="1" t="n">
        <v>44089</v>
      </c>
      <c r="C220" s="1" t="n">
        <v>45883</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17979-2025</t>
        </is>
      </c>
      <c r="B221" s="1" t="n">
        <v>45761</v>
      </c>
      <c r="C221" s="1" t="n">
        <v>45883</v>
      </c>
      <c r="D221" t="inlineStr">
        <is>
          <t>UPPSALA LÄN</t>
        </is>
      </c>
      <c r="E221" t="inlineStr">
        <is>
          <t>ENKÖPING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14402-2023</t>
        </is>
      </c>
      <c r="B222" s="1" t="n">
        <v>45012</v>
      </c>
      <c r="C222" s="1" t="n">
        <v>45883</v>
      </c>
      <c r="D222" t="inlineStr">
        <is>
          <t>UPPSALA LÄN</t>
        </is>
      </c>
      <c r="E222" t="inlineStr">
        <is>
          <t>ENKÖPING</t>
        </is>
      </c>
      <c r="G222" t="n">
        <v>9.5</v>
      </c>
      <c r="H222" t="n">
        <v>0</v>
      </c>
      <c r="I222" t="n">
        <v>0</v>
      </c>
      <c r="J222" t="n">
        <v>0</v>
      </c>
      <c r="K222" t="n">
        <v>0</v>
      </c>
      <c r="L222" t="n">
        <v>0</v>
      </c>
      <c r="M222" t="n">
        <v>0</v>
      </c>
      <c r="N222" t="n">
        <v>0</v>
      </c>
      <c r="O222" t="n">
        <v>0</v>
      </c>
      <c r="P222" t="n">
        <v>0</v>
      </c>
      <c r="Q222" t="n">
        <v>0</v>
      </c>
      <c r="R222" s="2" t="inlineStr"/>
    </row>
    <row r="223" ht="15" customHeight="1">
      <c r="A223" t="inlineStr">
        <is>
          <t>A 12102-2024</t>
        </is>
      </c>
      <c r="B223" s="1" t="n">
        <v>45377</v>
      </c>
      <c r="C223" s="1" t="n">
        <v>45883</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2850-2025</t>
        </is>
      </c>
      <c r="B224" s="1" t="n">
        <v>45677</v>
      </c>
      <c r="C224" s="1" t="n">
        <v>45883</v>
      </c>
      <c r="D224" t="inlineStr">
        <is>
          <t>UPPSALA LÄN</t>
        </is>
      </c>
      <c r="E224" t="inlineStr">
        <is>
          <t>ENKÖPING</t>
        </is>
      </c>
      <c r="G224" t="n">
        <v>0.3</v>
      </c>
      <c r="H224" t="n">
        <v>0</v>
      </c>
      <c r="I224" t="n">
        <v>0</v>
      </c>
      <c r="J224" t="n">
        <v>0</v>
      </c>
      <c r="K224" t="n">
        <v>0</v>
      </c>
      <c r="L224" t="n">
        <v>0</v>
      </c>
      <c r="M224" t="n">
        <v>0</v>
      </c>
      <c r="N224" t="n">
        <v>0</v>
      </c>
      <c r="O224" t="n">
        <v>0</v>
      </c>
      <c r="P224" t="n">
        <v>0</v>
      </c>
      <c r="Q224" t="n">
        <v>0</v>
      </c>
      <c r="R224" s="2" t="inlineStr"/>
    </row>
    <row r="225" ht="15" customHeight="1">
      <c r="A225" t="inlineStr">
        <is>
          <t>A 39115-2024</t>
        </is>
      </c>
      <c r="B225" s="1" t="n">
        <v>45548</v>
      </c>
      <c r="C225" s="1" t="n">
        <v>45883</v>
      </c>
      <c r="D225" t="inlineStr">
        <is>
          <t>UPPSALA LÄN</t>
        </is>
      </c>
      <c r="E225" t="inlineStr">
        <is>
          <t>ENKÖPING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12020-2024</t>
        </is>
      </c>
      <c r="B226" s="1" t="n">
        <v>45377</v>
      </c>
      <c r="C226" s="1" t="n">
        <v>45883</v>
      </c>
      <c r="D226" t="inlineStr">
        <is>
          <t>UPPSALA LÄN</t>
        </is>
      </c>
      <c r="E226" t="inlineStr">
        <is>
          <t>ENKÖPING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58961-2024</t>
        </is>
      </c>
      <c r="B227" s="1" t="n">
        <v>45636.585</v>
      </c>
      <c r="C227" s="1" t="n">
        <v>45883</v>
      </c>
      <c r="D227" t="inlineStr">
        <is>
          <t>UPPSALA LÄN</t>
        </is>
      </c>
      <c r="E227" t="inlineStr">
        <is>
          <t>ENKÖPING</t>
        </is>
      </c>
      <c r="G227" t="n">
        <v>4</v>
      </c>
      <c r="H227" t="n">
        <v>0</v>
      </c>
      <c r="I227" t="n">
        <v>0</v>
      </c>
      <c r="J227" t="n">
        <v>0</v>
      </c>
      <c r="K227" t="n">
        <v>0</v>
      </c>
      <c r="L227" t="n">
        <v>0</v>
      </c>
      <c r="M227" t="n">
        <v>0</v>
      </c>
      <c r="N227" t="n">
        <v>0</v>
      </c>
      <c r="O227" t="n">
        <v>0</v>
      </c>
      <c r="P227" t="n">
        <v>0</v>
      </c>
      <c r="Q227" t="n">
        <v>0</v>
      </c>
      <c r="R227" s="2" t="inlineStr"/>
    </row>
    <row r="228" ht="15" customHeight="1">
      <c r="A228" t="inlineStr">
        <is>
          <t>A 45283-2022</t>
        </is>
      </c>
      <c r="B228" s="1" t="n">
        <v>44844</v>
      </c>
      <c r="C228" s="1" t="n">
        <v>45883</v>
      </c>
      <c r="D228" t="inlineStr">
        <is>
          <t>UPPSALA LÄN</t>
        </is>
      </c>
      <c r="E228" t="inlineStr">
        <is>
          <t>ENKÖPING</t>
        </is>
      </c>
      <c r="G228" t="n">
        <v>5.9</v>
      </c>
      <c r="H228" t="n">
        <v>0</v>
      </c>
      <c r="I228" t="n">
        <v>0</v>
      </c>
      <c r="J228" t="n">
        <v>0</v>
      </c>
      <c r="K228" t="n">
        <v>0</v>
      </c>
      <c r="L228" t="n">
        <v>0</v>
      </c>
      <c r="M228" t="n">
        <v>0</v>
      </c>
      <c r="N228" t="n">
        <v>0</v>
      </c>
      <c r="O228" t="n">
        <v>0</v>
      </c>
      <c r="P228" t="n">
        <v>0</v>
      </c>
      <c r="Q228" t="n">
        <v>0</v>
      </c>
      <c r="R228" s="2" t="inlineStr"/>
    </row>
    <row r="229" ht="15" customHeight="1">
      <c r="A229" t="inlineStr">
        <is>
          <t>A 845-2025</t>
        </is>
      </c>
      <c r="B229" s="1" t="n">
        <v>45665</v>
      </c>
      <c r="C229" s="1" t="n">
        <v>45883</v>
      </c>
      <c r="D229" t="inlineStr">
        <is>
          <t>UPPSALA LÄN</t>
        </is>
      </c>
      <c r="E229" t="inlineStr">
        <is>
          <t>ENKÖPING</t>
        </is>
      </c>
      <c r="G229" t="n">
        <v>0.7</v>
      </c>
      <c r="H229" t="n">
        <v>0</v>
      </c>
      <c r="I229" t="n">
        <v>0</v>
      </c>
      <c r="J229" t="n">
        <v>0</v>
      </c>
      <c r="K229" t="n">
        <v>0</v>
      </c>
      <c r="L229" t="n">
        <v>0</v>
      </c>
      <c r="M229" t="n">
        <v>0</v>
      </c>
      <c r="N229" t="n">
        <v>0</v>
      </c>
      <c r="O229" t="n">
        <v>0</v>
      </c>
      <c r="P229" t="n">
        <v>0</v>
      </c>
      <c r="Q229" t="n">
        <v>0</v>
      </c>
      <c r="R229" s="2" t="inlineStr"/>
    </row>
    <row r="230" ht="15" customHeight="1">
      <c r="A230" t="inlineStr">
        <is>
          <t>A 849-2025</t>
        </is>
      </c>
      <c r="B230" s="1" t="n">
        <v>45665</v>
      </c>
      <c r="C230" s="1" t="n">
        <v>45883</v>
      </c>
      <c r="D230" t="inlineStr">
        <is>
          <t>UPPSALA LÄN</t>
        </is>
      </c>
      <c r="E230" t="inlineStr">
        <is>
          <t>ENKÖPING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51092-2020</t>
        </is>
      </c>
      <c r="B231" s="1" t="n">
        <v>44112</v>
      </c>
      <c r="C231" s="1" t="n">
        <v>45883</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69344-2021</t>
        </is>
      </c>
      <c r="B232" s="1" t="n">
        <v>44531</v>
      </c>
      <c r="C232" s="1" t="n">
        <v>45883</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34124-2021</t>
        </is>
      </c>
      <c r="B233" s="1" t="n">
        <v>44379</v>
      </c>
      <c r="C233" s="1" t="n">
        <v>45883</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43697-2024</t>
        </is>
      </c>
      <c r="B234" s="1" t="n">
        <v>45569</v>
      </c>
      <c r="C234" s="1" t="n">
        <v>45883</v>
      </c>
      <c r="D234" t="inlineStr">
        <is>
          <t>UPPSALA LÄN</t>
        </is>
      </c>
      <c r="E234" t="inlineStr">
        <is>
          <t>ENKÖPING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58147-2024</t>
        </is>
      </c>
      <c r="B235" s="1" t="n">
        <v>45632.4334375</v>
      </c>
      <c r="C235" s="1" t="n">
        <v>45883</v>
      </c>
      <c r="D235" t="inlineStr">
        <is>
          <t>UPPSALA LÄN</t>
        </is>
      </c>
      <c r="E235" t="inlineStr">
        <is>
          <t>ENKÖPING</t>
        </is>
      </c>
      <c r="G235" t="n">
        <v>3</v>
      </c>
      <c r="H235" t="n">
        <v>0</v>
      </c>
      <c r="I235" t="n">
        <v>0</v>
      </c>
      <c r="J235" t="n">
        <v>0</v>
      </c>
      <c r="K235" t="n">
        <v>0</v>
      </c>
      <c r="L235" t="n">
        <v>0</v>
      </c>
      <c r="M235" t="n">
        <v>0</v>
      </c>
      <c r="N235" t="n">
        <v>0</v>
      </c>
      <c r="O235" t="n">
        <v>0</v>
      </c>
      <c r="P235" t="n">
        <v>0</v>
      </c>
      <c r="Q235" t="n">
        <v>0</v>
      </c>
      <c r="R235" s="2" t="inlineStr"/>
    </row>
    <row r="236" ht="15" customHeight="1">
      <c r="A236" t="inlineStr">
        <is>
          <t>A 27983-2024</t>
        </is>
      </c>
      <c r="B236" s="1" t="n">
        <v>45476</v>
      </c>
      <c r="C236" s="1" t="n">
        <v>45883</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51010-2024</t>
        </is>
      </c>
      <c r="B237" s="1" t="n">
        <v>45603.39285879629</v>
      </c>
      <c r="C237" s="1" t="n">
        <v>45883</v>
      </c>
      <c r="D237" t="inlineStr">
        <is>
          <t>UPPSALA LÄN</t>
        </is>
      </c>
      <c r="E237" t="inlineStr">
        <is>
          <t>ENKÖPING</t>
        </is>
      </c>
      <c r="G237" t="n">
        <v>1.7</v>
      </c>
      <c r="H237" t="n">
        <v>0</v>
      </c>
      <c r="I237" t="n">
        <v>0</v>
      </c>
      <c r="J237" t="n">
        <v>0</v>
      </c>
      <c r="K237" t="n">
        <v>0</v>
      </c>
      <c r="L237" t="n">
        <v>0</v>
      </c>
      <c r="M237" t="n">
        <v>0</v>
      </c>
      <c r="N237" t="n">
        <v>0</v>
      </c>
      <c r="O237" t="n">
        <v>0</v>
      </c>
      <c r="P237" t="n">
        <v>0</v>
      </c>
      <c r="Q237" t="n">
        <v>0</v>
      </c>
      <c r="R237" s="2" t="inlineStr"/>
    </row>
    <row r="238" ht="15" customHeight="1">
      <c r="A238" t="inlineStr">
        <is>
          <t>A 51042-2024</t>
        </is>
      </c>
      <c r="B238" s="1" t="n">
        <v>45603.4342824074</v>
      </c>
      <c r="C238" s="1" t="n">
        <v>45883</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18302-2025</t>
        </is>
      </c>
      <c r="B239" s="1" t="n">
        <v>45762</v>
      </c>
      <c r="C239" s="1" t="n">
        <v>45883</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34735-2023</t>
        </is>
      </c>
      <c r="B240" s="1" t="n">
        <v>45139</v>
      </c>
      <c r="C240" s="1" t="n">
        <v>45883</v>
      </c>
      <c r="D240" t="inlineStr">
        <is>
          <t>UPPSALA LÄN</t>
        </is>
      </c>
      <c r="E240" t="inlineStr">
        <is>
          <t>ENKÖPING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30514-2021</t>
        </is>
      </c>
      <c r="B241" s="1" t="n">
        <v>44364</v>
      </c>
      <c r="C241" s="1" t="n">
        <v>45883</v>
      </c>
      <c r="D241" t="inlineStr">
        <is>
          <t>UPPSALA LÄN</t>
        </is>
      </c>
      <c r="E241" t="inlineStr">
        <is>
          <t>ENKÖPING</t>
        </is>
      </c>
      <c r="G241" t="n">
        <v>1.4</v>
      </c>
      <c r="H241" t="n">
        <v>0</v>
      </c>
      <c r="I241" t="n">
        <v>0</v>
      </c>
      <c r="J241" t="n">
        <v>0</v>
      </c>
      <c r="K241" t="n">
        <v>0</v>
      </c>
      <c r="L241" t="n">
        <v>0</v>
      </c>
      <c r="M241" t="n">
        <v>0</v>
      </c>
      <c r="N241" t="n">
        <v>0</v>
      </c>
      <c r="O241" t="n">
        <v>0</v>
      </c>
      <c r="P241" t="n">
        <v>0</v>
      </c>
      <c r="Q241" t="n">
        <v>0</v>
      </c>
      <c r="R241" s="2" t="inlineStr"/>
    </row>
    <row r="242" ht="15" customHeight="1">
      <c r="A242" t="inlineStr">
        <is>
          <t>A 13853-2023</t>
        </is>
      </c>
      <c r="B242" s="1" t="n">
        <v>45007</v>
      </c>
      <c r="C242" s="1" t="n">
        <v>45883</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22912-2024</t>
        </is>
      </c>
      <c r="B243" s="1" t="n">
        <v>45448.73118055556</v>
      </c>
      <c r="C243" s="1" t="n">
        <v>45883</v>
      </c>
      <c r="D243" t="inlineStr">
        <is>
          <t>UPPSALA LÄN</t>
        </is>
      </c>
      <c r="E243" t="inlineStr">
        <is>
          <t>ENKÖPING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53149-2020</t>
        </is>
      </c>
      <c r="B244" s="1" t="n">
        <v>44120</v>
      </c>
      <c r="C244" s="1" t="n">
        <v>45883</v>
      </c>
      <c r="D244" t="inlineStr">
        <is>
          <t>UPPSALA LÄN</t>
        </is>
      </c>
      <c r="E244" t="inlineStr">
        <is>
          <t>ENKÖPING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9667-2024</t>
        </is>
      </c>
      <c r="B245" s="1" t="n">
        <v>45362.45130787037</v>
      </c>
      <c r="C245" s="1" t="n">
        <v>45883</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57209-2024</t>
        </is>
      </c>
      <c r="B246" s="1" t="n">
        <v>45629.49311342592</v>
      </c>
      <c r="C246" s="1" t="n">
        <v>45883</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63310-2021</t>
        </is>
      </c>
      <c r="B247" s="1" t="n">
        <v>44508</v>
      </c>
      <c r="C247" s="1" t="n">
        <v>45883</v>
      </c>
      <c r="D247" t="inlineStr">
        <is>
          <t>UPPSALA LÄN</t>
        </is>
      </c>
      <c r="E247" t="inlineStr">
        <is>
          <t>ENKÖPING</t>
        </is>
      </c>
      <c r="G247" t="n">
        <v>3.5</v>
      </c>
      <c r="H247" t="n">
        <v>0</v>
      </c>
      <c r="I247" t="n">
        <v>0</v>
      </c>
      <c r="J247" t="n">
        <v>0</v>
      </c>
      <c r="K247" t="n">
        <v>0</v>
      </c>
      <c r="L247" t="n">
        <v>0</v>
      </c>
      <c r="M247" t="n">
        <v>0</v>
      </c>
      <c r="N247" t="n">
        <v>0</v>
      </c>
      <c r="O247" t="n">
        <v>0</v>
      </c>
      <c r="P247" t="n">
        <v>0</v>
      </c>
      <c r="Q247" t="n">
        <v>0</v>
      </c>
      <c r="R247" s="2" t="inlineStr"/>
    </row>
    <row r="248" ht="15" customHeight="1">
      <c r="A248" t="inlineStr">
        <is>
          <t>A 13110-2023</t>
        </is>
      </c>
      <c r="B248" s="1" t="n">
        <v>45001</v>
      </c>
      <c r="C248" s="1" t="n">
        <v>45883</v>
      </c>
      <c r="D248" t="inlineStr">
        <is>
          <t>UPPSALA LÄN</t>
        </is>
      </c>
      <c r="E248" t="inlineStr">
        <is>
          <t>ENKÖPING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49623-2024</t>
        </is>
      </c>
      <c r="B249" s="1" t="n">
        <v>45596</v>
      </c>
      <c r="C249" s="1" t="n">
        <v>45883</v>
      </c>
      <c r="D249" t="inlineStr">
        <is>
          <t>UPPSALA LÄN</t>
        </is>
      </c>
      <c r="E249" t="inlineStr">
        <is>
          <t>ENKÖPING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49627-2024</t>
        </is>
      </c>
      <c r="B250" s="1" t="n">
        <v>45596.59140046296</v>
      </c>
      <c r="C250" s="1" t="n">
        <v>45883</v>
      </c>
      <c r="D250" t="inlineStr">
        <is>
          <t>UPPSALA LÄN</t>
        </is>
      </c>
      <c r="E250" t="inlineStr">
        <is>
          <t>ENKÖPING</t>
        </is>
      </c>
      <c r="G250" t="n">
        <v>0.4</v>
      </c>
      <c r="H250" t="n">
        <v>0</v>
      </c>
      <c r="I250" t="n">
        <v>0</v>
      </c>
      <c r="J250" t="n">
        <v>0</v>
      </c>
      <c r="K250" t="n">
        <v>0</v>
      </c>
      <c r="L250" t="n">
        <v>0</v>
      </c>
      <c r="M250" t="n">
        <v>0</v>
      </c>
      <c r="N250" t="n">
        <v>0</v>
      </c>
      <c r="O250" t="n">
        <v>0</v>
      </c>
      <c r="P250" t="n">
        <v>0</v>
      </c>
      <c r="Q250" t="n">
        <v>0</v>
      </c>
      <c r="R250" s="2" t="inlineStr"/>
    </row>
    <row r="251" ht="15" customHeight="1">
      <c r="A251" t="inlineStr">
        <is>
          <t>A 9231-2023</t>
        </is>
      </c>
      <c r="B251" s="1" t="n">
        <v>44980</v>
      </c>
      <c r="C251" s="1" t="n">
        <v>45883</v>
      </c>
      <c r="D251" t="inlineStr">
        <is>
          <t>UPPSALA LÄN</t>
        </is>
      </c>
      <c r="E251" t="inlineStr">
        <is>
          <t>ENKÖPING</t>
        </is>
      </c>
      <c r="G251" t="n">
        <v>1.5</v>
      </c>
      <c r="H251" t="n">
        <v>0</v>
      </c>
      <c r="I251" t="n">
        <v>0</v>
      </c>
      <c r="J251" t="n">
        <v>0</v>
      </c>
      <c r="K251" t="n">
        <v>0</v>
      </c>
      <c r="L251" t="n">
        <v>0</v>
      </c>
      <c r="M251" t="n">
        <v>0</v>
      </c>
      <c r="N251" t="n">
        <v>0</v>
      </c>
      <c r="O251" t="n">
        <v>0</v>
      </c>
      <c r="P251" t="n">
        <v>0</v>
      </c>
      <c r="Q251" t="n">
        <v>0</v>
      </c>
      <c r="R251" s="2" t="inlineStr"/>
    </row>
    <row r="252" ht="15" customHeight="1">
      <c r="A252" t="inlineStr">
        <is>
          <t>A 27538-2023</t>
        </is>
      </c>
      <c r="B252" s="1" t="n">
        <v>45097</v>
      </c>
      <c r="C252" s="1" t="n">
        <v>45883</v>
      </c>
      <c r="D252" t="inlineStr">
        <is>
          <t>UPPSALA LÄN</t>
        </is>
      </c>
      <c r="E252" t="inlineStr">
        <is>
          <t>ENKÖPING</t>
        </is>
      </c>
      <c r="G252" t="n">
        <v>5.8</v>
      </c>
      <c r="H252" t="n">
        <v>0</v>
      </c>
      <c r="I252" t="n">
        <v>0</v>
      </c>
      <c r="J252" t="n">
        <v>0</v>
      </c>
      <c r="K252" t="n">
        <v>0</v>
      </c>
      <c r="L252" t="n">
        <v>0</v>
      </c>
      <c r="M252" t="n">
        <v>0</v>
      </c>
      <c r="N252" t="n">
        <v>0</v>
      </c>
      <c r="O252" t="n">
        <v>0</v>
      </c>
      <c r="P252" t="n">
        <v>0</v>
      </c>
      <c r="Q252" t="n">
        <v>0</v>
      </c>
      <c r="R252" s="2" t="inlineStr"/>
    </row>
    <row r="253" ht="15" customHeight="1">
      <c r="A253" t="inlineStr">
        <is>
          <t>A 61106-2022</t>
        </is>
      </c>
      <c r="B253" s="1" t="n">
        <v>44915.4128587963</v>
      </c>
      <c r="C253" s="1" t="n">
        <v>45883</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18821-2023</t>
        </is>
      </c>
      <c r="B254" s="1" t="n">
        <v>45044.3782175926</v>
      </c>
      <c r="C254" s="1" t="n">
        <v>45883</v>
      </c>
      <c r="D254" t="inlineStr">
        <is>
          <t>UPPSALA LÄN</t>
        </is>
      </c>
      <c r="E254" t="inlineStr">
        <is>
          <t>ENKÖPING</t>
        </is>
      </c>
      <c r="G254" t="n">
        <v>6</v>
      </c>
      <c r="H254" t="n">
        <v>0</v>
      </c>
      <c r="I254" t="n">
        <v>0</v>
      </c>
      <c r="J254" t="n">
        <v>0</v>
      </c>
      <c r="K254" t="n">
        <v>0</v>
      </c>
      <c r="L254" t="n">
        <v>0</v>
      </c>
      <c r="M254" t="n">
        <v>0</v>
      </c>
      <c r="N254" t="n">
        <v>0</v>
      </c>
      <c r="O254" t="n">
        <v>0</v>
      </c>
      <c r="P254" t="n">
        <v>0</v>
      </c>
      <c r="Q254" t="n">
        <v>0</v>
      </c>
      <c r="R254" s="2" t="inlineStr"/>
    </row>
    <row r="255" ht="15" customHeight="1">
      <c r="A255" t="inlineStr">
        <is>
          <t>A 43506-2023</t>
        </is>
      </c>
      <c r="B255" s="1" t="n">
        <v>45181</v>
      </c>
      <c r="C255" s="1" t="n">
        <v>45883</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9171-2024</t>
        </is>
      </c>
      <c r="B256" s="1" t="n">
        <v>45358</v>
      </c>
      <c r="C256" s="1" t="n">
        <v>45883</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14004-2023</t>
        </is>
      </c>
      <c r="B257" s="1" t="n">
        <v>45008</v>
      </c>
      <c r="C257" s="1" t="n">
        <v>45883</v>
      </c>
      <c r="D257" t="inlineStr">
        <is>
          <t>UPPSALA LÄN</t>
        </is>
      </c>
      <c r="E257" t="inlineStr">
        <is>
          <t>ENKÖPING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52380-2024</t>
        </is>
      </c>
      <c r="B258" s="1" t="n">
        <v>45609</v>
      </c>
      <c r="C258" s="1" t="n">
        <v>45883</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9041-2023</t>
        </is>
      </c>
      <c r="B259" s="1" t="n">
        <v>44979</v>
      </c>
      <c r="C259" s="1" t="n">
        <v>45883</v>
      </c>
      <c r="D259" t="inlineStr">
        <is>
          <t>UPPSALA LÄN</t>
        </is>
      </c>
      <c r="E259" t="inlineStr">
        <is>
          <t>ENKÖPING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27786-2023</t>
        </is>
      </c>
      <c r="B260" s="1" t="n">
        <v>45098</v>
      </c>
      <c r="C260" s="1" t="n">
        <v>45883</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671-2022</t>
        </is>
      </c>
      <c r="B261" s="1" t="n">
        <v>44568</v>
      </c>
      <c r="C261" s="1" t="n">
        <v>45883</v>
      </c>
      <c r="D261" t="inlineStr">
        <is>
          <t>UPPSALA LÄN</t>
        </is>
      </c>
      <c r="E261" t="inlineStr">
        <is>
          <t>ENKÖPING</t>
        </is>
      </c>
      <c r="G261" t="n">
        <v>3.5</v>
      </c>
      <c r="H261" t="n">
        <v>0</v>
      </c>
      <c r="I261" t="n">
        <v>0</v>
      </c>
      <c r="J261" t="n">
        <v>0</v>
      </c>
      <c r="K261" t="n">
        <v>0</v>
      </c>
      <c r="L261" t="n">
        <v>0</v>
      </c>
      <c r="M261" t="n">
        <v>0</v>
      </c>
      <c r="N261" t="n">
        <v>0</v>
      </c>
      <c r="O261" t="n">
        <v>0</v>
      </c>
      <c r="P261" t="n">
        <v>0</v>
      </c>
      <c r="Q261" t="n">
        <v>0</v>
      </c>
      <c r="R261" s="2" t="inlineStr"/>
    </row>
    <row r="262" ht="15" customHeight="1">
      <c r="A262" t="inlineStr">
        <is>
          <t>A 51012-2024</t>
        </is>
      </c>
      <c r="B262" s="1" t="n">
        <v>45603.39686342593</v>
      </c>
      <c r="C262" s="1" t="n">
        <v>45883</v>
      </c>
      <c r="D262" t="inlineStr">
        <is>
          <t>UPPSALA LÄN</t>
        </is>
      </c>
      <c r="E262" t="inlineStr">
        <is>
          <t>ENKÖPING</t>
        </is>
      </c>
      <c r="G262" t="n">
        <v>2.7</v>
      </c>
      <c r="H262" t="n">
        <v>0</v>
      </c>
      <c r="I262" t="n">
        <v>0</v>
      </c>
      <c r="J262" t="n">
        <v>0</v>
      </c>
      <c r="K262" t="n">
        <v>0</v>
      </c>
      <c r="L262" t="n">
        <v>0</v>
      </c>
      <c r="M262" t="n">
        <v>0</v>
      </c>
      <c r="N262" t="n">
        <v>0</v>
      </c>
      <c r="O262" t="n">
        <v>0</v>
      </c>
      <c r="P262" t="n">
        <v>0</v>
      </c>
      <c r="Q262" t="n">
        <v>0</v>
      </c>
      <c r="R262" s="2" t="inlineStr"/>
    </row>
    <row r="263" ht="15" customHeight="1">
      <c r="A263" t="inlineStr">
        <is>
          <t>A 51037-2024</t>
        </is>
      </c>
      <c r="B263" s="1" t="n">
        <v>45603.43005787037</v>
      </c>
      <c r="C263" s="1" t="n">
        <v>45883</v>
      </c>
      <c r="D263" t="inlineStr">
        <is>
          <t>UPPSALA LÄN</t>
        </is>
      </c>
      <c r="E263" t="inlineStr">
        <is>
          <t>ENKÖPING</t>
        </is>
      </c>
      <c r="G263" t="n">
        <v>5.7</v>
      </c>
      <c r="H263" t="n">
        <v>0</v>
      </c>
      <c r="I263" t="n">
        <v>0</v>
      </c>
      <c r="J263" t="n">
        <v>0</v>
      </c>
      <c r="K263" t="n">
        <v>0</v>
      </c>
      <c r="L263" t="n">
        <v>0</v>
      </c>
      <c r="M263" t="n">
        <v>0</v>
      </c>
      <c r="N263" t="n">
        <v>0</v>
      </c>
      <c r="O263" t="n">
        <v>0</v>
      </c>
      <c r="P263" t="n">
        <v>0</v>
      </c>
      <c r="Q263" t="n">
        <v>0</v>
      </c>
      <c r="R263" s="2" t="inlineStr"/>
    </row>
    <row r="264" ht="15" customHeight="1">
      <c r="A264" t="inlineStr">
        <is>
          <t>A 11005-2023</t>
        </is>
      </c>
      <c r="B264" s="1" t="n">
        <v>44991</v>
      </c>
      <c r="C264" s="1" t="n">
        <v>45883</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29918-2023</t>
        </is>
      </c>
      <c r="B265" s="1" t="n">
        <v>45099</v>
      </c>
      <c r="C265" s="1" t="n">
        <v>45883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41828-2024</t>
        </is>
      </c>
      <c r="B266" s="1" t="n">
        <v>45561</v>
      </c>
      <c r="C266" s="1" t="n">
        <v>45883</v>
      </c>
      <c r="D266" t="inlineStr">
        <is>
          <t>UPPSALA LÄN</t>
        </is>
      </c>
      <c r="E266" t="inlineStr">
        <is>
          <t>ENKÖPING</t>
        </is>
      </c>
      <c r="G266" t="n">
        <v>2.5</v>
      </c>
      <c r="H266" t="n">
        <v>0</v>
      </c>
      <c r="I266" t="n">
        <v>0</v>
      </c>
      <c r="J266" t="n">
        <v>0</v>
      </c>
      <c r="K266" t="n">
        <v>0</v>
      </c>
      <c r="L266" t="n">
        <v>0</v>
      </c>
      <c r="M266" t="n">
        <v>0</v>
      </c>
      <c r="N266" t="n">
        <v>0</v>
      </c>
      <c r="O266" t="n">
        <v>0</v>
      </c>
      <c r="P266" t="n">
        <v>0</v>
      </c>
      <c r="Q266" t="n">
        <v>0</v>
      </c>
      <c r="R266" s="2" t="inlineStr"/>
    </row>
    <row r="267" ht="15" customHeight="1">
      <c r="A267" t="inlineStr">
        <is>
          <t>A 15942-2022</t>
        </is>
      </c>
      <c r="B267" s="1" t="n">
        <v>44664</v>
      </c>
      <c r="C267" s="1" t="n">
        <v>45883</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58384-2022</t>
        </is>
      </c>
      <c r="B268" s="1" t="n">
        <v>44901</v>
      </c>
      <c r="C268" s="1" t="n">
        <v>45883</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43016-2021</t>
        </is>
      </c>
      <c r="B269" s="1" t="n">
        <v>44431</v>
      </c>
      <c r="C269" s="1" t="n">
        <v>45883</v>
      </c>
      <c r="D269" t="inlineStr">
        <is>
          <t>UPPSALA LÄN</t>
        </is>
      </c>
      <c r="E269" t="inlineStr">
        <is>
          <t>ENKÖPING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15893-2024</t>
        </is>
      </c>
      <c r="B270" s="1" t="n">
        <v>45405</v>
      </c>
      <c r="C270" s="1" t="n">
        <v>45883</v>
      </c>
      <c r="D270" t="inlineStr">
        <is>
          <t>UPPSALA LÄN</t>
        </is>
      </c>
      <c r="E270" t="inlineStr">
        <is>
          <t>ENKÖPING</t>
        </is>
      </c>
      <c r="G270" t="n">
        <v>1.9</v>
      </c>
      <c r="H270" t="n">
        <v>0</v>
      </c>
      <c r="I270" t="n">
        <v>0</v>
      </c>
      <c r="J270" t="n">
        <v>0</v>
      </c>
      <c r="K270" t="n">
        <v>0</v>
      </c>
      <c r="L270" t="n">
        <v>0</v>
      </c>
      <c r="M270" t="n">
        <v>0</v>
      </c>
      <c r="N270" t="n">
        <v>0</v>
      </c>
      <c r="O270" t="n">
        <v>0</v>
      </c>
      <c r="P270" t="n">
        <v>0</v>
      </c>
      <c r="Q270" t="n">
        <v>0</v>
      </c>
      <c r="R270" s="2" t="inlineStr"/>
    </row>
    <row r="271" ht="15" customHeight="1">
      <c r="A271" t="inlineStr">
        <is>
          <t>A 33343-2024</t>
        </is>
      </c>
      <c r="B271" s="1" t="n">
        <v>45519</v>
      </c>
      <c r="C271" s="1" t="n">
        <v>45883</v>
      </c>
      <c r="D271" t="inlineStr">
        <is>
          <t>UPPSALA LÄN</t>
        </is>
      </c>
      <c r="E271" t="inlineStr">
        <is>
          <t>ENKÖPING</t>
        </is>
      </c>
      <c r="G271" t="n">
        <v>2</v>
      </c>
      <c r="H271" t="n">
        <v>0</v>
      </c>
      <c r="I271" t="n">
        <v>0</v>
      </c>
      <c r="J271" t="n">
        <v>0</v>
      </c>
      <c r="K271" t="n">
        <v>0</v>
      </c>
      <c r="L271" t="n">
        <v>0</v>
      </c>
      <c r="M271" t="n">
        <v>0</v>
      </c>
      <c r="N271" t="n">
        <v>0</v>
      </c>
      <c r="O271" t="n">
        <v>0</v>
      </c>
      <c r="P271" t="n">
        <v>0</v>
      </c>
      <c r="Q271" t="n">
        <v>0</v>
      </c>
      <c r="R271" s="2" t="inlineStr"/>
    </row>
    <row r="272" ht="15" customHeight="1">
      <c r="A272" t="inlineStr">
        <is>
          <t>A 50006-2023</t>
        </is>
      </c>
      <c r="B272" s="1" t="n">
        <v>45215</v>
      </c>
      <c r="C272" s="1" t="n">
        <v>45883</v>
      </c>
      <c r="D272" t="inlineStr">
        <is>
          <t>UPPSALA LÄN</t>
        </is>
      </c>
      <c r="E272" t="inlineStr">
        <is>
          <t>ENKÖPING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57142-2021</t>
        </is>
      </c>
      <c r="B273" s="1" t="n">
        <v>44482</v>
      </c>
      <c r="C273" s="1" t="n">
        <v>45883</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57153-2021</t>
        </is>
      </c>
      <c r="B274" s="1" t="n">
        <v>44482</v>
      </c>
      <c r="C274" s="1" t="n">
        <v>45883</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49601-2024</t>
        </is>
      </c>
      <c r="B275" s="1" t="n">
        <v>45596.56288194445</v>
      </c>
      <c r="C275" s="1" t="n">
        <v>45883</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10465-2022</t>
        </is>
      </c>
      <c r="B276" s="1" t="n">
        <v>44623</v>
      </c>
      <c r="C276" s="1" t="n">
        <v>45883</v>
      </c>
      <c r="D276" t="inlineStr">
        <is>
          <t>UPPSALA LÄN</t>
        </is>
      </c>
      <c r="E276" t="inlineStr">
        <is>
          <t>ENKÖPING</t>
        </is>
      </c>
      <c r="G276" t="n">
        <v>1.7</v>
      </c>
      <c r="H276" t="n">
        <v>0</v>
      </c>
      <c r="I276" t="n">
        <v>0</v>
      </c>
      <c r="J276" t="n">
        <v>0</v>
      </c>
      <c r="K276" t="n">
        <v>0</v>
      </c>
      <c r="L276" t="n">
        <v>0</v>
      </c>
      <c r="M276" t="n">
        <v>0</v>
      </c>
      <c r="N276" t="n">
        <v>0</v>
      </c>
      <c r="O276" t="n">
        <v>0</v>
      </c>
      <c r="P276" t="n">
        <v>0</v>
      </c>
      <c r="Q276" t="n">
        <v>0</v>
      </c>
      <c r="R276" s="2" t="inlineStr"/>
    </row>
    <row r="277" ht="15" customHeight="1">
      <c r="A277" t="inlineStr">
        <is>
          <t>A 5188-2022</t>
        </is>
      </c>
      <c r="B277" s="1" t="n">
        <v>44594.4471412037</v>
      </c>
      <c r="C277" s="1" t="n">
        <v>45883</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53607-2023</t>
        </is>
      </c>
      <c r="B278" s="1" t="n">
        <v>45230</v>
      </c>
      <c r="C278" s="1" t="n">
        <v>45883</v>
      </c>
      <c r="D278" t="inlineStr">
        <is>
          <t>UPPSALA LÄN</t>
        </is>
      </c>
      <c r="E278" t="inlineStr">
        <is>
          <t>ENKÖPING</t>
        </is>
      </c>
      <c r="F278" t="inlineStr">
        <is>
          <t>Allmännings- och besparingsskogar</t>
        </is>
      </c>
      <c r="G278" t="n">
        <v>6.3</v>
      </c>
      <c r="H278" t="n">
        <v>0</v>
      </c>
      <c r="I278" t="n">
        <v>0</v>
      </c>
      <c r="J278" t="n">
        <v>0</v>
      </c>
      <c r="K278" t="n">
        <v>0</v>
      </c>
      <c r="L278" t="n">
        <v>0</v>
      </c>
      <c r="M278" t="n">
        <v>0</v>
      </c>
      <c r="N278" t="n">
        <v>0</v>
      </c>
      <c r="O278" t="n">
        <v>0</v>
      </c>
      <c r="P278" t="n">
        <v>0</v>
      </c>
      <c r="Q278" t="n">
        <v>0</v>
      </c>
      <c r="R278" s="2" t="inlineStr"/>
    </row>
    <row r="279" ht="15" customHeight="1">
      <c r="A279" t="inlineStr">
        <is>
          <t>A 59497-2022</t>
        </is>
      </c>
      <c r="B279" s="1" t="n">
        <v>44907.48258101852</v>
      </c>
      <c r="C279" s="1" t="n">
        <v>45883</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19014-2025</t>
        </is>
      </c>
      <c r="B280" s="1" t="n">
        <v>45764.59631944444</v>
      </c>
      <c r="C280" s="1" t="n">
        <v>45883</v>
      </c>
      <c r="D280" t="inlineStr">
        <is>
          <t>UPPSALA LÄN</t>
        </is>
      </c>
      <c r="E280" t="inlineStr">
        <is>
          <t>ENKÖPING</t>
        </is>
      </c>
      <c r="G280" t="n">
        <v>0.2</v>
      </c>
      <c r="H280" t="n">
        <v>0</v>
      </c>
      <c r="I280" t="n">
        <v>0</v>
      </c>
      <c r="J280" t="n">
        <v>0</v>
      </c>
      <c r="K280" t="n">
        <v>0</v>
      </c>
      <c r="L280" t="n">
        <v>0</v>
      </c>
      <c r="M280" t="n">
        <v>0</v>
      </c>
      <c r="N280" t="n">
        <v>0</v>
      </c>
      <c r="O280" t="n">
        <v>0</v>
      </c>
      <c r="P280" t="n">
        <v>0</v>
      </c>
      <c r="Q280" t="n">
        <v>0</v>
      </c>
      <c r="R280" s="2" t="inlineStr"/>
    </row>
    <row r="281" ht="15" customHeight="1">
      <c r="A281" t="inlineStr">
        <is>
          <t>A 43691-2024</t>
        </is>
      </c>
      <c r="B281" s="1" t="n">
        <v>45569</v>
      </c>
      <c r="C281" s="1" t="n">
        <v>45883</v>
      </c>
      <c r="D281" t="inlineStr">
        <is>
          <t>UPPSALA LÄN</t>
        </is>
      </c>
      <c r="E281" t="inlineStr">
        <is>
          <t>ENKÖPING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9660-2025</t>
        </is>
      </c>
      <c r="B282" s="1" t="n">
        <v>45716</v>
      </c>
      <c r="C282" s="1" t="n">
        <v>45883</v>
      </c>
      <c r="D282" t="inlineStr">
        <is>
          <t>UPPSALA LÄN</t>
        </is>
      </c>
      <c r="E282" t="inlineStr">
        <is>
          <t>ENKÖPING</t>
        </is>
      </c>
      <c r="G282" t="n">
        <v>2.5</v>
      </c>
      <c r="H282" t="n">
        <v>0</v>
      </c>
      <c r="I282" t="n">
        <v>0</v>
      </c>
      <c r="J282" t="n">
        <v>0</v>
      </c>
      <c r="K282" t="n">
        <v>0</v>
      </c>
      <c r="L282" t="n">
        <v>0</v>
      </c>
      <c r="M282" t="n">
        <v>0</v>
      </c>
      <c r="N282" t="n">
        <v>0</v>
      </c>
      <c r="O282" t="n">
        <v>0</v>
      </c>
      <c r="P282" t="n">
        <v>0</v>
      </c>
      <c r="Q282" t="n">
        <v>0</v>
      </c>
      <c r="R282" s="2" t="inlineStr"/>
    </row>
    <row r="283" ht="15" customHeight="1">
      <c r="A283" t="inlineStr">
        <is>
          <t>A 49613-2024</t>
        </is>
      </c>
      <c r="B283" s="1" t="n">
        <v>45596.57475694444</v>
      </c>
      <c r="C283" s="1" t="n">
        <v>45883</v>
      </c>
      <c r="D283" t="inlineStr">
        <is>
          <t>UPPSALA LÄN</t>
        </is>
      </c>
      <c r="E283" t="inlineStr">
        <is>
          <t>ENKÖPING</t>
        </is>
      </c>
      <c r="G283" t="n">
        <v>2.5</v>
      </c>
      <c r="H283" t="n">
        <v>0</v>
      </c>
      <c r="I283" t="n">
        <v>0</v>
      </c>
      <c r="J283" t="n">
        <v>0</v>
      </c>
      <c r="K283" t="n">
        <v>0</v>
      </c>
      <c r="L283" t="n">
        <v>0</v>
      </c>
      <c r="M283" t="n">
        <v>0</v>
      </c>
      <c r="N283" t="n">
        <v>0</v>
      </c>
      <c r="O283" t="n">
        <v>0</v>
      </c>
      <c r="P283" t="n">
        <v>0</v>
      </c>
      <c r="Q283" t="n">
        <v>0</v>
      </c>
      <c r="R283" s="2" t="inlineStr"/>
    </row>
    <row r="284" ht="15" customHeight="1">
      <c r="A284" t="inlineStr">
        <is>
          <t>A 49614-2024</t>
        </is>
      </c>
      <c r="B284" s="1" t="n">
        <v>45596.57716435185</v>
      </c>
      <c r="C284" s="1" t="n">
        <v>45883</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49632-2024</t>
        </is>
      </c>
      <c r="B285" s="1" t="n">
        <v>45596</v>
      </c>
      <c r="C285" s="1" t="n">
        <v>45883</v>
      </c>
      <c r="D285" t="inlineStr">
        <is>
          <t>UPPSALA LÄN</t>
        </is>
      </c>
      <c r="E285" t="inlineStr">
        <is>
          <t>ENKÖPING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5013-2025</t>
        </is>
      </c>
      <c r="B286" s="1" t="n">
        <v>45691</v>
      </c>
      <c r="C286" s="1" t="n">
        <v>45883</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11503-2024</t>
        </is>
      </c>
      <c r="B287" s="1" t="n">
        <v>45372.68020833333</v>
      </c>
      <c r="C287" s="1" t="n">
        <v>45883</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51027-2024</t>
        </is>
      </c>
      <c r="B288" s="1" t="n">
        <v>45603</v>
      </c>
      <c r="C288" s="1" t="n">
        <v>45883</v>
      </c>
      <c r="D288" t="inlineStr">
        <is>
          <t>UPPSALA LÄN</t>
        </is>
      </c>
      <c r="E288" t="inlineStr">
        <is>
          <t>ENKÖPING</t>
        </is>
      </c>
      <c r="G288" t="n">
        <v>3.5</v>
      </c>
      <c r="H288" t="n">
        <v>0</v>
      </c>
      <c r="I288" t="n">
        <v>0</v>
      </c>
      <c r="J288" t="n">
        <v>0</v>
      </c>
      <c r="K288" t="n">
        <v>0</v>
      </c>
      <c r="L288" t="n">
        <v>0</v>
      </c>
      <c r="M288" t="n">
        <v>0</v>
      </c>
      <c r="N288" t="n">
        <v>0</v>
      </c>
      <c r="O288" t="n">
        <v>0</v>
      </c>
      <c r="P288" t="n">
        <v>0</v>
      </c>
      <c r="Q288" t="n">
        <v>0</v>
      </c>
      <c r="R288" s="2" t="inlineStr"/>
    </row>
    <row r="289" ht="15" customHeight="1">
      <c r="A289" t="inlineStr">
        <is>
          <t>A 19376-2024</t>
        </is>
      </c>
      <c r="B289" s="1" t="n">
        <v>45429</v>
      </c>
      <c r="C289" s="1" t="n">
        <v>45883</v>
      </c>
      <c r="D289" t="inlineStr">
        <is>
          <t>UPPSALA LÄN</t>
        </is>
      </c>
      <c r="E289" t="inlineStr">
        <is>
          <t>ENKÖPING</t>
        </is>
      </c>
      <c r="G289" t="n">
        <v>1.6</v>
      </c>
      <c r="H289" t="n">
        <v>0</v>
      </c>
      <c r="I289" t="n">
        <v>0</v>
      </c>
      <c r="J289" t="n">
        <v>0</v>
      </c>
      <c r="K289" t="n">
        <v>0</v>
      </c>
      <c r="L289" t="n">
        <v>0</v>
      </c>
      <c r="M289" t="n">
        <v>0</v>
      </c>
      <c r="N289" t="n">
        <v>0</v>
      </c>
      <c r="O289" t="n">
        <v>0</v>
      </c>
      <c r="P289" t="n">
        <v>0</v>
      </c>
      <c r="Q289" t="n">
        <v>0</v>
      </c>
      <c r="R289" s="2" t="inlineStr"/>
    </row>
    <row r="290" ht="15" customHeight="1">
      <c r="A290" t="inlineStr">
        <is>
          <t>A 51030-2024</t>
        </is>
      </c>
      <c r="B290" s="1" t="n">
        <v>45603</v>
      </c>
      <c r="C290" s="1" t="n">
        <v>45883</v>
      </c>
      <c r="D290" t="inlineStr">
        <is>
          <t>UPPSALA LÄN</t>
        </is>
      </c>
      <c r="E290" t="inlineStr">
        <is>
          <t>ENKÖPING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33670-2024</t>
        </is>
      </c>
      <c r="B291" s="1" t="n">
        <v>45520</v>
      </c>
      <c r="C291" s="1" t="n">
        <v>45883</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2164-2023</t>
        </is>
      </c>
      <c r="B292" s="1" t="n">
        <v>44941</v>
      </c>
      <c r="C292" s="1" t="n">
        <v>45883</v>
      </c>
      <c r="D292" t="inlineStr">
        <is>
          <t>UPPSALA LÄN</t>
        </is>
      </c>
      <c r="E292" t="inlineStr">
        <is>
          <t>ENKÖPING</t>
        </is>
      </c>
      <c r="G292" t="n">
        <v>2.5</v>
      </c>
      <c r="H292" t="n">
        <v>0</v>
      </c>
      <c r="I292" t="n">
        <v>0</v>
      </c>
      <c r="J292" t="n">
        <v>0</v>
      </c>
      <c r="K292" t="n">
        <v>0</v>
      </c>
      <c r="L292" t="n">
        <v>0</v>
      </c>
      <c r="M292" t="n">
        <v>0</v>
      </c>
      <c r="N292" t="n">
        <v>0</v>
      </c>
      <c r="O292" t="n">
        <v>0</v>
      </c>
      <c r="P292" t="n">
        <v>0</v>
      </c>
      <c r="Q292" t="n">
        <v>0</v>
      </c>
      <c r="R292" s="2" t="inlineStr"/>
    </row>
    <row r="293" ht="15" customHeight="1">
      <c r="A293" t="inlineStr">
        <is>
          <t>A 19147-2024</t>
        </is>
      </c>
      <c r="B293" s="1" t="n">
        <v>45428</v>
      </c>
      <c r="C293" s="1" t="n">
        <v>45883</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15405-2025</t>
        </is>
      </c>
      <c r="B294" s="1" t="n">
        <v>45747.44670138889</v>
      </c>
      <c r="C294" s="1" t="n">
        <v>45883</v>
      </c>
      <c r="D294" t="inlineStr">
        <is>
          <t>UPPSALA LÄN</t>
        </is>
      </c>
      <c r="E294" t="inlineStr">
        <is>
          <t>ENKÖPING</t>
        </is>
      </c>
      <c r="G294" t="n">
        <v>1.3</v>
      </c>
      <c r="H294" t="n">
        <v>0</v>
      </c>
      <c r="I294" t="n">
        <v>0</v>
      </c>
      <c r="J294" t="n">
        <v>0</v>
      </c>
      <c r="K294" t="n">
        <v>0</v>
      </c>
      <c r="L294" t="n">
        <v>0</v>
      </c>
      <c r="M294" t="n">
        <v>0</v>
      </c>
      <c r="N294" t="n">
        <v>0</v>
      </c>
      <c r="O294" t="n">
        <v>0</v>
      </c>
      <c r="P294" t="n">
        <v>0</v>
      </c>
      <c r="Q294" t="n">
        <v>0</v>
      </c>
      <c r="R294" s="2" t="inlineStr"/>
    </row>
    <row r="295" ht="15" customHeight="1">
      <c r="A295" t="inlineStr">
        <is>
          <t>A 12878-2025</t>
        </is>
      </c>
      <c r="B295" s="1" t="n">
        <v>45733.68571759259</v>
      </c>
      <c r="C295" s="1" t="n">
        <v>45883</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33955-2024</t>
        </is>
      </c>
      <c r="B296" s="1" t="n">
        <v>45523.46952546296</v>
      </c>
      <c r="C296" s="1" t="n">
        <v>45883</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45883</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67982-2021</t>
        </is>
      </c>
      <c r="B298" s="1" t="n">
        <v>44525</v>
      </c>
      <c r="C298" s="1" t="n">
        <v>45883</v>
      </c>
      <c r="D298" t="inlineStr">
        <is>
          <t>UPPSALA LÄN</t>
        </is>
      </c>
      <c r="E298" t="inlineStr">
        <is>
          <t>ENKÖPING</t>
        </is>
      </c>
      <c r="G298" t="n">
        <v>1.7</v>
      </c>
      <c r="H298" t="n">
        <v>0</v>
      </c>
      <c r="I298" t="n">
        <v>0</v>
      </c>
      <c r="J298" t="n">
        <v>0</v>
      </c>
      <c r="K298" t="n">
        <v>0</v>
      </c>
      <c r="L298" t="n">
        <v>0</v>
      </c>
      <c r="M298" t="n">
        <v>0</v>
      </c>
      <c r="N298" t="n">
        <v>0</v>
      </c>
      <c r="O298" t="n">
        <v>0</v>
      </c>
      <c r="P298" t="n">
        <v>0</v>
      </c>
      <c r="Q298" t="n">
        <v>0</v>
      </c>
      <c r="R298" s="2" t="inlineStr"/>
    </row>
    <row r="299" ht="15" customHeight="1">
      <c r="A299" t="inlineStr">
        <is>
          <t>A 10409-2025</t>
        </is>
      </c>
      <c r="B299" s="1" t="n">
        <v>45720.631875</v>
      </c>
      <c r="C299" s="1" t="n">
        <v>45883</v>
      </c>
      <c r="D299" t="inlineStr">
        <is>
          <t>UPPSALA LÄN</t>
        </is>
      </c>
      <c r="E299" t="inlineStr">
        <is>
          <t>ENKÖPING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52889-2022</t>
        </is>
      </c>
      <c r="B300" s="1" t="n">
        <v>44875</v>
      </c>
      <c r="C300" s="1" t="n">
        <v>45883</v>
      </c>
      <c r="D300" t="inlineStr">
        <is>
          <t>UPPSALA LÄN</t>
        </is>
      </c>
      <c r="E300" t="inlineStr">
        <is>
          <t>ENKÖPING</t>
        </is>
      </c>
      <c r="G300" t="n">
        <v>1.7</v>
      </c>
      <c r="H300" t="n">
        <v>0</v>
      </c>
      <c r="I300" t="n">
        <v>0</v>
      </c>
      <c r="J300" t="n">
        <v>0</v>
      </c>
      <c r="K300" t="n">
        <v>0</v>
      </c>
      <c r="L300" t="n">
        <v>0</v>
      </c>
      <c r="M300" t="n">
        <v>0</v>
      </c>
      <c r="N300" t="n">
        <v>0</v>
      </c>
      <c r="O300" t="n">
        <v>0</v>
      </c>
      <c r="P300" t="n">
        <v>0</v>
      </c>
      <c r="Q300" t="n">
        <v>0</v>
      </c>
      <c r="R300" s="2" t="inlineStr"/>
    </row>
    <row r="301" ht="15" customHeight="1">
      <c r="A301" t="inlineStr">
        <is>
          <t>A 57831-2024</t>
        </is>
      </c>
      <c r="B301" s="1" t="n">
        <v>45631.39107638889</v>
      </c>
      <c r="C301" s="1" t="n">
        <v>45883</v>
      </c>
      <c r="D301" t="inlineStr">
        <is>
          <t>UPPSALA LÄN</t>
        </is>
      </c>
      <c r="E301" t="inlineStr">
        <is>
          <t>ENKÖPING</t>
        </is>
      </c>
      <c r="G301" t="n">
        <v>7.2</v>
      </c>
      <c r="H301" t="n">
        <v>0</v>
      </c>
      <c r="I301" t="n">
        <v>0</v>
      </c>
      <c r="J301" t="n">
        <v>0</v>
      </c>
      <c r="K301" t="n">
        <v>0</v>
      </c>
      <c r="L301" t="n">
        <v>0</v>
      </c>
      <c r="M301" t="n">
        <v>0</v>
      </c>
      <c r="N301" t="n">
        <v>0</v>
      </c>
      <c r="O301" t="n">
        <v>0</v>
      </c>
      <c r="P301" t="n">
        <v>0</v>
      </c>
      <c r="Q301" t="n">
        <v>0</v>
      </c>
      <c r="R301" s="2" t="inlineStr"/>
    </row>
    <row r="302" ht="15" customHeight="1">
      <c r="A302" t="inlineStr">
        <is>
          <t>A 57835-2024</t>
        </is>
      </c>
      <c r="B302" s="1" t="n">
        <v>45631.39947916667</v>
      </c>
      <c r="C302" s="1" t="n">
        <v>45883</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57848-2024</t>
        </is>
      </c>
      <c r="B303" s="1" t="n">
        <v>45631.40947916666</v>
      </c>
      <c r="C303" s="1" t="n">
        <v>45883</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21612-2023</t>
        </is>
      </c>
      <c r="B304" s="1" t="n">
        <v>45063</v>
      </c>
      <c r="C304" s="1" t="n">
        <v>45883</v>
      </c>
      <c r="D304" t="inlineStr">
        <is>
          <t>UPPSALA LÄN</t>
        </is>
      </c>
      <c r="E304" t="inlineStr">
        <is>
          <t>ENKÖPING</t>
        </is>
      </c>
      <c r="F304" t="inlineStr">
        <is>
          <t>Allmännings- och besparingsskogar</t>
        </is>
      </c>
      <c r="G304" t="n">
        <v>1</v>
      </c>
      <c r="H304" t="n">
        <v>0</v>
      </c>
      <c r="I304" t="n">
        <v>0</v>
      </c>
      <c r="J304" t="n">
        <v>0</v>
      </c>
      <c r="K304" t="n">
        <v>0</v>
      </c>
      <c r="L304" t="n">
        <v>0</v>
      </c>
      <c r="M304" t="n">
        <v>0</v>
      </c>
      <c r="N304" t="n">
        <v>0</v>
      </c>
      <c r="O304" t="n">
        <v>0</v>
      </c>
      <c r="P304" t="n">
        <v>0</v>
      </c>
      <c r="Q304" t="n">
        <v>0</v>
      </c>
      <c r="R304" s="2" t="inlineStr"/>
    </row>
    <row r="305" ht="15" customHeight="1">
      <c r="A305" t="inlineStr">
        <is>
          <t>A 39624-2023</t>
        </is>
      </c>
      <c r="B305" s="1" t="n">
        <v>45164</v>
      </c>
      <c r="C305" s="1" t="n">
        <v>45883</v>
      </c>
      <c r="D305" t="inlineStr">
        <is>
          <t>UPPSALA LÄN</t>
        </is>
      </c>
      <c r="E305" t="inlineStr">
        <is>
          <t>ENKÖPING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47681-2024</t>
        </is>
      </c>
      <c r="B306" s="1" t="n">
        <v>45588</v>
      </c>
      <c r="C306" s="1" t="n">
        <v>45883</v>
      </c>
      <c r="D306" t="inlineStr">
        <is>
          <t>UPPSALA LÄN</t>
        </is>
      </c>
      <c r="E306" t="inlineStr">
        <is>
          <t>ENKÖPING</t>
        </is>
      </c>
      <c r="G306" t="n">
        <v>4.2</v>
      </c>
      <c r="H306" t="n">
        <v>0</v>
      </c>
      <c r="I306" t="n">
        <v>0</v>
      </c>
      <c r="J306" t="n">
        <v>0</v>
      </c>
      <c r="K306" t="n">
        <v>0</v>
      </c>
      <c r="L306" t="n">
        <v>0</v>
      </c>
      <c r="M306" t="n">
        <v>0</v>
      </c>
      <c r="N306" t="n">
        <v>0</v>
      </c>
      <c r="O306" t="n">
        <v>0</v>
      </c>
      <c r="P306" t="n">
        <v>0</v>
      </c>
      <c r="Q306" t="n">
        <v>0</v>
      </c>
      <c r="R306" s="2" t="inlineStr"/>
    </row>
    <row r="307" ht="15" customHeight="1">
      <c r="A307" t="inlineStr">
        <is>
          <t>A 12754-2025</t>
        </is>
      </c>
      <c r="B307" s="1" t="n">
        <v>45733.56331018519</v>
      </c>
      <c r="C307" s="1" t="n">
        <v>45883</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54588-2024</t>
        </is>
      </c>
      <c r="B308" s="1" t="n">
        <v>45617</v>
      </c>
      <c r="C308" s="1" t="n">
        <v>45883</v>
      </c>
      <c r="D308" t="inlineStr">
        <is>
          <t>UPPSALA LÄN</t>
        </is>
      </c>
      <c r="E308" t="inlineStr">
        <is>
          <t>ENKÖPING</t>
        </is>
      </c>
      <c r="G308" t="n">
        <v>3.7</v>
      </c>
      <c r="H308" t="n">
        <v>0</v>
      </c>
      <c r="I308" t="n">
        <v>0</v>
      </c>
      <c r="J308" t="n">
        <v>0</v>
      </c>
      <c r="K308" t="n">
        <v>0</v>
      </c>
      <c r="L308" t="n">
        <v>0</v>
      </c>
      <c r="M308" t="n">
        <v>0</v>
      </c>
      <c r="N308" t="n">
        <v>0</v>
      </c>
      <c r="O308" t="n">
        <v>0</v>
      </c>
      <c r="P308" t="n">
        <v>0</v>
      </c>
      <c r="Q308" t="n">
        <v>0</v>
      </c>
      <c r="R308" s="2" t="inlineStr"/>
    </row>
    <row r="309" ht="15" customHeight="1">
      <c r="A309" t="inlineStr">
        <is>
          <t>A 56713-2024</t>
        </is>
      </c>
      <c r="B309" s="1" t="n">
        <v>45628</v>
      </c>
      <c r="C309" s="1" t="n">
        <v>45883</v>
      </c>
      <c r="D309" t="inlineStr">
        <is>
          <t>UPPSALA LÄN</t>
        </is>
      </c>
      <c r="E309" t="inlineStr">
        <is>
          <t>ENKÖPING</t>
        </is>
      </c>
      <c r="G309" t="n">
        <v>1.7</v>
      </c>
      <c r="H309" t="n">
        <v>0</v>
      </c>
      <c r="I309" t="n">
        <v>0</v>
      </c>
      <c r="J309" t="n">
        <v>0</v>
      </c>
      <c r="K309" t="n">
        <v>0</v>
      </c>
      <c r="L309" t="n">
        <v>0</v>
      </c>
      <c r="M309" t="n">
        <v>0</v>
      </c>
      <c r="N309" t="n">
        <v>0</v>
      </c>
      <c r="O309" t="n">
        <v>0</v>
      </c>
      <c r="P309" t="n">
        <v>0</v>
      </c>
      <c r="Q309" t="n">
        <v>0</v>
      </c>
      <c r="R309" s="2" t="inlineStr"/>
    </row>
    <row r="310" ht="15" customHeight="1">
      <c r="A310" t="inlineStr">
        <is>
          <t>A 5892-2023</t>
        </is>
      </c>
      <c r="B310" s="1" t="n">
        <v>44963.64883101852</v>
      </c>
      <c r="C310" s="1" t="n">
        <v>45883</v>
      </c>
      <c r="D310" t="inlineStr">
        <is>
          <t>UPPSALA LÄN</t>
        </is>
      </c>
      <c r="E310" t="inlineStr">
        <is>
          <t>ENKÖPING</t>
        </is>
      </c>
      <c r="G310" t="n">
        <v>5.5</v>
      </c>
      <c r="H310" t="n">
        <v>0</v>
      </c>
      <c r="I310" t="n">
        <v>0</v>
      </c>
      <c r="J310" t="n">
        <v>0</v>
      </c>
      <c r="K310" t="n">
        <v>0</v>
      </c>
      <c r="L310" t="n">
        <v>0</v>
      </c>
      <c r="M310" t="n">
        <v>0</v>
      </c>
      <c r="N310" t="n">
        <v>0</v>
      </c>
      <c r="O310" t="n">
        <v>0</v>
      </c>
      <c r="P310" t="n">
        <v>0</v>
      </c>
      <c r="Q310" t="n">
        <v>0</v>
      </c>
      <c r="R310" s="2" t="inlineStr"/>
    </row>
    <row r="311" ht="15" customHeight="1">
      <c r="A311" t="inlineStr">
        <is>
          <t>A 51524-2022</t>
        </is>
      </c>
      <c r="B311" s="1" t="n">
        <v>44869</v>
      </c>
      <c r="C311" s="1" t="n">
        <v>45883</v>
      </c>
      <c r="D311" t="inlineStr">
        <is>
          <t>UPPSALA LÄN</t>
        </is>
      </c>
      <c r="E311" t="inlineStr">
        <is>
          <t>ENKÖPING</t>
        </is>
      </c>
      <c r="G311" t="n">
        <v>6.6</v>
      </c>
      <c r="H311" t="n">
        <v>0</v>
      </c>
      <c r="I311" t="n">
        <v>0</v>
      </c>
      <c r="J311" t="n">
        <v>0</v>
      </c>
      <c r="K311" t="n">
        <v>0</v>
      </c>
      <c r="L311" t="n">
        <v>0</v>
      </c>
      <c r="M311" t="n">
        <v>0</v>
      </c>
      <c r="N311" t="n">
        <v>0</v>
      </c>
      <c r="O311" t="n">
        <v>0</v>
      </c>
      <c r="P311" t="n">
        <v>0</v>
      </c>
      <c r="Q311" t="n">
        <v>0</v>
      </c>
      <c r="R311" s="2" t="inlineStr"/>
    </row>
    <row r="312" ht="15" customHeight="1">
      <c r="A312" t="inlineStr">
        <is>
          <t>A 39858-2024</t>
        </is>
      </c>
      <c r="B312" s="1" t="n">
        <v>45553</v>
      </c>
      <c r="C312" s="1" t="n">
        <v>45883</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8137-2025</t>
        </is>
      </c>
      <c r="B313" s="1" t="n">
        <v>45707.8561574074</v>
      </c>
      <c r="C313" s="1" t="n">
        <v>45883</v>
      </c>
      <c r="D313" t="inlineStr">
        <is>
          <t>UPPSALA LÄN</t>
        </is>
      </c>
      <c r="E313" t="inlineStr">
        <is>
          <t>ENKÖPING</t>
        </is>
      </c>
      <c r="G313" t="n">
        <v>0.4</v>
      </c>
      <c r="H313" t="n">
        <v>0</v>
      </c>
      <c r="I313" t="n">
        <v>0</v>
      </c>
      <c r="J313" t="n">
        <v>0</v>
      </c>
      <c r="K313" t="n">
        <v>0</v>
      </c>
      <c r="L313" t="n">
        <v>0</v>
      </c>
      <c r="M313" t="n">
        <v>0</v>
      </c>
      <c r="N313" t="n">
        <v>0</v>
      </c>
      <c r="O313" t="n">
        <v>0</v>
      </c>
      <c r="P313" t="n">
        <v>0</v>
      </c>
      <c r="Q313" t="n">
        <v>0</v>
      </c>
      <c r="R313" s="2" t="inlineStr"/>
    </row>
    <row r="314" ht="15" customHeight="1">
      <c r="A314" t="inlineStr">
        <is>
          <t>A 7868-2024</t>
        </is>
      </c>
      <c r="B314" s="1" t="n">
        <v>45350.33020833333</v>
      </c>
      <c r="C314" s="1" t="n">
        <v>45883</v>
      </c>
      <c r="D314" t="inlineStr">
        <is>
          <t>UPPSALA LÄN</t>
        </is>
      </c>
      <c r="E314" t="inlineStr">
        <is>
          <t>ENKÖPING</t>
        </is>
      </c>
      <c r="G314" t="n">
        <v>0.3</v>
      </c>
      <c r="H314" t="n">
        <v>0</v>
      </c>
      <c r="I314" t="n">
        <v>0</v>
      </c>
      <c r="J314" t="n">
        <v>0</v>
      </c>
      <c r="K314" t="n">
        <v>0</v>
      </c>
      <c r="L314" t="n">
        <v>0</v>
      </c>
      <c r="M314" t="n">
        <v>0</v>
      </c>
      <c r="N314" t="n">
        <v>0</v>
      </c>
      <c r="O314" t="n">
        <v>0</v>
      </c>
      <c r="P314" t="n">
        <v>0</v>
      </c>
      <c r="Q314" t="n">
        <v>0</v>
      </c>
      <c r="R314" s="2" t="inlineStr"/>
    </row>
    <row r="315" ht="15" customHeight="1">
      <c r="A315" t="inlineStr">
        <is>
          <t>A 49597-2024</t>
        </is>
      </c>
      <c r="B315" s="1" t="n">
        <v>45596.5589699074</v>
      </c>
      <c r="C315" s="1" t="n">
        <v>45883</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69567-2020</t>
        </is>
      </c>
      <c r="B316" s="1" t="n">
        <v>44194</v>
      </c>
      <c r="C316" s="1" t="n">
        <v>45883</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9957-2023</t>
        </is>
      </c>
      <c r="B317" s="1" t="n">
        <v>44978</v>
      </c>
      <c r="C317" s="1" t="n">
        <v>45883</v>
      </c>
      <c r="D317" t="inlineStr">
        <is>
          <t>UPPSALA LÄN</t>
        </is>
      </c>
      <c r="E317" t="inlineStr">
        <is>
          <t>ENKÖPING</t>
        </is>
      </c>
      <c r="G317" t="n">
        <v>5.9</v>
      </c>
      <c r="H317" t="n">
        <v>0</v>
      </c>
      <c r="I317" t="n">
        <v>0</v>
      </c>
      <c r="J317" t="n">
        <v>0</v>
      </c>
      <c r="K317" t="n">
        <v>0</v>
      </c>
      <c r="L317" t="n">
        <v>0</v>
      </c>
      <c r="M317" t="n">
        <v>0</v>
      </c>
      <c r="N317" t="n">
        <v>0</v>
      </c>
      <c r="O317" t="n">
        <v>0</v>
      </c>
      <c r="P317" t="n">
        <v>0</v>
      </c>
      <c r="Q317" t="n">
        <v>0</v>
      </c>
      <c r="R317" s="2" t="inlineStr"/>
    </row>
    <row r="318" ht="15" customHeight="1">
      <c r="A318" t="inlineStr">
        <is>
          <t>A 51008-2024</t>
        </is>
      </c>
      <c r="B318" s="1" t="n">
        <v>45603.39041666667</v>
      </c>
      <c r="C318" s="1" t="n">
        <v>45883</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21686-2022</t>
        </is>
      </c>
      <c r="B319" s="1" t="n">
        <v>44707</v>
      </c>
      <c r="C319" s="1" t="n">
        <v>45883</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35052-2024</t>
        </is>
      </c>
      <c r="B320" s="1" t="n">
        <v>45527.6516087963</v>
      </c>
      <c r="C320" s="1" t="n">
        <v>45883</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29479-2022</t>
        </is>
      </c>
      <c r="B321" s="1" t="n">
        <v>44753.57265046296</v>
      </c>
      <c r="C321" s="1" t="n">
        <v>45883</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8152-2022</t>
        </is>
      </c>
      <c r="B322" s="1" t="n">
        <v>44609</v>
      </c>
      <c r="C322" s="1" t="n">
        <v>45883</v>
      </c>
      <c r="D322" t="inlineStr">
        <is>
          <t>UPPSALA LÄN</t>
        </is>
      </c>
      <c r="E322" t="inlineStr">
        <is>
          <t>ENKÖPING</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49525-2021</t>
        </is>
      </c>
      <c r="B323" s="1" t="n">
        <v>44455</v>
      </c>
      <c r="C323" s="1" t="n">
        <v>45883</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6298-2021</t>
        </is>
      </c>
      <c r="B324" s="1" t="n">
        <v>44235</v>
      </c>
      <c r="C324" s="1" t="n">
        <v>45883</v>
      </c>
      <c r="D324" t="inlineStr">
        <is>
          <t>UPPSALA LÄN</t>
        </is>
      </c>
      <c r="E324" t="inlineStr">
        <is>
          <t>ENKÖPING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17657-2025</t>
        </is>
      </c>
      <c r="B325" s="1" t="n">
        <v>45758.35006944444</v>
      </c>
      <c r="C325" s="1" t="n">
        <v>45883</v>
      </c>
      <c r="D325" t="inlineStr">
        <is>
          <t>UPPSALA LÄN</t>
        </is>
      </c>
      <c r="E325" t="inlineStr">
        <is>
          <t>ENKÖPING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59441-2020</t>
        </is>
      </c>
      <c r="B326" s="1" t="n">
        <v>44148</v>
      </c>
      <c r="C326" s="1" t="n">
        <v>45883</v>
      </c>
      <c r="D326" t="inlineStr">
        <is>
          <t>UPPSALA LÄN</t>
        </is>
      </c>
      <c r="E326" t="inlineStr">
        <is>
          <t>ENKÖPING</t>
        </is>
      </c>
      <c r="G326" t="n">
        <v>4.8</v>
      </c>
      <c r="H326" t="n">
        <v>0</v>
      </c>
      <c r="I326" t="n">
        <v>0</v>
      </c>
      <c r="J326" t="n">
        <v>0</v>
      </c>
      <c r="K326" t="n">
        <v>0</v>
      </c>
      <c r="L326" t="n">
        <v>0</v>
      </c>
      <c r="M326" t="n">
        <v>0</v>
      </c>
      <c r="N326" t="n">
        <v>0</v>
      </c>
      <c r="O326" t="n">
        <v>0</v>
      </c>
      <c r="P326" t="n">
        <v>0</v>
      </c>
      <c r="Q326" t="n">
        <v>0</v>
      </c>
      <c r="R326" s="2" t="inlineStr"/>
    </row>
    <row r="327" ht="15" customHeight="1">
      <c r="A327" t="inlineStr">
        <is>
          <t>A 57328-2024</t>
        </is>
      </c>
      <c r="B327" s="1" t="n">
        <v>45629.62798611111</v>
      </c>
      <c r="C327" s="1" t="n">
        <v>45883</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14518-2025</t>
        </is>
      </c>
      <c r="B328" s="1" t="n">
        <v>45741</v>
      </c>
      <c r="C328" s="1" t="n">
        <v>45883</v>
      </c>
      <c r="D328" t="inlineStr">
        <is>
          <t>UPPSALA LÄN</t>
        </is>
      </c>
      <c r="E328" t="inlineStr">
        <is>
          <t>ENKÖPING</t>
        </is>
      </c>
      <c r="G328" t="n">
        <v>2</v>
      </c>
      <c r="H328" t="n">
        <v>0</v>
      </c>
      <c r="I328" t="n">
        <v>0</v>
      </c>
      <c r="J328" t="n">
        <v>0</v>
      </c>
      <c r="K328" t="n">
        <v>0</v>
      </c>
      <c r="L328" t="n">
        <v>0</v>
      </c>
      <c r="M328" t="n">
        <v>0</v>
      </c>
      <c r="N328" t="n">
        <v>0</v>
      </c>
      <c r="O328" t="n">
        <v>0</v>
      </c>
      <c r="P328" t="n">
        <v>0</v>
      </c>
      <c r="Q328" t="n">
        <v>0</v>
      </c>
      <c r="R328" s="2" t="inlineStr"/>
    </row>
    <row r="329" ht="15" customHeight="1">
      <c r="A329" t="inlineStr">
        <is>
          <t>A 15939-2022</t>
        </is>
      </c>
      <c r="B329" s="1" t="n">
        <v>44664</v>
      </c>
      <c r="C329" s="1" t="n">
        <v>45883</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50394-2024</t>
        </is>
      </c>
      <c r="B330" s="1" t="n">
        <v>45600</v>
      </c>
      <c r="C330" s="1" t="n">
        <v>45883</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54776-2024</t>
        </is>
      </c>
      <c r="B331" s="1" t="n">
        <v>45618</v>
      </c>
      <c r="C331" s="1" t="n">
        <v>45883</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72840-2021</t>
        </is>
      </c>
      <c r="B332" s="1" t="n">
        <v>44547</v>
      </c>
      <c r="C332" s="1" t="n">
        <v>45883</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22150-2025</t>
        </is>
      </c>
      <c r="B333" s="1" t="n">
        <v>45785.56398148148</v>
      </c>
      <c r="C333" s="1" t="n">
        <v>45883</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57841-2024</t>
        </is>
      </c>
      <c r="B334" s="1" t="n">
        <v>45631.40591435185</v>
      </c>
      <c r="C334" s="1" t="n">
        <v>45883</v>
      </c>
      <c r="D334" t="inlineStr">
        <is>
          <t>UPPSALA LÄN</t>
        </is>
      </c>
      <c r="E334" t="inlineStr">
        <is>
          <t>ENKÖPING</t>
        </is>
      </c>
      <c r="G334" t="n">
        <v>3.4</v>
      </c>
      <c r="H334" t="n">
        <v>0</v>
      </c>
      <c r="I334" t="n">
        <v>0</v>
      </c>
      <c r="J334" t="n">
        <v>0</v>
      </c>
      <c r="K334" t="n">
        <v>0</v>
      </c>
      <c r="L334" t="n">
        <v>0</v>
      </c>
      <c r="M334" t="n">
        <v>0</v>
      </c>
      <c r="N334" t="n">
        <v>0</v>
      </c>
      <c r="O334" t="n">
        <v>0</v>
      </c>
      <c r="P334" t="n">
        <v>0</v>
      </c>
      <c r="Q334" t="n">
        <v>0</v>
      </c>
      <c r="R334" s="2" t="inlineStr"/>
    </row>
    <row r="335" ht="15" customHeight="1">
      <c r="A335" t="inlineStr">
        <is>
          <t>A 56837-2024</t>
        </is>
      </c>
      <c r="B335" s="1" t="n">
        <v>45628</v>
      </c>
      <c r="C335" s="1" t="n">
        <v>45883</v>
      </c>
      <c r="D335" t="inlineStr">
        <is>
          <t>UPPSALA LÄN</t>
        </is>
      </c>
      <c r="E335" t="inlineStr">
        <is>
          <t>ENKÖPING</t>
        </is>
      </c>
      <c r="G335" t="n">
        <v>2.2</v>
      </c>
      <c r="H335" t="n">
        <v>0</v>
      </c>
      <c r="I335" t="n">
        <v>0</v>
      </c>
      <c r="J335" t="n">
        <v>0</v>
      </c>
      <c r="K335" t="n">
        <v>0</v>
      </c>
      <c r="L335" t="n">
        <v>0</v>
      </c>
      <c r="M335" t="n">
        <v>0</v>
      </c>
      <c r="N335" t="n">
        <v>0</v>
      </c>
      <c r="O335" t="n">
        <v>0</v>
      </c>
      <c r="P335" t="n">
        <v>0</v>
      </c>
      <c r="Q335" t="n">
        <v>0</v>
      </c>
      <c r="R335" s="2" t="inlineStr"/>
    </row>
    <row r="336" ht="15" customHeight="1">
      <c r="A336" t="inlineStr">
        <is>
          <t>A 22156-2025</t>
        </is>
      </c>
      <c r="B336" s="1" t="n">
        <v>45785.57512731481</v>
      </c>
      <c r="C336" s="1" t="n">
        <v>45883</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30087-2024</t>
        </is>
      </c>
      <c r="B337" s="1" t="n">
        <v>45489.39447916667</v>
      </c>
      <c r="C337" s="1" t="n">
        <v>45883</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22632-2025</t>
        </is>
      </c>
      <c r="B338" s="1" t="n">
        <v>45789.44361111111</v>
      </c>
      <c r="C338" s="1" t="n">
        <v>45883</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22677-2025</t>
        </is>
      </c>
      <c r="B339" s="1" t="n">
        <v>45789.49515046296</v>
      </c>
      <c r="C339" s="1" t="n">
        <v>45883</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22679-2025</t>
        </is>
      </c>
      <c r="B340" s="1" t="n">
        <v>45789.49747685185</v>
      </c>
      <c r="C340" s="1" t="n">
        <v>45883</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22729-2025</t>
        </is>
      </c>
      <c r="B341" s="1" t="n">
        <v>45789.57790509259</v>
      </c>
      <c r="C341" s="1" t="n">
        <v>45883</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22786-2025</t>
        </is>
      </c>
      <c r="B342" s="1" t="n">
        <v>45789.64643518518</v>
      </c>
      <c r="C342" s="1" t="n">
        <v>45883</v>
      </c>
      <c r="D342" t="inlineStr">
        <is>
          <t>UPPSALA LÄN</t>
        </is>
      </c>
      <c r="E342" t="inlineStr">
        <is>
          <t>ENKÖPING</t>
        </is>
      </c>
      <c r="G342" t="n">
        <v>0.9</v>
      </c>
      <c r="H342" t="n">
        <v>0</v>
      </c>
      <c r="I342" t="n">
        <v>0</v>
      </c>
      <c r="J342" t="n">
        <v>0</v>
      </c>
      <c r="K342" t="n">
        <v>0</v>
      </c>
      <c r="L342" t="n">
        <v>0</v>
      </c>
      <c r="M342" t="n">
        <v>0</v>
      </c>
      <c r="N342" t="n">
        <v>0</v>
      </c>
      <c r="O342" t="n">
        <v>0</v>
      </c>
      <c r="P342" t="n">
        <v>0</v>
      </c>
      <c r="Q342" t="n">
        <v>0</v>
      </c>
      <c r="R342" s="2" t="inlineStr"/>
    </row>
    <row r="343" ht="15" customHeight="1">
      <c r="A343" t="inlineStr">
        <is>
          <t>A 22795-2025</t>
        </is>
      </c>
      <c r="B343" s="1" t="n">
        <v>45789.65944444444</v>
      </c>
      <c r="C343" s="1" t="n">
        <v>45883</v>
      </c>
      <c r="D343" t="inlineStr">
        <is>
          <t>UPPSALA LÄN</t>
        </is>
      </c>
      <c r="E343" t="inlineStr">
        <is>
          <t>ENKÖPING</t>
        </is>
      </c>
      <c r="G343" t="n">
        <v>10.4</v>
      </c>
      <c r="H343" t="n">
        <v>0</v>
      </c>
      <c r="I343" t="n">
        <v>0</v>
      </c>
      <c r="J343" t="n">
        <v>0</v>
      </c>
      <c r="K343" t="n">
        <v>0</v>
      </c>
      <c r="L343" t="n">
        <v>0</v>
      </c>
      <c r="M343" t="n">
        <v>0</v>
      </c>
      <c r="N343" t="n">
        <v>0</v>
      </c>
      <c r="O343" t="n">
        <v>0</v>
      </c>
      <c r="P343" t="n">
        <v>0</v>
      </c>
      <c r="Q343" t="n">
        <v>0</v>
      </c>
      <c r="R343" s="2" t="inlineStr"/>
    </row>
    <row r="344" ht="15" customHeight="1">
      <c r="A344" t="inlineStr">
        <is>
          <t>A 22802-2025</t>
        </is>
      </c>
      <c r="B344" s="1" t="n">
        <v>45789.6686574074</v>
      </c>
      <c r="C344" s="1" t="n">
        <v>45883</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55876-2024</t>
        </is>
      </c>
      <c r="B345" s="1" t="n">
        <v>45623.5546412037</v>
      </c>
      <c r="C345" s="1" t="n">
        <v>45883</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25334-2023</t>
        </is>
      </c>
      <c r="B346" s="1" t="n">
        <v>45083</v>
      </c>
      <c r="C346" s="1" t="n">
        <v>45883</v>
      </c>
      <c r="D346" t="inlineStr">
        <is>
          <t>UPPSALA LÄN</t>
        </is>
      </c>
      <c r="E346" t="inlineStr">
        <is>
          <t>ENKÖPING</t>
        </is>
      </c>
      <c r="G346" t="n">
        <v>0.2</v>
      </c>
      <c r="H346" t="n">
        <v>0</v>
      </c>
      <c r="I346" t="n">
        <v>0</v>
      </c>
      <c r="J346" t="n">
        <v>0</v>
      </c>
      <c r="K346" t="n">
        <v>0</v>
      </c>
      <c r="L346" t="n">
        <v>0</v>
      </c>
      <c r="M346" t="n">
        <v>0</v>
      </c>
      <c r="N346" t="n">
        <v>0</v>
      </c>
      <c r="O346" t="n">
        <v>0</v>
      </c>
      <c r="P346" t="n">
        <v>0</v>
      </c>
      <c r="Q346" t="n">
        <v>0</v>
      </c>
      <c r="R346" s="2" t="inlineStr"/>
    </row>
    <row r="347" ht="15" customHeight="1">
      <c r="A347" t="inlineStr">
        <is>
          <t>A 22680-2025</t>
        </is>
      </c>
      <c r="B347" s="1" t="n">
        <v>45789.5005787037</v>
      </c>
      <c r="C347" s="1" t="n">
        <v>45883</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33349-2024</t>
        </is>
      </c>
      <c r="B348" s="1" t="n">
        <v>45519</v>
      </c>
      <c r="C348" s="1" t="n">
        <v>45883</v>
      </c>
      <c r="D348" t="inlineStr">
        <is>
          <t>UPPSALA LÄN</t>
        </is>
      </c>
      <c r="E348" t="inlineStr">
        <is>
          <t>ENKÖPING</t>
        </is>
      </c>
      <c r="G348" t="n">
        <v>3.6</v>
      </c>
      <c r="H348" t="n">
        <v>0</v>
      </c>
      <c r="I348" t="n">
        <v>0</v>
      </c>
      <c r="J348" t="n">
        <v>0</v>
      </c>
      <c r="K348" t="n">
        <v>0</v>
      </c>
      <c r="L348" t="n">
        <v>0</v>
      </c>
      <c r="M348" t="n">
        <v>0</v>
      </c>
      <c r="N348" t="n">
        <v>0</v>
      </c>
      <c r="O348" t="n">
        <v>0</v>
      </c>
      <c r="P348" t="n">
        <v>0</v>
      </c>
      <c r="Q348" t="n">
        <v>0</v>
      </c>
      <c r="R348" s="2" t="inlineStr"/>
    </row>
    <row r="349" ht="15" customHeight="1">
      <c r="A349" t="inlineStr">
        <is>
          <t>A 6981-2025</t>
        </is>
      </c>
      <c r="B349" s="1" t="n">
        <v>45701</v>
      </c>
      <c r="C349" s="1" t="n">
        <v>45883</v>
      </c>
      <c r="D349" t="inlineStr">
        <is>
          <t>UPPSALA LÄN</t>
        </is>
      </c>
      <c r="E349" t="inlineStr">
        <is>
          <t>ENKÖPING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22770-2025</t>
        </is>
      </c>
      <c r="B350" s="1" t="n">
        <v>45789.63454861111</v>
      </c>
      <c r="C350" s="1" t="n">
        <v>45883</v>
      </c>
      <c r="D350" t="inlineStr">
        <is>
          <t>UPPSALA LÄN</t>
        </is>
      </c>
      <c r="E350" t="inlineStr">
        <is>
          <t>ENKÖPING</t>
        </is>
      </c>
      <c r="G350" t="n">
        <v>4.5</v>
      </c>
      <c r="H350" t="n">
        <v>0</v>
      </c>
      <c r="I350" t="n">
        <v>0</v>
      </c>
      <c r="J350" t="n">
        <v>0</v>
      </c>
      <c r="K350" t="n">
        <v>0</v>
      </c>
      <c r="L350" t="n">
        <v>0</v>
      </c>
      <c r="M350" t="n">
        <v>0</v>
      </c>
      <c r="N350" t="n">
        <v>0</v>
      </c>
      <c r="O350" t="n">
        <v>0</v>
      </c>
      <c r="P350" t="n">
        <v>0</v>
      </c>
      <c r="Q350" t="n">
        <v>0</v>
      </c>
      <c r="R350" s="2" t="inlineStr"/>
    </row>
    <row r="351" ht="15" customHeight="1">
      <c r="A351" t="inlineStr">
        <is>
          <t>A 22725-2025</t>
        </is>
      </c>
      <c r="B351" s="1" t="n">
        <v>45789.57371527778</v>
      </c>
      <c r="C351" s="1" t="n">
        <v>45883</v>
      </c>
      <c r="D351" t="inlineStr">
        <is>
          <t>UPPSALA LÄN</t>
        </is>
      </c>
      <c r="E351" t="inlineStr">
        <is>
          <t>ENKÖPING</t>
        </is>
      </c>
      <c r="G351" t="n">
        <v>4.8</v>
      </c>
      <c r="H351" t="n">
        <v>0</v>
      </c>
      <c r="I351" t="n">
        <v>0</v>
      </c>
      <c r="J351" t="n">
        <v>0</v>
      </c>
      <c r="K351" t="n">
        <v>0</v>
      </c>
      <c r="L351" t="n">
        <v>0</v>
      </c>
      <c r="M351" t="n">
        <v>0</v>
      </c>
      <c r="N351" t="n">
        <v>0</v>
      </c>
      <c r="O351" t="n">
        <v>0</v>
      </c>
      <c r="P351" t="n">
        <v>0</v>
      </c>
      <c r="Q351" t="n">
        <v>0</v>
      </c>
      <c r="R351" s="2" t="inlineStr"/>
    </row>
    <row r="352" ht="15" customHeight="1">
      <c r="A352" t="inlineStr">
        <is>
          <t>A 22981-2025</t>
        </is>
      </c>
      <c r="B352" s="1" t="n">
        <v>45790.56964120371</v>
      </c>
      <c r="C352" s="1" t="n">
        <v>45883</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23020-2025</t>
        </is>
      </c>
      <c r="B353" s="1" t="n">
        <v>45790.64706018518</v>
      </c>
      <c r="C353" s="1" t="n">
        <v>45883</v>
      </c>
      <c r="D353" t="inlineStr">
        <is>
          <t>UPPSALA LÄN</t>
        </is>
      </c>
      <c r="E353" t="inlineStr">
        <is>
          <t>ENKÖPING</t>
        </is>
      </c>
      <c r="G353" t="n">
        <v>5.2</v>
      </c>
      <c r="H353" t="n">
        <v>0</v>
      </c>
      <c r="I353" t="n">
        <v>0</v>
      </c>
      <c r="J353" t="n">
        <v>0</v>
      </c>
      <c r="K353" t="n">
        <v>0</v>
      </c>
      <c r="L353" t="n">
        <v>0</v>
      </c>
      <c r="M353" t="n">
        <v>0</v>
      </c>
      <c r="N353" t="n">
        <v>0</v>
      </c>
      <c r="O353" t="n">
        <v>0</v>
      </c>
      <c r="P353" t="n">
        <v>0</v>
      </c>
      <c r="Q353" t="n">
        <v>0</v>
      </c>
      <c r="R353" s="2" t="inlineStr"/>
    </row>
    <row r="354" ht="15" customHeight="1">
      <c r="A354" t="inlineStr">
        <is>
          <t>A 68123-2021</t>
        </is>
      </c>
      <c r="B354" s="1" t="n">
        <v>44526.39126157408</v>
      </c>
      <c r="C354" s="1" t="n">
        <v>45883</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22793-2025</t>
        </is>
      </c>
      <c r="B355" s="1" t="n">
        <v>45789.65693287037</v>
      </c>
      <c r="C355" s="1" t="n">
        <v>45883</v>
      </c>
      <c r="D355" t="inlineStr">
        <is>
          <t>UPPSALA LÄN</t>
        </is>
      </c>
      <c r="E355" t="inlineStr">
        <is>
          <t>ENKÖPING</t>
        </is>
      </c>
      <c r="G355" t="n">
        <v>3.2</v>
      </c>
      <c r="H355" t="n">
        <v>0</v>
      </c>
      <c r="I355" t="n">
        <v>0</v>
      </c>
      <c r="J355" t="n">
        <v>0</v>
      </c>
      <c r="K355" t="n">
        <v>0</v>
      </c>
      <c r="L355" t="n">
        <v>0</v>
      </c>
      <c r="M355" t="n">
        <v>0</v>
      </c>
      <c r="N355" t="n">
        <v>0</v>
      </c>
      <c r="O355" t="n">
        <v>0</v>
      </c>
      <c r="P355" t="n">
        <v>0</v>
      </c>
      <c r="Q355" t="n">
        <v>0</v>
      </c>
      <c r="R355" s="2" t="inlineStr"/>
    </row>
    <row r="356" ht="15" customHeight="1">
      <c r="A356" t="inlineStr">
        <is>
          <t>A 22800-2025</t>
        </is>
      </c>
      <c r="B356" s="1" t="n">
        <v>45789.6669212963</v>
      </c>
      <c r="C356" s="1" t="n">
        <v>45883</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53587-2024</t>
        </is>
      </c>
      <c r="B357" s="1" t="n">
        <v>45614.66953703704</v>
      </c>
      <c r="C357" s="1" t="n">
        <v>45883</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17729-2023</t>
        </is>
      </c>
      <c r="B358" s="1" t="n">
        <v>45037</v>
      </c>
      <c r="C358" s="1" t="n">
        <v>45883</v>
      </c>
      <c r="D358" t="inlineStr">
        <is>
          <t>UPPSALA LÄN</t>
        </is>
      </c>
      <c r="E358" t="inlineStr">
        <is>
          <t>ENKÖPING</t>
        </is>
      </c>
      <c r="G358" t="n">
        <v>10.2</v>
      </c>
      <c r="H358" t="n">
        <v>0</v>
      </c>
      <c r="I358" t="n">
        <v>0</v>
      </c>
      <c r="J358" t="n">
        <v>0</v>
      </c>
      <c r="K358" t="n">
        <v>0</v>
      </c>
      <c r="L358" t="n">
        <v>0</v>
      </c>
      <c r="M358" t="n">
        <v>0</v>
      </c>
      <c r="N358" t="n">
        <v>0</v>
      </c>
      <c r="O358" t="n">
        <v>0</v>
      </c>
      <c r="P358" t="n">
        <v>0</v>
      </c>
      <c r="Q358" t="n">
        <v>0</v>
      </c>
      <c r="R358" s="2" t="inlineStr"/>
    </row>
    <row r="359" ht="15" customHeight="1">
      <c r="A359" t="inlineStr">
        <is>
          <t>A 18583-2021</t>
        </is>
      </c>
      <c r="B359" s="1" t="n">
        <v>44306</v>
      </c>
      <c r="C359" s="1" t="n">
        <v>45883</v>
      </c>
      <c r="D359" t="inlineStr">
        <is>
          <t>UPPSALA LÄN</t>
        </is>
      </c>
      <c r="E359" t="inlineStr">
        <is>
          <t>ENKÖPING</t>
        </is>
      </c>
      <c r="G359" t="n">
        <v>0.4</v>
      </c>
      <c r="H359" t="n">
        <v>0</v>
      </c>
      <c r="I359" t="n">
        <v>0</v>
      </c>
      <c r="J359" t="n">
        <v>0</v>
      </c>
      <c r="K359" t="n">
        <v>0</v>
      </c>
      <c r="L359" t="n">
        <v>0</v>
      </c>
      <c r="M359" t="n">
        <v>0</v>
      </c>
      <c r="N359" t="n">
        <v>0</v>
      </c>
      <c r="O359" t="n">
        <v>0</v>
      </c>
      <c r="P359" t="n">
        <v>0</v>
      </c>
      <c r="Q359" t="n">
        <v>0</v>
      </c>
      <c r="R359" s="2" t="inlineStr"/>
    </row>
    <row r="360" ht="15" customHeight="1">
      <c r="A360" t="inlineStr">
        <is>
          <t>A 5749-2025</t>
        </is>
      </c>
      <c r="B360" s="1" t="n">
        <v>45694</v>
      </c>
      <c r="C360" s="1" t="n">
        <v>45883</v>
      </c>
      <c r="D360" t="inlineStr">
        <is>
          <t>UPPSALA LÄN</t>
        </is>
      </c>
      <c r="E360" t="inlineStr">
        <is>
          <t>ENKÖPING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8020-2022</t>
        </is>
      </c>
      <c r="B361" s="1" t="n">
        <v>44609</v>
      </c>
      <c r="C361" s="1" t="n">
        <v>45883</v>
      </c>
      <c r="D361" t="inlineStr">
        <is>
          <t>UPPSALA LÄN</t>
        </is>
      </c>
      <c r="E361" t="inlineStr">
        <is>
          <t>ENKÖPING</t>
        </is>
      </c>
      <c r="G361" t="n">
        <v>6</v>
      </c>
      <c r="H361" t="n">
        <v>0</v>
      </c>
      <c r="I361" t="n">
        <v>0</v>
      </c>
      <c r="J361" t="n">
        <v>0</v>
      </c>
      <c r="K361" t="n">
        <v>0</v>
      </c>
      <c r="L361" t="n">
        <v>0</v>
      </c>
      <c r="M361" t="n">
        <v>0</v>
      </c>
      <c r="N361" t="n">
        <v>0</v>
      </c>
      <c r="O361" t="n">
        <v>0</v>
      </c>
      <c r="P361" t="n">
        <v>0</v>
      </c>
      <c r="Q361" t="n">
        <v>0</v>
      </c>
      <c r="R361" s="2" t="inlineStr"/>
    </row>
    <row r="362" ht="15" customHeight="1">
      <c r="A362" t="inlineStr">
        <is>
          <t>A 60125-2024</t>
        </is>
      </c>
      <c r="B362" s="1" t="n">
        <v>45642</v>
      </c>
      <c r="C362" s="1" t="n">
        <v>45883</v>
      </c>
      <c r="D362" t="inlineStr">
        <is>
          <t>UPPSALA LÄN</t>
        </is>
      </c>
      <c r="E362" t="inlineStr">
        <is>
          <t>ENKÖPING</t>
        </is>
      </c>
      <c r="G362" t="n">
        <v>2.1</v>
      </c>
      <c r="H362" t="n">
        <v>0</v>
      </c>
      <c r="I362" t="n">
        <v>0</v>
      </c>
      <c r="J362" t="n">
        <v>0</v>
      </c>
      <c r="K362" t="n">
        <v>0</v>
      </c>
      <c r="L362" t="n">
        <v>0</v>
      </c>
      <c r="M362" t="n">
        <v>0</v>
      </c>
      <c r="N362" t="n">
        <v>0</v>
      </c>
      <c r="O362" t="n">
        <v>0</v>
      </c>
      <c r="P362" t="n">
        <v>0</v>
      </c>
      <c r="Q362" t="n">
        <v>0</v>
      </c>
      <c r="R362" s="2" t="inlineStr"/>
    </row>
    <row r="363" ht="15" customHeight="1">
      <c r="A363" t="inlineStr">
        <is>
          <t>A 34805-2024</t>
        </is>
      </c>
      <c r="B363" s="1" t="n">
        <v>45526</v>
      </c>
      <c r="C363" s="1" t="n">
        <v>45883</v>
      </c>
      <c r="D363" t="inlineStr">
        <is>
          <t>UPPSALA LÄN</t>
        </is>
      </c>
      <c r="E363" t="inlineStr">
        <is>
          <t>ENKÖPING</t>
        </is>
      </c>
      <c r="G363" t="n">
        <v>3.6</v>
      </c>
      <c r="H363" t="n">
        <v>0</v>
      </c>
      <c r="I363" t="n">
        <v>0</v>
      </c>
      <c r="J363" t="n">
        <v>0</v>
      </c>
      <c r="K363" t="n">
        <v>0</v>
      </c>
      <c r="L363" t="n">
        <v>0</v>
      </c>
      <c r="M363" t="n">
        <v>0</v>
      </c>
      <c r="N363" t="n">
        <v>0</v>
      </c>
      <c r="O363" t="n">
        <v>0</v>
      </c>
      <c r="P363" t="n">
        <v>0</v>
      </c>
      <c r="Q363" t="n">
        <v>0</v>
      </c>
      <c r="R363" s="2" t="inlineStr"/>
    </row>
    <row r="364" ht="15" customHeight="1">
      <c r="A364" t="inlineStr">
        <is>
          <t>A 314-2025</t>
        </is>
      </c>
      <c r="B364" s="1" t="n">
        <v>45656</v>
      </c>
      <c r="C364" s="1" t="n">
        <v>45883</v>
      </c>
      <c r="D364" t="inlineStr">
        <is>
          <t>UPPSALA LÄN</t>
        </is>
      </c>
      <c r="E364" t="inlineStr">
        <is>
          <t>ENKÖPING</t>
        </is>
      </c>
      <c r="G364" t="n">
        <v>9</v>
      </c>
      <c r="H364" t="n">
        <v>0</v>
      </c>
      <c r="I364" t="n">
        <v>0</v>
      </c>
      <c r="J364" t="n">
        <v>0</v>
      </c>
      <c r="K364" t="n">
        <v>0</v>
      </c>
      <c r="L364" t="n">
        <v>0</v>
      </c>
      <c r="M364" t="n">
        <v>0</v>
      </c>
      <c r="N364" t="n">
        <v>0</v>
      </c>
      <c r="O364" t="n">
        <v>0</v>
      </c>
      <c r="P364" t="n">
        <v>0</v>
      </c>
      <c r="Q364" t="n">
        <v>0</v>
      </c>
      <c r="R364" s="2" t="inlineStr"/>
    </row>
    <row r="365" ht="15" customHeight="1">
      <c r="A365" t="inlineStr">
        <is>
          <t>A 10831-2024</t>
        </is>
      </c>
      <c r="B365" s="1" t="n">
        <v>45369</v>
      </c>
      <c r="C365" s="1" t="n">
        <v>45883</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5712-2025</t>
        </is>
      </c>
      <c r="B366" s="1" t="n">
        <v>45694</v>
      </c>
      <c r="C366" s="1" t="n">
        <v>45883</v>
      </c>
      <c r="D366" t="inlineStr">
        <is>
          <t>UPPSALA LÄN</t>
        </is>
      </c>
      <c r="E366" t="inlineStr">
        <is>
          <t>ENKÖPING</t>
        </is>
      </c>
      <c r="G366" t="n">
        <v>5.1</v>
      </c>
      <c r="H366" t="n">
        <v>0</v>
      </c>
      <c r="I366" t="n">
        <v>0</v>
      </c>
      <c r="J366" t="n">
        <v>0</v>
      </c>
      <c r="K366" t="n">
        <v>0</v>
      </c>
      <c r="L366" t="n">
        <v>0</v>
      </c>
      <c r="M366" t="n">
        <v>0</v>
      </c>
      <c r="N366" t="n">
        <v>0</v>
      </c>
      <c r="O366" t="n">
        <v>0</v>
      </c>
      <c r="P366" t="n">
        <v>0</v>
      </c>
      <c r="Q366" t="n">
        <v>0</v>
      </c>
      <c r="R366" s="2" t="inlineStr"/>
    </row>
    <row r="367" ht="15" customHeight="1">
      <c r="A367" t="inlineStr">
        <is>
          <t>A 1695-2025</t>
        </is>
      </c>
      <c r="B367" s="1" t="n">
        <v>45670</v>
      </c>
      <c r="C367" s="1" t="n">
        <v>45883</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59027-2024</t>
        </is>
      </c>
      <c r="B368" s="1" t="n">
        <v>45636.68755787037</v>
      </c>
      <c r="C368" s="1" t="n">
        <v>45883</v>
      </c>
      <c r="D368" t="inlineStr">
        <is>
          <t>UPPSALA LÄN</t>
        </is>
      </c>
      <c r="E368" t="inlineStr">
        <is>
          <t>ENKÖPING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45956-2024</t>
        </is>
      </c>
      <c r="B369" s="1" t="n">
        <v>45580</v>
      </c>
      <c r="C369" s="1" t="n">
        <v>45883</v>
      </c>
      <c r="D369" t="inlineStr">
        <is>
          <t>UPPSALA LÄN</t>
        </is>
      </c>
      <c r="E369" t="inlineStr">
        <is>
          <t>ENKÖPING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18994-2025</t>
        </is>
      </c>
      <c r="B370" s="1" t="n">
        <v>45764.57350694444</v>
      </c>
      <c r="C370" s="1" t="n">
        <v>45883</v>
      </c>
      <c r="D370" t="inlineStr">
        <is>
          <t>UPPSALA LÄN</t>
        </is>
      </c>
      <c r="E370" t="inlineStr">
        <is>
          <t>ENKÖPING</t>
        </is>
      </c>
      <c r="G370" t="n">
        <v>3.8</v>
      </c>
      <c r="H370" t="n">
        <v>0</v>
      </c>
      <c r="I370" t="n">
        <v>0</v>
      </c>
      <c r="J370" t="n">
        <v>0</v>
      </c>
      <c r="K370" t="n">
        <v>0</v>
      </c>
      <c r="L370" t="n">
        <v>0</v>
      </c>
      <c r="M370" t="n">
        <v>0</v>
      </c>
      <c r="N370" t="n">
        <v>0</v>
      </c>
      <c r="O370" t="n">
        <v>0</v>
      </c>
      <c r="P370" t="n">
        <v>0</v>
      </c>
      <c r="Q370" t="n">
        <v>0</v>
      </c>
      <c r="R370" s="2" t="inlineStr"/>
    </row>
    <row r="371" ht="15" customHeight="1">
      <c r="A371" t="inlineStr">
        <is>
          <t>A 11627-2025</t>
        </is>
      </c>
      <c r="B371" s="1" t="n">
        <v>45727</v>
      </c>
      <c r="C371" s="1" t="n">
        <v>45883</v>
      </c>
      <c r="D371" t="inlineStr">
        <is>
          <t>UPPSALA LÄN</t>
        </is>
      </c>
      <c r="E371" t="inlineStr">
        <is>
          <t>ENKÖPING</t>
        </is>
      </c>
      <c r="G371" t="n">
        <v>5.5</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45883</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42564-2024</t>
        </is>
      </c>
      <c r="B373" s="1" t="n">
        <v>45565.63358796296</v>
      </c>
      <c r="C373" s="1" t="n">
        <v>45883</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3235-2025</t>
        </is>
      </c>
      <c r="B374" s="1" t="n">
        <v>45679</v>
      </c>
      <c r="C374" s="1" t="n">
        <v>45883</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37870-2023</t>
        </is>
      </c>
      <c r="B375" s="1" t="n">
        <v>45160.41996527778</v>
      </c>
      <c r="C375" s="1" t="n">
        <v>45883</v>
      </c>
      <c r="D375" t="inlineStr">
        <is>
          <t>UPPSALA LÄN</t>
        </is>
      </c>
      <c r="E375" t="inlineStr">
        <is>
          <t>ENKÖPING</t>
        </is>
      </c>
      <c r="G375" t="n">
        <v>3.5</v>
      </c>
      <c r="H375" t="n">
        <v>0</v>
      </c>
      <c r="I375" t="n">
        <v>0</v>
      </c>
      <c r="J375" t="n">
        <v>0</v>
      </c>
      <c r="K375" t="n">
        <v>0</v>
      </c>
      <c r="L375" t="n">
        <v>0</v>
      </c>
      <c r="M375" t="n">
        <v>0</v>
      </c>
      <c r="N375" t="n">
        <v>0</v>
      </c>
      <c r="O375" t="n">
        <v>0</v>
      </c>
      <c r="P375" t="n">
        <v>0</v>
      </c>
      <c r="Q375" t="n">
        <v>0</v>
      </c>
      <c r="R375" s="2" t="inlineStr"/>
    </row>
    <row r="376" ht="15" customHeight="1">
      <c r="A376" t="inlineStr">
        <is>
          <t>A 7090-2022</t>
        </is>
      </c>
      <c r="B376" s="1" t="n">
        <v>44603.59520833333</v>
      </c>
      <c r="C376" s="1" t="n">
        <v>45883</v>
      </c>
      <c r="D376" t="inlineStr">
        <is>
          <t>UPPSALA LÄN</t>
        </is>
      </c>
      <c r="E376" t="inlineStr">
        <is>
          <t>ENKÖPING</t>
        </is>
      </c>
      <c r="G376" t="n">
        <v>2.8</v>
      </c>
      <c r="H376" t="n">
        <v>0</v>
      </c>
      <c r="I376" t="n">
        <v>0</v>
      </c>
      <c r="J376" t="n">
        <v>0</v>
      </c>
      <c r="K376" t="n">
        <v>0</v>
      </c>
      <c r="L376" t="n">
        <v>0</v>
      </c>
      <c r="M376" t="n">
        <v>0</v>
      </c>
      <c r="N376" t="n">
        <v>0</v>
      </c>
      <c r="O376" t="n">
        <v>0</v>
      </c>
      <c r="P376" t="n">
        <v>0</v>
      </c>
      <c r="Q376" t="n">
        <v>0</v>
      </c>
      <c r="R376" s="2" t="inlineStr"/>
    </row>
    <row r="377" ht="15" customHeight="1">
      <c r="A377" t="inlineStr">
        <is>
          <t>A 49063-2024</t>
        </is>
      </c>
      <c r="B377" s="1" t="n">
        <v>45594.59869212963</v>
      </c>
      <c r="C377" s="1" t="n">
        <v>45883</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15711-2025</t>
        </is>
      </c>
      <c r="B378" s="1" t="n">
        <v>45748</v>
      </c>
      <c r="C378" s="1" t="n">
        <v>45883</v>
      </c>
      <c r="D378" t="inlineStr">
        <is>
          <t>UPPSALA LÄN</t>
        </is>
      </c>
      <c r="E378" t="inlineStr">
        <is>
          <t>ENKÖPING</t>
        </is>
      </c>
      <c r="G378" t="n">
        <v>1.3</v>
      </c>
      <c r="H378" t="n">
        <v>0</v>
      </c>
      <c r="I378" t="n">
        <v>0</v>
      </c>
      <c r="J378" t="n">
        <v>0</v>
      </c>
      <c r="K378" t="n">
        <v>0</v>
      </c>
      <c r="L378" t="n">
        <v>0</v>
      </c>
      <c r="M378" t="n">
        <v>0</v>
      </c>
      <c r="N378" t="n">
        <v>0</v>
      </c>
      <c r="O378" t="n">
        <v>0</v>
      </c>
      <c r="P378" t="n">
        <v>0</v>
      </c>
      <c r="Q378" t="n">
        <v>0</v>
      </c>
      <c r="R378" s="2" t="inlineStr"/>
    </row>
    <row r="379" ht="15" customHeight="1">
      <c r="A379" t="inlineStr">
        <is>
          <t>A 15740-2025</t>
        </is>
      </c>
      <c r="B379" s="1" t="n">
        <v>45748</v>
      </c>
      <c r="C379" s="1" t="n">
        <v>45883</v>
      </c>
      <c r="D379" t="inlineStr">
        <is>
          <t>UPPSALA LÄN</t>
        </is>
      </c>
      <c r="E379" t="inlineStr">
        <is>
          <t>ENKÖPING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14083-2025</t>
        </is>
      </c>
      <c r="B380" s="1" t="n">
        <v>45740</v>
      </c>
      <c r="C380" s="1" t="n">
        <v>45883</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19298-2023</t>
        </is>
      </c>
      <c r="B381" s="1" t="n">
        <v>45048</v>
      </c>
      <c r="C381" s="1" t="n">
        <v>45883</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4562-2025</t>
        </is>
      </c>
      <c r="B382" s="1" t="n">
        <v>45687</v>
      </c>
      <c r="C382" s="1" t="n">
        <v>45883</v>
      </c>
      <c r="D382" t="inlineStr">
        <is>
          <t>UPPSALA LÄN</t>
        </is>
      </c>
      <c r="E382" t="inlineStr">
        <is>
          <t>ENKÖPING</t>
        </is>
      </c>
      <c r="G382" t="n">
        <v>2.5</v>
      </c>
      <c r="H382" t="n">
        <v>0</v>
      </c>
      <c r="I382" t="n">
        <v>0</v>
      </c>
      <c r="J382" t="n">
        <v>0</v>
      </c>
      <c r="K382" t="n">
        <v>0</v>
      </c>
      <c r="L382" t="n">
        <v>0</v>
      </c>
      <c r="M382" t="n">
        <v>0</v>
      </c>
      <c r="N382" t="n">
        <v>0</v>
      </c>
      <c r="O382" t="n">
        <v>0</v>
      </c>
      <c r="P382" t="n">
        <v>0</v>
      </c>
      <c r="Q382" t="n">
        <v>0</v>
      </c>
      <c r="R382" s="2" t="inlineStr"/>
    </row>
    <row r="383" ht="15" customHeight="1">
      <c r="A383" t="inlineStr">
        <is>
          <t>A 6959-2025</t>
        </is>
      </c>
      <c r="B383" s="1" t="n">
        <v>45701.49315972222</v>
      </c>
      <c r="C383" s="1" t="n">
        <v>45883</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58092-2024</t>
        </is>
      </c>
      <c r="B384" s="1" t="n">
        <v>45632</v>
      </c>
      <c r="C384" s="1" t="n">
        <v>45883</v>
      </c>
      <c r="D384" t="inlineStr">
        <is>
          <t>UPPSALA LÄN</t>
        </is>
      </c>
      <c r="E384" t="inlineStr">
        <is>
          <t>ENKÖPING</t>
        </is>
      </c>
      <c r="G384" t="n">
        <v>4.8</v>
      </c>
      <c r="H384" t="n">
        <v>0</v>
      </c>
      <c r="I384" t="n">
        <v>0</v>
      </c>
      <c r="J384" t="n">
        <v>0</v>
      </c>
      <c r="K384" t="n">
        <v>0</v>
      </c>
      <c r="L384" t="n">
        <v>0</v>
      </c>
      <c r="M384" t="n">
        <v>0</v>
      </c>
      <c r="N384" t="n">
        <v>0</v>
      </c>
      <c r="O384" t="n">
        <v>0</v>
      </c>
      <c r="P384" t="n">
        <v>0</v>
      </c>
      <c r="Q384" t="n">
        <v>0</v>
      </c>
      <c r="R384" s="2" t="inlineStr"/>
    </row>
    <row r="385" ht="15" customHeight="1">
      <c r="A385" t="inlineStr">
        <is>
          <t>A 67765-2020</t>
        </is>
      </c>
      <c r="B385" s="1" t="n">
        <v>44182</v>
      </c>
      <c r="C385" s="1" t="n">
        <v>45883</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18986-2025</t>
        </is>
      </c>
      <c r="B386" s="1" t="n">
        <v>45764.56089120371</v>
      </c>
      <c r="C386" s="1" t="n">
        <v>45883</v>
      </c>
      <c r="D386" t="inlineStr">
        <is>
          <t>UPPSALA LÄN</t>
        </is>
      </c>
      <c r="E386" t="inlineStr">
        <is>
          <t>ENKÖPING</t>
        </is>
      </c>
      <c r="G386" t="n">
        <v>6.9</v>
      </c>
      <c r="H386" t="n">
        <v>0</v>
      </c>
      <c r="I386" t="n">
        <v>0</v>
      </c>
      <c r="J386" t="n">
        <v>0</v>
      </c>
      <c r="K386" t="n">
        <v>0</v>
      </c>
      <c r="L386" t="n">
        <v>0</v>
      </c>
      <c r="M386" t="n">
        <v>0</v>
      </c>
      <c r="N386" t="n">
        <v>0</v>
      </c>
      <c r="O386" t="n">
        <v>0</v>
      </c>
      <c r="P386" t="n">
        <v>0</v>
      </c>
      <c r="Q386" t="n">
        <v>0</v>
      </c>
      <c r="R386" s="2" t="inlineStr"/>
    </row>
    <row r="387" ht="15" customHeight="1">
      <c r="A387" t="inlineStr">
        <is>
          <t>A 15409-2025</t>
        </is>
      </c>
      <c r="B387" s="1" t="n">
        <v>45747</v>
      </c>
      <c r="C387" s="1" t="n">
        <v>45883</v>
      </c>
      <c r="D387" t="inlineStr">
        <is>
          <t>UPPSALA LÄN</t>
        </is>
      </c>
      <c r="E387" t="inlineStr">
        <is>
          <t>ENKÖPING</t>
        </is>
      </c>
      <c r="G387" t="n">
        <v>2.5</v>
      </c>
      <c r="H387" t="n">
        <v>0</v>
      </c>
      <c r="I387" t="n">
        <v>0</v>
      </c>
      <c r="J387" t="n">
        <v>0</v>
      </c>
      <c r="K387" t="n">
        <v>0</v>
      </c>
      <c r="L387" t="n">
        <v>0</v>
      </c>
      <c r="M387" t="n">
        <v>0</v>
      </c>
      <c r="N387" t="n">
        <v>0</v>
      </c>
      <c r="O387" t="n">
        <v>0</v>
      </c>
      <c r="P387" t="n">
        <v>0</v>
      </c>
      <c r="Q387" t="n">
        <v>0</v>
      </c>
      <c r="R387" s="2" t="inlineStr"/>
    </row>
    <row r="388" ht="15" customHeight="1">
      <c r="A388" t="inlineStr">
        <is>
          <t>A 17165-2025</t>
        </is>
      </c>
      <c r="B388" s="1" t="n">
        <v>45756</v>
      </c>
      <c r="C388" s="1" t="n">
        <v>45883</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24411-2024</t>
        </is>
      </c>
      <c r="B389" s="1" t="n">
        <v>45457</v>
      </c>
      <c r="C389" s="1" t="n">
        <v>45883</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25988-2025</t>
        </is>
      </c>
      <c r="B390" s="1" t="n">
        <v>45804.64814814815</v>
      </c>
      <c r="C390" s="1" t="n">
        <v>45883</v>
      </c>
      <c r="D390" t="inlineStr">
        <is>
          <t>UPPSALA LÄN</t>
        </is>
      </c>
      <c r="E390" t="inlineStr">
        <is>
          <t>ENKÖPING</t>
        </is>
      </c>
      <c r="G390" t="n">
        <v>4.7</v>
      </c>
      <c r="H390" t="n">
        <v>0</v>
      </c>
      <c r="I390" t="n">
        <v>0</v>
      </c>
      <c r="J390" t="n">
        <v>0</v>
      </c>
      <c r="K390" t="n">
        <v>0</v>
      </c>
      <c r="L390" t="n">
        <v>0</v>
      </c>
      <c r="M390" t="n">
        <v>0</v>
      </c>
      <c r="N390" t="n">
        <v>0</v>
      </c>
      <c r="O390" t="n">
        <v>0</v>
      </c>
      <c r="P390" t="n">
        <v>0</v>
      </c>
      <c r="Q390" t="n">
        <v>0</v>
      </c>
      <c r="R390" s="2" t="inlineStr"/>
    </row>
    <row r="391" ht="15" customHeight="1">
      <c r="A391" t="inlineStr">
        <is>
          <t>A 26017-2025</t>
        </is>
      </c>
      <c r="B391" s="1" t="n">
        <v>45804</v>
      </c>
      <c r="C391" s="1" t="n">
        <v>45883</v>
      </c>
      <c r="D391" t="inlineStr">
        <is>
          <t>UPPSALA LÄN</t>
        </is>
      </c>
      <c r="E391" t="inlineStr">
        <is>
          <t>ENKÖPING</t>
        </is>
      </c>
      <c r="G391" t="n">
        <v>0.4</v>
      </c>
      <c r="H391" t="n">
        <v>0</v>
      </c>
      <c r="I391" t="n">
        <v>0</v>
      </c>
      <c r="J391" t="n">
        <v>0</v>
      </c>
      <c r="K391" t="n">
        <v>0</v>
      </c>
      <c r="L391" t="n">
        <v>0</v>
      </c>
      <c r="M391" t="n">
        <v>0</v>
      </c>
      <c r="N391" t="n">
        <v>0</v>
      </c>
      <c r="O391" t="n">
        <v>0</v>
      </c>
      <c r="P391" t="n">
        <v>0</v>
      </c>
      <c r="Q391" t="n">
        <v>0</v>
      </c>
      <c r="R391" s="2" t="inlineStr"/>
    </row>
    <row r="392" ht="15" customHeight="1">
      <c r="A392" t="inlineStr">
        <is>
          <t>A 26024-2025</t>
        </is>
      </c>
      <c r="B392" s="1" t="n">
        <v>45804.6831712963</v>
      </c>
      <c r="C392" s="1" t="n">
        <v>45883</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26042-2025</t>
        </is>
      </c>
      <c r="B393" s="1" t="n">
        <v>45804.70018518518</v>
      </c>
      <c r="C393" s="1" t="n">
        <v>45883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25990-2025</t>
        </is>
      </c>
      <c r="B394" s="1" t="n">
        <v>45804.65229166667</v>
      </c>
      <c r="C394" s="1" t="n">
        <v>45883</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57833-2024</t>
        </is>
      </c>
      <c r="B395" s="1" t="n">
        <v>45631.3953587963</v>
      </c>
      <c r="C395" s="1" t="n">
        <v>45883</v>
      </c>
      <c r="D395" t="inlineStr">
        <is>
          <t>UPPSALA LÄN</t>
        </is>
      </c>
      <c r="E395" t="inlineStr">
        <is>
          <t>ENKÖPING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26030-2025</t>
        </is>
      </c>
      <c r="B396" s="1" t="n">
        <v>45804.68815972222</v>
      </c>
      <c r="C396" s="1" t="n">
        <v>45883</v>
      </c>
      <c r="D396" t="inlineStr">
        <is>
          <t>UPPSALA LÄN</t>
        </is>
      </c>
      <c r="E396" t="inlineStr">
        <is>
          <t>ENKÖPING</t>
        </is>
      </c>
      <c r="G396" t="n">
        <v>0.3</v>
      </c>
      <c r="H396" t="n">
        <v>0</v>
      </c>
      <c r="I396" t="n">
        <v>0</v>
      </c>
      <c r="J396" t="n">
        <v>0</v>
      </c>
      <c r="K396" t="n">
        <v>0</v>
      </c>
      <c r="L396" t="n">
        <v>0</v>
      </c>
      <c r="M396" t="n">
        <v>0</v>
      </c>
      <c r="N396" t="n">
        <v>0</v>
      </c>
      <c r="O396" t="n">
        <v>0</v>
      </c>
      <c r="P396" t="n">
        <v>0</v>
      </c>
      <c r="Q396" t="n">
        <v>0</v>
      </c>
      <c r="R396" s="2" t="inlineStr"/>
    </row>
    <row r="397" ht="15" customHeight="1">
      <c r="A397" t="inlineStr">
        <is>
          <t>A 20186-2023</t>
        </is>
      </c>
      <c r="B397" s="1" t="n">
        <v>45055.56934027778</v>
      </c>
      <c r="C397" s="1" t="n">
        <v>45883</v>
      </c>
      <c r="D397" t="inlineStr">
        <is>
          <t>UPPSALA LÄN</t>
        </is>
      </c>
      <c r="E397" t="inlineStr">
        <is>
          <t>ENKÖPING</t>
        </is>
      </c>
      <c r="G397" t="n">
        <v>4.3</v>
      </c>
      <c r="H397" t="n">
        <v>0</v>
      </c>
      <c r="I397" t="n">
        <v>0</v>
      </c>
      <c r="J397" t="n">
        <v>0</v>
      </c>
      <c r="K397" t="n">
        <v>0</v>
      </c>
      <c r="L397" t="n">
        <v>0</v>
      </c>
      <c r="M397" t="n">
        <v>0</v>
      </c>
      <c r="N397" t="n">
        <v>0</v>
      </c>
      <c r="O397" t="n">
        <v>0</v>
      </c>
      <c r="P397" t="n">
        <v>0</v>
      </c>
      <c r="Q397" t="n">
        <v>0</v>
      </c>
      <c r="R397" s="2" t="inlineStr"/>
    </row>
    <row r="398" ht="15" customHeight="1">
      <c r="A398" t="inlineStr">
        <is>
          <t>A 21501-2025</t>
        </is>
      </c>
      <c r="B398" s="1" t="n">
        <v>45782</v>
      </c>
      <c r="C398" s="1" t="n">
        <v>45883</v>
      </c>
      <c r="D398" t="inlineStr">
        <is>
          <t>UPPSALA LÄN</t>
        </is>
      </c>
      <c r="E398" t="inlineStr">
        <is>
          <t>ENKÖPING</t>
        </is>
      </c>
      <c r="G398" t="n">
        <v>1</v>
      </c>
      <c r="H398" t="n">
        <v>0</v>
      </c>
      <c r="I398" t="n">
        <v>0</v>
      </c>
      <c r="J398" t="n">
        <v>0</v>
      </c>
      <c r="K398" t="n">
        <v>0</v>
      </c>
      <c r="L398" t="n">
        <v>0</v>
      </c>
      <c r="M398" t="n">
        <v>0</v>
      </c>
      <c r="N398" t="n">
        <v>0</v>
      </c>
      <c r="O398" t="n">
        <v>0</v>
      </c>
      <c r="P398" t="n">
        <v>0</v>
      </c>
      <c r="Q398" t="n">
        <v>0</v>
      </c>
      <c r="R398" s="2" t="inlineStr"/>
    </row>
    <row r="399" ht="15" customHeight="1">
      <c r="A399" t="inlineStr">
        <is>
          <t>A 26026-2025</t>
        </is>
      </c>
      <c r="B399" s="1" t="n">
        <v>45804.68510416667</v>
      </c>
      <c r="C399" s="1" t="n">
        <v>45883</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26047-2025</t>
        </is>
      </c>
      <c r="B400" s="1" t="n">
        <v>45804.70835648148</v>
      </c>
      <c r="C400" s="1" t="n">
        <v>45883</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25989-2025</t>
        </is>
      </c>
      <c r="B401" s="1" t="n">
        <v>45804.65050925926</v>
      </c>
      <c r="C401" s="1" t="n">
        <v>45883</v>
      </c>
      <c r="D401" t="inlineStr">
        <is>
          <t>UPPSALA LÄN</t>
        </is>
      </c>
      <c r="E401" t="inlineStr">
        <is>
          <t>ENKÖPING</t>
        </is>
      </c>
      <c r="G401" t="n">
        <v>1.2</v>
      </c>
      <c r="H401" t="n">
        <v>0</v>
      </c>
      <c r="I401" t="n">
        <v>0</v>
      </c>
      <c r="J401" t="n">
        <v>0</v>
      </c>
      <c r="K401" t="n">
        <v>0</v>
      </c>
      <c r="L401" t="n">
        <v>0</v>
      </c>
      <c r="M401" t="n">
        <v>0</v>
      </c>
      <c r="N401" t="n">
        <v>0</v>
      </c>
      <c r="O401" t="n">
        <v>0</v>
      </c>
      <c r="P401" t="n">
        <v>0</v>
      </c>
      <c r="Q401" t="n">
        <v>0</v>
      </c>
      <c r="R401" s="2" t="inlineStr"/>
    </row>
    <row r="402" ht="15" customHeight="1">
      <c r="A402" t="inlineStr">
        <is>
          <t>A 34617-2022</t>
        </is>
      </c>
      <c r="B402" s="1" t="n">
        <v>44795</v>
      </c>
      <c r="C402" s="1" t="n">
        <v>45883</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52299-2023</t>
        </is>
      </c>
      <c r="B403" s="1" t="n">
        <v>45224.61636574074</v>
      </c>
      <c r="C403" s="1" t="n">
        <v>45883</v>
      </c>
      <c r="D403" t="inlineStr">
        <is>
          <t>UPPSALA LÄN</t>
        </is>
      </c>
      <c r="E403" t="inlineStr">
        <is>
          <t>ENKÖPING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40202-2024</t>
        </is>
      </c>
      <c r="B404" s="1" t="n">
        <v>45554</v>
      </c>
      <c r="C404" s="1" t="n">
        <v>45883</v>
      </c>
      <c r="D404" t="inlineStr">
        <is>
          <t>UPPSALA LÄN</t>
        </is>
      </c>
      <c r="E404" t="inlineStr">
        <is>
          <t>ENKÖPING</t>
        </is>
      </c>
      <c r="G404" t="n">
        <v>6.2</v>
      </c>
      <c r="H404" t="n">
        <v>0</v>
      </c>
      <c r="I404" t="n">
        <v>0</v>
      </c>
      <c r="J404" t="n">
        <v>0</v>
      </c>
      <c r="K404" t="n">
        <v>0</v>
      </c>
      <c r="L404" t="n">
        <v>0</v>
      </c>
      <c r="M404" t="n">
        <v>0</v>
      </c>
      <c r="N404" t="n">
        <v>0</v>
      </c>
      <c r="O404" t="n">
        <v>0</v>
      </c>
      <c r="P404" t="n">
        <v>0</v>
      </c>
      <c r="Q404" t="n">
        <v>0</v>
      </c>
      <c r="R404" s="2" t="inlineStr"/>
    </row>
    <row r="405" ht="15" customHeight="1">
      <c r="A405" t="inlineStr">
        <is>
          <t>A 40223-2024</t>
        </is>
      </c>
      <c r="B405" s="1" t="n">
        <v>45554</v>
      </c>
      <c r="C405" s="1" t="n">
        <v>45883</v>
      </c>
      <c r="D405" t="inlineStr">
        <is>
          <t>UPPSALA LÄN</t>
        </is>
      </c>
      <c r="E405" t="inlineStr">
        <is>
          <t>ENKÖPING</t>
        </is>
      </c>
      <c r="G405" t="n">
        <v>1.9</v>
      </c>
      <c r="H405" t="n">
        <v>0</v>
      </c>
      <c r="I405" t="n">
        <v>0</v>
      </c>
      <c r="J405" t="n">
        <v>0</v>
      </c>
      <c r="K405" t="n">
        <v>0</v>
      </c>
      <c r="L405" t="n">
        <v>0</v>
      </c>
      <c r="M405" t="n">
        <v>0</v>
      </c>
      <c r="N405" t="n">
        <v>0</v>
      </c>
      <c r="O405" t="n">
        <v>0</v>
      </c>
      <c r="P405" t="n">
        <v>0</v>
      </c>
      <c r="Q405" t="n">
        <v>0</v>
      </c>
      <c r="R405" s="2" t="inlineStr"/>
    </row>
    <row r="406" ht="15" customHeight="1">
      <c r="A406" t="inlineStr">
        <is>
          <t>A 69879-2021</t>
        </is>
      </c>
      <c r="B406" s="1" t="n">
        <v>44532</v>
      </c>
      <c r="C406" s="1" t="n">
        <v>45883</v>
      </c>
      <c r="D406" t="inlineStr">
        <is>
          <t>UPPSALA LÄN</t>
        </is>
      </c>
      <c r="E406" t="inlineStr">
        <is>
          <t>ENKÖPING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25847-2025</t>
        </is>
      </c>
      <c r="B407" s="1" t="n">
        <v>45804</v>
      </c>
      <c r="C407" s="1" t="n">
        <v>45883</v>
      </c>
      <c r="D407" t="inlineStr">
        <is>
          <t>UPPSALA LÄN</t>
        </is>
      </c>
      <c r="E407" t="inlineStr">
        <is>
          <t>ENKÖPING</t>
        </is>
      </c>
      <c r="G407" t="n">
        <v>3.6</v>
      </c>
      <c r="H407" t="n">
        <v>0</v>
      </c>
      <c r="I407" t="n">
        <v>0</v>
      </c>
      <c r="J407" t="n">
        <v>0</v>
      </c>
      <c r="K407" t="n">
        <v>0</v>
      </c>
      <c r="L407" t="n">
        <v>0</v>
      </c>
      <c r="M407" t="n">
        <v>0</v>
      </c>
      <c r="N407" t="n">
        <v>0</v>
      </c>
      <c r="O407" t="n">
        <v>0</v>
      </c>
      <c r="P407" t="n">
        <v>0</v>
      </c>
      <c r="Q407" t="n">
        <v>0</v>
      </c>
      <c r="R407" s="2" t="inlineStr"/>
    </row>
    <row r="408" ht="15" customHeight="1">
      <c r="A408" t="inlineStr">
        <is>
          <t>A 26005-2025</t>
        </is>
      </c>
      <c r="B408" s="1" t="n">
        <v>45804.67055555555</v>
      </c>
      <c r="C408" s="1" t="n">
        <v>45883</v>
      </c>
      <c r="D408" t="inlineStr">
        <is>
          <t>UPPSALA LÄN</t>
        </is>
      </c>
      <c r="E408" t="inlineStr">
        <is>
          <t>ENKÖPING</t>
        </is>
      </c>
      <c r="G408" t="n">
        <v>0.3</v>
      </c>
      <c r="H408" t="n">
        <v>0</v>
      </c>
      <c r="I408" t="n">
        <v>0</v>
      </c>
      <c r="J408" t="n">
        <v>0</v>
      </c>
      <c r="K408" t="n">
        <v>0</v>
      </c>
      <c r="L408" t="n">
        <v>0</v>
      </c>
      <c r="M408" t="n">
        <v>0</v>
      </c>
      <c r="N408" t="n">
        <v>0</v>
      </c>
      <c r="O408" t="n">
        <v>0</v>
      </c>
      <c r="P408" t="n">
        <v>0</v>
      </c>
      <c r="Q408" t="n">
        <v>0</v>
      </c>
      <c r="R408" s="2" t="inlineStr"/>
    </row>
    <row r="409" ht="15" customHeight="1">
      <c r="A409" t="inlineStr">
        <is>
          <t>A 26031-2025</t>
        </is>
      </c>
      <c r="B409" s="1" t="n">
        <v>45804.69050925926</v>
      </c>
      <c r="C409" s="1" t="n">
        <v>45883</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26041-2025</t>
        </is>
      </c>
      <c r="B410" s="1" t="n">
        <v>45804.69883101852</v>
      </c>
      <c r="C410" s="1" t="n">
        <v>45883</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26022-2025</t>
        </is>
      </c>
      <c r="B411" s="1" t="n">
        <v>45804.68006944445</v>
      </c>
      <c r="C411" s="1" t="n">
        <v>45883</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19013-2025</t>
        </is>
      </c>
      <c r="B412" s="1" t="n">
        <v>45764.59533564815</v>
      </c>
      <c r="C412" s="1" t="n">
        <v>45883</v>
      </c>
      <c r="D412" t="inlineStr">
        <is>
          <t>UPPSALA LÄN</t>
        </is>
      </c>
      <c r="E412" t="inlineStr">
        <is>
          <t>ENKÖPING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26011-2025</t>
        </is>
      </c>
      <c r="B413" s="1" t="n">
        <v>45804.67412037037</v>
      </c>
      <c r="C413" s="1" t="n">
        <v>45883</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29513-2025</t>
        </is>
      </c>
      <c r="B414" s="1" t="n">
        <v>45825</v>
      </c>
      <c r="C414" s="1" t="n">
        <v>45883</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57335-2024</t>
        </is>
      </c>
      <c r="B415" s="1" t="n">
        <v>45629.63302083333</v>
      </c>
      <c r="C415" s="1" t="n">
        <v>45883</v>
      </c>
      <c r="D415" t="inlineStr">
        <is>
          <t>UPPSALA LÄN</t>
        </is>
      </c>
      <c r="E415" t="inlineStr">
        <is>
          <t>ENKÖPING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9662-2025</t>
        </is>
      </c>
      <c r="B416" s="1" t="n">
        <v>45716</v>
      </c>
      <c r="C416" s="1" t="n">
        <v>45883</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23301-2024</t>
        </is>
      </c>
      <c r="B417" s="1" t="n">
        <v>45453.4396412037</v>
      </c>
      <c r="C417" s="1" t="n">
        <v>45883</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2833-2025</t>
        </is>
      </c>
      <c r="B418" s="1" t="n">
        <v>45677.63206018518</v>
      </c>
      <c r="C418" s="1" t="n">
        <v>45883</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33619-2022</t>
        </is>
      </c>
      <c r="B419" s="1" t="n">
        <v>44789</v>
      </c>
      <c r="C419" s="1" t="n">
        <v>45883</v>
      </c>
      <c r="D419" t="inlineStr">
        <is>
          <t>UPPSALA LÄN</t>
        </is>
      </c>
      <c r="E419" t="inlineStr">
        <is>
          <t>ENKÖPING</t>
        </is>
      </c>
      <c r="F419" t="inlineStr">
        <is>
          <t>Allmännings- och besparingsskogar</t>
        </is>
      </c>
      <c r="G419" t="n">
        <v>4.5</v>
      </c>
      <c r="H419" t="n">
        <v>0</v>
      </c>
      <c r="I419" t="n">
        <v>0</v>
      </c>
      <c r="J419" t="n">
        <v>0</v>
      </c>
      <c r="K419" t="n">
        <v>0</v>
      </c>
      <c r="L419" t="n">
        <v>0</v>
      </c>
      <c r="M419" t="n">
        <v>0</v>
      </c>
      <c r="N419" t="n">
        <v>0</v>
      </c>
      <c r="O419" t="n">
        <v>0</v>
      </c>
      <c r="P419" t="n">
        <v>0</v>
      </c>
      <c r="Q419" t="n">
        <v>0</v>
      </c>
      <c r="R419" s="2" t="inlineStr"/>
    </row>
    <row r="420" ht="15" customHeight="1">
      <c r="A420" t="inlineStr">
        <is>
          <t>A 31604-2023</t>
        </is>
      </c>
      <c r="B420" s="1" t="n">
        <v>45117.50368055556</v>
      </c>
      <c r="C420" s="1" t="n">
        <v>45883</v>
      </c>
      <c r="D420" t="inlineStr">
        <is>
          <t>UPPSALA LÄN</t>
        </is>
      </c>
      <c r="E420" t="inlineStr">
        <is>
          <t>ENKÖPING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35067-2024</t>
        </is>
      </c>
      <c r="B421" s="1" t="n">
        <v>45527.66153935185</v>
      </c>
      <c r="C421" s="1" t="n">
        <v>45883</v>
      </c>
      <c r="D421" t="inlineStr">
        <is>
          <t>UPPSALA LÄN</t>
        </is>
      </c>
      <c r="E421" t="inlineStr">
        <is>
          <t>ENKÖPING</t>
        </is>
      </c>
      <c r="G421" t="n">
        <v>1</v>
      </c>
      <c r="H421" t="n">
        <v>0</v>
      </c>
      <c r="I421" t="n">
        <v>0</v>
      </c>
      <c r="J421" t="n">
        <v>0</v>
      </c>
      <c r="K421" t="n">
        <v>0</v>
      </c>
      <c r="L421" t="n">
        <v>0</v>
      </c>
      <c r="M421" t="n">
        <v>0</v>
      </c>
      <c r="N421" t="n">
        <v>0</v>
      </c>
      <c r="O421" t="n">
        <v>0</v>
      </c>
      <c r="P421" t="n">
        <v>0</v>
      </c>
      <c r="Q421" t="n">
        <v>0</v>
      </c>
      <c r="R421" s="2" t="inlineStr"/>
    </row>
    <row r="422" ht="15" customHeight="1">
      <c r="A422" t="inlineStr">
        <is>
          <t>A 59602-2024</t>
        </is>
      </c>
      <c r="B422" s="1" t="n">
        <v>45638</v>
      </c>
      <c r="C422" s="1" t="n">
        <v>45883</v>
      </c>
      <c r="D422" t="inlineStr">
        <is>
          <t>UPPSALA LÄN</t>
        </is>
      </c>
      <c r="E422" t="inlineStr">
        <is>
          <t>ENKÖPING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14243-2025</t>
        </is>
      </c>
      <c r="B423" s="1" t="n">
        <v>45740.61288194444</v>
      </c>
      <c r="C423" s="1" t="n">
        <v>45883</v>
      </c>
      <c r="D423" t="inlineStr">
        <is>
          <t>UPPSALA LÄN</t>
        </is>
      </c>
      <c r="E423" t="inlineStr">
        <is>
          <t>ENKÖPING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19488-2022</t>
        </is>
      </c>
      <c r="B424" s="1" t="n">
        <v>44693</v>
      </c>
      <c r="C424" s="1" t="n">
        <v>45883</v>
      </c>
      <c r="D424" t="inlineStr">
        <is>
          <t>UPPSALA LÄN</t>
        </is>
      </c>
      <c r="E424" t="inlineStr">
        <is>
          <t>ENKÖPING</t>
        </is>
      </c>
      <c r="G424" t="n">
        <v>7.8</v>
      </c>
      <c r="H424" t="n">
        <v>0</v>
      </c>
      <c r="I424" t="n">
        <v>0</v>
      </c>
      <c r="J424" t="n">
        <v>0</v>
      </c>
      <c r="K424" t="n">
        <v>0</v>
      </c>
      <c r="L424" t="n">
        <v>0</v>
      </c>
      <c r="M424" t="n">
        <v>0</v>
      </c>
      <c r="N424" t="n">
        <v>0</v>
      </c>
      <c r="O424" t="n">
        <v>0</v>
      </c>
      <c r="P424" t="n">
        <v>0</v>
      </c>
      <c r="Q424" t="n">
        <v>0</v>
      </c>
      <c r="R424" s="2" t="inlineStr"/>
    </row>
    <row r="425" ht="15" customHeight="1">
      <c r="A425" t="inlineStr">
        <is>
          <t>A 41826-2024</t>
        </is>
      </c>
      <c r="B425" s="1" t="n">
        <v>45561</v>
      </c>
      <c r="C425" s="1" t="n">
        <v>45883</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16916-2022</t>
        </is>
      </c>
      <c r="B426" s="1" t="n">
        <v>44676</v>
      </c>
      <c r="C426" s="1" t="n">
        <v>45883</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44115-2024</t>
        </is>
      </c>
      <c r="B427" s="1" t="n">
        <v>45572</v>
      </c>
      <c r="C427" s="1" t="n">
        <v>45883</v>
      </c>
      <c r="D427" t="inlineStr">
        <is>
          <t>UPPSALA LÄN</t>
        </is>
      </c>
      <c r="E427" t="inlineStr">
        <is>
          <t>ENKÖPING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17844-2025</t>
        </is>
      </c>
      <c r="B428" s="1" t="n">
        <v>45758.59920138889</v>
      </c>
      <c r="C428" s="1" t="n">
        <v>45883</v>
      </c>
      <c r="D428" t="inlineStr">
        <is>
          <t>UPPSALA LÄN</t>
        </is>
      </c>
      <c r="E428" t="inlineStr">
        <is>
          <t>ENKÖPING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30634-2022</t>
        </is>
      </c>
      <c r="B429" s="1" t="n">
        <v>44763.45711805556</v>
      </c>
      <c r="C429" s="1" t="n">
        <v>45883</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3300-2025</t>
        </is>
      </c>
      <c r="B430" s="1" t="n">
        <v>45679</v>
      </c>
      <c r="C430" s="1" t="n">
        <v>45883</v>
      </c>
      <c r="D430" t="inlineStr">
        <is>
          <t>UPPSALA LÄN</t>
        </is>
      </c>
      <c r="E430" t="inlineStr">
        <is>
          <t>ENKÖPING</t>
        </is>
      </c>
      <c r="G430" t="n">
        <v>8.9</v>
      </c>
      <c r="H430" t="n">
        <v>0</v>
      </c>
      <c r="I430" t="n">
        <v>0</v>
      </c>
      <c r="J430" t="n">
        <v>0</v>
      </c>
      <c r="K430" t="n">
        <v>0</v>
      </c>
      <c r="L430" t="n">
        <v>0</v>
      </c>
      <c r="M430" t="n">
        <v>0</v>
      </c>
      <c r="N430" t="n">
        <v>0</v>
      </c>
      <c r="O430" t="n">
        <v>0</v>
      </c>
      <c r="P430" t="n">
        <v>0</v>
      </c>
      <c r="Q430" t="n">
        <v>0</v>
      </c>
      <c r="R430" s="2" t="inlineStr"/>
    </row>
    <row r="431" ht="15" customHeight="1">
      <c r="A431" t="inlineStr">
        <is>
          <t>A 34990-2025</t>
        </is>
      </c>
      <c r="B431" s="1" t="n">
        <v>45849.78916666667</v>
      </c>
      <c r="C431" s="1" t="n">
        <v>45883</v>
      </c>
      <c r="D431" t="inlineStr">
        <is>
          <t>UPPSALA LÄN</t>
        </is>
      </c>
      <c r="E431" t="inlineStr">
        <is>
          <t>ENKÖPING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27829-2025</t>
        </is>
      </c>
      <c r="B432" s="1" t="n">
        <v>45817</v>
      </c>
      <c r="C432" s="1" t="n">
        <v>45883</v>
      </c>
      <c r="D432" t="inlineStr">
        <is>
          <t>UPPSALA LÄN</t>
        </is>
      </c>
      <c r="E432" t="inlineStr">
        <is>
          <t>ENKÖPING</t>
        </is>
      </c>
      <c r="G432" t="n">
        <v>2.1</v>
      </c>
      <c r="H432" t="n">
        <v>0</v>
      </c>
      <c r="I432" t="n">
        <v>0</v>
      </c>
      <c r="J432" t="n">
        <v>0</v>
      </c>
      <c r="K432" t="n">
        <v>0</v>
      </c>
      <c r="L432" t="n">
        <v>0</v>
      </c>
      <c r="M432" t="n">
        <v>0</v>
      </c>
      <c r="N432" t="n">
        <v>0</v>
      </c>
      <c r="O432" t="n">
        <v>0</v>
      </c>
      <c r="P432" t="n">
        <v>0</v>
      </c>
      <c r="Q432" t="n">
        <v>0</v>
      </c>
      <c r="R432" s="2" t="inlineStr"/>
    </row>
    <row r="433" ht="15" customHeight="1">
      <c r="A433" t="inlineStr">
        <is>
          <t>A 51120-2023</t>
        </is>
      </c>
      <c r="B433" s="1" t="n">
        <v>45219.3088425926</v>
      </c>
      <c r="C433" s="1" t="n">
        <v>45883</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26319-2022</t>
        </is>
      </c>
      <c r="B434" s="1" t="n">
        <v>44735</v>
      </c>
      <c r="C434" s="1" t="n">
        <v>45883</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54357-2023</t>
        </is>
      </c>
      <c r="B435" s="1" t="n">
        <v>45225</v>
      </c>
      <c r="C435" s="1" t="n">
        <v>45883</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4203-2021</t>
        </is>
      </c>
      <c r="B436" s="1" t="n">
        <v>44223</v>
      </c>
      <c r="C436" s="1" t="n">
        <v>45883</v>
      </c>
      <c r="D436" t="inlineStr">
        <is>
          <t>UPPSALA LÄN</t>
        </is>
      </c>
      <c r="E436" t="inlineStr">
        <is>
          <t>ENKÖPING</t>
        </is>
      </c>
      <c r="G436" t="n">
        <v>11.6</v>
      </c>
      <c r="H436" t="n">
        <v>0</v>
      </c>
      <c r="I436" t="n">
        <v>0</v>
      </c>
      <c r="J436" t="n">
        <v>0</v>
      </c>
      <c r="K436" t="n">
        <v>0</v>
      </c>
      <c r="L436" t="n">
        <v>0</v>
      </c>
      <c r="M436" t="n">
        <v>0</v>
      </c>
      <c r="N436" t="n">
        <v>0</v>
      </c>
      <c r="O436" t="n">
        <v>0</v>
      </c>
      <c r="P436" t="n">
        <v>0</v>
      </c>
      <c r="Q436" t="n">
        <v>0</v>
      </c>
      <c r="R436" s="2" t="inlineStr"/>
    </row>
    <row r="437" ht="15" customHeight="1">
      <c r="A437" t="inlineStr">
        <is>
          <t>A 28855-2025</t>
        </is>
      </c>
      <c r="B437" s="1" t="n">
        <v>45820.58274305556</v>
      </c>
      <c r="C437" s="1" t="n">
        <v>45883</v>
      </c>
      <c r="D437" t="inlineStr">
        <is>
          <t>UPPSALA LÄN</t>
        </is>
      </c>
      <c r="E437" t="inlineStr">
        <is>
          <t>ENKÖPING</t>
        </is>
      </c>
      <c r="G437" t="n">
        <v>2.4</v>
      </c>
      <c r="H437" t="n">
        <v>0</v>
      </c>
      <c r="I437" t="n">
        <v>0</v>
      </c>
      <c r="J437" t="n">
        <v>0</v>
      </c>
      <c r="K437" t="n">
        <v>0</v>
      </c>
      <c r="L437" t="n">
        <v>0</v>
      </c>
      <c r="M437" t="n">
        <v>0</v>
      </c>
      <c r="N437" t="n">
        <v>0</v>
      </c>
      <c r="O437" t="n">
        <v>0</v>
      </c>
      <c r="P437" t="n">
        <v>0</v>
      </c>
      <c r="Q437" t="n">
        <v>0</v>
      </c>
      <c r="R437" s="2" t="inlineStr"/>
    </row>
    <row r="438" ht="15" customHeight="1">
      <c r="A438" t="inlineStr">
        <is>
          <t>A 28758-2025</t>
        </is>
      </c>
      <c r="B438" s="1" t="n">
        <v>45820.41212962963</v>
      </c>
      <c r="C438" s="1" t="n">
        <v>45883</v>
      </c>
      <c r="D438" t="inlineStr">
        <is>
          <t>UPPSALA LÄN</t>
        </is>
      </c>
      <c r="E438" t="inlineStr">
        <is>
          <t>ENKÖPING</t>
        </is>
      </c>
      <c r="G438" t="n">
        <v>2.4</v>
      </c>
      <c r="H438" t="n">
        <v>0</v>
      </c>
      <c r="I438" t="n">
        <v>0</v>
      </c>
      <c r="J438" t="n">
        <v>0</v>
      </c>
      <c r="K438" t="n">
        <v>0</v>
      </c>
      <c r="L438" t="n">
        <v>0</v>
      </c>
      <c r="M438" t="n">
        <v>0</v>
      </c>
      <c r="N438" t="n">
        <v>0</v>
      </c>
      <c r="O438" t="n">
        <v>0</v>
      </c>
      <c r="P438" t="n">
        <v>0</v>
      </c>
      <c r="Q438" t="n">
        <v>0</v>
      </c>
      <c r="R438" s="2" t="inlineStr"/>
    </row>
    <row r="439" ht="15" customHeight="1">
      <c r="A439" t="inlineStr">
        <is>
          <t>A 13816-2021</t>
        </is>
      </c>
      <c r="B439" s="1" t="n">
        <v>44276</v>
      </c>
      <c r="C439" s="1" t="n">
        <v>45883</v>
      </c>
      <c r="D439" t="inlineStr">
        <is>
          <t>UPPSALA LÄN</t>
        </is>
      </c>
      <c r="E439" t="inlineStr">
        <is>
          <t>ENKÖPING</t>
        </is>
      </c>
      <c r="G439" t="n">
        <v>0.4</v>
      </c>
      <c r="H439" t="n">
        <v>0</v>
      </c>
      <c r="I439" t="n">
        <v>0</v>
      </c>
      <c r="J439" t="n">
        <v>0</v>
      </c>
      <c r="K439" t="n">
        <v>0</v>
      </c>
      <c r="L439" t="n">
        <v>0</v>
      </c>
      <c r="M439" t="n">
        <v>0</v>
      </c>
      <c r="N439" t="n">
        <v>0</v>
      </c>
      <c r="O439" t="n">
        <v>0</v>
      </c>
      <c r="P439" t="n">
        <v>0</v>
      </c>
      <c r="Q439" t="n">
        <v>0</v>
      </c>
      <c r="R439" s="2" t="inlineStr"/>
    </row>
    <row r="440" ht="15" customHeight="1">
      <c r="A440" t="inlineStr">
        <is>
          <t>A 39009-2024</t>
        </is>
      </c>
      <c r="B440" s="1" t="n">
        <v>45548</v>
      </c>
      <c r="C440" s="1" t="n">
        <v>45883</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8537-2025</t>
        </is>
      </c>
      <c r="B441" s="1" t="n">
        <v>45709</v>
      </c>
      <c r="C441" s="1" t="n">
        <v>45883</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63402-2023</t>
        </is>
      </c>
      <c r="B442" s="1" t="n">
        <v>45274.50646990741</v>
      </c>
      <c r="C442" s="1" t="n">
        <v>45883</v>
      </c>
      <c r="D442" t="inlineStr">
        <is>
          <t>UPPSALA LÄN</t>
        </is>
      </c>
      <c r="E442" t="inlineStr">
        <is>
          <t>ENKÖPING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28862-2025</t>
        </is>
      </c>
      <c r="B443" s="1" t="n">
        <v>45820.59189814814</v>
      </c>
      <c r="C443" s="1" t="n">
        <v>45883</v>
      </c>
      <c r="D443" t="inlineStr">
        <is>
          <t>UPPSALA LÄN</t>
        </is>
      </c>
      <c r="E443" t="inlineStr">
        <is>
          <t>ENKÖPING</t>
        </is>
      </c>
      <c r="G443" t="n">
        <v>2.2</v>
      </c>
      <c r="H443" t="n">
        <v>0</v>
      </c>
      <c r="I443" t="n">
        <v>0</v>
      </c>
      <c r="J443" t="n">
        <v>0</v>
      </c>
      <c r="K443" t="n">
        <v>0</v>
      </c>
      <c r="L443" t="n">
        <v>0</v>
      </c>
      <c r="M443" t="n">
        <v>0</v>
      </c>
      <c r="N443" t="n">
        <v>0</v>
      </c>
      <c r="O443" t="n">
        <v>0</v>
      </c>
      <c r="P443" t="n">
        <v>0</v>
      </c>
      <c r="Q443" t="n">
        <v>0</v>
      </c>
      <c r="R443" s="2" t="inlineStr"/>
    </row>
    <row r="444" ht="15" customHeight="1">
      <c r="A444" t="inlineStr">
        <is>
          <t>A 53208-2023</t>
        </is>
      </c>
      <c r="B444" s="1" t="n">
        <v>45226</v>
      </c>
      <c r="C444" s="1" t="n">
        <v>45883</v>
      </c>
      <c r="D444" t="inlineStr">
        <is>
          <t>UPPSALA LÄN</t>
        </is>
      </c>
      <c r="E444" t="inlineStr">
        <is>
          <t>ENKÖPING</t>
        </is>
      </c>
      <c r="G444" t="n">
        <v>4.3</v>
      </c>
      <c r="H444" t="n">
        <v>0</v>
      </c>
      <c r="I444" t="n">
        <v>0</v>
      </c>
      <c r="J444" t="n">
        <v>0</v>
      </c>
      <c r="K444" t="n">
        <v>0</v>
      </c>
      <c r="L444" t="n">
        <v>0</v>
      </c>
      <c r="M444" t="n">
        <v>0</v>
      </c>
      <c r="N444" t="n">
        <v>0</v>
      </c>
      <c r="O444" t="n">
        <v>0</v>
      </c>
      <c r="P444" t="n">
        <v>0</v>
      </c>
      <c r="Q444" t="n">
        <v>0</v>
      </c>
      <c r="R444" s="2" t="inlineStr"/>
    </row>
    <row r="445" ht="15" customHeight="1">
      <c r="A445" t="inlineStr">
        <is>
          <t>A 34988-2025</t>
        </is>
      </c>
      <c r="B445" s="1" t="n">
        <v>45849</v>
      </c>
      <c r="C445" s="1" t="n">
        <v>45883</v>
      </c>
      <c r="D445" t="inlineStr">
        <is>
          <t>UPPSALA LÄN</t>
        </is>
      </c>
      <c r="E445" t="inlineStr">
        <is>
          <t>ENKÖPING</t>
        </is>
      </c>
      <c r="G445" t="n">
        <v>1.1</v>
      </c>
      <c r="H445" t="n">
        <v>0</v>
      </c>
      <c r="I445" t="n">
        <v>0</v>
      </c>
      <c r="J445" t="n">
        <v>0</v>
      </c>
      <c r="K445" t="n">
        <v>0</v>
      </c>
      <c r="L445" t="n">
        <v>0</v>
      </c>
      <c r="M445" t="n">
        <v>0</v>
      </c>
      <c r="N445" t="n">
        <v>0</v>
      </c>
      <c r="O445" t="n">
        <v>0</v>
      </c>
      <c r="P445" t="n">
        <v>0</v>
      </c>
      <c r="Q445" t="n">
        <v>0</v>
      </c>
      <c r="R445" s="2" t="inlineStr"/>
    </row>
    <row r="446" ht="15" customHeight="1">
      <c r="A446" t="inlineStr">
        <is>
          <t>A 34987-2025</t>
        </is>
      </c>
      <c r="B446" s="1" t="n">
        <v>45849</v>
      </c>
      <c r="C446" s="1" t="n">
        <v>45883</v>
      </c>
      <c r="D446" t="inlineStr">
        <is>
          <t>UPPSALA LÄN</t>
        </is>
      </c>
      <c r="E446" t="inlineStr">
        <is>
          <t>ENKÖPING</t>
        </is>
      </c>
      <c r="G446" t="n">
        <v>2.2</v>
      </c>
      <c r="H446" t="n">
        <v>0</v>
      </c>
      <c r="I446" t="n">
        <v>0</v>
      </c>
      <c r="J446" t="n">
        <v>0</v>
      </c>
      <c r="K446" t="n">
        <v>0</v>
      </c>
      <c r="L446" t="n">
        <v>0</v>
      </c>
      <c r="M446" t="n">
        <v>0</v>
      </c>
      <c r="N446" t="n">
        <v>0</v>
      </c>
      <c r="O446" t="n">
        <v>0</v>
      </c>
      <c r="P446" t="n">
        <v>0</v>
      </c>
      <c r="Q446" t="n">
        <v>0</v>
      </c>
      <c r="R446" s="2" t="inlineStr"/>
    </row>
    <row r="447" ht="15" customHeight="1">
      <c r="A447" t="inlineStr">
        <is>
          <t>A 34989-2025</t>
        </is>
      </c>
      <c r="B447" s="1" t="n">
        <v>45849</v>
      </c>
      <c r="C447" s="1" t="n">
        <v>45883</v>
      </c>
      <c r="D447" t="inlineStr">
        <is>
          <t>UPPSALA LÄN</t>
        </is>
      </c>
      <c r="E447" t="inlineStr">
        <is>
          <t>ENKÖPING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29093-2025</t>
        </is>
      </c>
      <c r="B448" s="1" t="n">
        <v>45821.55743055556</v>
      </c>
      <c r="C448" s="1" t="n">
        <v>45883</v>
      </c>
      <c r="D448" t="inlineStr">
        <is>
          <t>UPPSALA LÄN</t>
        </is>
      </c>
      <c r="E448" t="inlineStr">
        <is>
          <t>ENKÖPING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29477-2025</t>
        </is>
      </c>
      <c r="B449" s="1" t="n">
        <v>45824.71537037037</v>
      </c>
      <c r="C449" s="1" t="n">
        <v>45883</v>
      </c>
      <c r="D449" t="inlineStr">
        <is>
          <t>UPPSALA LÄN</t>
        </is>
      </c>
      <c r="E449" t="inlineStr">
        <is>
          <t>ENKÖPING</t>
        </is>
      </c>
      <c r="G449" t="n">
        <v>13.4</v>
      </c>
      <c r="H449" t="n">
        <v>0</v>
      </c>
      <c r="I449" t="n">
        <v>0</v>
      </c>
      <c r="J449" t="n">
        <v>0</v>
      </c>
      <c r="K449" t="n">
        <v>0</v>
      </c>
      <c r="L449" t="n">
        <v>0</v>
      </c>
      <c r="M449" t="n">
        <v>0</v>
      </c>
      <c r="N449" t="n">
        <v>0</v>
      </c>
      <c r="O449" t="n">
        <v>0</v>
      </c>
      <c r="P449" t="n">
        <v>0</v>
      </c>
      <c r="Q449" t="n">
        <v>0</v>
      </c>
      <c r="R449" s="2" t="inlineStr"/>
    </row>
    <row r="450" ht="15" customHeight="1">
      <c r="A450" t="inlineStr">
        <is>
          <t>A 18259-2025</t>
        </is>
      </c>
      <c r="B450" s="1" t="n">
        <v>45762</v>
      </c>
      <c r="C450" s="1" t="n">
        <v>45883</v>
      </c>
      <c r="D450" t="inlineStr">
        <is>
          <t>UPPSALA LÄN</t>
        </is>
      </c>
      <c r="E450" t="inlineStr">
        <is>
          <t>ENKÖPING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36350-2025</t>
        </is>
      </c>
      <c r="B451" s="1" t="n">
        <v>45868</v>
      </c>
      <c r="C451" s="1" t="n">
        <v>45883</v>
      </c>
      <c r="D451" t="inlineStr">
        <is>
          <t>UPPSALA LÄN</t>
        </is>
      </c>
      <c r="E451" t="inlineStr">
        <is>
          <t>ENKÖPING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62158-2023</t>
        </is>
      </c>
      <c r="B452" s="1" t="n">
        <v>45267</v>
      </c>
      <c r="C452" s="1" t="n">
        <v>45883</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36368-2025</t>
        </is>
      </c>
      <c r="B453" s="1" t="n">
        <v>45868</v>
      </c>
      <c r="C453" s="1" t="n">
        <v>45883</v>
      </c>
      <c r="D453" t="inlineStr">
        <is>
          <t>UPPSALA LÄN</t>
        </is>
      </c>
      <c r="E453" t="inlineStr">
        <is>
          <t>ENKÖPING</t>
        </is>
      </c>
      <c r="G453" t="n">
        <v>2.6</v>
      </c>
      <c r="H453" t="n">
        <v>0</v>
      </c>
      <c r="I453" t="n">
        <v>0</v>
      </c>
      <c r="J453" t="n">
        <v>0</v>
      </c>
      <c r="K453" t="n">
        <v>0</v>
      </c>
      <c r="L453" t="n">
        <v>0</v>
      </c>
      <c r="M453" t="n">
        <v>0</v>
      </c>
      <c r="N453" t="n">
        <v>0</v>
      </c>
      <c r="O453" t="n">
        <v>0</v>
      </c>
      <c r="P453" t="n">
        <v>0</v>
      </c>
      <c r="Q453" t="n">
        <v>0</v>
      </c>
      <c r="R453" s="2" t="inlineStr"/>
    </row>
    <row r="454" ht="15" customHeight="1">
      <c r="A454" t="inlineStr">
        <is>
          <t>A 60874-2023</t>
        </is>
      </c>
      <c r="B454" s="1" t="n">
        <v>45261.06280092592</v>
      </c>
      <c r="C454" s="1" t="n">
        <v>45883</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36492-2025</t>
        </is>
      </c>
      <c r="B455" s="1" t="n">
        <v>45869</v>
      </c>
      <c r="C455" s="1" t="n">
        <v>45883</v>
      </c>
      <c r="D455" t="inlineStr">
        <is>
          <t>UPPSALA LÄN</t>
        </is>
      </c>
      <c r="E455" t="inlineStr">
        <is>
          <t>ENKÖPING</t>
        </is>
      </c>
      <c r="G455" t="n">
        <v>6.3</v>
      </c>
      <c r="H455" t="n">
        <v>0</v>
      </c>
      <c r="I455" t="n">
        <v>0</v>
      </c>
      <c r="J455" t="n">
        <v>0</v>
      </c>
      <c r="K455" t="n">
        <v>0</v>
      </c>
      <c r="L455" t="n">
        <v>0</v>
      </c>
      <c r="M455" t="n">
        <v>0</v>
      </c>
      <c r="N455" t="n">
        <v>0</v>
      </c>
      <c r="O455" t="n">
        <v>0</v>
      </c>
      <c r="P455" t="n">
        <v>0</v>
      </c>
      <c r="Q455" t="n">
        <v>0</v>
      </c>
      <c r="R455" s="2" t="inlineStr"/>
    </row>
    <row r="456" ht="15" customHeight="1">
      <c r="A456" t="inlineStr">
        <is>
          <t>A 36599-2025</t>
        </is>
      </c>
      <c r="B456" s="1" t="n">
        <v>45870.51723379629</v>
      </c>
      <c r="C456" s="1" t="n">
        <v>45883</v>
      </c>
      <c r="D456" t="inlineStr">
        <is>
          <t>UPPSALA LÄN</t>
        </is>
      </c>
      <c r="E456" t="inlineStr">
        <is>
          <t>ENKÖPING</t>
        </is>
      </c>
      <c r="G456" t="n">
        <v>5.9</v>
      </c>
      <c r="H456" t="n">
        <v>0</v>
      </c>
      <c r="I456" t="n">
        <v>0</v>
      </c>
      <c r="J456" t="n">
        <v>0</v>
      </c>
      <c r="K456" t="n">
        <v>0</v>
      </c>
      <c r="L456" t="n">
        <v>0</v>
      </c>
      <c r="M456" t="n">
        <v>0</v>
      </c>
      <c r="N456" t="n">
        <v>0</v>
      </c>
      <c r="O456" t="n">
        <v>0</v>
      </c>
      <c r="P456" t="n">
        <v>0</v>
      </c>
      <c r="Q456" t="n">
        <v>0</v>
      </c>
      <c r="R456" s="2" t="inlineStr"/>
    </row>
    <row r="457" ht="15" customHeight="1">
      <c r="A457" t="inlineStr">
        <is>
          <t>A 3550-2023</t>
        </is>
      </c>
      <c r="B457" s="1" t="n">
        <v>44950</v>
      </c>
      <c r="C457" s="1" t="n">
        <v>45883</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30837-2025</t>
        </is>
      </c>
      <c r="B458" s="1" t="n">
        <v>45831.7063425926</v>
      </c>
      <c r="C458" s="1" t="n">
        <v>45883</v>
      </c>
      <c r="D458" t="inlineStr">
        <is>
          <t>UPPSALA LÄN</t>
        </is>
      </c>
      <c r="E458" t="inlineStr">
        <is>
          <t>ENKÖPING</t>
        </is>
      </c>
      <c r="G458" t="n">
        <v>3.8</v>
      </c>
      <c r="H458" t="n">
        <v>0</v>
      </c>
      <c r="I458" t="n">
        <v>0</v>
      </c>
      <c r="J458" t="n">
        <v>0</v>
      </c>
      <c r="K458" t="n">
        <v>0</v>
      </c>
      <c r="L458" t="n">
        <v>0</v>
      </c>
      <c r="M458" t="n">
        <v>0</v>
      </c>
      <c r="N458" t="n">
        <v>0</v>
      </c>
      <c r="O458" t="n">
        <v>0</v>
      </c>
      <c r="P458" t="n">
        <v>0</v>
      </c>
      <c r="Q458" t="n">
        <v>0</v>
      </c>
      <c r="R458" s="2" t="inlineStr"/>
    </row>
    <row r="459" ht="15" customHeight="1">
      <c r="A459" t="inlineStr">
        <is>
          <t>A 9658-2025</t>
        </is>
      </c>
      <c r="B459" s="1" t="n">
        <v>45716</v>
      </c>
      <c r="C459" s="1" t="n">
        <v>45883</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26292-2022</t>
        </is>
      </c>
      <c r="B460" s="1" t="n">
        <v>44735</v>
      </c>
      <c r="C460" s="1" t="n">
        <v>45883</v>
      </c>
      <c r="D460" t="inlineStr">
        <is>
          <t>UPPSALA LÄN</t>
        </is>
      </c>
      <c r="E460" t="inlineStr">
        <is>
          <t>ENKÖPING</t>
        </is>
      </c>
      <c r="F460" t="inlineStr">
        <is>
          <t>Kyrkan</t>
        </is>
      </c>
      <c r="G460" t="n">
        <v>4.6</v>
      </c>
      <c r="H460" t="n">
        <v>0</v>
      </c>
      <c r="I460" t="n">
        <v>0</v>
      </c>
      <c r="J460" t="n">
        <v>0</v>
      </c>
      <c r="K460" t="n">
        <v>0</v>
      </c>
      <c r="L460" t="n">
        <v>0</v>
      </c>
      <c r="M460" t="n">
        <v>0</v>
      </c>
      <c r="N460" t="n">
        <v>0</v>
      </c>
      <c r="O460" t="n">
        <v>0</v>
      </c>
      <c r="P460" t="n">
        <v>0</v>
      </c>
      <c r="Q460" t="n">
        <v>0</v>
      </c>
      <c r="R460" s="2" t="inlineStr"/>
    </row>
    <row r="461" ht="15" customHeight="1">
      <c r="A461" t="inlineStr">
        <is>
          <t>A 17029-2025</t>
        </is>
      </c>
      <c r="B461" s="1" t="n">
        <v>45755.57291666666</v>
      </c>
      <c r="C461" s="1" t="n">
        <v>45883</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61207-2023</t>
        </is>
      </c>
      <c r="B462" s="1" t="n">
        <v>45264.39444444444</v>
      </c>
      <c r="C462" s="1" t="n">
        <v>45883</v>
      </c>
      <c r="D462" t="inlineStr">
        <is>
          <t>UPPSALA LÄN</t>
        </is>
      </c>
      <c r="E462" t="inlineStr">
        <is>
          <t>ENKÖPING</t>
        </is>
      </c>
      <c r="G462" t="n">
        <v>10.8</v>
      </c>
      <c r="H462" t="n">
        <v>0</v>
      </c>
      <c r="I462" t="n">
        <v>0</v>
      </c>
      <c r="J462" t="n">
        <v>0</v>
      </c>
      <c r="K462" t="n">
        <v>0</v>
      </c>
      <c r="L462" t="n">
        <v>0</v>
      </c>
      <c r="M462" t="n">
        <v>0</v>
      </c>
      <c r="N462" t="n">
        <v>0</v>
      </c>
      <c r="O462" t="n">
        <v>0</v>
      </c>
      <c r="P462" t="n">
        <v>0</v>
      </c>
      <c r="Q462" t="n">
        <v>0</v>
      </c>
      <c r="R462" s="2" t="inlineStr"/>
    </row>
    <row r="463" ht="15" customHeight="1">
      <c r="A463" t="inlineStr">
        <is>
          <t>A 840-2025</t>
        </is>
      </c>
      <c r="B463" s="1" t="n">
        <v>45665</v>
      </c>
      <c r="C463" s="1" t="n">
        <v>45883</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37319-2025</t>
        </is>
      </c>
      <c r="B464" s="1" t="n">
        <v>45876.62100694444</v>
      </c>
      <c r="C464" s="1" t="n">
        <v>45883</v>
      </c>
      <c r="D464" t="inlineStr">
        <is>
          <t>UPPSALA LÄN</t>
        </is>
      </c>
      <c r="E464" t="inlineStr">
        <is>
          <t>ENKÖPING</t>
        </is>
      </c>
      <c r="G464" t="n">
        <v>9.5</v>
      </c>
      <c r="H464" t="n">
        <v>0</v>
      </c>
      <c r="I464" t="n">
        <v>0</v>
      </c>
      <c r="J464" t="n">
        <v>0</v>
      </c>
      <c r="K464" t="n">
        <v>0</v>
      </c>
      <c r="L464" t="n">
        <v>0</v>
      </c>
      <c r="M464" t="n">
        <v>0</v>
      </c>
      <c r="N464" t="n">
        <v>0</v>
      </c>
      <c r="O464" t="n">
        <v>0</v>
      </c>
      <c r="P464" t="n">
        <v>0</v>
      </c>
      <c r="Q464" t="n">
        <v>0</v>
      </c>
      <c r="R464" s="2" t="inlineStr"/>
    </row>
    <row r="465" ht="15" customHeight="1">
      <c r="A465" t="inlineStr">
        <is>
          <t>A 37296-2025</t>
        </is>
      </c>
      <c r="B465" s="1" t="n">
        <v>45876.56584490741</v>
      </c>
      <c r="C465" s="1" t="n">
        <v>45883</v>
      </c>
      <c r="D465" t="inlineStr">
        <is>
          <t>UPPSALA LÄN</t>
        </is>
      </c>
      <c r="E465" t="inlineStr">
        <is>
          <t>ENKÖPING</t>
        </is>
      </c>
      <c r="G465" t="n">
        <v>9.5</v>
      </c>
      <c r="H465" t="n">
        <v>0</v>
      </c>
      <c r="I465" t="n">
        <v>0</v>
      </c>
      <c r="J465" t="n">
        <v>0</v>
      </c>
      <c r="K465" t="n">
        <v>0</v>
      </c>
      <c r="L465" t="n">
        <v>0</v>
      </c>
      <c r="M465" t="n">
        <v>0</v>
      </c>
      <c r="N465" t="n">
        <v>0</v>
      </c>
      <c r="O465" t="n">
        <v>0</v>
      </c>
      <c r="P465" t="n">
        <v>0</v>
      </c>
      <c r="Q465" t="n">
        <v>0</v>
      </c>
      <c r="R465" s="2" t="inlineStr"/>
    </row>
    <row r="466" ht="15" customHeight="1">
      <c r="A466" t="inlineStr">
        <is>
          <t>A 10458-2022</t>
        </is>
      </c>
      <c r="B466" s="1" t="n">
        <v>44623.56711805556</v>
      </c>
      <c r="C466" s="1" t="n">
        <v>45883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45142-2023</t>
        </is>
      </c>
      <c r="B467" s="1" t="n">
        <v>45191.4702662037</v>
      </c>
      <c r="C467" s="1" t="n">
        <v>45883</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57998-2024</t>
        </is>
      </c>
      <c r="B468" s="1" t="n">
        <v>45631</v>
      </c>
      <c r="C468" s="1" t="n">
        <v>45883</v>
      </c>
      <c r="D468" t="inlineStr">
        <is>
          <t>UPPSALA LÄN</t>
        </is>
      </c>
      <c r="E468" t="inlineStr">
        <is>
          <t>ENKÖPING</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14332-2024</t>
        </is>
      </c>
      <c r="B469" s="1" t="n">
        <v>45393</v>
      </c>
      <c r="C469" s="1" t="n">
        <v>45883</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18831-2023</t>
        </is>
      </c>
      <c r="B470" s="1" t="n">
        <v>45044.40798611111</v>
      </c>
      <c r="C470" s="1" t="n">
        <v>45883</v>
      </c>
      <c r="D470" t="inlineStr">
        <is>
          <t>UPPSALA LÄN</t>
        </is>
      </c>
      <c r="E470" t="inlineStr">
        <is>
          <t>ENKÖPING</t>
        </is>
      </c>
      <c r="G470" t="n">
        <v>4.3</v>
      </c>
      <c r="H470" t="n">
        <v>0</v>
      </c>
      <c r="I470" t="n">
        <v>0</v>
      </c>
      <c r="J470" t="n">
        <v>0</v>
      </c>
      <c r="K470" t="n">
        <v>0</v>
      </c>
      <c r="L470" t="n">
        <v>0</v>
      </c>
      <c r="M470" t="n">
        <v>0</v>
      </c>
      <c r="N470" t="n">
        <v>0</v>
      </c>
      <c r="O470" t="n">
        <v>0</v>
      </c>
      <c r="P470" t="n">
        <v>0</v>
      </c>
      <c r="Q470" t="n">
        <v>0</v>
      </c>
      <c r="R470" s="2" t="inlineStr"/>
    </row>
    <row r="471" ht="15" customHeight="1">
      <c r="A471" t="inlineStr">
        <is>
          <t>A 32477-2025</t>
        </is>
      </c>
      <c r="B471" s="1" t="n">
        <v>45838.43098379629</v>
      </c>
      <c r="C471" s="1" t="n">
        <v>45883</v>
      </c>
      <c r="D471" t="inlineStr">
        <is>
          <t>UPPSALA LÄN</t>
        </is>
      </c>
      <c r="E471" t="inlineStr">
        <is>
          <t>ENKÖPING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32031-2025</t>
        </is>
      </c>
      <c r="B472" s="1" t="n">
        <v>45835.41712962963</v>
      </c>
      <c r="C472" s="1" t="n">
        <v>45883</v>
      </c>
      <c r="D472" t="inlineStr">
        <is>
          <t>UPPSALA LÄN</t>
        </is>
      </c>
      <c r="E472" t="inlineStr">
        <is>
          <t>ENKÖPING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32111-2025</t>
        </is>
      </c>
      <c r="B473" s="1" t="n">
        <v>45835</v>
      </c>
      <c r="C473" s="1" t="n">
        <v>45883</v>
      </c>
      <c r="D473" t="inlineStr">
        <is>
          <t>UPPSALA LÄN</t>
        </is>
      </c>
      <c r="E473" t="inlineStr">
        <is>
          <t>ENKÖPING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33581-2023</t>
        </is>
      </c>
      <c r="B474" s="1" t="n">
        <v>45131</v>
      </c>
      <c r="C474" s="1" t="n">
        <v>45883</v>
      </c>
      <c r="D474" t="inlineStr">
        <is>
          <t>UPPSALA LÄN</t>
        </is>
      </c>
      <c r="E474" t="inlineStr">
        <is>
          <t>ENKÖPING</t>
        </is>
      </c>
      <c r="G474" t="n">
        <v>3.5</v>
      </c>
      <c r="H474" t="n">
        <v>0</v>
      </c>
      <c r="I474" t="n">
        <v>0</v>
      </c>
      <c r="J474" t="n">
        <v>0</v>
      </c>
      <c r="K474" t="n">
        <v>0</v>
      </c>
      <c r="L474" t="n">
        <v>0</v>
      </c>
      <c r="M474" t="n">
        <v>0</v>
      </c>
      <c r="N474" t="n">
        <v>0</v>
      </c>
      <c r="O474" t="n">
        <v>0</v>
      </c>
      <c r="P474" t="n">
        <v>0</v>
      </c>
      <c r="Q474" t="n">
        <v>0</v>
      </c>
      <c r="R474" s="2" t="inlineStr"/>
    </row>
    <row r="475" ht="15" customHeight="1">
      <c r="A475" t="inlineStr">
        <is>
          <t>A 58896-2020</t>
        </is>
      </c>
      <c r="B475" s="1" t="n">
        <v>44146</v>
      </c>
      <c r="C475" s="1" t="n">
        <v>45883</v>
      </c>
      <c r="D475" t="inlineStr">
        <is>
          <t>UPPSALA LÄN</t>
        </is>
      </c>
      <c r="E475" t="inlineStr">
        <is>
          <t>ENKÖPING</t>
        </is>
      </c>
      <c r="G475" t="n">
        <v>2.5</v>
      </c>
      <c r="H475" t="n">
        <v>0</v>
      </c>
      <c r="I475" t="n">
        <v>0</v>
      </c>
      <c r="J475" t="n">
        <v>0</v>
      </c>
      <c r="K475" t="n">
        <v>0</v>
      </c>
      <c r="L475" t="n">
        <v>0</v>
      </c>
      <c r="M475" t="n">
        <v>0</v>
      </c>
      <c r="N475" t="n">
        <v>0</v>
      </c>
      <c r="O475" t="n">
        <v>0</v>
      </c>
      <c r="P475" t="n">
        <v>0</v>
      </c>
      <c r="Q475" t="n">
        <v>0</v>
      </c>
      <c r="R475" s="2" t="inlineStr"/>
    </row>
    <row r="476" ht="15" customHeight="1">
      <c r="A476" t="inlineStr">
        <is>
          <t>A 37115-2024</t>
        </is>
      </c>
      <c r="B476" s="1" t="n">
        <v>45539</v>
      </c>
      <c r="C476" s="1" t="n">
        <v>45883</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58062-2020</t>
        </is>
      </c>
      <c r="B477" s="1" t="n">
        <v>44144</v>
      </c>
      <c r="C477" s="1" t="n">
        <v>45883</v>
      </c>
      <c r="D477" t="inlineStr">
        <is>
          <t>UPPSALA LÄN</t>
        </is>
      </c>
      <c r="E477" t="inlineStr">
        <is>
          <t>ENKÖPING</t>
        </is>
      </c>
      <c r="G477" t="n">
        <v>2.3</v>
      </c>
      <c r="H477" t="n">
        <v>0</v>
      </c>
      <c r="I477" t="n">
        <v>0</v>
      </c>
      <c r="J477" t="n">
        <v>0</v>
      </c>
      <c r="K477" t="n">
        <v>0</v>
      </c>
      <c r="L477" t="n">
        <v>0</v>
      </c>
      <c r="M477" t="n">
        <v>0</v>
      </c>
      <c r="N477" t="n">
        <v>0</v>
      </c>
      <c r="O477" t="n">
        <v>0</v>
      </c>
      <c r="P477" t="n">
        <v>0</v>
      </c>
      <c r="Q477" t="n">
        <v>0</v>
      </c>
      <c r="R477" s="2" t="inlineStr"/>
    </row>
    <row r="478" ht="15" customHeight="1">
      <c r="A478" t="inlineStr">
        <is>
          <t>A 37498-2025</t>
        </is>
      </c>
      <c r="B478" s="1" t="n">
        <v>45877</v>
      </c>
      <c r="C478" s="1" t="n">
        <v>45883</v>
      </c>
      <c r="D478" t="inlineStr">
        <is>
          <t>UPPSALA LÄN</t>
        </is>
      </c>
      <c r="E478" t="inlineStr">
        <is>
          <t>ENKÖPING</t>
        </is>
      </c>
      <c r="G478" t="n">
        <v>1.2</v>
      </c>
      <c r="H478" t="n">
        <v>0</v>
      </c>
      <c r="I478" t="n">
        <v>0</v>
      </c>
      <c r="J478" t="n">
        <v>0</v>
      </c>
      <c r="K478" t="n">
        <v>0</v>
      </c>
      <c r="L478" t="n">
        <v>0</v>
      </c>
      <c r="M478" t="n">
        <v>0</v>
      </c>
      <c r="N478" t="n">
        <v>0</v>
      </c>
      <c r="O478" t="n">
        <v>0</v>
      </c>
      <c r="P478" t="n">
        <v>0</v>
      </c>
      <c r="Q478" t="n">
        <v>0</v>
      </c>
      <c r="R478" s="2" t="inlineStr"/>
    </row>
    <row r="479" ht="15" customHeight="1">
      <c r="A479" t="inlineStr">
        <is>
          <t>A 6147-2021</t>
        </is>
      </c>
      <c r="B479" s="1" t="n">
        <v>44232</v>
      </c>
      <c r="C479" s="1" t="n">
        <v>45883</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1960-2022</t>
        </is>
      </c>
      <c r="B480" s="1" t="n">
        <v>44575</v>
      </c>
      <c r="C480" s="1" t="n">
        <v>45883</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18028-2023</t>
        </is>
      </c>
      <c r="B481" s="1" t="n">
        <v>45040</v>
      </c>
      <c r="C481" s="1" t="n">
        <v>45883</v>
      </c>
      <c r="D481" t="inlineStr">
        <is>
          <t>UPPSALA LÄN</t>
        </is>
      </c>
      <c r="E481" t="inlineStr">
        <is>
          <t>ENKÖPING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39935-2020</t>
        </is>
      </c>
      <c r="B482" s="1" t="n">
        <v>44067</v>
      </c>
      <c r="C482" s="1" t="n">
        <v>45883</v>
      </c>
      <c r="D482" t="inlineStr">
        <is>
          <t>UPPSALA LÄN</t>
        </is>
      </c>
      <c r="E482" t="inlineStr">
        <is>
          <t>ENKÖPING</t>
        </is>
      </c>
      <c r="G482" t="n">
        <v>4.2</v>
      </c>
      <c r="H482" t="n">
        <v>0</v>
      </c>
      <c r="I482" t="n">
        <v>0</v>
      </c>
      <c r="J482" t="n">
        <v>0</v>
      </c>
      <c r="K482" t="n">
        <v>0</v>
      </c>
      <c r="L482" t="n">
        <v>0</v>
      </c>
      <c r="M482" t="n">
        <v>0</v>
      </c>
      <c r="N482" t="n">
        <v>0</v>
      </c>
      <c r="O482" t="n">
        <v>0</v>
      </c>
      <c r="P482" t="n">
        <v>0</v>
      </c>
      <c r="Q482" t="n">
        <v>0</v>
      </c>
      <c r="R482" s="2" t="inlineStr"/>
    </row>
    <row r="483" ht="15" customHeight="1">
      <c r="A483" t="inlineStr">
        <is>
          <t>A 49568-2022</t>
        </is>
      </c>
      <c r="B483" s="1" t="n">
        <v>44862.32791666667</v>
      </c>
      <c r="C483" s="1" t="n">
        <v>45883</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42459-2024</t>
        </is>
      </c>
      <c r="B484" s="1" t="n">
        <v>45565</v>
      </c>
      <c r="C484" s="1" t="n">
        <v>45883</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48864-2022</t>
        </is>
      </c>
      <c r="B485" s="1" t="n">
        <v>44859</v>
      </c>
      <c r="C485" s="1" t="n">
        <v>45883</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31622-2022</t>
        </is>
      </c>
      <c r="B486" s="1" t="n">
        <v>44775</v>
      </c>
      <c r="C486" s="1" t="n">
        <v>45883</v>
      </c>
      <c r="D486" t="inlineStr">
        <is>
          <t>UPPSALA LÄN</t>
        </is>
      </c>
      <c r="E486" t="inlineStr">
        <is>
          <t>ENKÖPING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66517-2020</t>
        </is>
      </c>
      <c r="B487" s="1" t="n">
        <v>44178</v>
      </c>
      <c r="C487" s="1" t="n">
        <v>45883</v>
      </c>
      <c r="D487" t="inlineStr">
        <is>
          <t>UPPSALA LÄN</t>
        </is>
      </c>
      <c r="E487" t="inlineStr">
        <is>
          <t>ENKÖPING</t>
        </is>
      </c>
      <c r="G487" t="n">
        <v>4</v>
      </c>
      <c r="H487" t="n">
        <v>0</v>
      </c>
      <c r="I487" t="n">
        <v>0</v>
      </c>
      <c r="J487" t="n">
        <v>0</v>
      </c>
      <c r="K487" t="n">
        <v>0</v>
      </c>
      <c r="L487" t="n">
        <v>0</v>
      </c>
      <c r="M487" t="n">
        <v>0</v>
      </c>
      <c r="N487" t="n">
        <v>0</v>
      </c>
      <c r="O487" t="n">
        <v>0</v>
      </c>
      <c r="P487" t="n">
        <v>0</v>
      </c>
      <c r="Q487" t="n">
        <v>0</v>
      </c>
      <c r="R487" s="2" t="inlineStr"/>
    </row>
    <row r="488" ht="15" customHeight="1">
      <c r="A488" t="inlineStr">
        <is>
          <t>A 6356-2022</t>
        </is>
      </c>
      <c r="B488" s="1" t="n">
        <v>44600</v>
      </c>
      <c r="C488" s="1" t="n">
        <v>45883</v>
      </c>
      <c r="D488" t="inlineStr">
        <is>
          <t>UPPSALA LÄN</t>
        </is>
      </c>
      <c r="E488" t="inlineStr">
        <is>
          <t>ENKÖPING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49617-2024</t>
        </is>
      </c>
      <c r="B489" s="1" t="n">
        <v>45596</v>
      </c>
      <c r="C489" s="1" t="n">
        <v>45883</v>
      </c>
      <c r="D489" t="inlineStr">
        <is>
          <t>UPPSALA LÄN</t>
        </is>
      </c>
      <c r="E489" t="inlineStr">
        <is>
          <t>ENKÖPING</t>
        </is>
      </c>
      <c r="G489" t="n">
        <v>3.5</v>
      </c>
      <c r="H489" t="n">
        <v>0</v>
      </c>
      <c r="I489" t="n">
        <v>0</v>
      </c>
      <c r="J489" t="n">
        <v>0</v>
      </c>
      <c r="K489" t="n">
        <v>0</v>
      </c>
      <c r="L489" t="n">
        <v>0</v>
      </c>
      <c r="M489" t="n">
        <v>0</v>
      </c>
      <c r="N489" t="n">
        <v>0</v>
      </c>
      <c r="O489" t="n">
        <v>0</v>
      </c>
      <c r="P489" t="n">
        <v>0</v>
      </c>
      <c r="Q489" t="n">
        <v>0</v>
      </c>
      <c r="R489" s="2" t="inlineStr"/>
    </row>
    <row r="490" ht="15" customHeight="1">
      <c r="A490" t="inlineStr">
        <is>
          <t>A 49637-2024</t>
        </is>
      </c>
      <c r="B490" s="1" t="n">
        <v>45596.59831018518</v>
      </c>
      <c r="C490" s="1" t="n">
        <v>45883</v>
      </c>
      <c r="D490" t="inlineStr">
        <is>
          <t>UPPSALA LÄN</t>
        </is>
      </c>
      <c r="E490" t="inlineStr">
        <is>
          <t>ENKÖPING</t>
        </is>
      </c>
      <c r="G490" t="n">
        <v>4.9</v>
      </c>
      <c r="H490" t="n">
        <v>0</v>
      </c>
      <c r="I490" t="n">
        <v>0</v>
      </c>
      <c r="J490" t="n">
        <v>0</v>
      </c>
      <c r="K490" t="n">
        <v>0</v>
      </c>
      <c r="L490" t="n">
        <v>0</v>
      </c>
      <c r="M490" t="n">
        <v>0</v>
      </c>
      <c r="N490" t="n">
        <v>0</v>
      </c>
      <c r="O490" t="n">
        <v>0</v>
      </c>
      <c r="P490" t="n">
        <v>0</v>
      </c>
      <c r="Q490" t="n">
        <v>0</v>
      </c>
      <c r="R490" s="2" t="inlineStr"/>
    </row>
    <row r="491" ht="15" customHeight="1">
      <c r="A491" t="inlineStr">
        <is>
          <t>A 57147-2021</t>
        </is>
      </c>
      <c r="B491" s="1" t="n">
        <v>44482</v>
      </c>
      <c r="C491" s="1" t="n">
        <v>45883</v>
      </c>
      <c r="D491" t="inlineStr">
        <is>
          <t>UPPSALA LÄN</t>
        </is>
      </c>
      <c r="E491" t="inlineStr">
        <is>
          <t>ENKÖPING</t>
        </is>
      </c>
      <c r="G491" t="n">
        <v>5.7</v>
      </c>
      <c r="H491" t="n">
        <v>0</v>
      </c>
      <c r="I491" t="n">
        <v>0</v>
      </c>
      <c r="J491" t="n">
        <v>0</v>
      </c>
      <c r="K491" t="n">
        <v>0</v>
      </c>
      <c r="L491" t="n">
        <v>0</v>
      </c>
      <c r="M491" t="n">
        <v>0</v>
      </c>
      <c r="N491" t="n">
        <v>0</v>
      </c>
      <c r="O491" t="n">
        <v>0</v>
      </c>
      <c r="P491" t="n">
        <v>0</v>
      </c>
      <c r="Q491" t="n">
        <v>0</v>
      </c>
      <c r="R491" s="2" t="inlineStr"/>
    </row>
    <row r="492" ht="15" customHeight="1">
      <c r="A492" t="inlineStr">
        <is>
          <t>A 61711-2020</t>
        </is>
      </c>
      <c r="B492" s="1" t="n">
        <v>44158</v>
      </c>
      <c r="C492" s="1" t="n">
        <v>45883</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47909-2024</t>
        </is>
      </c>
      <c r="B493" s="1" t="n">
        <v>45589.31866898148</v>
      </c>
      <c r="C493" s="1" t="n">
        <v>45883</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6157-2021</t>
        </is>
      </c>
      <c r="B494" s="1" t="n">
        <v>44232</v>
      </c>
      <c r="C494" s="1" t="n">
        <v>45883</v>
      </c>
      <c r="D494" t="inlineStr">
        <is>
          <t>UPPSALA LÄN</t>
        </is>
      </c>
      <c r="E494" t="inlineStr">
        <is>
          <t>ENKÖPING</t>
        </is>
      </c>
      <c r="G494" t="n">
        <v>3.9</v>
      </c>
      <c r="H494" t="n">
        <v>0</v>
      </c>
      <c r="I494" t="n">
        <v>0</v>
      </c>
      <c r="J494" t="n">
        <v>0</v>
      </c>
      <c r="K494" t="n">
        <v>0</v>
      </c>
      <c r="L494" t="n">
        <v>0</v>
      </c>
      <c r="M494" t="n">
        <v>0</v>
      </c>
      <c r="N494" t="n">
        <v>0</v>
      </c>
      <c r="O494" t="n">
        <v>0</v>
      </c>
      <c r="P494" t="n">
        <v>0</v>
      </c>
      <c r="Q494" t="n">
        <v>0</v>
      </c>
      <c r="R494" s="2" t="inlineStr"/>
    </row>
    <row r="495">
      <c r="A495" t="inlineStr">
        <is>
          <t>A 52005-2024</t>
        </is>
      </c>
      <c r="B495" s="1" t="n">
        <v>45607.7627662037</v>
      </c>
      <c r="C495" s="1" t="n">
        <v>45883</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2025-08-14T08:28:11Z</dcterms:created>
  <dcterms:modified xmlns:dcterms="http://purl.org/dc/terms/" xmlns:xsi="http://www.w3.org/2001/XMLSchema-instance" xsi:type="dcterms:W3CDTF">2025-08-14T08:28:11Z</dcterms:modified>
</cp:coreProperties>
</file>