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46035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46035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46035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46035</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46035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46035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21970-2025</t>
        </is>
      </c>
      <c r="B14" s="1" t="n">
        <v>45784.63335648148</v>
      </c>
      <c r="C14" s="1" t="n">
        <v>46035</v>
      </c>
      <c r="D14" t="inlineStr">
        <is>
          <t>UPPSALA LÄN</t>
        </is>
      </c>
      <c r="E14" t="inlineStr">
        <is>
          <t>ENKÖPING</t>
        </is>
      </c>
      <c r="G14" t="n">
        <v>5.3</v>
      </c>
      <c r="H14" t="n">
        <v>1</v>
      </c>
      <c r="I14" t="n">
        <v>0</v>
      </c>
      <c r="J14" t="n">
        <v>1</v>
      </c>
      <c r="K14" t="n">
        <v>0</v>
      </c>
      <c r="L14" t="n">
        <v>0</v>
      </c>
      <c r="M14" t="n">
        <v>0</v>
      </c>
      <c r="N14" t="n">
        <v>0</v>
      </c>
      <c r="O14" t="n">
        <v>1</v>
      </c>
      <c r="P14" t="n">
        <v>0</v>
      </c>
      <c r="Q14" t="n">
        <v>2</v>
      </c>
      <c r="R14" s="2" t="inlineStr">
        <is>
          <t>Flattoppad klubbsvamp
Blåsippa</t>
        </is>
      </c>
      <c r="S14">
        <f>HYPERLINK("https://klasma.github.io/Logging_0381/artfynd/A 21970-2025 artfynd.xlsx", "A 21970-2025")</f>
        <v/>
      </c>
      <c r="T14">
        <f>HYPERLINK("https://klasma.github.io/Logging_0381/kartor/A 21970-2025 karta.png", "A 21970-2025")</f>
        <v/>
      </c>
      <c r="V14">
        <f>HYPERLINK("https://klasma.github.io/Logging_0381/klagomål/A 21970-2025 FSC-klagomål.docx", "A 21970-2025")</f>
        <v/>
      </c>
      <c r="W14">
        <f>HYPERLINK("https://klasma.github.io/Logging_0381/klagomålsmail/A 21970-2025 FSC-klagomål mail.docx", "A 21970-2025")</f>
        <v/>
      </c>
      <c r="X14">
        <f>HYPERLINK("https://klasma.github.io/Logging_0381/tillsyn/A 21970-2025 tillsynsbegäran.docx", "A 21970-2025")</f>
        <v/>
      </c>
      <c r="Y14">
        <f>HYPERLINK("https://klasma.github.io/Logging_0381/tillsynsmail/A 21970-2025 tillsynsbegäran mail.docx", "A 21970-2025")</f>
        <v/>
      </c>
    </row>
    <row r="15" ht="15" customHeight="1">
      <c r="A15" t="inlineStr">
        <is>
          <t>A 52092-2022</t>
        </is>
      </c>
      <c r="B15" s="1" t="n">
        <v>44873</v>
      </c>
      <c r="C15" s="1" t="n">
        <v>46035</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46035</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46035</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46035</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46035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46035</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46035</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26347-2025</t>
        </is>
      </c>
      <c r="B23" s="1" t="n">
        <v>45805.7403125</v>
      </c>
      <c r="C23" s="1" t="n">
        <v>46035</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46035</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46035</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46035</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46035</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46035</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46035</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46035</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46035</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46035</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46035</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10989-2021</t>
        </is>
      </c>
      <c r="B34" s="1" t="n">
        <v>44260</v>
      </c>
      <c r="C34" s="1" t="n">
        <v>46035</v>
      </c>
      <c r="D34" t="inlineStr">
        <is>
          <t>UPPSALA LÄN</t>
        </is>
      </c>
      <c r="E34" t="inlineStr">
        <is>
          <t>ENKÖPING</t>
        </is>
      </c>
      <c r="G34" t="n">
        <v>3.5</v>
      </c>
      <c r="H34" t="n">
        <v>0</v>
      </c>
      <c r="I34" t="n">
        <v>0</v>
      </c>
      <c r="J34" t="n">
        <v>0</v>
      </c>
      <c r="K34" t="n">
        <v>0</v>
      </c>
      <c r="L34" t="n">
        <v>0</v>
      </c>
      <c r="M34" t="n">
        <v>0</v>
      </c>
      <c r="N34" t="n">
        <v>0</v>
      </c>
      <c r="O34" t="n">
        <v>0</v>
      </c>
      <c r="P34" t="n">
        <v>0</v>
      </c>
      <c r="Q34" t="n">
        <v>0</v>
      </c>
      <c r="R34" s="2" t="inlineStr"/>
    </row>
    <row r="35" ht="15" customHeight="1">
      <c r="A35" t="inlineStr">
        <is>
          <t>A 61076-2021</t>
        </is>
      </c>
      <c r="B35" s="1" t="n">
        <v>44497.84542824074</v>
      </c>
      <c r="C35" s="1" t="n">
        <v>46035</v>
      </c>
      <c r="D35" t="inlineStr">
        <is>
          <t>UPPSALA LÄN</t>
        </is>
      </c>
      <c r="E35" t="inlineStr">
        <is>
          <t>ENKÖPING</t>
        </is>
      </c>
      <c r="G35" t="n">
        <v>0.2</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46035</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15298-2021</t>
        </is>
      </c>
      <c r="B37" s="1" t="n">
        <v>44284</v>
      </c>
      <c r="C37" s="1" t="n">
        <v>46035</v>
      </c>
      <c r="D37" t="inlineStr">
        <is>
          <t>UPPSALA LÄN</t>
        </is>
      </c>
      <c r="E37" t="inlineStr">
        <is>
          <t>ENKÖPING</t>
        </is>
      </c>
      <c r="G37" t="n">
        <v>6</v>
      </c>
      <c r="H37" t="n">
        <v>0</v>
      </c>
      <c r="I37" t="n">
        <v>0</v>
      </c>
      <c r="J37" t="n">
        <v>0</v>
      </c>
      <c r="K37" t="n">
        <v>0</v>
      </c>
      <c r="L37" t="n">
        <v>0</v>
      </c>
      <c r="M37" t="n">
        <v>0</v>
      </c>
      <c r="N37" t="n">
        <v>0</v>
      </c>
      <c r="O37" t="n">
        <v>0</v>
      </c>
      <c r="P37" t="n">
        <v>0</v>
      </c>
      <c r="Q37" t="n">
        <v>0</v>
      </c>
      <c r="R37" s="2" t="inlineStr"/>
    </row>
    <row r="38" ht="15" customHeight="1">
      <c r="A38" t="inlineStr">
        <is>
          <t>A 56176-2021</t>
        </is>
      </c>
      <c r="B38" s="1" t="n">
        <v>44477</v>
      </c>
      <c r="C38" s="1" t="n">
        <v>46035</v>
      </c>
      <c r="D38" t="inlineStr">
        <is>
          <t>UPPSALA LÄN</t>
        </is>
      </c>
      <c r="E38" t="inlineStr">
        <is>
          <t>ENKÖPING</t>
        </is>
      </c>
      <c r="G38" t="n">
        <v>2.9</v>
      </c>
      <c r="H38" t="n">
        <v>0</v>
      </c>
      <c r="I38" t="n">
        <v>0</v>
      </c>
      <c r="J38" t="n">
        <v>0</v>
      </c>
      <c r="K38" t="n">
        <v>0</v>
      </c>
      <c r="L38" t="n">
        <v>0</v>
      </c>
      <c r="M38" t="n">
        <v>0</v>
      </c>
      <c r="N38" t="n">
        <v>0</v>
      </c>
      <c r="O38" t="n">
        <v>0</v>
      </c>
      <c r="P38" t="n">
        <v>0</v>
      </c>
      <c r="Q38" t="n">
        <v>0</v>
      </c>
      <c r="R38" s="2" t="inlineStr"/>
    </row>
    <row r="39" ht="15" customHeight="1">
      <c r="A39" t="inlineStr">
        <is>
          <t>A 61553-2021</t>
        </is>
      </c>
      <c r="B39" s="1" t="n">
        <v>44501</v>
      </c>
      <c r="C39" s="1" t="n">
        <v>46035</v>
      </c>
      <c r="D39" t="inlineStr">
        <is>
          <t>UPPSALA LÄN</t>
        </is>
      </c>
      <c r="E39" t="inlineStr">
        <is>
          <t>ENKÖPING</t>
        </is>
      </c>
      <c r="G39" t="n">
        <v>1.3</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46035</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46035</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46035</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46035</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46035</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46035</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46035</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46035</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46035</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46035</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46035</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46035</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46035</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46035</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46035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46035</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46035</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16967-2022</t>
        </is>
      </c>
      <c r="B58" s="1" t="n">
        <v>44676</v>
      </c>
      <c r="C58" s="1" t="n">
        <v>46035</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498-2022</t>
        </is>
      </c>
      <c r="B59" s="1" t="n">
        <v>44566</v>
      </c>
      <c r="C59" s="1" t="n">
        <v>46035</v>
      </c>
      <c r="D59" t="inlineStr">
        <is>
          <t>UPPSALA LÄN</t>
        </is>
      </c>
      <c r="E59" t="inlineStr">
        <is>
          <t>ENKÖPING</t>
        </is>
      </c>
      <c r="F59" t="inlineStr">
        <is>
          <t>Övriga statliga verk och myndigheter</t>
        </is>
      </c>
      <c r="G59" t="n">
        <v>11.1</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46035</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46035</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46035</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46035</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46035</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46035</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46035</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46035</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46035</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46035</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46035</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46035</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46035</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46035</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46035</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46035</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46035</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46035</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46035</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46035</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46035</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46035</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46035</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46035</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46035</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46035</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46035</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46035</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46035</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46035</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46035</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46035</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46035</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46035</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46035</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46035</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46035</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46035</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46035</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46035</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46035</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46035</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46035</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46035</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46103-2023</t>
        </is>
      </c>
      <c r="B111" s="1" t="n">
        <v>45190</v>
      </c>
      <c r="C111" s="1" t="n">
        <v>46035</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10468-2025</t>
        </is>
      </c>
      <c r="B112" s="1" t="n">
        <v>45720</v>
      </c>
      <c r="C112" s="1" t="n">
        <v>46035</v>
      </c>
      <c r="D112" t="inlineStr">
        <is>
          <t>UPPSALA LÄN</t>
        </is>
      </c>
      <c r="E112" t="inlineStr">
        <is>
          <t>ENKÖPING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5211-2024</t>
        </is>
      </c>
      <c r="B113" s="1" t="n">
        <v>45330</v>
      </c>
      <c r="C113" s="1" t="n">
        <v>46035</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4044-2024</t>
        </is>
      </c>
      <c r="B114" s="1" t="n">
        <v>45323.45954861111</v>
      </c>
      <c r="C114" s="1" t="n">
        <v>46035</v>
      </c>
      <c r="D114" t="inlineStr">
        <is>
          <t>UPPSALA LÄN</t>
        </is>
      </c>
      <c r="E114" t="inlineStr">
        <is>
          <t>ENKÖPING</t>
        </is>
      </c>
      <c r="G114" t="n">
        <v>2.1</v>
      </c>
      <c r="H114" t="n">
        <v>0</v>
      </c>
      <c r="I114" t="n">
        <v>0</v>
      </c>
      <c r="J114" t="n">
        <v>0</v>
      </c>
      <c r="K114" t="n">
        <v>0</v>
      </c>
      <c r="L114" t="n">
        <v>0</v>
      </c>
      <c r="M114" t="n">
        <v>0</v>
      </c>
      <c r="N114" t="n">
        <v>0</v>
      </c>
      <c r="O114" t="n">
        <v>0</v>
      </c>
      <c r="P114" t="n">
        <v>0</v>
      </c>
      <c r="Q114" t="n">
        <v>0</v>
      </c>
      <c r="R114" s="2" t="inlineStr"/>
    </row>
    <row r="115" ht="15" customHeight="1">
      <c r="A115" t="inlineStr">
        <is>
          <t>A 43488-2023</t>
        </is>
      </c>
      <c r="B115" s="1" t="n">
        <v>45181</v>
      </c>
      <c r="C115" s="1" t="n">
        <v>46035</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46035</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12878-2025</t>
        </is>
      </c>
      <c r="B117" s="1" t="n">
        <v>45733.68571759259</v>
      </c>
      <c r="C117" s="1" t="n">
        <v>46035</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52889-2022</t>
        </is>
      </c>
      <c r="B118" s="1" t="n">
        <v>44875</v>
      </c>
      <c r="C118" s="1" t="n">
        <v>46035</v>
      </c>
      <c r="D118" t="inlineStr">
        <is>
          <t>UPPSALA LÄN</t>
        </is>
      </c>
      <c r="E118" t="inlineStr">
        <is>
          <t>ENKÖPING</t>
        </is>
      </c>
      <c r="G118" t="n">
        <v>1.7</v>
      </c>
      <c r="H118" t="n">
        <v>0</v>
      </c>
      <c r="I118" t="n">
        <v>0</v>
      </c>
      <c r="J118" t="n">
        <v>0</v>
      </c>
      <c r="K118" t="n">
        <v>0</v>
      </c>
      <c r="L118" t="n">
        <v>0</v>
      </c>
      <c r="M118" t="n">
        <v>0</v>
      </c>
      <c r="N118" t="n">
        <v>0</v>
      </c>
      <c r="O118" t="n">
        <v>0</v>
      </c>
      <c r="P118" t="n">
        <v>0</v>
      </c>
      <c r="Q118" t="n">
        <v>0</v>
      </c>
      <c r="R118" s="2" t="inlineStr"/>
    </row>
    <row r="119" ht="15" customHeight="1">
      <c r="A119" t="inlineStr">
        <is>
          <t>A 25333-2023</t>
        </is>
      </c>
      <c r="B119" s="1" t="n">
        <v>45083</v>
      </c>
      <c r="C119" s="1" t="n">
        <v>46035</v>
      </c>
      <c r="D119" t="inlineStr">
        <is>
          <t>UPPSALA LÄN</t>
        </is>
      </c>
      <c r="E119" t="inlineStr">
        <is>
          <t>ENKÖPING</t>
        </is>
      </c>
      <c r="G119" t="n">
        <v>2.7</v>
      </c>
      <c r="H119" t="n">
        <v>0</v>
      </c>
      <c r="I119" t="n">
        <v>0</v>
      </c>
      <c r="J119" t="n">
        <v>0</v>
      </c>
      <c r="K119" t="n">
        <v>0</v>
      </c>
      <c r="L119" t="n">
        <v>0</v>
      </c>
      <c r="M119" t="n">
        <v>0</v>
      </c>
      <c r="N119" t="n">
        <v>0</v>
      </c>
      <c r="O119" t="n">
        <v>0</v>
      </c>
      <c r="P119" t="n">
        <v>0</v>
      </c>
      <c r="Q119" t="n">
        <v>0</v>
      </c>
      <c r="R119" s="2" t="inlineStr"/>
    </row>
    <row r="120" ht="15" customHeight="1">
      <c r="A120" t="inlineStr">
        <is>
          <t>A 47681-2024</t>
        </is>
      </c>
      <c r="B120" s="1" t="n">
        <v>45588</v>
      </c>
      <c r="C120" s="1" t="n">
        <v>46035</v>
      </c>
      <c r="D120" t="inlineStr">
        <is>
          <t>UPPSALA LÄN</t>
        </is>
      </c>
      <c r="E120" t="inlineStr">
        <is>
          <t>ENKÖPING</t>
        </is>
      </c>
      <c r="G120" t="n">
        <v>4.2</v>
      </c>
      <c r="H120" t="n">
        <v>0</v>
      </c>
      <c r="I120" t="n">
        <v>0</v>
      </c>
      <c r="J120" t="n">
        <v>0</v>
      </c>
      <c r="K120" t="n">
        <v>0</v>
      </c>
      <c r="L120" t="n">
        <v>0</v>
      </c>
      <c r="M120" t="n">
        <v>0</v>
      </c>
      <c r="N120" t="n">
        <v>0</v>
      </c>
      <c r="O120" t="n">
        <v>0</v>
      </c>
      <c r="P120" t="n">
        <v>0</v>
      </c>
      <c r="Q120" t="n">
        <v>0</v>
      </c>
      <c r="R120" s="2" t="inlineStr"/>
    </row>
    <row r="121" ht="15" customHeight="1">
      <c r="A121" t="inlineStr">
        <is>
          <t>A 12754-2025</t>
        </is>
      </c>
      <c r="B121" s="1" t="n">
        <v>45733.56331018519</v>
      </c>
      <c r="C121" s="1" t="n">
        <v>46035</v>
      </c>
      <c r="D121" t="inlineStr">
        <is>
          <t>UPPSALA LÄN</t>
        </is>
      </c>
      <c r="E121" t="inlineStr">
        <is>
          <t>ENKÖPING</t>
        </is>
      </c>
      <c r="G121" t="n">
        <v>0.7</v>
      </c>
      <c r="H121" t="n">
        <v>0</v>
      </c>
      <c r="I121" t="n">
        <v>0</v>
      </c>
      <c r="J121" t="n">
        <v>0</v>
      </c>
      <c r="K121" t="n">
        <v>0</v>
      </c>
      <c r="L121" t="n">
        <v>0</v>
      </c>
      <c r="M121" t="n">
        <v>0</v>
      </c>
      <c r="N121" t="n">
        <v>0</v>
      </c>
      <c r="O121" t="n">
        <v>0</v>
      </c>
      <c r="P121" t="n">
        <v>0</v>
      </c>
      <c r="Q121" t="n">
        <v>0</v>
      </c>
      <c r="R121" s="2" t="inlineStr"/>
    </row>
    <row r="122" ht="15" customHeight="1">
      <c r="A122" t="inlineStr">
        <is>
          <t>A 54588-2024</t>
        </is>
      </c>
      <c r="B122" s="1" t="n">
        <v>45617</v>
      </c>
      <c r="C122" s="1" t="n">
        <v>46035</v>
      </c>
      <c r="D122" t="inlineStr">
        <is>
          <t>UPPSALA LÄN</t>
        </is>
      </c>
      <c r="E122" t="inlineStr">
        <is>
          <t>ENKÖPING</t>
        </is>
      </c>
      <c r="G122" t="n">
        <v>3.7</v>
      </c>
      <c r="H122" t="n">
        <v>0</v>
      </c>
      <c r="I122" t="n">
        <v>0</v>
      </c>
      <c r="J122" t="n">
        <v>0</v>
      </c>
      <c r="K122" t="n">
        <v>0</v>
      </c>
      <c r="L122" t="n">
        <v>0</v>
      </c>
      <c r="M122" t="n">
        <v>0</v>
      </c>
      <c r="N122" t="n">
        <v>0</v>
      </c>
      <c r="O122" t="n">
        <v>0</v>
      </c>
      <c r="P122" t="n">
        <v>0</v>
      </c>
      <c r="Q122" t="n">
        <v>0</v>
      </c>
      <c r="R122" s="2" t="inlineStr"/>
    </row>
    <row r="123" ht="15" customHeight="1">
      <c r="A123" t="inlineStr">
        <is>
          <t>A 56713-2024</t>
        </is>
      </c>
      <c r="B123" s="1" t="n">
        <v>45628</v>
      </c>
      <c r="C123" s="1" t="n">
        <v>46035</v>
      </c>
      <c r="D123" t="inlineStr">
        <is>
          <t>UPPSALA LÄN</t>
        </is>
      </c>
      <c r="E123" t="inlineStr">
        <is>
          <t>ENKÖPING</t>
        </is>
      </c>
      <c r="G123" t="n">
        <v>1.7</v>
      </c>
      <c r="H123" t="n">
        <v>0</v>
      </c>
      <c r="I123" t="n">
        <v>0</v>
      </c>
      <c r="J123" t="n">
        <v>0</v>
      </c>
      <c r="K123" t="n">
        <v>0</v>
      </c>
      <c r="L123" t="n">
        <v>0</v>
      </c>
      <c r="M123" t="n">
        <v>0</v>
      </c>
      <c r="N123" t="n">
        <v>0</v>
      </c>
      <c r="O123" t="n">
        <v>0</v>
      </c>
      <c r="P123" t="n">
        <v>0</v>
      </c>
      <c r="Q123" t="n">
        <v>0</v>
      </c>
      <c r="R123" s="2" t="inlineStr"/>
    </row>
    <row r="124" ht="15" customHeight="1">
      <c r="A124" t="inlineStr">
        <is>
          <t>A 51524-2022</t>
        </is>
      </c>
      <c r="B124" s="1" t="n">
        <v>44869</v>
      </c>
      <c r="C124" s="1" t="n">
        <v>46035</v>
      </c>
      <c r="D124" t="inlineStr">
        <is>
          <t>UPPSALA LÄN</t>
        </is>
      </c>
      <c r="E124" t="inlineStr">
        <is>
          <t>ENKÖPING</t>
        </is>
      </c>
      <c r="G124" t="n">
        <v>6.6</v>
      </c>
      <c r="H124" t="n">
        <v>0</v>
      </c>
      <c r="I124" t="n">
        <v>0</v>
      </c>
      <c r="J124" t="n">
        <v>0</v>
      </c>
      <c r="K124" t="n">
        <v>0</v>
      </c>
      <c r="L124" t="n">
        <v>0</v>
      </c>
      <c r="M124" t="n">
        <v>0</v>
      </c>
      <c r="N124" t="n">
        <v>0</v>
      </c>
      <c r="O124" t="n">
        <v>0</v>
      </c>
      <c r="P124" t="n">
        <v>0</v>
      </c>
      <c r="Q124" t="n">
        <v>0</v>
      </c>
      <c r="R124" s="2" t="inlineStr"/>
    </row>
    <row r="125" ht="15" customHeight="1">
      <c r="A125" t="inlineStr">
        <is>
          <t>A 50747-2022</t>
        </is>
      </c>
      <c r="B125" s="1" t="n">
        <v>44867.40162037037</v>
      </c>
      <c r="C125" s="1" t="n">
        <v>46035</v>
      </c>
      <c r="D125" t="inlineStr">
        <is>
          <t>UPPSALA LÄN</t>
        </is>
      </c>
      <c r="E125" t="inlineStr">
        <is>
          <t>ENKÖPING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57152-2021</t>
        </is>
      </c>
      <c r="B126" s="1" t="n">
        <v>44482</v>
      </c>
      <c r="C126" s="1" t="n">
        <v>46035</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8137-2025</t>
        </is>
      </c>
      <c r="B127" s="1" t="n">
        <v>45707.8561574074</v>
      </c>
      <c r="C127" s="1" t="n">
        <v>46035</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7868-2024</t>
        </is>
      </c>
      <c r="B128" s="1" t="n">
        <v>45350.33020833333</v>
      </c>
      <c r="C128" s="1" t="n">
        <v>46035</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30437-2022</t>
        </is>
      </c>
      <c r="B129" s="1" t="n">
        <v>44761</v>
      </c>
      <c r="C129" s="1" t="n">
        <v>46035</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12572-2021</t>
        </is>
      </c>
      <c r="B130" s="1" t="n">
        <v>44270.36438657407</v>
      </c>
      <c r="C130" s="1" t="n">
        <v>46035</v>
      </c>
      <c r="D130" t="inlineStr">
        <is>
          <t>UPPSALA LÄN</t>
        </is>
      </c>
      <c r="E130" t="inlineStr">
        <is>
          <t>ENKÖPING</t>
        </is>
      </c>
      <c r="G130" t="n">
        <v>3.3</v>
      </c>
      <c r="H130" t="n">
        <v>0</v>
      </c>
      <c r="I130" t="n">
        <v>0</v>
      </c>
      <c r="J130" t="n">
        <v>0</v>
      </c>
      <c r="K130" t="n">
        <v>0</v>
      </c>
      <c r="L130" t="n">
        <v>0</v>
      </c>
      <c r="M130" t="n">
        <v>0</v>
      </c>
      <c r="N130" t="n">
        <v>0</v>
      </c>
      <c r="O130" t="n">
        <v>0</v>
      </c>
      <c r="P130" t="n">
        <v>0</v>
      </c>
      <c r="Q130" t="n">
        <v>0</v>
      </c>
      <c r="R130" s="2" t="inlineStr"/>
    </row>
    <row r="131" ht="15" customHeight="1">
      <c r="A131" t="inlineStr">
        <is>
          <t>A 69344-2021</t>
        </is>
      </c>
      <c r="B131" s="1" t="n">
        <v>44531</v>
      </c>
      <c r="C131" s="1" t="n">
        <v>46035</v>
      </c>
      <c r="D131" t="inlineStr">
        <is>
          <t>UPPSALA LÄN</t>
        </is>
      </c>
      <c r="E131" t="inlineStr">
        <is>
          <t>ENKÖPING</t>
        </is>
      </c>
      <c r="G131" t="n">
        <v>2.9</v>
      </c>
      <c r="H131" t="n">
        <v>0</v>
      </c>
      <c r="I131" t="n">
        <v>0</v>
      </c>
      <c r="J131" t="n">
        <v>0</v>
      </c>
      <c r="K131" t="n">
        <v>0</v>
      </c>
      <c r="L131" t="n">
        <v>0</v>
      </c>
      <c r="M131" t="n">
        <v>0</v>
      </c>
      <c r="N131" t="n">
        <v>0</v>
      </c>
      <c r="O131" t="n">
        <v>0</v>
      </c>
      <c r="P131" t="n">
        <v>0</v>
      </c>
      <c r="Q131" t="n">
        <v>0</v>
      </c>
      <c r="R131" s="2" t="inlineStr"/>
    </row>
    <row r="132" ht="15" customHeight="1">
      <c r="A132" t="inlineStr">
        <is>
          <t>A 20112-2024</t>
        </is>
      </c>
      <c r="B132" s="1" t="n">
        <v>45434</v>
      </c>
      <c r="C132" s="1" t="n">
        <v>46035</v>
      </c>
      <c r="D132" t="inlineStr">
        <is>
          <t>UPPSALA LÄN</t>
        </is>
      </c>
      <c r="E132" t="inlineStr">
        <is>
          <t>ENKÖPING</t>
        </is>
      </c>
      <c r="G132" t="n">
        <v>1.8</v>
      </c>
      <c r="H132" t="n">
        <v>0</v>
      </c>
      <c r="I132" t="n">
        <v>0</v>
      </c>
      <c r="J132" t="n">
        <v>0</v>
      </c>
      <c r="K132" t="n">
        <v>0</v>
      </c>
      <c r="L132" t="n">
        <v>0</v>
      </c>
      <c r="M132" t="n">
        <v>0</v>
      </c>
      <c r="N132" t="n">
        <v>0</v>
      </c>
      <c r="O132" t="n">
        <v>0</v>
      </c>
      <c r="P132" t="n">
        <v>0</v>
      </c>
      <c r="Q132" t="n">
        <v>0</v>
      </c>
      <c r="R132" s="2" t="inlineStr"/>
    </row>
    <row r="133" ht="15" customHeight="1">
      <c r="A133" t="inlineStr">
        <is>
          <t>A 51008-2024</t>
        </is>
      </c>
      <c r="B133" s="1" t="n">
        <v>45603.39041666667</v>
      </c>
      <c r="C133" s="1" t="n">
        <v>46035</v>
      </c>
      <c r="D133" t="inlineStr">
        <is>
          <t>UPPSALA LÄN</t>
        </is>
      </c>
      <c r="E133" t="inlineStr">
        <is>
          <t>ENKÖPING</t>
        </is>
      </c>
      <c r="G133" t="n">
        <v>2.4</v>
      </c>
      <c r="H133" t="n">
        <v>0</v>
      </c>
      <c r="I133" t="n">
        <v>0</v>
      </c>
      <c r="J133" t="n">
        <v>0</v>
      </c>
      <c r="K133" t="n">
        <v>0</v>
      </c>
      <c r="L133" t="n">
        <v>0</v>
      </c>
      <c r="M133" t="n">
        <v>0</v>
      </c>
      <c r="N133" t="n">
        <v>0</v>
      </c>
      <c r="O133" t="n">
        <v>0</v>
      </c>
      <c r="P133" t="n">
        <v>0</v>
      </c>
      <c r="Q133" t="n">
        <v>0</v>
      </c>
      <c r="R133" s="2" t="inlineStr"/>
    </row>
    <row r="134" ht="15" customHeight="1">
      <c r="A134" t="inlineStr">
        <is>
          <t>A 35052-2024</t>
        </is>
      </c>
      <c r="B134" s="1" t="n">
        <v>45527.6516087963</v>
      </c>
      <c r="C134" s="1" t="n">
        <v>46035</v>
      </c>
      <c r="D134" t="inlineStr">
        <is>
          <t>UPPSALA LÄN</t>
        </is>
      </c>
      <c r="E134" t="inlineStr">
        <is>
          <t>ENKÖPING</t>
        </is>
      </c>
      <c r="G134" t="n">
        <v>1.5</v>
      </c>
      <c r="H134" t="n">
        <v>0</v>
      </c>
      <c r="I134" t="n">
        <v>0</v>
      </c>
      <c r="J134" t="n">
        <v>0</v>
      </c>
      <c r="K134" t="n">
        <v>0</v>
      </c>
      <c r="L134" t="n">
        <v>0</v>
      </c>
      <c r="M134" t="n">
        <v>0</v>
      </c>
      <c r="N134" t="n">
        <v>0</v>
      </c>
      <c r="O134" t="n">
        <v>0</v>
      </c>
      <c r="P134" t="n">
        <v>0</v>
      </c>
      <c r="Q134" t="n">
        <v>0</v>
      </c>
      <c r="R134" s="2" t="inlineStr"/>
    </row>
    <row r="135" ht="15" customHeight="1">
      <c r="A135" t="inlineStr">
        <is>
          <t>A 48423-2025</t>
        </is>
      </c>
      <c r="B135" s="1" t="n">
        <v>45934.68024305555</v>
      </c>
      <c r="C135" s="1" t="n">
        <v>46035</v>
      </c>
      <c r="D135" t="inlineStr">
        <is>
          <t>UPPSALA LÄN</t>
        </is>
      </c>
      <c r="E135" t="inlineStr">
        <is>
          <t>ENKÖPING</t>
        </is>
      </c>
      <c r="G135" t="n">
        <v>4.3</v>
      </c>
      <c r="H135" t="n">
        <v>0</v>
      </c>
      <c r="I135" t="n">
        <v>0</v>
      </c>
      <c r="J135" t="n">
        <v>0</v>
      </c>
      <c r="K135" t="n">
        <v>0</v>
      </c>
      <c r="L135" t="n">
        <v>0</v>
      </c>
      <c r="M135" t="n">
        <v>0</v>
      </c>
      <c r="N135" t="n">
        <v>0</v>
      </c>
      <c r="O135" t="n">
        <v>0</v>
      </c>
      <c r="P135" t="n">
        <v>0</v>
      </c>
      <c r="Q135" t="n">
        <v>0</v>
      </c>
      <c r="R135" s="2" t="inlineStr"/>
    </row>
    <row r="136" ht="15" customHeight="1">
      <c r="A136" t="inlineStr">
        <is>
          <t>A 48424-2025</t>
        </is>
      </c>
      <c r="B136" s="1" t="n">
        <v>45934.69131944444</v>
      </c>
      <c r="C136" s="1" t="n">
        <v>46035</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51932-2022</t>
        </is>
      </c>
      <c r="B137" s="1" t="n">
        <v>44872</v>
      </c>
      <c r="C137" s="1" t="n">
        <v>46035</v>
      </c>
      <c r="D137" t="inlineStr">
        <is>
          <t>UPPSALA LÄN</t>
        </is>
      </c>
      <c r="E137" t="inlineStr">
        <is>
          <t>ENKÖPING</t>
        </is>
      </c>
      <c r="G137" t="n">
        <v>5.5</v>
      </c>
      <c r="H137" t="n">
        <v>0</v>
      </c>
      <c r="I137" t="n">
        <v>0</v>
      </c>
      <c r="J137" t="n">
        <v>0</v>
      </c>
      <c r="K137" t="n">
        <v>0</v>
      </c>
      <c r="L137" t="n">
        <v>0</v>
      </c>
      <c r="M137" t="n">
        <v>0</v>
      </c>
      <c r="N137" t="n">
        <v>0</v>
      </c>
      <c r="O137" t="n">
        <v>0</v>
      </c>
      <c r="P137" t="n">
        <v>0</v>
      </c>
      <c r="Q137" t="n">
        <v>0</v>
      </c>
      <c r="R137" s="2" t="inlineStr"/>
    </row>
    <row r="138" ht="15" customHeight="1">
      <c r="A138" t="inlineStr">
        <is>
          <t>A 12958-2024</t>
        </is>
      </c>
      <c r="B138" s="1" t="n">
        <v>45385</v>
      </c>
      <c r="C138" s="1" t="n">
        <v>46035</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48678-2025</t>
        </is>
      </c>
      <c r="B139" s="1" t="n">
        <v>45936.59168981481</v>
      </c>
      <c r="C139" s="1" t="n">
        <v>46035</v>
      </c>
      <c r="D139" t="inlineStr">
        <is>
          <t>UPPSALA LÄN</t>
        </is>
      </c>
      <c r="E139" t="inlineStr">
        <is>
          <t>ENKÖPING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38941-2025</t>
        </is>
      </c>
      <c r="B140" s="1" t="n">
        <v>45887</v>
      </c>
      <c r="C140" s="1" t="n">
        <v>46035</v>
      </c>
      <c r="D140" t="inlineStr">
        <is>
          <t>UPPSALA LÄN</t>
        </is>
      </c>
      <c r="E140" t="inlineStr">
        <is>
          <t>ENKÖPING</t>
        </is>
      </c>
      <c r="F140" t="inlineStr">
        <is>
          <t>Övriga statliga verk och myndigheter</t>
        </is>
      </c>
      <c r="G140" t="n">
        <v>0.6</v>
      </c>
      <c r="H140" t="n">
        <v>0</v>
      </c>
      <c r="I140" t="n">
        <v>0</v>
      </c>
      <c r="J140" t="n">
        <v>0</v>
      </c>
      <c r="K140" t="n">
        <v>0</v>
      </c>
      <c r="L140" t="n">
        <v>0</v>
      </c>
      <c r="M140" t="n">
        <v>0</v>
      </c>
      <c r="N140" t="n">
        <v>0</v>
      </c>
      <c r="O140" t="n">
        <v>0</v>
      </c>
      <c r="P140" t="n">
        <v>0</v>
      </c>
      <c r="Q140" t="n">
        <v>0</v>
      </c>
      <c r="R140" s="2" t="inlineStr"/>
    </row>
    <row r="141" ht="15" customHeight="1">
      <c r="A141" t="inlineStr">
        <is>
          <t>A 40812-2022</t>
        </is>
      </c>
      <c r="B141" s="1" t="n">
        <v>44824.68791666667</v>
      </c>
      <c r="C141" s="1" t="n">
        <v>46035</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24291-2024</t>
        </is>
      </c>
      <c r="B142" s="1" t="n">
        <v>45457.4584837963</v>
      </c>
      <c r="C142" s="1" t="n">
        <v>46035</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44232-2022</t>
        </is>
      </c>
      <c r="B143" s="1" t="n">
        <v>44839</v>
      </c>
      <c r="C143" s="1" t="n">
        <v>46035</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47428-2023</t>
        </is>
      </c>
      <c r="B144" s="1" t="n">
        <v>45202.66664351852</v>
      </c>
      <c r="C144" s="1" t="n">
        <v>46035</v>
      </c>
      <c r="D144" t="inlineStr">
        <is>
          <t>UPPSALA LÄN</t>
        </is>
      </c>
      <c r="E144" t="inlineStr">
        <is>
          <t>ENKÖPING</t>
        </is>
      </c>
      <c r="G144" t="n">
        <v>3</v>
      </c>
      <c r="H144" t="n">
        <v>0</v>
      </c>
      <c r="I144" t="n">
        <v>0</v>
      </c>
      <c r="J144" t="n">
        <v>0</v>
      </c>
      <c r="K144" t="n">
        <v>0</v>
      </c>
      <c r="L144" t="n">
        <v>0</v>
      </c>
      <c r="M144" t="n">
        <v>0</v>
      </c>
      <c r="N144" t="n">
        <v>0</v>
      </c>
      <c r="O144" t="n">
        <v>0</v>
      </c>
      <c r="P144" t="n">
        <v>0</v>
      </c>
      <c r="Q144" t="n">
        <v>0</v>
      </c>
      <c r="R144" s="2" t="inlineStr"/>
    </row>
    <row r="145" ht="15" customHeight="1">
      <c r="A145" t="inlineStr">
        <is>
          <t>A 14518-2025</t>
        </is>
      </c>
      <c r="B145" s="1" t="n">
        <v>45741</v>
      </c>
      <c r="C145" s="1" t="n">
        <v>46035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45362-2022</t>
        </is>
      </c>
      <c r="B146" s="1" t="n">
        <v>44844.62366898148</v>
      </c>
      <c r="C146" s="1" t="n">
        <v>46035</v>
      </c>
      <c r="D146" t="inlineStr">
        <is>
          <t>UPPSALA LÄN</t>
        </is>
      </c>
      <c r="E146" t="inlineStr">
        <is>
          <t>ENKÖPING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56526-2022</t>
        </is>
      </c>
      <c r="B147" s="1" t="n">
        <v>44893</v>
      </c>
      <c r="C147" s="1" t="n">
        <v>46035</v>
      </c>
      <c r="D147" t="inlineStr">
        <is>
          <t>UPPSALA LÄN</t>
        </is>
      </c>
      <c r="E147" t="inlineStr">
        <is>
          <t>ENKÖPING</t>
        </is>
      </c>
      <c r="G147" t="n">
        <v>3.8</v>
      </c>
      <c r="H147" t="n">
        <v>0</v>
      </c>
      <c r="I147" t="n">
        <v>0</v>
      </c>
      <c r="J147" t="n">
        <v>0</v>
      </c>
      <c r="K147" t="n">
        <v>0</v>
      </c>
      <c r="L147" t="n">
        <v>0</v>
      </c>
      <c r="M147" t="n">
        <v>0</v>
      </c>
      <c r="N147" t="n">
        <v>0</v>
      </c>
      <c r="O147" t="n">
        <v>0</v>
      </c>
      <c r="P147" t="n">
        <v>0</v>
      </c>
      <c r="Q147" t="n">
        <v>0</v>
      </c>
      <c r="R147" s="2" t="inlineStr"/>
    </row>
    <row r="148" ht="15" customHeight="1">
      <c r="A148" t="inlineStr">
        <is>
          <t>A 54776-2024</t>
        </is>
      </c>
      <c r="B148" s="1" t="n">
        <v>45618</v>
      </c>
      <c r="C148" s="1" t="n">
        <v>46035</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60350-2022</t>
        </is>
      </c>
      <c r="B149" s="1" t="n">
        <v>44910</v>
      </c>
      <c r="C149" s="1" t="n">
        <v>46035</v>
      </c>
      <c r="D149" t="inlineStr">
        <is>
          <t>UPPSALA LÄN</t>
        </is>
      </c>
      <c r="E149" t="inlineStr">
        <is>
          <t>ENKÖPING</t>
        </is>
      </c>
      <c r="F149" t="inlineStr">
        <is>
          <t>Allmännings- och besparingsskogar</t>
        </is>
      </c>
      <c r="G149" t="n">
        <v>3.5</v>
      </c>
      <c r="H149" t="n">
        <v>0</v>
      </c>
      <c r="I149" t="n">
        <v>0</v>
      </c>
      <c r="J149" t="n">
        <v>0</v>
      </c>
      <c r="K149" t="n">
        <v>0</v>
      </c>
      <c r="L149" t="n">
        <v>0</v>
      </c>
      <c r="M149" t="n">
        <v>0</v>
      </c>
      <c r="N149" t="n">
        <v>0</v>
      </c>
      <c r="O149" t="n">
        <v>0</v>
      </c>
      <c r="P149" t="n">
        <v>0</v>
      </c>
      <c r="Q149" t="n">
        <v>0</v>
      </c>
      <c r="R149" s="2" t="inlineStr"/>
    </row>
    <row r="150" ht="15" customHeight="1">
      <c r="A150" t="inlineStr">
        <is>
          <t>A 22150-2025</t>
        </is>
      </c>
      <c r="B150" s="1" t="n">
        <v>45785.56398148148</v>
      </c>
      <c r="C150" s="1" t="n">
        <v>46035</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28518-2024</t>
        </is>
      </c>
      <c r="B151" s="1" t="n">
        <v>45477</v>
      </c>
      <c r="C151" s="1" t="n">
        <v>46035</v>
      </c>
      <c r="D151" t="inlineStr">
        <is>
          <t>UPPSALA LÄN</t>
        </is>
      </c>
      <c r="E151" t="inlineStr">
        <is>
          <t>ENKÖPING</t>
        </is>
      </c>
      <c r="G151" t="n">
        <v>3.4</v>
      </c>
      <c r="H151" t="n">
        <v>0</v>
      </c>
      <c r="I151" t="n">
        <v>0</v>
      </c>
      <c r="J151" t="n">
        <v>0</v>
      </c>
      <c r="K151" t="n">
        <v>0</v>
      </c>
      <c r="L151" t="n">
        <v>0</v>
      </c>
      <c r="M151" t="n">
        <v>0</v>
      </c>
      <c r="N151" t="n">
        <v>0</v>
      </c>
      <c r="O151" t="n">
        <v>0</v>
      </c>
      <c r="P151" t="n">
        <v>0</v>
      </c>
      <c r="Q151" t="n">
        <v>0</v>
      </c>
      <c r="R151" s="2" t="inlineStr"/>
    </row>
    <row r="152" ht="15" customHeight="1">
      <c r="A152" t="inlineStr">
        <is>
          <t>A 22156-2025</t>
        </is>
      </c>
      <c r="B152" s="1" t="n">
        <v>45785.57512731481</v>
      </c>
      <c r="C152" s="1" t="n">
        <v>46035</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39746-2025</t>
        </is>
      </c>
      <c r="B153" s="1" t="n">
        <v>45891</v>
      </c>
      <c r="C153" s="1" t="n">
        <v>46035</v>
      </c>
      <c r="D153" t="inlineStr">
        <is>
          <t>UPPSALA LÄN</t>
        </is>
      </c>
      <c r="E153" t="inlineStr">
        <is>
          <t>ENKÖPING</t>
        </is>
      </c>
      <c r="G153" t="n">
        <v>7.4</v>
      </c>
      <c r="H153" t="n">
        <v>0</v>
      </c>
      <c r="I153" t="n">
        <v>0</v>
      </c>
      <c r="J153" t="n">
        <v>0</v>
      </c>
      <c r="K153" t="n">
        <v>0</v>
      </c>
      <c r="L153" t="n">
        <v>0</v>
      </c>
      <c r="M153" t="n">
        <v>0</v>
      </c>
      <c r="N153" t="n">
        <v>0</v>
      </c>
      <c r="O153" t="n">
        <v>0</v>
      </c>
      <c r="P153" t="n">
        <v>0</v>
      </c>
      <c r="Q153" t="n">
        <v>0</v>
      </c>
      <c r="R153" s="2" t="inlineStr"/>
    </row>
    <row r="154" ht="15" customHeight="1">
      <c r="A154" t="inlineStr">
        <is>
          <t>A 30087-2024</t>
        </is>
      </c>
      <c r="B154" s="1" t="n">
        <v>45489.39447916667</v>
      </c>
      <c r="C154" s="1" t="n">
        <v>46035</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22677-2025</t>
        </is>
      </c>
      <c r="B155" s="1" t="n">
        <v>45789.49515046296</v>
      </c>
      <c r="C155" s="1" t="n">
        <v>46035</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22679-2025</t>
        </is>
      </c>
      <c r="B156" s="1" t="n">
        <v>45789.49747685185</v>
      </c>
      <c r="C156" s="1" t="n">
        <v>46035</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22729-2025</t>
        </is>
      </c>
      <c r="B157" s="1" t="n">
        <v>45789.57790509259</v>
      </c>
      <c r="C157" s="1" t="n">
        <v>46035</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30098-2024</t>
        </is>
      </c>
      <c r="B158" s="1" t="n">
        <v>45489.41609953704</v>
      </c>
      <c r="C158" s="1" t="n">
        <v>46035</v>
      </c>
      <c r="D158" t="inlineStr">
        <is>
          <t>UPPSALA LÄN</t>
        </is>
      </c>
      <c r="E158" t="inlineStr">
        <is>
          <t>ENKÖPING</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22786-2025</t>
        </is>
      </c>
      <c r="B159" s="1" t="n">
        <v>45789.64643518518</v>
      </c>
      <c r="C159" s="1" t="n">
        <v>46035</v>
      </c>
      <c r="D159" t="inlineStr">
        <is>
          <t>UPPSALA LÄN</t>
        </is>
      </c>
      <c r="E159" t="inlineStr">
        <is>
          <t>ENKÖPING</t>
        </is>
      </c>
      <c r="G159" t="n">
        <v>0.9</v>
      </c>
      <c r="H159" t="n">
        <v>0</v>
      </c>
      <c r="I159" t="n">
        <v>0</v>
      </c>
      <c r="J159" t="n">
        <v>0</v>
      </c>
      <c r="K159" t="n">
        <v>0</v>
      </c>
      <c r="L159" t="n">
        <v>0</v>
      </c>
      <c r="M159" t="n">
        <v>0</v>
      </c>
      <c r="N159" t="n">
        <v>0</v>
      </c>
      <c r="O159" t="n">
        <v>0</v>
      </c>
      <c r="P159" t="n">
        <v>0</v>
      </c>
      <c r="Q159" t="n">
        <v>0</v>
      </c>
      <c r="R159" s="2" t="inlineStr"/>
    </row>
    <row r="160" ht="15" customHeight="1">
      <c r="A160" t="inlineStr">
        <is>
          <t>A 22795-2025</t>
        </is>
      </c>
      <c r="B160" s="1" t="n">
        <v>45789.65944444444</v>
      </c>
      <c r="C160" s="1" t="n">
        <v>46035</v>
      </c>
      <c r="D160" t="inlineStr">
        <is>
          <t>UPPSALA LÄN</t>
        </is>
      </c>
      <c r="E160" t="inlineStr">
        <is>
          <t>ENKÖPING</t>
        </is>
      </c>
      <c r="G160" t="n">
        <v>10.4</v>
      </c>
      <c r="H160" t="n">
        <v>0</v>
      </c>
      <c r="I160" t="n">
        <v>0</v>
      </c>
      <c r="J160" t="n">
        <v>0</v>
      </c>
      <c r="K160" t="n">
        <v>0</v>
      </c>
      <c r="L160" t="n">
        <v>0</v>
      </c>
      <c r="M160" t="n">
        <v>0</v>
      </c>
      <c r="N160" t="n">
        <v>0</v>
      </c>
      <c r="O160" t="n">
        <v>0</v>
      </c>
      <c r="P160" t="n">
        <v>0</v>
      </c>
      <c r="Q160" t="n">
        <v>0</v>
      </c>
      <c r="R160" s="2" t="inlineStr"/>
    </row>
    <row r="161" ht="15" customHeight="1">
      <c r="A161" t="inlineStr">
        <is>
          <t>A 22802-2025</t>
        </is>
      </c>
      <c r="B161" s="1" t="n">
        <v>45789.6686574074</v>
      </c>
      <c r="C161" s="1" t="n">
        <v>46035</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1651-2024</t>
        </is>
      </c>
      <c r="B162" s="1" t="n">
        <v>45306.73770833333</v>
      </c>
      <c r="C162" s="1" t="n">
        <v>46035</v>
      </c>
      <c r="D162" t="inlineStr">
        <is>
          <t>UPPSALA LÄN</t>
        </is>
      </c>
      <c r="E162" t="inlineStr">
        <is>
          <t>ENKÖPING</t>
        </is>
      </c>
      <c r="G162" t="n">
        <v>10.2</v>
      </c>
      <c r="H162" t="n">
        <v>0</v>
      </c>
      <c r="I162" t="n">
        <v>0</v>
      </c>
      <c r="J162" t="n">
        <v>0</v>
      </c>
      <c r="K162" t="n">
        <v>0</v>
      </c>
      <c r="L162" t="n">
        <v>0</v>
      </c>
      <c r="M162" t="n">
        <v>0</v>
      </c>
      <c r="N162" t="n">
        <v>0</v>
      </c>
      <c r="O162" t="n">
        <v>0</v>
      </c>
      <c r="P162" t="n">
        <v>0</v>
      </c>
      <c r="Q162" t="n">
        <v>0</v>
      </c>
      <c r="R162" s="2" t="inlineStr"/>
    </row>
    <row r="163" ht="15" customHeight="1">
      <c r="A163" t="inlineStr">
        <is>
          <t>A 60289-2022</t>
        </is>
      </c>
      <c r="B163" s="1" t="n">
        <v>44910.53026620371</v>
      </c>
      <c r="C163" s="1" t="n">
        <v>46035</v>
      </c>
      <c r="D163" t="inlineStr">
        <is>
          <t>UPPSALA LÄN</t>
        </is>
      </c>
      <c r="E163" t="inlineStr">
        <is>
          <t>ENKÖPING</t>
        </is>
      </c>
      <c r="G163" t="n">
        <v>3.2</v>
      </c>
      <c r="H163" t="n">
        <v>0</v>
      </c>
      <c r="I163" t="n">
        <v>0</v>
      </c>
      <c r="J163" t="n">
        <v>0</v>
      </c>
      <c r="K163" t="n">
        <v>0</v>
      </c>
      <c r="L163" t="n">
        <v>0</v>
      </c>
      <c r="M163" t="n">
        <v>0</v>
      </c>
      <c r="N163" t="n">
        <v>0</v>
      </c>
      <c r="O163" t="n">
        <v>0</v>
      </c>
      <c r="P163" t="n">
        <v>0</v>
      </c>
      <c r="Q163" t="n">
        <v>0</v>
      </c>
      <c r="R163" s="2" t="inlineStr"/>
    </row>
    <row r="164" ht="15" customHeight="1">
      <c r="A164" t="inlineStr">
        <is>
          <t>A 22680-2025</t>
        </is>
      </c>
      <c r="B164" s="1" t="n">
        <v>45789.5005787037</v>
      </c>
      <c r="C164" s="1" t="n">
        <v>46035</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49068-2025</t>
        </is>
      </c>
      <c r="B165" s="1" t="n">
        <v>45937.64766203704</v>
      </c>
      <c r="C165" s="1" t="n">
        <v>46035</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6981-2025</t>
        </is>
      </c>
      <c r="B166" s="1" t="n">
        <v>45701</v>
      </c>
      <c r="C166" s="1" t="n">
        <v>46035</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22770-2025</t>
        </is>
      </c>
      <c r="B167" s="1" t="n">
        <v>45789.63454861111</v>
      </c>
      <c r="C167" s="1" t="n">
        <v>46035</v>
      </c>
      <c r="D167" t="inlineStr">
        <is>
          <t>UPPSALA LÄN</t>
        </is>
      </c>
      <c r="E167" t="inlineStr">
        <is>
          <t>ENKÖPING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22725-2025</t>
        </is>
      </c>
      <c r="B168" s="1" t="n">
        <v>45789.57371527778</v>
      </c>
      <c r="C168" s="1" t="n">
        <v>46035</v>
      </c>
      <c r="D168" t="inlineStr">
        <is>
          <t>UPPSALA LÄN</t>
        </is>
      </c>
      <c r="E168" t="inlineStr">
        <is>
          <t>ENKÖPING</t>
        </is>
      </c>
      <c r="G168" t="n">
        <v>4.8</v>
      </c>
      <c r="H168" t="n">
        <v>0</v>
      </c>
      <c r="I168" t="n">
        <v>0</v>
      </c>
      <c r="J168" t="n">
        <v>0</v>
      </c>
      <c r="K168" t="n">
        <v>0</v>
      </c>
      <c r="L168" t="n">
        <v>0</v>
      </c>
      <c r="M168" t="n">
        <v>0</v>
      </c>
      <c r="N168" t="n">
        <v>0</v>
      </c>
      <c r="O168" t="n">
        <v>0</v>
      </c>
      <c r="P168" t="n">
        <v>0</v>
      </c>
      <c r="Q168" t="n">
        <v>0</v>
      </c>
      <c r="R168" s="2" t="inlineStr"/>
    </row>
    <row r="169" ht="15" customHeight="1">
      <c r="A169" t="inlineStr">
        <is>
          <t>A 22981-2025</t>
        </is>
      </c>
      <c r="B169" s="1" t="n">
        <v>45790.56964120371</v>
      </c>
      <c r="C169" s="1" t="n">
        <v>46035</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68123-2021</t>
        </is>
      </c>
      <c r="B170" s="1" t="n">
        <v>44526.39126157408</v>
      </c>
      <c r="C170" s="1" t="n">
        <v>46035</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22793-2025</t>
        </is>
      </c>
      <c r="B171" s="1" t="n">
        <v>45789.65693287037</v>
      </c>
      <c r="C171" s="1" t="n">
        <v>46035</v>
      </c>
      <c r="D171" t="inlineStr">
        <is>
          <t>UPPSALA LÄN</t>
        </is>
      </c>
      <c r="E171" t="inlineStr">
        <is>
          <t>ENKÖPING</t>
        </is>
      </c>
      <c r="G171" t="n">
        <v>3.2</v>
      </c>
      <c r="H171" t="n">
        <v>0</v>
      </c>
      <c r="I171" t="n">
        <v>0</v>
      </c>
      <c r="J171" t="n">
        <v>0</v>
      </c>
      <c r="K171" t="n">
        <v>0</v>
      </c>
      <c r="L171" t="n">
        <v>0</v>
      </c>
      <c r="M171" t="n">
        <v>0</v>
      </c>
      <c r="N171" t="n">
        <v>0</v>
      </c>
      <c r="O171" t="n">
        <v>0</v>
      </c>
      <c r="P171" t="n">
        <v>0</v>
      </c>
      <c r="Q171" t="n">
        <v>0</v>
      </c>
      <c r="R171" s="2" t="inlineStr"/>
    </row>
    <row r="172" ht="15" customHeight="1">
      <c r="A172" t="inlineStr">
        <is>
          <t>A 22800-2025</t>
        </is>
      </c>
      <c r="B172" s="1" t="n">
        <v>45789.6669212963</v>
      </c>
      <c r="C172" s="1" t="n">
        <v>46035</v>
      </c>
      <c r="D172" t="inlineStr">
        <is>
          <t>UPPSALA LÄN</t>
        </is>
      </c>
      <c r="E172" t="inlineStr">
        <is>
          <t>ENKÖPING</t>
        </is>
      </c>
      <c r="G172" t="n">
        <v>2</v>
      </c>
      <c r="H172" t="n">
        <v>0</v>
      </c>
      <c r="I172" t="n">
        <v>0</v>
      </c>
      <c r="J172" t="n">
        <v>0</v>
      </c>
      <c r="K172" t="n">
        <v>0</v>
      </c>
      <c r="L172" t="n">
        <v>0</v>
      </c>
      <c r="M172" t="n">
        <v>0</v>
      </c>
      <c r="N172" t="n">
        <v>0</v>
      </c>
      <c r="O172" t="n">
        <v>0</v>
      </c>
      <c r="P172" t="n">
        <v>0</v>
      </c>
      <c r="Q172" t="n">
        <v>0</v>
      </c>
      <c r="R172" s="2" t="inlineStr"/>
    </row>
    <row r="173" ht="15" customHeight="1">
      <c r="A173" t="inlineStr">
        <is>
          <t>A 41618-2025</t>
        </is>
      </c>
      <c r="B173" s="1" t="n">
        <v>45901.70085648148</v>
      </c>
      <c r="C173" s="1" t="n">
        <v>46035</v>
      </c>
      <c r="D173" t="inlineStr">
        <is>
          <t>UPPSALA LÄN</t>
        </is>
      </c>
      <c r="E173" t="inlineStr">
        <is>
          <t>ENKÖPING</t>
        </is>
      </c>
      <c r="F173" t="inlineStr">
        <is>
          <t>Allmännings- och besparingsskogar</t>
        </is>
      </c>
      <c r="G173" t="n">
        <v>5.3</v>
      </c>
      <c r="H173" t="n">
        <v>0</v>
      </c>
      <c r="I173" t="n">
        <v>0</v>
      </c>
      <c r="J173" t="n">
        <v>0</v>
      </c>
      <c r="K173" t="n">
        <v>0</v>
      </c>
      <c r="L173" t="n">
        <v>0</v>
      </c>
      <c r="M173" t="n">
        <v>0</v>
      </c>
      <c r="N173" t="n">
        <v>0</v>
      </c>
      <c r="O173" t="n">
        <v>0</v>
      </c>
      <c r="P173" t="n">
        <v>0</v>
      </c>
      <c r="Q173" t="n">
        <v>0</v>
      </c>
      <c r="R173" s="2" t="inlineStr"/>
    </row>
    <row r="174" ht="15" customHeight="1">
      <c r="A174" t="inlineStr">
        <is>
          <t>A 41765-2025</t>
        </is>
      </c>
      <c r="B174" s="1" t="n">
        <v>45902</v>
      </c>
      <c r="C174" s="1" t="n">
        <v>46035</v>
      </c>
      <c r="D174" t="inlineStr">
        <is>
          <t>UPPSALA LÄN</t>
        </is>
      </c>
      <c r="E174" t="inlineStr">
        <is>
          <t>ENKÖPING</t>
        </is>
      </c>
      <c r="G174" t="n">
        <v>2.7</v>
      </c>
      <c r="H174" t="n">
        <v>0</v>
      </c>
      <c r="I174" t="n">
        <v>0</v>
      </c>
      <c r="J174" t="n">
        <v>0</v>
      </c>
      <c r="K174" t="n">
        <v>0</v>
      </c>
      <c r="L174" t="n">
        <v>0</v>
      </c>
      <c r="M174" t="n">
        <v>0</v>
      </c>
      <c r="N174" t="n">
        <v>0</v>
      </c>
      <c r="O174" t="n">
        <v>0</v>
      </c>
      <c r="P174" t="n">
        <v>0</v>
      </c>
      <c r="Q174" t="n">
        <v>0</v>
      </c>
      <c r="R174" s="2" t="inlineStr"/>
    </row>
    <row r="175" ht="15" customHeight="1">
      <c r="A175" t="inlineStr">
        <is>
          <t>A 41616-2025</t>
        </is>
      </c>
      <c r="B175" s="1" t="n">
        <v>45901.69684027778</v>
      </c>
      <c r="C175" s="1" t="n">
        <v>46035</v>
      </c>
      <c r="D175" t="inlineStr">
        <is>
          <t>UPPSALA LÄN</t>
        </is>
      </c>
      <c r="E175" t="inlineStr">
        <is>
          <t>ENKÖPING</t>
        </is>
      </c>
      <c r="F175" t="inlineStr">
        <is>
          <t>Allmännings- och besparingsskogar</t>
        </is>
      </c>
      <c r="G175" t="n">
        <v>17.3</v>
      </c>
      <c r="H175" t="n">
        <v>0</v>
      </c>
      <c r="I175" t="n">
        <v>0</v>
      </c>
      <c r="J175" t="n">
        <v>0</v>
      </c>
      <c r="K175" t="n">
        <v>0</v>
      </c>
      <c r="L175" t="n">
        <v>0</v>
      </c>
      <c r="M175" t="n">
        <v>0</v>
      </c>
      <c r="N175" t="n">
        <v>0</v>
      </c>
      <c r="O175" t="n">
        <v>0</v>
      </c>
      <c r="P175" t="n">
        <v>0</v>
      </c>
      <c r="Q175" t="n">
        <v>0</v>
      </c>
      <c r="R175" s="2" t="inlineStr"/>
    </row>
    <row r="176" ht="15" customHeight="1">
      <c r="A176" t="inlineStr">
        <is>
          <t>A 31242-2024</t>
        </is>
      </c>
      <c r="B176" s="1" t="n">
        <v>45503</v>
      </c>
      <c r="C176" s="1" t="n">
        <v>46035</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41637-2025</t>
        </is>
      </c>
      <c r="B177" s="1" t="n">
        <v>45901</v>
      </c>
      <c r="C177" s="1" t="n">
        <v>46035</v>
      </c>
      <c r="D177" t="inlineStr">
        <is>
          <t>UPPSALA LÄN</t>
        </is>
      </c>
      <c r="E177" t="inlineStr">
        <is>
          <t>ENKÖPING</t>
        </is>
      </c>
      <c r="F177" t="inlineStr">
        <is>
          <t>Allmännings- och besparingsskogar</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2162-2023</t>
        </is>
      </c>
      <c r="B178" s="1" t="n">
        <v>44941</v>
      </c>
      <c r="C178" s="1" t="n">
        <v>46035</v>
      </c>
      <c r="D178" t="inlineStr">
        <is>
          <t>UPPSALA LÄN</t>
        </is>
      </c>
      <c r="E178" t="inlineStr">
        <is>
          <t>ENKÖPING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56163-2021</t>
        </is>
      </c>
      <c r="B179" s="1" t="n">
        <v>44477</v>
      </c>
      <c r="C179" s="1" t="n">
        <v>46035</v>
      </c>
      <c r="D179" t="inlineStr">
        <is>
          <t>UPPSALA LÄN</t>
        </is>
      </c>
      <c r="E179" t="inlineStr">
        <is>
          <t>ENKÖPING</t>
        </is>
      </c>
      <c r="F179" t="inlineStr">
        <is>
          <t>Allmännings- och besparingsskogar</t>
        </is>
      </c>
      <c r="G179" t="n">
        <v>0.6</v>
      </c>
      <c r="H179" t="n">
        <v>0</v>
      </c>
      <c r="I179" t="n">
        <v>0</v>
      </c>
      <c r="J179" t="n">
        <v>0</v>
      </c>
      <c r="K179" t="n">
        <v>0</v>
      </c>
      <c r="L179" t="n">
        <v>0</v>
      </c>
      <c r="M179" t="n">
        <v>0</v>
      </c>
      <c r="N179" t="n">
        <v>0</v>
      </c>
      <c r="O179" t="n">
        <v>0</v>
      </c>
      <c r="P179" t="n">
        <v>0</v>
      </c>
      <c r="Q179" t="n">
        <v>0</v>
      </c>
      <c r="R179" s="2" t="inlineStr"/>
    </row>
    <row r="180" ht="15" customHeight="1">
      <c r="A180" t="inlineStr">
        <is>
          <t>A 47516-2022</t>
        </is>
      </c>
      <c r="B180" s="1" t="n">
        <v>44853.68895833333</v>
      </c>
      <c r="C180" s="1" t="n">
        <v>46035</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28318-2024</t>
        </is>
      </c>
      <c r="B181" s="1" t="n">
        <v>45477</v>
      </c>
      <c r="C181" s="1" t="n">
        <v>46035</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17729-2023</t>
        </is>
      </c>
      <c r="B182" s="1" t="n">
        <v>45037</v>
      </c>
      <c r="C182" s="1" t="n">
        <v>46035</v>
      </c>
      <c r="D182" t="inlineStr">
        <is>
          <t>UPPSALA LÄN</t>
        </is>
      </c>
      <c r="E182" t="inlineStr">
        <is>
          <t>ENKÖPING</t>
        </is>
      </c>
      <c r="G182" t="n">
        <v>10.2</v>
      </c>
      <c r="H182" t="n">
        <v>0</v>
      </c>
      <c r="I182" t="n">
        <v>0</v>
      </c>
      <c r="J182" t="n">
        <v>0</v>
      </c>
      <c r="K182" t="n">
        <v>0</v>
      </c>
      <c r="L182" t="n">
        <v>0</v>
      </c>
      <c r="M182" t="n">
        <v>0</v>
      </c>
      <c r="N182" t="n">
        <v>0</v>
      </c>
      <c r="O182" t="n">
        <v>0</v>
      </c>
      <c r="P182" t="n">
        <v>0</v>
      </c>
      <c r="Q182" t="n">
        <v>0</v>
      </c>
      <c r="R182" s="2" t="inlineStr"/>
    </row>
    <row r="183" ht="15" customHeight="1">
      <c r="A183" t="inlineStr">
        <is>
          <t>A 5749-2025</t>
        </is>
      </c>
      <c r="B183" s="1" t="n">
        <v>45694</v>
      </c>
      <c r="C183" s="1" t="n">
        <v>46035</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42029-2025</t>
        </is>
      </c>
      <c r="B184" s="1" t="n">
        <v>45903</v>
      </c>
      <c r="C184" s="1" t="n">
        <v>46035</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8020-2022</t>
        </is>
      </c>
      <c r="B185" s="1" t="n">
        <v>44609</v>
      </c>
      <c r="C185" s="1" t="n">
        <v>46035</v>
      </c>
      <c r="D185" t="inlineStr">
        <is>
          <t>UPPSALA LÄN</t>
        </is>
      </c>
      <c r="E185" t="inlineStr">
        <is>
          <t>ENKÖPING</t>
        </is>
      </c>
      <c r="G185" t="n">
        <v>6</v>
      </c>
      <c r="H185" t="n">
        <v>0</v>
      </c>
      <c r="I185" t="n">
        <v>0</v>
      </c>
      <c r="J185" t="n">
        <v>0</v>
      </c>
      <c r="K185" t="n">
        <v>0</v>
      </c>
      <c r="L185" t="n">
        <v>0</v>
      </c>
      <c r="M185" t="n">
        <v>0</v>
      </c>
      <c r="N185" t="n">
        <v>0</v>
      </c>
      <c r="O185" t="n">
        <v>0</v>
      </c>
      <c r="P185" t="n">
        <v>0</v>
      </c>
      <c r="Q185" t="n">
        <v>0</v>
      </c>
      <c r="R185" s="2" t="inlineStr"/>
    </row>
    <row r="186" ht="15" customHeight="1">
      <c r="A186" t="inlineStr">
        <is>
          <t>A 34805-2024</t>
        </is>
      </c>
      <c r="B186" s="1" t="n">
        <v>45526</v>
      </c>
      <c r="C186" s="1" t="n">
        <v>46035</v>
      </c>
      <c r="D186" t="inlineStr">
        <is>
          <t>UPPSALA LÄN</t>
        </is>
      </c>
      <c r="E186" t="inlineStr">
        <is>
          <t>ENKÖPING</t>
        </is>
      </c>
      <c r="G186" t="n">
        <v>3.6</v>
      </c>
      <c r="H186" t="n">
        <v>0</v>
      </c>
      <c r="I186" t="n">
        <v>0</v>
      </c>
      <c r="J186" t="n">
        <v>0</v>
      </c>
      <c r="K186" t="n">
        <v>0</v>
      </c>
      <c r="L186" t="n">
        <v>0</v>
      </c>
      <c r="M186" t="n">
        <v>0</v>
      </c>
      <c r="N186" t="n">
        <v>0</v>
      </c>
      <c r="O186" t="n">
        <v>0</v>
      </c>
      <c r="P186" t="n">
        <v>0</v>
      </c>
      <c r="Q186" t="n">
        <v>0</v>
      </c>
      <c r="R186" s="2" t="inlineStr"/>
    </row>
    <row r="187" ht="15" customHeight="1">
      <c r="A187" t="inlineStr">
        <is>
          <t>A 42756-2025</t>
        </is>
      </c>
      <c r="B187" s="1" t="n">
        <v>45908</v>
      </c>
      <c r="C187" s="1" t="n">
        <v>46035</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314-2025</t>
        </is>
      </c>
      <c r="B188" s="1" t="n">
        <v>45656</v>
      </c>
      <c r="C188" s="1" t="n">
        <v>46035</v>
      </c>
      <c r="D188" t="inlineStr">
        <is>
          <t>UPPSALA LÄN</t>
        </is>
      </c>
      <c r="E188" t="inlineStr">
        <is>
          <t>ENKÖPING</t>
        </is>
      </c>
      <c r="G188" t="n">
        <v>9</v>
      </c>
      <c r="H188" t="n">
        <v>0</v>
      </c>
      <c r="I188" t="n">
        <v>0</v>
      </c>
      <c r="J188" t="n">
        <v>0</v>
      </c>
      <c r="K188" t="n">
        <v>0</v>
      </c>
      <c r="L188" t="n">
        <v>0</v>
      </c>
      <c r="M188" t="n">
        <v>0</v>
      </c>
      <c r="N188" t="n">
        <v>0</v>
      </c>
      <c r="O188" t="n">
        <v>0</v>
      </c>
      <c r="P188" t="n">
        <v>0</v>
      </c>
      <c r="Q188" t="n">
        <v>0</v>
      </c>
      <c r="R188" s="2" t="inlineStr"/>
    </row>
    <row r="189" ht="15" customHeight="1">
      <c r="A189" t="inlineStr">
        <is>
          <t>A 14402-2023</t>
        </is>
      </c>
      <c r="B189" s="1" t="n">
        <v>45012</v>
      </c>
      <c r="C189" s="1" t="n">
        <v>46035</v>
      </c>
      <c r="D189" t="inlineStr">
        <is>
          <t>UPPSALA LÄN</t>
        </is>
      </c>
      <c r="E189" t="inlineStr">
        <is>
          <t>ENKÖPING</t>
        </is>
      </c>
      <c r="G189" t="n">
        <v>9.5</v>
      </c>
      <c r="H189" t="n">
        <v>0</v>
      </c>
      <c r="I189" t="n">
        <v>0</v>
      </c>
      <c r="J189" t="n">
        <v>0</v>
      </c>
      <c r="K189" t="n">
        <v>0</v>
      </c>
      <c r="L189" t="n">
        <v>0</v>
      </c>
      <c r="M189" t="n">
        <v>0</v>
      </c>
      <c r="N189" t="n">
        <v>0</v>
      </c>
      <c r="O189" t="n">
        <v>0</v>
      </c>
      <c r="P189" t="n">
        <v>0</v>
      </c>
      <c r="Q189" t="n">
        <v>0</v>
      </c>
      <c r="R189" s="2" t="inlineStr"/>
    </row>
    <row r="190" ht="15" customHeight="1">
      <c r="A190" t="inlineStr">
        <is>
          <t>A 10831-2024</t>
        </is>
      </c>
      <c r="B190" s="1" t="n">
        <v>45369</v>
      </c>
      <c r="C190" s="1" t="n">
        <v>46035</v>
      </c>
      <c r="D190" t="inlineStr">
        <is>
          <t>UPPSALA LÄN</t>
        </is>
      </c>
      <c r="E190" t="inlineStr">
        <is>
          <t>ENKÖPING</t>
        </is>
      </c>
      <c r="G190" t="n">
        <v>2.9</v>
      </c>
      <c r="H190" t="n">
        <v>0</v>
      </c>
      <c r="I190" t="n">
        <v>0</v>
      </c>
      <c r="J190" t="n">
        <v>0</v>
      </c>
      <c r="K190" t="n">
        <v>0</v>
      </c>
      <c r="L190" t="n">
        <v>0</v>
      </c>
      <c r="M190" t="n">
        <v>0</v>
      </c>
      <c r="N190" t="n">
        <v>0</v>
      </c>
      <c r="O190" t="n">
        <v>0</v>
      </c>
      <c r="P190" t="n">
        <v>0</v>
      </c>
      <c r="Q190" t="n">
        <v>0</v>
      </c>
      <c r="R190" s="2" t="inlineStr"/>
    </row>
    <row r="191" ht="15" customHeight="1">
      <c r="A191" t="inlineStr">
        <is>
          <t>A 5712-2025</t>
        </is>
      </c>
      <c r="B191" s="1" t="n">
        <v>45694</v>
      </c>
      <c r="C191" s="1" t="n">
        <v>46035</v>
      </c>
      <c r="D191" t="inlineStr">
        <is>
          <t>UPPSALA LÄN</t>
        </is>
      </c>
      <c r="E191" t="inlineStr">
        <is>
          <t>ENKÖPING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39115-2024</t>
        </is>
      </c>
      <c r="B192" s="1" t="n">
        <v>45548</v>
      </c>
      <c r="C192" s="1" t="n">
        <v>46035</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12020-2024</t>
        </is>
      </c>
      <c r="B193" s="1" t="n">
        <v>45377</v>
      </c>
      <c r="C193" s="1" t="n">
        <v>46035</v>
      </c>
      <c r="D193" t="inlineStr">
        <is>
          <t>UPPSALA LÄN</t>
        </is>
      </c>
      <c r="E193" t="inlineStr">
        <is>
          <t>ENKÖPING</t>
        </is>
      </c>
      <c r="G193" t="n">
        <v>2</v>
      </c>
      <c r="H193" t="n">
        <v>0</v>
      </c>
      <c r="I193" t="n">
        <v>0</v>
      </c>
      <c r="J193" t="n">
        <v>0</v>
      </c>
      <c r="K193" t="n">
        <v>0</v>
      </c>
      <c r="L193" t="n">
        <v>0</v>
      </c>
      <c r="M193" t="n">
        <v>0</v>
      </c>
      <c r="N193" t="n">
        <v>0</v>
      </c>
      <c r="O193" t="n">
        <v>0</v>
      </c>
      <c r="P193" t="n">
        <v>0</v>
      </c>
      <c r="Q193" t="n">
        <v>0</v>
      </c>
      <c r="R193" s="2" t="inlineStr"/>
    </row>
    <row r="194" ht="15" customHeight="1">
      <c r="A194" t="inlineStr">
        <is>
          <t>A 45956-2024</t>
        </is>
      </c>
      <c r="B194" s="1" t="n">
        <v>45580</v>
      </c>
      <c r="C194" s="1" t="n">
        <v>46035</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11627-2025</t>
        </is>
      </c>
      <c r="B195" s="1" t="n">
        <v>45727</v>
      </c>
      <c r="C195" s="1" t="n">
        <v>46035</v>
      </c>
      <c r="D195" t="inlineStr">
        <is>
          <t>UPPSALA LÄN</t>
        </is>
      </c>
      <c r="E195" t="inlineStr">
        <is>
          <t>ENKÖPING</t>
        </is>
      </c>
      <c r="G195" t="n">
        <v>5.5</v>
      </c>
      <c r="H195" t="n">
        <v>0</v>
      </c>
      <c r="I195" t="n">
        <v>0</v>
      </c>
      <c r="J195" t="n">
        <v>0</v>
      </c>
      <c r="K195" t="n">
        <v>0</v>
      </c>
      <c r="L195" t="n">
        <v>0</v>
      </c>
      <c r="M195" t="n">
        <v>0</v>
      </c>
      <c r="N195" t="n">
        <v>0</v>
      </c>
      <c r="O195" t="n">
        <v>0</v>
      </c>
      <c r="P195" t="n">
        <v>0</v>
      </c>
      <c r="Q195" t="n">
        <v>0</v>
      </c>
      <c r="R195" s="2" t="inlineStr"/>
    </row>
    <row r="196" ht="15" customHeight="1">
      <c r="A196" t="inlineStr">
        <is>
          <t>A 74090-2021</t>
        </is>
      </c>
      <c r="B196" s="1" t="n">
        <v>44557</v>
      </c>
      <c r="C196" s="1" t="n">
        <v>46035</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41764-2025</t>
        </is>
      </c>
      <c r="B197" s="1" t="n">
        <v>45902</v>
      </c>
      <c r="C197" s="1" t="n">
        <v>46035</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69344-2021</t>
        </is>
      </c>
      <c r="B198" s="1" t="n">
        <v>44531</v>
      </c>
      <c r="C198" s="1" t="n">
        <v>46035</v>
      </c>
      <c r="D198" t="inlineStr">
        <is>
          <t>UPPSALA LÄN</t>
        </is>
      </c>
      <c r="E198" t="inlineStr">
        <is>
          <t>ENKÖPING</t>
        </is>
      </c>
      <c r="G198" t="n">
        <v>2.9</v>
      </c>
      <c r="H198" t="n">
        <v>0</v>
      </c>
      <c r="I198" t="n">
        <v>0</v>
      </c>
      <c r="J198" t="n">
        <v>0</v>
      </c>
      <c r="K198" t="n">
        <v>0</v>
      </c>
      <c r="L198" t="n">
        <v>0</v>
      </c>
      <c r="M198" t="n">
        <v>0</v>
      </c>
      <c r="N198" t="n">
        <v>0</v>
      </c>
      <c r="O198" t="n">
        <v>0</v>
      </c>
      <c r="P198" t="n">
        <v>0</v>
      </c>
      <c r="Q198" t="n">
        <v>0</v>
      </c>
      <c r="R198" s="2" t="inlineStr"/>
    </row>
    <row r="199" ht="15" customHeight="1">
      <c r="A199" t="inlineStr">
        <is>
          <t>A 51042-2024</t>
        </is>
      </c>
      <c r="B199" s="1" t="n">
        <v>45603.4342824074</v>
      </c>
      <c r="C199" s="1" t="n">
        <v>46035</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22632-2025</t>
        </is>
      </c>
      <c r="B200" s="1" t="n">
        <v>45789.44361111111</v>
      </c>
      <c r="C200" s="1" t="n">
        <v>46035</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51037-2024</t>
        </is>
      </c>
      <c r="B201" s="1" t="n">
        <v>45603.43005787037</v>
      </c>
      <c r="C201" s="1" t="n">
        <v>46035</v>
      </c>
      <c r="D201" t="inlineStr">
        <is>
          <t>UPPSALA LÄN</t>
        </is>
      </c>
      <c r="E201" t="inlineStr">
        <is>
          <t>ENKÖPING</t>
        </is>
      </c>
      <c r="G201" t="n">
        <v>5.7</v>
      </c>
      <c r="H201" t="n">
        <v>0</v>
      </c>
      <c r="I201" t="n">
        <v>0</v>
      </c>
      <c r="J201" t="n">
        <v>0</v>
      </c>
      <c r="K201" t="n">
        <v>0</v>
      </c>
      <c r="L201" t="n">
        <v>0</v>
      </c>
      <c r="M201" t="n">
        <v>0</v>
      </c>
      <c r="N201" t="n">
        <v>0</v>
      </c>
      <c r="O201" t="n">
        <v>0</v>
      </c>
      <c r="P201" t="n">
        <v>0</v>
      </c>
      <c r="Q201" t="n">
        <v>0</v>
      </c>
      <c r="R201" s="2" t="inlineStr"/>
    </row>
    <row r="202" ht="15" customHeight="1">
      <c r="A202" t="inlineStr">
        <is>
          <t>A 34124-2021</t>
        </is>
      </c>
      <c r="B202" s="1" t="n">
        <v>44379</v>
      </c>
      <c r="C202" s="1" t="n">
        <v>46035</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43697-2024</t>
        </is>
      </c>
      <c r="B203" s="1" t="n">
        <v>45569</v>
      </c>
      <c r="C203" s="1" t="n">
        <v>46035</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51027-2024</t>
        </is>
      </c>
      <c r="B204" s="1" t="n">
        <v>45603</v>
      </c>
      <c r="C204" s="1" t="n">
        <v>46035</v>
      </c>
      <c r="D204" t="inlineStr">
        <is>
          <t>UPPSALA LÄN</t>
        </is>
      </c>
      <c r="E204" t="inlineStr">
        <is>
          <t>ENKÖPING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27983-2024</t>
        </is>
      </c>
      <c r="B205" s="1" t="n">
        <v>45476</v>
      </c>
      <c r="C205" s="1" t="n">
        <v>46035</v>
      </c>
      <c r="D205" t="inlineStr">
        <is>
          <t>UPPSALA LÄN</t>
        </is>
      </c>
      <c r="E205" t="inlineStr">
        <is>
          <t>ENKÖPING</t>
        </is>
      </c>
      <c r="G205" t="n">
        <v>3.2</v>
      </c>
      <c r="H205" t="n">
        <v>0</v>
      </c>
      <c r="I205" t="n">
        <v>0</v>
      </c>
      <c r="J205" t="n">
        <v>0</v>
      </c>
      <c r="K205" t="n">
        <v>0</v>
      </c>
      <c r="L205" t="n">
        <v>0</v>
      </c>
      <c r="M205" t="n">
        <v>0</v>
      </c>
      <c r="N205" t="n">
        <v>0</v>
      </c>
      <c r="O205" t="n">
        <v>0</v>
      </c>
      <c r="P205" t="n">
        <v>0</v>
      </c>
      <c r="Q205" t="n">
        <v>0</v>
      </c>
      <c r="R205" s="2" t="inlineStr"/>
    </row>
    <row r="206" ht="15" customHeight="1">
      <c r="A206" t="inlineStr">
        <is>
          <t>A 51010-2024</t>
        </is>
      </c>
      <c r="B206" s="1" t="n">
        <v>45603.39285879629</v>
      </c>
      <c r="C206" s="1" t="n">
        <v>46035</v>
      </c>
      <c r="D206" t="inlineStr">
        <is>
          <t>UPPSALA LÄN</t>
        </is>
      </c>
      <c r="E206" t="inlineStr">
        <is>
          <t>ENKÖPING</t>
        </is>
      </c>
      <c r="G206" t="n">
        <v>1.7</v>
      </c>
      <c r="H206" t="n">
        <v>0</v>
      </c>
      <c r="I206" t="n">
        <v>0</v>
      </c>
      <c r="J206" t="n">
        <v>0</v>
      </c>
      <c r="K206" t="n">
        <v>0</v>
      </c>
      <c r="L206" t="n">
        <v>0</v>
      </c>
      <c r="M206" t="n">
        <v>0</v>
      </c>
      <c r="N206" t="n">
        <v>0</v>
      </c>
      <c r="O206" t="n">
        <v>0</v>
      </c>
      <c r="P206" t="n">
        <v>0</v>
      </c>
      <c r="Q206" t="n">
        <v>0</v>
      </c>
      <c r="R206" s="2" t="inlineStr"/>
    </row>
    <row r="207" ht="15" customHeight="1">
      <c r="A207" t="inlineStr">
        <is>
          <t>A 58092-2024</t>
        </is>
      </c>
      <c r="B207" s="1" t="n">
        <v>45632</v>
      </c>
      <c r="C207" s="1" t="n">
        <v>46035</v>
      </c>
      <c r="D207" t="inlineStr">
        <is>
          <t>UPPSALA LÄN</t>
        </is>
      </c>
      <c r="E207" t="inlineStr">
        <is>
          <t>ENKÖPING</t>
        </is>
      </c>
      <c r="G207" t="n">
        <v>4.8</v>
      </c>
      <c r="H207" t="n">
        <v>0</v>
      </c>
      <c r="I207" t="n">
        <v>0</v>
      </c>
      <c r="J207" t="n">
        <v>0</v>
      </c>
      <c r="K207" t="n">
        <v>0</v>
      </c>
      <c r="L207" t="n">
        <v>0</v>
      </c>
      <c r="M207" t="n">
        <v>0</v>
      </c>
      <c r="N207" t="n">
        <v>0</v>
      </c>
      <c r="O207" t="n">
        <v>0</v>
      </c>
      <c r="P207" t="n">
        <v>0</v>
      </c>
      <c r="Q207" t="n">
        <v>0</v>
      </c>
      <c r="R207" s="2" t="inlineStr"/>
    </row>
    <row r="208" ht="15" customHeight="1">
      <c r="A208" t="inlineStr">
        <is>
          <t>A 44419-2025</t>
        </is>
      </c>
      <c r="B208" s="1" t="n">
        <v>45916.54671296296</v>
      </c>
      <c r="C208" s="1" t="n">
        <v>46035</v>
      </c>
      <c r="D208" t="inlineStr">
        <is>
          <t>UPPSALA LÄN</t>
        </is>
      </c>
      <c r="E208" t="inlineStr">
        <is>
          <t>ENKÖPING</t>
        </is>
      </c>
      <c r="G208" t="n">
        <v>1.6</v>
      </c>
      <c r="H208" t="n">
        <v>0</v>
      </c>
      <c r="I208" t="n">
        <v>0</v>
      </c>
      <c r="J208" t="n">
        <v>0</v>
      </c>
      <c r="K208" t="n">
        <v>0</v>
      </c>
      <c r="L208" t="n">
        <v>0</v>
      </c>
      <c r="M208" t="n">
        <v>0</v>
      </c>
      <c r="N208" t="n">
        <v>0</v>
      </c>
      <c r="O208" t="n">
        <v>0</v>
      </c>
      <c r="P208" t="n">
        <v>0</v>
      </c>
      <c r="Q208" t="n">
        <v>0</v>
      </c>
      <c r="R208" s="2" t="inlineStr"/>
    </row>
    <row r="209" ht="15" customHeight="1">
      <c r="A209" t="inlineStr">
        <is>
          <t>A 43999-2025</t>
        </is>
      </c>
      <c r="B209" s="1" t="n">
        <v>45915.45158564814</v>
      </c>
      <c r="C209" s="1" t="n">
        <v>46035</v>
      </c>
      <c r="D209" t="inlineStr">
        <is>
          <t>UPPSALA LÄN</t>
        </is>
      </c>
      <c r="E209" t="inlineStr">
        <is>
          <t>ENKÖPING</t>
        </is>
      </c>
      <c r="G209" t="n">
        <v>4.1</v>
      </c>
      <c r="H209" t="n">
        <v>0</v>
      </c>
      <c r="I209" t="n">
        <v>0</v>
      </c>
      <c r="J209" t="n">
        <v>0</v>
      </c>
      <c r="K209" t="n">
        <v>0</v>
      </c>
      <c r="L209" t="n">
        <v>0</v>
      </c>
      <c r="M209" t="n">
        <v>0</v>
      </c>
      <c r="N209" t="n">
        <v>0</v>
      </c>
      <c r="O209" t="n">
        <v>0</v>
      </c>
      <c r="P209" t="n">
        <v>0</v>
      </c>
      <c r="Q209" t="n">
        <v>0</v>
      </c>
      <c r="R209" s="2" t="inlineStr"/>
    </row>
    <row r="210" ht="15" customHeight="1">
      <c r="A210" t="inlineStr">
        <is>
          <t>A 32477-2025</t>
        </is>
      </c>
      <c r="B210" s="1" t="n">
        <v>45838.43098379629</v>
      </c>
      <c r="C210" s="1" t="n">
        <v>46035</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22912-2024</t>
        </is>
      </c>
      <c r="B211" s="1" t="n">
        <v>45448.73118055556</v>
      </c>
      <c r="C211" s="1" t="n">
        <v>46035</v>
      </c>
      <c r="D211" t="inlineStr">
        <is>
          <t>UPPSALA LÄN</t>
        </is>
      </c>
      <c r="E211" t="inlineStr">
        <is>
          <t>ENKÖPING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24411-2024</t>
        </is>
      </c>
      <c r="B212" s="1" t="n">
        <v>45457</v>
      </c>
      <c r="C212" s="1" t="n">
        <v>46035</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9667-2024</t>
        </is>
      </c>
      <c r="B213" s="1" t="n">
        <v>45362.45130787037</v>
      </c>
      <c r="C213" s="1" t="n">
        <v>46035</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25988-2025</t>
        </is>
      </c>
      <c r="B214" s="1" t="n">
        <v>45804.64814814815</v>
      </c>
      <c r="C214" s="1" t="n">
        <v>46035</v>
      </c>
      <c r="D214" t="inlineStr">
        <is>
          <t>UPPSALA LÄN</t>
        </is>
      </c>
      <c r="E214" t="inlineStr">
        <is>
          <t>ENKÖPING</t>
        </is>
      </c>
      <c r="G214" t="n">
        <v>4.7</v>
      </c>
      <c r="H214" t="n">
        <v>0</v>
      </c>
      <c r="I214" t="n">
        <v>0</v>
      </c>
      <c r="J214" t="n">
        <v>0</v>
      </c>
      <c r="K214" t="n">
        <v>0</v>
      </c>
      <c r="L214" t="n">
        <v>0</v>
      </c>
      <c r="M214" t="n">
        <v>0</v>
      </c>
      <c r="N214" t="n">
        <v>0</v>
      </c>
      <c r="O214" t="n">
        <v>0</v>
      </c>
      <c r="P214" t="n">
        <v>0</v>
      </c>
      <c r="Q214" t="n">
        <v>0</v>
      </c>
      <c r="R214" s="2" t="inlineStr"/>
    </row>
    <row r="215" ht="15" customHeight="1">
      <c r="A215" t="inlineStr">
        <is>
          <t>A 26024-2025</t>
        </is>
      </c>
      <c r="B215" s="1" t="n">
        <v>45804.6831712963</v>
      </c>
      <c r="C215" s="1" t="n">
        <v>46035</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26042-2025</t>
        </is>
      </c>
      <c r="B216" s="1" t="n">
        <v>45804.70018518518</v>
      </c>
      <c r="C216" s="1" t="n">
        <v>46035</v>
      </c>
      <c r="D216" t="inlineStr">
        <is>
          <t>UPPSALA LÄN</t>
        </is>
      </c>
      <c r="E216" t="inlineStr">
        <is>
          <t>ENKÖPING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25990-2025</t>
        </is>
      </c>
      <c r="B217" s="1" t="n">
        <v>45804.65229166667</v>
      </c>
      <c r="C217" s="1" t="n">
        <v>46035</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26030-2025</t>
        </is>
      </c>
      <c r="B218" s="1" t="n">
        <v>45804.68815972222</v>
      </c>
      <c r="C218" s="1" t="n">
        <v>46035</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26026-2025</t>
        </is>
      </c>
      <c r="B219" s="1" t="n">
        <v>45804.68510416667</v>
      </c>
      <c r="C219" s="1" t="n">
        <v>46035</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26047-2025</t>
        </is>
      </c>
      <c r="B220" s="1" t="n">
        <v>45804.70835648148</v>
      </c>
      <c r="C220" s="1" t="n">
        <v>46035</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25847-2025</t>
        </is>
      </c>
      <c r="B221" s="1" t="n">
        <v>45804</v>
      </c>
      <c r="C221" s="1" t="n">
        <v>46035</v>
      </c>
      <c r="D221" t="inlineStr">
        <is>
          <t>UPPSALA LÄN</t>
        </is>
      </c>
      <c r="E221" t="inlineStr">
        <is>
          <t>ENKÖPING</t>
        </is>
      </c>
      <c r="G221" t="n">
        <v>3.6</v>
      </c>
      <c r="H221" t="n">
        <v>0</v>
      </c>
      <c r="I221" t="n">
        <v>0</v>
      </c>
      <c r="J221" t="n">
        <v>0</v>
      </c>
      <c r="K221" t="n">
        <v>0</v>
      </c>
      <c r="L221" t="n">
        <v>0</v>
      </c>
      <c r="M221" t="n">
        <v>0</v>
      </c>
      <c r="N221" t="n">
        <v>0</v>
      </c>
      <c r="O221" t="n">
        <v>0</v>
      </c>
      <c r="P221" t="n">
        <v>0</v>
      </c>
      <c r="Q221" t="n">
        <v>0</v>
      </c>
      <c r="R221" s="2" t="inlineStr"/>
    </row>
    <row r="222" ht="15" customHeight="1">
      <c r="A222" t="inlineStr">
        <is>
          <t>A 26005-2025</t>
        </is>
      </c>
      <c r="B222" s="1" t="n">
        <v>45804.67055555555</v>
      </c>
      <c r="C222" s="1" t="n">
        <v>46035</v>
      </c>
      <c r="D222" t="inlineStr">
        <is>
          <t>UPPSALA LÄN</t>
        </is>
      </c>
      <c r="E222" t="inlineStr">
        <is>
          <t>ENKÖPING</t>
        </is>
      </c>
      <c r="G222" t="n">
        <v>0.3</v>
      </c>
      <c r="H222" t="n">
        <v>0</v>
      </c>
      <c r="I222" t="n">
        <v>0</v>
      </c>
      <c r="J222" t="n">
        <v>0</v>
      </c>
      <c r="K222" t="n">
        <v>0</v>
      </c>
      <c r="L222" t="n">
        <v>0</v>
      </c>
      <c r="M222" t="n">
        <v>0</v>
      </c>
      <c r="N222" t="n">
        <v>0</v>
      </c>
      <c r="O222" t="n">
        <v>0</v>
      </c>
      <c r="P222" t="n">
        <v>0</v>
      </c>
      <c r="Q222" t="n">
        <v>0</v>
      </c>
      <c r="R222" s="2" t="inlineStr"/>
    </row>
    <row r="223" ht="15" customHeight="1">
      <c r="A223" t="inlineStr">
        <is>
          <t>A 26031-2025</t>
        </is>
      </c>
      <c r="B223" s="1" t="n">
        <v>45804.69050925926</v>
      </c>
      <c r="C223" s="1" t="n">
        <v>46035</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26041-2025</t>
        </is>
      </c>
      <c r="B224" s="1" t="n">
        <v>45804.69883101852</v>
      </c>
      <c r="C224" s="1" t="n">
        <v>46035</v>
      </c>
      <c r="D224" t="inlineStr">
        <is>
          <t>UPPSALA LÄN</t>
        </is>
      </c>
      <c r="E224" t="inlineStr">
        <is>
          <t>ENKÖPING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26022-2025</t>
        </is>
      </c>
      <c r="B225" s="1" t="n">
        <v>45804.68006944445</v>
      </c>
      <c r="C225" s="1" t="n">
        <v>46035</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39439-2025</t>
        </is>
      </c>
      <c r="B226" s="1" t="n">
        <v>45889</v>
      </c>
      <c r="C226" s="1" t="n">
        <v>46035</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43506-2023</t>
        </is>
      </c>
      <c r="B227" s="1" t="n">
        <v>45181</v>
      </c>
      <c r="C227" s="1" t="n">
        <v>46035</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14004-2023</t>
        </is>
      </c>
      <c r="B228" s="1" t="n">
        <v>45008</v>
      </c>
      <c r="C228" s="1" t="n">
        <v>46035</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51012-2024</t>
        </is>
      </c>
      <c r="B229" s="1" t="n">
        <v>45603.39686342593</v>
      </c>
      <c r="C229" s="1" t="n">
        <v>46035</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35067-2024</t>
        </is>
      </c>
      <c r="B230" s="1" t="n">
        <v>45527.66153935185</v>
      </c>
      <c r="C230" s="1" t="n">
        <v>46035</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45755-2025</t>
        </is>
      </c>
      <c r="B231" s="1" t="n">
        <v>45923.50240740741</v>
      </c>
      <c r="C231" s="1" t="n">
        <v>46035</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43103-2025</t>
        </is>
      </c>
      <c r="B232" s="1" t="n">
        <v>45909</v>
      </c>
      <c r="C232" s="1" t="n">
        <v>46035</v>
      </c>
      <c r="D232" t="inlineStr">
        <is>
          <t>UPPSALA LÄN</t>
        </is>
      </c>
      <c r="E232" t="inlineStr">
        <is>
          <t>ENKÖPING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46590-2025</t>
        </is>
      </c>
      <c r="B233" s="1" t="n">
        <v>45926.39542824074</v>
      </c>
      <c r="C233" s="1" t="n">
        <v>46035</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41828-2024</t>
        </is>
      </c>
      <c r="B234" s="1" t="n">
        <v>45561</v>
      </c>
      <c r="C234" s="1" t="n">
        <v>46035</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34989-2025</t>
        </is>
      </c>
      <c r="B235" s="1" t="n">
        <v>45849</v>
      </c>
      <c r="C235" s="1" t="n">
        <v>46035</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34990-2025</t>
        </is>
      </c>
      <c r="B236" s="1" t="n">
        <v>45849.78916666667</v>
      </c>
      <c r="C236" s="1" t="n">
        <v>46035</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10465-2022</t>
        </is>
      </c>
      <c r="B237" s="1" t="n">
        <v>44623</v>
      </c>
      <c r="C237" s="1" t="n">
        <v>46035</v>
      </c>
      <c r="D237" t="inlineStr">
        <is>
          <t>UPPSALA LÄN</t>
        </is>
      </c>
      <c r="E237" t="inlineStr">
        <is>
          <t>ENKÖPING</t>
        </is>
      </c>
      <c r="G237" t="n">
        <v>1.7</v>
      </c>
      <c r="H237" t="n">
        <v>0</v>
      </c>
      <c r="I237" t="n">
        <v>0</v>
      </c>
      <c r="J237" t="n">
        <v>0</v>
      </c>
      <c r="K237" t="n">
        <v>0</v>
      </c>
      <c r="L237" t="n">
        <v>0</v>
      </c>
      <c r="M237" t="n">
        <v>0</v>
      </c>
      <c r="N237" t="n">
        <v>0</v>
      </c>
      <c r="O237" t="n">
        <v>0</v>
      </c>
      <c r="P237" t="n">
        <v>0</v>
      </c>
      <c r="Q237" t="n">
        <v>0</v>
      </c>
      <c r="R237" s="2" t="inlineStr"/>
    </row>
    <row r="238" ht="15" customHeight="1">
      <c r="A238" t="inlineStr">
        <is>
          <t>A 47441-2025</t>
        </is>
      </c>
      <c r="B238" s="1" t="n">
        <v>45930.63986111111</v>
      </c>
      <c r="C238" s="1" t="n">
        <v>46035</v>
      </c>
      <c r="D238" t="inlineStr">
        <is>
          <t>UPPSALA LÄN</t>
        </is>
      </c>
      <c r="E238" t="inlineStr">
        <is>
          <t>ENKÖPING</t>
        </is>
      </c>
      <c r="F238" t="inlineStr">
        <is>
          <t>Allmännings- och besparingsskogar</t>
        </is>
      </c>
      <c r="G238" t="n">
        <v>11.5</v>
      </c>
      <c r="H238" t="n">
        <v>0</v>
      </c>
      <c r="I238" t="n">
        <v>0</v>
      </c>
      <c r="J238" t="n">
        <v>0</v>
      </c>
      <c r="K238" t="n">
        <v>0</v>
      </c>
      <c r="L238" t="n">
        <v>0</v>
      </c>
      <c r="M238" t="n">
        <v>0</v>
      </c>
      <c r="N238" t="n">
        <v>0</v>
      </c>
      <c r="O238" t="n">
        <v>0</v>
      </c>
      <c r="P238" t="n">
        <v>0</v>
      </c>
      <c r="Q238" t="n">
        <v>0</v>
      </c>
      <c r="R238" s="2" t="inlineStr"/>
    </row>
    <row r="239" ht="15" customHeight="1">
      <c r="A239" t="inlineStr">
        <is>
          <t>A 46940-2025</t>
        </is>
      </c>
      <c r="B239" s="1" t="n">
        <v>45929.45483796296</v>
      </c>
      <c r="C239" s="1" t="n">
        <v>46035</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27829-2025</t>
        </is>
      </c>
      <c r="B240" s="1" t="n">
        <v>45817</v>
      </c>
      <c r="C240" s="1" t="n">
        <v>46035</v>
      </c>
      <c r="D240" t="inlineStr">
        <is>
          <t>UPPSALA LÄN</t>
        </is>
      </c>
      <c r="E240" t="inlineStr">
        <is>
          <t>ENKÖPING</t>
        </is>
      </c>
      <c r="G240" t="n">
        <v>2.1</v>
      </c>
      <c r="H240" t="n">
        <v>0</v>
      </c>
      <c r="I240" t="n">
        <v>0</v>
      </c>
      <c r="J240" t="n">
        <v>0</v>
      </c>
      <c r="K240" t="n">
        <v>0</v>
      </c>
      <c r="L240" t="n">
        <v>0</v>
      </c>
      <c r="M240" t="n">
        <v>0</v>
      </c>
      <c r="N240" t="n">
        <v>0</v>
      </c>
      <c r="O240" t="n">
        <v>0</v>
      </c>
      <c r="P240" t="n">
        <v>0</v>
      </c>
      <c r="Q240" t="n">
        <v>0</v>
      </c>
      <c r="R240" s="2" t="inlineStr"/>
    </row>
    <row r="241" ht="15" customHeight="1">
      <c r="A241" t="inlineStr">
        <is>
          <t>A 5013-2025</t>
        </is>
      </c>
      <c r="B241" s="1" t="n">
        <v>45691</v>
      </c>
      <c r="C241" s="1" t="n">
        <v>46035</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11503-2024</t>
        </is>
      </c>
      <c r="B242" s="1" t="n">
        <v>45372.68020833333</v>
      </c>
      <c r="C242" s="1" t="n">
        <v>46035</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49073-2025</t>
        </is>
      </c>
      <c r="B243" s="1" t="n">
        <v>45937.65512731481</v>
      </c>
      <c r="C243" s="1" t="n">
        <v>46035</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2164-2023</t>
        </is>
      </c>
      <c r="B244" s="1" t="n">
        <v>44941</v>
      </c>
      <c r="C244" s="1" t="n">
        <v>46035</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28855-2025</t>
        </is>
      </c>
      <c r="B245" s="1" t="n">
        <v>45820.58274305556</v>
      </c>
      <c r="C245" s="1" t="n">
        <v>46035</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28758-2025</t>
        </is>
      </c>
      <c r="B246" s="1" t="n">
        <v>45820.41212962963</v>
      </c>
      <c r="C246" s="1" t="n">
        <v>46035</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39009-2024</t>
        </is>
      </c>
      <c r="B247" s="1" t="n">
        <v>45548</v>
      </c>
      <c r="C247" s="1" t="n">
        <v>46035</v>
      </c>
      <c r="D247" t="inlineStr">
        <is>
          <t>UPPSALA LÄN</t>
        </is>
      </c>
      <c r="E247" t="inlineStr">
        <is>
          <t>ENKÖPING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8537-2025</t>
        </is>
      </c>
      <c r="B248" s="1" t="n">
        <v>45709</v>
      </c>
      <c r="C248" s="1" t="n">
        <v>46035</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28862-2025</t>
        </is>
      </c>
      <c r="B249" s="1" t="n">
        <v>45820.59189814814</v>
      </c>
      <c r="C249" s="1" t="n">
        <v>46035</v>
      </c>
      <c r="D249" t="inlineStr">
        <is>
          <t>UPPSALA LÄN</t>
        </is>
      </c>
      <c r="E249" t="inlineStr">
        <is>
          <t>ENKÖPING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33955-2024</t>
        </is>
      </c>
      <c r="B250" s="1" t="n">
        <v>45523.46952546296</v>
      </c>
      <c r="C250" s="1" t="n">
        <v>46035</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6172-2023</t>
        </is>
      </c>
      <c r="B251" s="1" t="n">
        <v>44964.68663194445</v>
      </c>
      <c r="C251" s="1" t="n">
        <v>46035</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10409-2025</t>
        </is>
      </c>
      <c r="B252" s="1" t="n">
        <v>45720.631875</v>
      </c>
      <c r="C252" s="1" t="n">
        <v>46035</v>
      </c>
      <c r="D252" t="inlineStr">
        <is>
          <t>UPPSALA LÄN</t>
        </is>
      </c>
      <c r="E252" t="inlineStr">
        <is>
          <t>ENKÖPING</t>
        </is>
      </c>
      <c r="G252" t="n">
        <v>2.2</v>
      </c>
      <c r="H252" t="n">
        <v>0</v>
      </c>
      <c r="I252" t="n">
        <v>0</v>
      </c>
      <c r="J252" t="n">
        <v>0</v>
      </c>
      <c r="K252" t="n">
        <v>0</v>
      </c>
      <c r="L252" t="n">
        <v>0</v>
      </c>
      <c r="M252" t="n">
        <v>0</v>
      </c>
      <c r="N252" t="n">
        <v>0</v>
      </c>
      <c r="O252" t="n">
        <v>0</v>
      </c>
      <c r="P252" t="n">
        <v>0</v>
      </c>
      <c r="Q252" t="n">
        <v>0</v>
      </c>
      <c r="R252" s="2" t="inlineStr"/>
    </row>
    <row r="253" ht="15" customHeight="1">
      <c r="A253" t="inlineStr">
        <is>
          <t>A 29093-2025</t>
        </is>
      </c>
      <c r="B253" s="1" t="n">
        <v>45821.55743055556</v>
      </c>
      <c r="C253" s="1" t="n">
        <v>46035</v>
      </c>
      <c r="D253" t="inlineStr">
        <is>
          <t>UPPSALA LÄN</t>
        </is>
      </c>
      <c r="E253" t="inlineStr">
        <is>
          <t>ENKÖPING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29477-2025</t>
        </is>
      </c>
      <c r="B254" s="1" t="n">
        <v>45824.71537037037</v>
      </c>
      <c r="C254" s="1" t="n">
        <v>46035</v>
      </c>
      <c r="D254" t="inlineStr">
        <is>
          <t>UPPSALA LÄN</t>
        </is>
      </c>
      <c r="E254" t="inlineStr">
        <is>
          <t>ENKÖPING</t>
        </is>
      </c>
      <c r="G254" t="n">
        <v>13.4</v>
      </c>
      <c r="H254" t="n">
        <v>0</v>
      </c>
      <c r="I254" t="n">
        <v>0</v>
      </c>
      <c r="J254" t="n">
        <v>0</v>
      </c>
      <c r="K254" t="n">
        <v>0</v>
      </c>
      <c r="L254" t="n">
        <v>0</v>
      </c>
      <c r="M254" t="n">
        <v>0</v>
      </c>
      <c r="N254" t="n">
        <v>0</v>
      </c>
      <c r="O254" t="n">
        <v>0</v>
      </c>
      <c r="P254" t="n">
        <v>0</v>
      </c>
      <c r="Q254" t="n">
        <v>0</v>
      </c>
      <c r="R254" s="2" t="inlineStr"/>
    </row>
    <row r="255" ht="15" customHeight="1">
      <c r="A255" t="inlineStr">
        <is>
          <t>A 21686-2022</t>
        </is>
      </c>
      <c r="B255" s="1" t="n">
        <v>44707</v>
      </c>
      <c r="C255" s="1" t="n">
        <v>46035</v>
      </c>
      <c r="D255" t="inlineStr">
        <is>
          <t>UPPSALA LÄN</t>
        </is>
      </c>
      <c r="E255" t="inlineStr">
        <is>
          <t>ENKÖPING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29479-2022</t>
        </is>
      </c>
      <c r="B256" s="1" t="n">
        <v>44753.57265046296</v>
      </c>
      <c r="C256" s="1" t="n">
        <v>46035</v>
      </c>
      <c r="D256" t="inlineStr">
        <is>
          <t>UPPSALA LÄN</t>
        </is>
      </c>
      <c r="E256" t="inlineStr">
        <is>
          <t>ENKÖPING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30837-2025</t>
        </is>
      </c>
      <c r="B257" s="1" t="n">
        <v>45831.7063425926</v>
      </c>
      <c r="C257" s="1" t="n">
        <v>46035</v>
      </c>
      <c r="D257" t="inlineStr">
        <is>
          <t>UPPSALA LÄN</t>
        </is>
      </c>
      <c r="E257" t="inlineStr">
        <is>
          <t>ENKÖPING</t>
        </is>
      </c>
      <c r="G257" t="n">
        <v>3.8</v>
      </c>
      <c r="H257" t="n">
        <v>0</v>
      </c>
      <c r="I257" t="n">
        <v>0</v>
      </c>
      <c r="J257" t="n">
        <v>0</v>
      </c>
      <c r="K257" t="n">
        <v>0</v>
      </c>
      <c r="L257" t="n">
        <v>0</v>
      </c>
      <c r="M257" t="n">
        <v>0</v>
      </c>
      <c r="N257" t="n">
        <v>0</v>
      </c>
      <c r="O257" t="n">
        <v>0</v>
      </c>
      <c r="P257" t="n">
        <v>0</v>
      </c>
      <c r="Q257" t="n">
        <v>0</v>
      </c>
      <c r="R257" s="2" t="inlineStr"/>
    </row>
    <row r="258" ht="15" customHeight="1">
      <c r="A258" t="inlineStr">
        <is>
          <t>A 49525-2021</t>
        </is>
      </c>
      <c r="B258" s="1" t="n">
        <v>44455</v>
      </c>
      <c r="C258" s="1" t="n">
        <v>46035</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6298-2021</t>
        </is>
      </c>
      <c r="B259" s="1" t="n">
        <v>44235</v>
      </c>
      <c r="C259" s="1" t="n">
        <v>46035</v>
      </c>
      <c r="D259" t="inlineStr">
        <is>
          <t>UPPSALA LÄN</t>
        </is>
      </c>
      <c r="E259" t="inlineStr">
        <is>
          <t>ENKÖPING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51162-2025</t>
        </is>
      </c>
      <c r="B260" s="1" t="n">
        <v>45947.58820601852</v>
      </c>
      <c r="C260" s="1" t="n">
        <v>46035</v>
      </c>
      <c r="D260" t="inlineStr">
        <is>
          <t>UPPSALA LÄN</t>
        </is>
      </c>
      <c r="E260" t="inlineStr">
        <is>
          <t>ENKÖPING</t>
        </is>
      </c>
      <c r="G260" t="n">
        <v>3.4</v>
      </c>
      <c r="H260" t="n">
        <v>0</v>
      </c>
      <c r="I260" t="n">
        <v>0</v>
      </c>
      <c r="J260" t="n">
        <v>0</v>
      </c>
      <c r="K260" t="n">
        <v>0</v>
      </c>
      <c r="L260" t="n">
        <v>0</v>
      </c>
      <c r="M260" t="n">
        <v>0</v>
      </c>
      <c r="N260" t="n">
        <v>0</v>
      </c>
      <c r="O260" t="n">
        <v>0</v>
      </c>
      <c r="P260" t="n">
        <v>0</v>
      </c>
      <c r="Q260" t="n">
        <v>0</v>
      </c>
      <c r="R260" s="2" t="inlineStr"/>
    </row>
    <row r="261" ht="15" customHeight="1">
      <c r="A261" t="inlineStr">
        <is>
          <t>A 51133-2025</t>
        </is>
      </c>
      <c r="B261" s="1" t="n">
        <v>45947.55598379629</v>
      </c>
      <c r="C261" s="1" t="n">
        <v>46035</v>
      </c>
      <c r="D261" t="inlineStr">
        <is>
          <t>UPPSALA LÄN</t>
        </is>
      </c>
      <c r="E261" t="inlineStr">
        <is>
          <t>ENKÖPING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57328-2024</t>
        </is>
      </c>
      <c r="B262" s="1" t="n">
        <v>45629.62798611111</v>
      </c>
      <c r="C262" s="1" t="n">
        <v>46035</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32031-2025</t>
        </is>
      </c>
      <c r="B263" s="1" t="n">
        <v>45835.41712962963</v>
      </c>
      <c r="C263" s="1" t="n">
        <v>46035</v>
      </c>
      <c r="D263" t="inlineStr">
        <is>
          <t>UPPSALA LÄN</t>
        </is>
      </c>
      <c r="E263" t="inlineStr">
        <is>
          <t>ENKÖPING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32111-2025</t>
        </is>
      </c>
      <c r="B264" s="1" t="n">
        <v>45835</v>
      </c>
      <c r="C264" s="1" t="n">
        <v>46035</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56837-2024</t>
        </is>
      </c>
      <c r="B265" s="1" t="n">
        <v>45628</v>
      </c>
      <c r="C265" s="1" t="n">
        <v>46035</v>
      </c>
      <c r="D265" t="inlineStr">
        <is>
          <t>UPPSALA LÄN</t>
        </is>
      </c>
      <c r="E265" t="inlineStr">
        <is>
          <t>ENKÖPING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59964-2025</t>
        </is>
      </c>
      <c r="B266" s="1" t="n">
        <v>45993.48043981481</v>
      </c>
      <c r="C266" s="1" t="n">
        <v>46035</v>
      </c>
      <c r="D266" t="inlineStr">
        <is>
          <t>UPPSALA LÄN</t>
        </is>
      </c>
      <c r="E266" t="inlineStr">
        <is>
          <t>ENKÖPING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55876-2024</t>
        </is>
      </c>
      <c r="B267" s="1" t="n">
        <v>45623.5546412037</v>
      </c>
      <c r="C267" s="1" t="n">
        <v>46035</v>
      </c>
      <c r="D267" t="inlineStr">
        <is>
          <t>UPPSALA LÄN</t>
        </is>
      </c>
      <c r="E267" t="inlineStr">
        <is>
          <t>ENKÖPING</t>
        </is>
      </c>
      <c r="G267" t="n">
        <v>0.7</v>
      </c>
      <c r="H267" t="n">
        <v>0</v>
      </c>
      <c r="I267" t="n">
        <v>0</v>
      </c>
      <c r="J267" t="n">
        <v>0</v>
      </c>
      <c r="K267" t="n">
        <v>0</v>
      </c>
      <c r="L267" t="n">
        <v>0</v>
      </c>
      <c r="M267" t="n">
        <v>0</v>
      </c>
      <c r="N267" t="n">
        <v>0</v>
      </c>
      <c r="O267" t="n">
        <v>0</v>
      </c>
      <c r="P267" t="n">
        <v>0</v>
      </c>
      <c r="Q267" t="n">
        <v>0</v>
      </c>
      <c r="R267" s="2" t="inlineStr"/>
    </row>
    <row r="268" ht="15" customHeight="1">
      <c r="A268" t="inlineStr">
        <is>
          <t>A 25334-2023</t>
        </is>
      </c>
      <c r="B268" s="1" t="n">
        <v>45083</v>
      </c>
      <c r="C268" s="1" t="n">
        <v>46035</v>
      </c>
      <c r="D268" t="inlineStr">
        <is>
          <t>UPPSALA LÄN</t>
        </is>
      </c>
      <c r="E268" t="inlineStr">
        <is>
          <t>ENKÖPING</t>
        </is>
      </c>
      <c r="G268" t="n">
        <v>0.2</v>
      </c>
      <c r="H268" t="n">
        <v>0</v>
      </c>
      <c r="I268" t="n">
        <v>0</v>
      </c>
      <c r="J268" t="n">
        <v>0</v>
      </c>
      <c r="K268" t="n">
        <v>0</v>
      </c>
      <c r="L268" t="n">
        <v>0</v>
      </c>
      <c r="M268" t="n">
        <v>0</v>
      </c>
      <c r="N268" t="n">
        <v>0</v>
      </c>
      <c r="O268" t="n">
        <v>0</v>
      </c>
      <c r="P268" t="n">
        <v>0</v>
      </c>
      <c r="Q268" t="n">
        <v>0</v>
      </c>
      <c r="R268" s="2" t="inlineStr"/>
    </row>
    <row r="269" ht="15" customHeight="1">
      <c r="A269" t="inlineStr">
        <is>
          <t>A 15740-2025</t>
        </is>
      </c>
      <c r="B269" s="1" t="n">
        <v>45748</v>
      </c>
      <c r="C269" s="1" t="n">
        <v>46035</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33349-2024</t>
        </is>
      </c>
      <c r="B270" s="1" t="n">
        <v>45519</v>
      </c>
      <c r="C270" s="1" t="n">
        <v>46035</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57848-2024</t>
        </is>
      </c>
      <c r="B271" s="1" t="n">
        <v>45631.40947916666</v>
      </c>
      <c r="C271" s="1" t="n">
        <v>46035</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18994-2025</t>
        </is>
      </c>
      <c r="B272" s="1" t="n">
        <v>45764.57350694444</v>
      </c>
      <c r="C272" s="1" t="n">
        <v>46035</v>
      </c>
      <c r="D272" t="inlineStr">
        <is>
          <t>UPPSALA LÄN</t>
        </is>
      </c>
      <c r="E272" t="inlineStr">
        <is>
          <t>ENKÖPING</t>
        </is>
      </c>
      <c r="G272" t="n">
        <v>3.8</v>
      </c>
      <c r="H272" t="n">
        <v>0</v>
      </c>
      <c r="I272" t="n">
        <v>0</v>
      </c>
      <c r="J272" t="n">
        <v>0</v>
      </c>
      <c r="K272" t="n">
        <v>0</v>
      </c>
      <c r="L272" t="n">
        <v>0</v>
      </c>
      <c r="M272" t="n">
        <v>0</v>
      </c>
      <c r="N272" t="n">
        <v>0</v>
      </c>
      <c r="O272" t="n">
        <v>0</v>
      </c>
      <c r="P272" t="n">
        <v>0</v>
      </c>
      <c r="Q272" t="n">
        <v>0</v>
      </c>
      <c r="R272" s="2" t="inlineStr"/>
    </row>
    <row r="273" ht="15" customHeight="1">
      <c r="A273" t="inlineStr">
        <is>
          <t>A 49601-2024</t>
        </is>
      </c>
      <c r="B273" s="1" t="n">
        <v>45596.56288194445</v>
      </c>
      <c r="C273" s="1" t="n">
        <v>46035</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53587-2024</t>
        </is>
      </c>
      <c r="B274" s="1" t="n">
        <v>45614.66953703704</v>
      </c>
      <c r="C274" s="1" t="n">
        <v>46035</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60175-2025</t>
        </is>
      </c>
      <c r="B275" s="1" t="n">
        <v>45994.45378472222</v>
      </c>
      <c r="C275" s="1" t="n">
        <v>46035</v>
      </c>
      <c r="D275" t="inlineStr">
        <is>
          <t>UPPSALA LÄN</t>
        </is>
      </c>
      <c r="E275" t="inlineStr">
        <is>
          <t>ENKÖPING</t>
        </is>
      </c>
      <c r="G275" t="n">
        <v>2.4</v>
      </c>
      <c r="H275" t="n">
        <v>0</v>
      </c>
      <c r="I275" t="n">
        <v>0</v>
      </c>
      <c r="J275" t="n">
        <v>0</v>
      </c>
      <c r="K275" t="n">
        <v>0</v>
      </c>
      <c r="L275" t="n">
        <v>0</v>
      </c>
      <c r="M275" t="n">
        <v>0</v>
      </c>
      <c r="N275" t="n">
        <v>0</v>
      </c>
      <c r="O275" t="n">
        <v>0</v>
      </c>
      <c r="P275" t="n">
        <v>0</v>
      </c>
      <c r="Q275" t="n">
        <v>0</v>
      </c>
      <c r="R275" s="2" t="inlineStr"/>
    </row>
    <row r="276" ht="15" customHeight="1">
      <c r="A276" t="inlineStr">
        <is>
          <t>A 60340-2025</t>
        </is>
      </c>
      <c r="B276" s="1" t="n">
        <v>45994.83415509259</v>
      </c>
      <c r="C276" s="1" t="n">
        <v>46035</v>
      </c>
      <c r="D276" t="inlineStr">
        <is>
          <t>UPPSALA LÄN</t>
        </is>
      </c>
      <c r="E276" t="inlineStr">
        <is>
          <t>ENKÖPING</t>
        </is>
      </c>
      <c r="G276" t="n">
        <v>5.6</v>
      </c>
      <c r="H276" t="n">
        <v>0</v>
      </c>
      <c r="I276" t="n">
        <v>0</v>
      </c>
      <c r="J276" t="n">
        <v>0</v>
      </c>
      <c r="K276" t="n">
        <v>0</v>
      </c>
      <c r="L276" t="n">
        <v>0</v>
      </c>
      <c r="M276" t="n">
        <v>0</v>
      </c>
      <c r="N276" t="n">
        <v>0</v>
      </c>
      <c r="O276" t="n">
        <v>0</v>
      </c>
      <c r="P276" t="n">
        <v>0</v>
      </c>
      <c r="Q276" t="n">
        <v>0</v>
      </c>
      <c r="R276" s="2" t="inlineStr"/>
    </row>
    <row r="277" ht="15" customHeight="1">
      <c r="A277" t="inlineStr">
        <is>
          <t>A 26017-2025</t>
        </is>
      </c>
      <c r="B277" s="1" t="n">
        <v>45804</v>
      </c>
      <c r="C277" s="1" t="n">
        <v>46035</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18583-2021</t>
        </is>
      </c>
      <c r="B278" s="1" t="n">
        <v>44306</v>
      </c>
      <c r="C278" s="1" t="n">
        <v>46035</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60174-2025</t>
        </is>
      </c>
      <c r="B279" s="1" t="n">
        <v>45994.45039351852</v>
      </c>
      <c r="C279" s="1" t="n">
        <v>46035</v>
      </c>
      <c r="D279" t="inlineStr">
        <is>
          <t>UPPSALA LÄN</t>
        </is>
      </c>
      <c r="E279" t="inlineStr">
        <is>
          <t>ENKÖPING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17844-2025</t>
        </is>
      </c>
      <c r="B280" s="1" t="n">
        <v>45758.59920138889</v>
      </c>
      <c r="C280" s="1" t="n">
        <v>46035</v>
      </c>
      <c r="D280" t="inlineStr">
        <is>
          <t>UPPSALA LÄN</t>
        </is>
      </c>
      <c r="E280" t="inlineStr">
        <is>
          <t>ENKÖPING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60125-2024</t>
        </is>
      </c>
      <c r="B281" s="1" t="n">
        <v>45642</v>
      </c>
      <c r="C281" s="1" t="n">
        <v>46035</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27837-2025</t>
        </is>
      </c>
      <c r="B282" s="1" t="n">
        <v>45817.37207175926</v>
      </c>
      <c r="C282" s="1" t="n">
        <v>46035</v>
      </c>
      <c r="D282" t="inlineStr">
        <is>
          <t>UPPSALA LÄN</t>
        </is>
      </c>
      <c r="E282" t="inlineStr">
        <is>
          <t>ENKÖPING</t>
        </is>
      </c>
      <c r="G282" t="n">
        <v>7.3</v>
      </c>
      <c r="H282" t="n">
        <v>0</v>
      </c>
      <c r="I282" t="n">
        <v>0</v>
      </c>
      <c r="J282" t="n">
        <v>0</v>
      </c>
      <c r="K282" t="n">
        <v>0</v>
      </c>
      <c r="L282" t="n">
        <v>0</v>
      </c>
      <c r="M282" t="n">
        <v>0</v>
      </c>
      <c r="N282" t="n">
        <v>0</v>
      </c>
      <c r="O282" t="n">
        <v>0</v>
      </c>
      <c r="P282" t="n">
        <v>0</v>
      </c>
      <c r="Q282" t="n">
        <v>0</v>
      </c>
      <c r="R282" s="2" t="inlineStr"/>
    </row>
    <row r="283" ht="15" customHeight="1">
      <c r="A283" t="inlineStr">
        <is>
          <t>A 29513-2025</t>
        </is>
      </c>
      <c r="B283" s="1" t="n">
        <v>45825</v>
      </c>
      <c r="C283" s="1" t="n">
        <v>46035</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1695-2025</t>
        </is>
      </c>
      <c r="B284" s="1" t="n">
        <v>45670</v>
      </c>
      <c r="C284" s="1" t="n">
        <v>46035</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59027-2024</t>
        </is>
      </c>
      <c r="B285" s="1" t="n">
        <v>45636.68755787037</v>
      </c>
      <c r="C285" s="1" t="n">
        <v>46035</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42564-2024</t>
        </is>
      </c>
      <c r="B286" s="1" t="n">
        <v>45565.63358796296</v>
      </c>
      <c r="C286" s="1" t="n">
        <v>46035</v>
      </c>
      <c r="D286" t="inlineStr">
        <is>
          <t>UPPSALA LÄN</t>
        </is>
      </c>
      <c r="E286" t="inlineStr">
        <is>
          <t>ENKÖPING</t>
        </is>
      </c>
      <c r="G286" t="n">
        <v>1.7</v>
      </c>
      <c r="H286" t="n">
        <v>0</v>
      </c>
      <c r="I286" t="n">
        <v>0</v>
      </c>
      <c r="J286" t="n">
        <v>0</v>
      </c>
      <c r="K286" t="n">
        <v>0</v>
      </c>
      <c r="L286" t="n">
        <v>0</v>
      </c>
      <c r="M286" t="n">
        <v>0</v>
      </c>
      <c r="N286" t="n">
        <v>0</v>
      </c>
      <c r="O286" t="n">
        <v>0</v>
      </c>
      <c r="P286" t="n">
        <v>0</v>
      </c>
      <c r="Q286" t="n">
        <v>0</v>
      </c>
      <c r="R286" s="2" t="inlineStr"/>
    </row>
    <row r="287" ht="15" customHeight="1">
      <c r="A287" t="inlineStr">
        <is>
          <t>A 21501-2025</t>
        </is>
      </c>
      <c r="B287" s="1" t="n">
        <v>45782</v>
      </c>
      <c r="C287" s="1" t="n">
        <v>46035</v>
      </c>
      <c r="D287" t="inlineStr">
        <is>
          <t>UPPSALA LÄN</t>
        </is>
      </c>
      <c r="E287" t="inlineStr">
        <is>
          <t>ENKÖPING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3235-2025</t>
        </is>
      </c>
      <c r="B288" s="1" t="n">
        <v>45679</v>
      </c>
      <c r="C288" s="1" t="n">
        <v>46035</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34987-2025</t>
        </is>
      </c>
      <c r="B289" s="1" t="n">
        <v>45849</v>
      </c>
      <c r="C289" s="1" t="n">
        <v>46035</v>
      </c>
      <c r="D289" t="inlineStr">
        <is>
          <t>UPPSALA LÄN</t>
        </is>
      </c>
      <c r="E289" t="inlineStr">
        <is>
          <t>ENKÖPING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15711-2025</t>
        </is>
      </c>
      <c r="B290" s="1" t="n">
        <v>45748</v>
      </c>
      <c r="C290" s="1" t="n">
        <v>46035</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34988-2025</t>
        </is>
      </c>
      <c r="B291" s="1" t="n">
        <v>45849</v>
      </c>
      <c r="C291" s="1" t="n">
        <v>46035</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6959-2025</t>
        </is>
      </c>
      <c r="B292" s="1" t="n">
        <v>45701.49315972222</v>
      </c>
      <c r="C292" s="1" t="n">
        <v>46035</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17165-2025</t>
        </is>
      </c>
      <c r="B293" s="1" t="n">
        <v>45756</v>
      </c>
      <c r="C293" s="1" t="n">
        <v>46035</v>
      </c>
      <c r="D293" t="inlineStr">
        <is>
          <t>UPPSALA LÄN</t>
        </is>
      </c>
      <c r="E293" t="inlineStr">
        <is>
          <t>ENKÖPING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36350-2025</t>
        </is>
      </c>
      <c r="B294" s="1" t="n">
        <v>45868</v>
      </c>
      <c r="C294" s="1" t="n">
        <v>46035</v>
      </c>
      <c r="D294" t="inlineStr">
        <is>
          <t>UPPSALA LÄN</t>
        </is>
      </c>
      <c r="E294" t="inlineStr">
        <is>
          <t>ENKÖPING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25989-2025</t>
        </is>
      </c>
      <c r="B295" s="1" t="n">
        <v>45804.65050925926</v>
      </c>
      <c r="C295" s="1" t="n">
        <v>46035</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36599-2025</t>
        </is>
      </c>
      <c r="B296" s="1" t="n">
        <v>45870.51723379629</v>
      </c>
      <c r="C296" s="1" t="n">
        <v>46035</v>
      </c>
      <c r="D296" t="inlineStr">
        <is>
          <t>UPPSALA LÄN</t>
        </is>
      </c>
      <c r="E296" t="inlineStr">
        <is>
          <t>ENKÖPING</t>
        </is>
      </c>
      <c r="G296" t="n">
        <v>5.9</v>
      </c>
      <c r="H296" t="n">
        <v>0</v>
      </c>
      <c r="I296" t="n">
        <v>0</v>
      </c>
      <c r="J296" t="n">
        <v>0</v>
      </c>
      <c r="K296" t="n">
        <v>0</v>
      </c>
      <c r="L296" t="n">
        <v>0</v>
      </c>
      <c r="M296" t="n">
        <v>0</v>
      </c>
      <c r="N296" t="n">
        <v>0</v>
      </c>
      <c r="O296" t="n">
        <v>0</v>
      </c>
      <c r="P296" t="n">
        <v>0</v>
      </c>
      <c r="Q296" t="n">
        <v>0</v>
      </c>
      <c r="R296" s="2" t="inlineStr"/>
    </row>
    <row r="297" ht="15" customHeight="1">
      <c r="A297" t="inlineStr">
        <is>
          <t>A 36492-2025</t>
        </is>
      </c>
      <c r="B297" s="1" t="n">
        <v>45869</v>
      </c>
      <c r="C297" s="1" t="n">
        <v>46035</v>
      </c>
      <c r="D297" t="inlineStr">
        <is>
          <t>UPPSALA LÄN</t>
        </is>
      </c>
      <c r="E297" t="inlineStr">
        <is>
          <t>ENKÖPING</t>
        </is>
      </c>
      <c r="G297" t="n">
        <v>6.3</v>
      </c>
      <c r="H297" t="n">
        <v>0</v>
      </c>
      <c r="I297" t="n">
        <v>0</v>
      </c>
      <c r="J297" t="n">
        <v>0</v>
      </c>
      <c r="K297" t="n">
        <v>0</v>
      </c>
      <c r="L297" t="n">
        <v>0</v>
      </c>
      <c r="M297" t="n">
        <v>0</v>
      </c>
      <c r="N297" t="n">
        <v>0</v>
      </c>
      <c r="O297" t="n">
        <v>0</v>
      </c>
      <c r="P297" t="n">
        <v>0</v>
      </c>
      <c r="Q297" t="n">
        <v>0</v>
      </c>
      <c r="R297" s="2" t="inlineStr"/>
    </row>
    <row r="298" ht="15" customHeight="1">
      <c r="A298" t="inlineStr">
        <is>
          <t>A 52299-2023</t>
        </is>
      </c>
      <c r="B298" s="1" t="n">
        <v>45224.61636574074</v>
      </c>
      <c r="C298" s="1" t="n">
        <v>46035</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44343.4558912037</v>
      </c>
      <c r="C299" s="1" t="n">
        <v>46035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32081-2024</t>
        </is>
      </c>
      <c r="B300" s="1" t="n">
        <v>45511.34605324074</v>
      </c>
      <c r="C300" s="1" t="n">
        <v>46035</v>
      </c>
      <c r="D300" t="inlineStr">
        <is>
          <t>UPPSALA LÄN</t>
        </is>
      </c>
      <c r="E300" t="inlineStr">
        <is>
          <t>ENKÖPING</t>
        </is>
      </c>
      <c r="G300" t="n">
        <v>5.4</v>
      </c>
      <c r="H300" t="n">
        <v>0</v>
      </c>
      <c r="I300" t="n">
        <v>0</v>
      </c>
      <c r="J300" t="n">
        <v>0</v>
      </c>
      <c r="K300" t="n">
        <v>0</v>
      </c>
      <c r="L300" t="n">
        <v>0</v>
      </c>
      <c r="M300" t="n">
        <v>0</v>
      </c>
      <c r="N300" t="n">
        <v>0</v>
      </c>
      <c r="O300" t="n">
        <v>0</v>
      </c>
      <c r="P300" t="n">
        <v>0</v>
      </c>
      <c r="Q300" t="n">
        <v>0</v>
      </c>
      <c r="R300" s="2" t="inlineStr"/>
    </row>
    <row r="301" ht="15" customHeight="1">
      <c r="A301" t="inlineStr">
        <is>
          <t>A 20184-2023</t>
        </is>
      </c>
      <c r="B301" s="1" t="n">
        <v>45055.5670949074</v>
      </c>
      <c r="C301" s="1" t="n">
        <v>46035</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37319-2025</t>
        </is>
      </c>
      <c r="B302" s="1" t="n">
        <v>45876</v>
      </c>
      <c r="C302" s="1" t="n">
        <v>46035</v>
      </c>
      <c r="D302" t="inlineStr">
        <is>
          <t>UPPSALA LÄN</t>
        </is>
      </c>
      <c r="E302" t="inlineStr">
        <is>
          <t>ENKÖPING</t>
        </is>
      </c>
      <c r="G302" t="n">
        <v>9.5</v>
      </c>
      <c r="H302" t="n">
        <v>0</v>
      </c>
      <c r="I302" t="n">
        <v>0</v>
      </c>
      <c r="J302" t="n">
        <v>0</v>
      </c>
      <c r="K302" t="n">
        <v>0</v>
      </c>
      <c r="L302" t="n">
        <v>0</v>
      </c>
      <c r="M302" t="n">
        <v>0</v>
      </c>
      <c r="N302" t="n">
        <v>0</v>
      </c>
      <c r="O302" t="n">
        <v>0</v>
      </c>
      <c r="P302" t="n">
        <v>0</v>
      </c>
      <c r="Q302" t="n">
        <v>0</v>
      </c>
      <c r="R302" s="2" t="inlineStr"/>
    </row>
    <row r="303" ht="15" customHeight="1">
      <c r="A303" t="inlineStr">
        <is>
          <t>A 37296-2025</t>
        </is>
      </c>
      <c r="B303" s="1" t="n">
        <v>45876</v>
      </c>
      <c r="C303" s="1" t="n">
        <v>46035</v>
      </c>
      <c r="D303" t="inlineStr">
        <is>
          <t>UPPSALA LÄN</t>
        </is>
      </c>
      <c r="E303" t="inlineStr">
        <is>
          <t>ENKÖPING</t>
        </is>
      </c>
      <c r="G303" t="n">
        <v>9.5</v>
      </c>
      <c r="H303" t="n">
        <v>0</v>
      </c>
      <c r="I303" t="n">
        <v>0</v>
      </c>
      <c r="J303" t="n">
        <v>0</v>
      </c>
      <c r="K303" t="n">
        <v>0</v>
      </c>
      <c r="L303" t="n">
        <v>0</v>
      </c>
      <c r="M303" t="n">
        <v>0</v>
      </c>
      <c r="N303" t="n">
        <v>0</v>
      </c>
      <c r="O303" t="n">
        <v>0</v>
      </c>
      <c r="P303" t="n">
        <v>0</v>
      </c>
      <c r="Q303" t="n">
        <v>0</v>
      </c>
      <c r="R303" s="2" t="inlineStr"/>
    </row>
    <row r="304" ht="15" customHeight="1">
      <c r="A304" t="inlineStr">
        <is>
          <t>A 61952-2021</t>
        </is>
      </c>
      <c r="B304" s="1" t="n">
        <v>44502</v>
      </c>
      <c r="C304" s="1" t="n">
        <v>46035</v>
      </c>
      <c r="D304" t="inlineStr">
        <is>
          <t>UPPSALA LÄN</t>
        </is>
      </c>
      <c r="E304" t="inlineStr">
        <is>
          <t>ENKÖPING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37498-2025</t>
        </is>
      </c>
      <c r="B305" s="1" t="n">
        <v>45877</v>
      </c>
      <c r="C305" s="1" t="n">
        <v>46035</v>
      </c>
      <c r="D305" t="inlineStr">
        <is>
          <t>UPPSALA LÄN</t>
        </is>
      </c>
      <c r="E305" t="inlineStr">
        <is>
          <t>ENKÖPING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49622-2024</t>
        </is>
      </c>
      <c r="B306" s="1" t="n">
        <v>45596.58372685185</v>
      </c>
      <c r="C306" s="1" t="n">
        <v>46035</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59602-2022</t>
        </is>
      </c>
      <c r="B307" s="1" t="n">
        <v>44907.72241898148</v>
      </c>
      <c r="C307" s="1" t="n">
        <v>46035</v>
      </c>
      <c r="D307" t="inlineStr">
        <is>
          <t>UPPSALA LÄN</t>
        </is>
      </c>
      <c r="E307" t="inlineStr">
        <is>
          <t>ENKÖPING</t>
        </is>
      </c>
      <c r="G307" t="n">
        <v>14.2</v>
      </c>
      <c r="H307" t="n">
        <v>0</v>
      </c>
      <c r="I307" t="n">
        <v>0</v>
      </c>
      <c r="J307" t="n">
        <v>0</v>
      </c>
      <c r="K307" t="n">
        <v>0</v>
      </c>
      <c r="L307" t="n">
        <v>0</v>
      </c>
      <c r="M307" t="n">
        <v>0</v>
      </c>
      <c r="N307" t="n">
        <v>0</v>
      </c>
      <c r="O307" t="n">
        <v>0</v>
      </c>
      <c r="P307" t="n">
        <v>0</v>
      </c>
      <c r="Q307" t="n">
        <v>0</v>
      </c>
      <c r="R307" s="2" t="inlineStr"/>
    </row>
    <row r="308" ht="15" customHeight="1">
      <c r="A308" t="inlineStr">
        <is>
          <t>A 42589-2022</t>
        </is>
      </c>
      <c r="B308" s="1" t="n">
        <v>44831</v>
      </c>
      <c r="C308" s="1" t="n">
        <v>46035</v>
      </c>
      <c r="D308" t="inlineStr">
        <is>
          <t>UPPSALA LÄN</t>
        </is>
      </c>
      <c r="E308" t="inlineStr">
        <is>
          <t>ENKÖPING</t>
        </is>
      </c>
      <c r="G308" t="n">
        <v>20</v>
      </c>
      <c r="H308" t="n">
        <v>0</v>
      </c>
      <c r="I308" t="n">
        <v>0</v>
      </c>
      <c r="J308" t="n">
        <v>0</v>
      </c>
      <c r="K308" t="n">
        <v>0</v>
      </c>
      <c r="L308" t="n">
        <v>0</v>
      </c>
      <c r="M308" t="n">
        <v>0</v>
      </c>
      <c r="N308" t="n">
        <v>0</v>
      </c>
      <c r="O308" t="n">
        <v>0</v>
      </c>
      <c r="P308" t="n">
        <v>0</v>
      </c>
      <c r="Q308" t="n">
        <v>0</v>
      </c>
      <c r="R308" s="2" t="inlineStr"/>
    </row>
    <row r="309" ht="15" customHeight="1">
      <c r="A309" t="inlineStr">
        <is>
          <t>A 35645-2021</t>
        </is>
      </c>
      <c r="B309" s="1" t="n">
        <v>44386.42</v>
      </c>
      <c r="C309" s="1" t="n">
        <v>46035</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2968-2025</t>
        </is>
      </c>
      <c r="B310" s="1" t="n">
        <v>45678</v>
      </c>
      <c r="C310" s="1" t="n">
        <v>46035</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9487-2025</t>
        </is>
      </c>
      <c r="B311" s="1" t="n">
        <v>45715.49331018519</v>
      </c>
      <c r="C311" s="1" t="n">
        <v>46035</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26011-2025</t>
        </is>
      </c>
      <c r="B312" s="1" t="n">
        <v>45804.67412037037</v>
      </c>
      <c r="C312" s="1" t="n">
        <v>46035</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16176-2025</t>
        </is>
      </c>
      <c r="B313" s="1" t="n">
        <v>45750</v>
      </c>
      <c r="C313" s="1" t="n">
        <v>46035</v>
      </c>
      <c r="D313" t="inlineStr">
        <is>
          <t>UPPSALA LÄN</t>
        </is>
      </c>
      <c r="E313" t="inlineStr">
        <is>
          <t>ENKÖPING</t>
        </is>
      </c>
      <c r="G313" t="n">
        <v>3.9</v>
      </c>
      <c r="H313" t="n">
        <v>0</v>
      </c>
      <c r="I313" t="n">
        <v>0</v>
      </c>
      <c r="J313" t="n">
        <v>0</v>
      </c>
      <c r="K313" t="n">
        <v>0</v>
      </c>
      <c r="L313" t="n">
        <v>0</v>
      </c>
      <c r="M313" t="n">
        <v>0</v>
      </c>
      <c r="N313" t="n">
        <v>0</v>
      </c>
      <c r="O313" t="n">
        <v>0</v>
      </c>
      <c r="P313" t="n">
        <v>0</v>
      </c>
      <c r="Q313" t="n">
        <v>0</v>
      </c>
      <c r="R313" s="2" t="inlineStr"/>
    </row>
    <row r="314" ht="15" customHeight="1">
      <c r="A314" t="inlineStr">
        <is>
          <t>A 37035-2023</t>
        </is>
      </c>
      <c r="B314" s="1" t="n">
        <v>45155</v>
      </c>
      <c r="C314" s="1" t="n">
        <v>46035</v>
      </c>
      <c r="D314" t="inlineStr">
        <is>
          <t>UPPSALA LÄN</t>
        </is>
      </c>
      <c r="E314" t="inlineStr">
        <is>
          <t>ENKÖPING</t>
        </is>
      </c>
      <c r="G314" t="n">
        <v>1.2</v>
      </c>
      <c r="H314" t="n">
        <v>0</v>
      </c>
      <c r="I314" t="n">
        <v>0</v>
      </c>
      <c r="J314" t="n">
        <v>0</v>
      </c>
      <c r="K314" t="n">
        <v>0</v>
      </c>
      <c r="L314" t="n">
        <v>0</v>
      </c>
      <c r="M314" t="n">
        <v>0</v>
      </c>
      <c r="N314" t="n">
        <v>0</v>
      </c>
      <c r="O314" t="n">
        <v>0</v>
      </c>
      <c r="P314" t="n">
        <v>0</v>
      </c>
      <c r="Q314" t="n">
        <v>0</v>
      </c>
      <c r="R314" s="2" t="inlineStr"/>
    </row>
    <row r="315" ht="15" customHeight="1">
      <c r="A315" t="inlineStr">
        <is>
          <t>A 46186-2023</t>
        </is>
      </c>
      <c r="B315" s="1" t="n">
        <v>45196</v>
      </c>
      <c r="C315" s="1" t="n">
        <v>46035</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15162-2025</t>
        </is>
      </c>
      <c r="B316" s="1" t="n">
        <v>45744</v>
      </c>
      <c r="C316" s="1" t="n">
        <v>46035</v>
      </c>
      <c r="D316" t="inlineStr">
        <is>
          <t>UPPSALA LÄN</t>
        </is>
      </c>
      <c r="E316" t="inlineStr">
        <is>
          <t>ENKÖPING</t>
        </is>
      </c>
      <c r="G316" t="n">
        <v>4.2</v>
      </c>
      <c r="H316" t="n">
        <v>0</v>
      </c>
      <c r="I316" t="n">
        <v>0</v>
      </c>
      <c r="J316" t="n">
        <v>0</v>
      </c>
      <c r="K316" t="n">
        <v>0</v>
      </c>
      <c r="L316" t="n">
        <v>0</v>
      </c>
      <c r="M316" t="n">
        <v>0</v>
      </c>
      <c r="N316" t="n">
        <v>0</v>
      </c>
      <c r="O316" t="n">
        <v>0</v>
      </c>
      <c r="P316" t="n">
        <v>0</v>
      </c>
      <c r="Q316" t="n">
        <v>0</v>
      </c>
      <c r="R316" s="2" t="inlineStr"/>
    </row>
    <row r="317" ht="15" customHeight="1">
      <c r="A317" t="inlineStr">
        <is>
          <t>A 21017-2023</t>
        </is>
      </c>
      <c r="B317" s="1" t="n">
        <v>45061</v>
      </c>
      <c r="C317" s="1" t="n">
        <v>46035</v>
      </c>
      <c r="D317" t="inlineStr">
        <is>
          <t>UPPSALA LÄN</t>
        </is>
      </c>
      <c r="E317" t="inlineStr">
        <is>
          <t>ENKÖPING</t>
        </is>
      </c>
      <c r="G317" t="n">
        <v>4.8</v>
      </c>
      <c r="H317" t="n">
        <v>0</v>
      </c>
      <c r="I317" t="n">
        <v>0</v>
      </c>
      <c r="J317" t="n">
        <v>0</v>
      </c>
      <c r="K317" t="n">
        <v>0</v>
      </c>
      <c r="L317" t="n">
        <v>0</v>
      </c>
      <c r="M317" t="n">
        <v>0</v>
      </c>
      <c r="N317" t="n">
        <v>0</v>
      </c>
      <c r="O317" t="n">
        <v>0</v>
      </c>
      <c r="P317" t="n">
        <v>0</v>
      </c>
      <c r="Q317" t="n">
        <v>0</v>
      </c>
      <c r="R317" s="2" t="inlineStr"/>
    </row>
    <row r="318" ht="15" customHeight="1">
      <c r="A318" t="inlineStr">
        <is>
          <t>A 18299-2025</t>
        </is>
      </c>
      <c r="B318" s="1" t="n">
        <v>45762</v>
      </c>
      <c r="C318" s="1" t="n">
        <v>46035</v>
      </c>
      <c r="D318" t="inlineStr">
        <is>
          <t>UPPSALA LÄN</t>
        </is>
      </c>
      <c r="E318" t="inlineStr">
        <is>
          <t>ENKÖPING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6242-2025</t>
        </is>
      </c>
      <c r="B319" s="1" t="n">
        <v>45697</v>
      </c>
      <c r="C319" s="1" t="n">
        <v>46035</v>
      </c>
      <c r="D319" t="inlineStr">
        <is>
          <t>UPPSALA LÄN</t>
        </is>
      </c>
      <c r="E319" t="inlineStr">
        <is>
          <t>ENKÖPING</t>
        </is>
      </c>
      <c r="G319" t="n">
        <v>17.9</v>
      </c>
      <c r="H319" t="n">
        <v>0</v>
      </c>
      <c r="I319" t="n">
        <v>0</v>
      </c>
      <c r="J319" t="n">
        <v>0</v>
      </c>
      <c r="K319" t="n">
        <v>0</v>
      </c>
      <c r="L319" t="n">
        <v>0</v>
      </c>
      <c r="M319" t="n">
        <v>0</v>
      </c>
      <c r="N319" t="n">
        <v>0</v>
      </c>
      <c r="O319" t="n">
        <v>0</v>
      </c>
      <c r="P319" t="n">
        <v>0</v>
      </c>
      <c r="Q319" t="n">
        <v>0</v>
      </c>
      <c r="R319" s="2" t="inlineStr"/>
    </row>
    <row r="320" ht="15" customHeight="1">
      <c r="A320" t="inlineStr">
        <is>
          <t>A 6144-2024</t>
        </is>
      </c>
      <c r="B320" s="1" t="n">
        <v>45337.4684837963</v>
      </c>
      <c r="C320" s="1" t="n">
        <v>46035</v>
      </c>
      <c r="D320" t="inlineStr">
        <is>
          <t>UPPSALA LÄN</t>
        </is>
      </c>
      <c r="E320" t="inlineStr">
        <is>
          <t>ENKÖPING</t>
        </is>
      </c>
      <c r="G320" t="n">
        <v>13.8</v>
      </c>
      <c r="H320" t="n">
        <v>0</v>
      </c>
      <c r="I320" t="n">
        <v>0</v>
      </c>
      <c r="J320" t="n">
        <v>0</v>
      </c>
      <c r="K320" t="n">
        <v>0</v>
      </c>
      <c r="L320" t="n">
        <v>0</v>
      </c>
      <c r="M320" t="n">
        <v>0</v>
      </c>
      <c r="N320" t="n">
        <v>0</v>
      </c>
      <c r="O320" t="n">
        <v>0</v>
      </c>
      <c r="P320" t="n">
        <v>0</v>
      </c>
      <c r="Q320" t="n">
        <v>0</v>
      </c>
      <c r="R320" s="2" t="inlineStr"/>
    </row>
    <row r="321" ht="15" customHeight="1">
      <c r="A321" t="inlineStr">
        <is>
          <t>A 67984-2021</t>
        </is>
      </c>
      <c r="B321" s="1" t="n">
        <v>44525.70237268518</v>
      </c>
      <c r="C321" s="1" t="n">
        <v>46035</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56176-2021</t>
        </is>
      </c>
      <c r="B322" s="1" t="n">
        <v>44477</v>
      </c>
      <c r="C322" s="1" t="n">
        <v>46035</v>
      </c>
      <c r="D322" t="inlineStr">
        <is>
          <t>UPPSALA LÄN</t>
        </is>
      </c>
      <c r="E322" t="inlineStr">
        <is>
          <t>ENKÖPING</t>
        </is>
      </c>
      <c r="G322" t="n">
        <v>2.9</v>
      </c>
      <c r="H322" t="n">
        <v>0</v>
      </c>
      <c r="I322" t="n">
        <v>0</v>
      </c>
      <c r="J322" t="n">
        <v>0</v>
      </c>
      <c r="K322" t="n">
        <v>0</v>
      </c>
      <c r="L322" t="n">
        <v>0</v>
      </c>
      <c r="M322" t="n">
        <v>0</v>
      </c>
      <c r="N322" t="n">
        <v>0</v>
      </c>
      <c r="O322" t="n">
        <v>0</v>
      </c>
      <c r="P322" t="n">
        <v>0</v>
      </c>
      <c r="Q322" t="n">
        <v>0</v>
      </c>
      <c r="R322" s="2" t="inlineStr"/>
    </row>
    <row r="323" ht="15" customHeight="1">
      <c r="A323" t="inlineStr">
        <is>
          <t>A 18592-2021</t>
        </is>
      </c>
      <c r="B323" s="1" t="n">
        <v>44306</v>
      </c>
      <c r="C323" s="1" t="n">
        <v>46035</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61778-2025</t>
        </is>
      </c>
      <c r="B324" s="1" t="n">
        <v>46002.66555555556</v>
      </c>
      <c r="C324" s="1" t="n">
        <v>46035</v>
      </c>
      <c r="D324" t="inlineStr">
        <is>
          <t>UPPSALA LÄN</t>
        </is>
      </c>
      <c r="E324" t="inlineStr">
        <is>
          <t>ENKÖPING</t>
        </is>
      </c>
      <c r="G324" t="n">
        <v>3.2</v>
      </c>
      <c r="H324" t="n">
        <v>0</v>
      </c>
      <c r="I324" t="n">
        <v>0</v>
      </c>
      <c r="J324" t="n">
        <v>0</v>
      </c>
      <c r="K324" t="n">
        <v>0</v>
      </c>
      <c r="L324" t="n">
        <v>0</v>
      </c>
      <c r="M324" t="n">
        <v>0</v>
      </c>
      <c r="N324" t="n">
        <v>0</v>
      </c>
      <c r="O324" t="n">
        <v>0</v>
      </c>
      <c r="P324" t="n">
        <v>0</v>
      </c>
      <c r="Q324" t="n">
        <v>0</v>
      </c>
      <c r="R324" s="2" t="inlineStr"/>
    </row>
    <row r="325" ht="15" customHeight="1">
      <c r="A325" t="inlineStr">
        <is>
          <t>A 11918-2025</t>
        </is>
      </c>
      <c r="B325" s="1" t="n">
        <v>45728.49331018519</v>
      </c>
      <c r="C325" s="1" t="n">
        <v>46035</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61437-2025</t>
        </is>
      </c>
      <c r="B326" s="1" t="n">
        <v>46001.5659375</v>
      </c>
      <c r="C326" s="1" t="n">
        <v>46035</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60934-2025</t>
        </is>
      </c>
      <c r="B327" s="1" t="n">
        <v>45999</v>
      </c>
      <c r="C327" s="1" t="n">
        <v>46035</v>
      </c>
      <c r="D327" t="inlineStr">
        <is>
          <t>UPPSALA LÄN</t>
        </is>
      </c>
      <c r="E327" t="inlineStr">
        <is>
          <t>ENKÖPING</t>
        </is>
      </c>
      <c r="G327" t="n">
        <v>2.5</v>
      </c>
      <c r="H327" t="n">
        <v>0</v>
      </c>
      <c r="I327" t="n">
        <v>0</v>
      </c>
      <c r="J327" t="n">
        <v>0</v>
      </c>
      <c r="K327" t="n">
        <v>0</v>
      </c>
      <c r="L327" t="n">
        <v>0</v>
      </c>
      <c r="M327" t="n">
        <v>0</v>
      </c>
      <c r="N327" t="n">
        <v>0</v>
      </c>
      <c r="O327" t="n">
        <v>0</v>
      </c>
      <c r="P327" t="n">
        <v>0</v>
      </c>
      <c r="Q327" t="n">
        <v>0</v>
      </c>
      <c r="R327" s="2" t="inlineStr"/>
    </row>
    <row r="328" ht="15" customHeight="1">
      <c r="A328" t="inlineStr">
        <is>
          <t>A 43896-2022</t>
        </is>
      </c>
      <c r="B328" s="1" t="n">
        <v>44838</v>
      </c>
      <c r="C328" s="1" t="n">
        <v>46035</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20440-2025</t>
        </is>
      </c>
      <c r="B329" s="1" t="n">
        <v>45775</v>
      </c>
      <c r="C329" s="1" t="n">
        <v>46035</v>
      </c>
      <c r="D329" t="inlineStr">
        <is>
          <t>UPPSALA LÄN</t>
        </is>
      </c>
      <c r="E329" t="inlineStr">
        <is>
          <t>ENKÖPING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54263-2025</t>
        </is>
      </c>
      <c r="B330" s="1" t="n">
        <v>45964.66271990741</v>
      </c>
      <c r="C330" s="1" t="n">
        <v>46035</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2850-2025</t>
        </is>
      </c>
      <c r="B331" s="1" t="n">
        <v>45677</v>
      </c>
      <c r="C331" s="1" t="n">
        <v>46035</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41737-2022</t>
        </is>
      </c>
      <c r="B332" s="1" t="n">
        <v>44827.63826388889</v>
      </c>
      <c r="C332" s="1" t="n">
        <v>46035</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44473.58824074074</v>
      </c>
      <c r="C333" s="1" t="n">
        <v>46035</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22094-2023</t>
        </is>
      </c>
      <c r="B334" s="1" t="n">
        <v>45069</v>
      </c>
      <c r="C334" s="1" t="n">
        <v>46035</v>
      </c>
      <c r="D334" t="inlineStr">
        <is>
          <t>UPPSALA LÄN</t>
        </is>
      </c>
      <c r="E334" t="inlineStr">
        <is>
          <t>ENKÖPING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35647-2021</t>
        </is>
      </c>
      <c r="B335" s="1" t="n">
        <v>44386</v>
      </c>
      <c r="C335" s="1" t="n">
        <v>46035</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24962-2023</t>
        </is>
      </c>
      <c r="B336" s="1" t="n">
        <v>45085.60123842592</v>
      </c>
      <c r="C336" s="1" t="n">
        <v>46035</v>
      </c>
      <c r="D336" t="inlineStr">
        <is>
          <t>UPPSALA LÄN</t>
        </is>
      </c>
      <c r="E336" t="inlineStr">
        <is>
          <t>ENKÖPING</t>
        </is>
      </c>
      <c r="G336" t="n">
        <v>2.8</v>
      </c>
      <c r="H336" t="n">
        <v>0</v>
      </c>
      <c r="I336" t="n">
        <v>0</v>
      </c>
      <c r="J336" t="n">
        <v>0</v>
      </c>
      <c r="K336" t="n">
        <v>0</v>
      </c>
      <c r="L336" t="n">
        <v>0</v>
      </c>
      <c r="M336" t="n">
        <v>0</v>
      </c>
      <c r="N336" t="n">
        <v>0</v>
      </c>
      <c r="O336" t="n">
        <v>0</v>
      </c>
      <c r="P336" t="n">
        <v>0</v>
      </c>
      <c r="Q336" t="n">
        <v>0</v>
      </c>
      <c r="R336" s="2" t="inlineStr"/>
    </row>
    <row r="337" ht="15" customHeight="1">
      <c r="A337" t="inlineStr">
        <is>
          <t>A 62772-2025</t>
        </is>
      </c>
      <c r="B337" s="1" t="n">
        <v>46008.60365740741</v>
      </c>
      <c r="C337" s="1" t="n">
        <v>46035</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44131-2023</t>
        </is>
      </c>
      <c r="B338" s="1" t="n">
        <v>45188</v>
      </c>
      <c r="C338" s="1" t="n">
        <v>46035</v>
      </c>
      <c r="D338" t="inlineStr">
        <is>
          <t>UPPSALA LÄN</t>
        </is>
      </c>
      <c r="E338" t="inlineStr">
        <is>
          <t>ENKÖPING</t>
        </is>
      </c>
      <c r="G338" t="n">
        <v>0.3</v>
      </c>
      <c r="H338" t="n">
        <v>0</v>
      </c>
      <c r="I338" t="n">
        <v>0</v>
      </c>
      <c r="J338" t="n">
        <v>0</v>
      </c>
      <c r="K338" t="n">
        <v>0</v>
      </c>
      <c r="L338" t="n">
        <v>0</v>
      </c>
      <c r="M338" t="n">
        <v>0</v>
      </c>
      <c r="N338" t="n">
        <v>0</v>
      </c>
      <c r="O338" t="n">
        <v>0</v>
      </c>
      <c r="P338" t="n">
        <v>0</v>
      </c>
      <c r="Q338" t="n">
        <v>0</v>
      </c>
      <c r="R338" s="2" t="inlineStr"/>
    </row>
    <row r="339" ht="15" customHeight="1">
      <c r="A339" t="inlineStr">
        <is>
          <t>A 29482-2022</t>
        </is>
      </c>
      <c r="B339" s="1" t="n">
        <v>44753.57703703704</v>
      </c>
      <c r="C339" s="1" t="n">
        <v>46035</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29483-2022</t>
        </is>
      </c>
      <c r="B340" s="1" t="n">
        <v>44753.57829861111</v>
      </c>
      <c r="C340" s="1" t="n">
        <v>46035</v>
      </c>
      <c r="D340" t="inlineStr">
        <is>
          <t>UPPSALA LÄN</t>
        </is>
      </c>
      <c r="E340" t="inlineStr">
        <is>
          <t>ENKÖPING</t>
        </is>
      </c>
      <c r="G340" t="n">
        <v>3.6</v>
      </c>
      <c r="H340" t="n">
        <v>0</v>
      </c>
      <c r="I340" t="n">
        <v>0</v>
      </c>
      <c r="J340" t="n">
        <v>0</v>
      </c>
      <c r="K340" t="n">
        <v>0</v>
      </c>
      <c r="L340" t="n">
        <v>0</v>
      </c>
      <c r="M340" t="n">
        <v>0</v>
      </c>
      <c r="N340" t="n">
        <v>0</v>
      </c>
      <c r="O340" t="n">
        <v>0</v>
      </c>
      <c r="P340" t="n">
        <v>0</v>
      </c>
      <c r="Q340" t="n">
        <v>0</v>
      </c>
      <c r="R340" s="2" t="inlineStr"/>
    </row>
    <row r="341" ht="15" customHeight="1">
      <c r="A341" t="inlineStr">
        <is>
          <t>A 37170-2021</t>
        </is>
      </c>
      <c r="B341" s="1" t="n">
        <v>44395</v>
      </c>
      <c r="C341" s="1" t="n">
        <v>46035</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54844-2025</t>
        </is>
      </c>
      <c r="B342" s="1" t="n">
        <v>45966.69570601852</v>
      </c>
      <c r="C342" s="1" t="n">
        <v>46035</v>
      </c>
      <c r="D342" t="inlineStr">
        <is>
          <t>UPPSALA LÄN</t>
        </is>
      </c>
      <c r="E342" t="inlineStr">
        <is>
          <t>ENKÖPING</t>
        </is>
      </c>
      <c r="G342" t="n">
        <v>5.5</v>
      </c>
      <c r="H342" t="n">
        <v>0</v>
      </c>
      <c r="I342" t="n">
        <v>0</v>
      </c>
      <c r="J342" t="n">
        <v>0</v>
      </c>
      <c r="K342" t="n">
        <v>0</v>
      </c>
      <c r="L342" t="n">
        <v>0</v>
      </c>
      <c r="M342" t="n">
        <v>0</v>
      </c>
      <c r="N342" t="n">
        <v>0</v>
      </c>
      <c r="O342" t="n">
        <v>0</v>
      </c>
      <c r="P342" t="n">
        <v>0</v>
      </c>
      <c r="Q342" t="n">
        <v>0</v>
      </c>
      <c r="R342" s="2" t="inlineStr"/>
    </row>
    <row r="343" ht="15" customHeight="1">
      <c r="A343" t="inlineStr">
        <is>
          <t>A 54758-2025</t>
        </is>
      </c>
      <c r="B343" s="1" t="n">
        <v>45966.59737268519</v>
      </c>
      <c r="C343" s="1" t="n">
        <v>46035</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54541-2025</t>
        </is>
      </c>
      <c r="B344" s="1" t="n">
        <v>45965.64733796296</v>
      </c>
      <c r="C344" s="1" t="n">
        <v>46035</v>
      </c>
      <c r="D344" t="inlineStr">
        <is>
          <t>UPPSALA LÄN</t>
        </is>
      </c>
      <c r="E344" t="inlineStr">
        <is>
          <t>ENKÖPING</t>
        </is>
      </c>
      <c r="G344" t="n">
        <v>3.1</v>
      </c>
      <c r="H344" t="n">
        <v>0</v>
      </c>
      <c r="I344" t="n">
        <v>0</v>
      </c>
      <c r="J344" t="n">
        <v>0</v>
      </c>
      <c r="K344" t="n">
        <v>0</v>
      </c>
      <c r="L344" t="n">
        <v>0</v>
      </c>
      <c r="M344" t="n">
        <v>0</v>
      </c>
      <c r="N344" t="n">
        <v>0</v>
      </c>
      <c r="O344" t="n">
        <v>0</v>
      </c>
      <c r="P344" t="n">
        <v>0</v>
      </c>
      <c r="Q344" t="n">
        <v>0</v>
      </c>
      <c r="R344" s="2" t="inlineStr"/>
    </row>
    <row r="345" ht="15" customHeight="1">
      <c r="A345" t="inlineStr">
        <is>
          <t>A 62602-2025</t>
        </is>
      </c>
      <c r="B345" s="1" t="n">
        <v>46007.92581018519</v>
      </c>
      <c r="C345" s="1" t="n">
        <v>46035</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53496-2022</t>
        </is>
      </c>
      <c r="B346" s="1" t="n">
        <v>44879.57217592592</v>
      </c>
      <c r="C346" s="1" t="n">
        <v>46035</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62599-2025</t>
        </is>
      </c>
      <c r="B347" s="1" t="n">
        <v>46007.91961805556</v>
      </c>
      <c r="C347" s="1" t="n">
        <v>46035</v>
      </c>
      <c r="D347" t="inlineStr">
        <is>
          <t>UPPSALA LÄN</t>
        </is>
      </c>
      <c r="E347" t="inlineStr">
        <is>
          <t>ENKÖPING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62600-2025</t>
        </is>
      </c>
      <c r="B348" s="1" t="n">
        <v>46007.92175925926</v>
      </c>
      <c r="C348" s="1" t="n">
        <v>46035</v>
      </c>
      <c r="D348" t="inlineStr">
        <is>
          <t>UPPSALA LÄN</t>
        </is>
      </c>
      <c r="E348" t="inlineStr">
        <is>
          <t>ENKÖPING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62601-2025</t>
        </is>
      </c>
      <c r="B349" s="1" t="n">
        <v>46007.92395833333</v>
      </c>
      <c r="C349" s="1" t="n">
        <v>46035</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7870-2024</t>
        </is>
      </c>
      <c r="B350" s="1" t="n">
        <v>45350.33349537037</v>
      </c>
      <c r="C350" s="1" t="n">
        <v>46035</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28243-2023</t>
        </is>
      </c>
      <c r="B351" s="1" t="n">
        <v>45099.58885416666</v>
      </c>
      <c r="C351" s="1" t="n">
        <v>46035</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10829-2024</t>
        </is>
      </c>
      <c r="B352" s="1" t="n">
        <v>45369</v>
      </c>
      <c r="C352" s="1" t="n">
        <v>46035</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2161-2023</t>
        </is>
      </c>
      <c r="B353" s="1" t="n">
        <v>44941</v>
      </c>
      <c r="C353" s="1" t="n">
        <v>46035</v>
      </c>
      <c r="D353" t="inlineStr">
        <is>
          <t>UPPSALA LÄN</t>
        </is>
      </c>
      <c r="E353" t="inlineStr">
        <is>
          <t>ENKÖPING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2165-2023</t>
        </is>
      </c>
      <c r="B354" s="1" t="n">
        <v>44941</v>
      </c>
      <c r="C354" s="1" t="n">
        <v>46035</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8306-2021</t>
        </is>
      </c>
      <c r="B355" s="1" t="n">
        <v>44244</v>
      </c>
      <c r="C355" s="1" t="n">
        <v>46035</v>
      </c>
      <c r="D355" t="inlineStr">
        <is>
          <t>UPPSALA LÄN</t>
        </is>
      </c>
      <c r="E355" t="inlineStr">
        <is>
          <t>ENKÖPING</t>
        </is>
      </c>
      <c r="G355" t="n">
        <v>14.9</v>
      </c>
      <c r="H355" t="n">
        <v>0</v>
      </c>
      <c r="I355" t="n">
        <v>0</v>
      </c>
      <c r="J355" t="n">
        <v>0</v>
      </c>
      <c r="K355" t="n">
        <v>0</v>
      </c>
      <c r="L355" t="n">
        <v>0</v>
      </c>
      <c r="M355" t="n">
        <v>0</v>
      </c>
      <c r="N355" t="n">
        <v>0</v>
      </c>
      <c r="O355" t="n">
        <v>0</v>
      </c>
      <c r="P355" t="n">
        <v>0</v>
      </c>
      <c r="Q355" t="n">
        <v>0</v>
      </c>
      <c r="R355" s="2" t="inlineStr"/>
    </row>
    <row r="356" ht="15" customHeight="1">
      <c r="A356" t="inlineStr">
        <is>
          <t>A 61811-2025</t>
        </is>
      </c>
      <c r="B356" s="1" t="n">
        <v>46002.90059027778</v>
      </c>
      <c r="C356" s="1" t="n">
        <v>46035</v>
      </c>
      <c r="D356" t="inlineStr">
        <is>
          <t>UPPSALA LÄN</t>
        </is>
      </c>
      <c r="E356" t="inlineStr">
        <is>
          <t>ENKÖPING</t>
        </is>
      </c>
      <c r="F356" t="inlineStr">
        <is>
          <t>Allmännings- och besparingsskogar</t>
        </is>
      </c>
      <c r="G356" t="n">
        <v>4.7</v>
      </c>
      <c r="H356" t="n">
        <v>0</v>
      </c>
      <c r="I356" t="n">
        <v>0</v>
      </c>
      <c r="J356" t="n">
        <v>0</v>
      </c>
      <c r="K356" t="n">
        <v>0</v>
      </c>
      <c r="L356" t="n">
        <v>0</v>
      </c>
      <c r="M356" t="n">
        <v>0</v>
      </c>
      <c r="N356" t="n">
        <v>0</v>
      </c>
      <c r="O356" t="n">
        <v>0</v>
      </c>
      <c r="P356" t="n">
        <v>0</v>
      </c>
      <c r="Q356" t="n">
        <v>0</v>
      </c>
      <c r="R356" s="2" t="inlineStr"/>
    </row>
    <row r="357" ht="15" customHeight="1">
      <c r="A357" t="inlineStr">
        <is>
          <t>A 13853-2023</t>
        </is>
      </c>
      <c r="B357" s="1" t="n">
        <v>45007</v>
      </c>
      <c r="C357" s="1" t="n">
        <v>46035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61889-2025</t>
        </is>
      </c>
      <c r="B358" s="1" t="n">
        <v>46003.44765046296</v>
      </c>
      <c r="C358" s="1" t="n">
        <v>46035</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63310-2021</t>
        </is>
      </c>
      <c r="B359" s="1" t="n">
        <v>44508</v>
      </c>
      <c r="C359" s="1" t="n">
        <v>46035</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61106-2022</t>
        </is>
      </c>
      <c r="B360" s="1" t="n">
        <v>44915.4128587963</v>
      </c>
      <c r="C360" s="1" t="n">
        <v>46035</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55567-2025</t>
        </is>
      </c>
      <c r="B361" s="1" t="n">
        <v>45971.65589120371</v>
      </c>
      <c r="C361" s="1" t="n">
        <v>46035</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9171-2024</t>
        </is>
      </c>
      <c r="B362" s="1" t="n">
        <v>45358</v>
      </c>
      <c r="C362" s="1" t="n">
        <v>46035</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671-2022</t>
        </is>
      </c>
      <c r="B363" s="1" t="n">
        <v>44568</v>
      </c>
      <c r="C363" s="1" t="n">
        <v>46035</v>
      </c>
      <c r="D363" t="inlineStr">
        <is>
          <t>UPPSALA LÄN</t>
        </is>
      </c>
      <c r="E363" t="inlineStr">
        <is>
          <t>ENKÖPING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11005-2023</t>
        </is>
      </c>
      <c r="B364" s="1" t="n">
        <v>44991</v>
      </c>
      <c r="C364" s="1" t="n">
        <v>46035</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29918-2023</t>
        </is>
      </c>
      <c r="B365" s="1" t="n">
        <v>45099</v>
      </c>
      <c r="C365" s="1" t="n">
        <v>46035</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58384-2022</t>
        </is>
      </c>
      <c r="B366" s="1" t="n">
        <v>44901</v>
      </c>
      <c r="C366" s="1" t="n">
        <v>46035</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43016-2021</t>
        </is>
      </c>
      <c r="B367" s="1" t="n">
        <v>44431</v>
      </c>
      <c r="C367" s="1" t="n">
        <v>46035</v>
      </c>
      <c r="D367" t="inlineStr">
        <is>
          <t>UPPSALA LÄN</t>
        </is>
      </c>
      <c r="E367" t="inlineStr">
        <is>
          <t>ENKÖPING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15893-2024</t>
        </is>
      </c>
      <c r="B368" s="1" t="n">
        <v>45405</v>
      </c>
      <c r="C368" s="1" t="n">
        <v>46035</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33343-2024</t>
        </is>
      </c>
      <c r="B369" s="1" t="n">
        <v>45519</v>
      </c>
      <c r="C369" s="1" t="n">
        <v>46035</v>
      </c>
      <c r="D369" t="inlineStr">
        <is>
          <t>UPPSALA LÄN</t>
        </is>
      </c>
      <c r="E369" t="inlineStr">
        <is>
          <t>ENKÖPING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57142-2021</t>
        </is>
      </c>
      <c r="B370" s="1" t="n">
        <v>44482</v>
      </c>
      <c r="C370" s="1" t="n">
        <v>46035</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57153-2021</t>
        </is>
      </c>
      <c r="B371" s="1" t="n">
        <v>44482</v>
      </c>
      <c r="C371" s="1" t="n">
        <v>46035</v>
      </c>
      <c r="D371" t="inlineStr">
        <is>
          <t>UPPSALA LÄN</t>
        </is>
      </c>
      <c r="E371" t="inlineStr">
        <is>
          <t>ENKÖPING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5188-2022</t>
        </is>
      </c>
      <c r="B372" s="1" t="n">
        <v>44594.4471412037</v>
      </c>
      <c r="C372" s="1" t="n">
        <v>46035</v>
      </c>
      <c r="D372" t="inlineStr">
        <is>
          <t>UPPSALA LÄN</t>
        </is>
      </c>
      <c r="E372" t="inlineStr">
        <is>
          <t>ENKÖPING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19014-2025</t>
        </is>
      </c>
      <c r="B373" s="1" t="n">
        <v>45764.59631944444</v>
      </c>
      <c r="C373" s="1" t="n">
        <v>46035</v>
      </c>
      <c r="D373" t="inlineStr">
        <is>
          <t>UPPSALA LÄN</t>
        </is>
      </c>
      <c r="E373" t="inlineStr">
        <is>
          <t>ENKÖPING</t>
        </is>
      </c>
      <c r="G373" t="n">
        <v>0.2</v>
      </c>
      <c r="H373" t="n">
        <v>0</v>
      </c>
      <c r="I373" t="n">
        <v>0</v>
      </c>
      <c r="J373" t="n">
        <v>0</v>
      </c>
      <c r="K373" t="n">
        <v>0</v>
      </c>
      <c r="L373" t="n">
        <v>0</v>
      </c>
      <c r="M373" t="n">
        <v>0</v>
      </c>
      <c r="N373" t="n">
        <v>0</v>
      </c>
      <c r="O373" t="n">
        <v>0</v>
      </c>
      <c r="P373" t="n">
        <v>0</v>
      </c>
      <c r="Q373" t="n">
        <v>0</v>
      </c>
      <c r="R373" s="2" t="inlineStr"/>
    </row>
    <row r="374" ht="15" customHeight="1">
      <c r="A374" t="inlineStr">
        <is>
          <t>A 43691-2024</t>
        </is>
      </c>
      <c r="B374" s="1" t="n">
        <v>45569</v>
      </c>
      <c r="C374" s="1" t="n">
        <v>46035</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56625-2025</t>
        </is>
      </c>
      <c r="B375" s="1" t="n">
        <v>45975.60608796297</v>
      </c>
      <c r="C375" s="1" t="n">
        <v>46035</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57294-2025</t>
        </is>
      </c>
      <c r="B376" s="1" t="n">
        <v>45979</v>
      </c>
      <c r="C376" s="1" t="n">
        <v>46035</v>
      </c>
      <c r="D376" t="inlineStr">
        <is>
          <t>UPPSALA LÄN</t>
        </is>
      </c>
      <c r="E376" t="inlineStr">
        <is>
          <t>ENKÖPING</t>
        </is>
      </c>
      <c r="G376" t="n">
        <v>6.2</v>
      </c>
      <c r="H376" t="n">
        <v>0</v>
      </c>
      <c r="I376" t="n">
        <v>0</v>
      </c>
      <c r="J376" t="n">
        <v>0</v>
      </c>
      <c r="K376" t="n">
        <v>0</v>
      </c>
      <c r="L376" t="n">
        <v>0</v>
      </c>
      <c r="M376" t="n">
        <v>0</v>
      </c>
      <c r="N376" t="n">
        <v>0</v>
      </c>
      <c r="O376" t="n">
        <v>0</v>
      </c>
      <c r="P376" t="n">
        <v>0</v>
      </c>
      <c r="Q376" t="n">
        <v>0</v>
      </c>
      <c r="R376" s="2" t="inlineStr"/>
    </row>
    <row r="377" ht="15" customHeight="1">
      <c r="A377" t="inlineStr">
        <is>
          <t>A 19376-2024</t>
        </is>
      </c>
      <c r="B377" s="1" t="n">
        <v>45429</v>
      </c>
      <c r="C377" s="1" t="n">
        <v>46035</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33670-2024</t>
        </is>
      </c>
      <c r="B378" s="1" t="n">
        <v>45520</v>
      </c>
      <c r="C378" s="1" t="n">
        <v>46035</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19147-2024</t>
        </is>
      </c>
      <c r="B379" s="1" t="n">
        <v>45428</v>
      </c>
      <c r="C379" s="1" t="n">
        <v>46035</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58025-2025</t>
        </is>
      </c>
      <c r="B380" s="1" t="n">
        <v>45982</v>
      </c>
      <c r="C380" s="1" t="n">
        <v>46035</v>
      </c>
      <c r="D380" t="inlineStr">
        <is>
          <t>UPPSALA LÄN</t>
        </is>
      </c>
      <c r="E380" t="inlineStr">
        <is>
          <t>ENKÖPING</t>
        </is>
      </c>
      <c r="G380" t="n">
        <v>3.2</v>
      </c>
      <c r="H380" t="n">
        <v>0</v>
      </c>
      <c r="I380" t="n">
        <v>0</v>
      </c>
      <c r="J380" t="n">
        <v>0</v>
      </c>
      <c r="K380" t="n">
        <v>0</v>
      </c>
      <c r="L380" t="n">
        <v>0</v>
      </c>
      <c r="M380" t="n">
        <v>0</v>
      </c>
      <c r="N380" t="n">
        <v>0</v>
      </c>
      <c r="O380" t="n">
        <v>0</v>
      </c>
      <c r="P380" t="n">
        <v>0</v>
      </c>
      <c r="Q380" t="n">
        <v>0</v>
      </c>
      <c r="R380" s="2" t="inlineStr"/>
    </row>
    <row r="381" ht="15" customHeight="1">
      <c r="A381" t="inlineStr">
        <is>
          <t>A 67982-2021</t>
        </is>
      </c>
      <c r="B381" s="1" t="n">
        <v>44525</v>
      </c>
      <c r="C381" s="1" t="n">
        <v>46035</v>
      </c>
      <c r="D381" t="inlineStr">
        <is>
          <t>UPPSALA LÄN</t>
        </is>
      </c>
      <c r="E381" t="inlineStr">
        <is>
          <t>ENKÖPING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57835-2024</t>
        </is>
      </c>
      <c r="B382" s="1" t="n">
        <v>45631.39947916667</v>
      </c>
      <c r="C382" s="1" t="n">
        <v>46035</v>
      </c>
      <c r="D382" t="inlineStr">
        <is>
          <t>UPPSALA LÄN</t>
        </is>
      </c>
      <c r="E382" t="inlineStr">
        <is>
          <t>ENKÖPING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21612-2023</t>
        </is>
      </c>
      <c r="B383" s="1" t="n">
        <v>45063</v>
      </c>
      <c r="C383" s="1" t="n">
        <v>46035</v>
      </c>
      <c r="D383" t="inlineStr">
        <is>
          <t>UPPSALA LÄN</t>
        </is>
      </c>
      <c r="E383" t="inlineStr">
        <is>
          <t>ENKÖPING</t>
        </is>
      </c>
      <c r="F383" t="inlineStr">
        <is>
          <t>Allmännings- och besparingsskogar</t>
        </is>
      </c>
      <c r="G383" t="n">
        <v>1</v>
      </c>
      <c r="H383" t="n">
        <v>0</v>
      </c>
      <c r="I383" t="n">
        <v>0</v>
      </c>
      <c r="J383" t="n">
        <v>0</v>
      </c>
      <c r="K383" t="n">
        <v>0</v>
      </c>
      <c r="L383" t="n">
        <v>0</v>
      </c>
      <c r="M383" t="n">
        <v>0</v>
      </c>
      <c r="N383" t="n">
        <v>0</v>
      </c>
      <c r="O383" t="n">
        <v>0</v>
      </c>
      <c r="P383" t="n">
        <v>0</v>
      </c>
      <c r="Q383" t="n">
        <v>0</v>
      </c>
      <c r="R383" s="2" t="inlineStr"/>
    </row>
    <row r="384" ht="15" customHeight="1">
      <c r="A384" t="inlineStr">
        <is>
          <t>A 39624-2023</t>
        </is>
      </c>
      <c r="B384" s="1" t="n">
        <v>45164</v>
      </c>
      <c r="C384" s="1" t="n">
        <v>46035</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5892-2023</t>
        </is>
      </c>
      <c r="B385" s="1" t="n">
        <v>44963.64883101852</v>
      </c>
      <c r="C385" s="1" t="n">
        <v>46035</v>
      </c>
      <c r="D385" t="inlineStr">
        <is>
          <t>UPPSALA LÄN</t>
        </is>
      </c>
      <c r="E385" t="inlineStr">
        <is>
          <t>ENKÖPING</t>
        </is>
      </c>
      <c r="G385" t="n">
        <v>5.5</v>
      </c>
      <c r="H385" t="n">
        <v>0</v>
      </c>
      <c r="I385" t="n">
        <v>0</v>
      </c>
      <c r="J385" t="n">
        <v>0</v>
      </c>
      <c r="K385" t="n">
        <v>0</v>
      </c>
      <c r="L385" t="n">
        <v>0</v>
      </c>
      <c r="M385" t="n">
        <v>0</v>
      </c>
      <c r="N385" t="n">
        <v>0</v>
      </c>
      <c r="O385" t="n">
        <v>0</v>
      </c>
      <c r="P385" t="n">
        <v>0</v>
      </c>
      <c r="Q385" t="n">
        <v>0</v>
      </c>
      <c r="R385" s="2" t="inlineStr"/>
    </row>
    <row r="386" ht="15" customHeight="1">
      <c r="A386" t="inlineStr">
        <is>
          <t>A 39858-2024</t>
        </is>
      </c>
      <c r="B386" s="1" t="n">
        <v>45553</v>
      </c>
      <c r="C386" s="1" t="n">
        <v>46035</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192-2026</t>
        </is>
      </c>
      <c r="B387" s="1" t="n">
        <v>46025.76939814815</v>
      </c>
      <c r="C387" s="1" t="n">
        <v>46035</v>
      </c>
      <c r="D387" t="inlineStr">
        <is>
          <t>UPPSALA LÄN</t>
        </is>
      </c>
      <c r="E387" t="inlineStr">
        <is>
          <t>ENKÖPING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57188-2025</t>
        </is>
      </c>
      <c r="B388" s="1" t="n">
        <v>45979</v>
      </c>
      <c r="C388" s="1" t="n">
        <v>46035</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9957-2023</t>
        </is>
      </c>
      <c r="B389" s="1" t="n">
        <v>44978</v>
      </c>
      <c r="C389" s="1" t="n">
        <v>46035</v>
      </c>
      <c r="D389" t="inlineStr">
        <is>
          <t>UPPSALA LÄN</t>
        </is>
      </c>
      <c r="E389" t="inlineStr">
        <is>
          <t>ENKÖPING</t>
        </is>
      </c>
      <c r="G389" t="n">
        <v>5.9</v>
      </c>
      <c r="H389" t="n">
        <v>0</v>
      </c>
      <c r="I389" t="n">
        <v>0</v>
      </c>
      <c r="J389" t="n">
        <v>0</v>
      </c>
      <c r="K389" t="n">
        <v>0</v>
      </c>
      <c r="L389" t="n">
        <v>0</v>
      </c>
      <c r="M389" t="n">
        <v>0</v>
      </c>
      <c r="N389" t="n">
        <v>0</v>
      </c>
      <c r="O389" t="n">
        <v>0</v>
      </c>
      <c r="P389" t="n">
        <v>0</v>
      </c>
      <c r="Q389" t="n">
        <v>0</v>
      </c>
      <c r="R389" s="2" t="inlineStr"/>
    </row>
    <row r="390" ht="15" customHeight="1">
      <c r="A390" t="inlineStr">
        <is>
          <t>A 861-2026</t>
        </is>
      </c>
      <c r="B390" s="1" t="n">
        <v>46030</v>
      </c>
      <c r="C390" s="1" t="n">
        <v>46035</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60947-2025</t>
        </is>
      </c>
      <c r="B391" s="1" t="n">
        <v>45999</v>
      </c>
      <c r="C391" s="1" t="n">
        <v>46035</v>
      </c>
      <c r="D391" t="inlineStr">
        <is>
          <t>UPPSALA LÄN</t>
        </is>
      </c>
      <c r="E391" t="inlineStr">
        <is>
          <t>ENKÖPING</t>
        </is>
      </c>
      <c r="G391" t="n">
        <v>4</v>
      </c>
      <c r="H391" t="n">
        <v>0</v>
      </c>
      <c r="I391" t="n">
        <v>0</v>
      </c>
      <c r="J391" t="n">
        <v>0</v>
      </c>
      <c r="K391" t="n">
        <v>0</v>
      </c>
      <c r="L391" t="n">
        <v>0</v>
      </c>
      <c r="M391" t="n">
        <v>0</v>
      </c>
      <c r="N391" t="n">
        <v>0</v>
      </c>
      <c r="O391" t="n">
        <v>0</v>
      </c>
      <c r="P391" t="n">
        <v>0</v>
      </c>
      <c r="Q391" t="n">
        <v>0</v>
      </c>
      <c r="R391" s="2" t="inlineStr"/>
    </row>
    <row r="392" ht="15" customHeight="1">
      <c r="A392" t="inlineStr">
        <is>
          <t>A 8152-2022</t>
        </is>
      </c>
      <c r="B392" s="1" t="n">
        <v>44609</v>
      </c>
      <c r="C392" s="1" t="n">
        <v>46035</v>
      </c>
      <c r="D392" t="inlineStr">
        <is>
          <t>UPPSALA LÄN</t>
        </is>
      </c>
      <c r="E392" t="inlineStr">
        <is>
          <t>ENKÖPING</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60848-2025</t>
        </is>
      </c>
      <c r="B393" s="1" t="n">
        <v>45999</v>
      </c>
      <c r="C393" s="1" t="n">
        <v>46035</v>
      </c>
      <c r="D393" t="inlineStr">
        <is>
          <t>UPPSALA LÄN</t>
        </is>
      </c>
      <c r="E393" t="inlineStr">
        <is>
          <t>ENKÖPING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17657-2025</t>
        </is>
      </c>
      <c r="B394" s="1" t="n">
        <v>45758.35006944444</v>
      </c>
      <c r="C394" s="1" t="n">
        <v>46035</v>
      </c>
      <c r="D394" t="inlineStr">
        <is>
          <t>UPPSALA LÄN</t>
        </is>
      </c>
      <c r="E394" t="inlineStr">
        <is>
          <t>ENKÖPING</t>
        </is>
      </c>
      <c r="G394" t="n">
        <v>3</v>
      </c>
      <c r="H394" t="n">
        <v>0</v>
      </c>
      <c r="I394" t="n">
        <v>0</v>
      </c>
      <c r="J394" t="n">
        <v>0</v>
      </c>
      <c r="K394" t="n">
        <v>0</v>
      </c>
      <c r="L394" t="n">
        <v>0</v>
      </c>
      <c r="M394" t="n">
        <v>0</v>
      </c>
      <c r="N394" t="n">
        <v>0</v>
      </c>
      <c r="O394" t="n">
        <v>0</v>
      </c>
      <c r="P394" t="n">
        <v>0</v>
      </c>
      <c r="Q394" t="n">
        <v>0</v>
      </c>
      <c r="R394" s="2" t="inlineStr"/>
    </row>
    <row r="395" ht="15" customHeight="1">
      <c r="A395" t="inlineStr">
        <is>
          <t>A 63128-2025</t>
        </is>
      </c>
      <c r="B395" s="1" t="n">
        <v>46009</v>
      </c>
      <c r="C395" s="1" t="n">
        <v>46035</v>
      </c>
      <c r="D395" t="inlineStr">
        <is>
          <t>UPPSALA LÄN</t>
        </is>
      </c>
      <c r="E395" t="inlineStr">
        <is>
          <t>ENKÖPING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15939-2022</t>
        </is>
      </c>
      <c r="B396" s="1" t="n">
        <v>44664</v>
      </c>
      <c r="C396" s="1" t="n">
        <v>46035</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50394-2024</t>
        </is>
      </c>
      <c r="B397" s="1" t="n">
        <v>45600</v>
      </c>
      <c r="C397" s="1" t="n">
        <v>46035</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59668-2025</t>
        </is>
      </c>
      <c r="B398" s="1" t="n">
        <v>45992.45567129629</v>
      </c>
      <c r="C398" s="1" t="n">
        <v>46035</v>
      </c>
      <c r="D398" t="inlineStr">
        <is>
          <t>UPPSALA LÄN</t>
        </is>
      </c>
      <c r="E398" t="inlineStr">
        <is>
          <t>ENKÖPING</t>
        </is>
      </c>
      <c r="G398" t="n">
        <v>3.3</v>
      </c>
      <c r="H398" t="n">
        <v>0</v>
      </c>
      <c r="I398" t="n">
        <v>0</v>
      </c>
      <c r="J398" t="n">
        <v>0</v>
      </c>
      <c r="K398" t="n">
        <v>0</v>
      </c>
      <c r="L398" t="n">
        <v>0</v>
      </c>
      <c r="M398" t="n">
        <v>0</v>
      </c>
      <c r="N398" t="n">
        <v>0</v>
      </c>
      <c r="O398" t="n">
        <v>0</v>
      </c>
      <c r="P398" t="n">
        <v>0</v>
      </c>
      <c r="Q398" t="n">
        <v>0</v>
      </c>
      <c r="R398" s="2" t="inlineStr"/>
    </row>
    <row r="399" ht="15" customHeight="1">
      <c r="A399" t="inlineStr">
        <is>
          <t>A 72840-2021</t>
        </is>
      </c>
      <c r="B399" s="1" t="n">
        <v>44547</v>
      </c>
      <c r="C399" s="1" t="n">
        <v>46035</v>
      </c>
      <c r="D399" t="inlineStr">
        <is>
          <t>UPPSALA LÄN</t>
        </is>
      </c>
      <c r="E399" t="inlineStr">
        <is>
          <t>ENKÖPING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37870-2023</t>
        </is>
      </c>
      <c r="B400" s="1" t="n">
        <v>45160.41996527778</v>
      </c>
      <c r="C400" s="1" t="n">
        <v>46035</v>
      </c>
      <c r="D400" t="inlineStr">
        <is>
          <t>UPPSALA LÄN</t>
        </is>
      </c>
      <c r="E400" t="inlineStr">
        <is>
          <t>ENKÖPING</t>
        </is>
      </c>
      <c r="G400" t="n">
        <v>3.5</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44603.59520833333</v>
      </c>
      <c r="C401" s="1" t="n">
        <v>46035</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49063-2024</t>
        </is>
      </c>
      <c r="B402" s="1" t="n">
        <v>45594.59869212963</v>
      </c>
      <c r="C402" s="1" t="n">
        <v>46035</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14083-2025</t>
        </is>
      </c>
      <c r="B403" s="1" t="n">
        <v>45740</v>
      </c>
      <c r="C403" s="1" t="n">
        <v>46035</v>
      </c>
      <c r="D403" t="inlineStr">
        <is>
          <t>UPPSALA LÄN</t>
        </is>
      </c>
      <c r="E403" t="inlineStr">
        <is>
          <t>ENKÖPING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19298-2023</t>
        </is>
      </c>
      <c r="B404" s="1" t="n">
        <v>45048</v>
      </c>
      <c r="C404" s="1" t="n">
        <v>46035</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15409-2025</t>
        </is>
      </c>
      <c r="B405" s="1" t="n">
        <v>45747</v>
      </c>
      <c r="C405" s="1" t="n">
        <v>46035</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34617-2022</t>
        </is>
      </c>
      <c r="B406" s="1" t="n">
        <v>44795</v>
      </c>
      <c r="C406" s="1" t="n">
        <v>46035</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40202-2024</t>
        </is>
      </c>
      <c r="B407" s="1" t="n">
        <v>45554</v>
      </c>
      <c r="C407" s="1" t="n">
        <v>46035</v>
      </c>
      <c r="D407" t="inlineStr">
        <is>
          <t>UPPSALA LÄN</t>
        </is>
      </c>
      <c r="E407" t="inlineStr">
        <is>
          <t>ENKÖPING</t>
        </is>
      </c>
      <c r="G407" t="n">
        <v>6.2</v>
      </c>
      <c r="H407" t="n">
        <v>0</v>
      </c>
      <c r="I407" t="n">
        <v>0</v>
      </c>
      <c r="J407" t="n">
        <v>0</v>
      </c>
      <c r="K407" t="n">
        <v>0</v>
      </c>
      <c r="L407" t="n">
        <v>0</v>
      </c>
      <c r="M407" t="n">
        <v>0</v>
      </c>
      <c r="N407" t="n">
        <v>0</v>
      </c>
      <c r="O407" t="n">
        <v>0</v>
      </c>
      <c r="P407" t="n">
        <v>0</v>
      </c>
      <c r="Q407" t="n">
        <v>0</v>
      </c>
      <c r="R407" s="2" t="inlineStr"/>
    </row>
    <row r="408" ht="15" customHeight="1">
      <c r="A408" t="inlineStr">
        <is>
          <t>A 40223-2024</t>
        </is>
      </c>
      <c r="B408" s="1" t="n">
        <v>45554</v>
      </c>
      <c r="C408" s="1" t="n">
        <v>46035</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69879-2021</t>
        </is>
      </c>
      <c r="B409" s="1" t="n">
        <v>44532</v>
      </c>
      <c r="C409" s="1" t="n">
        <v>46035</v>
      </c>
      <c r="D409" t="inlineStr">
        <is>
          <t>UPPSALA LÄN</t>
        </is>
      </c>
      <c r="E409" t="inlineStr">
        <is>
          <t>ENKÖPING</t>
        </is>
      </c>
      <c r="G409" t="n">
        <v>4.2</v>
      </c>
      <c r="H409" t="n">
        <v>0</v>
      </c>
      <c r="I409" t="n">
        <v>0</v>
      </c>
      <c r="J409" t="n">
        <v>0</v>
      </c>
      <c r="K409" t="n">
        <v>0</v>
      </c>
      <c r="L409" t="n">
        <v>0</v>
      </c>
      <c r="M409" t="n">
        <v>0</v>
      </c>
      <c r="N409" t="n">
        <v>0</v>
      </c>
      <c r="O409" t="n">
        <v>0</v>
      </c>
      <c r="P409" t="n">
        <v>0</v>
      </c>
      <c r="Q409" t="n">
        <v>0</v>
      </c>
      <c r="R409" s="2" t="inlineStr"/>
    </row>
    <row r="410" ht="15" customHeight="1">
      <c r="A410" t="inlineStr">
        <is>
          <t>A 19013-2025</t>
        </is>
      </c>
      <c r="B410" s="1" t="n">
        <v>45764.59533564815</v>
      </c>
      <c r="C410" s="1" t="n">
        <v>46035</v>
      </c>
      <c r="D410" t="inlineStr">
        <is>
          <t>UPPSALA LÄN</t>
        </is>
      </c>
      <c r="E410" t="inlineStr">
        <is>
          <t>ENKÖPING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57335-2024</t>
        </is>
      </c>
      <c r="B411" s="1" t="n">
        <v>45629.63302083333</v>
      </c>
      <c r="C411" s="1" t="n">
        <v>46035</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23301-2024</t>
        </is>
      </c>
      <c r="B412" s="1" t="n">
        <v>45453.4396412037</v>
      </c>
      <c r="C412" s="1" t="n">
        <v>46035</v>
      </c>
      <c r="D412" t="inlineStr">
        <is>
          <t>UPPSALA LÄN</t>
        </is>
      </c>
      <c r="E412" t="inlineStr">
        <is>
          <t>ENKÖPING</t>
        </is>
      </c>
      <c r="G412" t="n">
        <v>4.3</v>
      </c>
      <c r="H412" t="n">
        <v>0</v>
      </c>
      <c r="I412" t="n">
        <v>0</v>
      </c>
      <c r="J412" t="n">
        <v>0</v>
      </c>
      <c r="K412" t="n">
        <v>0</v>
      </c>
      <c r="L412" t="n">
        <v>0</v>
      </c>
      <c r="M412" t="n">
        <v>0</v>
      </c>
      <c r="N412" t="n">
        <v>0</v>
      </c>
      <c r="O412" t="n">
        <v>0</v>
      </c>
      <c r="P412" t="n">
        <v>0</v>
      </c>
      <c r="Q412" t="n">
        <v>0</v>
      </c>
      <c r="R412" s="2" t="inlineStr"/>
    </row>
    <row r="413" ht="15" customHeight="1">
      <c r="A413" t="inlineStr">
        <is>
          <t>A 2833-2025</t>
        </is>
      </c>
      <c r="B413" s="1" t="n">
        <v>45677.63206018518</v>
      </c>
      <c r="C413" s="1" t="n">
        <v>46035</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33619-2022</t>
        </is>
      </c>
      <c r="B414" s="1" t="n">
        <v>44789</v>
      </c>
      <c r="C414" s="1" t="n">
        <v>46035</v>
      </c>
      <c r="D414" t="inlineStr">
        <is>
          <t>UPPSALA LÄN</t>
        </is>
      </c>
      <c r="E414" t="inlineStr">
        <is>
          <t>ENKÖPING</t>
        </is>
      </c>
      <c r="F414" t="inlineStr">
        <is>
          <t>Allmännings- och besparingsskogar</t>
        </is>
      </c>
      <c r="G414" t="n">
        <v>4.5</v>
      </c>
      <c r="H414" t="n">
        <v>0</v>
      </c>
      <c r="I414" t="n">
        <v>0</v>
      </c>
      <c r="J414" t="n">
        <v>0</v>
      </c>
      <c r="K414" t="n">
        <v>0</v>
      </c>
      <c r="L414" t="n">
        <v>0</v>
      </c>
      <c r="M414" t="n">
        <v>0</v>
      </c>
      <c r="N414" t="n">
        <v>0</v>
      </c>
      <c r="O414" t="n">
        <v>0</v>
      </c>
      <c r="P414" t="n">
        <v>0</v>
      </c>
      <c r="Q414" t="n">
        <v>0</v>
      </c>
      <c r="R414" s="2" t="inlineStr"/>
    </row>
    <row r="415" ht="15" customHeight="1">
      <c r="A415" t="inlineStr">
        <is>
          <t>A 31604-2023</t>
        </is>
      </c>
      <c r="B415" s="1" t="n">
        <v>45117.50368055556</v>
      </c>
      <c r="C415" s="1" t="n">
        <v>46035</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59602-2024</t>
        </is>
      </c>
      <c r="B416" s="1" t="n">
        <v>45638</v>
      </c>
      <c r="C416" s="1" t="n">
        <v>46035</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14243-2025</t>
        </is>
      </c>
      <c r="B417" s="1" t="n">
        <v>45740.61288194444</v>
      </c>
      <c r="C417" s="1" t="n">
        <v>46035</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19488-2022</t>
        </is>
      </c>
      <c r="B418" s="1" t="n">
        <v>44693</v>
      </c>
      <c r="C418" s="1" t="n">
        <v>46035</v>
      </c>
      <c r="D418" t="inlineStr">
        <is>
          <t>UPPSALA LÄN</t>
        </is>
      </c>
      <c r="E418" t="inlineStr">
        <is>
          <t>ENKÖPING</t>
        </is>
      </c>
      <c r="G418" t="n">
        <v>7.8</v>
      </c>
      <c r="H418" t="n">
        <v>0</v>
      </c>
      <c r="I418" t="n">
        <v>0</v>
      </c>
      <c r="J418" t="n">
        <v>0</v>
      </c>
      <c r="K418" t="n">
        <v>0</v>
      </c>
      <c r="L418" t="n">
        <v>0</v>
      </c>
      <c r="M418" t="n">
        <v>0</v>
      </c>
      <c r="N418" t="n">
        <v>0</v>
      </c>
      <c r="O418" t="n">
        <v>0</v>
      </c>
      <c r="P418" t="n">
        <v>0</v>
      </c>
      <c r="Q418" t="n">
        <v>0</v>
      </c>
      <c r="R418" s="2" t="inlineStr"/>
    </row>
    <row r="419" ht="15" customHeight="1">
      <c r="A419" t="inlineStr">
        <is>
          <t>A 41826-2024</t>
        </is>
      </c>
      <c r="B419" s="1" t="n">
        <v>45561</v>
      </c>
      <c r="C419" s="1" t="n">
        <v>46035</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16916-2022</t>
        </is>
      </c>
      <c r="B420" s="1" t="n">
        <v>44676</v>
      </c>
      <c r="C420" s="1" t="n">
        <v>46035</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44115-2024</t>
        </is>
      </c>
      <c r="B421" s="1" t="n">
        <v>45572</v>
      </c>
      <c r="C421" s="1" t="n">
        <v>46035</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30634-2022</t>
        </is>
      </c>
      <c r="B422" s="1" t="n">
        <v>44763.45711805556</v>
      </c>
      <c r="C422" s="1" t="n">
        <v>46035</v>
      </c>
      <c r="D422" t="inlineStr">
        <is>
          <t>UPPSALA LÄN</t>
        </is>
      </c>
      <c r="E422" t="inlineStr">
        <is>
          <t>ENKÖPING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3300-2025</t>
        </is>
      </c>
      <c r="B423" s="1" t="n">
        <v>45679</v>
      </c>
      <c r="C423" s="1" t="n">
        <v>46035</v>
      </c>
      <c r="D423" t="inlineStr">
        <is>
          <t>UPPSALA LÄN</t>
        </is>
      </c>
      <c r="E423" t="inlineStr">
        <is>
          <t>ENKÖPING</t>
        </is>
      </c>
      <c r="G423" t="n">
        <v>8.9</v>
      </c>
      <c r="H423" t="n">
        <v>0</v>
      </c>
      <c r="I423" t="n">
        <v>0</v>
      </c>
      <c r="J423" t="n">
        <v>0</v>
      </c>
      <c r="K423" t="n">
        <v>0</v>
      </c>
      <c r="L423" t="n">
        <v>0</v>
      </c>
      <c r="M423" t="n">
        <v>0</v>
      </c>
      <c r="N423" t="n">
        <v>0</v>
      </c>
      <c r="O423" t="n">
        <v>0</v>
      </c>
      <c r="P423" t="n">
        <v>0</v>
      </c>
      <c r="Q423" t="n">
        <v>0</v>
      </c>
      <c r="R423" s="2" t="inlineStr"/>
    </row>
    <row r="424" ht="15" customHeight="1">
      <c r="A424" t="inlineStr">
        <is>
          <t>A 51120-2023</t>
        </is>
      </c>
      <c r="B424" s="1" t="n">
        <v>45219.3088425926</v>
      </c>
      <c r="C424" s="1" t="n">
        <v>46035</v>
      </c>
      <c r="D424" t="inlineStr">
        <is>
          <t>UPPSALA LÄN</t>
        </is>
      </c>
      <c r="E424" t="inlineStr">
        <is>
          <t>ENKÖPING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26319-2022</t>
        </is>
      </c>
      <c r="B425" s="1" t="n">
        <v>44735</v>
      </c>
      <c r="C425" s="1" t="n">
        <v>46035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54357-2023</t>
        </is>
      </c>
      <c r="B426" s="1" t="n">
        <v>45225</v>
      </c>
      <c r="C426" s="1" t="n">
        <v>46035</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4203-2021</t>
        </is>
      </c>
      <c r="B427" s="1" t="n">
        <v>44223</v>
      </c>
      <c r="C427" s="1" t="n">
        <v>46035</v>
      </c>
      <c r="D427" t="inlineStr">
        <is>
          <t>UPPSALA LÄN</t>
        </is>
      </c>
      <c r="E427" t="inlineStr">
        <is>
          <t>ENKÖPING</t>
        </is>
      </c>
      <c r="G427" t="n">
        <v>11.6</v>
      </c>
      <c r="H427" t="n">
        <v>0</v>
      </c>
      <c r="I427" t="n">
        <v>0</v>
      </c>
      <c r="J427" t="n">
        <v>0</v>
      </c>
      <c r="K427" t="n">
        <v>0</v>
      </c>
      <c r="L427" t="n">
        <v>0</v>
      </c>
      <c r="M427" t="n">
        <v>0</v>
      </c>
      <c r="N427" t="n">
        <v>0</v>
      </c>
      <c r="O427" t="n">
        <v>0</v>
      </c>
      <c r="P427" t="n">
        <v>0</v>
      </c>
      <c r="Q427" t="n">
        <v>0</v>
      </c>
      <c r="R427" s="2" t="inlineStr"/>
    </row>
    <row r="428" ht="15" customHeight="1">
      <c r="A428" t="inlineStr">
        <is>
          <t>A 13816-2021</t>
        </is>
      </c>
      <c r="B428" s="1" t="n">
        <v>44276</v>
      </c>
      <c r="C428" s="1" t="n">
        <v>46035</v>
      </c>
      <c r="D428" t="inlineStr">
        <is>
          <t>UPPSALA LÄN</t>
        </is>
      </c>
      <c r="E428" t="inlineStr">
        <is>
          <t>ENKÖPING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63402-2023</t>
        </is>
      </c>
      <c r="B429" s="1" t="n">
        <v>45274.50646990741</v>
      </c>
      <c r="C429" s="1" t="n">
        <v>46035</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53208-2023</t>
        </is>
      </c>
      <c r="B430" s="1" t="n">
        <v>45226</v>
      </c>
      <c r="C430" s="1" t="n">
        <v>46035</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18259-2025</t>
        </is>
      </c>
      <c r="B431" s="1" t="n">
        <v>45762</v>
      </c>
      <c r="C431" s="1" t="n">
        <v>46035</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62158-2023</t>
        </is>
      </c>
      <c r="B432" s="1" t="n">
        <v>45267</v>
      </c>
      <c r="C432" s="1" t="n">
        <v>46035</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60874-2023</t>
        </is>
      </c>
      <c r="B433" s="1" t="n">
        <v>45261.06280092592</v>
      </c>
      <c r="C433" s="1" t="n">
        <v>46035</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3550-2023</t>
        </is>
      </c>
      <c r="B434" s="1" t="n">
        <v>44950</v>
      </c>
      <c r="C434" s="1" t="n">
        <v>46035</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46035</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61207-2023</t>
        </is>
      </c>
      <c r="B436" s="1" t="n">
        <v>45264.39444444444</v>
      </c>
      <c r="C436" s="1" t="n">
        <v>46035</v>
      </c>
      <c r="D436" t="inlineStr">
        <is>
          <t>UPPSALA LÄN</t>
        </is>
      </c>
      <c r="E436" t="inlineStr">
        <is>
          <t>ENKÖPING</t>
        </is>
      </c>
      <c r="G436" t="n">
        <v>10.8</v>
      </c>
      <c r="H436" t="n">
        <v>0</v>
      </c>
      <c r="I436" t="n">
        <v>0</v>
      </c>
      <c r="J436" t="n">
        <v>0</v>
      </c>
      <c r="K436" t="n">
        <v>0</v>
      </c>
      <c r="L436" t="n">
        <v>0</v>
      </c>
      <c r="M436" t="n">
        <v>0</v>
      </c>
      <c r="N436" t="n">
        <v>0</v>
      </c>
      <c r="O436" t="n">
        <v>0</v>
      </c>
      <c r="P436" t="n">
        <v>0</v>
      </c>
      <c r="Q436" t="n">
        <v>0</v>
      </c>
      <c r="R436" s="2" t="inlineStr"/>
    </row>
    <row r="437" ht="15" customHeight="1">
      <c r="A437" t="inlineStr">
        <is>
          <t>A 840-2025</t>
        </is>
      </c>
      <c r="B437" s="1" t="n">
        <v>45665</v>
      </c>
      <c r="C437" s="1" t="n">
        <v>46035</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10458-2022</t>
        </is>
      </c>
      <c r="B438" s="1" t="n">
        <v>44623.56711805556</v>
      </c>
      <c r="C438" s="1" t="n">
        <v>46035</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45142-2023</t>
        </is>
      </c>
      <c r="B439" s="1" t="n">
        <v>45191.4702662037</v>
      </c>
      <c r="C439" s="1" t="n">
        <v>46035</v>
      </c>
      <c r="D439" t="inlineStr">
        <is>
          <t>UPPSALA LÄN</t>
        </is>
      </c>
      <c r="E439" t="inlineStr">
        <is>
          <t>ENKÖPING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57998-2024</t>
        </is>
      </c>
      <c r="B440" s="1" t="n">
        <v>45631</v>
      </c>
      <c r="C440" s="1" t="n">
        <v>46035</v>
      </c>
      <c r="D440" t="inlineStr">
        <is>
          <t>UPPSALA LÄN</t>
        </is>
      </c>
      <c r="E440" t="inlineStr">
        <is>
          <t>ENKÖPING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14332-2024</t>
        </is>
      </c>
      <c r="B441" s="1" t="n">
        <v>45393</v>
      </c>
      <c r="C441" s="1" t="n">
        <v>46035</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18831-2023</t>
        </is>
      </c>
      <c r="B442" s="1" t="n">
        <v>45044.40798611111</v>
      </c>
      <c r="C442" s="1" t="n">
        <v>46035</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33581-2023</t>
        </is>
      </c>
      <c r="B443" s="1" t="n">
        <v>45131</v>
      </c>
      <c r="C443" s="1" t="n">
        <v>46035</v>
      </c>
      <c r="D443" t="inlineStr">
        <is>
          <t>UPPSALA LÄN</t>
        </is>
      </c>
      <c r="E443" t="inlineStr">
        <is>
          <t>ENKÖPING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37115-2024</t>
        </is>
      </c>
      <c r="B444" s="1" t="n">
        <v>45539</v>
      </c>
      <c r="C444" s="1" t="n">
        <v>46035</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6147-2021</t>
        </is>
      </c>
      <c r="B445" s="1" t="n">
        <v>44232</v>
      </c>
      <c r="C445" s="1" t="n">
        <v>46035</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1960-2022</t>
        </is>
      </c>
      <c r="B446" s="1" t="n">
        <v>44575</v>
      </c>
      <c r="C446" s="1" t="n">
        <v>46035</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18028-2023</t>
        </is>
      </c>
      <c r="B447" s="1" t="n">
        <v>45040</v>
      </c>
      <c r="C447" s="1" t="n">
        <v>46035</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49568-2022</t>
        </is>
      </c>
      <c r="B448" s="1" t="n">
        <v>44862.32791666667</v>
      </c>
      <c r="C448" s="1" t="n">
        <v>46035</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42459-2024</t>
        </is>
      </c>
      <c r="B449" s="1" t="n">
        <v>45565</v>
      </c>
      <c r="C449" s="1" t="n">
        <v>46035</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48864-2022</t>
        </is>
      </c>
      <c r="B450" s="1" t="n">
        <v>44859</v>
      </c>
      <c r="C450" s="1" t="n">
        <v>46035</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31622-2022</t>
        </is>
      </c>
      <c r="B451" s="1" t="n">
        <v>44775</v>
      </c>
      <c r="C451" s="1" t="n">
        <v>46035</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6356-2022</t>
        </is>
      </c>
      <c r="B452" s="1" t="n">
        <v>44600</v>
      </c>
      <c r="C452" s="1" t="n">
        <v>46035</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57147-2021</t>
        </is>
      </c>
      <c r="B453" s="1" t="n">
        <v>44482</v>
      </c>
      <c r="C453" s="1" t="n">
        <v>46035</v>
      </c>
      <c r="D453" t="inlineStr">
        <is>
          <t>UPPSALA LÄN</t>
        </is>
      </c>
      <c r="E453" t="inlineStr">
        <is>
          <t>ENKÖPING</t>
        </is>
      </c>
      <c r="G453" t="n">
        <v>5.7</v>
      </c>
      <c r="H453" t="n">
        <v>0</v>
      </c>
      <c r="I453" t="n">
        <v>0</v>
      </c>
      <c r="J453" t="n">
        <v>0</v>
      </c>
      <c r="K453" t="n">
        <v>0</v>
      </c>
      <c r="L453" t="n">
        <v>0</v>
      </c>
      <c r="M453" t="n">
        <v>0</v>
      </c>
      <c r="N453" t="n">
        <v>0</v>
      </c>
      <c r="O453" t="n">
        <v>0</v>
      </c>
      <c r="P453" t="n">
        <v>0</v>
      </c>
      <c r="Q453" t="n">
        <v>0</v>
      </c>
      <c r="R453" s="2" t="inlineStr"/>
    </row>
    <row r="454" ht="15" customHeight="1">
      <c r="A454" t="inlineStr">
        <is>
          <t>A 47909-2024</t>
        </is>
      </c>
      <c r="B454" s="1" t="n">
        <v>45589.31866898148</v>
      </c>
      <c r="C454" s="1" t="n">
        <v>46035</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6157-2021</t>
        </is>
      </c>
      <c r="B455" s="1" t="n">
        <v>44232</v>
      </c>
      <c r="C455" s="1" t="n">
        <v>46035</v>
      </c>
      <c r="D455" t="inlineStr">
        <is>
          <t>UPPSALA LÄN</t>
        </is>
      </c>
      <c r="E455" t="inlineStr">
        <is>
          <t>ENKÖPING</t>
        </is>
      </c>
      <c r="G455" t="n">
        <v>3.9</v>
      </c>
      <c r="H455" t="n">
        <v>0</v>
      </c>
      <c r="I455" t="n">
        <v>0</v>
      </c>
      <c r="J455" t="n">
        <v>0</v>
      </c>
      <c r="K455" t="n">
        <v>0</v>
      </c>
      <c r="L455" t="n">
        <v>0</v>
      </c>
      <c r="M455" t="n">
        <v>0</v>
      </c>
      <c r="N455" t="n">
        <v>0</v>
      </c>
      <c r="O455" t="n">
        <v>0</v>
      </c>
      <c r="P455" t="n">
        <v>0</v>
      </c>
      <c r="Q455" t="n">
        <v>0</v>
      </c>
      <c r="R455" s="2" t="inlineStr"/>
    </row>
    <row r="456" ht="15" customHeight="1">
      <c r="A456" t="inlineStr">
        <is>
          <t>A 52005-2024</t>
        </is>
      </c>
      <c r="B456" s="1" t="n">
        <v>45607.7627662037</v>
      </c>
      <c r="C456" s="1" t="n">
        <v>46035</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53586-2024</t>
        </is>
      </c>
      <c r="B457" s="1" t="n">
        <v>45614</v>
      </c>
      <c r="C457" s="1" t="n">
        <v>46035</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51034-2024</t>
        </is>
      </c>
      <c r="B458" s="1" t="n">
        <v>45603.4262037037</v>
      </c>
      <c r="C458" s="1" t="n">
        <v>46035</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51036-2024</t>
        </is>
      </c>
      <c r="B459" s="1" t="n">
        <v>45603.42839120371</v>
      </c>
      <c r="C459" s="1" t="n">
        <v>46035</v>
      </c>
      <c r="D459" t="inlineStr">
        <is>
          <t>UPPSALA LÄN</t>
        </is>
      </c>
      <c r="E459" t="inlineStr">
        <is>
          <t>ENKÖPING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43492-2023</t>
        </is>
      </c>
      <c r="B460" s="1" t="n">
        <v>45181</v>
      </c>
      <c r="C460" s="1" t="n">
        <v>46035</v>
      </c>
      <c r="D460" t="inlineStr">
        <is>
          <t>UPPSALA LÄN</t>
        </is>
      </c>
      <c r="E460" t="inlineStr">
        <is>
          <t>ENKÖPING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1536-2024</t>
        </is>
      </c>
      <c r="B461" s="1" t="n">
        <v>45306</v>
      </c>
      <c r="C461" s="1" t="n">
        <v>46035</v>
      </c>
      <c r="D461" t="inlineStr">
        <is>
          <t>UPPSALA LÄN</t>
        </is>
      </c>
      <c r="E461" t="inlineStr">
        <is>
          <t>ENKÖPING</t>
        </is>
      </c>
      <c r="F461" t="inlineStr">
        <is>
          <t>Kyrkan</t>
        </is>
      </c>
      <c r="G461" t="n">
        <v>5.6</v>
      </c>
      <c r="H461" t="n">
        <v>0</v>
      </c>
      <c r="I461" t="n">
        <v>0</v>
      </c>
      <c r="J461" t="n">
        <v>0</v>
      </c>
      <c r="K461" t="n">
        <v>0</v>
      </c>
      <c r="L461" t="n">
        <v>0</v>
      </c>
      <c r="M461" t="n">
        <v>0</v>
      </c>
      <c r="N461" t="n">
        <v>0</v>
      </c>
      <c r="O461" t="n">
        <v>0</v>
      </c>
      <c r="P461" t="n">
        <v>0</v>
      </c>
      <c r="Q461" t="n">
        <v>0</v>
      </c>
      <c r="R461" s="2" t="inlineStr"/>
    </row>
    <row r="462" ht="15" customHeight="1">
      <c r="A462" t="inlineStr">
        <is>
          <t>A 2974-2025</t>
        </is>
      </c>
      <c r="B462" s="1" t="n">
        <v>45678.47168981482</v>
      </c>
      <c r="C462" s="1" t="n">
        <v>46035</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16916-2023</t>
        </is>
      </c>
      <c r="B463" s="1" t="n">
        <v>45033.58347222222</v>
      </c>
      <c r="C463" s="1" t="n">
        <v>46035</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16920-2023</t>
        </is>
      </c>
      <c r="B464" s="1" t="n">
        <v>45033.59030092593</v>
      </c>
      <c r="C464" s="1" t="n">
        <v>46035</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52388-2024</t>
        </is>
      </c>
      <c r="B465" s="1" t="n">
        <v>45609.42939814815</v>
      </c>
      <c r="C465" s="1" t="n">
        <v>46035</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12434-2021</t>
        </is>
      </c>
      <c r="B466" s="1" t="n">
        <v>44267</v>
      </c>
      <c r="C466" s="1" t="n">
        <v>46035</v>
      </c>
      <c r="D466" t="inlineStr">
        <is>
          <t>UPPSALA LÄN</t>
        </is>
      </c>
      <c r="E466" t="inlineStr">
        <is>
          <t>ENKÖPING</t>
        </is>
      </c>
      <c r="G466" t="n">
        <v>5.3</v>
      </c>
      <c r="H466" t="n">
        <v>0</v>
      </c>
      <c r="I466" t="n">
        <v>0</v>
      </c>
      <c r="J466" t="n">
        <v>0</v>
      </c>
      <c r="K466" t="n">
        <v>0</v>
      </c>
      <c r="L466" t="n">
        <v>0</v>
      </c>
      <c r="M466" t="n">
        <v>0</v>
      </c>
      <c r="N466" t="n">
        <v>0</v>
      </c>
      <c r="O466" t="n">
        <v>0</v>
      </c>
      <c r="P466" t="n">
        <v>0</v>
      </c>
      <c r="Q466" t="n">
        <v>0</v>
      </c>
      <c r="R466" s="2" t="inlineStr"/>
    </row>
    <row r="467" ht="15" customHeight="1">
      <c r="A467" t="inlineStr">
        <is>
          <t>A 1992-2022</t>
        </is>
      </c>
      <c r="B467" s="1" t="n">
        <v>44575.56153935185</v>
      </c>
      <c r="C467" s="1" t="n">
        <v>46035</v>
      </c>
      <c r="D467" t="inlineStr">
        <is>
          <t>UPPSALA LÄN</t>
        </is>
      </c>
      <c r="E467" t="inlineStr">
        <is>
          <t>ENKÖPING</t>
        </is>
      </c>
      <c r="G467" t="n">
        <v>2.8</v>
      </c>
      <c r="H467" t="n">
        <v>0</v>
      </c>
      <c r="I467" t="n">
        <v>0</v>
      </c>
      <c r="J467" t="n">
        <v>0</v>
      </c>
      <c r="K467" t="n">
        <v>0</v>
      </c>
      <c r="L467" t="n">
        <v>0</v>
      </c>
      <c r="M467" t="n">
        <v>0</v>
      </c>
      <c r="N467" t="n">
        <v>0</v>
      </c>
      <c r="O467" t="n">
        <v>0</v>
      </c>
      <c r="P467" t="n">
        <v>0</v>
      </c>
      <c r="Q467" t="n">
        <v>0</v>
      </c>
      <c r="R467" s="2" t="inlineStr"/>
    </row>
    <row r="468" ht="15" customHeight="1">
      <c r="A468" t="inlineStr">
        <is>
          <t>A 6626-2023</t>
        </is>
      </c>
      <c r="B468" s="1" t="n">
        <v>44966.55946759259</v>
      </c>
      <c r="C468" s="1" t="n">
        <v>46035</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48843-2023</t>
        </is>
      </c>
      <c r="B469" s="1" t="n">
        <v>45209</v>
      </c>
      <c r="C469" s="1" t="n">
        <v>46035</v>
      </c>
      <c r="D469" t="inlineStr">
        <is>
          <t>UPPSALA LÄN</t>
        </is>
      </c>
      <c r="E469" t="inlineStr">
        <is>
          <t>ENKÖPING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57940-2022</t>
        </is>
      </c>
      <c r="B470" s="1" t="n">
        <v>44900</v>
      </c>
      <c r="C470" s="1" t="n">
        <v>46035</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35079-2024</t>
        </is>
      </c>
      <c r="B471" s="1" t="n">
        <v>45527.66770833333</v>
      </c>
      <c r="C471" s="1" t="n">
        <v>46035</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53595-2023</t>
        </is>
      </c>
      <c r="B472" s="1" t="n">
        <v>45223</v>
      </c>
      <c r="C472" s="1" t="n">
        <v>46035</v>
      </c>
      <c r="D472" t="inlineStr">
        <is>
          <t>UPPSALA LÄN</t>
        </is>
      </c>
      <c r="E472" t="inlineStr">
        <is>
          <t>ENKÖPING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60533-2021</t>
        </is>
      </c>
      <c r="B473" s="1" t="n">
        <v>44496</v>
      </c>
      <c r="C473" s="1" t="n">
        <v>46035</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15757-2023</t>
        </is>
      </c>
      <c r="B474" s="1" t="n">
        <v>45021</v>
      </c>
      <c r="C474" s="1" t="n">
        <v>46035</v>
      </c>
      <c r="D474" t="inlineStr">
        <is>
          <t>UPPSALA LÄN</t>
        </is>
      </c>
      <c r="E474" t="inlineStr">
        <is>
          <t>ENKÖPING</t>
        </is>
      </c>
      <c r="G474" t="n">
        <v>3</v>
      </c>
      <c r="H474" t="n">
        <v>0</v>
      </c>
      <c r="I474" t="n">
        <v>0</v>
      </c>
      <c r="J474" t="n">
        <v>0</v>
      </c>
      <c r="K474" t="n">
        <v>0</v>
      </c>
      <c r="L474" t="n">
        <v>0</v>
      </c>
      <c r="M474" t="n">
        <v>0</v>
      </c>
      <c r="N474" t="n">
        <v>0</v>
      </c>
      <c r="O474" t="n">
        <v>0</v>
      </c>
      <c r="P474" t="n">
        <v>0</v>
      </c>
      <c r="Q474" t="n">
        <v>0</v>
      </c>
      <c r="R474" s="2" t="inlineStr"/>
    </row>
    <row r="475" ht="15" customHeight="1">
      <c r="A475" t="inlineStr">
        <is>
          <t>A 43230-2023</t>
        </is>
      </c>
      <c r="B475" s="1" t="n">
        <v>45183</v>
      </c>
      <c r="C475" s="1" t="n">
        <v>46035</v>
      </c>
      <c r="D475" t="inlineStr">
        <is>
          <t>UPPSALA LÄN</t>
        </is>
      </c>
      <c r="E475" t="inlineStr">
        <is>
          <t>ENKÖPING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56886-2023</t>
        </is>
      </c>
      <c r="B476" s="1" t="n">
        <v>45239</v>
      </c>
      <c r="C476" s="1" t="n">
        <v>46035</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51011-2024</t>
        </is>
      </c>
      <c r="B477" s="1" t="n">
        <v>45603.39427083333</v>
      </c>
      <c r="C477" s="1" t="n">
        <v>46035</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12102-2024</t>
        </is>
      </c>
      <c r="B478" s="1" t="n">
        <v>45377</v>
      </c>
      <c r="C478" s="1" t="n">
        <v>46035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58961-2024</t>
        </is>
      </c>
      <c r="B479" s="1" t="n">
        <v>45636.585</v>
      </c>
      <c r="C479" s="1" t="n">
        <v>46035</v>
      </c>
      <c r="D479" t="inlineStr">
        <is>
          <t>UPPSALA LÄN</t>
        </is>
      </c>
      <c r="E479" t="inlineStr">
        <is>
          <t>ENKÖPING</t>
        </is>
      </c>
      <c r="G479" t="n">
        <v>4</v>
      </c>
      <c r="H479" t="n">
        <v>0</v>
      </c>
      <c r="I479" t="n">
        <v>0</v>
      </c>
      <c r="J479" t="n">
        <v>0</v>
      </c>
      <c r="K479" t="n">
        <v>0</v>
      </c>
      <c r="L479" t="n">
        <v>0</v>
      </c>
      <c r="M479" t="n">
        <v>0</v>
      </c>
      <c r="N479" t="n">
        <v>0</v>
      </c>
      <c r="O479" t="n">
        <v>0</v>
      </c>
      <c r="P479" t="n">
        <v>0</v>
      </c>
      <c r="Q479" t="n">
        <v>0</v>
      </c>
      <c r="R479" s="2" t="inlineStr"/>
    </row>
    <row r="480" ht="15" customHeight="1">
      <c r="A480" t="inlineStr">
        <is>
          <t>A 45283-2022</t>
        </is>
      </c>
      <c r="B480" s="1" t="n">
        <v>44844</v>
      </c>
      <c r="C480" s="1" t="n">
        <v>46035</v>
      </c>
      <c r="D480" t="inlineStr">
        <is>
          <t>UPPSALA LÄN</t>
        </is>
      </c>
      <c r="E480" t="inlineStr">
        <is>
          <t>ENKÖPING</t>
        </is>
      </c>
      <c r="G480" t="n">
        <v>5.9</v>
      </c>
      <c r="H480" t="n">
        <v>0</v>
      </c>
      <c r="I480" t="n">
        <v>0</v>
      </c>
      <c r="J480" t="n">
        <v>0</v>
      </c>
      <c r="K480" t="n">
        <v>0</v>
      </c>
      <c r="L480" t="n">
        <v>0</v>
      </c>
      <c r="M480" t="n">
        <v>0</v>
      </c>
      <c r="N480" t="n">
        <v>0</v>
      </c>
      <c r="O480" t="n">
        <v>0</v>
      </c>
      <c r="P480" t="n">
        <v>0</v>
      </c>
      <c r="Q480" t="n">
        <v>0</v>
      </c>
      <c r="R480" s="2" t="inlineStr"/>
    </row>
    <row r="481" ht="15" customHeight="1">
      <c r="A481" t="inlineStr">
        <is>
          <t>A 845-2025</t>
        </is>
      </c>
      <c r="B481" s="1" t="n">
        <v>45665</v>
      </c>
      <c r="C481" s="1" t="n">
        <v>46035</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849-2025</t>
        </is>
      </c>
      <c r="B482" s="1" t="n">
        <v>45665</v>
      </c>
      <c r="C482" s="1" t="n">
        <v>46035</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58147-2024</t>
        </is>
      </c>
      <c r="B483" s="1" t="n">
        <v>45632.4334375</v>
      </c>
      <c r="C483" s="1" t="n">
        <v>46035</v>
      </c>
      <c r="D483" t="inlineStr">
        <is>
          <t>UPPSALA LÄN</t>
        </is>
      </c>
      <c r="E483" t="inlineStr">
        <is>
          <t>ENKÖPING</t>
        </is>
      </c>
      <c r="G483" t="n">
        <v>3</v>
      </c>
      <c r="H483" t="n">
        <v>0</v>
      </c>
      <c r="I483" t="n">
        <v>0</v>
      </c>
      <c r="J483" t="n">
        <v>0</v>
      </c>
      <c r="K483" t="n">
        <v>0</v>
      </c>
      <c r="L483" t="n">
        <v>0</v>
      </c>
      <c r="M483" t="n">
        <v>0</v>
      </c>
      <c r="N483" t="n">
        <v>0</v>
      </c>
      <c r="O483" t="n">
        <v>0</v>
      </c>
      <c r="P483" t="n">
        <v>0</v>
      </c>
      <c r="Q483" t="n">
        <v>0</v>
      </c>
      <c r="R483" s="2" t="inlineStr"/>
    </row>
    <row r="484" ht="15" customHeight="1">
      <c r="A484" t="inlineStr">
        <is>
          <t>A 18302-2025</t>
        </is>
      </c>
      <c r="B484" s="1" t="n">
        <v>45762</v>
      </c>
      <c r="C484" s="1" t="n">
        <v>46035</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34735-2023</t>
        </is>
      </c>
      <c r="B485" s="1" t="n">
        <v>45139</v>
      </c>
      <c r="C485" s="1" t="n">
        <v>46035</v>
      </c>
      <c r="D485" t="inlineStr">
        <is>
          <t>UPPSALA LÄN</t>
        </is>
      </c>
      <c r="E485" t="inlineStr">
        <is>
          <t>ENKÖPING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30514-2021</t>
        </is>
      </c>
      <c r="B486" s="1" t="n">
        <v>44364</v>
      </c>
      <c r="C486" s="1" t="n">
        <v>46035</v>
      </c>
      <c r="D486" t="inlineStr">
        <is>
          <t>UPPSALA LÄN</t>
        </is>
      </c>
      <c r="E486" t="inlineStr">
        <is>
          <t>ENKÖPING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57209-2024</t>
        </is>
      </c>
      <c r="B487" s="1" t="n">
        <v>45629.49311342592</v>
      </c>
      <c r="C487" s="1" t="n">
        <v>46035</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13110-2023</t>
        </is>
      </c>
      <c r="B488" s="1" t="n">
        <v>45001</v>
      </c>
      <c r="C488" s="1" t="n">
        <v>46035</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49627-2024</t>
        </is>
      </c>
      <c r="B489" s="1" t="n">
        <v>45596.59140046296</v>
      </c>
      <c r="C489" s="1" t="n">
        <v>46035</v>
      </c>
      <c r="D489" t="inlineStr">
        <is>
          <t>UPPSALA LÄN</t>
        </is>
      </c>
      <c r="E489" t="inlineStr">
        <is>
          <t>ENKÖPING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9231-2023</t>
        </is>
      </c>
      <c r="B490" s="1" t="n">
        <v>44980</v>
      </c>
      <c r="C490" s="1" t="n">
        <v>46035</v>
      </c>
      <c r="D490" t="inlineStr">
        <is>
          <t>UPPSALA LÄN</t>
        </is>
      </c>
      <c r="E490" t="inlineStr">
        <is>
          <t>ENKÖPING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27538-2023</t>
        </is>
      </c>
      <c r="B491" s="1" t="n">
        <v>45097</v>
      </c>
      <c r="C491" s="1" t="n">
        <v>46035</v>
      </c>
      <c r="D491" t="inlineStr">
        <is>
          <t>UPPSALA LÄN</t>
        </is>
      </c>
      <c r="E491" t="inlineStr">
        <is>
          <t>ENKÖPING</t>
        </is>
      </c>
      <c r="G491" t="n">
        <v>5.8</v>
      </c>
      <c r="H491" t="n">
        <v>0</v>
      </c>
      <c r="I491" t="n">
        <v>0</v>
      </c>
      <c r="J491" t="n">
        <v>0</v>
      </c>
      <c r="K491" t="n">
        <v>0</v>
      </c>
      <c r="L491" t="n">
        <v>0</v>
      </c>
      <c r="M491" t="n">
        <v>0</v>
      </c>
      <c r="N491" t="n">
        <v>0</v>
      </c>
      <c r="O491" t="n">
        <v>0</v>
      </c>
      <c r="P491" t="n">
        <v>0</v>
      </c>
      <c r="Q491" t="n">
        <v>0</v>
      </c>
      <c r="R491" s="2" t="inlineStr"/>
    </row>
    <row r="492" ht="15" customHeight="1">
      <c r="A492" t="inlineStr">
        <is>
          <t>A 18821-2023</t>
        </is>
      </c>
      <c r="B492" s="1" t="n">
        <v>45044.3782175926</v>
      </c>
      <c r="C492" s="1" t="n">
        <v>46035</v>
      </c>
      <c r="D492" t="inlineStr">
        <is>
          <t>UPPSALA LÄN</t>
        </is>
      </c>
      <c r="E492" t="inlineStr">
        <is>
          <t>ENKÖPING</t>
        </is>
      </c>
      <c r="G492" t="n">
        <v>6</v>
      </c>
      <c r="H492" t="n">
        <v>0</v>
      </c>
      <c r="I492" t="n">
        <v>0</v>
      </c>
      <c r="J492" t="n">
        <v>0</v>
      </c>
      <c r="K492" t="n">
        <v>0</v>
      </c>
      <c r="L492" t="n">
        <v>0</v>
      </c>
      <c r="M492" t="n">
        <v>0</v>
      </c>
      <c r="N492" t="n">
        <v>0</v>
      </c>
      <c r="O492" t="n">
        <v>0</v>
      </c>
      <c r="P492" t="n">
        <v>0</v>
      </c>
      <c r="Q492" t="n">
        <v>0</v>
      </c>
      <c r="R492" s="2" t="inlineStr"/>
    </row>
    <row r="493" ht="15" customHeight="1">
      <c r="A493" t="inlineStr">
        <is>
          <t>A 52380-2024</t>
        </is>
      </c>
      <c r="B493" s="1" t="n">
        <v>45609</v>
      </c>
      <c r="C493" s="1" t="n">
        <v>46035</v>
      </c>
      <c r="D493" t="inlineStr">
        <is>
          <t>UPPSALA LÄN</t>
        </is>
      </c>
      <c r="E493" t="inlineStr">
        <is>
          <t>ENKÖPING</t>
        </is>
      </c>
      <c r="G493" t="n">
        <v>1.8</v>
      </c>
      <c r="H493" t="n">
        <v>0</v>
      </c>
      <c r="I493" t="n">
        <v>0</v>
      </c>
      <c r="J493" t="n">
        <v>0</v>
      </c>
      <c r="K493" t="n">
        <v>0</v>
      </c>
      <c r="L493" t="n">
        <v>0</v>
      </c>
      <c r="M493" t="n">
        <v>0</v>
      </c>
      <c r="N493" t="n">
        <v>0</v>
      </c>
      <c r="O493" t="n">
        <v>0</v>
      </c>
      <c r="P493" t="n">
        <v>0</v>
      </c>
      <c r="Q493" t="n">
        <v>0</v>
      </c>
      <c r="R493" s="2" t="inlineStr"/>
    </row>
    <row r="494" ht="15" customHeight="1">
      <c r="A494" t="inlineStr">
        <is>
          <t>A 9041-2023</t>
        </is>
      </c>
      <c r="B494" s="1" t="n">
        <v>44979</v>
      </c>
      <c r="C494" s="1" t="n">
        <v>46035</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27786-2023</t>
        </is>
      </c>
      <c r="B495" s="1" t="n">
        <v>45098</v>
      </c>
      <c r="C495" s="1" t="n">
        <v>46035</v>
      </c>
      <c r="D495" t="inlineStr">
        <is>
          <t>UPPSALA LÄN</t>
        </is>
      </c>
      <c r="E495" t="inlineStr">
        <is>
          <t>ENKÖPING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15942-2022</t>
        </is>
      </c>
      <c r="B496" s="1" t="n">
        <v>44664</v>
      </c>
      <c r="C496" s="1" t="n">
        <v>46035</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50006-2023</t>
        </is>
      </c>
      <c r="B497" s="1" t="n">
        <v>45215</v>
      </c>
      <c r="C497" s="1" t="n">
        <v>46035</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53607-2023</t>
        </is>
      </c>
      <c r="B498" s="1" t="n">
        <v>45230</v>
      </c>
      <c r="C498" s="1" t="n">
        <v>46035</v>
      </c>
      <c r="D498" t="inlineStr">
        <is>
          <t>UPPSALA LÄN</t>
        </is>
      </c>
      <c r="E498" t="inlineStr">
        <is>
          <t>ENKÖPING</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59497-2022</t>
        </is>
      </c>
      <c r="B499" s="1" t="n">
        <v>44907.48258101852</v>
      </c>
      <c r="C499" s="1" t="n">
        <v>46035</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49614-2024</t>
        </is>
      </c>
      <c r="B500" s="1" t="n">
        <v>45596.57716435185</v>
      </c>
      <c r="C500" s="1" t="n">
        <v>46035</v>
      </c>
      <c r="D500" t="inlineStr">
        <is>
          <t>UPPSALA LÄN</t>
        </is>
      </c>
      <c r="E500" t="inlineStr">
        <is>
          <t>ENKÖPING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49632-2024</t>
        </is>
      </c>
      <c r="B501" s="1" t="n">
        <v>45596</v>
      </c>
      <c r="C501" s="1" t="n">
        <v>46035</v>
      </c>
      <c r="D501" t="inlineStr">
        <is>
          <t>UPPSALA LÄN</t>
        </is>
      </c>
      <c r="E501" t="inlineStr">
        <is>
          <t>ENKÖPING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51030-2024</t>
        </is>
      </c>
      <c r="B502" s="1" t="n">
        <v>45603</v>
      </c>
      <c r="C502" s="1" t="n">
        <v>46035</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c r="A503" t="inlineStr">
        <is>
          <t>A 15405-2025</t>
        </is>
      </c>
      <c r="B503" s="1" t="n">
        <v>45747.44670138889</v>
      </c>
      <c r="C503" s="1" t="n">
        <v>46035</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2026-01-13T10:48:58Z</dcterms:created>
  <dcterms:modified xmlns:dcterms="http://purl.org/dc/terms/" xmlns:xsi="http://www.w3.org/2001/XMLSchema-instance" xsi:type="dcterms:W3CDTF">2026-01-13T10:48:58Z</dcterms:modified>
</cp:coreProperties>
</file>