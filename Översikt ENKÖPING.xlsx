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46086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46086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46086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46086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46086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46086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46086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46086</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46086</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46086</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46086</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46086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46086</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46086</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46086</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9147-2026</t>
        </is>
      </c>
      <c r="B17" s="1" t="n">
        <v>46070.30649305556</v>
      </c>
      <c r="C17" s="1" t="n">
        <v>46086</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425-2024</t>
        </is>
      </c>
      <c r="B18" s="1" t="n">
        <v>45296</v>
      </c>
      <c r="C18" s="1" t="n">
        <v>46086</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46086</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46086</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46086</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46086</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17942-2024</t>
        </is>
      </c>
      <c r="B23" s="1" t="n">
        <v>45419</v>
      </c>
      <c r="C23" s="1" t="n">
        <v>46086</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27060-2025</t>
        </is>
      </c>
      <c r="B24" s="1" t="n">
        <v>45811.63590277778</v>
      </c>
      <c r="C24" s="1" t="n">
        <v>46086</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46086</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46086</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46086</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4166-2026</t>
        </is>
      </c>
      <c r="B28" s="1" t="n">
        <v>46044.66402777778</v>
      </c>
      <c r="C28" s="1" t="n">
        <v>46086</v>
      </c>
      <c r="D28" t="inlineStr">
        <is>
          <t>UPPSALA LÄN</t>
        </is>
      </c>
      <c r="E28" t="inlineStr">
        <is>
          <t>ENKÖPING</t>
        </is>
      </c>
      <c r="G28" t="n">
        <v>1.7</v>
      </c>
      <c r="H28" t="n">
        <v>1</v>
      </c>
      <c r="I28" t="n">
        <v>0</v>
      </c>
      <c r="J28" t="n">
        <v>1</v>
      </c>
      <c r="K28" t="n">
        <v>0</v>
      </c>
      <c r="L28" t="n">
        <v>0</v>
      </c>
      <c r="M28" t="n">
        <v>0</v>
      </c>
      <c r="N28" t="n">
        <v>0</v>
      </c>
      <c r="O28" t="n">
        <v>1</v>
      </c>
      <c r="P28" t="n">
        <v>0</v>
      </c>
      <c r="Q28" t="n">
        <v>1</v>
      </c>
      <c r="R28" s="2" t="inlineStr">
        <is>
          <t>Gulsparv</t>
        </is>
      </c>
      <c r="S28">
        <f>HYPERLINK("https://klasma.github.io/Logging_0381/artfynd/A 4166-2026 artfynd.xlsx", "A 4166-2026")</f>
        <v/>
      </c>
      <c r="T28">
        <f>HYPERLINK("https://klasma.github.io/Logging_0381/kartor/A 4166-2026 karta.png", "A 4166-2026")</f>
        <v/>
      </c>
      <c r="V28">
        <f>HYPERLINK("https://klasma.github.io/Logging_0381/klagomål/A 4166-2026 FSC-klagomål.docx", "A 4166-2026")</f>
        <v/>
      </c>
      <c r="W28">
        <f>HYPERLINK("https://klasma.github.io/Logging_0381/klagomålsmail/A 4166-2026 FSC-klagomål mail.docx", "A 4166-2026")</f>
        <v/>
      </c>
      <c r="X28">
        <f>HYPERLINK("https://klasma.github.io/Logging_0381/tillsyn/A 4166-2026 tillsynsbegäran.docx", "A 4166-2026")</f>
        <v/>
      </c>
      <c r="Y28">
        <f>HYPERLINK("https://klasma.github.io/Logging_0381/tillsynsmail/A 4166-2026 tillsynsbegäran mail.docx", "A 4166-2026")</f>
        <v/>
      </c>
      <c r="Z28">
        <f>HYPERLINK("https://klasma.github.io/Logging_0381/fåglar/A 4166-2026 prioriterade fågelarter.docx", "A 4166-2026")</f>
        <v/>
      </c>
    </row>
    <row r="29" ht="15" customHeight="1">
      <c r="A29" t="inlineStr">
        <is>
          <t>A 28900-2024</t>
        </is>
      </c>
      <c r="B29" s="1" t="n">
        <v>45480</v>
      </c>
      <c r="C29" s="1" t="n">
        <v>46086</v>
      </c>
      <c r="D29" t="inlineStr">
        <is>
          <t>UPPSALA LÄN</t>
        </is>
      </c>
      <c r="E29" t="inlineStr">
        <is>
          <t>ENKÖPING</t>
        </is>
      </c>
      <c r="G29" t="n">
        <v>8.6</v>
      </c>
      <c r="H29" t="n">
        <v>1</v>
      </c>
      <c r="I29" t="n">
        <v>0</v>
      </c>
      <c r="J29" t="n">
        <v>0</v>
      </c>
      <c r="K29" t="n">
        <v>0</v>
      </c>
      <c r="L29" t="n">
        <v>0</v>
      </c>
      <c r="M29" t="n">
        <v>0</v>
      </c>
      <c r="N29" t="n">
        <v>0</v>
      </c>
      <c r="O29" t="n">
        <v>0</v>
      </c>
      <c r="P29" t="n">
        <v>0</v>
      </c>
      <c r="Q29" t="n">
        <v>1</v>
      </c>
      <c r="R29" s="2" t="inlineStr">
        <is>
          <t>Blåsippa</t>
        </is>
      </c>
      <c r="S29">
        <f>HYPERLINK("https://klasma.github.io/Logging_0381/artfynd/A 28900-2024 artfynd.xlsx", "A 28900-2024")</f>
        <v/>
      </c>
      <c r="T29">
        <f>HYPERLINK("https://klasma.github.io/Logging_0381/kartor/A 28900-2024 karta.png", "A 28900-2024")</f>
        <v/>
      </c>
      <c r="V29">
        <f>HYPERLINK("https://klasma.github.io/Logging_0381/klagomål/A 28900-2024 FSC-klagomål.docx", "A 28900-2024")</f>
        <v/>
      </c>
      <c r="W29">
        <f>HYPERLINK("https://klasma.github.io/Logging_0381/klagomålsmail/A 28900-2024 FSC-klagomål mail.docx", "A 28900-2024")</f>
        <v/>
      </c>
      <c r="X29">
        <f>HYPERLINK("https://klasma.github.io/Logging_0381/tillsyn/A 28900-2024 tillsynsbegäran.docx", "A 28900-2024")</f>
        <v/>
      </c>
      <c r="Y29">
        <f>HYPERLINK("https://klasma.github.io/Logging_0381/tillsynsmail/A 28900-2024 tillsynsbegäran mail.docx", "A 28900-2024")</f>
        <v/>
      </c>
    </row>
    <row r="30" ht="15" customHeight="1">
      <c r="A30" t="inlineStr">
        <is>
          <t>A 46749-2024</t>
        </is>
      </c>
      <c r="B30" s="1" t="n">
        <v>45583.48347222222</v>
      </c>
      <c r="C30" s="1" t="n">
        <v>46086</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Tallkötticka</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45116-2023</t>
        </is>
      </c>
      <c r="B31" s="1" t="n">
        <v>45191</v>
      </c>
      <c r="C31" s="1" t="n">
        <v>46086</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23961-2022</t>
        </is>
      </c>
      <c r="B32" s="1" t="n">
        <v>44722</v>
      </c>
      <c r="C32" s="1" t="n">
        <v>46086</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33339-2024</t>
        </is>
      </c>
      <c r="B33" s="1" t="n">
        <v>45519</v>
      </c>
      <c r="C33" s="1" t="n">
        <v>46086</v>
      </c>
      <c r="D33" t="inlineStr">
        <is>
          <t>UPPSALA LÄN</t>
        </is>
      </c>
      <c r="E33" t="inlineStr">
        <is>
          <t>ENKÖPING</t>
        </is>
      </c>
      <c r="G33" t="n">
        <v>2.3</v>
      </c>
      <c r="H33" t="n">
        <v>0</v>
      </c>
      <c r="I33" t="n">
        <v>0</v>
      </c>
      <c r="J33" t="n">
        <v>1</v>
      </c>
      <c r="K33" t="n">
        <v>0</v>
      </c>
      <c r="L33" t="n">
        <v>0</v>
      </c>
      <c r="M33" t="n">
        <v>0</v>
      </c>
      <c r="N33" t="n">
        <v>0</v>
      </c>
      <c r="O33" t="n">
        <v>1</v>
      </c>
      <c r="P33" t="n">
        <v>0</v>
      </c>
      <c r="Q33" t="n">
        <v>1</v>
      </c>
      <c r="R33" s="2" t="inlineStr">
        <is>
          <t>Ullticka</t>
        </is>
      </c>
      <c r="S33">
        <f>HYPERLINK("https://klasma.github.io/Logging_0381/artfynd/A 33339-2024 artfynd.xlsx", "A 33339-2024")</f>
        <v/>
      </c>
      <c r="T33">
        <f>HYPERLINK("https://klasma.github.io/Logging_0381/kartor/A 33339-2024 karta.png", "A 33339-2024")</f>
        <v/>
      </c>
      <c r="V33">
        <f>HYPERLINK("https://klasma.github.io/Logging_0381/klagomål/A 33339-2024 FSC-klagomål.docx", "A 33339-2024")</f>
        <v/>
      </c>
      <c r="W33">
        <f>HYPERLINK("https://klasma.github.io/Logging_0381/klagomålsmail/A 33339-2024 FSC-klagomål mail.docx", "A 33339-2024")</f>
        <v/>
      </c>
      <c r="X33">
        <f>HYPERLINK("https://klasma.github.io/Logging_0381/tillsyn/A 33339-2024 tillsynsbegäran.docx", "A 33339-2024")</f>
        <v/>
      </c>
      <c r="Y33">
        <f>HYPERLINK("https://klasma.github.io/Logging_0381/tillsynsmail/A 33339-2024 tillsynsbegäran mail.docx", "A 33339-2024")</f>
        <v/>
      </c>
    </row>
    <row r="34" ht="15" customHeight="1">
      <c r="A34" t="inlineStr">
        <is>
          <t>A 26347-2025</t>
        </is>
      </c>
      <c r="B34" s="1" t="n">
        <v>45805.7403125</v>
      </c>
      <c r="C34" s="1" t="n">
        <v>46086</v>
      </c>
      <c r="D34" t="inlineStr">
        <is>
          <t>UPPSALA LÄN</t>
        </is>
      </c>
      <c r="E34" t="inlineStr">
        <is>
          <t>ENKÖPING</t>
        </is>
      </c>
      <c r="G34" t="n">
        <v>7.3</v>
      </c>
      <c r="H34" t="n">
        <v>1</v>
      </c>
      <c r="I34" t="n">
        <v>0</v>
      </c>
      <c r="J34" t="n">
        <v>0</v>
      </c>
      <c r="K34" t="n">
        <v>1</v>
      </c>
      <c r="L34" t="n">
        <v>0</v>
      </c>
      <c r="M34" t="n">
        <v>0</v>
      </c>
      <c r="N34" t="n">
        <v>0</v>
      </c>
      <c r="O34" t="n">
        <v>1</v>
      </c>
      <c r="P34" t="n">
        <v>1</v>
      </c>
      <c r="Q34" t="n">
        <v>1</v>
      </c>
      <c r="R34" s="2" t="inlineStr">
        <is>
          <t>Tofsvipa</t>
        </is>
      </c>
      <c r="S34">
        <f>HYPERLINK("https://klasma.github.io/Logging_0381/artfynd/A 26347-2025 artfynd.xlsx", "A 26347-2025")</f>
        <v/>
      </c>
      <c r="T34">
        <f>HYPERLINK("https://klasma.github.io/Logging_0381/kartor/A 26347-2025 karta.png", "A 26347-2025")</f>
        <v/>
      </c>
      <c r="V34">
        <f>HYPERLINK("https://klasma.github.io/Logging_0381/klagomål/A 26347-2025 FSC-klagomål.docx", "A 26347-2025")</f>
        <v/>
      </c>
      <c r="W34">
        <f>HYPERLINK("https://klasma.github.io/Logging_0381/klagomålsmail/A 26347-2025 FSC-klagomål mail.docx", "A 26347-2025")</f>
        <v/>
      </c>
      <c r="X34">
        <f>HYPERLINK("https://klasma.github.io/Logging_0381/tillsyn/A 26347-2025 tillsynsbegäran.docx", "A 26347-2025")</f>
        <v/>
      </c>
      <c r="Y34">
        <f>HYPERLINK("https://klasma.github.io/Logging_0381/tillsynsmail/A 26347-2025 tillsynsbegäran mail.docx", "A 26347-2025")</f>
        <v/>
      </c>
    </row>
    <row r="35" ht="15" customHeight="1">
      <c r="A35" t="inlineStr">
        <is>
          <t>A 16683-2021</t>
        </is>
      </c>
      <c r="B35" s="1" t="n">
        <v>44294.58495370371</v>
      </c>
      <c r="C35" s="1" t="n">
        <v>46086</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46086</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46086</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46086</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46086</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46086</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46086</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46086</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46086</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46086</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22058-2021</t>
        </is>
      </c>
      <c r="B45" s="1" t="n">
        <v>44323</v>
      </c>
      <c r="C45" s="1" t="n">
        <v>46086</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46086</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46086</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46086</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54433-2021</t>
        </is>
      </c>
      <c r="B49" s="1" t="n">
        <v>44473</v>
      </c>
      <c r="C49" s="1" t="n">
        <v>46086</v>
      </c>
      <c r="D49" t="inlineStr">
        <is>
          <t>UPPSALA LÄN</t>
        </is>
      </c>
      <c r="E49" t="inlineStr">
        <is>
          <t>ENKÖPING</t>
        </is>
      </c>
      <c r="G49" t="n">
        <v>1</v>
      </c>
      <c r="H49" t="n">
        <v>0</v>
      </c>
      <c r="I49" t="n">
        <v>0</v>
      </c>
      <c r="J49" t="n">
        <v>0</v>
      </c>
      <c r="K49" t="n">
        <v>0</v>
      </c>
      <c r="L49" t="n">
        <v>0</v>
      </c>
      <c r="M49" t="n">
        <v>0</v>
      </c>
      <c r="N49" t="n">
        <v>0</v>
      </c>
      <c r="O49" t="n">
        <v>0</v>
      </c>
      <c r="P49" t="n">
        <v>0</v>
      </c>
      <c r="Q49" t="n">
        <v>0</v>
      </c>
      <c r="R49" s="2" t="inlineStr"/>
    </row>
    <row r="50" ht="15" customHeight="1">
      <c r="A50" t="inlineStr">
        <is>
          <t>A 32748-2021</t>
        </is>
      </c>
      <c r="B50" s="1" t="n">
        <v>44375.53055555555</v>
      </c>
      <c r="C50" s="1" t="n">
        <v>46086</v>
      </c>
      <c r="D50" t="inlineStr">
        <is>
          <t>UPPSALA LÄN</t>
        </is>
      </c>
      <c r="E50" t="inlineStr">
        <is>
          <t>ENKÖPING</t>
        </is>
      </c>
      <c r="G50" t="n">
        <v>1.1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46086</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46086</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46086</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46086</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46086</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46086</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46086</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46086</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46086</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46086</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46086</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46086</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46086</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46086</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46086</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46086</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46086</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46086</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46086</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46086</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46086</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46086</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46086</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46086</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46086</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46086</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46086</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46086</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46086</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46086</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46086</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46086</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46086</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46086</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46086</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46086</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46086</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46086</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46086</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46086</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46086</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46086</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46086</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46086</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46086</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46086</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46086</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46086</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46086</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46086</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46086</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46086</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46086</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46086</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46086</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46086</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46086</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46086</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46086</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46086</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46086</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50747-2022</t>
        </is>
      </c>
      <c r="B112" s="1" t="n">
        <v>44867.40162037037</v>
      </c>
      <c r="C112" s="1" t="n">
        <v>46086</v>
      </c>
      <c r="D112" t="inlineStr">
        <is>
          <t>UPPSALA LÄN</t>
        </is>
      </c>
      <c r="E112" t="inlineStr">
        <is>
          <t>ENKÖPING</t>
        </is>
      </c>
      <c r="G112" t="n">
        <v>1.5</v>
      </c>
      <c r="H112" t="n">
        <v>0</v>
      </c>
      <c r="I112" t="n">
        <v>0</v>
      </c>
      <c r="J112" t="n">
        <v>0</v>
      </c>
      <c r="K112" t="n">
        <v>0</v>
      </c>
      <c r="L112" t="n">
        <v>0</v>
      </c>
      <c r="M112" t="n">
        <v>0</v>
      </c>
      <c r="N112" t="n">
        <v>0</v>
      </c>
      <c r="O112" t="n">
        <v>0</v>
      </c>
      <c r="P112" t="n">
        <v>0</v>
      </c>
      <c r="Q112" t="n">
        <v>0</v>
      </c>
      <c r="R112" s="2" t="inlineStr"/>
    </row>
    <row r="113" ht="15" customHeight="1">
      <c r="A113" t="inlineStr">
        <is>
          <t>A 17657-2025</t>
        </is>
      </c>
      <c r="B113" s="1" t="n">
        <v>45758.35006944444</v>
      </c>
      <c r="C113" s="1" t="n">
        <v>46086</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46086</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49568-2022</t>
        </is>
      </c>
      <c r="B115" s="1" t="n">
        <v>44862.32791666667</v>
      </c>
      <c r="C115" s="1" t="n">
        <v>46086</v>
      </c>
      <c r="D115" t="inlineStr">
        <is>
          <t>UPPSALA LÄN</t>
        </is>
      </c>
      <c r="E115" t="inlineStr">
        <is>
          <t>ENKÖPING</t>
        </is>
      </c>
      <c r="G115" t="n">
        <v>0.9</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46086</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27786-2023</t>
        </is>
      </c>
      <c r="B117" s="1" t="n">
        <v>45098</v>
      </c>
      <c r="C117" s="1" t="n">
        <v>46086</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15942-2022</t>
        </is>
      </c>
      <c r="B118" s="1" t="n">
        <v>44664</v>
      </c>
      <c r="C118" s="1" t="n">
        <v>46086</v>
      </c>
      <c r="D118" t="inlineStr">
        <is>
          <t>UPPSALA LÄN</t>
        </is>
      </c>
      <c r="E118" t="inlineStr">
        <is>
          <t>ENKÖPING</t>
        </is>
      </c>
      <c r="G118" t="n">
        <v>6.6</v>
      </c>
      <c r="H118" t="n">
        <v>0</v>
      </c>
      <c r="I118" t="n">
        <v>0</v>
      </c>
      <c r="J118" t="n">
        <v>0</v>
      </c>
      <c r="K118" t="n">
        <v>0</v>
      </c>
      <c r="L118" t="n">
        <v>0</v>
      </c>
      <c r="M118" t="n">
        <v>0</v>
      </c>
      <c r="N118" t="n">
        <v>0</v>
      </c>
      <c r="O118" t="n">
        <v>0</v>
      </c>
      <c r="P118" t="n">
        <v>0</v>
      </c>
      <c r="Q118" t="n">
        <v>0</v>
      </c>
      <c r="R118" s="2" t="inlineStr"/>
    </row>
    <row r="119" ht="15" customHeight="1">
      <c r="A119" t="inlineStr">
        <is>
          <t>A 2974-2025</t>
        </is>
      </c>
      <c r="B119" s="1" t="n">
        <v>45678.47168981482</v>
      </c>
      <c r="C119" s="1" t="n">
        <v>46086</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46086</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60125-2024</t>
        </is>
      </c>
      <c r="B121" s="1" t="n">
        <v>45642</v>
      </c>
      <c r="C121" s="1" t="n">
        <v>46086</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5211-2024</t>
        </is>
      </c>
      <c r="B122" s="1" t="n">
        <v>45330</v>
      </c>
      <c r="C122" s="1" t="n">
        <v>46086</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10468-2025</t>
        </is>
      </c>
      <c r="B123" s="1" t="n">
        <v>45720</v>
      </c>
      <c r="C123" s="1" t="n">
        <v>46086</v>
      </c>
      <c r="D123" t="inlineStr">
        <is>
          <t>UPPSALA LÄN</t>
        </is>
      </c>
      <c r="E123" t="inlineStr">
        <is>
          <t>ENKÖPING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6242-2025</t>
        </is>
      </c>
      <c r="B124" s="1" t="n">
        <v>45697</v>
      </c>
      <c r="C124" s="1" t="n">
        <v>46086</v>
      </c>
      <c r="D124" t="inlineStr">
        <is>
          <t>UPPSALA LÄN</t>
        </is>
      </c>
      <c r="E124" t="inlineStr">
        <is>
          <t>ENKÖPING</t>
        </is>
      </c>
      <c r="G124" t="n">
        <v>17.9</v>
      </c>
      <c r="H124" t="n">
        <v>0</v>
      </c>
      <c r="I124" t="n">
        <v>0</v>
      </c>
      <c r="J124" t="n">
        <v>0</v>
      </c>
      <c r="K124" t="n">
        <v>0</v>
      </c>
      <c r="L124" t="n">
        <v>0</v>
      </c>
      <c r="M124" t="n">
        <v>0</v>
      </c>
      <c r="N124" t="n">
        <v>0</v>
      </c>
      <c r="O124" t="n">
        <v>0</v>
      </c>
      <c r="P124" t="n">
        <v>0</v>
      </c>
      <c r="Q124" t="n">
        <v>0</v>
      </c>
      <c r="R124" s="2" t="inlineStr"/>
    </row>
    <row r="125" ht="15" customHeight="1">
      <c r="A125" t="inlineStr">
        <is>
          <t>A 10409-2025</t>
        </is>
      </c>
      <c r="B125" s="1" t="n">
        <v>45720.631875</v>
      </c>
      <c r="C125" s="1" t="n">
        <v>46086</v>
      </c>
      <c r="D125" t="inlineStr">
        <is>
          <t>UPPSALA LÄN</t>
        </is>
      </c>
      <c r="E125" t="inlineStr">
        <is>
          <t>ENKÖPING</t>
        </is>
      </c>
      <c r="G125" t="n">
        <v>2.2</v>
      </c>
      <c r="H125" t="n">
        <v>0</v>
      </c>
      <c r="I125" t="n">
        <v>0</v>
      </c>
      <c r="J125" t="n">
        <v>0</v>
      </c>
      <c r="K125" t="n">
        <v>0</v>
      </c>
      <c r="L125" t="n">
        <v>0</v>
      </c>
      <c r="M125" t="n">
        <v>0</v>
      </c>
      <c r="N125" t="n">
        <v>0</v>
      </c>
      <c r="O125" t="n">
        <v>0</v>
      </c>
      <c r="P125" t="n">
        <v>0</v>
      </c>
      <c r="Q125" t="n">
        <v>0</v>
      </c>
      <c r="R125" s="2" t="inlineStr"/>
    </row>
    <row r="126" ht="15" customHeight="1">
      <c r="A126" t="inlineStr">
        <is>
          <t>A 42459-2024</t>
        </is>
      </c>
      <c r="B126" s="1" t="n">
        <v>45565</v>
      </c>
      <c r="C126" s="1" t="n">
        <v>46086</v>
      </c>
      <c r="D126" t="inlineStr">
        <is>
          <t>UPPSALA LÄN</t>
        </is>
      </c>
      <c r="E126" t="inlineStr">
        <is>
          <t>ENKÖPING</t>
        </is>
      </c>
      <c r="G126" t="n">
        <v>3.6</v>
      </c>
      <c r="H126" t="n">
        <v>0</v>
      </c>
      <c r="I126" t="n">
        <v>0</v>
      </c>
      <c r="J126" t="n">
        <v>0</v>
      </c>
      <c r="K126" t="n">
        <v>0</v>
      </c>
      <c r="L126" t="n">
        <v>0</v>
      </c>
      <c r="M126" t="n">
        <v>0</v>
      </c>
      <c r="N126" t="n">
        <v>0</v>
      </c>
      <c r="O126" t="n">
        <v>0</v>
      </c>
      <c r="P126" t="n">
        <v>0</v>
      </c>
      <c r="Q126" t="n">
        <v>0</v>
      </c>
      <c r="R126" s="2" t="inlineStr"/>
    </row>
    <row r="127" ht="15" customHeight="1">
      <c r="A127" t="inlineStr">
        <is>
          <t>A 18299-2025</t>
        </is>
      </c>
      <c r="B127" s="1" t="n">
        <v>45762</v>
      </c>
      <c r="C127" s="1" t="n">
        <v>46086</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21686-2022</t>
        </is>
      </c>
      <c r="B128" s="1" t="n">
        <v>44707</v>
      </c>
      <c r="C128" s="1" t="n">
        <v>46086</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18831-2023</t>
        </is>
      </c>
      <c r="B129" s="1" t="n">
        <v>45044.40798611111</v>
      </c>
      <c r="C129" s="1" t="n">
        <v>46086</v>
      </c>
      <c r="D129" t="inlineStr">
        <is>
          <t>UPPSALA LÄN</t>
        </is>
      </c>
      <c r="E129" t="inlineStr">
        <is>
          <t>ENKÖPING</t>
        </is>
      </c>
      <c r="G129" t="n">
        <v>4.3</v>
      </c>
      <c r="H129" t="n">
        <v>0</v>
      </c>
      <c r="I129" t="n">
        <v>0</v>
      </c>
      <c r="J129" t="n">
        <v>0</v>
      </c>
      <c r="K129" t="n">
        <v>0</v>
      </c>
      <c r="L129" t="n">
        <v>0</v>
      </c>
      <c r="M129" t="n">
        <v>0</v>
      </c>
      <c r="N129" t="n">
        <v>0</v>
      </c>
      <c r="O129" t="n">
        <v>0</v>
      </c>
      <c r="P129" t="n">
        <v>0</v>
      </c>
      <c r="Q129" t="n">
        <v>0</v>
      </c>
      <c r="R129" s="2" t="inlineStr"/>
    </row>
    <row r="130" ht="15" customHeight="1">
      <c r="A130" t="inlineStr">
        <is>
          <t>A 6172-2023</t>
        </is>
      </c>
      <c r="B130" s="1" t="n">
        <v>44964.68663194445</v>
      </c>
      <c r="C130" s="1" t="n">
        <v>46086</v>
      </c>
      <c r="D130" t="inlineStr">
        <is>
          <t>UPPSALA LÄN</t>
        </is>
      </c>
      <c r="E130" t="inlineStr">
        <is>
          <t>ENKÖPING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14402-2023</t>
        </is>
      </c>
      <c r="B131" s="1" t="n">
        <v>45012</v>
      </c>
      <c r="C131" s="1" t="n">
        <v>46086</v>
      </c>
      <c r="D131" t="inlineStr">
        <is>
          <t>UPPSALA LÄN</t>
        </is>
      </c>
      <c r="E131" t="inlineStr">
        <is>
          <t>ENKÖPING</t>
        </is>
      </c>
      <c r="G131" t="n">
        <v>9.5</v>
      </c>
      <c r="H131" t="n">
        <v>0</v>
      </c>
      <c r="I131" t="n">
        <v>0</v>
      </c>
      <c r="J131" t="n">
        <v>0</v>
      </c>
      <c r="K131" t="n">
        <v>0</v>
      </c>
      <c r="L131" t="n">
        <v>0</v>
      </c>
      <c r="M131" t="n">
        <v>0</v>
      </c>
      <c r="N131" t="n">
        <v>0</v>
      </c>
      <c r="O131" t="n">
        <v>0</v>
      </c>
      <c r="P131" t="n">
        <v>0</v>
      </c>
      <c r="Q131" t="n">
        <v>0</v>
      </c>
      <c r="R131" s="2" t="inlineStr"/>
    </row>
    <row r="132" ht="15" customHeight="1">
      <c r="A132" t="inlineStr">
        <is>
          <t>A 27983-2024</t>
        </is>
      </c>
      <c r="B132" s="1" t="n">
        <v>45476</v>
      </c>
      <c r="C132" s="1" t="n">
        <v>46086</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43697-2024</t>
        </is>
      </c>
      <c r="B133" s="1" t="n">
        <v>45569</v>
      </c>
      <c r="C133" s="1" t="n">
        <v>46086</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19298-2023</t>
        </is>
      </c>
      <c r="B134" s="1" t="n">
        <v>45048</v>
      </c>
      <c r="C134" s="1" t="n">
        <v>46086</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15939-2022</t>
        </is>
      </c>
      <c r="B135" s="1" t="n">
        <v>44664</v>
      </c>
      <c r="C135" s="1" t="n">
        <v>46086</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57153-2021</t>
        </is>
      </c>
      <c r="B136" s="1" t="n">
        <v>44482</v>
      </c>
      <c r="C136" s="1" t="n">
        <v>46086</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45283-2022</t>
        </is>
      </c>
      <c r="B137" s="1" t="n">
        <v>44844</v>
      </c>
      <c r="C137" s="1" t="n">
        <v>46086</v>
      </c>
      <c r="D137" t="inlineStr">
        <is>
          <t>UPPSALA LÄN</t>
        </is>
      </c>
      <c r="E137" t="inlineStr">
        <is>
          <t>ENKÖPING</t>
        </is>
      </c>
      <c r="G137" t="n">
        <v>5.9</v>
      </c>
      <c r="H137" t="n">
        <v>0</v>
      </c>
      <c r="I137" t="n">
        <v>0</v>
      </c>
      <c r="J137" t="n">
        <v>0</v>
      </c>
      <c r="K137" t="n">
        <v>0</v>
      </c>
      <c r="L137" t="n">
        <v>0</v>
      </c>
      <c r="M137" t="n">
        <v>0</v>
      </c>
      <c r="N137" t="n">
        <v>0</v>
      </c>
      <c r="O137" t="n">
        <v>0</v>
      </c>
      <c r="P137" t="n">
        <v>0</v>
      </c>
      <c r="Q137" t="n">
        <v>0</v>
      </c>
      <c r="R137" s="2" t="inlineStr"/>
    </row>
    <row r="138" ht="15" customHeight="1">
      <c r="A138" t="inlineStr">
        <is>
          <t>A 42589-2022</t>
        </is>
      </c>
      <c r="B138" s="1" t="n">
        <v>44831</v>
      </c>
      <c r="C138" s="1" t="n">
        <v>46086</v>
      </c>
      <c r="D138" t="inlineStr">
        <is>
          <t>UPPSALA LÄN</t>
        </is>
      </c>
      <c r="E138" t="inlineStr">
        <is>
          <t>ENKÖPING</t>
        </is>
      </c>
      <c r="G138" t="n">
        <v>20</v>
      </c>
      <c r="H138" t="n">
        <v>0</v>
      </c>
      <c r="I138" t="n">
        <v>0</v>
      </c>
      <c r="J138" t="n">
        <v>0</v>
      </c>
      <c r="K138" t="n">
        <v>0</v>
      </c>
      <c r="L138" t="n">
        <v>0</v>
      </c>
      <c r="M138" t="n">
        <v>0</v>
      </c>
      <c r="N138" t="n">
        <v>0</v>
      </c>
      <c r="O138" t="n">
        <v>0</v>
      </c>
      <c r="P138" t="n">
        <v>0</v>
      </c>
      <c r="Q138" t="n">
        <v>0</v>
      </c>
      <c r="R138" s="2" t="inlineStr"/>
    </row>
    <row r="139" ht="15" customHeight="1">
      <c r="A139" t="inlineStr">
        <is>
          <t>A 41826-2024</t>
        </is>
      </c>
      <c r="B139" s="1" t="n">
        <v>45561</v>
      </c>
      <c r="C139" s="1" t="n">
        <v>46086</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840-2025</t>
        </is>
      </c>
      <c r="B140" s="1" t="n">
        <v>45665</v>
      </c>
      <c r="C140" s="1" t="n">
        <v>46086</v>
      </c>
      <c r="D140" t="inlineStr">
        <is>
          <t>UPPSALA LÄN</t>
        </is>
      </c>
      <c r="E140" t="inlineStr">
        <is>
          <t>ENKÖPING</t>
        </is>
      </c>
      <c r="G140" t="n">
        <v>0.9</v>
      </c>
      <c r="H140" t="n">
        <v>0</v>
      </c>
      <c r="I140" t="n">
        <v>0</v>
      </c>
      <c r="J140" t="n">
        <v>0</v>
      </c>
      <c r="K140" t="n">
        <v>0</v>
      </c>
      <c r="L140" t="n">
        <v>0</v>
      </c>
      <c r="M140" t="n">
        <v>0</v>
      </c>
      <c r="N140" t="n">
        <v>0</v>
      </c>
      <c r="O140" t="n">
        <v>0</v>
      </c>
      <c r="P140" t="n">
        <v>0</v>
      </c>
      <c r="Q140" t="n">
        <v>0</v>
      </c>
      <c r="R140" s="2" t="inlineStr"/>
    </row>
    <row r="141" ht="15" customHeight="1">
      <c r="A141" t="inlineStr">
        <is>
          <t>A 45142-2023</t>
        </is>
      </c>
      <c r="B141" s="1" t="n">
        <v>45191.4702662037</v>
      </c>
      <c r="C141" s="1" t="n">
        <v>46086</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37115-2024</t>
        </is>
      </c>
      <c r="B142" s="1" t="n">
        <v>45539</v>
      </c>
      <c r="C142" s="1" t="n">
        <v>46086</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11918-2025</t>
        </is>
      </c>
      <c r="B143" s="1" t="n">
        <v>45728.49331018519</v>
      </c>
      <c r="C143" s="1" t="n">
        <v>46086</v>
      </c>
      <c r="D143" t="inlineStr">
        <is>
          <t>UPPSALA LÄN</t>
        </is>
      </c>
      <c r="E143" t="inlineStr">
        <is>
          <t>ENKÖPING</t>
        </is>
      </c>
      <c r="G143" t="n">
        <v>1.2</v>
      </c>
      <c r="H143" t="n">
        <v>0</v>
      </c>
      <c r="I143" t="n">
        <v>0</v>
      </c>
      <c r="J143" t="n">
        <v>0</v>
      </c>
      <c r="K143" t="n">
        <v>0</v>
      </c>
      <c r="L143" t="n">
        <v>0</v>
      </c>
      <c r="M143" t="n">
        <v>0</v>
      </c>
      <c r="N143" t="n">
        <v>0</v>
      </c>
      <c r="O143" t="n">
        <v>0</v>
      </c>
      <c r="P143" t="n">
        <v>0</v>
      </c>
      <c r="Q143" t="n">
        <v>0</v>
      </c>
      <c r="R143" s="2" t="inlineStr"/>
    </row>
    <row r="144" ht="15" customHeight="1">
      <c r="A144" t="inlineStr">
        <is>
          <t>A 845-2025</t>
        </is>
      </c>
      <c r="B144" s="1" t="n">
        <v>45665</v>
      </c>
      <c r="C144" s="1" t="n">
        <v>46086</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849-2025</t>
        </is>
      </c>
      <c r="B145" s="1" t="n">
        <v>45665</v>
      </c>
      <c r="C145" s="1" t="n">
        <v>46086</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31242-2024</t>
        </is>
      </c>
      <c r="B146" s="1" t="n">
        <v>45503</v>
      </c>
      <c r="C146" s="1" t="n">
        <v>46086</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35647-2021</t>
        </is>
      </c>
      <c r="B147" s="1" t="n">
        <v>44386</v>
      </c>
      <c r="C147" s="1" t="n">
        <v>46086</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62158-2023</t>
        </is>
      </c>
      <c r="B148" s="1" t="n">
        <v>45267</v>
      </c>
      <c r="C148" s="1" t="n">
        <v>46086</v>
      </c>
      <c r="D148" t="inlineStr">
        <is>
          <t>UPPSALA LÄN</t>
        </is>
      </c>
      <c r="E148" t="inlineStr">
        <is>
          <t>ENKÖPING</t>
        </is>
      </c>
      <c r="G148" t="n">
        <v>1.4</v>
      </c>
      <c r="H148" t="n">
        <v>0</v>
      </c>
      <c r="I148" t="n">
        <v>0</v>
      </c>
      <c r="J148" t="n">
        <v>0</v>
      </c>
      <c r="K148" t="n">
        <v>0</v>
      </c>
      <c r="L148" t="n">
        <v>0</v>
      </c>
      <c r="M148" t="n">
        <v>0</v>
      </c>
      <c r="N148" t="n">
        <v>0</v>
      </c>
      <c r="O148" t="n">
        <v>0</v>
      </c>
      <c r="P148" t="n">
        <v>0</v>
      </c>
      <c r="Q148" t="n">
        <v>0</v>
      </c>
      <c r="R148" s="2" t="inlineStr"/>
    </row>
    <row r="149" ht="15" customHeight="1">
      <c r="A149" t="inlineStr">
        <is>
          <t>A 60350-2022</t>
        </is>
      </c>
      <c r="B149" s="1" t="n">
        <v>44910</v>
      </c>
      <c r="C149" s="1" t="n">
        <v>46086</v>
      </c>
      <c r="D149" t="inlineStr">
        <is>
          <t>UPPSALA LÄN</t>
        </is>
      </c>
      <c r="E149" t="inlineStr">
        <is>
          <t>ENKÖPING</t>
        </is>
      </c>
      <c r="F149" t="inlineStr">
        <is>
          <t>Allmännings- och besparingsskogar</t>
        </is>
      </c>
      <c r="G149" t="n">
        <v>3.5</v>
      </c>
      <c r="H149" t="n">
        <v>0</v>
      </c>
      <c r="I149" t="n">
        <v>0</v>
      </c>
      <c r="J149" t="n">
        <v>0</v>
      </c>
      <c r="K149" t="n">
        <v>0</v>
      </c>
      <c r="L149" t="n">
        <v>0</v>
      </c>
      <c r="M149" t="n">
        <v>0</v>
      </c>
      <c r="N149" t="n">
        <v>0</v>
      </c>
      <c r="O149" t="n">
        <v>0</v>
      </c>
      <c r="P149" t="n">
        <v>0</v>
      </c>
      <c r="Q149" t="n">
        <v>0</v>
      </c>
      <c r="R149" s="2" t="inlineStr"/>
    </row>
    <row r="150" ht="15" customHeight="1">
      <c r="A150" t="inlineStr">
        <is>
          <t>A 10458-2022</t>
        </is>
      </c>
      <c r="B150" s="1" t="n">
        <v>44623.56711805556</v>
      </c>
      <c r="C150" s="1" t="n">
        <v>46086</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9957-2023</t>
        </is>
      </c>
      <c r="B151" s="1" t="n">
        <v>44978</v>
      </c>
      <c r="C151" s="1" t="n">
        <v>46086</v>
      </c>
      <c r="D151" t="inlineStr">
        <is>
          <t>UPPSALA LÄN</t>
        </is>
      </c>
      <c r="E151" t="inlineStr">
        <is>
          <t>ENKÖPING</t>
        </is>
      </c>
      <c r="G151" t="n">
        <v>5.9</v>
      </c>
      <c r="H151" t="n">
        <v>0</v>
      </c>
      <c r="I151" t="n">
        <v>0</v>
      </c>
      <c r="J151" t="n">
        <v>0</v>
      </c>
      <c r="K151" t="n">
        <v>0</v>
      </c>
      <c r="L151" t="n">
        <v>0</v>
      </c>
      <c r="M151" t="n">
        <v>0</v>
      </c>
      <c r="N151" t="n">
        <v>0</v>
      </c>
      <c r="O151" t="n">
        <v>0</v>
      </c>
      <c r="P151" t="n">
        <v>0</v>
      </c>
      <c r="Q151" t="n">
        <v>0</v>
      </c>
      <c r="R151" s="2" t="inlineStr"/>
    </row>
    <row r="152" ht="15" customHeight="1">
      <c r="A152" t="inlineStr">
        <is>
          <t>A 44115-2024</t>
        </is>
      </c>
      <c r="B152" s="1" t="n">
        <v>45572</v>
      </c>
      <c r="C152" s="1" t="n">
        <v>46086</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63402-2023</t>
        </is>
      </c>
      <c r="B153" s="1" t="n">
        <v>45274.50646990741</v>
      </c>
      <c r="C153" s="1" t="n">
        <v>46086</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16916-2023</t>
        </is>
      </c>
      <c r="B154" s="1" t="n">
        <v>45033.58347222222</v>
      </c>
      <c r="C154" s="1" t="n">
        <v>46086</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56886-2023</t>
        </is>
      </c>
      <c r="B155" s="1" t="n">
        <v>45239</v>
      </c>
      <c r="C155" s="1" t="n">
        <v>46086</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35067-2024</t>
        </is>
      </c>
      <c r="B156" s="1" t="n">
        <v>45527.66153935185</v>
      </c>
      <c r="C156" s="1" t="n">
        <v>46086</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18592-2021</t>
        </is>
      </c>
      <c r="B157" s="1" t="n">
        <v>44306</v>
      </c>
      <c r="C157" s="1" t="n">
        <v>46086</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6356-2022</t>
        </is>
      </c>
      <c r="B158" s="1" t="n">
        <v>44600</v>
      </c>
      <c r="C158" s="1" t="n">
        <v>46086</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56176-2021</t>
        </is>
      </c>
      <c r="B159" s="1" t="n">
        <v>44477</v>
      </c>
      <c r="C159" s="1" t="n">
        <v>46086</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13816-2021</t>
        </is>
      </c>
      <c r="B160" s="1" t="n">
        <v>44276</v>
      </c>
      <c r="C160" s="1" t="n">
        <v>46086</v>
      </c>
      <c r="D160" t="inlineStr">
        <is>
          <t>UPPSALA LÄN</t>
        </is>
      </c>
      <c r="E160" t="inlineStr">
        <is>
          <t>ENKÖPING</t>
        </is>
      </c>
      <c r="G160" t="n">
        <v>0.4</v>
      </c>
      <c r="H160" t="n">
        <v>0</v>
      </c>
      <c r="I160" t="n">
        <v>0</v>
      </c>
      <c r="J160" t="n">
        <v>0</v>
      </c>
      <c r="K160" t="n">
        <v>0</v>
      </c>
      <c r="L160" t="n">
        <v>0</v>
      </c>
      <c r="M160" t="n">
        <v>0</v>
      </c>
      <c r="N160" t="n">
        <v>0</v>
      </c>
      <c r="O160" t="n">
        <v>0</v>
      </c>
      <c r="P160" t="n">
        <v>0</v>
      </c>
      <c r="Q160" t="n">
        <v>0</v>
      </c>
      <c r="R160" s="2" t="inlineStr"/>
    </row>
    <row r="161" ht="15" customHeight="1">
      <c r="A161" t="inlineStr">
        <is>
          <t>A 27829-2025</t>
        </is>
      </c>
      <c r="B161" s="1" t="n">
        <v>45817</v>
      </c>
      <c r="C161" s="1" t="n">
        <v>46086</v>
      </c>
      <c r="D161" t="inlineStr">
        <is>
          <t>UPPSALA LÄN</t>
        </is>
      </c>
      <c r="E161" t="inlineStr">
        <is>
          <t>ENKÖPING</t>
        </is>
      </c>
      <c r="G161" t="n">
        <v>2.1</v>
      </c>
      <c r="H161" t="n">
        <v>0</v>
      </c>
      <c r="I161" t="n">
        <v>0</v>
      </c>
      <c r="J161" t="n">
        <v>0</v>
      </c>
      <c r="K161" t="n">
        <v>0</v>
      </c>
      <c r="L161" t="n">
        <v>0</v>
      </c>
      <c r="M161" t="n">
        <v>0</v>
      </c>
      <c r="N161" t="n">
        <v>0</v>
      </c>
      <c r="O161" t="n">
        <v>0</v>
      </c>
      <c r="P161" t="n">
        <v>0</v>
      </c>
      <c r="Q161" t="n">
        <v>0</v>
      </c>
      <c r="R161" s="2" t="inlineStr"/>
    </row>
    <row r="162" ht="15" customHeight="1">
      <c r="A162" t="inlineStr">
        <is>
          <t>A 69344-2021</t>
        </is>
      </c>
      <c r="B162" s="1" t="n">
        <v>44531</v>
      </c>
      <c r="C162" s="1" t="n">
        <v>46086</v>
      </c>
      <c r="D162" t="inlineStr">
        <is>
          <t>UPPSALA LÄN</t>
        </is>
      </c>
      <c r="E162" t="inlineStr">
        <is>
          <t>ENKÖPING</t>
        </is>
      </c>
      <c r="G162" t="n">
        <v>2.9</v>
      </c>
      <c r="H162" t="n">
        <v>0</v>
      </c>
      <c r="I162" t="n">
        <v>0</v>
      </c>
      <c r="J162" t="n">
        <v>0</v>
      </c>
      <c r="K162" t="n">
        <v>0</v>
      </c>
      <c r="L162" t="n">
        <v>0</v>
      </c>
      <c r="M162" t="n">
        <v>0</v>
      </c>
      <c r="N162" t="n">
        <v>0</v>
      </c>
      <c r="O162" t="n">
        <v>0</v>
      </c>
      <c r="P162" t="n">
        <v>0</v>
      </c>
      <c r="Q162" t="n">
        <v>0</v>
      </c>
      <c r="R162" s="2" t="inlineStr"/>
    </row>
    <row r="163" ht="15" customHeight="1">
      <c r="A163" t="inlineStr">
        <is>
          <t>A 39009-2024</t>
        </is>
      </c>
      <c r="B163" s="1" t="n">
        <v>45548</v>
      </c>
      <c r="C163" s="1" t="n">
        <v>46086</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8537-2025</t>
        </is>
      </c>
      <c r="B164" s="1" t="n">
        <v>45709</v>
      </c>
      <c r="C164" s="1" t="n">
        <v>46086</v>
      </c>
      <c r="D164" t="inlineStr">
        <is>
          <t>UPPSALA LÄN</t>
        </is>
      </c>
      <c r="E164" t="inlineStr">
        <is>
          <t>ENKÖPING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28758-2025</t>
        </is>
      </c>
      <c r="B165" s="1" t="n">
        <v>45820.41212962963</v>
      </c>
      <c r="C165" s="1" t="n">
        <v>46086</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28862-2025</t>
        </is>
      </c>
      <c r="B166" s="1" t="n">
        <v>45820.59189814814</v>
      </c>
      <c r="C166" s="1" t="n">
        <v>46086</v>
      </c>
      <c r="D166" t="inlineStr">
        <is>
          <t>UPPSALA LÄN</t>
        </is>
      </c>
      <c r="E166" t="inlineStr">
        <is>
          <t>ENKÖPING</t>
        </is>
      </c>
      <c r="G166" t="n">
        <v>2.2</v>
      </c>
      <c r="H166" t="n">
        <v>0</v>
      </c>
      <c r="I166" t="n">
        <v>0</v>
      </c>
      <c r="J166" t="n">
        <v>0</v>
      </c>
      <c r="K166" t="n">
        <v>0</v>
      </c>
      <c r="L166" t="n">
        <v>0</v>
      </c>
      <c r="M166" t="n">
        <v>0</v>
      </c>
      <c r="N166" t="n">
        <v>0</v>
      </c>
      <c r="O166" t="n">
        <v>0</v>
      </c>
      <c r="P166" t="n">
        <v>0</v>
      </c>
      <c r="Q166" t="n">
        <v>0</v>
      </c>
      <c r="R166" s="2" t="inlineStr"/>
    </row>
    <row r="167" ht="15" customHeight="1">
      <c r="A167" t="inlineStr">
        <is>
          <t>A 28855-2025</t>
        </is>
      </c>
      <c r="B167" s="1" t="n">
        <v>45820.58274305556</v>
      </c>
      <c r="C167" s="1" t="n">
        <v>46086</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29093-2025</t>
        </is>
      </c>
      <c r="B168" s="1" t="n">
        <v>45821.55743055556</v>
      </c>
      <c r="C168" s="1" t="n">
        <v>46086</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12434-2021</t>
        </is>
      </c>
      <c r="B169" s="1" t="n">
        <v>44267</v>
      </c>
      <c r="C169" s="1" t="n">
        <v>46086</v>
      </c>
      <c r="D169" t="inlineStr">
        <is>
          <t>UPPSALA LÄN</t>
        </is>
      </c>
      <c r="E169" t="inlineStr">
        <is>
          <t>ENKÖPING</t>
        </is>
      </c>
      <c r="G169" t="n">
        <v>5.3</v>
      </c>
      <c r="H169" t="n">
        <v>0</v>
      </c>
      <c r="I169" t="n">
        <v>0</v>
      </c>
      <c r="J169" t="n">
        <v>0</v>
      </c>
      <c r="K169" t="n">
        <v>0</v>
      </c>
      <c r="L169" t="n">
        <v>0</v>
      </c>
      <c r="M169" t="n">
        <v>0</v>
      </c>
      <c r="N169" t="n">
        <v>0</v>
      </c>
      <c r="O169" t="n">
        <v>0</v>
      </c>
      <c r="P169" t="n">
        <v>0</v>
      </c>
      <c r="Q169" t="n">
        <v>0</v>
      </c>
      <c r="R169" s="2" t="inlineStr"/>
    </row>
    <row r="170" ht="15" customHeight="1">
      <c r="A170" t="inlineStr">
        <is>
          <t>A 49614-2024</t>
        </is>
      </c>
      <c r="B170" s="1" t="n">
        <v>45596.57716435185</v>
      </c>
      <c r="C170" s="1" t="n">
        <v>46086</v>
      </c>
      <c r="D170" t="inlineStr">
        <is>
          <t>UPPSALA LÄN</t>
        </is>
      </c>
      <c r="E170" t="inlineStr">
        <is>
          <t>ENKÖPING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49632-2024</t>
        </is>
      </c>
      <c r="B171" s="1" t="n">
        <v>45596</v>
      </c>
      <c r="C171" s="1" t="n">
        <v>46086</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29479-2022</t>
        </is>
      </c>
      <c r="B172" s="1" t="n">
        <v>44753.57265046296</v>
      </c>
      <c r="C172" s="1" t="n">
        <v>46086</v>
      </c>
      <c r="D172" t="inlineStr">
        <is>
          <t>UPPSALA LÄN</t>
        </is>
      </c>
      <c r="E172" t="inlineStr">
        <is>
          <t>ENKÖPING</t>
        </is>
      </c>
      <c r="G172" t="n">
        <v>0.9</v>
      </c>
      <c r="H172" t="n">
        <v>0</v>
      </c>
      <c r="I172" t="n">
        <v>0</v>
      </c>
      <c r="J172" t="n">
        <v>0</v>
      </c>
      <c r="K172" t="n">
        <v>0</v>
      </c>
      <c r="L172" t="n">
        <v>0</v>
      </c>
      <c r="M172" t="n">
        <v>0</v>
      </c>
      <c r="N172" t="n">
        <v>0</v>
      </c>
      <c r="O172" t="n">
        <v>0</v>
      </c>
      <c r="P172" t="n">
        <v>0</v>
      </c>
      <c r="Q172" t="n">
        <v>0</v>
      </c>
      <c r="R172" s="2" t="inlineStr"/>
    </row>
    <row r="173" ht="15" customHeight="1">
      <c r="A173" t="inlineStr">
        <is>
          <t>A 39746-2025</t>
        </is>
      </c>
      <c r="B173" s="1" t="n">
        <v>45891</v>
      </c>
      <c r="C173" s="1" t="n">
        <v>46086</v>
      </c>
      <c r="D173" t="inlineStr">
        <is>
          <t>UPPSALA LÄN</t>
        </is>
      </c>
      <c r="E173" t="inlineStr">
        <is>
          <t>ENKÖPING</t>
        </is>
      </c>
      <c r="G173" t="n">
        <v>7.4</v>
      </c>
      <c r="H173" t="n">
        <v>0</v>
      </c>
      <c r="I173" t="n">
        <v>0</v>
      </c>
      <c r="J173" t="n">
        <v>0</v>
      </c>
      <c r="K173" t="n">
        <v>0</v>
      </c>
      <c r="L173" t="n">
        <v>0</v>
      </c>
      <c r="M173" t="n">
        <v>0</v>
      </c>
      <c r="N173" t="n">
        <v>0</v>
      </c>
      <c r="O173" t="n">
        <v>0</v>
      </c>
      <c r="P173" t="n">
        <v>0</v>
      </c>
      <c r="Q173" t="n">
        <v>0</v>
      </c>
      <c r="R173" s="2" t="inlineStr"/>
    </row>
    <row r="174" ht="15" customHeight="1">
      <c r="A174" t="inlineStr">
        <is>
          <t>A 2258-2026</t>
        </is>
      </c>
      <c r="B174" s="1" t="n">
        <v>46036</v>
      </c>
      <c r="C174" s="1" t="n">
        <v>46086</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27538-2023</t>
        </is>
      </c>
      <c r="B175" s="1" t="n">
        <v>45097</v>
      </c>
      <c r="C175" s="1" t="n">
        <v>46086</v>
      </c>
      <c r="D175" t="inlineStr">
        <is>
          <t>UPPSALA LÄN</t>
        </is>
      </c>
      <c r="E175" t="inlineStr">
        <is>
          <t>ENKÖPING</t>
        </is>
      </c>
      <c r="G175" t="n">
        <v>5.8</v>
      </c>
      <c r="H175" t="n">
        <v>0</v>
      </c>
      <c r="I175" t="n">
        <v>0</v>
      </c>
      <c r="J175" t="n">
        <v>0</v>
      </c>
      <c r="K175" t="n">
        <v>0</v>
      </c>
      <c r="L175" t="n">
        <v>0</v>
      </c>
      <c r="M175" t="n">
        <v>0</v>
      </c>
      <c r="N175" t="n">
        <v>0</v>
      </c>
      <c r="O175" t="n">
        <v>0</v>
      </c>
      <c r="P175" t="n">
        <v>0</v>
      </c>
      <c r="Q175" t="n">
        <v>0</v>
      </c>
      <c r="R175" s="2" t="inlineStr"/>
    </row>
    <row r="176" ht="15" customHeight="1">
      <c r="A176" t="inlineStr">
        <is>
          <t>A 15409-2025</t>
        </is>
      </c>
      <c r="B176" s="1" t="n">
        <v>45747</v>
      </c>
      <c r="C176" s="1" t="n">
        <v>46086</v>
      </c>
      <c r="D176" t="inlineStr">
        <is>
          <t>UPPSALA LÄN</t>
        </is>
      </c>
      <c r="E176" t="inlineStr">
        <is>
          <t>ENKÖPING</t>
        </is>
      </c>
      <c r="G176" t="n">
        <v>2.5</v>
      </c>
      <c r="H176" t="n">
        <v>0</v>
      </c>
      <c r="I176" t="n">
        <v>0</v>
      </c>
      <c r="J176" t="n">
        <v>0</v>
      </c>
      <c r="K176" t="n">
        <v>0</v>
      </c>
      <c r="L176" t="n">
        <v>0</v>
      </c>
      <c r="M176" t="n">
        <v>0</v>
      </c>
      <c r="N176" t="n">
        <v>0</v>
      </c>
      <c r="O176" t="n">
        <v>0</v>
      </c>
      <c r="P176" t="n">
        <v>0</v>
      </c>
      <c r="Q176" t="n">
        <v>0</v>
      </c>
      <c r="R176" s="2" t="inlineStr"/>
    </row>
    <row r="177" ht="15" customHeight="1">
      <c r="A177" t="inlineStr">
        <is>
          <t>A 60874-2023</t>
        </is>
      </c>
      <c r="B177" s="1" t="n">
        <v>45261.06280092592</v>
      </c>
      <c r="C177" s="1" t="n">
        <v>46086</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50394-2024</t>
        </is>
      </c>
      <c r="B178" s="1" t="n">
        <v>45600</v>
      </c>
      <c r="C178" s="1" t="n">
        <v>46086</v>
      </c>
      <c r="D178" t="inlineStr">
        <is>
          <t>UPPSALA LÄN</t>
        </is>
      </c>
      <c r="E178" t="inlineStr">
        <is>
          <t>ENKÖPING</t>
        </is>
      </c>
      <c r="G178" t="n">
        <v>1.2</v>
      </c>
      <c r="H178" t="n">
        <v>0</v>
      </c>
      <c r="I178" t="n">
        <v>0</v>
      </c>
      <c r="J178" t="n">
        <v>0</v>
      </c>
      <c r="K178" t="n">
        <v>0</v>
      </c>
      <c r="L178" t="n">
        <v>0</v>
      </c>
      <c r="M178" t="n">
        <v>0</v>
      </c>
      <c r="N178" t="n">
        <v>0</v>
      </c>
      <c r="O178" t="n">
        <v>0</v>
      </c>
      <c r="P178" t="n">
        <v>0</v>
      </c>
      <c r="Q178" t="n">
        <v>0</v>
      </c>
      <c r="R178" s="2" t="inlineStr"/>
    </row>
    <row r="179" ht="15" customHeight="1">
      <c r="A179" t="inlineStr">
        <is>
          <t>A 30837-2025</t>
        </is>
      </c>
      <c r="B179" s="1" t="n">
        <v>45831.7063425926</v>
      </c>
      <c r="C179" s="1" t="n">
        <v>46086</v>
      </c>
      <c r="D179" t="inlineStr">
        <is>
          <t>UPPSALA LÄN</t>
        </is>
      </c>
      <c r="E179" t="inlineStr">
        <is>
          <t>ENKÖPING</t>
        </is>
      </c>
      <c r="G179" t="n">
        <v>3.8</v>
      </c>
      <c r="H179" t="n">
        <v>0</v>
      </c>
      <c r="I179" t="n">
        <v>0</v>
      </c>
      <c r="J179" t="n">
        <v>0</v>
      </c>
      <c r="K179" t="n">
        <v>0</v>
      </c>
      <c r="L179" t="n">
        <v>0</v>
      </c>
      <c r="M179" t="n">
        <v>0</v>
      </c>
      <c r="N179" t="n">
        <v>0</v>
      </c>
      <c r="O179" t="n">
        <v>0</v>
      </c>
      <c r="P179" t="n">
        <v>0</v>
      </c>
      <c r="Q179" t="n">
        <v>0</v>
      </c>
      <c r="R179" s="2" t="inlineStr"/>
    </row>
    <row r="180" ht="15" customHeight="1">
      <c r="A180" t="inlineStr">
        <is>
          <t>A 51010-2024</t>
        </is>
      </c>
      <c r="B180" s="1" t="n">
        <v>45603.39285879629</v>
      </c>
      <c r="C180" s="1" t="n">
        <v>46086</v>
      </c>
      <c r="D180" t="inlineStr">
        <is>
          <t>UPPSALA LÄN</t>
        </is>
      </c>
      <c r="E180" t="inlineStr">
        <is>
          <t>ENKÖPING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2218-2026</t>
        </is>
      </c>
      <c r="B181" s="1" t="n">
        <v>46036.50010416667</v>
      </c>
      <c r="C181" s="1" t="n">
        <v>46086</v>
      </c>
      <c r="D181" t="inlineStr">
        <is>
          <t>UPPSALA LÄN</t>
        </is>
      </c>
      <c r="E181" t="inlineStr">
        <is>
          <t>ENKÖPING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41616-2025</t>
        </is>
      </c>
      <c r="B182" s="1" t="n">
        <v>45901.69684027778</v>
      </c>
      <c r="C182" s="1" t="n">
        <v>46086</v>
      </c>
      <c r="D182" t="inlineStr">
        <is>
          <t>UPPSALA LÄN</t>
        </is>
      </c>
      <c r="E182" t="inlineStr">
        <is>
          <t>ENKÖPING</t>
        </is>
      </c>
      <c r="F182" t="inlineStr">
        <is>
          <t>Allmännings- och besparingsskogar</t>
        </is>
      </c>
      <c r="G182" t="n">
        <v>17.3</v>
      </c>
      <c r="H182" t="n">
        <v>0</v>
      </c>
      <c r="I182" t="n">
        <v>0</v>
      </c>
      <c r="J182" t="n">
        <v>0</v>
      </c>
      <c r="K182" t="n">
        <v>0</v>
      </c>
      <c r="L182" t="n">
        <v>0</v>
      </c>
      <c r="M182" t="n">
        <v>0</v>
      </c>
      <c r="N182" t="n">
        <v>0</v>
      </c>
      <c r="O182" t="n">
        <v>0</v>
      </c>
      <c r="P182" t="n">
        <v>0</v>
      </c>
      <c r="Q182" t="n">
        <v>0</v>
      </c>
      <c r="R182" s="2" t="inlineStr"/>
    </row>
    <row r="183" ht="15" customHeight="1">
      <c r="A183" t="inlineStr">
        <is>
          <t>A 43016-2021</t>
        </is>
      </c>
      <c r="B183" s="1" t="n">
        <v>44431</v>
      </c>
      <c r="C183" s="1" t="n">
        <v>46086</v>
      </c>
      <c r="D183" t="inlineStr">
        <is>
          <t>UPPSALA LÄN</t>
        </is>
      </c>
      <c r="E183" t="inlineStr">
        <is>
          <t>ENKÖPING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41637-2025</t>
        </is>
      </c>
      <c r="B184" s="1" t="n">
        <v>45901</v>
      </c>
      <c r="C184" s="1" t="n">
        <v>46086</v>
      </c>
      <c r="D184" t="inlineStr">
        <is>
          <t>UPPSALA LÄN</t>
        </is>
      </c>
      <c r="E184" t="inlineStr">
        <is>
          <t>ENKÖPING</t>
        </is>
      </c>
      <c r="F184" t="inlineStr">
        <is>
          <t>Allmännings- och besparingsskogar</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19147-2024</t>
        </is>
      </c>
      <c r="B185" s="1" t="n">
        <v>45428</v>
      </c>
      <c r="C185" s="1" t="n">
        <v>46086</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41618-2025</t>
        </is>
      </c>
      <c r="B186" s="1" t="n">
        <v>45901.70085648148</v>
      </c>
      <c r="C186" s="1" t="n">
        <v>46086</v>
      </c>
      <c r="D186" t="inlineStr">
        <is>
          <t>UPPSALA LÄN</t>
        </is>
      </c>
      <c r="E186" t="inlineStr">
        <is>
          <t>ENKÖPING</t>
        </is>
      </c>
      <c r="F186" t="inlineStr">
        <is>
          <t>Allmännings- och besparingsskogar</t>
        </is>
      </c>
      <c r="G186" t="n">
        <v>5.3</v>
      </c>
      <c r="H186" t="n">
        <v>0</v>
      </c>
      <c r="I186" t="n">
        <v>0</v>
      </c>
      <c r="J186" t="n">
        <v>0</v>
      </c>
      <c r="K186" t="n">
        <v>0</v>
      </c>
      <c r="L186" t="n">
        <v>0</v>
      </c>
      <c r="M186" t="n">
        <v>0</v>
      </c>
      <c r="N186" t="n">
        <v>0</v>
      </c>
      <c r="O186" t="n">
        <v>0</v>
      </c>
      <c r="P186" t="n">
        <v>0</v>
      </c>
      <c r="Q186" t="n">
        <v>0</v>
      </c>
      <c r="R186" s="2" t="inlineStr"/>
    </row>
    <row r="187" ht="15" customHeight="1">
      <c r="A187" t="inlineStr">
        <is>
          <t>A 57209-2024</t>
        </is>
      </c>
      <c r="B187" s="1" t="n">
        <v>45629.49311342592</v>
      </c>
      <c r="C187" s="1" t="n">
        <v>46086</v>
      </c>
      <c r="D187" t="inlineStr">
        <is>
          <t>UPPSALA LÄN</t>
        </is>
      </c>
      <c r="E187" t="inlineStr">
        <is>
          <t>ENKÖPING</t>
        </is>
      </c>
      <c r="G187" t="n">
        <v>3.2</v>
      </c>
      <c r="H187" t="n">
        <v>0</v>
      </c>
      <c r="I187" t="n">
        <v>0</v>
      </c>
      <c r="J187" t="n">
        <v>0</v>
      </c>
      <c r="K187" t="n">
        <v>0</v>
      </c>
      <c r="L187" t="n">
        <v>0</v>
      </c>
      <c r="M187" t="n">
        <v>0</v>
      </c>
      <c r="N187" t="n">
        <v>0</v>
      </c>
      <c r="O187" t="n">
        <v>0</v>
      </c>
      <c r="P187" t="n">
        <v>0</v>
      </c>
      <c r="Q187" t="n">
        <v>0</v>
      </c>
      <c r="R187" s="2" t="inlineStr"/>
    </row>
    <row r="188" ht="15" customHeight="1">
      <c r="A188" t="inlineStr">
        <is>
          <t>A 51120-2023</t>
        </is>
      </c>
      <c r="B188" s="1" t="n">
        <v>45219.3088425926</v>
      </c>
      <c r="C188" s="1" t="n">
        <v>46086</v>
      </c>
      <c r="D188" t="inlineStr">
        <is>
          <t>UPPSALA LÄN</t>
        </is>
      </c>
      <c r="E188" t="inlineStr">
        <is>
          <t>ENKÖPING</t>
        </is>
      </c>
      <c r="G188" t="n">
        <v>1.4</v>
      </c>
      <c r="H188" t="n">
        <v>0</v>
      </c>
      <c r="I188" t="n">
        <v>0</v>
      </c>
      <c r="J188" t="n">
        <v>0</v>
      </c>
      <c r="K188" t="n">
        <v>0</v>
      </c>
      <c r="L188" t="n">
        <v>0</v>
      </c>
      <c r="M188" t="n">
        <v>0</v>
      </c>
      <c r="N188" t="n">
        <v>0</v>
      </c>
      <c r="O188" t="n">
        <v>0</v>
      </c>
      <c r="P188" t="n">
        <v>0</v>
      </c>
      <c r="Q188" t="n">
        <v>0</v>
      </c>
      <c r="R188" s="2" t="inlineStr"/>
    </row>
    <row r="189" ht="15" customHeight="1">
      <c r="A189" t="inlineStr">
        <is>
          <t>A 12878-2025</t>
        </is>
      </c>
      <c r="B189" s="1" t="n">
        <v>45733.68571759259</v>
      </c>
      <c r="C189" s="1" t="n">
        <v>46086</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32111-2025</t>
        </is>
      </c>
      <c r="B190" s="1" t="n">
        <v>45835</v>
      </c>
      <c r="C190" s="1" t="n">
        <v>46086</v>
      </c>
      <c r="D190" t="inlineStr">
        <is>
          <t>UPPSALA LÄN</t>
        </is>
      </c>
      <c r="E190" t="inlineStr">
        <is>
          <t>ENKÖPING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32031-2025</t>
        </is>
      </c>
      <c r="B191" s="1" t="n">
        <v>45835.41712962963</v>
      </c>
      <c r="C191" s="1" t="n">
        <v>46086</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42029-2025</t>
        </is>
      </c>
      <c r="B192" s="1" t="n">
        <v>45903</v>
      </c>
      <c r="C192" s="1" t="n">
        <v>46086</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41765-2025</t>
        </is>
      </c>
      <c r="B193" s="1" t="n">
        <v>45902</v>
      </c>
      <c r="C193" s="1" t="n">
        <v>46086</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43896-2022</t>
        </is>
      </c>
      <c r="B194" s="1" t="n">
        <v>44838</v>
      </c>
      <c r="C194" s="1" t="n">
        <v>46086</v>
      </c>
      <c r="D194" t="inlineStr">
        <is>
          <t>UPPSALA LÄN</t>
        </is>
      </c>
      <c r="E194" t="inlineStr">
        <is>
          <t>ENKÖPING</t>
        </is>
      </c>
      <c r="G194" t="n">
        <v>5.3</v>
      </c>
      <c r="H194" t="n">
        <v>0</v>
      </c>
      <c r="I194" t="n">
        <v>0</v>
      </c>
      <c r="J194" t="n">
        <v>0</v>
      </c>
      <c r="K194" t="n">
        <v>0</v>
      </c>
      <c r="L194" t="n">
        <v>0</v>
      </c>
      <c r="M194" t="n">
        <v>0</v>
      </c>
      <c r="N194" t="n">
        <v>0</v>
      </c>
      <c r="O194" t="n">
        <v>0</v>
      </c>
      <c r="P194" t="n">
        <v>0</v>
      </c>
      <c r="Q194" t="n">
        <v>0</v>
      </c>
      <c r="R194" s="2" t="inlineStr"/>
    </row>
    <row r="195" ht="15" customHeight="1">
      <c r="A195" t="inlineStr">
        <is>
          <t>A 47516-2022</t>
        </is>
      </c>
      <c r="B195" s="1" t="n">
        <v>44853.68895833333</v>
      </c>
      <c r="C195" s="1" t="n">
        <v>46086</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7090-2022</t>
        </is>
      </c>
      <c r="B196" s="1" t="n">
        <v>44603.59520833333</v>
      </c>
      <c r="C196" s="1" t="n">
        <v>46086</v>
      </c>
      <c r="D196" t="inlineStr">
        <is>
          <t>UPPSALA LÄN</t>
        </is>
      </c>
      <c r="E196" t="inlineStr">
        <is>
          <t>ENKÖPING</t>
        </is>
      </c>
      <c r="G196" t="n">
        <v>2.8</v>
      </c>
      <c r="H196" t="n">
        <v>0</v>
      </c>
      <c r="I196" t="n">
        <v>0</v>
      </c>
      <c r="J196" t="n">
        <v>0</v>
      </c>
      <c r="K196" t="n">
        <v>0</v>
      </c>
      <c r="L196" t="n">
        <v>0</v>
      </c>
      <c r="M196" t="n">
        <v>0</v>
      </c>
      <c r="N196" t="n">
        <v>0</v>
      </c>
      <c r="O196" t="n">
        <v>0</v>
      </c>
      <c r="P196" t="n">
        <v>0</v>
      </c>
      <c r="Q196" t="n">
        <v>0</v>
      </c>
      <c r="R196" s="2" t="inlineStr"/>
    </row>
    <row r="197" ht="15" customHeight="1">
      <c r="A197" t="inlineStr">
        <is>
          <t>A 9487-2025</t>
        </is>
      </c>
      <c r="B197" s="1" t="n">
        <v>45715.49331018519</v>
      </c>
      <c r="C197" s="1" t="n">
        <v>46086</v>
      </c>
      <c r="D197" t="inlineStr">
        <is>
          <t>UPPSALA LÄN</t>
        </is>
      </c>
      <c r="E197" t="inlineStr">
        <is>
          <t>ENKÖPING</t>
        </is>
      </c>
      <c r="G197" t="n">
        <v>0.8</v>
      </c>
      <c r="H197" t="n">
        <v>0</v>
      </c>
      <c r="I197" t="n">
        <v>0</v>
      </c>
      <c r="J197" t="n">
        <v>0</v>
      </c>
      <c r="K197" t="n">
        <v>0</v>
      </c>
      <c r="L197" t="n">
        <v>0</v>
      </c>
      <c r="M197" t="n">
        <v>0</v>
      </c>
      <c r="N197" t="n">
        <v>0</v>
      </c>
      <c r="O197" t="n">
        <v>0</v>
      </c>
      <c r="P197" t="n">
        <v>0</v>
      </c>
      <c r="Q197" t="n">
        <v>0</v>
      </c>
      <c r="R197" s="2" t="inlineStr"/>
    </row>
    <row r="198" ht="15" customHeight="1">
      <c r="A198" t="inlineStr">
        <is>
          <t>A 6144-2024</t>
        </is>
      </c>
      <c r="B198" s="1" t="n">
        <v>45337.4684837963</v>
      </c>
      <c r="C198" s="1" t="n">
        <v>46086</v>
      </c>
      <c r="D198" t="inlineStr">
        <is>
          <t>UPPSALA LÄN</t>
        </is>
      </c>
      <c r="E198" t="inlineStr">
        <is>
          <t>ENKÖPING</t>
        </is>
      </c>
      <c r="G198" t="n">
        <v>13.8</v>
      </c>
      <c r="H198" t="n">
        <v>0</v>
      </c>
      <c r="I198" t="n">
        <v>0</v>
      </c>
      <c r="J198" t="n">
        <v>0</v>
      </c>
      <c r="K198" t="n">
        <v>0</v>
      </c>
      <c r="L198" t="n">
        <v>0</v>
      </c>
      <c r="M198" t="n">
        <v>0</v>
      </c>
      <c r="N198" t="n">
        <v>0</v>
      </c>
      <c r="O198" t="n">
        <v>0</v>
      </c>
      <c r="P198" t="n">
        <v>0</v>
      </c>
      <c r="Q198" t="n">
        <v>0</v>
      </c>
      <c r="R198" s="2" t="inlineStr"/>
    </row>
    <row r="199" ht="15" customHeight="1">
      <c r="A199" t="inlineStr">
        <is>
          <t>A 33955-2024</t>
        </is>
      </c>
      <c r="B199" s="1" t="n">
        <v>45523.46952546296</v>
      </c>
      <c r="C199" s="1" t="n">
        <v>46086</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41764-2025</t>
        </is>
      </c>
      <c r="B200" s="1" t="n">
        <v>45902</v>
      </c>
      <c r="C200" s="1" t="n">
        <v>46086</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15740-2025</t>
        </is>
      </c>
      <c r="B201" s="1" t="n">
        <v>45748</v>
      </c>
      <c r="C201" s="1" t="n">
        <v>46086</v>
      </c>
      <c r="D201" t="inlineStr">
        <is>
          <t>UPPSALA LÄN</t>
        </is>
      </c>
      <c r="E201" t="inlineStr">
        <is>
          <t>ENKÖPING</t>
        </is>
      </c>
      <c r="G201" t="n">
        <v>0.9</v>
      </c>
      <c r="H201" t="n">
        <v>0</v>
      </c>
      <c r="I201" t="n">
        <v>0</v>
      </c>
      <c r="J201" t="n">
        <v>0</v>
      </c>
      <c r="K201" t="n">
        <v>0</v>
      </c>
      <c r="L201" t="n">
        <v>0</v>
      </c>
      <c r="M201" t="n">
        <v>0</v>
      </c>
      <c r="N201" t="n">
        <v>0</v>
      </c>
      <c r="O201" t="n">
        <v>0</v>
      </c>
      <c r="P201" t="n">
        <v>0</v>
      </c>
      <c r="Q201" t="n">
        <v>0</v>
      </c>
      <c r="R201" s="2" t="inlineStr"/>
    </row>
    <row r="202" ht="15" customHeight="1">
      <c r="A202" t="inlineStr">
        <is>
          <t>A 51042-2024</t>
        </is>
      </c>
      <c r="B202" s="1" t="n">
        <v>45603.4342824074</v>
      </c>
      <c r="C202" s="1" t="n">
        <v>46086</v>
      </c>
      <c r="D202" t="inlineStr">
        <is>
          <t>UPPSALA LÄN</t>
        </is>
      </c>
      <c r="E202" t="inlineStr">
        <is>
          <t>ENKÖPING</t>
        </is>
      </c>
      <c r="G202" t="n">
        <v>4.6</v>
      </c>
      <c r="H202" t="n">
        <v>0</v>
      </c>
      <c r="I202" t="n">
        <v>0</v>
      </c>
      <c r="J202" t="n">
        <v>0</v>
      </c>
      <c r="K202" t="n">
        <v>0</v>
      </c>
      <c r="L202" t="n">
        <v>0</v>
      </c>
      <c r="M202" t="n">
        <v>0</v>
      </c>
      <c r="N202" t="n">
        <v>0</v>
      </c>
      <c r="O202" t="n">
        <v>0</v>
      </c>
      <c r="P202" t="n">
        <v>0</v>
      </c>
      <c r="Q202" t="n">
        <v>0</v>
      </c>
      <c r="R202" s="2" t="inlineStr"/>
    </row>
    <row r="203" ht="15" customHeight="1">
      <c r="A203" t="inlineStr">
        <is>
          <t>A 51037-2024</t>
        </is>
      </c>
      <c r="B203" s="1" t="n">
        <v>45603.43005787037</v>
      </c>
      <c r="C203" s="1" t="n">
        <v>46086</v>
      </c>
      <c r="D203" t="inlineStr">
        <is>
          <t>UPPSALA LÄN</t>
        </is>
      </c>
      <c r="E203" t="inlineStr">
        <is>
          <t>ENKÖPING</t>
        </is>
      </c>
      <c r="G203" t="n">
        <v>5.7</v>
      </c>
      <c r="H203" t="n">
        <v>0</v>
      </c>
      <c r="I203" t="n">
        <v>0</v>
      </c>
      <c r="J203" t="n">
        <v>0</v>
      </c>
      <c r="K203" t="n">
        <v>0</v>
      </c>
      <c r="L203" t="n">
        <v>0</v>
      </c>
      <c r="M203" t="n">
        <v>0</v>
      </c>
      <c r="N203" t="n">
        <v>0</v>
      </c>
      <c r="O203" t="n">
        <v>0</v>
      </c>
      <c r="P203" t="n">
        <v>0</v>
      </c>
      <c r="Q203" t="n">
        <v>0</v>
      </c>
      <c r="R203" s="2" t="inlineStr"/>
    </row>
    <row r="204" ht="15" customHeight="1">
      <c r="A204" t="inlineStr">
        <is>
          <t>A 42756-2025</t>
        </is>
      </c>
      <c r="B204" s="1" t="n">
        <v>45908</v>
      </c>
      <c r="C204" s="1" t="n">
        <v>46086</v>
      </c>
      <c r="D204" t="inlineStr">
        <is>
          <t>UPPSALA LÄN</t>
        </is>
      </c>
      <c r="E204" t="inlineStr">
        <is>
          <t>ENKÖPING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22632-2025</t>
        </is>
      </c>
      <c r="B205" s="1" t="n">
        <v>45789.44361111111</v>
      </c>
      <c r="C205" s="1" t="n">
        <v>46086</v>
      </c>
      <c r="D205" t="inlineStr">
        <is>
          <t>UPPSALA LÄN</t>
        </is>
      </c>
      <c r="E205" t="inlineStr">
        <is>
          <t>ENKÖPING</t>
        </is>
      </c>
      <c r="G205" t="n">
        <v>2.1</v>
      </c>
      <c r="H205" t="n">
        <v>0</v>
      </c>
      <c r="I205" t="n">
        <v>0</v>
      </c>
      <c r="J205" t="n">
        <v>0</v>
      </c>
      <c r="K205" t="n">
        <v>0</v>
      </c>
      <c r="L205" t="n">
        <v>0</v>
      </c>
      <c r="M205" t="n">
        <v>0</v>
      </c>
      <c r="N205" t="n">
        <v>0</v>
      </c>
      <c r="O205" t="n">
        <v>0</v>
      </c>
      <c r="P205" t="n">
        <v>0</v>
      </c>
      <c r="Q205" t="n">
        <v>0</v>
      </c>
      <c r="R205" s="2" t="inlineStr"/>
    </row>
    <row r="206" ht="15" customHeight="1">
      <c r="A206" t="inlineStr">
        <is>
          <t>A 51027-2024</t>
        </is>
      </c>
      <c r="B206" s="1" t="n">
        <v>45603</v>
      </c>
      <c r="C206" s="1" t="n">
        <v>46086</v>
      </c>
      <c r="D206" t="inlineStr">
        <is>
          <t>UPPSALA LÄN</t>
        </is>
      </c>
      <c r="E206" t="inlineStr">
        <is>
          <t>ENKÖPING</t>
        </is>
      </c>
      <c r="G206" t="n">
        <v>3.5</v>
      </c>
      <c r="H206" t="n">
        <v>0</v>
      </c>
      <c r="I206" t="n">
        <v>0</v>
      </c>
      <c r="J206" t="n">
        <v>0</v>
      </c>
      <c r="K206" t="n">
        <v>0</v>
      </c>
      <c r="L206" t="n">
        <v>0</v>
      </c>
      <c r="M206" t="n">
        <v>0</v>
      </c>
      <c r="N206" t="n">
        <v>0</v>
      </c>
      <c r="O206" t="n">
        <v>0</v>
      </c>
      <c r="P206" t="n">
        <v>0</v>
      </c>
      <c r="Q206" t="n">
        <v>0</v>
      </c>
      <c r="R206" s="2" t="inlineStr"/>
    </row>
    <row r="207" ht="15" customHeight="1">
      <c r="A207" t="inlineStr">
        <is>
          <t>A 18994-2025</t>
        </is>
      </c>
      <c r="B207" s="1" t="n">
        <v>45764.57350694444</v>
      </c>
      <c r="C207" s="1" t="n">
        <v>46086</v>
      </c>
      <c r="D207" t="inlineStr">
        <is>
          <t>UPPSALA LÄN</t>
        </is>
      </c>
      <c r="E207" t="inlineStr">
        <is>
          <t>ENKÖPING</t>
        </is>
      </c>
      <c r="G207" t="n">
        <v>3.8</v>
      </c>
      <c r="H207" t="n">
        <v>0</v>
      </c>
      <c r="I207" t="n">
        <v>0</v>
      </c>
      <c r="J207" t="n">
        <v>0</v>
      </c>
      <c r="K207" t="n">
        <v>0</v>
      </c>
      <c r="L207" t="n">
        <v>0</v>
      </c>
      <c r="M207" t="n">
        <v>0</v>
      </c>
      <c r="N207" t="n">
        <v>0</v>
      </c>
      <c r="O207" t="n">
        <v>0</v>
      </c>
      <c r="P207" t="n">
        <v>0</v>
      </c>
      <c r="Q207" t="n">
        <v>0</v>
      </c>
      <c r="R207" s="2" t="inlineStr"/>
    </row>
    <row r="208" ht="15" customHeight="1">
      <c r="A208" t="inlineStr">
        <is>
          <t>A 57848-2024</t>
        </is>
      </c>
      <c r="B208" s="1" t="n">
        <v>45631.40947916666</v>
      </c>
      <c r="C208" s="1" t="n">
        <v>46086</v>
      </c>
      <c r="D208" t="inlineStr">
        <is>
          <t>UPPSALA LÄN</t>
        </is>
      </c>
      <c r="E208" t="inlineStr">
        <is>
          <t>ENKÖPING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49601-2024</t>
        </is>
      </c>
      <c r="B209" s="1" t="n">
        <v>45596.56288194445</v>
      </c>
      <c r="C209" s="1" t="n">
        <v>46086</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16920-2023</t>
        </is>
      </c>
      <c r="B210" s="1" t="n">
        <v>45033.59030092593</v>
      </c>
      <c r="C210" s="1" t="n">
        <v>46086</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43999-2025</t>
        </is>
      </c>
      <c r="B211" s="1" t="n">
        <v>45915.45158564814</v>
      </c>
      <c r="C211" s="1" t="n">
        <v>46086</v>
      </c>
      <c r="D211" t="inlineStr">
        <is>
          <t>UPPSALA LÄN</t>
        </is>
      </c>
      <c r="E211" t="inlineStr">
        <is>
          <t>ENKÖPING</t>
        </is>
      </c>
      <c r="G211" t="n">
        <v>4.1</v>
      </c>
      <c r="H211" t="n">
        <v>0</v>
      </c>
      <c r="I211" t="n">
        <v>0</v>
      </c>
      <c r="J211" t="n">
        <v>0</v>
      </c>
      <c r="K211" t="n">
        <v>0</v>
      </c>
      <c r="L211" t="n">
        <v>0</v>
      </c>
      <c r="M211" t="n">
        <v>0</v>
      </c>
      <c r="N211" t="n">
        <v>0</v>
      </c>
      <c r="O211" t="n">
        <v>0</v>
      </c>
      <c r="P211" t="n">
        <v>0</v>
      </c>
      <c r="Q211" t="n">
        <v>0</v>
      </c>
      <c r="R211" s="2" t="inlineStr"/>
    </row>
    <row r="212" ht="15" customHeight="1">
      <c r="A212" t="inlineStr">
        <is>
          <t>A 53586-2024</t>
        </is>
      </c>
      <c r="B212" s="1" t="n">
        <v>45614</v>
      </c>
      <c r="C212" s="1" t="n">
        <v>46086</v>
      </c>
      <c r="D212" t="inlineStr">
        <is>
          <t>UPPSALA LÄN</t>
        </is>
      </c>
      <c r="E212" t="inlineStr">
        <is>
          <t>ENKÖPING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44419-2025</t>
        </is>
      </c>
      <c r="B213" s="1" t="n">
        <v>45916.54671296296</v>
      </c>
      <c r="C213" s="1" t="n">
        <v>46086</v>
      </c>
      <c r="D213" t="inlineStr">
        <is>
          <t>UPPSALA LÄN</t>
        </is>
      </c>
      <c r="E213" t="inlineStr">
        <is>
          <t>ENKÖPING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32477-2025</t>
        </is>
      </c>
      <c r="B214" s="1" t="n">
        <v>45838.43098379629</v>
      </c>
      <c r="C214" s="1" t="n">
        <v>46086</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29513-2025</t>
        </is>
      </c>
      <c r="B215" s="1" t="n">
        <v>45825</v>
      </c>
      <c r="C215" s="1" t="n">
        <v>46086</v>
      </c>
      <c r="D215" t="inlineStr">
        <is>
          <t>UPPSALA LÄN</t>
        </is>
      </c>
      <c r="E215" t="inlineStr">
        <is>
          <t>ENKÖPING</t>
        </is>
      </c>
      <c r="G215" t="n">
        <v>2.6</v>
      </c>
      <c r="H215" t="n">
        <v>0</v>
      </c>
      <c r="I215" t="n">
        <v>0</v>
      </c>
      <c r="J215" t="n">
        <v>0</v>
      </c>
      <c r="K215" t="n">
        <v>0</v>
      </c>
      <c r="L215" t="n">
        <v>0</v>
      </c>
      <c r="M215" t="n">
        <v>0</v>
      </c>
      <c r="N215" t="n">
        <v>0</v>
      </c>
      <c r="O215" t="n">
        <v>0</v>
      </c>
      <c r="P215" t="n">
        <v>0</v>
      </c>
      <c r="Q215" t="n">
        <v>0</v>
      </c>
      <c r="R215" s="2" t="inlineStr"/>
    </row>
    <row r="216" ht="15" customHeight="1">
      <c r="A216" t="inlineStr">
        <is>
          <t>A 17844-2025</t>
        </is>
      </c>
      <c r="B216" s="1" t="n">
        <v>45758.59920138889</v>
      </c>
      <c r="C216" s="1" t="n">
        <v>46086</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27837-2025</t>
        </is>
      </c>
      <c r="B217" s="1" t="n">
        <v>45817.37207175926</v>
      </c>
      <c r="C217" s="1" t="n">
        <v>46086</v>
      </c>
      <c r="D217" t="inlineStr">
        <is>
          <t>UPPSALA LÄN</t>
        </is>
      </c>
      <c r="E217" t="inlineStr">
        <is>
          <t>ENKÖPING</t>
        </is>
      </c>
      <c r="G217" t="n">
        <v>7.3</v>
      </c>
      <c r="H217" t="n">
        <v>0</v>
      </c>
      <c r="I217" t="n">
        <v>0</v>
      </c>
      <c r="J217" t="n">
        <v>0</v>
      </c>
      <c r="K217" t="n">
        <v>0</v>
      </c>
      <c r="L217" t="n">
        <v>0</v>
      </c>
      <c r="M217" t="n">
        <v>0</v>
      </c>
      <c r="N217" t="n">
        <v>0</v>
      </c>
      <c r="O217" t="n">
        <v>0</v>
      </c>
      <c r="P217" t="n">
        <v>0</v>
      </c>
      <c r="Q217" t="n">
        <v>0</v>
      </c>
      <c r="R217" s="2" t="inlineStr"/>
    </row>
    <row r="218" ht="15" customHeight="1">
      <c r="A218" t="inlineStr">
        <is>
          <t>A 43506-2023</t>
        </is>
      </c>
      <c r="B218" s="1" t="n">
        <v>45181</v>
      </c>
      <c r="C218" s="1" t="n">
        <v>46086</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46186-2023</t>
        </is>
      </c>
      <c r="B219" s="1" t="n">
        <v>45196</v>
      </c>
      <c r="C219" s="1" t="n">
        <v>46086</v>
      </c>
      <c r="D219" t="inlineStr">
        <is>
          <t>UPPSALA LÄN</t>
        </is>
      </c>
      <c r="E219" t="inlineStr">
        <is>
          <t>ENKÖPING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54595-2021</t>
        </is>
      </c>
      <c r="B220" s="1" t="n">
        <v>44473.58824074074</v>
      </c>
      <c r="C220" s="1" t="n">
        <v>46086</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54588-2024</t>
        </is>
      </c>
      <c r="B221" s="1" t="n">
        <v>45617</v>
      </c>
      <c r="C221" s="1" t="n">
        <v>46086</v>
      </c>
      <c r="D221" t="inlineStr">
        <is>
          <t>UPPSALA LÄN</t>
        </is>
      </c>
      <c r="E221" t="inlineStr">
        <is>
          <t>ENKÖPING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47428-2023</t>
        </is>
      </c>
      <c r="B222" s="1" t="n">
        <v>45202.66664351852</v>
      </c>
      <c r="C222" s="1" t="n">
        <v>46086</v>
      </c>
      <c r="D222" t="inlineStr">
        <is>
          <t>UPPSALA LÄN</t>
        </is>
      </c>
      <c r="E222" t="inlineStr">
        <is>
          <t>ENKÖPING</t>
        </is>
      </c>
      <c r="G222" t="n">
        <v>3</v>
      </c>
      <c r="H222" t="n">
        <v>0</v>
      </c>
      <c r="I222" t="n">
        <v>0</v>
      </c>
      <c r="J222" t="n">
        <v>0</v>
      </c>
      <c r="K222" t="n">
        <v>0</v>
      </c>
      <c r="L222" t="n">
        <v>0</v>
      </c>
      <c r="M222" t="n">
        <v>0</v>
      </c>
      <c r="N222" t="n">
        <v>0</v>
      </c>
      <c r="O222" t="n">
        <v>0</v>
      </c>
      <c r="P222" t="n">
        <v>0</v>
      </c>
      <c r="Q222" t="n">
        <v>0</v>
      </c>
      <c r="R222" s="2" t="inlineStr"/>
    </row>
    <row r="223" ht="15" customHeight="1">
      <c r="A223" t="inlineStr">
        <is>
          <t>A 45755-2025</t>
        </is>
      </c>
      <c r="B223" s="1" t="n">
        <v>45923.50240740741</v>
      </c>
      <c r="C223" s="1" t="n">
        <v>46086</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34989-2025</t>
        </is>
      </c>
      <c r="B224" s="1" t="n">
        <v>45849</v>
      </c>
      <c r="C224" s="1" t="n">
        <v>46086</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34990-2025</t>
        </is>
      </c>
      <c r="B225" s="1" t="n">
        <v>45849.78916666667</v>
      </c>
      <c r="C225" s="1" t="n">
        <v>46086</v>
      </c>
      <c r="D225" t="inlineStr">
        <is>
          <t>UPPSALA LÄN</t>
        </is>
      </c>
      <c r="E225" t="inlineStr">
        <is>
          <t>ENKÖPING</t>
        </is>
      </c>
      <c r="G225" t="n">
        <v>1.3</v>
      </c>
      <c r="H225" t="n">
        <v>0</v>
      </c>
      <c r="I225" t="n">
        <v>0</v>
      </c>
      <c r="J225" t="n">
        <v>0</v>
      </c>
      <c r="K225" t="n">
        <v>0</v>
      </c>
      <c r="L225" t="n">
        <v>0</v>
      </c>
      <c r="M225" t="n">
        <v>0</v>
      </c>
      <c r="N225" t="n">
        <v>0</v>
      </c>
      <c r="O225" t="n">
        <v>0</v>
      </c>
      <c r="P225" t="n">
        <v>0</v>
      </c>
      <c r="Q225" t="n">
        <v>0</v>
      </c>
      <c r="R225" s="2" t="inlineStr"/>
    </row>
    <row r="226" ht="15" customHeight="1">
      <c r="A226" t="inlineStr">
        <is>
          <t>A 5892-2023</t>
        </is>
      </c>
      <c r="B226" s="1" t="n">
        <v>44963.64883101852</v>
      </c>
      <c r="C226" s="1" t="n">
        <v>46086</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12572-2021</t>
        </is>
      </c>
      <c r="B227" s="1" t="n">
        <v>44270.36438657407</v>
      </c>
      <c r="C227" s="1" t="n">
        <v>46086</v>
      </c>
      <c r="D227" t="inlineStr">
        <is>
          <t>UPPSALA LÄN</t>
        </is>
      </c>
      <c r="E227" t="inlineStr">
        <is>
          <t>ENKÖPING</t>
        </is>
      </c>
      <c r="G227" t="n">
        <v>3.3</v>
      </c>
      <c r="H227" t="n">
        <v>0</v>
      </c>
      <c r="I227" t="n">
        <v>0</v>
      </c>
      <c r="J227" t="n">
        <v>0</v>
      </c>
      <c r="K227" t="n">
        <v>0</v>
      </c>
      <c r="L227" t="n">
        <v>0</v>
      </c>
      <c r="M227" t="n">
        <v>0</v>
      </c>
      <c r="N227" t="n">
        <v>0</v>
      </c>
      <c r="O227" t="n">
        <v>0</v>
      </c>
      <c r="P227" t="n">
        <v>0</v>
      </c>
      <c r="Q227" t="n">
        <v>0</v>
      </c>
      <c r="R227" s="2" t="inlineStr"/>
    </row>
    <row r="228" ht="15" customHeight="1">
      <c r="A228" t="inlineStr">
        <is>
          <t>A 21501-2025</t>
        </is>
      </c>
      <c r="B228" s="1" t="n">
        <v>45782</v>
      </c>
      <c r="C228" s="1" t="n">
        <v>46086</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671-2022</t>
        </is>
      </c>
      <c r="B229" s="1" t="n">
        <v>44568</v>
      </c>
      <c r="C229" s="1" t="n">
        <v>46086</v>
      </c>
      <c r="D229" t="inlineStr">
        <is>
          <t>UPPSALA LÄN</t>
        </is>
      </c>
      <c r="E229" t="inlineStr">
        <is>
          <t>ENKÖPING</t>
        </is>
      </c>
      <c r="G229" t="n">
        <v>3.5</v>
      </c>
      <c r="H229" t="n">
        <v>0</v>
      </c>
      <c r="I229" t="n">
        <v>0</v>
      </c>
      <c r="J229" t="n">
        <v>0</v>
      </c>
      <c r="K229" t="n">
        <v>0</v>
      </c>
      <c r="L229" t="n">
        <v>0</v>
      </c>
      <c r="M229" t="n">
        <v>0</v>
      </c>
      <c r="N229" t="n">
        <v>0</v>
      </c>
      <c r="O229" t="n">
        <v>0</v>
      </c>
      <c r="P229" t="n">
        <v>0</v>
      </c>
      <c r="Q229" t="n">
        <v>0</v>
      </c>
      <c r="R229" s="2" t="inlineStr"/>
    </row>
    <row r="230" ht="15" customHeight="1">
      <c r="A230" t="inlineStr">
        <is>
          <t>A 34988-2025</t>
        </is>
      </c>
      <c r="B230" s="1" t="n">
        <v>45849</v>
      </c>
      <c r="C230" s="1" t="n">
        <v>46086</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34987-2025</t>
        </is>
      </c>
      <c r="B231" s="1" t="n">
        <v>45849</v>
      </c>
      <c r="C231" s="1" t="n">
        <v>46086</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43488-2023</t>
        </is>
      </c>
      <c r="B232" s="1" t="n">
        <v>45181</v>
      </c>
      <c r="C232" s="1" t="n">
        <v>46086</v>
      </c>
      <c r="D232" t="inlineStr">
        <is>
          <t>UPPSALA LÄN</t>
        </is>
      </c>
      <c r="E232" t="inlineStr">
        <is>
          <t>ENKÖPING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9171-2024</t>
        </is>
      </c>
      <c r="B233" s="1" t="n">
        <v>45358</v>
      </c>
      <c r="C233" s="1" t="n">
        <v>46086</v>
      </c>
      <c r="D233" t="inlineStr">
        <is>
          <t>UPPSALA LÄN</t>
        </is>
      </c>
      <c r="E233" t="inlineStr">
        <is>
          <t>ENKÖPING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46940-2025</t>
        </is>
      </c>
      <c r="B234" s="1" t="n">
        <v>45929.45483796296</v>
      </c>
      <c r="C234" s="1" t="n">
        <v>46086</v>
      </c>
      <c r="D234" t="inlineStr">
        <is>
          <t>UPPSALA LÄN</t>
        </is>
      </c>
      <c r="E234" t="inlineStr">
        <is>
          <t>ENKÖPING</t>
        </is>
      </c>
      <c r="G234" t="n">
        <v>5.3</v>
      </c>
      <c r="H234" t="n">
        <v>0</v>
      </c>
      <c r="I234" t="n">
        <v>0</v>
      </c>
      <c r="J234" t="n">
        <v>0</v>
      </c>
      <c r="K234" t="n">
        <v>0</v>
      </c>
      <c r="L234" t="n">
        <v>0</v>
      </c>
      <c r="M234" t="n">
        <v>0</v>
      </c>
      <c r="N234" t="n">
        <v>0</v>
      </c>
      <c r="O234" t="n">
        <v>0</v>
      </c>
      <c r="P234" t="n">
        <v>0</v>
      </c>
      <c r="Q234" t="n">
        <v>0</v>
      </c>
      <c r="R234" s="2" t="inlineStr"/>
    </row>
    <row r="235" ht="15" customHeight="1">
      <c r="A235" t="inlineStr">
        <is>
          <t>A 46590-2025</t>
        </is>
      </c>
      <c r="B235" s="1" t="n">
        <v>45926.39542824074</v>
      </c>
      <c r="C235" s="1" t="n">
        <v>46086</v>
      </c>
      <c r="D235" t="inlineStr">
        <is>
          <t>UPPSALA LÄN</t>
        </is>
      </c>
      <c r="E235" t="inlineStr">
        <is>
          <t>ENKÖPING</t>
        </is>
      </c>
      <c r="G235" t="n">
        <v>2.7</v>
      </c>
      <c r="H235" t="n">
        <v>0</v>
      </c>
      <c r="I235" t="n">
        <v>0</v>
      </c>
      <c r="J235" t="n">
        <v>0</v>
      </c>
      <c r="K235" t="n">
        <v>0</v>
      </c>
      <c r="L235" t="n">
        <v>0</v>
      </c>
      <c r="M235" t="n">
        <v>0</v>
      </c>
      <c r="N235" t="n">
        <v>0</v>
      </c>
      <c r="O235" t="n">
        <v>0</v>
      </c>
      <c r="P235" t="n">
        <v>0</v>
      </c>
      <c r="Q235" t="n">
        <v>0</v>
      </c>
      <c r="R235" s="2" t="inlineStr"/>
    </row>
    <row r="236" ht="15" customHeight="1">
      <c r="A236" t="inlineStr">
        <is>
          <t>A 36492-2025</t>
        </is>
      </c>
      <c r="B236" s="1" t="n">
        <v>45869</v>
      </c>
      <c r="C236" s="1" t="n">
        <v>46086</v>
      </c>
      <c r="D236" t="inlineStr">
        <is>
          <t>UPPSALA LÄN</t>
        </is>
      </c>
      <c r="E236" t="inlineStr">
        <is>
          <t>ENKÖPING</t>
        </is>
      </c>
      <c r="G236" t="n">
        <v>6.3</v>
      </c>
      <c r="H236" t="n">
        <v>0</v>
      </c>
      <c r="I236" t="n">
        <v>0</v>
      </c>
      <c r="J236" t="n">
        <v>0</v>
      </c>
      <c r="K236" t="n">
        <v>0</v>
      </c>
      <c r="L236" t="n">
        <v>0</v>
      </c>
      <c r="M236" t="n">
        <v>0</v>
      </c>
      <c r="N236" t="n">
        <v>0</v>
      </c>
      <c r="O236" t="n">
        <v>0</v>
      </c>
      <c r="P236" t="n">
        <v>0</v>
      </c>
      <c r="Q236" t="n">
        <v>0</v>
      </c>
      <c r="R236" s="2" t="inlineStr"/>
    </row>
    <row r="237" ht="15" customHeight="1">
      <c r="A237" t="inlineStr">
        <is>
          <t>A 36350-2025</t>
        </is>
      </c>
      <c r="B237" s="1" t="n">
        <v>45868</v>
      </c>
      <c r="C237" s="1" t="n">
        <v>46086</v>
      </c>
      <c r="D237" t="inlineStr">
        <is>
          <t>UPPSALA LÄN</t>
        </is>
      </c>
      <c r="E237" t="inlineStr">
        <is>
          <t>ENKÖPING</t>
        </is>
      </c>
      <c r="G237" t="n">
        <v>1.9</v>
      </c>
      <c r="H237" t="n">
        <v>0</v>
      </c>
      <c r="I237" t="n">
        <v>0</v>
      </c>
      <c r="J237" t="n">
        <v>0</v>
      </c>
      <c r="K237" t="n">
        <v>0</v>
      </c>
      <c r="L237" t="n">
        <v>0</v>
      </c>
      <c r="M237" t="n">
        <v>0</v>
      </c>
      <c r="N237" t="n">
        <v>0</v>
      </c>
      <c r="O237" t="n">
        <v>0</v>
      </c>
      <c r="P237" t="n">
        <v>0</v>
      </c>
      <c r="Q237" t="n">
        <v>0</v>
      </c>
      <c r="R237" s="2" t="inlineStr"/>
    </row>
    <row r="238" ht="15" customHeight="1">
      <c r="A238" t="inlineStr">
        <is>
          <t>A 43230-2023</t>
        </is>
      </c>
      <c r="B238" s="1" t="n">
        <v>45183</v>
      </c>
      <c r="C238" s="1" t="n">
        <v>46086</v>
      </c>
      <c r="D238" t="inlineStr">
        <is>
          <t>UPPSALA LÄN</t>
        </is>
      </c>
      <c r="E238" t="inlineStr">
        <is>
          <t>ENKÖPING</t>
        </is>
      </c>
      <c r="G238" t="n">
        <v>2.1</v>
      </c>
      <c r="H238" t="n">
        <v>0</v>
      </c>
      <c r="I238" t="n">
        <v>0</v>
      </c>
      <c r="J238" t="n">
        <v>0</v>
      </c>
      <c r="K238" t="n">
        <v>0</v>
      </c>
      <c r="L238" t="n">
        <v>0</v>
      </c>
      <c r="M238" t="n">
        <v>0</v>
      </c>
      <c r="N238" t="n">
        <v>0</v>
      </c>
      <c r="O238" t="n">
        <v>0</v>
      </c>
      <c r="P238" t="n">
        <v>0</v>
      </c>
      <c r="Q238" t="n">
        <v>0</v>
      </c>
      <c r="R238" s="2" t="inlineStr"/>
    </row>
    <row r="239" ht="15" customHeight="1">
      <c r="A239" t="inlineStr">
        <is>
          <t>A 45362-2022</t>
        </is>
      </c>
      <c r="B239" s="1" t="n">
        <v>44844.62366898148</v>
      </c>
      <c r="C239" s="1" t="n">
        <v>46086</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72840-2021</t>
        </is>
      </c>
      <c r="B240" s="1" t="n">
        <v>44547</v>
      </c>
      <c r="C240" s="1" t="n">
        <v>46086</v>
      </c>
      <c r="D240" t="inlineStr">
        <is>
          <t>UPPSALA LÄN</t>
        </is>
      </c>
      <c r="E240" t="inlineStr">
        <is>
          <t>ENKÖPING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47441-2025</t>
        </is>
      </c>
      <c r="B241" s="1" t="n">
        <v>45930.63986111111</v>
      </c>
      <c r="C241" s="1" t="n">
        <v>46086</v>
      </c>
      <c r="D241" t="inlineStr">
        <is>
          <t>UPPSALA LÄN</t>
        </is>
      </c>
      <c r="E241" t="inlineStr">
        <is>
          <t>ENKÖPING</t>
        </is>
      </c>
      <c r="F241" t="inlineStr">
        <is>
          <t>Allmännings- och besparingsskogar</t>
        </is>
      </c>
      <c r="G241" t="n">
        <v>11.5</v>
      </c>
      <c r="H241" t="n">
        <v>0</v>
      </c>
      <c r="I241" t="n">
        <v>0</v>
      </c>
      <c r="J241" t="n">
        <v>0</v>
      </c>
      <c r="K241" t="n">
        <v>0</v>
      </c>
      <c r="L241" t="n">
        <v>0</v>
      </c>
      <c r="M241" t="n">
        <v>0</v>
      </c>
      <c r="N241" t="n">
        <v>0</v>
      </c>
      <c r="O241" t="n">
        <v>0</v>
      </c>
      <c r="P241" t="n">
        <v>0</v>
      </c>
      <c r="Q241" t="n">
        <v>0</v>
      </c>
      <c r="R241" s="2" t="inlineStr"/>
    </row>
    <row r="242" ht="15" customHeight="1">
      <c r="A242" t="inlineStr">
        <is>
          <t>A 36599-2025</t>
        </is>
      </c>
      <c r="B242" s="1" t="n">
        <v>45870.51723379629</v>
      </c>
      <c r="C242" s="1" t="n">
        <v>46086</v>
      </c>
      <c r="D242" t="inlineStr">
        <is>
          <t>UPPSALA LÄN</t>
        </is>
      </c>
      <c r="E242" t="inlineStr">
        <is>
          <t>ENKÖPING</t>
        </is>
      </c>
      <c r="G242" t="n">
        <v>5.9</v>
      </c>
      <c r="H242" t="n">
        <v>0</v>
      </c>
      <c r="I242" t="n">
        <v>0</v>
      </c>
      <c r="J242" t="n">
        <v>0</v>
      </c>
      <c r="K242" t="n">
        <v>0</v>
      </c>
      <c r="L242" t="n">
        <v>0</v>
      </c>
      <c r="M242" t="n">
        <v>0</v>
      </c>
      <c r="N242" t="n">
        <v>0</v>
      </c>
      <c r="O242" t="n">
        <v>0</v>
      </c>
      <c r="P242" t="n">
        <v>0</v>
      </c>
      <c r="Q242" t="n">
        <v>0</v>
      </c>
      <c r="R242" s="2" t="inlineStr"/>
    </row>
    <row r="243" ht="15" customHeight="1">
      <c r="A243" t="inlineStr">
        <is>
          <t>A 34617-2022</t>
        </is>
      </c>
      <c r="B243" s="1" t="n">
        <v>44795</v>
      </c>
      <c r="C243" s="1" t="n">
        <v>46086</v>
      </c>
      <c r="D243" t="inlineStr">
        <is>
          <t>UPPSALA LÄN</t>
        </is>
      </c>
      <c r="E243" t="inlineStr">
        <is>
          <t>ENKÖPING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1992-2022</t>
        </is>
      </c>
      <c r="B244" s="1" t="n">
        <v>44575.56153935185</v>
      </c>
      <c r="C244" s="1" t="n">
        <v>46086</v>
      </c>
      <c r="D244" t="inlineStr">
        <is>
          <t>UPPSALA LÄN</t>
        </is>
      </c>
      <c r="E244" t="inlineStr">
        <is>
          <t>ENKÖPING</t>
        </is>
      </c>
      <c r="G244" t="n">
        <v>2.8</v>
      </c>
      <c r="H244" t="n">
        <v>0</v>
      </c>
      <c r="I244" t="n">
        <v>0</v>
      </c>
      <c r="J244" t="n">
        <v>0</v>
      </c>
      <c r="K244" t="n">
        <v>0</v>
      </c>
      <c r="L244" t="n">
        <v>0</v>
      </c>
      <c r="M244" t="n">
        <v>0</v>
      </c>
      <c r="N244" t="n">
        <v>0</v>
      </c>
      <c r="O244" t="n">
        <v>0</v>
      </c>
      <c r="P244" t="n">
        <v>0</v>
      </c>
      <c r="Q244" t="n">
        <v>0</v>
      </c>
      <c r="R244" s="2" t="inlineStr"/>
    </row>
    <row r="245" ht="15" customHeight="1">
      <c r="A245" t="inlineStr">
        <is>
          <t>A 18583-2021</t>
        </is>
      </c>
      <c r="B245" s="1" t="n">
        <v>44306</v>
      </c>
      <c r="C245" s="1" t="n">
        <v>46086</v>
      </c>
      <c r="D245" t="inlineStr">
        <is>
          <t>UPPSALA LÄN</t>
        </is>
      </c>
      <c r="E245" t="inlineStr">
        <is>
          <t>ENKÖPING</t>
        </is>
      </c>
      <c r="G245" t="n">
        <v>0.4</v>
      </c>
      <c r="H245" t="n">
        <v>0</v>
      </c>
      <c r="I245" t="n">
        <v>0</v>
      </c>
      <c r="J245" t="n">
        <v>0</v>
      </c>
      <c r="K245" t="n">
        <v>0</v>
      </c>
      <c r="L245" t="n">
        <v>0</v>
      </c>
      <c r="M245" t="n">
        <v>0</v>
      </c>
      <c r="N245" t="n">
        <v>0</v>
      </c>
      <c r="O245" t="n">
        <v>0</v>
      </c>
      <c r="P245" t="n">
        <v>0</v>
      </c>
      <c r="Q245" t="n">
        <v>0</v>
      </c>
      <c r="R245" s="2" t="inlineStr"/>
    </row>
    <row r="246" ht="15" customHeight="1">
      <c r="A246" t="inlineStr">
        <is>
          <t>A 1695-2025</t>
        </is>
      </c>
      <c r="B246" s="1" t="n">
        <v>45670</v>
      </c>
      <c r="C246" s="1" t="n">
        <v>46086</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39439-2025</t>
        </is>
      </c>
      <c r="B247" s="1" t="n">
        <v>45889</v>
      </c>
      <c r="C247" s="1" t="n">
        <v>46086</v>
      </c>
      <c r="D247" t="inlineStr">
        <is>
          <t>UPPSALA LÄN</t>
        </is>
      </c>
      <c r="E247" t="inlineStr">
        <is>
          <t>ENKÖPING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48678-2025</t>
        </is>
      </c>
      <c r="B248" s="1" t="n">
        <v>45936.59168981481</v>
      </c>
      <c r="C248" s="1" t="n">
        <v>46086</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54357-2023</t>
        </is>
      </c>
      <c r="B249" s="1" t="n">
        <v>45225</v>
      </c>
      <c r="C249" s="1" t="n">
        <v>46086</v>
      </c>
      <c r="D249" t="inlineStr">
        <is>
          <t>UPPSALA LÄN</t>
        </is>
      </c>
      <c r="E249" t="inlineStr">
        <is>
          <t>ENKÖPING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24962-2023</t>
        </is>
      </c>
      <c r="B250" s="1" t="n">
        <v>45085.60123842592</v>
      </c>
      <c r="C250" s="1" t="n">
        <v>46086</v>
      </c>
      <c r="D250" t="inlineStr">
        <is>
          <t>UPPSALA LÄN</t>
        </is>
      </c>
      <c r="E250" t="inlineStr">
        <is>
          <t>ENKÖPING</t>
        </is>
      </c>
      <c r="G250" t="n">
        <v>2.8</v>
      </c>
      <c r="H250" t="n">
        <v>0</v>
      </c>
      <c r="I250" t="n">
        <v>0</v>
      </c>
      <c r="J250" t="n">
        <v>0</v>
      </c>
      <c r="K250" t="n">
        <v>0</v>
      </c>
      <c r="L250" t="n">
        <v>0</v>
      </c>
      <c r="M250" t="n">
        <v>0</v>
      </c>
      <c r="N250" t="n">
        <v>0</v>
      </c>
      <c r="O250" t="n">
        <v>0</v>
      </c>
      <c r="P250" t="n">
        <v>0</v>
      </c>
      <c r="Q250" t="n">
        <v>0</v>
      </c>
      <c r="R250" s="2" t="inlineStr"/>
    </row>
    <row r="251" ht="15" customHeight="1">
      <c r="A251" t="inlineStr">
        <is>
          <t>A 48423-2025</t>
        </is>
      </c>
      <c r="B251" s="1" t="n">
        <v>45934.68024305555</v>
      </c>
      <c r="C251" s="1" t="n">
        <v>46086</v>
      </c>
      <c r="D251" t="inlineStr">
        <is>
          <t>UPPSALA LÄN</t>
        </is>
      </c>
      <c r="E251" t="inlineStr">
        <is>
          <t>ENKÖPING</t>
        </is>
      </c>
      <c r="G251" t="n">
        <v>4.3</v>
      </c>
      <c r="H251" t="n">
        <v>0</v>
      </c>
      <c r="I251" t="n">
        <v>0</v>
      </c>
      <c r="J251" t="n">
        <v>0</v>
      </c>
      <c r="K251" t="n">
        <v>0</v>
      </c>
      <c r="L251" t="n">
        <v>0</v>
      </c>
      <c r="M251" t="n">
        <v>0</v>
      </c>
      <c r="N251" t="n">
        <v>0</v>
      </c>
      <c r="O251" t="n">
        <v>0</v>
      </c>
      <c r="P251" t="n">
        <v>0</v>
      </c>
      <c r="Q251" t="n">
        <v>0</v>
      </c>
      <c r="R251" s="2" t="inlineStr"/>
    </row>
    <row r="252" ht="15" customHeight="1">
      <c r="A252" t="inlineStr">
        <is>
          <t>A 48424-2025</t>
        </is>
      </c>
      <c r="B252" s="1" t="n">
        <v>45934.69131944444</v>
      </c>
      <c r="C252" s="1" t="n">
        <v>46086</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49073-2025</t>
        </is>
      </c>
      <c r="B253" s="1" t="n">
        <v>45937.65512731481</v>
      </c>
      <c r="C253" s="1" t="n">
        <v>46086</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37498-2025</t>
        </is>
      </c>
      <c r="B254" s="1" t="n">
        <v>45877</v>
      </c>
      <c r="C254" s="1" t="n">
        <v>46086</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37296-2025</t>
        </is>
      </c>
      <c r="B255" s="1" t="n">
        <v>45876</v>
      </c>
      <c r="C255" s="1" t="n">
        <v>46086</v>
      </c>
      <c r="D255" t="inlineStr">
        <is>
          <t>UPPSALA LÄN</t>
        </is>
      </c>
      <c r="E255" t="inlineStr">
        <is>
          <t>ENKÖPING</t>
        </is>
      </c>
      <c r="G255" t="n">
        <v>9.5</v>
      </c>
      <c r="H255" t="n">
        <v>0</v>
      </c>
      <c r="I255" t="n">
        <v>0</v>
      </c>
      <c r="J255" t="n">
        <v>0</v>
      </c>
      <c r="K255" t="n">
        <v>0</v>
      </c>
      <c r="L255" t="n">
        <v>0</v>
      </c>
      <c r="M255" t="n">
        <v>0</v>
      </c>
      <c r="N255" t="n">
        <v>0</v>
      </c>
      <c r="O255" t="n">
        <v>0</v>
      </c>
      <c r="P255" t="n">
        <v>0</v>
      </c>
      <c r="Q255" t="n">
        <v>0</v>
      </c>
      <c r="R255" s="2" t="inlineStr"/>
    </row>
    <row r="256" ht="15" customHeight="1">
      <c r="A256" t="inlineStr">
        <is>
          <t>A 37319-2025</t>
        </is>
      </c>
      <c r="B256" s="1" t="n">
        <v>45876</v>
      </c>
      <c r="C256" s="1" t="n">
        <v>46086</v>
      </c>
      <c r="D256" t="inlineStr">
        <is>
          <t>UPPSALA LÄN</t>
        </is>
      </c>
      <c r="E256" t="inlineStr">
        <is>
          <t>ENKÖPING</t>
        </is>
      </c>
      <c r="G256" t="n">
        <v>9.5</v>
      </c>
      <c r="H256" t="n">
        <v>0</v>
      </c>
      <c r="I256" t="n">
        <v>0</v>
      </c>
      <c r="J256" t="n">
        <v>0</v>
      </c>
      <c r="K256" t="n">
        <v>0</v>
      </c>
      <c r="L256" t="n">
        <v>0</v>
      </c>
      <c r="M256" t="n">
        <v>0</v>
      </c>
      <c r="N256" t="n">
        <v>0</v>
      </c>
      <c r="O256" t="n">
        <v>0</v>
      </c>
      <c r="P256" t="n">
        <v>0</v>
      </c>
      <c r="Q256" t="n">
        <v>0</v>
      </c>
      <c r="R256" s="2" t="inlineStr"/>
    </row>
    <row r="257" ht="15" customHeight="1">
      <c r="A257" t="inlineStr">
        <is>
          <t>A 43103-2025</t>
        </is>
      </c>
      <c r="B257" s="1" t="n">
        <v>45909</v>
      </c>
      <c r="C257" s="1" t="n">
        <v>46086</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49622-2024</t>
        </is>
      </c>
      <c r="B258" s="1" t="n">
        <v>45596.58372685185</v>
      </c>
      <c r="C258" s="1" t="n">
        <v>46086</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49068-2025</t>
        </is>
      </c>
      <c r="B259" s="1" t="n">
        <v>45937.64766203704</v>
      </c>
      <c r="C259" s="1" t="n">
        <v>46086</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58961-2024</t>
        </is>
      </c>
      <c r="B260" s="1" t="n">
        <v>45636.585</v>
      </c>
      <c r="C260" s="1" t="n">
        <v>46086</v>
      </c>
      <c r="D260" t="inlineStr">
        <is>
          <t>UPPSALA LÄN</t>
        </is>
      </c>
      <c r="E260" t="inlineStr">
        <is>
          <t>ENKÖPING</t>
        </is>
      </c>
      <c r="G260" t="n">
        <v>4</v>
      </c>
      <c r="H260" t="n">
        <v>0</v>
      </c>
      <c r="I260" t="n">
        <v>0</v>
      </c>
      <c r="J260" t="n">
        <v>0</v>
      </c>
      <c r="K260" t="n">
        <v>0</v>
      </c>
      <c r="L260" t="n">
        <v>0</v>
      </c>
      <c r="M260" t="n">
        <v>0</v>
      </c>
      <c r="N260" t="n">
        <v>0</v>
      </c>
      <c r="O260" t="n">
        <v>0</v>
      </c>
      <c r="P260" t="n">
        <v>0</v>
      </c>
      <c r="Q260" t="n">
        <v>0</v>
      </c>
      <c r="R260" s="2" t="inlineStr"/>
    </row>
    <row r="261" ht="15" customHeight="1">
      <c r="A261" t="inlineStr">
        <is>
          <t>A 53595-2023</t>
        </is>
      </c>
      <c r="B261" s="1" t="n">
        <v>45223</v>
      </c>
      <c r="C261" s="1" t="n">
        <v>46086</v>
      </c>
      <c r="D261" t="inlineStr">
        <is>
          <t>UPPSALA LÄN</t>
        </is>
      </c>
      <c r="E261" t="inlineStr">
        <is>
          <t>ENKÖPING</t>
        </is>
      </c>
      <c r="G261" t="n">
        <v>2.6</v>
      </c>
      <c r="H261" t="n">
        <v>0</v>
      </c>
      <c r="I261" t="n">
        <v>0</v>
      </c>
      <c r="J261" t="n">
        <v>0</v>
      </c>
      <c r="K261" t="n">
        <v>0</v>
      </c>
      <c r="L261" t="n">
        <v>0</v>
      </c>
      <c r="M261" t="n">
        <v>0</v>
      </c>
      <c r="N261" t="n">
        <v>0</v>
      </c>
      <c r="O261" t="n">
        <v>0</v>
      </c>
      <c r="P261" t="n">
        <v>0</v>
      </c>
      <c r="Q261" t="n">
        <v>0</v>
      </c>
      <c r="R261" s="2" t="inlineStr"/>
    </row>
    <row r="262" ht="15" customHeight="1">
      <c r="A262" t="inlineStr">
        <is>
          <t>A 51162-2025</t>
        </is>
      </c>
      <c r="B262" s="1" t="n">
        <v>45947.58820601852</v>
      </c>
      <c r="C262" s="1" t="n">
        <v>46086</v>
      </c>
      <c r="D262" t="inlineStr">
        <is>
          <t>UPPSALA LÄN</t>
        </is>
      </c>
      <c r="E262" t="inlineStr">
        <is>
          <t>ENKÖPING</t>
        </is>
      </c>
      <c r="G262" t="n">
        <v>3.4</v>
      </c>
      <c r="H262" t="n">
        <v>0</v>
      </c>
      <c r="I262" t="n">
        <v>0</v>
      </c>
      <c r="J262" t="n">
        <v>0</v>
      </c>
      <c r="K262" t="n">
        <v>0</v>
      </c>
      <c r="L262" t="n">
        <v>0</v>
      </c>
      <c r="M262" t="n">
        <v>0</v>
      </c>
      <c r="N262" t="n">
        <v>0</v>
      </c>
      <c r="O262" t="n">
        <v>0</v>
      </c>
      <c r="P262" t="n">
        <v>0</v>
      </c>
      <c r="Q262" t="n">
        <v>0</v>
      </c>
      <c r="R262" s="2" t="inlineStr"/>
    </row>
    <row r="263" ht="15" customHeight="1">
      <c r="A263" t="inlineStr">
        <is>
          <t>A 51133-2025</t>
        </is>
      </c>
      <c r="B263" s="1" t="n">
        <v>45947.55598379629</v>
      </c>
      <c r="C263" s="1" t="n">
        <v>46086</v>
      </c>
      <c r="D263" t="inlineStr">
        <is>
          <t>UPPSALA LÄN</t>
        </is>
      </c>
      <c r="E263" t="inlineStr">
        <is>
          <t>ENKÖPING</t>
        </is>
      </c>
      <c r="G263" t="n">
        <v>2.4</v>
      </c>
      <c r="H263" t="n">
        <v>0</v>
      </c>
      <c r="I263" t="n">
        <v>0</v>
      </c>
      <c r="J263" t="n">
        <v>0</v>
      </c>
      <c r="K263" t="n">
        <v>0</v>
      </c>
      <c r="L263" t="n">
        <v>0</v>
      </c>
      <c r="M263" t="n">
        <v>0</v>
      </c>
      <c r="N263" t="n">
        <v>0</v>
      </c>
      <c r="O263" t="n">
        <v>0</v>
      </c>
      <c r="P263" t="n">
        <v>0</v>
      </c>
      <c r="Q263" t="n">
        <v>0</v>
      </c>
      <c r="R263" s="2" t="inlineStr"/>
    </row>
    <row r="264" ht="15" customHeight="1">
      <c r="A264" t="inlineStr">
        <is>
          <t>A 26017-2025</t>
        </is>
      </c>
      <c r="B264" s="1" t="n">
        <v>45804</v>
      </c>
      <c r="C264" s="1" t="n">
        <v>46086</v>
      </c>
      <c r="D264" t="inlineStr">
        <is>
          <t>UPPSALA LÄN</t>
        </is>
      </c>
      <c r="E264" t="inlineStr">
        <is>
          <t>ENKÖPING</t>
        </is>
      </c>
      <c r="G264" t="n">
        <v>0.4</v>
      </c>
      <c r="H264" t="n">
        <v>0</v>
      </c>
      <c r="I264" t="n">
        <v>0</v>
      </c>
      <c r="J264" t="n">
        <v>0</v>
      </c>
      <c r="K264" t="n">
        <v>0</v>
      </c>
      <c r="L264" t="n">
        <v>0</v>
      </c>
      <c r="M264" t="n">
        <v>0</v>
      </c>
      <c r="N264" t="n">
        <v>0</v>
      </c>
      <c r="O264" t="n">
        <v>0</v>
      </c>
      <c r="P264" t="n">
        <v>0</v>
      </c>
      <c r="Q264" t="n">
        <v>0</v>
      </c>
      <c r="R264" s="2" t="inlineStr"/>
    </row>
    <row r="265" ht="15" customHeight="1">
      <c r="A265" t="inlineStr">
        <is>
          <t>A 15893-2024</t>
        </is>
      </c>
      <c r="B265" s="1" t="n">
        <v>45405</v>
      </c>
      <c r="C265" s="1" t="n">
        <v>46086</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18028-2023</t>
        </is>
      </c>
      <c r="B266" s="1" t="n">
        <v>45040</v>
      </c>
      <c r="C266" s="1" t="n">
        <v>46086</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21017-2023</t>
        </is>
      </c>
      <c r="B267" s="1" t="n">
        <v>45061</v>
      </c>
      <c r="C267" s="1" t="n">
        <v>46086</v>
      </c>
      <c r="D267" t="inlineStr">
        <is>
          <t>UPPSALA LÄN</t>
        </is>
      </c>
      <c r="E267" t="inlineStr">
        <is>
          <t>ENKÖPING</t>
        </is>
      </c>
      <c r="G267" t="n">
        <v>4.8</v>
      </c>
      <c r="H267" t="n">
        <v>0</v>
      </c>
      <c r="I267" t="n">
        <v>0</v>
      </c>
      <c r="J267" t="n">
        <v>0</v>
      </c>
      <c r="K267" t="n">
        <v>0</v>
      </c>
      <c r="L267" t="n">
        <v>0</v>
      </c>
      <c r="M267" t="n">
        <v>0</v>
      </c>
      <c r="N267" t="n">
        <v>0</v>
      </c>
      <c r="O267" t="n">
        <v>0</v>
      </c>
      <c r="P267" t="n">
        <v>0</v>
      </c>
      <c r="Q267" t="n">
        <v>0</v>
      </c>
      <c r="R267" s="2" t="inlineStr"/>
    </row>
    <row r="268" ht="15" customHeight="1">
      <c r="A268" t="inlineStr">
        <is>
          <t>A 26011-2025</t>
        </is>
      </c>
      <c r="B268" s="1" t="n">
        <v>45804.67412037037</v>
      </c>
      <c r="C268" s="1" t="n">
        <v>46086</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48843-2023</t>
        </is>
      </c>
      <c r="B269" s="1" t="n">
        <v>45209</v>
      </c>
      <c r="C269" s="1" t="n">
        <v>46086</v>
      </c>
      <c r="D269" t="inlineStr">
        <is>
          <t>UPPSALA LÄN</t>
        </is>
      </c>
      <c r="E269" t="inlineStr">
        <is>
          <t>ENKÖPING</t>
        </is>
      </c>
      <c r="G269" t="n">
        <v>1.3</v>
      </c>
      <c r="H269" t="n">
        <v>0</v>
      </c>
      <c r="I269" t="n">
        <v>0</v>
      </c>
      <c r="J269" t="n">
        <v>0</v>
      </c>
      <c r="K269" t="n">
        <v>0</v>
      </c>
      <c r="L269" t="n">
        <v>0</v>
      </c>
      <c r="M269" t="n">
        <v>0</v>
      </c>
      <c r="N269" t="n">
        <v>0</v>
      </c>
      <c r="O269" t="n">
        <v>0</v>
      </c>
      <c r="P269" t="n">
        <v>0</v>
      </c>
      <c r="Q269" t="n">
        <v>0</v>
      </c>
      <c r="R269" s="2" t="inlineStr"/>
    </row>
    <row r="270" ht="15" customHeight="1">
      <c r="A270" t="inlineStr">
        <is>
          <t>A 33670-2024</t>
        </is>
      </c>
      <c r="B270" s="1" t="n">
        <v>45520</v>
      </c>
      <c r="C270" s="1" t="n">
        <v>46086</v>
      </c>
      <c r="D270" t="inlineStr">
        <is>
          <t>UPPSALA LÄN</t>
        </is>
      </c>
      <c r="E270" t="inlineStr">
        <is>
          <t>ENKÖPING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2850-2025</t>
        </is>
      </c>
      <c r="B271" s="1" t="n">
        <v>45677</v>
      </c>
      <c r="C271" s="1" t="n">
        <v>46086</v>
      </c>
      <c r="D271" t="inlineStr">
        <is>
          <t>UPPSALA LÄN</t>
        </is>
      </c>
      <c r="E271" t="inlineStr">
        <is>
          <t>ENKÖPING</t>
        </is>
      </c>
      <c r="G271" t="n">
        <v>0.3</v>
      </c>
      <c r="H271" t="n">
        <v>0</v>
      </c>
      <c r="I271" t="n">
        <v>0</v>
      </c>
      <c r="J271" t="n">
        <v>0</v>
      </c>
      <c r="K271" t="n">
        <v>0</v>
      </c>
      <c r="L271" t="n">
        <v>0</v>
      </c>
      <c r="M271" t="n">
        <v>0</v>
      </c>
      <c r="N271" t="n">
        <v>0</v>
      </c>
      <c r="O271" t="n">
        <v>0</v>
      </c>
      <c r="P271" t="n">
        <v>0</v>
      </c>
      <c r="Q271" t="n">
        <v>0</v>
      </c>
      <c r="R271" s="2" t="inlineStr"/>
    </row>
    <row r="272" ht="15" customHeight="1">
      <c r="A272" t="inlineStr">
        <is>
          <t>A 19376-2024</t>
        </is>
      </c>
      <c r="B272" s="1" t="n">
        <v>45429</v>
      </c>
      <c r="C272" s="1" t="n">
        <v>46086</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54541-2025</t>
        </is>
      </c>
      <c r="B273" s="1" t="n">
        <v>45965.64733796296</v>
      </c>
      <c r="C273" s="1" t="n">
        <v>46086</v>
      </c>
      <c r="D273" t="inlineStr">
        <is>
          <t>UPPSALA LÄN</t>
        </is>
      </c>
      <c r="E273" t="inlineStr">
        <is>
          <t>ENKÖPING</t>
        </is>
      </c>
      <c r="G273" t="n">
        <v>3.1</v>
      </c>
      <c r="H273" t="n">
        <v>0</v>
      </c>
      <c r="I273" t="n">
        <v>0</v>
      </c>
      <c r="J273" t="n">
        <v>0</v>
      </c>
      <c r="K273" t="n">
        <v>0</v>
      </c>
      <c r="L273" t="n">
        <v>0</v>
      </c>
      <c r="M273" t="n">
        <v>0</v>
      </c>
      <c r="N273" t="n">
        <v>0</v>
      </c>
      <c r="O273" t="n">
        <v>0</v>
      </c>
      <c r="P273" t="n">
        <v>0</v>
      </c>
      <c r="Q273" t="n">
        <v>0</v>
      </c>
      <c r="R273" s="2" t="inlineStr"/>
    </row>
    <row r="274" ht="15" customHeight="1">
      <c r="A274" t="inlineStr">
        <is>
          <t>A 54263-2025</t>
        </is>
      </c>
      <c r="B274" s="1" t="n">
        <v>45964.66271990741</v>
      </c>
      <c r="C274" s="1" t="n">
        <v>46086</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54844-2025</t>
        </is>
      </c>
      <c r="B275" s="1" t="n">
        <v>45966.69570601852</v>
      </c>
      <c r="C275" s="1" t="n">
        <v>46086</v>
      </c>
      <c r="D275" t="inlineStr">
        <is>
          <t>UPPSALA LÄN</t>
        </is>
      </c>
      <c r="E275" t="inlineStr">
        <is>
          <t>ENKÖPING</t>
        </is>
      </c>
      <c r="G275" t="n">
        <v>5.5</v>
      </c>
      <c r="H275" t="n">
        <v>0</v>
      </c>
      <c r="I275" t="n">
        <v>0</v>
      </c>
      <c r="J275" t="n">
        <v>0</v>
      </c>
      <c r="K275" t="n">
        <v>0</v>
      </c>
      <c r="L275" t="n">
        <v>0</v>
      </c>
      <c r="M275" t="n">
        <v>0</v>
      </c>
      <c r="N275" t="n">
        <v>0</v>
      </c>
      <c r="O275" t="n">
        <v>0</v>
      </c>
      <c r="P275" t="n">
        <v>0</v>
      </c>
      <c r="Q275" t="n">
        <v>0</v>
      </c>
      <c r="R275" s="2" t="inlineStr"/>
    </row>
    <row r="276" ht="15" customHeight="1">
      <c r="A276" t="inlineStr">
        <is>
          <t>A 54758-2025</t>
        </is>
      </c>
      <c r="B276" s="1" t="n">
        <v>45966.59737268519</v>
      </c>
      <c r="C276" s="1" t="n">
        <v>46086</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12020-2024</t>
        </is>
      </c>
      <c r="B277" s="1" t="n">
        <v>45377</v>
      </c>
      <c r="C277" s="1" t="n">
        <v>46086</v>
      </c>
      <c r="D277" t="inlineStr">
        <is>
          <t>UPPSALA LÄN</t>
        </is>
      </c>
      <c r="E277" t="inlineStr">
        <is>
          <t>ENKÖPING</t>
        </is>
      </c>
      <c r="G277" t="n">
        <v>2</v>
      </c>
      <c r="H277" t="n">
        <v>0</v>
      </c>
      <c r="I277" t="n">
        <v>0</v>
      </c>
      <c r="J277" t="n">
        <v>0</v>
      </c>
      <c r="K277" t="n">
        <v>0</v>
      </c>
      <c r="L277" t="n">
        <v>0</v>
      </c>
      <c r="M277" t="n">
        <v>0</v>
      </c>
      <c r="N277" t="n">
        <v>0</v>
      </c>
      <c r="O277" t="n">
        <v>0</v>
      </c>
      <c r="P277" t="n">
        <v>0</v>
      </c>
      <c r="Q277" t="n">
        <v>0</v>
      </c>
      <c r="R277" s="2" t="inlineStr"/>
    </row>
    <row r="278" ht="15" customHeight="1">
      <c r="A278" t="inlineStr">
        <is>
          <t>A 55567-2025</t>
        </is>
      </c>
      <c r="B278" s="1" t="n">
        <v>45971.65589120371</v>
      </c>
      <c r="C278" s="1" t="n">
        <v>46086</v>
      </c>
      <c r="D278" t="inlineStr">
        <is>
          <t>UPPSALA LÄN</t>
        </is>
      </c>
      <c r="E278" t="inlineStr">
        <is>
          <t>ENKÖPING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10465-2022</t>
        </is>
      </c>
      <c r="B279" s="1" t="n">
        <v>44623</v>
      </c>
      <c r="C279" s="1" t="n">
        <v>46086</v>
      </c>
      <c r="D279" t="inlineStr">
        <is>
          <t>UPPSALA LÄN</t>
        </is>
      </c>
      <c r="E279" t="inlineStr">
        <is>
          <t>ENKÖPING</t>
        </is>
      </c>
      <c r="G279" t="n">
        <v>1.7</v>
      </c>
      <c r="H279" t="n">
        <v>0</v>
      </c>
      <c r="I279" t="n">
        <v>0</v>
      </c>
      <c r="J279" t="n">
        <v>0</v>
      </c>
      <c r="K279" t="n">
        <v>0</v>
      </c>
      <c r="L279" t="n">
        <v>0</v>
      </c>
      <c r="M279" t="n">
        <v>0</v>
      </c>
      <c r="N279" t="n">
        <v>0</v>
      </c>
      <c r="O279" t="n">
        <v>0</v>
      </c>
      <c r="P279" t="n">
        <v>0</v>
      </c>
      <c r="Q279" t="n">
        <v>0</v>
      </c>
      <c r="R279" s="2" t="inlineStr"/>
    </row>
    <row r="280" ht="15" customHeight="1">
      <c r="A280" t="inlineStr">
        <is>
          <t>A 14332-2024</t>
        </is>
      </c>
      <c r="B280" s="1" t="n">
        <v>45393</v>
      </c>
      <c r="C280" s="1" t="n">
        <v>46086</v>
      </c>
      <c r="D280" t="inlineStr">
        <is>
          <t>UPPSALA LÄN</t>
        </is>
      </c>
      <c r="E280" t="inlineStr">
        <is>
          <t>ENKÖPING</t>
        </is>
      </c>
      <c r="G280" t="n">
        <v>0.9</v>
      </c>
      <c r="H280" t="n">
        <v>0</v>
      </c>
      <c r="I280" t="n">
        <v>0</v>
      </c>
      <c r="J280" t="n">
        <v>0</v>
      </c>
      <c r="K280" t="n">
        <v>0</v>
      </c>
      <c r="L280" t="n">
        <v>0</v>
      </c>
      <c r="M280" t="n">
        <v>0</v>
      </c>
      <c r="N280" t="n">
        <v>0</v>
      </c>
      <c r="O280" t="n">
        <v>0</v>
      </c>
      <c r="P280" t="n">
        <v>0</v>
      </c>
      <c r="Q280" t="n">
        <v>0</v>
      </c>
      <c r="R280" s="2" t="inlineStr"/>
    </row>
    <row r="281" ht="15" customHeight="1">
      <c r="A281" t="inlineStr">
        <is>
          <t>A 61207-2023</t>
        </is>
      </c>
      <c r="B281" s="1" t="n">
        <v>45264.39444444444</v>
      </c>
      <c r="C281" s="1" t="n">
        <v>46086</v>
      </c>
      <c r="D281" t="inlineStr">
        <is>
          <t>UPPSALA LÄN</t>
        </is>
      </c>
      <c r="E281" t="inlineStr">
        <is>
          <t>ENKÖPING</t>
        </is>
      </c>
      <c r="G281" t="n">
        <v>10.8</v>
      </c>
      <c r="H281" t="n">
        <v>0</v>
      </c>
      <c r="I281" t="n">
        <v>0</v>
      </c>
      <c r="J281" t="n">
        <v>0</v>
      </c>
      <c r="K281" t="n">
        <v>0</v>
      </c>
      <c r="L281" t="n">
        <v>0</v>
      </c>
      <c r="M281" t="n">
        <v>0</v>
      </c>
      <c r="N281" t="n">
        <v>0</v>
      </c>
      <c r="O281" t="n">
        <v>0</v>
      </c>
      <c r="P281" t="n">
        <v>0</v>
      </c>
      <c r="Q281" t="n">
        <v>0</v>
      </c>
      <c r="R281" s="2" t="inlineStr"/>
    </row>
    <row r="282" ht="15" customHeight="1">
      <c r="A282" t="inlineStr">
        <is>
          <t>A 40812-2022</t>
        </is>
      </c>
      <c r="B282" s="1" t="n">
        <v>44824.68791666667</v>
      </c>
      <c r="C282" s="1" t="n">
        <v>46086</v>
      </c>
      <c r="D282" t="inlineStr">
        <is>
          <t>UPPSALA LÄN</t>
        </is>
      </c>
      <c r="E282" t="inlineStr">
        <is>
          <t>ENKÖPING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43691-2024</t>
        </is>
      </c>
      <c r="B283" s="1" t="n">
        <v>45569</v>
      </c>
      <c r="C283" s="1" t="n">
        <v>46086</v>
      </c>
      <c r="D283" t="inlineStr">
        <is>
          <t>UPPSALA LÄN</t>
        </is>
      </c>
      <c r="E283" t="inlineStr">
        <is>
          <t>ENKÖPING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56625-2025</t>
        </is>
      </c>
      <c r="B284" s="1" t="n">
        <v>45975.60608796297</v>
      </c>
      <c r="C284" s="1" t="n">
        <v>46086</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25333-2023</t>
        </is>
      </c>
      <c r="B285" s="1" t="n">
        <v>45083</v>
      </c>
      <c r="C285" s="1" t="n">
        <v>46086</v>
      </c>
      <c r="D285" t="inlineStr">
        <is>
          <t>UPPSALA LÄN</t>
        </is>
      </c>
      <c r="E285" t="inlineStr">
        <is>
          <t>ENKÖPING</t>
        </is>
      </c>
      <c r="G285" t="n">
        <v>2.7</v>
      </c>
      <c r="H285" t="n">
        <v>0</v>
      </c>
      <c r="I285" t="n">
        <v>0</v>
      </c>
      <c r="J285" t="n">
        <v>0</v>
      </c>
      <c r="K285" t="n">
        <v>0</v>
      </c>
      <c r="L285" t="n">
        <v>0</v>
      </c>
      <c r="M285" t="n">
        <v>0</v>
      </c>
      <c r="N285" t="n">
        <v>0</v>
      </c>
      <c r="O285" t="n">
        <v>0</v>
      </c>
      <c r="P285" t="n">
        <v>0</v>
      </c>
      <c r="Q285" t="n">
        <v>0</v>
      </c>
      <c r="R285" s="2" t="inlineStr"/>
    </row>
    <row r="286" ht="15" customHeight="1">
      <c r="A286" t="inlineStr">
        <is>
          <t>A 3300-2025</t>
        </is>
      </c>
      <c r="B286" s="1" t="n">
        <v>45679</v>
      </c>
      <c r="C286" s="1" t="n">
        <v>46086</v>
      </c>
      <c r="D286" t="inlineStr">
        <is>
          <t>UPPSALA LÄN</t>
        </is>
      </c>
      <c r="E286" t="inlineStr">
        <is>
          <t>ENKÖPING</t>
        </is>
      </c>
      <c r="G286" t="n">
        <v>8.9</v>
      </c>
      <c r="H286" t="n">
        <v>0</v>
      </c>
      <c r="I286" t="n">
        <v>0</v>
      </c>
      <c r="J286" t="n">
        <v>0</v>
      </c>
      <c r="K286" t="n">
        <v>0</v>
      </c>
      <c r="L286" t="n">
        <v>0</v>
      </c>
      <c r="M286" t="n">
        <v>0</v>
      </c>
      <c r="N286" t="n">
        <v>0</v>
      </c>
      <c r="O286" t="n">
        <v>0</v>
      </c>
      <c r="P286" t="n">
        <v>0</v>
      </c>
      <c r="Q286" t="n">
        <v>0</v>
      </c>
      <c r="R286" s="2" t="inlineStr"/>
    </row>
    <row r="287" ht="15" customHeight="1">
      <c r="A287" t="inlineStr">
        <is>
          <t>A 12754-2025</t>
        </is>
      </c>
      <c r="B287" s="1" t="n">
        <v>45733.56331018519</v>
      </c>
      <c r="C287" s="1" t="n">
        <v>46086</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57294-2025</t>
        </is>
      </c>
      <c r="B288" s="1" t="n">
        <v>45979</v>
      </c>
      <c r="C288" s="1" t="n">
        <v>46086</v>
      </c>
      <c r="D288" t="inlineStr">
        <is>
          <t>UPPSALA LÄN</t>
        </is>
      </c>
      <c r="E288" t="inlineStr">
        <is>
          <t>ENKÖPING</t>
        </is>
      </c>
      <c r="G288" t="n">
        <v>6.2</v>
      </c>
      <c r="H288" t="n">
        <v>0</v>
      </c>
      <c r="I288" t="n">
        <v>0</v>
      </c>
      <c r="J288" t="n">
        <v>0</v>
      </c>
      <c r="K288" t="n">
        <v>0</v>
      </c>
      <c r="L288" t="n">
        <v>0</v>
      </c>
      <c r="M288" t="n">
        <v>0</v>
      </c>
      <c r="N288" t="n">
        <v>0</v>
      </c>
      <c r="O288" t="n">
        <v>0</v>
      </c>
      <c r="P288" t="n">
        <v>0</v>
      </c>
      <c r="Q288" t="n">
        <v>0</v>
      </c>
      <c r="R288" s="2" t="inlineStr"/>
    </row>
    <row r="289" ht="15" customHeight="1">
      <c r="A289" t="inlineStr">
        <is>
          <t>A 16176-2025</t>
        </is>
      </c>
      <c r="B289" s="1" t="n">
        <v>45750</v>
      </c>
      <c r="C289" s="1" t="n">
        <v>46086</v>
      </c>
      <c r="D289" t="inlineStr">
        <is>
          <t>UPPSALA LÄN</t>
        </is>
      </c>
      <c r="E289" t="inlineStr">
        <is>
          <t>ENKÖPING</t>
        </is>
      </c>
      <c r="G289" t="n">
        <v>3.9</v>
      </c>
      <c r="H289" t="n">
        <v>0</v>
      </c>
      <c r="I289" t="n">
        <v>0</v>
      </c>
      <c r="J289" t="n">
        <v>0</v>
      </c>
      <c r="K289" t="n">
        <v>0</v>
      </c>
      <c r="L289" t="n">
        <v>0</v>
      </c>
      <c r="M289" t="n">
        <v>0</v>
      </c>
      <c r="N289" t="n">
        <v>0</v>
      </c>
      <c r="O289" t="n">
        <v>0</v>
      </c>
      <c r="P289" t="n">
        <v>0</v>
      </c>
      <c r="Q289" t="n">
        <v>0</v>
      </c>
      <c r="R289" s="2" t="inlineStr"/>
    </row>
    <row r="290" ht="15" customHeight="1">
      <c r="A290" t="inlineStr">
        <is>
          <t>A 58025-2025</t>
        </is>
      </c>
      <c r="B290" s="1" t="n">
        <v>45982</v>
      </c>
      <c r="C290" s="1" t="n">
        <v>46086</v>
      </c>
      <c r="D290" t="inlineStr">
        <is>
          <t>UPPSALA LÄN</t>
        </is>
      </c>
      <c r="E290" t="inlineStr">
        <is>
          <t>ENKÖPING</t>
        </is>
      </c>
      <c r="G290" t="n">
        <v>3.2</v>
      </c>
      <c r="H290" t="n">
        <v>0</v>
      </c>
      <c r="I290" t="n">
        <v>0</v>
      </c>
      <c r="J290" t="n">
        <v>0</v>
      </c>
      <c r="K290" t="n">
        <v>0</v>
      </c>
      <c r="L290" t="n">
        <v>0</v>
      </c>
      <c r="M290" t="n">
        <v>0</v>
      </c>
      <c r="N290" t="n">
        <v>0</v>
      </c>
      <c r="O290" t="n">
        <v>0</v>
      </c>
      <c r="P290" t="n">
        <v>0</v>
      </c>
      <c r="Q290" t="n">
        <v>0</v>
      </c>
      <c r="R290" s="2" t="inlineStr"/>
    </row>
    <row r="291" ht="15" customHeight="1">
      <c r="A291" t="inlineStr">
        <is>
          <t>A 56713-2024</t>
        </is>
      </c>
      <c r="B291" s="1" t="n">
        <v>45628</v>
      </c>
      <c r="C291" s="1" t="n">
        <v>46086</v>
      </c>
      <c r="D291" t="inlineStr">
        <is>
          <t>UPPSALA LÄN</t>
        </is>
      </c>
      <c r="E291" t="inlineStr">
        <is>
          <t>ENKÖPING</t>
        </is>
      </c>
      <c r="G291" t="n">
        <v>1.7</v>
      </c>
      <c r="H291" t="n">
        <v>0</v>
      </c>
      <c r="I291" t="n">
        <v>0</v>
      </c>
      <c r="J291" t="n">
        <v>0</v>
      </c>
      <c r="K291" t="n">
        <v>0</v>
      </c>
      <c r="L291" t="n">
        <v>0</v>
      </c>
      <c r="M291" t="n">
        <v>0</v>
      </c>
      <c r="N291" t="n">
        <v>0</v>
      </c>
      <c r="O291" t="n">
        <v>0</v>
      </c>
      <c r="P291" t="n">
        <v>0</v>
      </c>
      <c r="Q291" t="n">
        <v>0</v>
      </c>
      <c r="R291" s="2" t="inlineStr"/>
    </row>
    <row r="292" ht="15" customHeight="1">
      <c r="A292" t="inlineStr">
        <is>
          <t>A 57188-2025</t>
        </is>
      </c>
      <c r="B292" s="1" t="n">
        <v>45979</v>
      </c>
      <c r="C292" s="1" t="n">
        <v>46086</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37870-2023</t>
        </is>
      </c>
      <c r="B293" s="1" t="n">
        <v>45160.41996527778</v>
      </c>
      <c r="C293" s="1" t="n">
        <v>46086</v>
      </c>
      <c r="D293" t="inlineStr">
        <is>
          <t>UPPSALA LÄN</t>
        </is>
      </c>
      <c r="E293" t="inlineStr">
        <is>
          <t>ENKÖPING</t>
        </is>
      </c>
      <c r="G293" t="n">
        <v>3.5</v>
      </c>
      <c r="H293" t="n">
        <v>0</v>
      </c>
      <c r="I293" t="n">
        <v>0</v>
      </c>
      <c r="J293" t="n">
        <v>0</v>
      </c>
      <c r="K293" t="n">
        <v>0</v>
      </c>
      <c r="L293" t="n">
        <v>0</v>
      </c>
      <c r="M293" t="n">
        <v>0</v>
      </c>
      <c r="N293" t="n">
        <v>0</v>
      </c>
      <c r="O293" t="n">
        <v>0</v>
      </c>
      <c r="P293" t="n">
        <v>0</v>
      </c>
      <c r="Q293" t="n">
        <v>0</v>
      </c>
      <c r="R293" s="2" t="inlineStr"/>
    </row>
    <row r="294" ht="15" customHeight="1">
      <c r="A294" t="inlineStr">
        <is>
          <t>A 22094-2023</t>
        </is>
      </c>
      <c r="B294" s="1" t="n">
        <v>45069</v>
      </c>
      <c r="C294" s="1" t="n">
        <v>46086</v>
      </c>
      <c r="D294" t="inlineStr">
        <is>
          <t>UPPSALA LÄN</t>
        </is>
      </c>
      <c r="E294" t="inlineStr">
        <is>
          <t>ENKÖPING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15405-2025</t>
        </is>
      </c>
      <c r="B295" s="1" t="n">
        <v>45747.44670138889</v>
      </c>
      <c r="C295" s="1" t="n">
        <v>46086</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35079-2024</t>
        </is>
      </c>
      <c r="B296" s="1" t="n">
        <v>45527.66770833333</v>
      </c>
      <c r="C296" s="1" t="n">
        <v>46086</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33581-2023</t>
        </is>
      </c>
      <c r="B297" s="1" t="n">
        <v>45131</v>
      </c>
      <c r="C297" s="1" t="n">
        <v>46086</v>
      </c>
      <c r="D297" t="inlineStr">
        <is>
          <t>UPPSALA LÄN</t>
        </is>
      </c>
      <c r="E297" t="inlineStr">
        <is>
          <t>ENKÖPING</t>
        </is>
      </c>
      <c r="G297" t="n">
        <v>3.5</v>
      </c>
      <c r="H297" t="n">
        <v>0</v>
      </c>
      <c r="I297" t="n">
        <v>0</v>
      </c>
      <c r="J297" t="n">
        <v>0</v>
      </c>
      <c r="K297" t="n">
        <v>0</v>
      </c>
      <c r="L297" t="n">
        <v>0</v>
      </c>
      <c r="M297" t="n">
        <v>0</v>
      </c>
      <c r="N297" t="n">
        <v>0</v>
      </c>
      <c r="O297" t="n">
        <v>0</v>
      </c>
      <c r="P297" t="n">
        <v>0</v>
      </c>
      <c r="Q297" t="n">
        <v>0</v>
      </c>
      <c r="R297" s="2" t="inlineStr"/>
    </row>
    <row r="298" ht="15" customHeight="1">
      <c r="A298" t="inlineStr">
        <is>
          <t>A 56163-2021</t>
        </is>
      </c>
      <c r="B298" s="1" t="n">
        <v>44477</v>
      </c>
      <c r="C298" s="1" t="n">
        <v>46086</v>
      </c>
      <c r="D298" t="inlineStr">
        <is>
          <t>UPPSALA LÄN</t>
        </is>
      </c>
      <c r="E298" t="inlineStr">
        <is>
          <t>ENKÖPING</t>
        </is>
      </c>
      <c r="F298" t="inlineStr">
        <is>
          <t>Allmännings- och besparingsskogar</t>
        </is>
      </c>
      <c r="G298" t="n">
        <v>0.6</v>
      </c>
      <c r="H298" t="n">
        <v>0</v>
      </c>
      <c r="I298" t="n">
        <v>0</v>
      </c>
      <c r="J298" t="n">
        <v>0</v>
      </c>
      <c r="K298" t="n">
        <v>0</v>
      </c>
      <c r="L298" t="n">
        <v>0</v>
      </c>
      <c r="M298" t="n">
        <v>0</v>
      </c>
      <c r="N298" t="n">
        <v>0</v>
      </c>
      <c r="O298" t="n">
        <v>0</v>
      </c>
      <c r="P298" t="n">
        <v>0</v>
      </c>
      <c r="Q298" t="n">
        <v>0</v>
      </c>
      <c r="R298" s="2" t="inlineStr"/>
    </row>
    <row r="299" ht="15" customHeight="1">
      <c r="A299" t="inlineStr">
        <is>
          <t>A 47909-2024</t>
        </is>
      </c>
      <c r="B299" s="1" t="n">
        <v>45589.31866898148</v>
      </c>
      <c r="C299" s="1" t="n">
        <v>46086</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59668-2025</t>
        </is>
      </c>
      <c r="B300" s="1" t="n">
        <v>45992.45567129629</v>
      </c>
      <c r="C300" s="1" t="n">
        <v>46086</v>
      </c>
      <c r="D300" t="inlineStr">
        <is>
          <t>UPPSALA LÄN</t>
        </is>
      </c>
      <c r="E300" t="inlineStr">
        <is>
          <t>ENKÖPING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51932-2022</t>
        </is>
      </c>
      <c r="B301" s="1" t="n">
        <v>44872</v>
      </c>
      <c r="C301" s="1" t="n">
        <v>46086</v>
      </c>
      <c r="D301" t="inlineStr">
        <is>
          <t>UPPSALA LÄN</t>
        </is>
      </c>
      <c r="E301" t="inlineStr">
        <is>
          <t>ENKÖPING</t>
        </is>
      </c>
      <c r="G301" t="n">
        <v>5.5</v>
      </c>
      <c r="H301" t="n">
        <v>0</v>
      </c>
      <c r="I301" t="n">
        <v>0</v>
      </c>
      <c r="J301" t="n">
        <v>0</v>
      </c>
      <c r="K301" t="n">
        <v>0</v>
      </c>
      <c r="L301" t="n">
        <v>0</v>
      </c>
      <c r="M301" t="n">
        <v>0</v>
      </c>
      <c r="N301" t="n">
        <v>0</v>
      </c>
      <c r="O301" t="n">
        <v>0</v>
      </c>
      <c r="P301" t="n">
        <v>0</v>
      </c>
      <c r="Q301" t="n">
        <v>0</v>
      </c>
      <c r="R301" s="2" t="inlineStr"/>
    </row>
    <row r="302" ht="15" customHeight="1">
      <c r="A302" t="inlineStr">
        <is>
          <t>A 59964-2025</t>
        </is>
      </c>
      <c r="B302" s="1" t="n">
        <v>45993.48043981481</v>
      </c>
      <c r="C302" s="1" t="n">
        <v>46086</v>
      </c>
      <c r="D302" t="inlineStr">
        <is>
          <t>UPPSALA LÄN</t>
        </is>
      </c>
      <c r="E302" t="inlineStr">
        <is>
          <t>ENKÖPING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60340-2025</t>
        </is>
      </c>
      <c r="B303" s="1" t="n">
        <v>45994.83415509259</v>
      </c>
      <c r="C303" s="1" t="n">
        <v>46086</v>
      </c>
      <c r="D303" t="inlineStr">
        <is>
          <t>UPPSALA LÄN</t>
        </is>
      </c>
      <c r="E303" t="inlineStr">
        <is>
          <t>ENKÖPING</t>
        </is>
      </c>
      <c r="G303" t="n">
        <v>5.6</v>
      </c>
      <c r="H303" t="n">
        <v>0</v>
      </c>
      <c r="I303" t="n">
        <v>0</v>
      </c>
      <c r="J303" t="n">
        <v>0</v>
      </c>
      <c r="K303" t="n">
        <v>0</v>
      </c>
      <c r="L303" t="n">
        <v>0</v>
      </c>
      <c r="M303" t="n">
        <v>0</v>
      </c>
      <c r="N303" t="n">
        <v>0</v>
      </c>
      <c r="O303" t="n">
        <v>0</v>
      </c>
      <c r="P303" t="n">
        <v>0</v>
      </c>
      <c r="Q303" t="n">
        <v>0</v>
      </c>
      <c r="R303" s="2" t="inlineStr"/>
    </row>
    <row r="304" ht="15" customHeight="1">
      <c r="A304" t="inlineStr">
        <is>
          <t>A 60174-2025</t>
        </is>
      </c>
      <c r="B304" s="1" t="n">
        <v>45994.45039351852</v>
      </c>
      <c r="C304" s="1" t="n">
        <v>46086</v>
      </c>
      <c r="D304" t="inlineStr">
        <is>
          <t>UPPSALA LÄN</t>
        </is>
      </c>
      <c r="E304" t="inlineStr">
        <is>
          <t>ENKÖPING</t>
        </is>
      </c>
      <c r="G304" t="n">
        <v>2.8</v>
      </c>
      <c r="H304" t="n">
        <v>0</v>
      </c>
      <c r="I304" t="n">
        <v>0</v>
      </c>
      <c r="J304" t="n">
        <v>0</v>
      </c>
      <c r="K304" t="n">
        <v>0</v>
      </c>
      <c r="L304" t="n">
        <v>0</v>
      </c>
      <c r="M304" t="n">
        <v>0</v>
      </c>
      <c r="N304" t="n">
        <v>0</v>
      </c>
      <c r="O304" t="n">
        <v>0</v>
      </c>
      <c r="P304" t="n">
        <v>0</v>
      </c>
      <c r="Q304" t="n">
        <v>0</v>
      </c>
      <c r="R304" s="2" t="inlineStr"/>
    </row>
    <row r="305" ht="15" customHeight="1">
      <c r="A305" t="inlineStr">
        <is>
          <t>A 60175-2025</t>
        </is>
      </c>
      <c r="B305" s="1" t="n">
        <v>45994.45378472222</v>
      </c>
      <c r="C305" s="1" t="n">
        <v>46086</v>
      </c>
      <c r="D305" t="inlineStr">
        <is>
          <t>UPPSALA LÄN</t>
        </is>
      </c>
      <c r="E305" t="inlineStr">
        <is>
          <t>ENKÖPING</t>
        </is>
      </c>
      <c r="G305" t="n">
        <v>2.4</v>
      </c>
      <c r="H305" t="n">
        <v>0</v>
      </c>
      <c r="I305" t="n">
        <v>0</v>
      </c>
      <c r="J305" t="n">
        <v>0</v>
      </c>
      <c r="K305" t="n">
        <v>0</v>
      </c>
      <c r="L305" t="n">
        <v>0</v>
      </c>
      <c r="M305" t="n">
        <v>0</v>
      </c>
      <c r="N305" t="n">
        <v>0</v>
      </c>
      <c r="O305" t="n">
        <v>0</v>
      </c>
      <c r="P305" t="n">
        <v>0</v>
      </c>
      <c r="Q305" t="n">
        <v>0</v>
      </c>
      <c r="R305" s="2" t="inlineStr"/>
    </row>
    <row r="306" ht="15" customHeight="1">
      <c r="A306" t="inlineStr">
        <is>
          <t>A 60947-2025</t>
        </is>
      </c>
      <c r="B306" s="1" t="n">
        <v>45999</v>
      </c>
      <c r="C306" s="1" t="n">
        <v>46086</v>
      </c>
      <c r="D306" t="inlineStr">
        <is>
          <t>UPPSALA LÄN</t>
        </is>
      </c>
      <c r="E306" t="inlineStr">
        <is>
          <t>ENKÖPING</t>
        </is>
      </c>
      <c r="G306" t="n">
        <v>4</v>
      </c>
      <c r="H306" t="n">
        <v>0</v>
      </c>
      <c r="I306" t="n">
        <v>0</v>
      </c>
      <c r="J306" t="n">
        <v>0</v>
      </c>
      <c r="K306" t="n">
        <v>0</v>
      </c>
      <c r="L306" t="n">
        <v>0</v>
      </c>
      <c r="M306" t="n">
        <v>0</v>
      </c>
      <c r="N306" t="n">
        <v>0</v>
      </c>
      <c r="O306" t="n">
        <v>0</v>
      </c>
      <c r="P306" t="n">
        <v>0</v>
      </c>
      <c r="Q306" t="n">
        <v>0</v>
      </c>
      <c r="R306" s="2" t="inlineStr"/>
    </row>
    <row r="307" ht="15" customHeight="1">
      <c r="A307" t="inlineStr">
        <is>
          <t>A 60934-2025</t>
        </is>
      </c>
      <c r="B307" s="1" t="n">
        <v>45999</v>
      </c>
      <c r="C307" s="1" t="n">
        <v>46086</v>
      </c>
      <c r="D307" t="inlineStr">
        <is>
          <t>UPPSALA LÄN</t>
        </is>
      </c>
      <c r="E307" t="inlineStr">
        <is>
          <t>ENKÖPING</t>
        </is>
      </c>
      <c r="G307" t="n">
        <v>2.5</v>
      </c>
      <c r="H307" t="n">
        <v>0</v>
      </c>
      <c r="I307" t="n">
        <v>0</v>
      </c>
      <c r="J307" t="n">
        <v>0</v>
      </c>
      <c r="K307" t="n">
        <v>0</v>
      </c>
      <c r="L307" t="n">
        <v>0</v>
      </c>
      <c r="M307" t="n">
        <v>0</v>
      </c>
      <c r="N307" t="n">
        <v>0</v>
      </c>
      <c r="O307" t="n">
        <v>0</v>
      </c>
      <c r="P307" t="n">
        <v>0</v>
      </c>
      <c r="Q307" t="n">
        <v>0</v>
      </c>
      <c r="R307" s="2" t="inlineStr"/>
    </row>
    <row r="308" ht="15" customHeight="1">
      <c r="A308" t="inlineStr">
        <is>
          <t>A 59497-2022</t>
        </is>
      </c>
      <c r="B308" s="1" t="n">
        <v>44907.48258101852</v>
      </c>
      <c r="C308" s="1" t="n">
        <v>46086</v>
      </c>
      <c r="D308" t="inlineStr">
        <is>
          <t>UPPSALA LÄN</t>
        </is>
      </c>
      <c r="E308" t="inlineStr">
        <is>
          <t>ENKÖPING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61437-2025</t>
        </is>
      </c>
      <c r="B309" s="1" t="n">
        <v>46001.5659375</v>
      </c>
      <c r="C309" s="1" t="n">
        <v>46086</v>
      </c>
      <c r="D309" t="inlineStr">
        <is>
          <t>UPPSALA LÄN</t>
        </is>
      </c>
      <c r="E309" t="inlineStr">
        <is>
          <t>ENKÖPING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9041-2023</t>
        </is>
      </c>
      <c r="B310" s="1" t="n">
        <v>44979</v>
      </c>
      <c r="C310" s="1" t="n">
        <v>46086</v>
      </c>
      <c r="D310" t="inlineStr">
        <is>
          <t>UPPSALA LÄN</t>
        </is>
      </c>
      <c r="E310" t="inlineStr">
        <is>
          <t>ENKÖPING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12755-2025</t>
        </is>
      </c>
      <c r="B311" s="1" t="n">
        <v>45733.56541666666</v>
      </c>
      <c r="C311" s="1" t="n">
        <v>46086</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59027-2024</t>
        </is>
      </c>
      <c r="B312" s="1" t="n">
        <v>45636.68755787037</v>
      </c>
      <c r="C312" s="1" t="n">
        <v>46086</v>
      </c>
      <c r="D312" t="inlineStr">
        <is>
          <t>UPPSALA LÄN</t>
        </is>
      </c>
      <c r="E312" t="inlineStr">
        <is>
          <t>ENKÖPING</t>
        </is>
      </c>
      <c r="G312" t="n">
        <v>1.1</v>
      </c>
      <c r="H312" t="n">
        <v>0</v>
      </c>
      <c r="I312" t="n">
        <v>0</v>
      </c>
      <c r="J312" t="n">
        <v>0</v>
      </c>
      <c r="K312" t="n">
        <v>0</v>
      </c>
      <c r="L312" t="n">
        <v>0</v>
      </c>
      <c r="M312" t="n">
        <v>0</v>
      </c>
      <c r="N312" t="n">
        <v>0</v>
      </c>
      <c r="O312" t="n">
        <v>0</v>
      </c>
      <c r="P312" t="n">
        <v>0</v>
      </c>
      <c r="Q312" t="n">
        <v>0</v>
      </c>
      <c r="R312" s="2" t="inlineStr"/>
    </row>
    <row r="313" ht="15" customHeight="1">
      <c r="A313" t="inlineStr">
        <is>
          <t>A 29477-2025</t>
        </is>
      </c>
      <c r="B313" s="1" t="n">
        <v>45824.71537037037</v>
      </c>
      <c r="C313" s="1" t="n">
        <v>46086</v>
      </c>
      <c r="D313" t="inlineStr">
        <is>
          <t>UPPSALA LÄN</t>
        </is>
      </c>
      <c r="E313" t="inlineStr">
        <is>
          <t>ENKÖPING</t>
        </is>
      </c>
      <c r="G313" t="n">
        <v>13.4</v>
      </c>
      <c r="H313" t="n">
        <v>0</v>
      </c>
      <c r="I313" t="n">
        <v>0</v>
      </c>
      <c r="J313" t="n">
        <v>0</v>
      </c>
      <c r="K313" t="n">
        <v>0</v>
      </c>
      <c r="L313" t="n">
        <v>0</v>
      </c>
      <c r="M313" t="n">
        <v>0</v>
      </c>
      <c r="N313" t="n">
        <v>0</v>
      </c>
      <c r="O313" t="n">
        <v>0</v>
      </c>
      <c r="P313" t="n">
        <v>0</v>
      </c>
      <c r="Q313" t="n">
        <v>0</v>
      </c>
      <c r="R313" s="2" t="inlineStr"/>
    </row>
    <row r="314" ht="15" customHeight="1">
      <c r="A314" t="inlineStr">
        <is>
          <t>A 53587-2024</t>
        </is>
      </c>
      <c r="B314" s="1" t="n">
        <v>45614.66953703704</v>
      </c>
      <c r="C314" s="1" t="n">
        <v>46086</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61778-2025</t>
        </is>
      </c>
      <c r="B315" s="1" t="n">
        <v>46002.66555555556</v>
      </c>
      <c r="C315" s="1" t="n">
        <v>46086</v>
      </c>
      <c r="D315" t="inlineStr">
        <is>
          <t>UPPSALA LÄN</t>
        </is>
      </c>
      <c r="E315" t="inlineStr">
        <is>
          <t>ENKÖPING</t>
        </is>
      </c>
      <c r="G315" t="n">
        <v>3.2</v>
      </c>
      <c r="H315" t="n">
        <v>0</v>
      </c>
      <c r="I315" t="n">
        <v>0</v>
      </c>
      <c r="J315" t="n">
        <v>0</v>
      </c>
      <c r="K315" t="n">
        <v>0</v>
      </c>
      <c r="L315" t="n">
        <v>0</v>
      </c>
      <c r="M315" t="n">
        <v>0</v>
      </c>
      <c r="N315" t="n">
        <v>0</v>
      </c>
      <c r="O315" t="n">
        <v>0</v>
      </c>
      <c r="P315" t="n">
        <v>0</v>
      </c>
      <c r="Q315" t="n">
        <v>0</v>
      </c>
      <c r="R315" s="2" t="inlineStr"/>
    </row>
    <row r="316" ht="15" customHeight="1">
      <c r="A316" t="inlineStr">
        <is>
          <t>A 61811-2025</t>
        </is>
      </c>
      <c r="B316" s="1" t="n">
        <v>46002.90059027778</v>
      </c>
      <c r="C316" s="1" t="n">
        <v>46086</v>
      </c>
      <c r="D316" t="inlineStr">
        <is>
          <t>UPPSALA LÄN</t>
        </is>
      </c>
      <c r="E316" t="inlineStr">
        <is>
          <t>ENKÖPING</t>
        </is>
      </c>
      <c r="F316" t="inlineStr">
        <is>
          <t>Allmännings- och besparingsskogar</t>
        </is>
      </c>
      <c r="G316" t="n">
        <v>4.7</v>
      </c>
      <c r="H316" t="n">
        <v>0</v>
      </c>
      <c r="I316" t="n">
        <v>0</v>
      </c>
      <c r="J316" t="n">
        <v>0</v>
      </c>
      <c r="K316" t="n">
        <v>0</v>
      </c>
      <c r="L316" t="n">
        <v>0</v>
      </c>
      <c r="M316" t="n">
        <v>0</v>
      </c>
      <c r="N316" t="n">
        <v>0</v>
      </c>
      <c r="O316" t="n">
        <v>0</v>
      </c>
      <c r="P316" t="n">
        <v>0</v>
      </c>
      <c r="Q316" t="n">
        <v>0</v>
      </c>
      <c r="R316" s="2" t="inlineStr"/>
    </row>
    <row r="317" ht="15" customHeight="1">
      <c r="A317" t="inlineStr">
        <is>
          <t>A 38941-2025</t>
        </is>
      </c>
      <c r="B317" s="1" t="n">
        <v>45887</v>
      </c>
      <c r="C317" s="1" t="n">
        <v>46086</v>
      </c>
      <c r="D317" t="inlineStr">
        <is>
          <t>UPPSALA LÄN</t>
        </is>
      </c>
      <c r="E317" t="inlineStr">
        <is>
          <t>ENKÖPING</t>
        </is>
      </c>
      <c r="F317" t="inlineStr">
        <is>
          <t>Övriga statliga verk och myndigheter</t>
        </is>
      </c>
      <c r="G317" t="n">
        <v>0.6</v>
      </c>
      <c r="H317" t="n">
        <v>0</v>
      </c>
      <c r="I317" t="n">
        <v>0</v>
      </c>
      <c r="J317" t="n">
        <v>0</v>
      </c>
      <c r="K317" t="n">
        <v>0</v>
      </c>
      <c r="L317" t="n">
        <v>0</v>
      </c>
      <c r="M317" t="n">
        <v>0</v>
      </c>
      <c r="N317" t="n">
        <v>0</v>
      </c>
      <c r="O317" t="n">
        <v>0</v>
      </c>
      <c r="P317" t="n">
        <v>0</v>
      </c>
      <c r="Q317" t="n">
        <v>0</v>
      </c>
      <c r="R317" s="2" t="inlineStr"/>
    </row>
    <row r="318" ht="15" customHeight="1">
      <c r="A318" t="inlineStr">
        <is>
          <t>A 11503-2024</t>
        </is>
      </c>
      <c r="B318" s="1" t="n">
        <v>45372.68020833333</v>
      </c>
      <c r="C318" s="1" t="n">
        <v>46086</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39115-2024</t>
        </is>
      </c>
      <c r="B319" s="1" t="n">
        <v>45548</v>
      </c>
      <c r="C319" s="1" t="n">
        <v>46086</v>
      </c>
      <c r="D319" t="inlineStr">
        <is>
          <t>UPPSALA LÄN</t>
        </is>
      </c>
      <c r="E319" t="inlineStr">
        <is>
          <t>ENKÖPING</t>
        </is>
      </c>
      <c r="G319" t="n">
        <v>1.3</v>
      </c>
      <c r="H319" t="n">
        <v>0</v>
      </c>
      <c r="I319" t="n">
        <v>0</v>
      </c>
      <c r="J319" t="n">
        <v>0</v>
      </c>
      <c r="K319" t="n">
        <v>0</v>
      </c>
      <c r="L319" t="n">
        <v>0</v>
      </c>
      <c r="M319" t="n">
        <v>0</v>
      </c>
      <c r="N319" t="n">
        <v>0</v>
      </c>
      <c r="O319" t="n">
        <v>0</v>
      </c>
      <c r="P319" t="n">
        <v>0</v>
      </c>
      <c r="Q319" t="n">
        <v>0</v>
      </c>
      <c r="R319" s="2" t="inlineStr"/>
    </row>
    <row r="320" ht="15" customHeight="1">
      <c r="A320" t="inlineStr">
        <is>
          <t>A 25334-2023</t>
        </is>
      </c>
      <c r="B320" s="1" t="n">
        <v>45083</v>
      </c>
      <c r="C320" s="1" t="n">
        <v>46086</v>
      </c>
      <c r="D320" t="inlineStr">
        <is>
          <t>UPPSALA LÄN</t>
        </is>
      </c>
      <c r="E320" t="inlineStr">
        <is>
          <t>ENKÖPING</t>
        </is>
      </c>
      <c r="G320" t="n">
        <v>0.2</v>
      </c>
      <c r="H320" t="n">
        <v>0</v>
      </c>
      <c r="I320" t="n">
        <v>0</v>
      </c>
      <c r="J320" t="n">
        <v>0</v>
      </c>
      <c r="K320" t="n">
        <v>0</v>
      </c>
      <c r="L320" t="n">
        <v>0</v>
      </c>
      <c r="M320" t="n">
        <v>0</v>
      </c>
      <c r="N320" t="n">
        <v>0</v>
      </c>
      <c r="O320" t="n">
        <v>0</v>
      </c>
      <c r="P320" t="n">
        <v>0</v>
      </c>
      <c r="Q320" t="n">
        <v>0</v>
      </c>
      <c r="R320" s="2" t="inlineStr"/>
    </row>
    <row r="321" ht="15" customHeight="1">
      <c r="A321" t="inlineStr">
        <is>
          <t>A 56837-2024</t>
        </is>
      </c>
      <c r="B321" s="1" t="n">
        <v>45628</v>
      </c>
      <c r="C321" s="1" t="n">
        <v>46086</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61889-2025</t>
        </is>
      </c>
      <c r="B322" s="1" t="n">
        <v>46003.44765046296</v>
      </c>
      <c r="C322" s="1" t="n">
        <v>46086</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18821-2023</t>
        </is>
      </c>
      <c r="B323" s="1" t="n">
        <v>45044.3782175926</v>
      </c>
      <c r="C323" s="1" t="n">
        <v>46086</v>
      </c>
      <c r="D323" t="inlineStr">
        <is>
          <t>UPPSALA LÄN</t>
        </is>
      </c>
      <c r="E323" t="inlineStr">
        <is>
          <t>ENKÖPING</t>
        </is>
      </c>
      <c r="G323" t="n">
        <v>6</v>
      </c>
      <c r="H323" t="n">
        <v>0</v>
      </c>
      <c r="I323" t="n">
        <v>0</v>
      </c>
      <c r="J323" t="n">
        <v>0</v>
      </c>
      <c r="K323" t="n">
        <v>0</v>
      </c>
      <c r="L323" t="n">
        <v>0</v>
      </c>
      <c r="M323" t="n">
        <v>0</v>
      </c>
      <c r="N323" t="n">
        <v>0</v>
      </c>
      <c r="O323" t="n">
        <v>0</v>
      </c>
      <c r="P323" t="n">
        <v>0</v>
      </c>
      <c r="Q323" t="n">
        <v>0</v>
      </c>
      <c r="R323" s="2" t="inlineStr"/>
    </row>
    <row r="324" ht="15" customHeight="1">
      <c r="A324" t="inlineStr">
        <is>
          <t>A 5104-2026</t>
        </is>
      </c>
      <c r="B324" s="1" t="n">
        <v>46049.56914351852</v>
      </c>
      <c r="C324" s="1" t="n">
        <v>46086</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62599-2025</t>
        </is>
      </c>
      <c r="B325" s="1" t="n">
        <v>46007.91961805556</v>
      </c>
      <c r="C325" s="1" t="n">
        <v>46086</v>
      </c>
      <c r="D325" t="inlineStr">
        <is>
          <t>UPPSALA LÄN</t>
        </is>
      </c>
      <c r="E325" t="inlineStr">
        <is>
          <t>ENKÖPING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5569-2026</t>
        </is>
      </c>
      <c r="B326" s="1" t="n">
        <v>46050.89431712963</v>
      </c>
      <c r="C326" s="1" t="n">
        <v>46086</v>
      </c>
      <c r="D326" t="inlineStr">
        <is>
          <t>UPPSALA LÄN</t>
        </is>
      </c>
      <c r="E326" t="inlineStr">
        <is>
          <t>ENKÖPING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62772-2025</t>
        </is>
      </c>
      <c r="B327" s="1" t="n">
        <v>46008.60365740741</v>
      </c>
      <c r="C327" s="1" t="n">
        <v>46086</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63128-2025</t>
        </is>
      </c>
      <c r="B328" s="1" t="n">
        <v>46009</v>
      </c>
      <c r="C328" s="1" t="n">
        <v>46086</v>
      </c>
      <c r="D328" t="inlineStr">
        <is>
          <t>UPPSALA LÄN</t>
        </is>
      </c>
      <c r="E328" t="inlineStr">
        <is>
          <t>ENKÖPING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62600-2025</t>
        </is>
      </c>
      <c r="B329" s="1" t="n">
        <v>46007.92175925926</v>
      </c>
      <c r="C329" s="1" t="n">
        <v>46086</v>
      </c>
      <c r="D329" t="inlineStr">
        <is>
          <t>UPPSALA LÄN</t>
        </is>
      </c>
      <c r="E329" t="inlineStr">
        <is>
          <t>ENKÖPING</t>
        </is>
      </c>
      <c r="G329" t="n">
        <v>2</v>
      </c>
      <c r="H329" t="n">
        <v>0</v>
      </c>
      <c r="I329" t="n">
        <v>0</v>
      </c>
      <c r="J329" t="n">
        <v>0</v>
      </c>
      <c r="K329" t="n">
        <v>0</v>
      </c>
      <c r="L329" t="n">
        <v>0</v>
      </c>
      <c r="M329" t="n">
        <v>0</v>
      </c>
      <c r="N329" t="n">
        <v>0</v>
      </c>
      <c r="O329" t="n">
        <v>0</v>
      </c>
      <c r="P329" t="n">
        <v>0</v>
      </c>
      <c r="Q329" t="n">
        <v>0</v>
      </c>
      <c r="R329" s="2" t="inlineStr"/>
    </row>
    <row r="330" ht="15" customHeight="1">
      <c r="A330" t="inlineStr">
        <is>
          <t>A 62602-2025</t>
        </is>
      </c>
      <c r="B330" s="1" t="n">
        <v>46007.92581018519</v>
      </c>
      <c r="C330" s="1" t="n">
        <v>46086</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57335-2024</t>
        </is>
      </c>
      <c r="B331" s="1" t="n">
        <v>45629.63302083333</v>
      </c>
      <c r="C331" s="1" t="n">
        <v>46086</v>
      </c>
      <c r="D331" t="inlineStr">
        <is>
          <t>UPPSALA LÄN</t>
        </is>
      </c>
      <c r="E331" t="inlineStr">
        <is>
          <t>ENKÖPING</t>
        </is>
      </c>
      <c r="G331" t="n">
        <v>2.1</v>
      </c>
      <c r="H331" t="n">
        <v>0</v>
      </c>
      <c r="I331" t="n">
        <v>0</v>
      </c>
      <c r="J331" t="n">
        <v>0</v>
      </c>
      <c r="K331" t="n">
        <v>0</v>
      </c>
      <c r="L331" t="n">
        <v>0</v>
      </c>
      <c r="M331" t="n">
        <v>0</v>
      </c>
      <c r="N331" t="n">
        <v>0</v>
      </c>
      <c r="O331" t="n">
        <v>0</v>
      </c>
      <c r="P331" t="n">
        <v>0</v>
      </c>
      <c r="Q331" t="n">
        <v>0</v>
      </c>
      <c r="R331" s="2" t="inlineStr"/>
    </row>
    <row r="332" ht="15" customHeight="1">
      <c r="A332" t="inlineStr">
        <is>
          <t>A 62601-2025</t>
        </is>
      </c>
      <c r="B332" s="1" t="n">
        <v>46007.92395833333</v>
      </c>
      <c r="C332" s="1" t="n">
        <v>46086</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57835-2024</t>
        </is>
      </c>
      <c r="B333" s="1" t="n">
        <v>45631.39947916667</v>
      </c>
      <c r="C333" s="1" t="n">
        <v>46086</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53208-2023</t>
        </is>
      </c>
      <c r="B334" s="1" t="n">
        <v>45226</v>
      </c>
      <c r="C334" s="1" t="n">
        <v>46086</v>
      </c>
      <c r="D334" t="inlineStr">
        <is>
          <t>UPPSALA LÄN</t>
        </is>
      </c>
      <c r="E334" t="inlineStr">
        <is>
          <t>ENKÖPING</t>
        </is>
      </c>
      <c r="G334" t="n">
        <v>4.3</v>
      </c>
      <c r="H334" t="n">
        <v>0</v>
      </c>
      <c r="I334" t="n">
        <v>0</v>
      </c>
      <c r="J334" t="n">
        <v>0</v>
      </c>
      <c r="K334" t="n">
        <v>0</v>
      </c>
      <c r="L334" t="n">
        <v>0</v>
      </c>
      <c r="M334" t="n">
        <v>0</v>
      </c>
      <c r="N334" t="n">
        <v>0</v>
      </c>
      <c r="O334" t="n">
        <v>0</v>
      </c>
      <c r="P334" t="n">
        <v>0</v>
      </c>
      <c r="Q334" t="n">
        <v>0</v>
      </c>
      <c r="R334" s="2" t="inlineStr"/>
    </row>
    <row r="335" ht="15" customHeight="1">
      <c r="A335" t="inlineStr">
        <is>
          <t>A 19013-2025</t>
        </is>
      </c>
      <c r="B335" s="1" t="n">
        <v>45764.59533564815</v>
      </c>
      <c r="C335" s="1" t="n">
        <v>46086</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6047-2026</t>
        </is>
      </c>
      <c r="B336" s="1" t="n">
        <v>46052.62738425926</v>
      </c>
      <c r="C336" s="1" t="n">
        <v>46086</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6031-2026</t>
        </is>
      </c>
      <c r="B337" s="1" t="n">
        <v>46052.61201388889</v>
      </c>
      <c r="C337" s="1" t="n">
        <v>46086</v>
      </c>
      <c r="D337" t="inlineStr">
        <is>
          <t>UPPSALA LÄN</t>
        </is>
      </c>
      <c r="E337" t="inlineStr">
        <is>
          <t>ENKÖPING</t>
        </is>
      </c>
      <c r="G337" t="n">
        <v>4.1</v>
      </c>
      <c r="H337" t="n">
        <v>0</v>
      </c>
      <c r="I337" t="n">
        <v>0</v>
      </c>
      <c r="J337" t="n">
        <v>0</v>
      </c>
      <c r="K337" t="n">
        <v>0</v>
      </c>
      <c r="L337" t="n">
        <v>0</v>
      </c>
      <c r="M337" t="n">
        <v>0</v>
      </c>
      <c r="N337" t="n">
        <v>0</v>
      </c>
      <c r="O337" t="n">
        <v>0</v>
      </c>
      <c r="P337" t="n">
        <v>0</v>
      </c>
      <c r="Q337" t="n">
        <v>0</v>
      </c>
      <c r="R337" s="2" t="inlineStr"/>
    </row>
    <row r="338" ht="15" customHeight="1">
      <c r="A338" t="inlineStr">
        <is>
          <t>A 6049-2026</t>
        </is>
      </c>
      <c r="B338" s="1" t="n">
        <v>46052.63005787037</v>
      </c>
      <c r="C338" s="1" t="n">
        <v>46086</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2164-2023</t>
        </is>
      </c>
      <c r="B339" s="1" t="n">
        <v>44941</v>
      </c>
      <c r="C339" s="1" t="n">
        <v>46086</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5953-2026</t>
        </is>
      </c>
      <c r="B340" s="1" t="n">
        <v>46052.49119212963</v>
      </c>
      <c r="C340" s="1" t="n">
        <v>46086</v>
      </c>
      <c r="D340" t="inlineStr">
        <is>
          <t>UPPSALA LÄN</t>
        </is>
      </c>
      <c r="E340" t="inlineStr">
        <is>
          <t>ENKÖPING</t>
        </is>
      </c>
      <c r="G340" t="n">
        <v>1.2</v>
      </c>
      <c r="H340" t="n">
        <v>0</v>
      </c>
      <c r="I340" t="n">
        <v>0</v>
      </c>
      <c r="J340" t="n">
        <v>0</v>
      </c>
      <c r="K340" t="n">
        <v>0</v>
      </c>
      <c r="L340" t="n">
        <v>0</v>
      </c>
      <c r="M340" t="n">
        <v>0</v>
      </c>
      <c r="N340" t="n">
        <v>0</v>
      </c>
      <c r="O340" t="n">
        <v>0</v>
      </c>
      <c r="P340" t="n">
        <v>0</v>
      </c>
      <c r="Q340" t="n">
        <v>0</v>
      </c>
      <c r="R340" s="2" t="inlineStr"/>
    </row>
    <row r="341" ht="15" customHeight="1">
      <c r="A341" t="inlineStr">
        <is>
          <t>A 6041-2026</t>
        </is>
      </c>
      <c r="B341" s="1" t="n">
        <v>46052.62184027778</v>
      </c>
      <c r="C341" s="1" t="n">
        <v>46086</v>
      </c>
      <c r="D341" t="inlineStr">
        <is>
          <t>UPPSALA LÄN</t>
        </is>
      </c>
      <c r="E341" t="inlineStr">
        <is>
          <t>ENKÖPING</t>
        </is>
      </c>
      <c r="G341" t="n">
        <v>4</v>
      </c>
      <c r="H341" t="n">
        <v>0</v>
      </c>
      <c r="I341" t="n">
        <v>0</v>
      </c>
      <c r="J341" t="n">
        <v>0</v>
      </c>
      <c r="K341" t="n">
        <v>0</v>
      </c>
      <c r="L341" t="n">
        <v>0</v>
      </c>
      <c r="M341" t="n">
        <v>0</v>
      </c>
      <c r="N341" t="n">
        <v>0</v>
      </c>
      <c r="O341" t="n">
        <v>0</v>
      </c>
      <c r="P341" t="n">
        <v>0</v>
      </c>
      <c r="Q341" t="n">
        <v>0</v>
      </c>
      <c r="R341" s="2" t="inlineStr"/>
    </row>
    <row r="342" ht="15" customHeight="1">
      <c r="A342" t="inlineStr">
        <is>
          <t>A 6044-2026</t>
        </is>
      </c>
      <c r="B342" s="1" t="n">
        <v>46052.62506944445</v>
      </c>
      <c r="C342" s="1" t="n">
        <v>46086</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61952-2021</t>
        </is>
      </c>
      <c r="B343" s="1" t="n">
        <v>44502</v>
      </c>
      <c r="C343" s="1" t="n">
        <v>46086</v>
      </c>
      <c r="D343" t="inlineStr">
        <is>
          <t>UPPSALA LÄN</t>
        </is>
      </c>
      <c r="E343" t="inlineStr">
        <is>
          <t>ENKÖPING</t>
        </is>
      </c>
      <c r="G343" t="n">
        <v>2.3</v>
      </c>
      <c r="H343" t="n">
        <v>0</v>
      </c>
      <c r="I343" t="n">
        <v>0</v>
      </c>
      <c r="J343" t="n">
        <v>0</v>
      </c>
      <c r="K343" t="n">
        <v>0</v>
      </c>
      <c r="L343" t="n">
        <v>0</v>
      </c>
      <c r="M343" t="n">
        <v>0</v>
      </c>
      <c r="N343" t="n">
        <v>0</v>
      </c>
      <c r="O343" t="n">
        <v>0</v>
      </c>
      <c r="P343" t="n">
        <v>0</v>
      </c>
      <c r="Q343" t="n">
        <v>0</v>
      </c>
      <c r="R343" s="2" t="inlineStr"/>
    </row>
    <row r="344" ht="15" customHeight="1">
      <c r="A344" t="inlineStr">
        <is>
          <t>A 5948-2026</t>
        </is>
      </c>
      <c r="B344" s="1" t="n">
        <v>46052</v>
      </c>
      <c r="C344" s="1" t="n">
        <v>46086</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14083-2025</t>
        </is>
      </c>
      <c r="B345" s="1" t="n">
        <v>45740</v>
      </c>
      <c r="C345" s="1" t="n">
        <v>46086</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7008-2026</t>
        </is>
      </c>
      <c r="B346" s="1" t="n">
        <v>46057.63806712963</v>
      </c>
      <c r="C346" s="1" t="n">
        <v>46086</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7003-2026</t>
        </is>
      </c>
      <c r="B347" s="1" t="n">
        <v>46057.63243055555</v>
      </c>
      <c r="C347" s="1" t="n">
        <v>46086</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69879-2021</t>
        </is>
      </c>
      <c r="B348" s="1" t="n">
        <v>44532</v>
      </c>
      <c r="C348" s="1" t="n">
        <v>46086</v>
      </c>
      <c r="D348" t="inlineStr">
        <is>
          <t>UPPSALA LÄN</t>
        </is>
      </c>
      <c r="E348" t="inlineStr">
        <is>
          <t>ENKÖPING</t>
        </is>
      </c>
      <c r="G348" t="n">
        <v>4.2</v>
      </c>
      <c r="H348" t="n">
        <v>0</v>
      </c>
      <c r="I348" t="n">
        <v>0</v>
      </c>
      <c r="J348" t="n">
        <v>0</v>
      </c>
      <c r="K348" t="n">
        <v>0</v>
      </c>
      <c r="L348" t="n">
        <v>0</v>
      </c>
      <c r="M348" t="n">
        <v>0</v>
      </c>
      <c r="N348" t="n">
        <v>0</v>
      </c>
      <c r="O348" t="n">
        <v>0</v>
      </c>
      <c r="P348" t="n">
        <v>0</v>
      </c>
      <c r="Q348" t="n">
        <v>0</v>
      </c>
      <c r="R348" s="2" t="inlineStr"/>
    </row>
    <row r="349" ht="15" customHeight="1">
      <c r="A349" t="inlineStr">
        <is>
          <t>A 7167-2026</t>
        </is>
      </c>
      <c r="B349" s="1" t="n">
        <v>46058.45677083333</v>
      </c>
      <c r="C349" s="1" t="n">
        <v>46086</v>
      </c>
      <c r="D349" t="inlineStr">
        <is>
          <t>UPPSALA LÄN</t>
        </is>
      </c>
      <c r="E349" t="inlineStr">
        <is>
          <t>ENKÖPING</t>
        </is>
      </c>
      <c r="G349" t="n">
        <v>0.9</v>
      </c>
      <c r="H349" t="n">
        <v>0</v>
      </c>
      <c r="I349" t="n">
        <v>0</v>
      </c>
      <c r="J349" t="n">
        <v>0</v>
      </c>
      <c r="K349" t="n">
        <v>0</v>
      </c>
      <c r="L349" t="n">
        <v>0</v>
      </c>
      <c r="M349" t="n">
        <v>0</v>
      </c>
      <c r="N349" t="n">
        <v>0</v>
      </c>
      <c r="O349" t="n">
        <v>0</v>
      </c>
      <c r="P349" t="n">
        <v>0</v>
      </c>
      <c r="Q349" t="n">
        <v>0</v>
      </c>
      <c r="R349" s="2" t="inlineStr"/>
    </row>
    <row r="350" ht="15" customHeight="1">
      <c r="A350" t="inlineStr">
        <is>
          <t>A 7168-2026</t>
        </is>
      </c>
      <c r="B350" s="1" t="n">
        <v>46058.45831018518</v>
      </c>
      <c r="C350" s="1" t="n">
        <v>46086</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7175-2026</t>
        </is>
      </c>
      <c r="B351" s="1" t="n">
        <v>46058.46399305556</v>
      </c>
      <c r="C351" s="1" t="n">
        <v>46086</v>
      </c>
      <c r="D351" t="inlineStr">
        <is>
          <t>UPPSALA LÄN</t>
        </is>
      </c>
      <c r="E351" t="inlineStr">
        <is>
          <t>ENKÖPING</t>
        </is>
      </c>
      <c r="G351" t="n">
        <v>2</v>
      </c>
      <c r="H351" t="n">
        <v>0</v>
      </c>
      <c r="I351" t="n">
        <v>0</v>
      </c>
      <c r="J351" t="n">
        <v>0</v>
      </c>
      <c r="K351" t="n">
        <v>0</v>
      </c>
      <c r="L351" t="n">
        <v>0</v>
      </c>
      <c r="M351" t="n">
        <v>0</v>
      </c>
      <c r="N351" t="n">
        <v>0</v>
      </c>
      <c r="O351" t="n">
        <v>0</v>
      </c>
      <c r="P351" t="n">
        <v>0</v>
      </c>
      <c r="Q351" t="n">
        <v>0</v>
      </c>
      <c r="R351" s="2" t="inlineStr"/>
    </row>
    <row r="352" ht="15" customHeight="1">
      <c r="A352" t="inlineStr">
        <is>
          <t>A 7172-2026</t>
        </is>
      </c>
      <c r="B352" s="1" t="n">
        <v>46058.46113425926</v>
      </c>
      <c r="C352" s="1" t="n">
        <v>46086</v>
      </c>
      <c r="D352" t="inlineStr">
        <is>
          <t>UPPSALA LÄN</t>
        </is>
      </c>
      <c r="E352" t="inlineStr">
        <is>
          <t>ENKÖPING</t>
        </is>
      </c>
      <c r="G352" t="n">
        <v>0.9</v>
      </c>
      <c r="H352" t="n">
        <v>0</v>
      </c>
      <c r="I352" t="n">
        <v>0</v>
      </c>
      <c r="J352" t="n">
        <v>0</v>
      </c>
      <c r="K352" t="n">
        <v>0</v>
      </c>
      <c r="L352" t="n">
        <v>0</v>
      </c>
      <c r="M352" t="n">
        <v>0</v>
      </c>
      <c r="N352" t="n">
        <v>0</v>
      </c>
      <c r="O352" t="n">
        <v>0</v>
      </c>
      <c r="P352" t="n">
        <v>0</v>
      </c>
      <c r="Q352" t="n">
        <v>0</v>
      </c>
      <c r="R352" s="2" t="inlineStr"/>
    </row>
    <row r="353" ht="15" customHeight="1">
      <c r="A353" t="inlineStr">
        <is>
          <t>A 15757-2023</t>
        </is>
      </c>
      <c r="B353" s="1" t="n">
        <v>45021</v>
      </c>
      <c r="C353" s="1" t="n">
        <v>46086</v>
      </c>
      <c r="D353" t="inlineStr">
        <is>
          <t>UPPSALA LÄN</t>
        </is>
      </c>
      <c r="E353" t="inlineStr">
        <is>
          <t>ENKÖPING</t>
        </is>
      </c>
      <c r="G353" t="n">
        <v>3</v>
      </c>
      <c r="H353" t="n">
        <v>0</v>
      </c>
      <c r="I353" t="n">
        <v>0</v>
      </c>
      <c r="J353" t="n">
        <v>0</v>
      </c>
      <c r="K353" t="n">
        <v>0</v>
      </c>
      <c r="L353" t="n">
        <v>0</v>
      </c>
      <c r="M353" t="n">
        <v>0</v>
      </c>
      <c r="N353" t="n">
        <v>0</v>
      </c>
      <c r="O353" t="n">
        <v>0</v>
      </c>
      <c r="P353" t="n">
        <v>0</v>
      </c>
      <c r="Q353" t="n">
        <v>0</v>
      </c>
      <c r="R353" s="2" t="inlineStr"/>
    </row>
    <row r="354" ht="15" customHeight="1">
      <c r="A354" t="inlineStr">
        <is>
          <t>A 2161-2023</t>
        </is>
      </c>
      <c r="B354" s="1" t="n">
        <v>44941</v>
      </c>
      <c r="C354" s="1" t="n">
        <v>46086</v>
      </c>
      <c r="D354" t="inlineStr">
        <is>
          <t>UPPSALA LÄN</t>
        </is>
      </c>
      <c r="E354" t="inlineStr">
        <is>
          <t>ENKÖPING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2165-2023</t>
        </is>
      </c>
      <c r="B355" s="1" t="n">
        <v>44941</v>
      </c>
      <c r="C355" s="1" t="n">
        <v>46086</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60848-2025</t>
        </is>
      </c>
      <c r="B356" s="1" t="n">
        <v>45999</v>
      </c>
      <c r="C356" s="1" t="n">
        <v>46086</v>
      </c>
      <c r="D356" t="inlineStr">
        <is>
          <t>UPPSALA LÄN</t>
        </is>
      </c>
      <c r="E356" t="inlineStr">
        <is>
          <t>ENKÖPING</t>
        </is>
      </c>
      <c r="G356" t="n">
        <v>2.5</v>
      </c>
      <c r="H356" t="n">
        <v>0</v>
      </c>
      <c r="I356" t="n">
        <v>0</v>
      </c>
      <c r="J356" t="n">
        <v>0</v>
      </c>
      <c r="K356" t="n">
        <v>0</v>
      </c>
      <c r="L356" t="n">
        <v>0</v>
      </c>
      <c r="M356" t="n">
        <v>0</v>
      </c>
      <c r="N356" t="n">
        <v>0</v>
      </c>
      <c r="O356" t="n">
        <v>0</v>
      </c>
      <c r="P356" t="n">
        <v>0</v>
      </c>
      <c r="Q356" t="n">
        <v>0</v>
      </c>
      <c r="R356" s="2" t="inlineStr"/>
    </row>
    <row r="357" ht="15" customHeight="1">
      <c r="A357" t="inlineStr">
        <is>
          <t>A 20112-2024</t>
        </is>
      </c>
      <c r="B357" s="1" t="n">
        <v>45434</v>
      </c>
      <c r="C357" s="1" t="n">
        <v>46086</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8309-2026</t>
        </is>
      </c>
      <c r="B358" s="1" t="n">
        <v>46064.59081018518</v>
      </c>
      <c r="C358" s="1" t="n">
        <v>46086</v>
      </c>
      <c r="D358" t="inlineStr">
        <is>
          <t>UPPSALA LÄN</t>
        </is>
      </c>
      <c r="E358" t="inlineStr">
        <is>
          <t>ENKÖPING</t>
        </is>
      </c>
      <c r="G358" t="n">
        <v>1.9</v>
      </c>
      <c r="H358" t="n">
        <v>0</v>
      </c>
      <c r="I358" t="n">
        <v>0</v>
      </c>
      <c r="J358" t="n">
        <v>0</v>
      </c>
      <c r="K358" t="n">
        <v>0</v>
      </c>
      <c r="L358" t="n">
        <v>0</v>
      </c>
      <c r="M358" t="n">
        <v>0</v>
      </c>
      <c r="N358" t="n">
        <v>0</v>
      </c>
      <c r="O358" t="n">
        <v>0</v>
      </c>
      <c r="P358" t="n">
        <v>0</v>
      </c>
      <c r="Q358" t="n">
        <v>0</v>
      </c>
      <c r="R358" s="2" t="inlineStr"/>
    </row>
    <row r="359" ht="15" customHeight="1">
      <c r="A359" t="inlineStr">
        <is>
          <t>A 2162-2023</t>
        </is>
      </c>
      <c r="B359" s="1" t="n">
        <v>44941</v>
      </c>
      <c r="C359" s="1" t="n">
        <v>46086</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32081-2024</t>
        </is>
      </c>
      <c r="B360" s="1" t="n">
        <v>45511.34605324074</v>
      </c>
      <c r="C360" s="1" t="n">
        <v>46086</v>
      </c>
      <c r="D360" t="inlineStr">
        <is>
          <t>UPPSALA LÄN</t>
        </is>
      </c>
      <c r="E360" t="inlineStr">
        <is>
          <t>ENKÖPING</t>
        </is>
      </c>
      <c r="G360" t="n">
        <v>5.4</v>
      </c>
      <c r="H360" t="n">
        <v>0</v>
      </c>
      <c r="I360" t="n">
        <v>0</v>
      </c>
      <c r="J360" t="n">
        <v>0</v>
      </c>
      <c r="K360" t="n">
        <v>0</v>
      </c>
      <c r="L360" t="n">
        <v>0</v>
      </c>
      <c r="M360" t="n">
        <v>0</v>
      </c>
      <c r="N360" t="n">
        <v>0</v>
      </c>
      <c r="O360" t="n">
        <v>0</v>
      </c>
      <c r="P360" t="n">
        <v>0</v>
      </c>
      <c r="Q360" t="n">
        <v>0</v>
      </c>
      <c r="R360" s="2" t="inlineStr"/>
    </row>
    <row r="361" ht="15" customHeight="1">
      <c r="A361" t="inlineStr">
        <is>
          <t>A 192-2026</t>
        </is>
      </c>
      <c r="B361" s="1" t="n">
        <v>46025</v>
      </c>
      <c r="C361" s="1" t="n">
        <v>46086</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2968-2025</t>
        </is>
      </c>
      <c r="B362" s="1" t="n">
        <v>45678</v>
      </c>
      <c r="C362" s="1" t="n">
        <v>46086</v>
      </c>
      <c r="D362" t="inlineStr">
        <is>
          <t>UPPSALA LÄN</t>
        </is>
      </c>
      <c r="E362" t="inlineStr">
        <is>
          <t>ENKÖPING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49525-2021</t>
        </is>
      </c>
      <c r="B363" s="1" t="n">
        <v>44455</v>
      </c>
      <c r="C363" s="1" t="n">
        <v>46086</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6959-2025</t>
        </is>
      </c>
      <c r="B364" s="1" t="n">
        <v>45701.49315972222</v>
      </c>
      <c r="C364" s="1" t="n">
        <v>46086</v>
      </c>
      <c r="D364" t="inlineStr">
        <is>
          <t>UPPSALA LÄN</t>
        </is>
      </c>
      <c r="E364" t="inlineStr">
        <is>
          <t>ENKÖPING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9469-2026</t>
        </is>
      </c>
      <c r="B365" s="1" t="n">
        <v>46071.51248842593</v>
      </c>
      <c r="C365" s="1" t="n">
        <v>46086</v>
      </c>
      <c r="D365" t="inlineStr">
        <is>
          <t>UPPSALA LÄN</t>
        </is>
      </c>
      <c r="E365" t="inlineStr">
        <is>
          <t>ENKÖPING</t>
        </is>
      </c>
      <c r="G365" t="n">
        <v>3</v>
      </c>
      <c r="H365" t="n">
        <v>0</v>
      </c>
      <c r="I365" t="n">
        <v>0</v>
      </c>
      <c r="J365" t="n">
        <v>0</v>
      </c>
      <c r="K365" t="n">
        <v>0</v>
      </c>
      <c r="L365" t="n">
        <v>0</v>
      </c>
      <c r="M365" t="n">
        <v>0</v>
      </c>
      <c r="N365" t="n">
        <v>0</v>
      </c>
      <c r="O365" t="n">
        <v>0</v>
      </c>
      <c r="P365" t="n">
        <v>0</v>
      </c>
      <c r="Q365" t="n">
        <v>0</v>
      </c>
      <c r="R365" s="2" t="inlineStr"/>
    </row>
    <row r="366" ht="15" customHeight="1">
      <c r="A366" t="inlineStr">
        <is>
          <t>A 9467-2026</t>
        </is>
      </c>
      <c r="B366" s="1" t="n">
        <v>46071.50694444445</v>
      </c>
      <c r="C366" s="1" t="n">
        <v>46086</v>
      </c>
      <c r="D366" t="inlineStr">
        <is>
          <t>UPPSALA LÄN</t>
        </is>
      </c>
      <c r="E366" t="inlineStr">
        <is>
          <t>ENKÖPING</t>
        </is>
      </c>
      <c r="G366" t="n">
        <v>5.9</v>
      </c>
      <c r="H366" t="n">
        <v>0</v>
      </c>
      <c r="I366" t="n">
        <v>0</v>
      </c>
      <c r="J366" t="n">
        <v>0</v>
      </c>
      <c r="K366" t="n">
        <v>0</v>
      </c>
      <c r="L366" t="n">
        <v>0</v>
      </c>
      <c r="M366" t="n">
        <v>0</v>
      </c>
      <c r="N366" t="n">
        <v>0</v>
      </c>
      <c r="O366" t="n">
        <v>0</v>
      </c>
      <c r="P366" t="n">
        <v>0</v>
      </c>
      <c r="Q366" t="n">
        <v>0</v>
      </c>
      <c r="R366" s="2" t="inlineStr"/>
    </row>
    <row r="367" ht="15" customHeight="1">
      <c r="A367" t="inlineStr">
        <is>
          <t>A 30437-2022</t>
        </is>
      </c>
      <c r="B367" s="1" t="n">
        <v>44761</v>
      </c>
      <c r="C367" s="1" t="n">
        <v>46086</v>
      </c>
      <c r="D367" t="inlineStr">
        <is>
          <t>UPPSALA LÄN</t>
        </is>
      </c>
      <c r="E367" t="inlineStr">
        <is>
          <t>ENKÖPING</t>
        </is>
      </c>
      <c r="G367" t="n">
        <v>3.4</v>
      </c>
      <c r="H367" t="n">
        <v>0</v>
      </c>
      <c r="I367" t="n">
        <v>0</v>
      </c>
      <c r="J367" t="n">
        <v>0</v>
      </c>
      <c r="K367" t="n">
        <v>0</v>
      </c>
      <c r="L367" t="n">
        <v>0</v>
      </c>
      <c r="M367" t="n">
        <v>0</v>
      </c>
      <c r="N367" t="n">
        <v>0</v>
      </c>
      <c r="O367" t="n">
        <v>0</v>
      </c>
      <c r="P367" t="n">
        <v>0</v>
      </c>
      <c r="Q367" t="n">
        <v>0</v>
      </c>
      <c r="R367" s="2" t="inlineStr"/>
    </row>
    <row r="368" ht="15" customHeight="1">
      <c r="A368" t="inlineStr">
        <is>
          <t>A 51011-2024</t>
        </is>
      </c>
      <c r="B368" s="1" t="n">
        <v>45603.39427083333</v>
      </c>
      <c r="C368" s="1" t="n">
        <v>46086</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26319-2022</t>
        </is>
      </c>
      <c r="B369" s="1" t="n">
        <v>44735</v>
      </c>
      <c r="C369" s="1" t="n">
        <v>46086</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9148-2026</t>
        </is>
      </c>
      <c r="B370" s="1" t="n">
        <v>46070.30946759259</v>
      </c>
      <c r="C370" s="1" t="n">
        <v>46086</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9474-2026</t>
        </is>
      </c>
      <c r="B371" s="1" t="n">
        <v>46071.52324074074</v>
      </c>
      <c r="C371" s="1" t="n">
        <v>46086</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25990-2025</t>
        </is>
      </c>
      <c r="B372" s="1" t="n">
        <v>45804.65229166667</v>
      </c>
      <c r="C372" s="1" t="n">
        <v>46086</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9257-2026</t>
        </is>
      </c>
      <c r="B373" s="1" t="n">
        <v>46070.51166666667</v>
      </c>
      <c r="C373" s="1" t="n">
        <v>46086</v>
      </c>
      <c r="D373" t="inlineStr">
        <is>
          <t>UPPSALA LÄN</t>
        </is>
      </c>
      <c r="E373" t="inlineStr">
        <is>
          <t>ENKÖPING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25989-2025</t>
        </is>
      </c>
      <c r="B374" s="1" t="n">
        <v>45804.65050925926</v>
      </c>
      <c r="C374" s="1" t="n">
        <v>46086</v>
      </c>
      <c r="D374" t="inlineStr">
        <is>
          <t>UPPSALA LÄN</t>
        </is>
      </c>
      <c r="E374" t="inlineStr">
        <is>
          <t>ENKÖPING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29918-2023</t>
        </is>
      </c>
      <c r="B375" s="1" t="n">
        <v>45099</v>
      </c>
      <c r="C375" s="1" t="n">
        <v>46086</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24291-2024</t>
        </is>
      </c>
      <c r="B376" s="1" t="n">
        <v>45457.4584837963</v>
      </c>
      <c r="C376" s="1" t="n">
        <v>46086</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861-2026</t>
        </is>
      </c>
      <c r="B377" s="1" t="n">
        <v>46030</v>
      </c>
      <c r="C377" s="1" t="n">
        <v>46086</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2833-2025</t>
        </is>
      </c>
      <c r="B378" s="1" t="n">
        <v>45677.63206018518</v>
      </c>
      <c r="C378" s="1" t="n">
        <v>46086</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50006-2023</t>
        </is>
      </c>
      <c r="B379" s="1" t="n">
        <v>45215</v>
      </c>
      <c r="C379" s="1" t="n">
        <v>46086</v>
      </c>
      <c r="D379" t="inlineStr">
        <is>
          <t>UPPSALA LÄN</t>
        </is>
      </c>
      <c r="E379" t="inlineStr">
        <is>
          <t>ENKÖPING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56526-2022</t>
        </is>
      </c>
      <c r="B380" s="1" t="n">
        <v>44893</v>
      </c>
      <c r="C380" s="1" t="n">
        <v>46086</v>
      </c>
      <c r="D380" t="inlineStr">
        <is>
          <t>UPPSALA LÄN</t>
        </is>
      </c>
      <c r="E380" t="inlineStr">
        <is>
          <t>ENKÖPING</t>
        </is>
      </c>
      <c r="G380" t="n">
        <v>3.8</v>
      </c>
      <c r="H380" t="n">
        <v>0</v>
      </c>
      <c r="I380" t="n">
        <v>0</v>
      </c>
      <c r="J380" t="n">
        <v>0</v>
      </c>
      <c r="K380" t="n">
        <v>0</v>
      </c>
      <c r="L380" t="n">
        <v>0</v>
      </c>
      <c r="M380" t="n">
        <v>0</v>
      </c>
      <c r="N380" t="n">
        <v>0</v>
      </c>
      <c r="O380" t="n">
        <v>0</v>
      </c>
      <c r="P380" t="n">
        <v>0</v>
      </c>
      <c r="Q380" t="n">
        <v>0</v>
      </c>
      <c r="R380" s="2" t="inlineStr"/>
    </row>
    <row r="381" ht="15" customHeight="1">
      <c r="A381" t="inlineStr">
        <is>
          <t>A 39858-2024</t>
        </is>
      </c>
      <c r="B381" s="1" t="n">
        <v>45553</v>
      </c>
      <c r="C381" s="1" t="n">
        <v>46086</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60289-2022</t>
        </is>
      </c>
      <c r="B382" s="1" t="n">
        <v>44910.53026620371</v>
      </c>
      <c r="C382" s="1" t="n">
        <v>46086</v>
      </c>
      <c r="D382" t="inlineStr">
        <is>
          <t>UPPSALA LÄN</t>
        </is>
      </c>
      <c r="E382" t="inlineStr">
        <is>
          <t>ENKÖPING</t>
        </is>
      </c>
      <c r="G382" t="n">
        <v>3.2</v>
      </c>
      <c r="H382" t="n">
        <v>0</v>
      </c>
      <c r="I382" t="n">
        <v>0</v>
      </c>
      <c r="J382" t="n">
        <v>0</v>
      </c>
      <c r="K382" t="n">
        <v>0</v>
      </c>
      <c r="L382" t="n">
        <v>0</v>
      </c>
      <c r="M382" t="n">
        <v>0</v>
      </c>
      <c r="N382" t="n">
        <v>0</v>
      </c>
      <c r="O382" t="n">
        <v>0</v>
      </c>
      <c r="P382" t="n">
        <v>0</v>
      </c>
      <c r="Q382" t="n">
        <v>0</v>
      </c>
      <c r="R382" s="2" t="inlineStr"/>
    </row>
    <row r="383" ht="15" customHeight="1">
      <c r="A383" t="inlineStr">
        <is>
          <t>A 13110-2023</t>
        </is>
      </c>
      <c r="B383" s="1" t="n">
        <v>45001</v>
      </c>
      <c r="C383" s="1" t="n">
        <v>46086</v>
      </c>
      <c r="D383" t="inlineStr">
        <is>
          <t>UPPSALA LÄN</t>
        </is>
      </c>
      <c r="E383" t="inlineStr">
        <is>
          <t>ENKÖPING</t>
        </is>
      </c>
      <c r="G383" t="n">
        <v>2.5</v>
      </c>
      <c r="H383" t="n">
        <v>0</v>
      </c>
      <c r="I383" t="n">
        <v>0</v>
      </c>
      <c r="J383" t="n">
        <v>0</v>
      </c>
      <c r="K383" t="n">
        <v>0</v>
      </c>
      <c r="L383" t="n">
        <v>0</v>
      </c>
      <c r="M383" t="n">
        <v>0</v>
      </c>
      <c r="N383" t="n">
        <v>0</v>
      </c>
      <c r="O383" t="n">
        <v>0</v>
      </c>
      <c r="P383" t="n">
        <v>0</v>
      </c>
      <c r="Q383" t="n">
        <v>0</v>
      </c>
      <c r="R383" s="2" t="inlineStr"/>
    </row>
    <row r="384" ht="15" customHeight="1">
      <c r="A384" t="inlineStr">
        <is>
          <t>A 58384-2022</t>
        </is>
      </c>
      <c r="B384" s="1" t="n">
        <v>44901</v>
      </c>
      <c r="C384" s="1" t="n">
        <v>46086</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59602-2022</t>
        </is>
      </c>
      <c r="B385" s="1" t="n">
        <v>44907.72241898148</v>
      </c>
      <c r="C385" s="1" t="n">
        <v>46086</v>
      </c>
      <c r="D385" t="inlineStr">
        <is>
          <t>UPPSALA LÄN</t>
        </is>
      </c>
      <c r="E385" t="inlineStr">
        <is>
          <t>ENKÖPING</t>
        </is>
      </c>
      <c r="G385" t="n">
        <v>14.2</v>
      </c>
      <c r="H385" t="n">
        <v>0</v>
      </c>
      <c r="I385" t="n">
        <v>0</v>
      </c>
      <c r="J385" t="n">
        <v>0</v>
      </c>
      <c r="K385" t="n">
        <v>0</v>
      </c>
      <c r="L385" t="n">
        <v>0</v>
      </c>
      <c r="M385" t="n">
        <v>0</v>
      </c>
      <c r="N385" t="n">
        <v>0</v>
      </c>
      <c r="O385" t="n">
        <v>0</v>
      </c>
      <c r="P385" t="n">
        <v>0</v>
      </c>
      <c r="Q385" t="n">
        <v>0</v>
      </c>
      <c r="R385" s="2" t="inlineStr"/>
    </row>
    <row r="386" ht="15" customHeight="1">
      <c r="A386" t="inlineStr">
        <is>
          <t>A 31965-2021</t>
        </is>
      </c>
      <c r="B386" s="1" t="n">
        <v>44370.56901620371</v>
      </c>
      <c r="C386" s="1" t="n">
        <v>46086</v>
      </c>
      <c r="D386" t="inlineStr">
        <is>
          <t>UPPSALA LÄN</t>
        </is>
      </c>
      <c r="E386" t="inlineStr">
        <is>
          <t>ENKÖPING</t>
        </is>
      </c>
      <c r="G386" t="n">
        <v>0.9</v>
      </c>
      <c r="H386" t="n">
        <v>0</v>
      </c>
      <c r="I386" t="n">
        <v>0</v>
      </c>
      <c r="J386" t="n">
        <v>0</v>
      </c>
      <c r="K386" t="n">
        <v>0</v>
      </c>
      <c r="L386" t="n">
        <v>0</v>
      </c>
      <c r="M386" t="n">
        <v>0</v>
      </c>
      <c r="N386" t="n">
        <v>0</v>
      </c>
      <c r="O386" t="n">
        <v>0</v>
      </c>
      <c r="P386" t="n">
        <v>0</v>
      </c>
      <c r="Q386" t="n">
        <v>0</v>
      </c>
      <c r="R386" s="2" t="inlineStr"/>
    </row>
    <row r="387" ht="15" customHeight="1">
      <c r="A387" t="inlineStr">
        <is>
          <t>A 67984-2021</t>
        </is>
      </c>
      <c r="B387" s="1" t="n">
        <v>44525.70237268518</v>
      </c>
      <c r="C387" s="1" t="n">
        <v>46086</v>
      </c>
      <c r="D387" t="inlineStr">
        <is>
          <t>UPPSALA LÄN</t>
        </is>
      </c>
      <c r="E387" t="inlineStr">
        <is>
          <t>ENKÖPING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33619-2022</t>
        </is>
      </c>
      <c r="B388" s="1" t="n">
        <v>44789</v>
      </c>
      <c r="C388" s="1" t="n">
        <v>46086</v>
      </c>
      <c r="D388" t="inlineStr">
        <is>
          <t>UPPSALA LÄN</t>
        </is>
      </c>
      <c r="E388" t="inlineStr">
        <is>
          <t>ENKÖPING</t>
        </is>
      </c>
      <c r="F388" t="inlineStr">
        <is>
          <t>Allmännings- och besparingsskogar</t>
        </is>
      </c>
      <c r="G388" t="n">
        <v>4.5</v>
      </c>
      <c r="H388" t="n">
        <v>0</v>
      </c>
      <c r="I388" t="n">
        <v>0</v>
      </c>
      <c r="J388" t="n">
        <v>0</v>
      </c>
      <c r="K388" t="n">
        <v>0</v>
      </c>
      <c r="L388" t="n">
        <v>0</v>
      </c>
      <c r="M388" t="n">
        <v>0</v>
      </c>
      <c r="N388" t="n">
        <v>0</v>
      </c>
      <c r="O388" t="n">
        <v>0</v>
      </c>
      <c r="P388" t="n">
        <v>0</v>
      </c>
      <c r="Q388" t="n">
        <v>0</v>
      </c>
      <c r="R388" s="2" t="inlineStr"/>
    </row>
    <row r="389" ht="15" customHeight="1">
      <c r="A389" t="inlineStr">
        <is>
          <t>A 10829-2024</t>
        </is>
      </c>
      <c r="B389" s="1" t="n">
        <v>45369</v>
      </c>
      <c r="C389" s="1" t="n">
        <v>46086</v>
      </c>
      <c r="D389" t="inlineStr">
        <is>
          <t>UPPSALA LÄN</t>
        </is>
      </c>
      <c r="E389" t="inlineStr">
        <is>
          <t>ENKÖPING</t>
        </is>
      </c>
      <c r="G389" t="n">
        <v>2.1</v>
      </c>
      <c r="H389" t="n">
        <v>0</v>
      </c>
      <c r="I389" t="n">
        <v>0</v>
      </c>
      <c r="J389" t="n">
        <v>0</v>
      </c>
      <c r="K389" t="n">
        <v>0</v>
      </c>
      <c r="L389" t="n">
        <v>0</v>
      </c>
      <c r="M389" t="n">
        <v>0</v>
      </c>
      <c r="N389" t="n">
        <v>0</v>
      </c>
      <c r="O389" t="n">
        <v>0</v>
      </c>
      <c r="P389" t="n">
        <v>0</v>
      </c>
      <c r="Q389" t="n">
        <v>0</v>
      </c>
      <c r="R389" s="2" t="inlineStr"/>
    </row>
    <row r="390" ht="15" customHeight="1">
      <c r="A390" t="inlineStr">
        <is>
          <t>A 67982-2021</t>
        </is>
      </c>
      <c r="B390" s="1" t="n">
        <v>44525</v>
      </c>
      <c r="C390" s="1" t="n">
        <v>46086</v>
      </c>
      <c r="D390" t="inlineStr">
        <is>
          <t>UPPSALA LÄN</t>
        </is>
      </c>
      <c r="E390" t="inlineStr">
        <is>
          <t>ENKÖPING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51034-2024</t>
        </is>
      </c>
      <c r="B391" s="1" t="n">
        <v>45603.4262037037</v>
      </c>
      <c r="C391" s="1" t="n">
        <v>46086</v>
      </c>
      <c r="D391" t="inlineStr">
        <is>
          <t>UPPSALA LÄN</t>
        </is>
      </c>
      <c r="E391" t="inlineStr">
        <is>
          <t>ENKÖPING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51036-2024</t>
        </is>
      </c>
      <c r="B392" s="1" t="n">
        <v>45603.42839120371</v>
      </c>
      <c r="C392" s="1" t="n">
        <v>46086</v>
      </c>
      <c r="D392" t="inlineStr">
        <is>
          <t>UPPSALA LÄN</t>
        </is>
      </c>
      <c r="E392" t="inlineStr">
        <is>
          <t>ENKÖPING</t>
        </is>
      </c>
      <c r="G392" t="n">
        <v>2.6</v>
      </c>
      <c r="H392" t="n">
        <v>0</v>
      </c>
      <c r="I392" t="n">
        <v>0</v>
      </c>
      <c r="J392" t="n">
        <v>0</v>
      </c>
      <c r="K392" t="n">
        <v>0</v>
      </c>
      <c r="L392" t="n">
        <v>0</v>
      </c>
      <c r="M392" t="n">
        <v>0</v>
      </c>
      <c r="N392" t="n">
        <v>0</v>
      </c>
      <c r="O392" t="n">
        <v>0</v>
      </c>
      <c r="P392" t="n">
        <v>0</v>
      </c>
      <c r="Q392" t="n">
        <v>0</v>
      </c>
      <c r="R392" s="2" t="inlineStr"/>
    </row>
    <row r="393" ht="15" customHeight="1">
      <c r="A393" t="inlineStr">
        <is>
          <t>A 55876-2024</t>
        </is>
      </c>
      <c r="B393" s="1" t="n">
        <v>45623.5546412037</v>
      </c>
      <c r="C393" s="1" t="n">
        <v>46086</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11005-2023</t>
        </is>
      </c>
      <c r="B394" s="1" t="n">
        <v>44991</v>
      </c>
      <c r="C394" s="1" t="n">
        <v>46086</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57142-2021</t>
        </is>
      </c>
      <c r="B395" s="1" t="n">
        <v>44482</v>
      </c>
      <c r="C395" s="1" t="n">
        <v>46086</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57147-2021</t>
        </is>
      </c>
      <c r="B396" s="1" t="n">
        <v>44482</v>
      </c>
      <c r="C396" s="1" t="n">
        <v>46086</v>
      </c>
      <c r="D396" t="inlineStr">
        <is>
          <t>UPPSALA LÄN</t>
        </is>
      </c>
      <c r="E396" t="inlineStr">
        <is>
          <t>ENKÖPING</t>
        </is>
      </c>
      <c r="G396" t="n">
        <v>5.7</v>
      </c>
      <c r="H396" t="n">
        <v>0</v>
      </c>
      <c r="I396" t="n">
        <v>0</v>
      </c>
      <c r="J396" t="n">
        <v>0</v>
      </c>
      <c r="K396" t="n">
        <v>0</v>
      </c>
      <c r="L396" t="n">
        <v>0</v>
      </c>
      <c r="M396" t="n">
        <v>0</v>
      </c>
      <c r="N396" t="n">
        <v>0</v>
      </c>
      <c r="O396" t="n">
        <v>0</v>
      </c>
      <c r="P396" t="n">
        <v>0</v>
      </c>
      <c r="Q396" t="n">
        <v>0</v>
      </c>
      <c r="R396" s="2" t="inlineStr"/>
    </row>
    <row r="397" ht="15" customHeight="1">
      <c r="A397" t="inlineStr">
        <is>
          <t>A 7868-2024</t>
        </is>
      </c>
      <c r="B397" s="1" t="n">
        <v>45350.33020833333</v>
      </c>
      <c r="C397" s="1" t="n">
        <v>46086</v>
      </c>
      <c r="D397" t="inlineStr">
        <is>
          <t>UPPSALA LÄN</t>
        </is>
      </c>
      <c r="E397" t="inlineStr">
        <is>
          <t>ENKÖPING</t>
        </is>
      </c>
      <c r="G397" t="n">
        <v>0.3</v>
      </c>
      <c r="H397" t="n">
        <v>0</v>
      </c>
      <c r="I397" t="n">
        <v>0</v>
      </c>
      <c r="J397" t="n">
        <v>0</v>
      </c>
      <c r="K397" t="n">
        <v>0</v>
      </c>
      <c r="L397" t="n">
        <v>0</v>
      </c>
      <c r="M397" t="n">
        <v>0</v>
      </c>
      <c r="N397" t="n">
        <v>0</v>
      </c>
      <c r="O397" t="n">
        <v>0</v>
      </c>
      <c r="P397" t="n">
        <v>0</v>
      </c>
      <c r="Q397" t="n">
        <v>0</v>
      </c>
      <c r="R397" s="2" t="inlineStr"/>
    </row>
    <row r="398" ht="15" customHeight="1">
      <c r="A398" t="inlineStr">
        <is>
          <t>A 7870-2024</t>
        </is>
      </c>
      <c r="B398" s="1" t="n">
        <v>45350.33349537037</v>
      </c>
      <c r="C398" s="1" t="n">
        <v>46086</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9231-2023</t>
        </is>
      </c>
      <c r="B399" s="1" t="n">
        <v>44980</v>
      </c>
      <c r="C399" s="1" t="n">
        <v>46086</v>
      </c>
      <c r="D399" t="inlineStr">
        <is>
          <t>UPPSALA LÄN</t>
        </is>
      </c>
      <c r="E399" t="inlineStr">
        <is>
          <t>ENKÖPING</t>
        </is>
      </c>
      <c r="G399" t="n">
        <v>1.5</v>
      </c>
      <c r="H399" t="n">
        <v>0</v>
      </c>
      <c r="I399" t="n">
        <v>0</v>
      </c>
      <c r="J399" t="n">
        <v>0</v>
      </c>
      <c r="K399" t="n">
        <v>0</v>
      </c>
      <c r="L399" t="n">
        <v>0</v>
      </c>
      <c r="M399" t="n">
        <v>0</v>
      </c>
      <c r="N399" t="n">
        <v>0</v>
      </c>
      <c r="O399" t="n">
        <v>0</v>
      </c>
      <c r="P399" t="n">
        <v>0</v>
      </c>
      <c r="Q399" t="n">
        <v>0</v>
      </c>
      <c r="R399" s="2" t="inlineStr"/>
    </row>
    <row r="400" ht="15" customHeight="1">
      <c r="A400" t="inlineStr">
        <is>
          <t>A 16916-2022</t>
        </is>
      </c>
      <c r="B400" s="1" t="n">
        <v>44676</v>
      </c>
      <c r="C400" s="1" t="n">
        <v>46086</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30514-2021</t>
        </is>
      </c>
      <c r="B401" s="1" t="n">
        <v>44364</v>
      </c>
      <c r="C401" s="1" t="n">
        <v>46086</v>
      </c>
      <c r="D401" t="inlineStr">
        <is>
          <t>UPPSALA LÄN</t>
        </is>
      </c>
      <c r="E401" t="inlineStr">
        <is>
          <t>ENKÖPING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31604-2023</t>
        </is>
      </c>
      <c r="B402" s="1" t="n">
        <v>45117.50368055556</v>
      </c>
      <c r="C402" s="1" t="n">
        <v>46086</v>
      </c>
      <c r="D402" t="inlineStr">
        <is>
          <t>UPPSALA LÄN</t>
        </is>
      </c>
      <c r="E402" t="inlineStr">
        <is>
          <t>ENKÖPING</t>
        </is>
      </c>
      <c r="G402" t="n">
        <v>3.5</v>
      </c>
      <c r="H402" t="n">
        <v>0</v>
      </c>
      <c r="I402" t="n">
        <v>0</v>
      </c>
      <c r="J402" t="n">
        <v>0</v>
      </c>
      <c r="K402" t="n">
        <v>0</v>
      </c>
      <c r="L402" t="n">
        <v>0</v>
      </c>
      <c r="M402" t="n">
        <v>0</v>
      </c>
      <c r="N402" t="n">
        <v>0</v>
      </c>
      <c r="O402" t="n">
        <v>0</v>
      </c>
      <c r="P402" t="n">
        <v>0</v>
      </c>
      <c r="Q402" t="n">
        <v>0</v>
      </c>
      <c r="R402" s="2" t="inlineStr"/>
    </row>
    <row r="403" ht="15" customHeight="1">
      <c r="A403" t="inlineStr">
        <is>
          <t>A 25598-2021</t>
        </is>
      </c>
      <c r="B403" s="1" t="n">
        <v>44343.4558912037</v>
      </c>
      <c r="C403" s="1" t="n">
        <v>46086</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15162-2025</t>
        </is>
      </c>
      <c r="B404" s="1" t="n">
        <v>45744</v>
      </c>
      <c r="C404" s="1" t="n">
        <v>46086</v>
      </c>
      <c r="D404" t="inlineStr">
        <is>
          <t>UPPSALA LÄN</t>
        </is>
      </c>
      <c r="E404" t="inlineStr">
        <is>
          <t>ENKÖPING</t>
        </is>
      </c>
      <c r="G404" t="n">
        <v>4.2</v>
      </c>
      <c r="H404" t="n">
        <v>0</v>
      </c>
      <c r="I404" t="n">
        <v>0</v>
      </c>
      <c r="J404" t="n">
        <v>0</v>
      </c>
      <c r="K404" t="n">
        <v>0</v>
      </c>
      <c r="L404" t="n">
        <v>0</v>
      </c>
      <c r="M404" t="n">
        <v>0</v>
      </c>
      <c r="N404" t="n">
        <v>0</v>
      </c>
      <c r="O404" t="n">
        <v>0</v>
      </c>
      <c r="P404" t="n">
        <v>0</v>
      </c>
      <c r="Q404" t="n">
        <v>0</v>
      </c>
      <c r="R404" s="2" t="inlineStr"/>
    </row>
    <row r="405" ht="15" customHeight="1">
      <c r="A405" t="inlineStr">
        <is>
          <t>A 52388-2024</t>
        </is>
      </c>
      <c r="B405" s="1" t="n">
        <v>45609.42939814815</v>
      </c>
      <c r="C405" s="1" t="n">
        <v>46086</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53607-2023</t>
        </is>
      </c>
      <c r="B406" s="1" t="n">
        <v>45230</v>
      </c>
      <c r="C406" s="1" t="n">
        <v>46086</v>
      </c>
      <c r="D406" t="inlineStr">
        <is>
          <t>UPPSALA LÄN</t>
        </is>
      </c>
      <c r="E406" t="inlineStr">
        <is>
          <t>ENKÖPING</t>
        </is>
      </c>
      <c r="F406" t="inlineStr">
        <is>
          <t>Allmännings- och besparingsskogar</t>
        </is>
      </c>
      <c r="G406" t="n">
        <v>6.3</v>
      </c>
      <c r="H406" t="n">
        <v>0</v>
      </c>
      <c r="I406" t="n">
        <v>0</v>
      </c>
      <c r="J406" t="n">
        <v>0</v>
      </c>
      <c r="K406" t="n">
        <v>0</v>
      </c>
      <c r="L406" t="n">
        <v>0</v>
      </c>
      <c r="M406" t="n">
        <v>0</v>
      </c>
      <c r="N406" t="n">
        <v>0</v>
      </c>
      <c r="O406" t="n">
        <v>0</v>
      </c>
      <c r="P406" t="n">
        <v>0</v>
      </c>
      <c r="Q406" t="n">
        <v>0</v>
      </c>
      <c r="R406" s="2" t="inlineStr"/>
    </row>
    <row r="407" ht="15" customHeight="1">
      <c r="A407" t="inlineStr">
        <is>
          <t>A 40202-2024</t>
        </is>
      </c>
      <c r="B407" s="1" t="n">
        <v>45554</v>
      </c>
      <c r="C407" s="1" t="n">
        <v>46086</v>
      </c>
      <c r="D407" t="inlineStr">
        <is>
          <t>UPPSALA LÄN</t>
        </is>
      </c>
      <c r="E407" t="inlineStr">
        <is>
          <t>ENKÖPING</t>
        </is>
      </c>
      <c r="G407" t="n">
        <v>6.2</v>
      </c>
      <c r="H407" t="n">
        <v>0</v>
      </c>
      <c r="I407" t="n">
        <v>0</v>
      </c>
      <c r="J407" t="n">
        <v>0</v>
      </c>
      <c r="K407" t="n">
        <v>0</v>
      </c>
      <c r="L407" t="n">
        <v>0</v>
      </c>
      <c r="M407" t="n">
        <v>0</v>
      </c>
      <c r="N407" t="n">
        <v>0</v>
      </c>
      <c r="O407" t="n">
        <v>0</v>
      </c>
      <c r="P407" t="n">
        <v>0</v>
      </c>
      <c r="Q407" t="n">
        <v>0</v>
      </c>
      <c r="R407" s="2" t="inlineStr"/>
    </row>
    <row r="408" ht="15" customHeight="1">
      <c r="A408" t="inlineStr">
        <is>
          <t>A 57152-2021</t>
        </is>
      </c>
      <c r="B408" s="1" t="n">
        <v>44482</v>
      </c>
      <c r="C408" s="1" t="n">
        <v>46086</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34124-2021</t>
        </is>
      </c>
      <c r="B409" s="1" t="n">
        <v>44379</v>
      </c>
      <c r="C409" s="1" t="n">
        <v>46086</v>
      </c>
      <c r="D409" t="inlineStr">
        <is>
          <t>UPPSALA LÄN</t>
        </is>
      </c>
      <c r="E409" t="inlineStr">
        <is>
          <t>ENKÖPING</t>
        </is>
      </c>
      <c r="G409" t="n">
        <v>2.2</v>
      </c>
      <c r="H409" t="n">
        <v>0</v>
      </c>
      <c r="I409" t="n">
        <v>0</v>
      </c>
      <c r="J409" t="n">
        <v>0</v>
      </c>
      <c r="K409" t="n">
        <v>0</v>
      </c>
      <c r="L409" t="n">
        <v>0</v>
      </c>
      <c r="M409" t="n">
        <v>0</v>
      </c>
      <c r="N409" t="n">
        <v>0</v>
      </c>
      <c r="O409" t="n">
        <v>0</v>
      </c>
      <c r="P409" t="n">
        <v>0</v>
      </c>
      <c r="Q409" t="n">
        <v>0</v>
      </c>
      <c r="R409" s="2" t="inlineStr"/>
    </row>
    <row r="410" ht="15" customHeight="1">
      <c r="A410" t="inlineStr">
        <is>
          <t>A 28518-2024</t>
        </is>
      </c>
      <c r="B410" s="1" t="n">
        <v>45477</v>
      </c>
      <c r="C410" s="1" t="n">
        <v>46086</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52299-2023</t>
        </is>
      </c>
      <c r="B411" s="1" t="n">
        <v>45224.61636574074</v>
      </c>
      <c r="C411" s="1" t="n">
        <v>46086</v>
      </c>
      <c r="D411" t="inlineStr">
        <is>
          <t>UPPSALA LÄN</t>
        </is>
      </c>
      <c r="E411" t="inlineStr">
        <is>
          <t>ENKÖPING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30634-2022</t>
        </is>
      </c>
      <c r="B412" s="1" t="n">
        <v>44763.45711805556</v>
      </c>
      <c r="C412" s="1" t="n">
        <v>46086</v>
      </c>
      <c r="D412" t="inlineStr">
        <is>
          <t>UPPSALA LÄN</t>
        </is>
      </c>
      <c r="E412" t="inlineStr">
        <is>
          <t>ENKÖPING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18259-2025</t>
        </is>
      </c>
      <c r="B413" s="1" t="n">
        <v>45762</v>
      </c>
      <c r="C413" s="1" t="n">
        <v>46086</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14004-2023</t>
        </is>
      </c>
      <c r="B414" s="1" t="n">
        <v>45008</v>
      </c>
      <c r="C414" s="1" t="n">
        <v>46086</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52005-2024</t>
        </is>
      </c>
      <c r="B415" s="1" t="n">
        <v>45607.7627662037</v>
      </c>
      <c r="C415" s="1" t="n">
        <v>46086</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1960-2022</t>
        </is>
      </c>
      <c r="B416" s="1" t="n">
        <v>44575</v>
      </c>
      <c r="C416" s="1" t="n">
        <v>46086</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49627-2024</t>
        </is>
      </c>
      <c r="B417" s="1" t="n">
        <v>45596.59140046296</v>
      </c>
      <c r="C417" s="1" t="n">
        <v>46086</v>
      </c>
      <c r="D417" t="inlineStr">
        <is>
          <t>UPPSALA LÄN</t>
        </is>
      </c>
      <c r="E417" t="inlineStr">
        <is>
          <t>ENKÖPING</t>
        </is>
      </c>
      <c r="G417" t="n">
        <v>0.4</v>
      </c>
      <c r="H417" t="n">
        <v>0</v>
      </c>
      <c r="I417" t="n">
        <v>0</v>
      </c>
      <c r="J417" t="n">
        <v>0</v>
      </c>
      <c r="K417" t="n">
        <v>0</v>
      </c>
      <c r="L417" t="n">
        <v>0</v>
      </c>
      <c r="M417" t="n">
        <v>0</v>
      </c>
      <c r="N417" t="n">
        <v>0</v>
      </c>
      <c r="O417" t="n">
        <v>0</v>
      </c>
      <c r="P417" t="n">
        <v>0</v>
      </c>
      <c r="Q417" t="n">
        <v>0</v>
      </c>
      <c r="R417" s="2" t="inlineStr"/>
    </row>
    <row r="418" ht="15" customHeight="1">
      <c r="A418" t="inlineStr">
        <is>
          <t>A 57998-2024</t>
        </is>
      </c>
      <c r="B418" s="1" t="n">
        <v>45631</v>
      </c>
      <c r="C418" s="1" t="n">
        <v>46086</v>
      </c>
      <c r="D418" t="inlineStr">
        <is>
          <t>UPPSALA LÄN</t>
        </is>
      </c>
      <c r="E418" t="inlineStr">
        <is>
          <t>ENKÖPING</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9667-2024</t>
        </is>
      </c>
      <c r="B419" s="1" t="n">
        <v>45362.45130787037</v>
      </c>
      <c r="C419" s="1" t="n">
        <v>46086</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35645-2021</t>
        </is>
      </c>
      <c r="B420" s="1" t="n">
        <v>44386.42</v>
      </c>
      <c r="C420" s="1" t="n">
        <v>46086</v>
      </c>
      <c r="D420" t="inlineStr">
        <is>
          <t>UPPSALA LÄN</t>
        </is>
      </c>
      <c r="E420" t="inlineStr">
        <is>
          <t>ENKÖPING</t>
        </is>
      </c>
      <c r="G420" t="n">
        <v>2.7</v>
      </c>
      <c r="H420" t="n">
        <v>0</v>
      </c>
      <c r="I420" t="n">
        <v>0</v>
      </c>
      <c r="J420" t="n">
        <v>0</v>
      </c>
      <c r="K420" t="n">
        <v>0</v>
      </c>
      <c r="L420" t="n">
        <v>0</v>
      </c>
      <c r="M420" t="n">
        <v>0</v>
      </c>
      <c r="N420" t="n">
        <v>0</v>
      </c>
      <c r="O420" t="n">
        <v>0</v>
      </c>
      <c r="P420" t="n">
        <v>0</v>
      </c>
      <c r="Q420" t="n">
        <v>0</v>
      </c>
      <c r="R420" s="2" t="inlineStr"/>
    </row>
    <row r="421" ht="15" customHeight="1">
      <c r="A421" t="inlineStr">
        <is>
          <t>A 15711-2025</t>
        </is>
      </c>
      <c r="B421" s="1" t="n">
        <v>45748</v>
      </c>
      <c r="C421" s="1" t="n">
        <v>46086</v>
      </c>
      <c r="D421" t="inlineStr">
        <is>
          <t>UPPSALA LÄN</t>
        </is>
      </c>
      <c r="E421" t="inlineStr">
        <is>
          <t>ENKÖPING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28318-2024</t>
        </is>
      </c>
      <c r="B422" s="1" t="n">
        <v>45477</v>
      </c>
      <c r="C422" s="1" t="n">
        <v>46086</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69344-2021</t>
        </is>
      </c>
      <c r="B423" s="1" t="n">
        <v>44531</v>
      </c>
      <c r="C423" s="1" t="n">
        <v>46086</v>
      </c>
      <c r="D423" t="inlineStr">
        <is>
          <t>UPPSALA LÄN</t>
        </is>
      </c>
      <c r="E423" t="inlineStr">
        <is>
          <t>ENKÖPING</t>
        </is>
      </c>
      <c r="G423" t="n">
        <v>2.9</v>
      </c>
      <c r="H423" t="n">
        <v>0</v>
      </c>
      <c r="I423" t="n">
        <v>0</v>
      </c>
      <c r="J423" t="n">
        <v>0</v>
      </c>
      <c r="K423" t="n">
        <v>0</v>
      </c>
      <c r="L423" t="n">
        <v>0</v>
      </c>
      <c r="M423" t="n">
        <v>0</v>
      </c>
      <c r="N423" t="n">
        <v>0</v>
      </c>
      <c r="O423" t="n">
        <v>0</v>
      </c>
      <c r="P423" t="n">
        <v>0</v>
      </c>
      <c r="Q423" t="n">
        <v>0</v>
      </c>
      <c r="R423" s="2" t="inlineStr"/>
    </row>
    <row r="424" ht="15" customHeight="1">
      <c r="A424" t="inlineStr">
        <is>
          <t>A 51524-2022</t>
        </is>
      </c>
      <c r="B424" s="1" t="n">
        <v>44869</v>
      </c>
      <c r="C424" s="1" t="n">
        <v>46086</v>
      </c>
      <c r="D424" t="inlineStr">
        <is>
          <t>UPPSALA LÄN</t>
        </is>
      </c>
      <c r="E424" t="inlineStr">
        <is>
          <t>ENKÖPING</t>
        </is>
      </c>
      <c r="G424" t="n">
        <v>6.6</v>
      </c>
      <c r="H424" t="n">
        <v>0</v>
      </c>
      <c r="I424" t="n">
        <v>0</v>
      </c>
      <c r="J424" t="n">
        <v>0</v>
      </c>
      <c r="K424" t="n">
        <v>0</v>
      </c>
      <c r="L424" t="n">
        <v>0</v>
      </c>
      <c r="M424" t="n">
        <v>0</v>
      </c>
      <c r="N424" t="n">
        <v>0</v>
      </c>
      <c r="O424" t="n">
        <v>0</v>
      </c>
      <c r="P424" t="n">
        <v>0</v>
      </c>
      <c r="Q424" t="n">
        <v>0</v>
      </c>
      <c r="R424" s="2" t="inlineStr"/>
    </row>
    <row r="425" ht="15" customHeight="1">
      <c r="A425" t="inlineStr">
        <is>
          <t>A 46103-2023</t>
        </is>
      </c>
      <c r="B425" s="1" t="n">
        <v>45190</v>
      </c>
      <c r="C425" s="1" t="n">
        <v>46086</v>
      </c>
      <c r="D425" t="inlineStr">
        <is>
          <t>UPPSALA LÄN</t>
        </is>
      </c>
      <c r="E425" t="inlineStr">
        <is>
          <t>ENKÖPING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41737-2022</t>
        </is>
      </c>
      <c r="B426" s="1" t="n">
        <v>44827.63826388889</v>
      </c>
      <c r="C426" s="1" t="n">
        <v>46086</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8137-2025</t>
        </is>
      </c>
      <c r="B427" s="1" t="n">
        <v>45707.8561574074</v>
      </c>
      <c r="C427" s="1" t="n">
        <v>46086</v>
      </c>
      <c r="D427" t="inlineStr">
        <is>
          <t>UPPSALA LÄN</t>
        </is>
      </c>
      <c r="E427" t="inlineStr">
        <is>
          <t>ENKÖPING</t>
        </is>
      </c>
      <c r="G427" t="n">
        <v>0.4</v>
      </c>
      <c r="H427" t="n">
        <v>0</v>
      </c>
      <c r="I427" t="n">
        <v>0</v>
      </c>
      <c r="J427" t="n">
        <v>0</v>
      </c>
      <c r="K427" t="n">
        <v>0</v>
      </c>
      <c r="L427" t="n">
        <v>0</v>
      </c>
      <c r="M427" t="n">
        <v>0</v>
      </c>
      <c r="N427" t="n">
        <v>0</v>
      </c>
      <c r="O427" t="n">
        <v>0</v>
      </c>
      <c r="P427" t="n">
        <v>0</v>
      </c>
      <c r="Q427" t="n">
        <v>0</v>
      </c>
      <c r="R427" s="2" t="inlineStr"/>
    </row>
    <row r="428" ht="15" customHeight="1">
      <c r="A428" t="inlineStr">
        <is>
          <t>A 23301-2024</t>
        </is>
      </c>
      <c r="B428" s="1" t="n">
        <v>45453.4396412037</v>
      </c>
      <c r="C428" s="1" t="n">
        <v>46086</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52380-2024</t>
        </is>
      </c>
      <c r="B429" s="1" t="n">
        <v>45609</v>
      </c>
      <c r="C429" s="1" t="n">
        <v>46086</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30098-2024</t>
        </is>
      </c>
      <c r="B430" s="1" t="n">
        <v>45489.41609953704</v>
      </c>
      <c r="C430" s="1" t="n">
        <v>46086</v>
      </c>
      <c r="D430" t="inlineStr">
        <is>
          <t>UPPSALA LÄN</t>
        </is>
      </c>
      <c r="E430" t="inlineStr">
        <is>
          <t>ENKÖPING</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34735-2023</t>
        </is>
      </c>
      <c r="B431" s="1" t="n">
        <v>45139</v>
      </c>
      <c r="C431" s="1" t="n">
        <v>46086</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57328-2024</t>
        </is>
      </c>
      <c r="B432" s="1" t="n">
        <v>45629.62798611111</v>
      </c>
      <c r="C432" s="1" t="n">
        <v>46086</v>
      </c>
      <c r="D432" t="inlineStr">
        <is>
          <t>UPPSALA LÄN</t>
        </is>
      </c>
      <c r="E432" t="inlineStr">
        <is>
          <t>ENKÖPING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29482-2022</t>
        </is>
      </c>
      <c r="B433" s="1" t="n">
        <v>44753.57703703704</v>
      </c>
      <c r="C433" s="1" t="n">
        <v>46086</v>
      </c>
      <c r="D433" t="inlineStr">
        <is>
          <t>UPPSALA LÄN</t>
        </is>
      </c>
      <c r="E433" t="inlineStr">
        <is>
          <t>ENKÖPING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29483-2022</t>
        </is>
      </c>
      <c r="B434" s="1" t="n">
        <v>44753.57829861111</v>
      </c>
      <c r="C434" s="1" t="n">
        <v>46086</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44232-2022</t>
        </is>
      </c>
      <c r="B435" s="1" t="n">
        <v>44839</v>
      </c>
      <c r="C435" s="1" t="n">
        <v>46086</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61106-2022</t>
        </is>
      </c>
      <c r="B436" s="1" t="n">
        <v>44915.4128587963</v>
      </c>
      <c r="C436" s="1" t="n">
        <v>46086</v>
      </c>
      <c r="D436" t="inlineStr">
        <is>
          <t>UPPSALA LÄN</t>
        </is>
      </c>
      <c r="E436" t="inlineStr">
        <is>
          <t>ENKÖPING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39624-2023</t>
        </is>
      </c>
      <c r="B437" s="1" t="n">
        <v>45164</v>
      </c>
      <c r="C437" s="1" t="n">
        <v>46086</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20184-2023</t>
        </is>
      </c>
      <c r="B438" s="1" t="n">
        <v>45055.5670949074</v>
      </c>
      <c r="C438" s="1" t="n">
        <v>46086</v>
      </c>
      <c r="D438" t="inlineStr">
        <is>
          <t>UPPSALA LÄN</t>
        </is>
      </c>
      <c r="E438" t="inlineStr">
        <is>
          <t>ENKÖPING</t>
        </is>
      </c>
      <c r="G438" t="n">
        <v>3.2</v>
      </c>
      <c r="H438" t="n">
        <v>0</v>
      </c>
      <c r="I438" t="n">
        <v>0</v>
      </c>
      <c r="J438" t="n">
        <v>0</v>
      </c>
      <c r="K438" t="n">
        <v>0</v>
      </c>
      <c r="L438" t="n">
        <v>0</v>
      </c>
      <c r="M438" t="n">
        <v>0</v>
      </c>
      <c r="N438" t="n">
        <v>0</v>
      </c>
      <c r="O438" t="n">
        <v>0</v>
      </c>
      <c r="P438" t="n">
        <v>0</v>
      </c>
      <c r="Q438" t="n">
        <v>0</v>
      </c>
      <c r="R438" s="2" t="inlineStr"/>
    </row>
    <row r="439" ht="15" customHeight="1">
      <c r="A439" t="inlineStr">
        <is>
          <t>A 8152-2022</t>
        </is>
      </c>
      <c r="B439" s="1" t="n">
        <v>44609</v>
      </c>
      <c r="C439" s="1" t="n">
        <v>46086</v>
      </c>
      <c r="D439" t="inlineStr">
        <is>
          <t>UPPSALA LÄN</t>
        </is>
      </c>
      <c r="E439" t="inlineStr">
        <is>
          <t>ENKÖPING</t>
        </is>
      </c>
      <c r="F439" t="inlineStr">
        <is>
          <t>Kyrkan</t>
        </is>
      </c>
      <c r="G439" t="n">
        <v>1.3</v>
      </c>
      <c r="H439" t="n">
        <v>0</v>
      </c>
      <c r="I439" t="n">
        <v>0</v>
      </c>
      <c r="J439" t="n">
        <v>0</v>
      </c>
      <c r="K439" t="n">
        <v>0</v>
      </c>
      <c r="L439" t="n">
        <v>0</v>
      </c>
      <c r="M439" t="n">
        <v>0</v>
      </c>
      <c r="N439" t="n">
        <v>0</v>
      </c>
      <c r="O439" t="n">
        <v>0</v>
      </c>
      <c r="P439" t="n">
        <v>0</v>
      </c>
      <c r="Q439" t="n">
        <v>0</v>
      </c>
      <c r="R439" s="2" t="inlineStr"/>
    </row>
    <row r="440" ht="15" customHeight="1">
      <c r="A440" t="inlineStr">
        <is>
          <t>A 40223-2024</t>
        </is>
      </c>
      <c r="B440" s="1" t="n">
        <v>45554</v>
      </c>
      <c r="C440" s="1" t="n">
        <v>46086</v>
      </c>
      <c r="D440" t="inlineStr">
        <is>
          <t>UPPSALA LÄN</t>
        </is>
      </c>
      <c r="E440" t="inlineStr">
        <is>
          <t>ENKÖPING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37035-2023</t>
        </is>
      </c>
      <c r="B441" s="1" t="n">
        <v>45155</v>
      </c>
      <c r="C441" s="1" t="n">
        <v>46086</v>
      </c>
      <c r="D441" t="inlineStr">
        <is>
          <t>UPPSALA LÄN</t>
        </is>
      </c>
      <c r="E441" t="inlineStr">
        <is>
          <t>ENKÖPING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52889-2022</t>
        </is>
      </c>
      <c r="B442" s="1" t="n">
        <v>44875</v>
      </c>
      <c r="C442" s="1" t="n">
        <v>46086</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51030-2024</t>
        </is>
      </c>
      <c r="B443" s="1" t="n">
        <v>45603</v>
      </c>
      <c r="C443" s="1" t="n">
        <v>46086</v>
      </c>
      <c r="D443" t="inlineStr">
        <is>
          <t>UPPSALA LÄN</t>
        </is>
      </c>
      <c r="E443" t="inlineStr">
        <is>
          <t>ENKÖPING</t>
        </is>
      </c>
      <c r="G443" t="n">
        <v>2</v>
      </c>
      <c r="H443" t="n">
        <v>0</v>
      </c>
      <c r="I443" t="n">
        <v>0</v>
      </c>
      <c r="J443" t="n">
        <v>0</v>
      </c>
      <c r="K443" t="n">
        <v>0</v>
      </c>
      <c r="L443" t="n">
        <v>0</v>
      </c>
      <c r="M443" t="n">
        <v>0</v>
      </c>
      <c r="N443" t="n">
        <v>0</v>
      </c>
      <c r="O443" t="n">
        <v>0</v>
      </c>
      <c r="P443" t="n">
        <v>0</v>
      </c>
      <c r="Q443" t="n">
        <v>0</v>
      </c>
      <c r="R443" s="2" t="inlineStr"/>
    </row>
    <row r="444" ht="15" customHeight="1">
      <c r="A444" t="inlineStr">
        <is>
          <t>A 26292-2022</t>
        </is>
      </c>
      <c r="B444" s="1" t="n">
        <v>44735</v>
      </c>
      <c r="C444" s="1" t="n">
        <v>46086</v>
      </c>
      <c r="D444" t="inlineStr">
        <is>
          <t>UPPSALA LÄN</t>
        </is>
      </c>
      <c r="E444" t="inlineStr">
        <is>
          <t>ENKÖPING</t>
        </is>
      </c>
      <c r="F444" t="inlineStr">
        <is>
          <t>Kyrkan</t>
        </is>
      </c>
      <c r="G444" t="n">
        <v>4.6</v>
      </c>
      <c r="H444" t="n">
        <v>0</v>
      </c>
      <c r="I444" t="n">
        <v>0</v>
      </c>
      <c r="J444" t="n">
        <v>0</v>
      </c>
      <c r="K444" t="n">
        <v>0</v>
      </c>
      <c r="L444" t="n">
        <v>0</v>
      </c>
      <c r="M444" t="n">
        <v>0</v>
      </c>
      <c r="N444" t="n">
        <v>0</v>
      </c>
      <c r="O444" t="n">
        <v>0</v>
      </c>
      <c r="P444" t="n">
        <v>0</v>
      </c>
      <c r="Q444" t="n">
        <v>0</v>
      </c>
      <c r="R444" s="2" t="inlineStr"/>
    </row>
    <row r="445" ht="15" customHeight="1">
      <c r="A445" t="inlineStr">
        <is>
          <t>A 4044-2024</t>
        </is>
      </c>
      <c r="B445" s="1" t="n">
        <v>45323.45954861111</v>
      </c>
      <c r="C445" s="1" t="n">
        <v>46086</v>
      </c>
      <c r="D445" t="inlineStr">
        <is>
          <t>UPPSALA LÄN</t>
        </is>
      </c>
      <c r="E445" t="inlineStr">
        <is>
          <t>ENKÖPING</t>
        </is>
      </c>
      <c r="G445" t="n">
        <v>2.1</v>
      </c>
      <c r="H445" t="n">
        <v>0</v>
      </c>
      <c r="I445" t="n">
        <v>0</v>
      </c>
      <c r="J445" t="n">
        <v>0</v>
      </c>
      <c r="K445" t="n">
        <v>0</v>
      </c>
      <c r="L445" t="n">
        <v>0</v>
      </c>
      <c r="M445" t="n">
        <v>0</v>
      </c>
      <c r="N445" t="n">
        <v>0</v>
      </c>
      <c r="O445" t="n">
        <v>0</v>
      </c>
      <c r="P445" t="n">
        <v>0</v>
      </c>
      <c r="Q445" t="n">
        <v>0</v>
      </c>
      <c r="R445" s="2" t="inlineStr"/>
    </row>
    <row r="446" ht="15" customHeight="1">
      <c r="A446" t="inlineStr">
        <is>
          <t>A 33349-2024</t>
        </is>
      </c>
      <c r="B446" s="1" t="n">
        <v>45519</v>
      </c>
      <c r="C446" s="1" t="n">
        <v>46086</v>
      </c>
      <c r="D446" t="inlineStr">
        <is>
          <t>UPPSALA LÄN</t>
        </is>
      </c>
      <c r="E446" t="inlineStr">
        <is>
          <t>ENKÖPING</t>
        </is>
      </c>
      <c r="G446" t="n">
        <v>3.6</v>
      </c>
      <c r="H446" t="n">
        <v>0</v>
      </c>
      <c r="I446" t="n">
        <v>0</v>
      </c>
      <c r="J446" t="n">
        <v>0</v>
      </c>
      <c r="K446" t="n">
        <v>0</v>
      </c>
      <c r="L446" t="n">
        <v>0</v>
      </c>
      <c r="M446" t="n">
        <v>0</v>
      </c>
      <c r="N446" t="n">
        <v>0</v>
      </c>
      <c r="O446" t="n">
        <v>0</v>
      </c>
      <c r="P446" t="n">
        <v>0</v>
      </c>
      <c r="Q446" t="n">
        <v>0</v>
      </c>
      <c r="R446" s="2" t="inlineStr"/>
    </row>
    <row r="447" ht="15" customHeight="1">
      <c r="A447" t="inlineStr">
        <is>
          <t>A 22912-2024</t>
        </is>
      </c>
      <c r="B447" s="1" t="n">
        <v>45448.73118055556</v>
      </c>
      <c r="C447" s="1" t="n">
        <v>46086</v>
      </c>
      <c r="D447" t="inlineStr">
        <is>
          <t>UPPSALA LÄN</t>
        </is>
      </c>
      <c r="E447" t="inlineStr">
        <is>
          <t>ENKÖPING</t>
        </is>
      </c>
      <c r="G447" t="n">
        <v>2.8</v>
      </c>
      <c r="H447" t="n">
        <v>0</v>
      </c>
      <c r="I447" t="n">
        <v>0</v>
      </c>
      <c r="J447" t="n">
        <v>0</v>
      </c>
      <c r="K447" t="n">
        <v>0</v>
      </c>
      <c r="L447" t="n">
        <v>0</v>
      </c>
      <c r="M447" t="n">
        <v>0</v>
      </c>
      <c r="N447" t="n">
        <v>0</v>
      </c>
      <c r="O447" t="n">
        <v>0</v>
      </c>
      <c r="P447" t="n">
        <v>0</v>
      </c>
      <c r="Q447" t="n">
        <v>0</v>
      </c>
      <c r="R447" s="2" t="inlineStr"/>
    </row>
    <row r="448" ht="15" customHeight="1">
      <c r="A448" t="inlineStr">
        <is>
          <t>A 21612-2023</t>
        </is>
      </c>
      <c r="B448" s="1" t="n">
        <v>45063</v>
      </c>
      <c r="C448" s="1" t="n">
        <v>46086</v>
      </c>
      <c r="D448" t="inlineStr">
        <is>
          <t>UPPSALA LÄN</t>
        </is>
      </c>
      <c r="E448" t="inlineStr">
        <is>
          <t>ENKÖPING</t>
        </is>
      </c>
      <c r="F448" t="inlineStr">
        <is>
          <t>Allmännings- och besparingsskogar</t>
        </is>
      </c>
      <c r="G448" t="n">
        <v>1</v>
      </c>
      <c r="H448" t="n">
        <v>0</v>
      </c>
      <c r="I448" t="n">
        <v>0</v>
      </c>
      <c r="J448" t="n">
        <v>0</v>
      </c>
      <c r="K448" t="n">
        <v>0</v>
      </c>
      <c r="L448" t="n">
        <v>0</v>
      </c>
      <c r="M448" t="n">
        <v>0</v>
      </c>
      <c r="N448" t="n">
        <v>0</v>
      </c>
      <c r="O448" t="n">
        <v>0</v>
      </c>
      <c r="P448" t="n">
        <v>0</v>
      </c>
      <c r="Q448" t="n">
        <v>0</v>
      </c>
      <c r="R448" s="2" t="inlineStr"/>
    </row>
    <row r="449" ht="15" customHeight="1">
      <c r="A449" t="inlineStr">
        <is>
          <t>A 14243-2025</t>
        </is>
      </c>
      <c r="B449" s="1" t="n">
        <v>45740.61288194444</v>
      </c>
      <c r="C449" s="1" t="n">
        <v>46086</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33343-2024</t>
        </is>
      </c>
      <c r="B450" s="1" t="n">
        <v>45519</v>
      </c>
      <c r="C450" s="1" t="n">
        <v>46086</v>
      </c>
      <c r="D450" t="inlineStr">
        <is>
          <t>UPPSALA LÄN</t>
        </is>
      </c>
      <c r="E450" t="inlineStr">
        <is>
          <t>ENKÖPING</t>
        </is>
      </c>
      <c r="G450" t="n">
        <v>2</v>
      </c>
      <c r="H450" t="n">
        <v>0</v>
      </c>
      <c r="I450" t="n">
        <v>0</v>
      </c>
      <c r="J450" t="n">
        <v>0</v>
      </c>
      <c r="K450" t="n">
        <v>0</v>
      </c>
      <c r="L450" t="n">
        <v>0</v>
      </c>
      <c r="M450" t="n">
        <v>0</v>
      </c>
      <c r="N450" t="n">
        <v>0</v>
      </c>
      <c r="O450" t="n">
        <v>0</v>
      </c>
      <c r="P450" t="n">
        <v>0</v>
      </c>
      <c r="Q450" t="n">
        <v>0</v>
      </c>
      <c r="R450" s="2" t="inlineStr"/>
    </row>
    <row r="451" ht="15" customHeight="1">
      <c r="A451" t="inlineStr">
        <is>
          <t>A 18302-2025</t>
        </is>
      </c>
      <c r="B451" s="1" t="n">
        <v>45762</v>
      </c>
      <c r="C451" s="1" t="n">
        <v>46086</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28243-2023</t>
        </is>
      </c>
      <c r="B452" s="1" t="n">
        <v>45099.58885416666</v>
      </c>
      <c r="C452" s="1" t="n">
        <v>46086</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3235-2025</t>
        </is>
      </c>
      <c r="B453" s="1" t="n">
        <v>45679</v>
      </c>
      <c r="C453" s="1" t="n">
        <v>46086</v>
      </c>
      <c r="D453" t="inlineStr">
        <is>
          <t>UPPSALA LÄN</t>
        </is>
      </c>
      <c r="E453" t="inlineStr">
        <is>
          <t>ENKÖPING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41828-2024</t>
        </is>
      </c>
      <c r="B454" s="1" t="n">
        <v>45561</v>
      </c>
      <c r="C454" s="1" t="n">
        <v>46086</v>
      </c>
      <c r="D454" t="inlineStr">
        <is>
          <t>UPPSALA LÄN</t>
        </is>
      </c>
      <c r="E454" t="inlineStr">
        <is>
          <t>ENKÖPING</t>
        </is>
      </c>
      <c r="G454" t="n">
        <v>2.5</v>
      </c>
      <c r="H454" t="n">
        <v>0</v>
      </c>
      <c r="I454" t="n">
        <v>0</v>
      </c>
      <c r="J454" t="n">
        <v>0</v>
      </c>
      <c r="K454" t="n">
        <v>0</v>
      </c>
      <c r="L454" t="n">
        <v>0</v>
      </c>
      <c r="M454" t="n">
        <v>0</v>
      </c>
      <c r="N454" t="n">
        <v>0</v>
      </c>
      <c r="O454" t="n">
        <v>0</v>
      </c>
      <c r="P454" t="n">
        <v>0</v>
      </c>
      <c r="Q454" t="n">
        <v>0</v>
      </c>
      <c r="R454" s="2" t="inlineStr"/>
    </row>
    <row r="455" ht="15" customHeight="1">
      <c r="A455" t="inlineStr">
        <is>
          <t>A 1536-2024</t>
        </is>
      </c>
      <c r="B455" s="1" t="n">
        <v>45306</v>
      </c>
      <c r="C455" s="1" t="n">
        <v>46086</v>
      </c>
      <c r="D455" t="inlineStr">
        <is>
          <t>UPPSALA LÄN</t>
        </is>
      </c>
      <c r="E455" t="inlineStr">
        <is>
          <t>ENKÖPING</t>
        </is>
      </c>
      <c r="F455" t="inlineStr">
        <is>
          <t>Kyrkan</t>
        </is>
      </c>
      <c r="G455" t="n">
        <v>5.6</v>
      </c>
      <c r="H455" t="n">
        <v>0</v>
      </c>
      <c r="I455" t="n">
        <v>0</v>
      </c>
      <c r="J455" t="n">
        <v>0</v>
      </c>
      <c r="K455" t="n">
        <v>0</v>
      </c>
      <c r="L455" t="n">
        <v>0</v>
      </c>
      <c r="M455" t="n">
        <v>0</v>
      </c>
      <c r="N455" t="n">
        <v>0</v>
      </c>
      <c r="O455" t="n">
        <v>0</v>
      </c>
      <c r="P455" t="n">
        <v>0</v>
      </c>
      <c r="Q455" t="n">
        <v>0</v>
      </c>
      <c r="R455" s="2" t="inlineStr"/>
    </row>
    <row r="456" ht="15" customHeight="1">
      <c r="A456" t="inlineStr">
        <is>
          <t>A 42564-2024</t>
        </is>
      </c>
      <c r="B456" s="1" t="n">
        <v>45565.63358796296</v>
      </c>
      <c r="C456" s="1" t="n">
        <v>46086</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43492-2023</t>
        </is>
      </c>
      <c r="B457" s="1" t="n">
        <v>45181</v>
      </c>
      <c r="C457" s="1" t="n">
        <v>46086</v>
      </c>
      <c r="D457" t="inlineStr">
        <is>
          <t>UPPSALA LÄN</t>
        </is>
      </c>
      <c r="E457" t="inlineStr">
        <is>
          <t>ENKÖPING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6626-2023</t>
        </is>
      </c>
      <c r="B458" s="1" t="n">
        <v>44966.55946759259</v>
      </c>
      <c r="C458" s="1" t="n">
        <v>46086</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17165-2025</t>
        </is>
      </c>
      <c r="B459" s="1" t="n">
        <v>45756</v>
      </c>
      <c r="C459" s="1" t="n">
        <v>46086</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5013-2025</t>
        </is>
      </c>
      <c r="B460" s="1" t="n">
        <v>45691</v>
      </c>
      <c r="C460" s="1" t="n">
        <v>46086</v>
      </c>
      <c r="D460" t="inlineStr">
        <is>
          <t>UPPSALA LÄN</t>
        </is>
      </c>
      <c r="E460" t="inlineStr">
        <is>
          <t>ENKÖPING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37170-2021</t>
        </is>
      </c>
      <c r="B461" s="1" t="n">
        <v>44395</v>
      </c>
      <c r="C461" s="1" t="n">
        <v>46086</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58147-2024</t>
        </is>
      </c>
      <c r="B462" s="1" t="n">
        <v>45632.4334375</v>
      </c>
      <c r="C462" s="1" t="n">
        <v>46086</v>
      </c>
      <c r="D462" t="inlineStr">
        <is>
          <t>UPPSALA LÄN</t>
        </is>
      </c>
      <c r="E462" t="inlineStr">
        <is>
          <t>ENKÖPING</t>
        </is>
      </c>
      <c r="G462" t="n">
        <v>3</v>
      </c>
      <c r="H462" t="n">
        <v>0</v>
      </c>
      <c r="I462" t="n">
        <v>0</v>
      </c>
      <c r="J462" t="n">
        <v>0</v>
      </c>
      <c r="K462" t="n">
        <v>0</v>
      </c>
      <c r="L462" t="n">
        <v>0</v>
      </c>
      <c r="M462" t="n">
        <v>0</v>
      </c>
      <c r="N462" t="n">
        <v>0</v>
      </c>
      <c r="O462" t="n">
        <v>0</v>
      </c>
      <c r="P462" t="n">
        <v>0</v>
      </c>
      <c r="Q462" t="n">
        <v>0</v>
      </c>
      <c r="R462" s="2" t="inlineStr"/>
    </row>
    <row r="463" ht="15" customHeight="1">
      <c r="A463" t="inlineStr">
        <is>
          <t>A 3550-2023</t>
        </is>
      </c>
      <c r="B463" s="1" t="n">
        <v>44950</v>
      </c>
      <c r="C463" s="1" t="n">
        <v>46086</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19014-2025</t>
        </is>
      </c>
      <c r="B464" s="1" t="n">
        <v>45764.59631944444</v>
      </c>
      <c r="C464" s="1" t="n">
        <v>46086</v>
      </c>
      <c r="D464" t="inlineStr">
        <is>
          <t>UPPSALA LÄN</t>
        </is>
      </c>
      <c r="E464" t="inlineStr">
        <is>
          <t>ENKÖPING</t>
        </is>
      </c>
      <c r="G464" t="n">
        <v>0.2</v>
      </c>
      <c r="H464" t="n">
        <v>0</v>
      </c>
      <c r="I464" t="n">
        <v>0</v>
      </c>
      <c r="J464" t="n">
        <v>0</v>
      </c>
      <c r="K464" t="n">
        <v>0</v>
      </c>
      <c r="L464" t="n">
        <v>0</v>
      </c>
      <c r="M464" t="n">
        <v>0</v>
      </c>
      <c r="N464" t="n">
        <v>0</v>
      </c>
      <c r="O464" t="n">
        <v>0</v>
      </c>
      <c r="P464" t="n">
        <v>0</v>
      </c>
      <c r="Q464" t="n">
        <v>0</v>
      </c>
      <c r="R464" s="2" t="inlineStr"/>
    </row>
    <row r="465" ht="15" customHeight="1">
      <c r="A465" t="inlineStr">
        <is>
          <t>A 12958-2024</t>
        </is>
      </c>
      <c r="B465" s="1" t="n">
        <v>45385</v>
      </c>
      <c r="C465" s="1" t="n">
        <v>46086</v>
      </c>
      <c r="D465" t="inlineStr">
        <is>
          <t>UPPSALA LÄN</t>
        </is>
      </c>
      <c r="E465" t="inlineStr">
        <is>
          <t>ENKÖPING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1651-2024</t>
        </is>
      </c>
      <c r="B466" s="1" t="n">
        <v>45306.73770833333</v>
      </c>
      <c r="C466" s="1" t="n">
        <v>46086</v>
      </c>
      <c r="D466" t="inlineStr">
        <is>
          <t>UPPSALA LÄN</t>
        </is>
      </c>
      <c r="E466" t="inlineStr">
        <is>
          <t>ENKÖPING</t>
        </is>
      </c>
      <c r="G466" t="n">
        <v>10.2</v>
      </c>
      <c r="H466" t="n">
        <v>0</v>
      </c>
      <c r="I466" t="n">
        <v>0</v>
      </c>
      <c r="J466" t="n">
        <v>0</v>
      </c>
      <c r="K466" t="n">
        <v>0</v>
      </c>
      <c r="L466" t="n">
        <v>0</v>
      </c>
      <c r="M466" t="n">
        <v>0</v>
      </c>
      <c r="N466" t="n">
        <v>0</v>
      </c>
      <c r="O466" t="n">
        <v>0</v>
      </c>
      <c r="P466" t="n">
        <v>0</v>
      </c>
      <c r="Q466" t="n">
        <v>0</v>
      </c>
      <c r="R466" s="2" t="inlineStr"/>
    </row>
    <row r="467" ht="15" customHeight="1">
      <c r="A467" t="inlineStr">
        <is>
          <t>A 51012-2024</t>
        </is>
      </c>
      <c r="B467" s="1" t="n">
        <v>45603.39686342593</v>
      </c>
      <c r="C467" s="1" t="n">
        <v>46086</v>
      </c>
      <c r="D467" t="inlineStr">
        <is>
          <t>UPPSALA LÄN</t>
        </is>
      </c>
      <c r="E467" t="inlineStr">
        <is>
          <t>ENKÖPING</t>
        </is>
      </c>
      <c r="G467" t="n">
        <v>2.7</v>
      </c>
      <c r="H467" t="n">
        <v>0</v>
      </c>
      <c r="I467" t="n">
        <v>0</v>
      </c>
      <c r="J467" t="n">
        <v>0</v>
      </c>
      <c r="K467" t="n">
        <v>0</v>
      </c>
      <c r="L467" t="n">
        <v>0</v>
      </c>
      <c r="M467" t="n">
        <v>0</v>
      </c>
      <c r="N467" t="n">
        <v>0</v>
      </c>
      <c r="O467" t="n">
        <v>0</v>
      </c>
      <c r="P467" t="n">
        <v>0</v>
      </c>
      <c r="Q467" t="n">
        <v>0</v>
      </c>
      <c r="R467" s="2" t="inlineStr"/>
    </row>
    <row r="468" ht="15" customHeight="1">
      <c r="A468" t="inlineStr">
        <is>
          <t>A 57940-2022</t>
        </is>
      </c>
      <c r="B468" s="1" t="n">
        <v>44900</v>
      </c>
      <c r="C468" s="1" t="n">
        <v>46086</v>
      </c>
      <c r="D468" t="inlineStr">
        <is>
          <t>UPPSALA LÄN</t>
        </is>
      </c>
      <c r="E468" t="inlineStr">
        <is>
          <t>ENKÖPING</t>
        </is>
      </c>
      <c r="G468" t="n">
        <v>1.9</v>
      </c>
      <c r="H468" t="n">
        <v>0</v>
      </c>
      <c r="I468" t="n">
        <v>0</v>
      </c>
      <c r="J468" t="n">
        <v>0</v>
      </c>
      <c r="K468" t="n">
        <v>0</v>
      </c>
      <c r="L468" t="n">
        <v>0</v>
      </c>
      <c r="M468" t="n">
        <v>0</v>
      </c>
      <c r="N468" t="n">
        <v>0</v>
      </c>
      <c r="O468" t="n">
        <v>0</v>
      </c>
      <c r="P468" t="n">
        <v>0</v>
      </c>
      <c r="Q468" t="n">
        <v>0</v>
      </c>
      <c r="R468" s="2" t="inlineStr"/>
    </row>
    <row r="469" ht="15" customHeight="1">
      <c r="A469" t="inlineStr">
        <is>
          <t>A 63310-2021</t>
        </is>
      </c>
      <c r="B469" s="1" t="n">
        <v>44508</v>
      </c>
      <c r="C469" s="1" t="n">
        <v>46086</v>
      </c>
      <c r="D469" t="inlineStr">
        <is>
          <t>UPPSALA LÄN</t>
        </is>
      </c>
      <c r="E469" t="inlineStr">
        <is>
          <t>ENKÖPING</t>
        </is>
      </c>
      <c r="G469" t="n">
        <v>3.5</v>
      </c>
      <c r="H469" t="n">
        <v>0</v>
      </c>
      <c r="I469" t="n">
        <v>0</v>
      </c>
      <c r="J469" t="n">
        <v>0</v>
      </c>
      <c r="K469" t="n">
        <v>0</v>
      </c>
      <c r="L469" t="n">
        <v>0</v>
      </c>
      <c r="M469" t="n">
        <v>0</v>
      </c>
      <c r="N469" t="n">
        <v>0</v>
      </c>
      <c r="O469" t="n">
        <v>0</v>
      </c>
      <c r="P469" t="n">
        <v>0</v>
      </c>
      <c r="Q469" t="n">
        <v>0</v>
      </c>
      <c r="R469" s="2" t="inlineStr"/>
    </row>
    <row r="470" ht="15" customHeight="1">
      <c r="A470" t="inlineStr">
        <is>
          <t>A 20440-2025</t>
        </is>
      </c>
      <c r="B470" s="1" t="n">
        <v>45775</v>
      </c>
      <c r="C470" s="1" t="n">
        <v>46086</v>
      </c>
      <c r="D470" t="inlineStr">
        <is>
          <t>UPPSALA LÄN</t>
        </is>
      </c>
      <c r="E470" t="inlineStr">
        <is>
          <t>ENKÖPING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19488-2022</t>
        </is>
      </c>
      <c r="B471" s="1" t="n">
        <v>44693</v>
      </c>
      <c r="C471" s="1" t="n">
        <v>46086</v>
      </c>
      <c r="D471" t="inlineStr">
        <is>
          <t>UPPSALA LÄN</t>
        </is>
      </c>
      <c r="E471" t="inlineStr">
        <is>
          <t>ENKÖPING</t>
        </is>
      </c>
      <c r="G471" t="n">
        <v>7.8</v>
      </c>
      <c r="H471" t="n">
        <v>0</v>
      </c>
      <c r="I471" t="n">
        <v>0</v>
      </c>
      <c r="J471" t="n">
        <v>0</v>
      </c>
      <c r="K471" t="n">
        <v>0</v>
      </c>
      <c r="L471" t="n">
        <v>0</v>
      </c>
      <c r="M471" t="n">
        <v>0</v>
      </c>
      <c r="N471" t="n">
        <v>0</v>
      </c>
      <c r="O471" t="n">
        <v>0</v>
      </c>
      <c r="P471" t="n">
        <v>0</v>
      </c>
      <c r="Q471" t="n">
        <v>0</v>
      </c>
      <c r="R471" s="2" t="inlineStr"/>
    </row>
    <row r="472" ht="15" customHeight="1">
      <c r="A472" t="inlineStr">
        <is>
          <t>A 5188-2022</t>
        </is>
      </c>
      <c r="B472" s="1" t="n">
        <v>44594.4471412037</v>
      </c>
      <c r="C472" s="1" t="n">
        <v>46086</v>
      </c>
      <c r="D472" t="inlineStr">
        <is>
          <t>UPPSALA LÄN</t>
        </is>
      </c>
      <c r="E472" t="inlineStr">
        <is>
          <t>ENKÖPING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31622-2022</t>
        </is>
      </c>
      <c r="B473" s="1" t="n">
        <v>44775</v>
      </c>
      <c r="C473" s="1" t="n">
        <v>46086</v>
      </c>
      <c r="D473" t="inlineStr">
        <is>
          <t>UPPSALA LÄN</t>
        </is>
      </c>
      <c r="E473" t="inlineStr">
        <is>
          <t>ENKÖPING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12102-2024</t>
        </is>
      </c>
      <c r="B474" s="1" t="n">
        <v>45377</v>
      </c>
      <c r="C474" s="1" t="n">
        <v>46086</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59602-2024</t>
        </is>
      </c>
      <c r="B475" s="1" t="n">
        <v>45638</v>
      </c>
      <c r="C475" s="1" t="n">
        <v>46086</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44131-2023</t>
        </is>
      </c>
      <c r="B476" s="1" t="n">
        <v>45188</v>
      </c>
      <c r="C476" s="1" t="n">
        <v>46086</v>
      </c>
      <c r="D476" t="inlineStr">
        <is>
          <t>UPPSALA LÄN</t>
        </is>
      </c>
      <c r="E476" t="inlineStr">
        <is>
          <t>ENKÖPING</t>
        </is>
      </c>
      <c r="G476" t="n">
        <v>0.3</v>
      </c>
      <c r="H476" t="n">
        <v>0</v>
      </c>
      <c r="I476" t="n">
        <v>0</v>
      </c>
      <c r="J476" t="n">
        <v>0</v>
      </c>
      <c r="K476" t="n">
        <v>0</v>
      </c>
      <c r="L476" t="n">
        <v>0</v>
      </c>
      <c r="M476" t="n">
        <v>0</v>
      </c>
      <c r="N476" t="n">
        <v>0</v>
      </c>
      <c r="O476" t="n">
        <v>0</v>
      </c>
      <c r="P476" t="n">
        <v>0</v>
      </c>
      <c r="Q476" t="n">
        <v>0</v>
      </c>
      <c r="R476" s="2" t="inlineStr"/>
    </row>
    <row r="477" ht="15" customHeight="1">
      <c r="A477" t="inlineStr">
        <is>
          <t>A 60533-2021</t>
        </is>
      </c>
      <c r="B477" s="1" t="n">
        <v>44496</v>
      </c>
      <c r="C477" s="1" t="n">
        <v>46086</v>
      </c>
      <c r="D477" t="inlineStr">
        <is>
          <t>UPPSALA LÄN</t>
        </is>
      </c>
      <c r="E477" t="inlineStr">
        <is>
          <t>ENKÖPING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35052-2024</t>
        </is>
      </c>
      <c r="B478" s="1" t="n">
        <v>45527.6516087963</v>
      </c>
      <c r="C478" s="1" t="n">
        <v>46086</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51008-2024</t>
        </is>
      </c>
      <c r="B479" s="1" t="n">
        <v>45603.39041666667</v>
      </c>
      <c r="C479" s="1" t="n">
        <v>46086</v>
      </c>
      <c r="D479" t="inlineStr">
        <is>
          <t>UPPSALA LÄN</t>
        </is>
      </c>
      <c r="E479" t="inlineStr">
        <is>
          <t>ENKÖPING</t>
        </is>
      </c>
      <c r="G479" t="n">
        <v>2.4</v>
      </c>
      <c r="H479" t="n">
        <v>0</v>
      </c>
      <c r="I479" t="n">
        <v>0</v>
      </c>
      <c r="J479" t="n">
        <v>0</v>
      </c>
      <c r="K479" t="n">
        <v>0</v>
      </c>
      <c r="L479" t="n">
        <v>0</v>
      </c>
      <c r="M479" t="n">
        <v>0</v>
      </c>
      <c r="N479" t="n">
        <v>0</v>
      </c>
      <c r="O479" t="n">
        <v>0</v>
      </c>
      <c r="P479" t="n">
        <v>0</v>
      </c>
      <c r="Q479" t="n">
        <v>0</v>
      </c>
      <c r="R479" s="2" t="inlineStr"/>
    </row>
    <row r="480" ht="15" customHeight="1">
      <c r="A480" t="inlineStr">
        <is>
          <t>A 22156-2025</t>
        </is>
      </c>
      <c r="B480" s="1" t="n">
        <v>45785.57512731481</v>
      </c>
      <c r="C480" s="1" t="n">
        <v>46086</v>
      </c>
      <c r="D480" t="inlineStr">
        <is>
          <t>UPPSALA LÄN</t>
        </is>
      </c>
      <c r="E480" t="inlineStr">
        <is>
          <t>ENKÖPING</t>
        </is>
      </c>
      <c r="G480" t="n">
        <v>0.9</v>
      </c>
      <c r="H480" t="n">
        <v>0</v>
      </c>
      <c r="I480" t="n">
        <v>0</v>
      </c>
      <c r="J480" t="n">
        <v>0</v>
      </c>
      <c r="K480" t="n">
        <v>0</v>
      </c>
      <c r="L480" t="n">
        <v>0</v>
      </c>
      <c r="M480" t="n">
        <v>0</v>
      </c>
      <c r="N480" t="n">
        <v>0</v>
      </c>
      <c r="O480" t="n">
        <v>0</v>
      </c>
      <c r="P480" t="n">
        <v>0</v>
      </c>
      <c r="Q480" t="n">
        <v>0</v>
      </c>
      <c r="R480" s="2" t="inlineStr"/>
    </row>
    <row r="481" ht="15" customHeight="1">
      <c r="A481" t="inlineStr">
        <is>
          <t>A 22150-2025</t>
        </is>
      </c>
      <c r="B481" s="1" t="n">
        <v>45785.56398148148</v>
      </c>
      <c r="C481" s="1" t="n">
        <v>46086</v>
      </c>
      <c r="D481" t="inlineStr">
        <is>
          <t>UPPSALA LÄN</t>
        </is>
      </c>
      <c r="E481" t="inlineStr">
        <is>
          <t>ENKÖPING</t>
        </is>
      </c>
      <c r="G481" t="n">
        <v>1.3</v>
      </c>
      <c r="H481" t="n">
        <v>0</v>
      </c>
      <c r="I481" t="n">
        <v>0</v>
      </c>
      <c r="J481" t="n">
        <v>0</v>
      </c>
      <c r="K481" t="n">
        <v>0</v>
      </c>
      <c r="L481" t="n">
        <v>0</v>
      </c>
      <c r="M481" t="n">
        <v>0</v>
      </c>
      <c r="N481" t="n">
        <v>0</v>
      </c>
      <c r="O481" t="n">
        <v>0</v>
      </c>
      <c r="P481" t="n">
        <v>0</v>
      </c>
      <c r="Q481" t="n">
        <v>0</v>
      </c>
      <c r="R481" s="2" t="inlineStr"/>
    </row>
    <row r="482" ht="15" customHeight="1">
      <c r="A482" t="inlineStr">
        <is>
          <t>A 30087-2024</t>
        </is>
      </c>
      <c r="B482" s="1" t="n">
        <v>45489.39447916667</v>
      </c>
      <c r="C482" s="1" t="n">
        <v>46086</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54776-2024</t>
        </is>
      </c>
      <c r="B483" s="1" t="n">
        <v>45618</v>
      </c>
      <c r="C483" s="1" t="n">
        <v>46086</v>
      </c>
      <c r="D483" t="inlineStr">
        <is>
          <t>UPPSALA LÄN</t>
        </is>
      </c>
      <c r="E483" t="inlineStr">
        <is>
          <t>ENKÖPING</t>
        </is>
      </c>
      <c r="G483" t="n">
        <v>1.8</v>
      </c>
      <c r="H483" t="n">
        <v>0</v>
      </c>
      <c r="I483" t="n">
        <v>0</v>
      </c>
      <c r="J483" t="n">
        <v>0</v>
      </c>
      <c r="K483" t="n">
        <v>0</v>
      </c>
      <c r="L483" t="n">
        <v>0</v>
      </c>
      <c r="M483" t="n">
        <v>0</v>
      </c>
      <c r="N483" t="n">
        <v>0</v>
      </c>
      <c r="O483" t="n">
        <v>0</v>
      </c>
      <c r="P483" t="n">
        <v>0</v>
      </c>
      <c r="Q483" t="n">
        <v>0</v>
      </c>
      <c r="R483" s="2" t="inlineStr"/>
    </row>
    <row r="484" ht="15" customHeight="1">
      <c r="A484" t="inlineStr">
        <is>
          <t>A 22729-2025</t>
        </is>
      </c>
      <c r="B484" s="1" t="n">
        <v>45789.57790509259</v>
      </c>
      <c r="C484" s="1" t="n">
        <v>46086</v>
      </c>
      <c r="D484" t="inlineStr">
        <is>
          <t>UPPSALA LÄN</t>
        </is>
      </c>
      <c r="E484" t="inlineStr">
        <is>
          <t>ENKÖPING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14518-2025</t>
        </is>
      </c>
      <c r="B485" s="1" t="n">
        <v>45741</v>
      </c>
      <c r="C485" s="1" t="n">
        <v>46086</v>
      </c>
      <c r="D485" t="inlineStr">
        <is>
          <t>UPPSALA LÄN</t>
        </is>
      </c>
      <c r="E485" t="inlineStr">
        <is>
          <t>ENKÖPING</t>
        </is>
      </c>
      <c r="G485" t="n">
        <v>2</v>
      </c>
      <c r="H485" t="n">
        <v>0</v>
      </c>
      <c r="I485" t="n">
        <v>0</v>
      </c>
      <c r="J485" t="n">
        <v>0</v>
      </c>
      <c r="K485" t="n">
        <v>0</v>
      </c>
      <c r="L485" t="n">
        <v>0</v>
      </c>
      <c r="M485" t="n">
        <v>0</v>
      </c>
      <c r="N485" t="n">
        <v>0</v>
      </c>
      <c r="O485" t="n">
        <v>0</v>
      </c>
      <c r="P485" t="n">
        <v>0</v>
      </c>
      <c r="Q485" t="n">
        <v>0</v>
      </c>
      <c r="R485" s="2" t="inlineStr"/>
    </row>
    <row r="486" ht="15" customHeight="1">
      <c r="A486" t="inlineStr">
        <is>
          <t>A 22677-2025</t>
        </is>
      </c>
      <c r="B486" s="1" t="n">
        <v>45789.49515046296</v>
      </c>
      <c r="C486" s="1" t="n">
        <v>46086</v>
      </c>
      <c r="D486" t="inlineStr">
        <is>
          <t>UPPSALA LÄN</t>
        </is>
      </c>
      <c r="E486" t="inlineStr">
        <is>
          <t>ENKÖPING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22679-2025</t>
        </is>
      </c>
      <c r="B487" s="1" t="n">
        <v>45789.49747685185</v>
      </c>
      <c r="C487" s="1" t="n">
        <v>46086</v>
      </c>
      <c r="D487" t="inlineStr">
        <is>
          <t>UPPSALA LÄN</t>
        </is>
      </c>
      <c r="E487" t="inlineStr">
        <is>
          <t>ENKÖPING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22770-2025</t>
        </is>
      </c>
      <c r="B488" s="1" t="n">
        <v>45789.63454861111</v>
      </c>
      <c r="C488" s="1" t="n">
        <v>46086</v>
      </c>
      <c r="D488" t="inlineStr">
        <is>
          <t>UPPSALA LÄN</t>
        </is>
      </c>
      <c r="E488" t="inlineStr">
        <is>
          <t>ENKÖPING</t>
        </is>
      </c>
      <c r="G488" t="n">
        <v>4.5</v>
      </c>
      <c r="H488" t="n">
        <v>0</v>
      </c>
      <c r="I488" t="n">
        <v>0</v>
      </c>
      <c r="J488" t="n">
        <v>0</v>
      </c>
      <c r="K488" t="n">
        <v>0</v>
      </c>
      <c r="L488" t="n">
        <v>0</v>
      </c>
      <c r="M488" t="n">
        <v>0</v>
      </c>
      <c r="N488" t="n">
        <v>0</v>
      </c>
      <c r="O488" t="n">
        <v>0</v>
      </c>
      <c r="P488" t="n">
        <v>0</v>
      </c>
      <c r="Q488" t="n">
        <v>0</v>
      </c>
      <c r="R488" s="2" t="inlineStr"/>
    </row>
    <row r="489" ht="15" customHeight="1">
      <c r="A489" t="inlineStr">
        <is>
          <t>A 22800-2025</t>
        </is>
      </c>
      <c r="B489" s="1" t="n">
        <v>45789.6669212963</v>
      </c>
      <c r="C489" s="1" t="n">
        <v>46086</v>
      </c>
      <c r="D489" t="inlineStr">
        <is>
          <t>UPPSALA LÄN</t>
        </is>
      </c>
      <c r="E489" t="inlineStr">
        <is>
          <t>ENKÖPING</t>
        </is>
      </c>
      <c r="G489" t="n">
        <v>2</v>
      </c>
      <c r="H489" t="n">
        <v>0</v>
      </c>
      <c r="I489" t="n">
        <v>0</v>
      </c>
      <c r="J489" t="n">
        <v>0</v>
      </c>
      <c r="K489" t="n">
        <v>0</v>
      </c>
      <c r="L489" t="n">
        <v>0</v>
      </c>
      <c r="M489" t="n">
        <v>0</v>
      </c>
      <c r="N489" t="n">
        <v>0</v>
      </c>
      <c r="O489" t="n">
        <v>0</v>
      </c>
      <c r="P489" t="n">
        <v>0</v>
      </c>
      <c r="Q489" t="n">
        <v>0</v>
      </c>
      <c r="R489" s="2" t="inlineStr"/>
    </row>
    <row r="490" ht="15" customHeight="1">
      <c r="A490" t="inlineStr">
        <is>
          <t>A 6981-2025</t>
        </is>
      </c>
      <c r="B490" s="1" t="n">
        <v>45701</v>
      </c>
      <c r="C490" s="1" t="n">
        <v>46086</v>
      </c>
      <c r="D490" t="inlineStr">
        <is>
          <t>UPPSALA LÄN</t>
        </is>
      </c>
      <c r="E490" t="inlineStr">
        <is>
          <t>ENKÖPING</t>
        </is>
      </c>
      <c r="G490" t="n">
        <v>0.9</v>
      </c>
      <c r="H490" t="n">
        <v>0</v>
      </c>
      <c r="I490" t="n">
        <v>0</v>
      </c>
      <c r="J490" t="n">
        <v>0</v>
      </c>
      <c r="K490" t="n">
        <v>0</v>
      </c>
      <c r="L490" t="n">
        <v>0</v>
      </c>
      <c r="M490" t="n">
        <v>0</v>
      </c>
      <c r="N490" t="n">
        <v>0</v>
      </c>
      <c r="O490" t="n">
        <v>0</v>
      </c>
      <c r="P490" t="n">
        <v>0</v>
      </c>
      <c r="Q490" t="n">
        <v>0</v>
      </c>
      <c r="R490" s="2" t="inlineStr"/>
    </row>
    <row r="491" ht="15" customHeight="1">
      <c r="A491" t="inlineStr">
        <is>
          <t>A 22786-2025</t>
        </is>
      </c>
      <c r="B491" s="1" t="n">
        <v>45789.64643518518</v>
      </c>
      <c r="C491" s="1" t="n">
        <v>46086</v>
      </c>
      <c r="D491" t="inlineStr">
        <is>
          <t>UPPSALA LÄN</t>
        </is>
      </c>
      <c r="E491" t="inlineStr">
        <is>
          <t>ENKÖPING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68123-2021</t>
        </is>
      </c>
      <c r="B492" s="1" t="n">
        <v>44526.39126157408</v>
      </c>
      <c r="C492" s="1" t="n">
        <v>46086</v>
      </c>
      <c r="D492" t="inlineStr">
        <is>
          <t>UPPSALA LÄN</t>
        </is>
      </c>
      <c r="E492" t="inlineStr">
        <is>
          <t>ENKÖPING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22680-2025</t>
        </is>
      </c>
      <c r="B493" s="1" t="n">
        <v>45789.5005787037</v>
      </c>
      <c r="C493" s="1" t="n">
        <v>46086</v>
      </c>
      <c r="D493" t="inlineStr">
        <is>
          <t>UPPSALA LÄN</t>
        </is>
      </c>
      <c r="E493" t="inlineStr">
        <is>
          <t>ENKÖPING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22802-2025</t>
        </is>
      </c>
      <c r="B494" s="1" t="n">
        <v>45789.6686574074</v>
      </c>
      <c r="C494" s="1" t="n">
        <v>46086</v>
      </c>
      <c r="D494" t="inlineStr">
        <is>
          <t>UPPSALA LÄN</t>
        </is>
      </c>
      <c r="E494" t="inlineStr">
        <is>
          <t>ENKÖPING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22793-2025</t>
        </is>
      </c>
      <c r="B495" s="1" t="n">
        <v>45789.65693287037</v>
      </c>
      <c r="C495" s="1" t="n">
        <v>46086</v>
      </c>
      <c r="D495" t="inlineStr">
        <is>
          <t>UPPSALA LÄN</t>
        </is>
      </c>
      <c r="E495" t="inlineStr">
        <is>
          <t>ENKÖPING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22795-2025</t>
        </is>
      </c>
      <c r="B496" s="1" t="n">
        <v>45789.65944444444</v>
      </c>
      <c r="C496" s="1" t="n">
        <v>46086</v>
      </c>
      <c r="D496" t="inlineStr">
        <is>
          <t>UPPSALA LÄN</t>
        </is>
      </c>
      <c r="E496" t="inlineStr">
        <is>
          <t>ENKÖPING</t>
        </is>
      </c>
      <c r="G496" t="n">
        <v>10.4</v>
      </c>
      <c r="H496" t="n">
        <v>0</v>
      </c>
      <c r="I496" t="n">
        <v>0</v>
      </c>
      <c r="J496" t="n">
        <v>0</v>
      </c>
      <c r="K496" t="n">
        <v>0</v>
      </c>
      <c r="L496" t="n">
        <v>0</v>
      </c>
      <c r="M496" t="n">
        <v>0</v>
      </c>
      <c r="N496" t="n">
        <v>0</v>
      </c>
      <c r="O496" t="n">
        <v>0</v>
      </c>
      <c r="P496" t="n">
        <v>0</v>
      </c>
      <c r="Q496" t="n">
        <v>0</v>
      </c>
      <c r="R496" s="2" t="inlineStr"/>
    </row>
    <row r="497" ht="15" customHeight="1">
      <c r="A497" t="inlineStr">
        <is>
          <t>A 22725-2025</t>
        </is>
      </c>
      <c r="B497" s="1" t="n">
        <v>45789.57371527778</v>
      </c>
      <c r="C497" s="1" t="n">
        <v>46086</v>
      </c>
      <c r="D497" t="inlineStr">
        <is>
          <t>UPPSALA LÄN</t>
        </is>
      </c>
      <c r="E497" t="inlineStr">
        <is>
          <t>ENKÖPING</t>
        </is>
      </c>
      <c r="G497" t="n">
        <v>4.8</v>
      </c>
      <c r="H497" t="n">
        <v>0</v>
      </c>
      <c r="I497" t="n">
        <v>0</v>
      </c>
      <c r="J497" t="n">
        <v>0</v>
      </c>
      <c r="K497" t="n">
        <v>0</v>
      </c>
      <c r="L497" t="n">
        <v>0</v>
      </c>
      <c r="M497" t="n">
        <v>0</v>
      </c>
      <c r="N497" t="n">
        <v>0</v>
      </c>
      <c r="O497" t="n">
        <v>0</v>
      </c>
      <c r="P497" t="n">
        <v>0</v>
      </c>
      <c r="Q497" t="n">
        <v>0</v>
      </c>
      <c r="R497" s="2" t="inlineStr"/>
    </row>
    <row r="498" ht="15" customHeight="1">
      <c r="A498" t="inlineStr">
        <is>
          <t>A 22981-2025</t>
        </is>
      </c>
      <c r="B498" s="1" t="n">
        <v>45790.56964120371</v>
      </c>
      <c r="C498" s="1" t="n">
        <v>46086</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45956-2024</t>
        </is>
      </c>
      <c r="B499" s="1" t="n">
        <v>45580</v>
      </c>
      <c r="C499" s="1" t="n">
        <v>46086</v>
      </c>
      <c r="D499" t="inlineStr">
        <is>
          <t>UPPSALA LÄN</t>
        </is>
      </c>
      <c r="E499" t="inlineStr">
        <is>
          <t>ENKÖPING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10831-2024</t>
        </is>
      </c>
      <c r="B500" s="1" t="n">
        <v>45369</v>
      </c>
      <c r="C500" s="1" t="n">
        <v>46086</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8020-2022</t>
        </is>
      </c>
      <c r="B501" s="1" t="n">
        <v>44609</v>
      </c>
      <c r="C501" s="1" t="n">
        <v>46086</v>
      </c>
      <c r="D501" t="inlineStr">
        <is>
          <t>UPPSALA LÄN</t>
        </is>
      </c>
      <c r="E501" t="inlineStr">
        <is>
          <t>ENKÖPING</t>
        </is>
      </c>
      <c r="G501" t="n">
        <v>6</v>
      </c>
      <c r="H501" t="n">
        <v>0</v>
      </c>
      <c r="I501" t="n">
        <v>0</v>
      </c>
      <c r="J501" t="n">
        <v>0</v>
      </c>
      <c r="K501" t="n">
        <v>0</v>
      </c>
      <c r="L501" t="n">
        <v>0</v>
      </c>
      <c r="M501" t="n">
        <v>0</v>
      </c>
      <c r="N501" t="n">
        <v>0</v>
      </c>
      <c r="O501" t="n">
        <v>0</v>
      </c>
      <c r="P501" t="n">
        <v>0</v>
      </c>
      <c r="Q501" t="n">
        <v>0</v>
      </c>
      <c r="R501" s="2" t="inlineStr"/>
    </row>
    <row r="502" ht="15" customHeight="1">
      <c r="A502" t="inlineStr">
        <is>
          <t>A 74090-2021</t>
        </is>
      </c>
      <c r="B502" s="1" t="n">
        <v>44557</v>
      </c>
      <c r="C502" s="1" t="n">
        <v>46086</v>
      </c>
      <c r="D502" t="inlineStr">
        <is>
          <t>UPPSALA LÄN</t>
        </is>
      </c>
      <c r="E502" t="inlineStr">
        <is>
          <t>ENKÖPING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34805-2024</t>
        </is>
      </c>
      <c r="B503" s="1" t="n">
        <v>45526</v>
      </c>
      <c r="C503" s="1" t="n">
        <v>46086</v>
      </c>
      <c r="D503" t="inlineStr">
        <is>
          <t>UPPSALA LÄN</t>
        </is>
      </c>
      <c r="E503" t="inlineStr">
        <is>
          <t>ENKÖPING</t>
        </is>
      </c>
      <c r="G503" t="n">
        <v>3.6</v>
      </c>
      <c r="H503" t="n">
        <v>0</v>
      </c>
      <c r="I503" t="n">
        <v>0</v>
      </c>
      <c r="J503" t="n">
        <v>0</v>
      </c>
      <c r="K503" t="n">
        <v>0</v>
      </c>
      <c r="L503" t="n">
        <v>0</v>
      </c>
      <c r="M503" t="n">
        <v>0</v>
      </c>
      <c r="N503" t="n">
        <v>0</v>
      </c>
      <c r="O503" t="n">
        <v>0</v>
      </c>
      <c r="P503" t="n">
        <v>0</v>
      </c>
      <c r="Q503" t="n">
        <v>0</v>
      </c>
      <c r="R503" s="2" t="inlineStr"/>
    </row>
    <row r="504" ht="15" customHeight="1">
      <c r="A504" t="inlineStr">
        <is>
          <t>A 17729-2023</t>
        </is>
      </c>
      <c r="B504" s="1" t="n">
        <v>45037</v>
      </c>
      <c r="C504" s="1" t="n">
        <v>46086</v>
      </c>
      <c r="D504" t="inlineStr">
        <is>
          <t>UPPSALA LÄN</t>
        </is>
      </c>
      <c r="E504" t="inlineStr">
        <is>
          <t>ENKÖPING</t>
        </is>
      </c>
      <c r="G504" t="n">
        <v>10.2</v>
      </c>
      <c r="H504" t="n">
        <v>0</v>
      </c>
      <c r="I504" t="n">
        <v>0</v>
      </c>
      <c r="J504" t="n">
        <v>0</v>
      </c>
      <c r="K504" t="n">
        <v>0</v>
      </c>
      <c r="L504" t="n">
        <v>0</v>
      </c>
      <c r="M504" t="n">
        <v>0</v>
      </c>
      <c r="N504" t="n">
        <v>0</v>
      </c>
      <c r="O504" t="n">
        <v>0</v>
      </c>
      <c r="P504" t="n">
        <v>0</v>
      </c>
      <c r="Q504" t="n">
        <v>0</v>
      </c>
      <c r="R504" s="2" t="inlineStr"/>
    </row>
    <row r="505" ht="15" customHeight="1">
      <c r="A505" t="inlineStr">
        <is>
          <t>A 5712-2025</t>
        </is>
      </c>
      <c r="B505" s="1" t="n">
        <v>45694</v>
      </c>
      <c r="C505" s="1" t="n">
        <v>46086</v>
      </c>
      <c r="D505" t="inlineStr">
        <is>
          <t>UPPSALA LÄN</t>
        </is>
      </c>
      <c r="E505" t="inlineStr">
        <is>
          <t>ENKÖPING</t>
        </is>
      </c>
      <c r="G505" t="n">
        <v>5.1</v>
      </c>
      <c r="H505" t="n">
        <v>0</v>
      </c>
      <c r="I505" t="n">
        <v>0</v>
      </c>
      <c r="J505" t="n">
        <v>0</v>
      </c>
      <c r="K505" t="n">
        <v>0</v>
      </c>
      <c r="L505" t="n">
        <v>0</v>
      </c>
      <c r="M505" t="n">
        <v>0</v>
      </c>
      <c r="N505" t="n">
        <v>0</v>
      </c>
      <c r="O505" t="n">
        <v>0</v>
      </c>
      <c r="P505" t="n">
        <v>0</v>
      </c>
      <c r="Q505" t="n">
        <v>0</v>
      </c>
      <c r="R505" s="2" t="inlineStr"/>
    </row>
    <row r="506" ht="15" customHeight="1">
      <c r="A506" t="inlineStr">
        <is>
          <t>A 5749-2025</t>
        </is>
      </c>
      <c r="B506" s="1" t="n">
        <v>45694</v>
      </c>
      <c r="C506" s="1" t="n">
        <v>46086</v>
      </c>
      <c r="D506" t="inlineStr">
        <is>
          <t>UPPSALA LÄN</t>
        </is>
      </c>
      <c r="E506" t="inlineStr">
        <is>
          <t>ENKÖPING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314-2025</t>
        </is>
      </c>
      <c r="B507" s="1" t="n">
        <v>45656</v>
      </c>
      <c r="C507" s="1" t="n">
        <v>46086</v>
      </c>
      <c r="D507" t="inlineStr">
        <is>
          <t>UPPSALA LÄN</t>
        </is>
      </c>
      <c r="E507" t="inlineStr">
        <is>
          <t>ENKÖPING</t>
        </is>
      </c>
      <c r="G507" t="n">
        <v>9</v>
      </c>
      <c r="H507" t="n">
        <v>0</v>
      </c>
      <c r="I507" t="n">
        <v>0</v>
      </c>
      <c r="J507" t="n">
        <v>0</v>
      </c>
      <c r="K507" t="n">
        <v>0</v>
      </c>
      <c r="L507" t="n">
        <v>0</v>
      </c>
      <c r="M507" t="n">
        <v>0</v>
      </c>
      <c r="N507" t="n">
        <v>0</v>
      </c>
      <c r="O507" t="n">
        <v>0</v>
      </c>
      <c r="P507" t="n">
        <v>0</v>
      </c>
      <c r="Q507" t="n">
        <v>0</v>
      </c>
      <c r="R507" s="2" t="inlineStr"/>
    </row>
    <row r="508" ht="15" customHeight="1">
      <c r="A508" t="inlineStr">
        <is>
          <t>A 11627-2025</t>
        </is>
      </c>
      <c r="B508" s="1" t="n">
        <v>45727</v>
      </c>
      <c r="C508" s="1" t="n">
        <v>46086</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24411-2024</t>
        </is>
      </c>
      <c r="B509" s="1" t="n">
        <v>45457</v>
      </c>
      <c r="C509" s="1" t="n">
        <v>46086</v>
      </c>
      <c r="D509" t="inlineStr">
        <is>
          <t>UPPSALA LÄN</t>
        </is>
      </c>
      <c r="E509" t="inlineStr">
        <is>
          <t>ENKÖPING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58092-2024</t>
        </is>
      </c>
      <c r="B510" s="1" t="n">
        <v>45632</v>
      </c>
      <c r="C510" s="1" t="n">
        <v>46086</v>
      </c>
      <c r="D510" t="inlineStr">
        <is>
          <t>UPPSALA LÄN</t>
        </is>
      </c>
      <c r="E510" t="inlineStr">
        <is>
          <t>ENKÖPING</t>
        </is>
      </c>
      <c r="G510" t="n">
        <v>4.8</v>
      </c>
      <c r="H510" t="n">
        <v>0</v>
      </c>
      <c r="I510" t="n">
        <v>0</v>
      </c>
      <c r="J510" t="n">
        <v>0</v>
      </c>
      <c r="K510" t="n">
        <v>0</v>
      </c>
      <c r="L510" t="n">
        <v>0</v>
      </c>
      <c r="M510" t="n">
        <v>0</v>
      </c>
      <c r="N510" t="n">
        <v>0</v>
      </c>
      <c r="O510" t="n">
        <v>0</v>
      </c>
      <c r="P510" t="n">
        <v>0</v>
      </c>
      <c r="Q510" t="n">
        <v>0</v>
      </c>
      <c r="R510" s="2" t="inlineStr"/>
    </row>
    <row r="511" ht="15" customHeight="1">
      <c r="A511" t="inlineStr">
        <is>
          <t>A 26024-2025</t>
        </is>
      </c>
      <c r="B511" s="1" t="n">
        <v>45804.6831712963</v>
      </c>
      <c r="C511" s="1" t="n">
        <v>46086</v>
      </c>
      <c r="D511" t="inlineStr">
        <is>
          <t>UPPSALA LÄN</t>
        </is>
      </c>
      <c r="E511" t="inlineStr">
        <is>
          <t>ENKÖPING</t>
        </is>
      </c>
      <c r="G511" t="n">
        <v>0.8</v>
      </c>
      <c r="H511" t="n">
        <v>0</v>
      </c>
      <c r="I511" t="n">
        <v>0</v>
      </c>
      <c r="J511" t="n">
        <v>0</v>
      </c>
      <c r="K511" t="n">
        <v>0</v>
      </c>
      <c r="L511" t="n">
        <v>0</v>
      </c>
      <c r="M511" t="n">
        <v>0</v>
      </c>
      <c r="N511" t="n">
        <v>0</v>
      </c>
      <c r="O511" t="n">
        <v>0</v>
      </c>
      <c r="P511" t="n">
        <v>0</v>
      </c>
      <c r="Q511" t="n">
        <v>0</v>
      </c>
      <c r="R511" s="2" t="inlineStr"/>
    </row>
    <row r="512" ht="15" customHeight="1">
      <c r="A512" t="inlineStr">
        <is>
          <t>A 26042-2025</t>
        </is>
      </c>
      <c r="B512" s="1" t="n">
        <v>45804.70018518518</v>
      </c>
      <c r="C512" s="1" t="n">
        <v>46086</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26005-2025</t>
        </is>
      </c>
      <c r="B513" s="1" t="n">
        <v>45804.67055555555</v>
      </c>
      <c r="C513" s="1" t="n">
        <v>46086</v>
      </c>
      <c r="D513" t="inlineStr">
        <is>
          <t>UPPSALA LÄN</t>
        </is>
      </c>
      <c r="E513" t="inlineStr">
        <is>
          <t>ENKÖPING</t>
        </is>
      </c>
      <c r="G513" t="n">
        <v>0.3</v>
      </c>
      <c r="H513" t="n">
        <v>0</v>
      </c>
      <c r="I513" t="n">
        <v>0</v>
      </c>
      <c r="J513" t="n">
        <v>0</v>
      </c>
      <c r="K513" t="n">
        <v>0</v>
      </c>
      <c r="L513" t="n">
        <v>0</v>
      </c>
      <c r="M513" t="n">
        <v>0</v>
      </c>
      <c r="N513" t="n">
        <v>0</v>
      </c>
      <c r="O513" t="n">
        <v>0</v>
      </c>
      <c r="P513" t="n">
        <v>0</v>
      </c>
      <c r="Q513" t="n">
        <v>0</v>
      </c>
      <c r="R513" s="2" t="inlineStr"/>
    </row>
    <row r="514" ht="15" customHeight="1">
      <c r="A514" t="inlineStr">
        <is>
          <t>A 26026-2025</t>
        </is>
      </c>
      <c r="B514" s="1" t="n">
        <v>45804.68510416667</v>
      </c>
      <c r="C514" s="1" t="n">
        <v>46086</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26030-2025</t>
        </is>
      </c>
      <c r="B515" s="1" t="n">
        <v>45804.68815972222</v>
      </c>
      <c r="C515" s="1" t="n">
        <v>46086</v>
      </c>
      <c r="D515" t="inlineStr">
        <is>
          <t>UPPSALA LÄN</t>
        </is>
      </c>
      <c r="E515" t="inlineStr">
        <is>
          <t>ENKÖPING</t>
        </is>
      </c>
      <c r="G515" t="n">
        <v>0.3</v>
      </c>
      <c r="H515" t="n">
        <v>0</v>
      </c>
      <c r="I515" t="n">
        <v>0</v>
      </c>
      <c r="J515" t="n">
        <v>0</v>
      </c>
      <c r="K515" t="n">
        <v>0</v>
      </c>
      <c r="L515" t="n">
        <v>0</v>
      </c>
      <c r="M515" t="n">
        <v>0</v>
      </c>
      <c r="N515" t="n">
        <v>0</v>
      </c>
      <c r="O515" t="n">
        <v>0</v>
      </c>
      <c r="P515" t="n">
        <v>0</v>
      </c>
      <c r="Q515" t="n">
        <v>0</v>
      </c>
      <c r="R515" s="2" t="inlineStr"/>
    </row>
    <row r="516" ht="15" customHeight="1">
      <c r="A516" t="inlineStr">
        <is>
          <t>A 26022-2025</t>
        </is>
      </c>
      <c r="B516" s="1" t="n">
        <v>45804.68006944445</v>
      </c>
      <c r="C516" s="1" t="n">
        <v>46086</v>
      </c>
      <c r="D516" t="inlineStr">
        <is>
          <t>UPPSALA LÄN</t>
        </is>
      </c>
      <c r="E516" t="inlineStr">
        <is>
          <t>ENKÖPING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25988-2025</t>
        </is>
      </c>
      <c r="B517" s="1" t="n">
        <v>45804.64814814815</v>
      </c>
      <c r="C517" s="1" t="n">
        <v>46086</v>
      </c>
      <c r="D517" t="inlineStr">
        <is>
          <t>UPPSALA LÄN</t>
        </is>
      </c>
      <c r="E517" t="inlineStr">
        <is>
          <t>ENKÖPING</t>
        </is>
      </c>
      <c r="G517" t="n">
        <v>4.7</v>
      </c>
      <c r="H517" t="n">
        <v>0</v>
      </c>
      <c r="I517" t="n">
        <v>0</v>
      </c>
      <c r="J517" t="n">
        <v>0</v>
      </c>
      <c r="K517" t="n">
        <v>0</v>
      </c>
      <c r="L517" t="n">
        <v>0</v>
      </c>
      <c r="M517" t="n">
        <v>0</v>
      </c>
      <c r="N517" t="n">
        <v>0</v>
      </c>
      <c r="O517" t="n">
        <v>0</v>
      </c>
      <c r="P517" t="n">
        <v>0</v>
      </c>
      <c r="Q517" t="n">
        <v>0</v>
      </c>
      <c r="R517" s="2" t="inlineStr"/>
    </row>
    <row r="518" ht="15" customHeight="1">
      <c r="A518" t="inlineStr">
        <is>
          <t>A 26031-2025</t>
        </is>
      </c>
      <c r="B518" s="1" t="n">
        <v>45804.69050925926</v>
      </c>
      <c r="C518" s="1" t="n">
        <v>46086</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26041-2025</t>
        </is>
      </c>
      <c r="B519" s="1" t="n">
        <v>45804.69883101852</v>
      </c>
      <c r="C519" s="1" t="n">
        <v>46086</v>
      </c>
      <c r="D519" t="inlineStr">
        <is>
          <t>UPPSALA LÄN</t>
        </is>
      </c>
      <c r="E519" t="inlineStr">
        <is>
          <t>ENKÖPING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25847-2025</t>
        </is>
      </c>
      <c r="B520" s="1" t="n">
        <v>45804</v>
      </c>
      <c r="C520" s="1" t="n">
        <v>46086</v>
      </c>
      <c r="D520" t="inlineStr">
        <is>
          <t>UPPSALA LÄN</t>
        </is>
      </c>
      <c r="E520" t="inlineStr">
        <is>
          <t>ENKÖPING</t>
        </is>
      </c>
      <c r="G520" t="n">
        <v>3.6</v>
      </c>
      <c r="H520" t="n">
        <v>0</v>
      </c>
      <c r="I520" t="n">
        <v>0</v>
      </c>
      <c r="J520" t="n">
        <v>0</v>
      </c>
      <c r="K520" t="n">
        <v>0</v>
      </c>
      <c r="L520" t="n">
        <v>0</v>
      </c>
      <c r="M520" t="n">
        <v>0</v>
      </c>
      <c r="N520" t="n">
        <v>0</v>
      </c>
      <c r="O520" t="n">
        <v>0</v>
      </c>
      <c r="P520" t="n">
        <v>0</v>
      </c>
      <c r="Q520" t="n">
        <v>0</v>
      </c>
      <c r="R520" s="2" t="inlineStr"/>
    </row>
    <row r="521">
      <c r="A521" t="inlineStr">
        <is>
          <t>A 26047-2025</t>
        </is>
      </c>
      <c r="B521" s="1" t="n">
        <v>45804.70835648148</v>
      </c>
      <c r="C521" s="1" t="n">
        <v>46086</v>
      </c>
      <c r="D521" t="inlineStr">
        <is>
          <t>UPPSALA LÄN</t>
        </is>
      </c>
      <c r="E521" t="inlineStr">
        <is>
          <t>ENKÖPING</t>
        </is>
      </c>
      <c r="G521" t="n">
        <v>0.8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2026-03-05T11:18:12Z</dcterms:created>
  <dcterms:modified xmlns:dcterms="http://purl.org/dc/terms/" xmlns:xsi="http://www.w3.org/2001/XMLSchema-instance" xsi:type="dcterms:W3CDTF">2026-03-05T11:18:12Z</dcterms:modified>
</cp:coreProperties>
</file>