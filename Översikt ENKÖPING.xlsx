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45981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45981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45981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45981</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45981</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45981</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45981</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45981</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45981</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45981</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45981</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50105-2023</t>
        </is>
      </c>
      <c r="B17" s="1" t="n">
        <v>45215</v>
      </c>
      <c r="C17" s="1" t="n">
        <v>45981</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27073-2025</t>
        </is>
      </c>
      <c r="B18" s="1" t="n">
        <v>45811.64190972222</v>
      </c>
      <c r="C18" s="1" t="n">
        <v>45981</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425-2024</t>
        </is>
      </c>
      <c r="B19" s="1" t="n">
        <v>45296</v>
      </c>
      <c r="C19" s="1" t="n">
        <v>45981</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45981</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45981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45981</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28900-2024</t>
        </is>
      </c>
      <c r="B23" s="1" t="n">
        <v>45480</v>
      </c>
      <c r="C23" s="1" t="n">
        <v>45981</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17942-2024</t>
        </is>
      </c>
      <c r="B24" s="1" t="n">
        <v>45419</v>
      </c>
      <c r="C24" s="1" t="n">
        <v>45981</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46749-2024</t>
        </is>
      </c>
      <c r="B25" s="1" t="n">
        <v>45583.48347222222</v>
      </c>
      <c r="C25" s="1" t="n">
        <v>45981</v>
      </c>
      <c r="D25" t="inlineStr">
        <is>
          <t>UPPSALA LÄN</t>
        </is>
      </c>
      <c r="E25" t="inlineStr">
        <is>
          <t>ENKÖPING</t>
        </is>
      </c>
      <c r="G25" t="n">
        <v>8.5</v>
      </c>
      <c r="H25" t="n">
        <v>0</v>
      </c>
      <c r="I25" t="n">
        <v>0</v>
      </c>
      <c r="J25" t="n">
        <v>1</v>
      </c>
      <c r="K25" t="n">
        <v>0</v>
      </c>
      <c r="L25" t="n">
        <v>0</v>
      </c>
      <c r="M25" t="n">
        <v>0</v>
      </c>
      <c r="N25" t="n">
        <v>0</v>
      </c>
      <c r="O25" t="n">
        <v>1</v>
      </c>
      <c r="P25" t="n">
        <v>0</v>
      </c>
      <c r="Q25" t="n">
        <v>1</v>
      </c>
      <c r="R25" s="2" t="inlineStr">
        <is>
          <t>Leptoporus erubescens</t>
        </is>
      </c>
      <c r="S25">
        <f>HYPERLINK("https://klasma.github.io/Logging_0381/artfynd/A 46749-2024 artfynd.xlsx", "A 46749-2024")</f>
        <v/>
      </c>
      <c r="T25">
        <f>HYPERLINK("https://klasma.github.io/Logging_0381/kartor/A 46749-2024 karta.png", "A 46749-2024")</f>
        <v/>
      </c>
      <c r="V25">
        <f>HYPERLINK("https://klasma.github.io/Logging_0381/klagomål/A 46749-2024 FSC-klagomål.docx", "A 46749-2024")</f>
        <v/>
      </c>
      <c r="W25">
        <f>HYPERLINK("https://klasma.github.io/Logging_0381/klagomålsmail/A 46749-2024 FSC-klagomål mail.docx", "A 46749-2024")</f>
        <v/>
      </c>
      <c r="X25">
        <f>HYPERLINK("https://klasma.github.io/Logging_0381/tillsyn/A 46749-2024 tillsynsbegäran.docx", "A 46749-2024")</f>
        <v/>
      </c>
      <c r="Y25">
        <f>HYPERLINK("https://klasma.github.io/Logging_0381/tillsynsmail/A 46749-2024 tillsynsbegäran mail.docx", "A 46749-2024")</f>
        <v/>
      </c>
    </row>
    <row r="26" ht="15" customHeight="1">
      <c r="A26" t="inlineStr">
        <is>
          <t>A 45116-2023</t>
        </is>
      </c>
      <c r="B26" s="1" t="n">
        <v>45191</v>
      </c>
      <c r="C26" s="1" t="n">
        <v>45981</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29510-2025</t>
        </is>
      </c>
      <c r="B27" s="1" t="n">
        <v>45825</v>
      </c>
      <c r="C27" s="1" t="n">
        <v>45981</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1524-2023</t>
        </is>
      </c>
      <c r="B28" s="1" t="n">
        <v>44935</v>
      </c>
      <c r="C28" s="1" t="n">
        <v>45981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45981</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26347-2025</t>
        </is>
      </c>
      <c r="B30" s="1" t="n">
        <v>45805.7403125</v>
      </c>
      <c r="C30" s="1" t="n">
        <v>45981</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45981</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23961-2022</t>
        </is>
      </c>
      <c r="B32" s="1" t="n">
        <v>44722</v>
      </c>
      <c r="C32" s="1" t="n">
        <v>45981</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45981</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45981</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45981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45981</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45981</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45981</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45981</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45981</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45981</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45981</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45981</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45981</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45981</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45981</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45981</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45981</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45981</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45981</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45981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45981</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45981</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45981</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45981</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45981</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45981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45981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45981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45981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45981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45981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45981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45981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45981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45981</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45981</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45981</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45981</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45981</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45981</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45981</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45981</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45981</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45981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45981</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45981</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45981</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45981</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45981</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45981</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45981</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45981</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45981</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45981</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45981</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45981</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45981</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45981</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45981</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45981</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45981</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45981</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45981</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29983-2021</t>
        </is>
      </c>
      <c r="B95" s="1" t="n">
        <v>44363</v>
      </c>
      <c r="C95" s="1" t="n">
        <v>45981</v>
      </c>
      <c r="D95" t="inlineStr">
        <is>
          <t>UPPSALA LÄN</t>
        </is>
      </c>
      <c r="E95" t="inlineStr">
        <is>
          <t>ENKÖPING</t>
        </is>
      </c>
      <c r="F95" t="inlineStr">
        <is>
          <t>Kommuner</t>
        </is>
      </c>
      <c r="G95" t="n">
        <v>3.1</v>
      </c>
      <c r="H95" t="n">
        <v>0</v>
      </c>
      <c r="I95" t="n">
        <v>0</v>
      </c>
      <c r="J95" t="n">
        <v>0</v>
      </c>
      <c r="K95" t="n">
        <v>0</v>
      </c>
      <c r="L95" t="n">
        <v>0</v>
      </c>
      <c r="M95" t="n">
        <v>0</v>
      </c>
      <c r="N95" t="n">
        <v>0</v>
      </c>
      <c r="O95" t="n">
        <v>0</v>
      </c>
      <c r="P95" t="n">
        <v>0</v>
      </c>
      <c r="Q95" t="n">
        <v>0</v>
      </c>
      <c r="R95" s="2" t="inlineStr"/>
    </row>
    <row r="96" ht="15" customHeight="1">
      <c r="A96" t="inlineStr">
        <is>
          <t>A 42021-2021</t>
        </is>
      </c>
      <c r="B96" s="1" t="n">
        <v>44426</v>
      </c>
      <c r="C96" s="1" t="n">
        <v>45981</v>
      </c>
      <c r="D96" t="inlineStr">
        <is>
          <t>UPPSALA LÄN</t>
        </is>
      </c>
      <c r="E96" t="inlineStr">
        <is>
          <t>ENKÖPING</t>
        </is>
      </c>
      <c r="G96" t="n">
        <v>2.2</v>
      </c>
      <c r="H96" t="n">
        <v>0</v>
      </c>
      <c r="I96" t="n">
        <v>0</v>
      </c>
      <c r="J96" t="n">
        <v>0</v>
      </c>
      <c r="K96" t="n">
        <v>0</v>
      </c>
      <c r="L96" t="n">
        <v>0</v>
      </c>
      <c r="M96" t="n">
        <v>0</v>
      </c>
      <c r="N96" t="n">
        <v>0</v>
      </c>
      <c r="O96" t="n">
        <v>0</v>
      </c>
      <c r="P96" t="n">
        <v>0</v>
      </c>
      <c r="Q96" t="n">
        <v>0</v>
      </c>
      <c r="R96" s="2" t="inlineStr"/>
    </row>
    <row r="97" ht="15" customHeight="1">
      <c r="A97" t="inlineStr">
        <is>
          <t>A 31013-2022</t>
        </is>
      </c>
      <c r="B97" s="1" t="n">
        <v>44768</v>
      </c>
      <c r="C97" s="1" t="n">
        <v>45981</v>
      </c>
      <c r="D97" t="inlineStr">
        <is>
          <t>UPPSALA LÄN</t>
        </is>
      </c>
      <c r="E97" t="inlineStr">
        <is>
          <t>ENKÖPING</t>
        </is>
      </c>
      <c r="F97" t="inlineStr">
        <is>
          <t>Allmännings- och besparingsskogar</t>
        </is>
      </c>
      <c r="G97" t="n">
        <v>0.5</v>
      </c>
      <c r="H97" t="n">
        <v>0</v>
      </c>
      <c r="I97" t="n">
        <v>0</v>
      </c>
      <c r="J97" t="n">
        <v>0</v>
      </c>
      <c r="K97" t="n">
        <v>0</v>
      </c>
      <c r="L97" t="n">
        <v>0</v>
      </c>
      <c r="M97" t="n">
        <v>0</v>
      </c>
      <c r="N97" t="n">
        <v>0</v>
      </c>
      <c r="O97" t="n">
        <v>0</v>
      </c>
      <c r="P97" t="n">
        <v>0</v>
      </c>
      <c r="Q97" t="n">
        <v>0</v>
      </c>
      <c r="R97" s="2" t="inlineStr"/>
    </row>
    <row r="98" ht="15" customHeight="1">
      <c r="A98" t="inlineStr">
        <is>
          <t>A 17467-2022</t>
        </is>
      </c>
      <c r="B98" s="1" t="n">
        <v>44679</v>
      </c>
      <c r="C98" s="1" t="n">
        <v>45981</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42029-2021</t>
        </is>
      </c>
      <c r="B99" s="1" t="n">
        <v>44426</v>
      </c>
      <c r="C99" s="1" t="n">
        <v>45981</v>
      </c>
      <c r="D99" t="inlineStr">
        <is>
          <t>UPPSALA LÄN</t>
        </is>
      </c>
      <c r="E99" t="inlineStr">
        <is>
          <t>ENKÖPING</t>
        </is>
      </c>
      <c r="G99" t="n">
        <v>5.3</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45981</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45981</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1971-2022</t>
        </is>
      </c>
      <c r="B102" s="1" t="n">
        <v>44575</v>
      </c>
      <c r="C102" s="1" t="n">
        <v>45981</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20067-2021</t>
        </is>
      </c>
      <c r="B103" s="1" t="n">
        <v>44314</v>
      </c>
      <c r="C103" s="1" t="n">
        <v>45981</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68127-2021</t>
        </is>
      </c>
      <c r="B104" s="1" t="n">
        <v>44526.39513888889</v>
      </c>
      <c r="C104" s="1" t="n">
        <v>45981</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49063-2024</t>
        </is>
      </c>
      <c r="B105" s="1" t="n">
        <v>45594.59869212963</v>
      </c>
      <c r="C105" s="1" t="n">
        <v>45981</v>
      </c>
      <c r="D105" t="inlineStr">
        <is>
          <t>UPPSALA LÄN</t>
        </is>
      </c>
      <c r="E105" t="inlineStr">
        <is>
          <t>ENKÖPING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15924-2022</t>
        </is>
      </c>
      <c r="B106" s="1" t="n">
        <v>44664</v>
      </c>
      <c r="C106" s="1" t="n">
        <v>45981</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15943-2022</t>
        </is>
      </c>
      <c r="B107" s="1" t="n">
        <v>44664.66428240741</v>
      </c>
      <c r="C107" s="1" t="n">
        <v>45981</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47106-2021</t>
        </is>
      </c>
      <c r="B108" s="1" t="n">
        <v>44446</v>
      </c>
      <c r="C108" s="1" t="n">
        <v>45981</v>
      </c>
      <c r="D108" t="inlineStr">
        <is>
          <t>UPPSALA LÄN</t>
        </is>
      </c>
      <c r="E108" t="inlineStr">
        <is>
          <t>ENKÖPING</t>
        </is>
      </c>
      <c r="G108" t="n">
        <v>7.6</v>
      </c>
      <c r="H108" t="n">
        <v>0</v>
      </c>
      <c r="I108" t="n">
        <v>0</v>
      </c>
      <c r="J108" t="n">
        <v>0</v>
      </c>
      <c r="K108" t="n">
        <v>0</v>
      </c>
      <c r="L108" t="n">
        <v>0</v>
      </c>
      <c r="M108" t="n">
        <v>0</v>
      </c>
      <c r="N108" t="n">
        <v>0</v>
      </c>
      <c r="O108" t="n">
        <v>0</v>
      </c>
      <c r="P108" t="n">
        <v>0</v>
      </c>
      <c r="Q108" t="n">
        <v>0</v>
      </c>
      <c r="R108" s="2" t="inlineStr"/>
    </row>
    <row r="109" ht="15" customHeight="1">
      <c r="A109" t="inlineStr">
        <is>
          <t>A 59121-2021</t>
        </is>
      </c>
      <c r="B109" s="1" t="n">
        <v>44490</v>
      </c>
      <c r="C109" s="1" t="n">
        <v>45981</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19731-2022</t>
        </is>
      </c>
      <c r="B110" s="1" t="n">
        <v>44694</v>
      </c>
      <c r="C110" s="1" t="n">
        <v>45981</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45981</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45981</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45981</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45981</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57043-2021</t>
        </is>
      </c>
      <c r="B115" s="1" t="n">
        <v>44482.53399305556</v>
      </c>
      <c r="C115" s="1" t="n">
        <v>45981</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17657-2025</t>
        </is>
      </c>
      <c r="B116" s="1" t="n">
        <v>45758.35006944444</v>
      </c>
      <c r="C116" s="1" t="n">
        <v>45981</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45981</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69567-2020</t>
        </is>
      </c>
      <c r="B118" s="1" t="n">
        <v>44194</v>
      </c>
      <c r="C118" s="1" t="n">
        <v>45981</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47681-2024</t>
        </is>
      </c>
      <c r="B119" s="1" t="n">
        <v>45588</v>
      </c>
      <c r="C119" s="1" t="n">
        <v>45981</v>
      </c>
      <c r="D119" t="inlineStr">
        <is>
          <t>UPPSALA LÄN</t>
        </is>
      </c>
      <c r="E119" t="inlineStr">
        <is>
          <t>ENKÖPING</t>
        </is>
      </c>
      <c r="G119" t="n">
        <v>4.2</v>
      </c>
      <c r="H119" t="n">
        <v>0</v>
      </c>
      <c r="I119" t="n">
        <v>0</v>
      </c>
      <c r="J119" t="n">
        <v>0</v>
      </c>
      <c r="K119" t="n">
        <v>0</v>
      </c>
      <c r="L119" t="n">
        <v>0</v>
      </c>
      <c r="M119" t="n">
        <v>0</v>
      </c>
      <c r="N119" t="n">
        <v>0</v>
      </c>
      <c r="O119" t="n">
        <v>0</v>
      </c>
      <c r="P119" t="n">
        <v>0</v>
      </c>
      <c r="Q119" t="n">
        <v>0</v>
      </c>
      <c r="R119" s="2" t="inlineStr"/>
    </row>
    <row r="120" ht="15" customHeight="1">
      <c r="A120" t="inlineStr">
        <is>
          <t>A 59497-2022</t>
        </is>
      </c>
      <c r="B120" s="1" t="n">
        <v>44907.48258101852</v>
      </c>
      <c r="C120" s="1" t="n">
        <v>45981</v>
      </c>
      <c r="D120" t="inlineStr">
        <is>
          <t>UPPSALA LÄN</t>
        </is>
      </c>
      <c r="E120" t="inlineStr">
        <is>
          <t>ENKÖPING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9041-2023</t>
        </is>
      </c>
      <c r="B121" s="1" t="n">
        <v>44979</v>
      </c>
      <c r="C121" s="1" t="n">
        <v>45981</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53496-2022</t>
        </is>
      </c>
      <c r="B122" s="1" t="n">
        <v>44879.57217592592</v>
      </c>
      <c r="C122" s="1" t="n">
        <v>45981</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44131-2023</t>
        </is>
      </c>
      <c r="B123" s="1" t="n">
        <v>45188</v>
      </c>
      <c r="C123" s="1" t="n">
        <v>45981</v>
      </c>
      <c r="D123" t="inlineStr">
        <is>
          <t>UPPSALA LÄN</t>
        </is>
      </c>
      <c r="E123" t="inlineStr">
        <is>
          <t>ENKÖPING</t>
        </is>
      </c>
      <c r="G123" t="n">
        <v>0.3</v>
      </c>
      <c r="H123" t="n">
        <v>0</v>
      </c>
      <c r="I123" t="n">
        <v>0</v>
      </c>
      <c r="J123" t="n">
        <v>0</v>
      </c>
      <c r="K123" t="n">
        <v>0</v>
      </c>
      <c r="L123" t="n">
        <v>0</v>
      </c>
      <c r="M123" t="n">
        <v>0</v>
      </c>
      <c r="N123" t="n">
        <v>0</v>
      </c>
      <c r="O123" t="n">
        <v>0</v>
      </c>
      <c r="P123" t="n">
        <v>0</v>
      </c>
      <c r="Q123" t="n">
        <v>0</v>
      </c>
      <c r="R123" s="2" t="inlineStr"/>
    </row>
    <row r="124" ht="15" customHeight="1">
      <c r="A124" t="inlineStr">
        <is>
          <t>A 15942-2022</t>
        </is>
      </c>
      <c r="B124" s="1" t="n">
        <v>44664</v>
      </c>
      <c r="C124" s="1" t="n">
        <v>45981</v>
      </c>
      <c r="D124" t="inlineStr">
        <is>
          <t>UPPSALA LÄN</t>
        </is>
      </c>
      <c r="E124" t="inlineStr">
        <is>
          <t>ENKÖPING</t>
        </is>
      </c>
      <c r="G124" t="n">
        <v>6.6</v>
      </c>
      <c r="H124" t="n">
        <v>0</v>
      </c>
      <c r="I124" t="n">
        <v>0</v>
      </c>
      <c r="J124" t="n">
        <v>0</v>
      </c>
      <c r="K124" t="n">
        <v>0</v>
      </c>
      <c r="L124" t="n">
        <v>0</v>
      </c>
      <c r="M124" t="n">
        <v>0</v>
      </c>
      <c r="N124" t="n">
        <v>0</v>
      </c>
      <c r="O124" t="n">
        <v>0</v>
      </c>
      <c r="P124" t="n">
        <v>0</v>
      </c>
      <c r="Q124" t="n">
        <v>0</v>
      </c>
      <c r="R124" s="2" t="inlineStr"/>
    </row>
    <row r="125" ht="15" customHeight="1">
      <c r="A125" t="inlineStr">
        <is>
          <t>A 60533-2021</t>
        </is>
      </c>
      <c r="B125" s="1" t="n">
        <v>44496</v>
      </c>
      <c r="C125" s="1" t="n">
        <v>45981</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2974-2025</t>
        </is>
      </c>
      <c r="B126" s="1" t="n">
        <v>45678.47168981482</v>
      </c>
      <c r="C126" s="1" t="n">
        <v>45981</v>
      </c>
      <c r="D126" t="inlineStr">
        <is>
          <t>UPPSALA LÄN</t>
        </is>
      </c>
      <c r="E126" t="inlineStr">
        <is>
          <t>ENKÖPING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12755-2025</t>
        </is>
      </c>
      <c r="B127" s="1" t="n">
        <v>45733.56541666666</v>
      </c>
      <c r="C127" s="1" t="n">
        <v>45981</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59027-2024</t>
        </is>
      </c>
      <c r="B128" s="1" t="n">
        <v>45636.68755787037</v>
      </c>
      <c r="C128" s="1" t="n">
        <v>45981</v>
      </c>
      <c r="D128" t="inlineStr">
        <is>
          <t>UPPSALA LÄN</t>
        </is>
      </c>
      <c r="E128" t="inlineStr">
        <is>
          <t>ENKÖPING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53587-2024</t>
        </is>
      </c>
      <c r="B129" s="1" t="n">
        <v>45614.66953703704</v>
      </c>
      <c r="C129" s="1" t="n">
        <v>45981</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27786-2023</t>
        </is>
      </c>
      <c r="B130" s="1" t="n">
        <v>45098</v>
      </c>
      <c r="C130" s="1" t="n">
        <v>45981</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38941-2025</t>
        </is>
      </c>
      <c r="B131" s="1" t="n">
        <v>45887</v>
      </c>
      <c r="C131" s="1" t="n">
        <v>45981</v>
      </c>
      <c r="D131" t="inlineStr">
        <is>
          <t>UPPSALA LÄN</t>
        </is>
      </c>
      <c r="E131" t="inlineStr">
        <is>
          <t>ENKÖPING</t>
        </is>
      </c>
      <c r="F131" t="inlineStr">
        <is>
          <t>Övriga statliga verk och myndigheter</t>
        </is>
      </c>
      <c r="G131" t="n">
        <v>0.6</v>
      </c>
      <c r="H131" t="n">
        <v>0</v>
      </c>
      <c r="I131" t="n">
        <v>0</v>
      </c>
      <c r="J131" t="n">
        <v>0</v>
      </c>
      <c r="K131" t="n">
        <v>0</v>
      </c>
      <c r="L131" t="n">
        <v>0</v>
      </c>
      <c r="M131" t="n">
        <v>0</v>
      </c>
      <c r="N131" t="n">
        <v>0</v>
      </c>
      <c r="O131" t="n">
        <v>0</v>
      </c>
      <c r="P131" t="n">
        <v>0</v>
      </c>
      <c r="Q131" t="n">
        <v>0</v>
      </c>
      <c r="R131" s="2" t="inlineStr"/>
    </row>
    <row r="132" ht="15" customHeight="1">
      <c r="A132" t="inlineStr">
        <is>
          <t>A 11503-2024</t>
        </is>
      </c>
      <c r="B132" s="1" t="n">
        <v>45372.68020833333</v>
      </c>
      <c r="C132" s="1" t="n">
        <v>45981</v>
      </c>
      <c r="D132" t="inlineStr">
        <is>
          <t>UPPSALA LÄN</t>
        </is>
      </c>
      <c r="E132" t="inlineStr">
        <is>
          <t>ENKÖPING</t>
        </is>
      </c>
      <c r="G132" t="n">
        <v>1.2</v>
      </c>
      <c r="H132" t="n">
        <v>0</v>
      </c>
      <c r="I132" t="n">
        <v>0</v>
      </c>
      <c r="J132" t="n">
        <v>0</v>
      </c>
      <c r="K132" t="n">
        <v>0</v>
      </c>
      <c r="L132" t="n">
        <v>0</v>
      </c>
      <c r="M132" t="n">
        <v>0</v>
      </c>
      <c r="N132" t="n">
        <v>0</v>
      </c>
      <c r="O132" t="n">
        <v>0</v>
      </c>
      <c r="P132" t="n">
        <v>0</v>
      </c>
      <c r="Q132" t="n">
        <v>0</v>
      </c>
      <c r="R132" s="2" t="inlineStr"/>
    </row>
    <row r="133" ht="15" customHeight="1">
      <c r="A133" t="inlineStr">
        <is>
          <t>A 35052-2024</t>
        </is>
      </c>
      <c r="B133" s="1" t="n">
        <v>45527.6516087963</v>
      </c>
      <c r="C133" s="1" t="n">
        <v>45981</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39115-2024</t>
        </is>
      </c>
      <c r="B134" s="1" t="n">
        <v>45548</v>
      </c>
      <c r="C134" s="1" t="n">
        <v>45981</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25334-2023</t>
        </is>
      </c>
      <c r="B135" s="1" t="n">
        <v>45083</v>
      </c>
      <c r="C135" s="1" t="n">
        <v>45981</v>
      </c>
      <c r="D135" t="inlineStr">
        <is>
          <t>UPPSALA LÄN</t>
        </is>
      </c>
      <c r="E135" t="inlineStr">
        <is>
          <t>ENKÖPING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48864-2022</t>
        </is>
      </c>
      <c r="B136" s="1" t="n">
        <v>44859</v>
      </c>
      <c r="C136" s="1" t="n">
        <v>45981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51008-2024</t>
        </is>
      </c>
      <c r="B137" s="1" t="n">
        <v>45603.39041666667</v>
      </c>
      <c r="C137" s="1" t="n">
        <v>45981</v>
      </c>
      <c r="D137" t="inlineStr">
        <is>
          <t>UPPSALA LÄN</t>
        </is>
      </c>
      <c r="E137" t="inlineStr">
        <is>
          <t>ENKÖPING</t>
        </is>
      </c>
      <c r="G137" t="n">
        <v>2.4</v>
      </c>
      <c r="H137" t="n">
        <v>0</v>
      </c>
      <c r="I137" t="n">
        <v>0</v>
      </c>
      <c r="J137" t="n">
        <v>0</v>
      </c>
      <c r="K137" t="n">
        <v>0</v>
      </c>
      <c r="L137" t="n">
        <v>0</v>
      </c>
      <c r="M137" t="n">
        <v>0</v>
      </c>
      <c r="N137" t="n">
        <v>0</v>
      </c>
      <c r="O137" t="n">
        <v>0</v>
      </c>
      <c r="P137" t="n">
        <v>0</v>
      </c>
      <c r="Q137" t="n">
        <v>0</v>
      </c>
      <c r="R137" s="2" t="inlineStr"/>
    </row>
    <row r="138" ht="15" customHeight="1">
      <c r="A138" t="inlineStr">
        <is>
          <t>A 21017-2023</t>
        </is>
      </c>
      <c r="B138" s="1" t="n">
        <v>45061</v>
      </c>
      <c r="C138" s="1" t="n">
        <v>45981</v>
      </c>
      <c r="D138" t="inlineStr">
        <is>
          <t>UPPSALA LÄN</t>
        </is>
      </c>
      <c r="E138" t="inlineStr">
        <is>
          <t>ENKÖPING</t>
        </is>
      </c>
      <c r="G138" t="n">
        <v>4.8</v>
      </c>
      <c r="H138" t="n">
        <v>0</v>
      </c>
      <c r="I138" t="n">
        <v>0</v>
      </c>
      <c r="J138" t="n">
        <v>0</v>
      </c>
      <c r="K138" t="n">
        <v>0</v>
      </c>
      <c r="L138" t="n">
        <v>0</v>
      </c>
      <c r="M138" t="n">
        <v>0</v>
      </c>
      <c r="N138" t="n">
        <v>0</v>
      </c>
      <c r="O138" t="n">
        <v>0</v>
      </c>
      <c r="P138" t="n">
        <v>0</v>
      </c>
      <c r="Q138" t="n">
        <v>0</v>
      </c>
      <c r="R138" s="2" t="inlineStr"/>
    </row>
    <row r="139" ht="15" customHeight="1">
      <c r="A139" t="inlineStr">
        <is>
          <t>A 56837-2024</t>
        </is>
      </c>
      <c r="B139" s="1" t="n">
        <v>45628</v>
      </c>
      <c r="C139" s="1" t="n">
        <v>45981</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6242-2025</t>
        </is>
      </c>
      <c r="B140" s="1" t="n">
        <v>45697</v>
      </c>
      <c r="C140" s="1" t="n">
        <v>45981</v>
      </c>
      <c r="D140" t="inlineStr">
        <is>
          <t>UPPSALA LÄN</t>
        </is>
      </c>
      <c r="E140" t="inlineStr">
        <is>
          <t>ENKÖPING</t>
        </is>
      </c>
      <c r="G140" t="n">
        <v>17.9</v>
      </c>
      <c r="H140" t="n">
        <v>0</v>
      </c>
      <c r="I140" t="n">
        <v>0</v>
      </c>
      <c r="J140" t="n">
        <v>0</v>
      </c>
      <c r="K140" t="n">
        <v>0</v>
      </c>
      <c r="L140" t="n">
        <v>0</v>
      </c>
      <c r="M140" t="n">
        <v>0</v>
      </c>
      <c r="N140" t="n">
        <v>0</v>
      </c>
      <c r="O140" t="n">
        <v>0</v>
      </c>
      <c r="P140" t="n">
        <v>0</v>
      </c>
      <c r="Q140" t="n">
        <v>0</v>
      </c>
      <c r="R140" s="2" t="inlineStr"/>
    </row>
    <row r="141" ht="15" customHeight="1">
      <c r="A141" t="inlineStr">
        <is>
          <t>A 42459-2024</t>
        </is>
      </c>
      <c r="B141" s="1" t="n">
        <v>45565</v>
      </c>
      <c r="C141" s="1" t="n">
        <v>45981</v>
      </c>
      <c r="D141" t="inlineStr">
        <is>
          <t>UPPSALA LÄN</t>
        </is>
      </c>
      <c r="E141" t="inlineStr">
        <is>
          <t>ENKÖPING</t>
        </is>
      </c>
      <c r="G141" t="n">
        <v>3.6</v>
      </c>
      <c r="H141" t="n">
        <v>0</v>
      </c>
      <c r="I141" t="n">
        <v>0</v>
      </c>
      <c r="J141" t="n">
        <v>0</v>
      </c>
      <c r="K141" t="n">
        <v>0</v>
      </c>
      <c r="L141" t="n">
        <v>0</v>
      </c>
      <c r="M141" t="n">
        <v>0</v>
      </c>
      <c r="N141" t="n">
        <v>0</v>
      </c>
      <c r="O141" t="n">
        <v>0</v>
      </c>
      <c r="P141" t="n">
        <v>0</v>
      </c>
      <c r="Q141" t="n">
        <v>0</v>
      </c>
      <c r="R141" s="2" t="inlineStr"/>
    </row>
    <row r="142" ht="15" customHeight="1">
      <c r="A142" t="inlineStr">
        <is>
          <t>A 60125-2024</t>
        </is>
      </c>
      <c r="B142" s="1" t="n">
        <v>45642</v>
      </c>
      <c r="C142" s="1" t="n">
        <v>45981</v>
      </c>
      <c r="D142" t="inlineStr">
        <is>
          <t>UPPSALA LÄN</t>
        </is>
      </c>
      <c r="E142" t="inlineStr">
        <is>
          <t>ENKÖPING</t>
        </is>
      </c>
      <c r="G142" t="n">
        <v>2.1</v>
      </c>
      <c r="H142" t="n">
        <v>0</v>
      </c>
      <c r="I142" t="n">
        <v>0</v>
      </c>
      <c r="J142" t="n">
        <v>0</v>
      </c>
      <c r="K142" t="n">
        <v>0</v>
      </c>
      <c r="L142" t="n">
        <v>0</v>
      </c>
      <c r="M142" t="n">
        <v>0</v>
      </c>
      <c r="N142" t="n">
        <v>0</v>
      </c>
      <c r="O142" t="n">
        <v>0</v>
      </c>
      <c r="P142" t="n">
        <v>0</v>
      </c>
      <c r="Q142" t="n">
        <v>0</v>
      </c>
      <c r="R142" s="2" t="inlineStr"/>
    </row>
    <row r="143" ht="15" customHeight="1">
      <c r="A143" t="inlineStr">
        <is>
          <t>A 10468-2025</t>
        </is>
      </c>
      <c r="B143" s="1" t="n">
        <v>45720</v>
      </c>
      <c r="C143" s="1" t="n">
        <v>45981</v>
      </c>
      <c r="D143" t="inlineStr">
        <is>
          <t>UPPSALA LÄN</t>
        </is>
      </c>
      <c r="E143" t="inlineStr">
        <is>
          <t>ENKÖPING</t>
        </is>
      </c>
      <c r="G143" t="n">
        <v>1.6</v>
      </c>
      <c r="H143" t="n">
        <v>0</v>
      </c>
      <c r="I143" t="n">
        <v>0</v>
      </c>
      <c r="J143" t="n">
        <v>0</v>
      </c>
      <c r="K143" t="n">
        <v>0</v>
      </c>
      <c r="L143" t="n">
        <v>0</v>
      </c>
      <c r="M143" t="n">
        <v>0</v>
      </c>
      <c r="N143" t="n">
        <v>0</v>
      </c>
      <c r="O143" t="n">
        <v>0</v>
      </c>
      <c r="P143" t="n">
        <v>0</v>
      </c>
      <c r="Q143" t="n">
        <v>0</v>
      </c>
      <c r="R143" s="2" t="inlineStr"/>
    </row>
    <row r="144" ht="15" customHeight="1">
      <c r="A144" t="inlineStr">
        <is>
          <t>A 5211-2024</t>
        </is>
      </c>
      <c r="B144" s="1" t="n">
        <v>45330</v>
      </c>
      <c r="C144" s="1" t="n">
        <v>45981</v>
      </c>
      <c r="D144" t="inlineStr">
        <is>
          <t>UPPSALA LÄN</t>
        </is>
      </c>
      <c r="E144" t="inlineStr">
        <is>
          <t>ENKÖPING</t>
        </is>
      </c>
      <c r="G144" t="n">
        <v>0.8</v>
      </c>
      <c r="H144" t="n">
        <v>0</v>
      </c>
      <c r="I144" t="n">
        <v>0</v>
      </c>
      <c r="J144" t="n">
        <v>0</v>
      </c>
      <c r="K144" t="n">
        <v>0</v>
      </c>
      <c r="L144" t="n">
        <v>0</v>
      </c>
      <c r="M144" t="n">
        <v>0</v>
      </c>
      <c r="N144" t="n">
        <v>0</v>
      </c>
      <c r="O144" t="n">
        <v>0</v>
      </c>
      <c r="P144" t="n">
        <v>0</v>
      </c>
      <c r="Q144" t="n">
        <v>0</v>
      </c>
      <c r="R144" s="2" t="inlineStr"/>
    </row>
    <row r="145" ht="15" customHeight="1">
      <c r="A145" t="inlineStr">
        <is>
          <t>A 56176-2021</t>
        </is>
      </c>
      <c r="B145" s="1" t="n">
        <v>44477</v>
      </c>
      <c r="C145" s="1" t="n">
        <v>45981</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10409-2025</t>
        </is>
      </c>
      <c r="B146" s="1" t="n">
        <v>45720.631875</v>
      </c>
      <c r="C146" s="1" t="n">
        <v>45981</v>
      </c>
      <c r="D146" t="inlineStr">
        <is>
          <t>UPPSALA LÄN</t>
        </is>
      </c>
      <c r="E146" t="inlineStr">
        <is>
          <t>ENKÖPING</t>
        </is>
      </c>
      <c r="G146" t="n">
        <v>2.2</v>
      </c>
      <c r="H146" t="n">
        <v>0</v>
      </c>
      <c r="I146" t="n">
        <v>0</v>
      </c>
      <c r="J146" t="n">
        <v>0</v>
      </c>
      <c r="K146" t="n">
        <v>0</v>
      </c>
      <c r="L146" t="n">
        <v>0</v>
      </c>
      <c r="M146" t="n">
        <v>0</v>
      </c>
      <c r="N146" t="n">
        <v>0</v>
      </c>
      <c r="O146" t="n">
        <v>0</v>
      </c>
      <c r="P146" t="n">
        <v>0</v>
      </c>
      <c r="Q146" t="n">
        <v>0</v>
      </c>
      <c r="R146" s="2" t="inlineStr"/>
    </row>
    <row r="147" ht="15" customHeight="1">
      <c r="A147" t="inlineStr">
        <is>
          <t>A 18299-2025</t>
        </is>
      </c>
      <c r="B147" s="1" t="n">
        <v>45762</v>
      </c>
      <c r="C147" s="1" t="n">
        <v>45981</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18821-2023</t>
        </is>
      </c>
      <c r="B148" s="1" t="n">
        <v>45044.3782175926</v>
      </c>
      <c r="C148" s="1" t="n">
        <v>45981</v>
      </c>
      <c r="D148" t="inlineStr">
        <is>
          <t>UPPSALA LÄN</t>
        </is>
      </c>
      <c r="E148" t="inlineStr">
        <is>
          <t>ENKÖPING</t>
        </is>
      </c>
      <c r="G148" t="n">
        <v>6</v>
      </c>
      <c r="H148" t="n">
        <v>0</v>
      </c>
      <c r="I148" t="n">
        <v>0</v>
      </c>
      <c r="J148" t="n">
        <v>0</v>
      </c>
      <c r="K148" t="n">
        <v>0</v>
      </c>
      <c r="L148" t="n">
        <v>0</v>
      </c>
      <c r="M148" t="n">
        <v>0</v>
      </c>
      <c r="N148" t="n">
        <v>0</v>
      </c>
      <c r="O148" t="n">
        <v>0</v>
      </c>
      <c r="P148" t="n">
        <v>0</v>
      </c>
      <c r="Q148" t="n">
        <v>0</v>
      </c>
      <c r="R148" s="2" t="inlineStr"/>
    </row>
    <row r="149" ht="15" customHeight="1">
      <c r="A149" t="inlineStr">
        <is>
          <t>A 21686-2022</t>
        </is>
      </c>
      <c r="B149" s="1" t="n">
        <v>44707</v>
      </c>
      <c r="C149" s="1" t="n">
        <v>45981</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18831-2023</t>
        </is>
      </c>
      <c r="B150" s="1" t="n">
        <v>45044.40798611111</v>
      </c>
      <c r="C150" s="1" t="n">
        <v>45981</v>
      </c>
      <c r="D150" t="inlineStr">
        <is>
          <t>UPPSALA LÄN</t>
        </is>
      </c>
      <c r="E150" t="inlineStr">
        <is>
          <t>ENKÖPING</t>
        </is>
      </c>
      <c r="G150" t="n">
        <v>4.3</v>
      </c>
      <c r="H150" t="n">
        <v>0</v>
      </c>
      <c r="I150" t="n">
        <v>0</v>
      </c>
      <c r="J150" t="n">
        <v>0</v>
      </c>
      <c r="K150" t="n">
        <v>0</v>
      </c>
      <c r="L150" t="n">
        <v>0</v>
      </c>
      <c r="M150" t="n">
        <v>0</v>
      </c>
      <c r="N150" t="n">
        <v>0</v>
      </c>
      <c r="O150" t="n">
        <v>0</v>
      </c>
      <c r="P150" t="n">
        <v>0</v>
      </c>
      <c r="Q150" t="n">
        <v>0</v>
      </c>
      <c r="R150" s="2" t="inlineStr"/>
    </row>
    <row r="151" ht="15" customHeight="1">
      <c r="A151" t="inlineStr">
        <is>
          <t>A 69344-2021</t>
        </is>
      </c>
      <c r="B151" s="1" t="n">
        <v>44531</v>
      </c>
      <c r="C151" s="1" t="n">
        <v>45981</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6172-2023</t>
        </is>
      </c>
      <c r="B152" s="1" t="n">
        <v>44964.68663194445</v>
      </c>
      <c r="C152" s="1" t="n">
        <v>45981</v>
      </c>
      <c r="D152" t="inlineStr">
        <is>
          <t>UPPSALA LÄN</t>
        </is>
      </c>
      <c r="E152" t="inlineStr">
        <is>
          <t>ENKÖPING</t>
        </is>
      </c>
      <c r="G152" t="n">
        <v>2.6</v>
      </c>
      <c r="H152" t="n">
        <v>0</v>
      </c>
      <c r="I152" t="n">
        <v>0</v>
      </c>
      <c r="J152" t="n">
        <v>0</v>
      </c>
      <c r="K152" t="n">
        <v>0</v>
      </c>
      <c r="L152" t="n">
        <v>0</v>
      </c>
      <c r="M152" t="n">
        <v>0</v>
      </c>
      <c r="N152" t="n">
        <v>0</v>
      </c>
      <c r="O152" t="n">
        <v>0</v>
      </c>
      <c r="P152" t="n">
        <v>0</v>
      </c>
      <c r="Q152" t="n">
        <v>0</v>
      </c>
      <c r="R152" s="2" t="inlineStr"/>
    </row>
    <row r="153" ht="15" customHeight="1">
      <c r="A153" t="inlineStr">
        <is>
          <t>A 14402-2023</t>
        </is>
      </c>
      <c r="B153" s="1" t="n">
        <v>45012</v>
      </c>
      <c r="C153" s="1" t="n">
        <v>45981</v>
      </c>
      <c r="D153" t="inlineStr">
        <is>
          <t>UPPSALA LÄN</t>
        </is>
      </c>
      <c r="E153" t="inlineStr">
        <is>
          <t>ENKÖPING</t>
        </is>
      </c>
      <c r="G153" t="n">
        <v>9.5</v>
      </c>
      <c r="H153" t="n">
        <v>0</v>
      </c>
      <c r="I153" t="n">
        <v>0</v>
      </c>
      <c r="J153" t="n">
        <v>0</v>
      </c>
      <c r="K153" t="n">
        <v>0</v>
      </c>
      <c r="L153" t="n">
        <v>0</v>
      </c>
      <c r="M153" t="n">
        <v>0</v>
      </c>
      <c r="N153" t="n">
        <v>0</v>
      </c>
      <c r="O153" t="n">
        <v>0</v>
      </c>
      <c r="P153" t="n">
        <v>0</v>
      </c>
      <c r="Q153" t="n">
        <v>0</v>
      </c>
      <c r="R153" s="2" t="inlineStr"/>
    </row>
    <row r="154" ht="15" customHeight="1">
      <c r="A154" t="inlineStr">
        <is>
          <t>A 57335-2024</t>
        </is>
      </c>
      <c r="B154" s="1" t="n">
        <v>45629.63302083333</v>
      </c>
      <c r="C154" s="1" t="n">
        <v>45981</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27983-2024</t>
        </is>
      </c>
      <c r="B155" s="1" t="n">
        <v>45476</v>
      </c>
      <c r="C155" s="1" t="n">
        <v>45981</v>
      </c>
      <c r="D155" t="inlineStr">
        <is>
          <t>UPPSALA LÄN</t>
        </is>
      </c>
      <c r="E155" t="inlineStr">
        <is>
          <t>ENKÖPING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57835-2024</t>
        </is>
      </c>
      <c r="B156" s="1" t="n">
        <v>45631.39947916667</v>
      </c>
      <c r="C156" s="1" t="n">
        <v>45981</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53208-2023</t>
        </is>
      </c>
      <c r="B157" s="1" t="n">
        <v>45226</v>
      </c>
      <c r="C157" s="1" t="n">
        <v>45981</v>
      </c>
      <c r="D157" t="inlineStr">
        <is>
          <t>UPPSALA LÄN</t>
        </is>
      </c>
      <c r="E157" t="inlineStr">
        <is>
          <t>ENKÖPING</t>
        </is>
      </c>
      <c r="G157" t="n">
        <v>4.3</v>
      </c>
      <c r="H157" t="n">
        <v>0</v>
      </c>
      <c r="I157" t="n">
        <v>0</v>
      </c>
      <c r="J157" t="n">
        <v>0</v>
      </c>
      <c r="K157" t="n">
        <v>0</v>
      </c>
      <c r="L157" t="n">
        <v>0</v>
      </c>
      <c r="M157" t="n">
        <v>0</v>
      </c>
      <c r="N157" t="n">
        <v>0</v>
      </c>
      <c r="O157" t="n">
        <v>0</v>
      </c>
      <c r="P157" t="n">
        <v>0</v>
      </c>
      <c r="Q157" t="n">
        <v>0</v>
      </c>
      <c r="R157" s="2" t="inlineStr"/>
    </row>
    <row r="158" ht="15" customHeight="1">
      <c r="A158" t="inlineStr">
        <is>
          <t>A 19298-2023</t>
        </is>
      </c>
      <c r="B158" s="1" t="n">
        <v>45048</v>
      </c>
      <c r="C158" s="1" t="n">
        <v>45981</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19013-2025</t>
        </is>
      </c>
      <c r="B159" s="1" t="n">
        <v>45764.59533564815</v>
      </c>
      <c r="C159" s="1" t="n">
        <v>45981</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6147-2021</t>
        </is>
      </c>
      <c r="B160" s="1" t="n">
        <v>44232</v>
      </c>
      <c r="C160" s="1" t="n">
        <v>45981</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15939-2022</t>
        </is>
      </c>
      <c r="B161" s="1" t="n">
        <v>44664</v>
      </c>
      <c r="C161" s="1" t="n">
        <v>45981</v>
      </c>
      <c r="D161" t="inlineStr">
        <is>
          <t>UPPSALA LÄN</t>
        </is>
      </c>
      <c r="E161" t="inlineStr">
        <is>
          <t>ENKÖPING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57153-2021</t>
        </is>
      </c>
      <c r="B162" s="1" t="n">
        <v>44482</v>
      </c>
      <c r="C162" s="1" t="n">
        <v>45981</v>
      </c>
      <c r="D162" t="inlineStr">
        <is>
          <t>UPPSALA LÄN</t>
        </is>
      </c>
      <c r="E162" t="inlineStr">
        <is>
          <t>ENKÖPING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43697-2024</t>
        </is>
      </c>
      <c r="B163" s="1" t="n">
        <v>45569</v>
      </c>
      <c r="C163" s="1" t="n">
        <v>45981</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2164-2023</t>
        </is>
      </c>
      <c r="B164" s="1" t="n">
        <v>44941</v>
      </c>
      <c r="C164" s="1" t="n">
        <v>45981</v>
      </c>
      <c r="D164" t="inlineStr">
        <is>
          <t>UPPSALA LÄN</t>
        </is>
      </c>
      <c r="E164" t="inlineStr">
        <is>
          <t>ENKÖPING</t>
        </is>
      </c>
      <c r="G164" t="n">
        <v>2.5</v>
      </c>
      <c r="H164" t="n">
        <v>0</v>
      </c>
      <c r="I164" t="n">
        <v>0</v>
      </c>
      <c r="J164" t="n">
        <v>0</v>
      </c>
      <c r="K164" t="n">
        <v>0</v>
      </c>
      <c r="L164" t="n">
        <v>0</v>
      </c>
      <c r="M164" t="n">
        <v>0</v>
      </c>
      <c r="N164" t="n">
        <v>0</v>
      </c>
      <c r="O164" t="n">
        <v>0</v>
      </c>
      <c r="P164" t="n">
        <v>0</v>
      </c>
      <c r="Q164" t="n">
        <v>0</v>
      </c>
      <c r="R164" s="2" t="inlineStr"/>
    </row>
    <row r="165" ht="15" customHeight="1">
      <c r="A165" t="inlineStr">
        <is>
          <t>A 45283-2022</t>
        </is>
      </c>
      <c r="B165" s="1" t="n">
        <v>44844</v>
      </c>
      <c r="C165" s="1" t="n">
        <v>45981</v>
      </c>
      <c r="D165" t="inlineStr">
        <is>
          <t>UPPSALA LÄN</t>
        </is>
      </c>
      <c r="E165" t="inlineStr">
        <is>
          <t>ENKÖPING</t>
        </is>
      </c>
      <c r="G165" t="n">
        <v>5.9</v>
      </c>
      <c r="H165" t="n">
        <v>0</v>
      </c>
      <c r="I165" t="n">
        <v>0</v>
      </c>
      <c r="J165" t="n">
        <v>0</v>
      </c>
      <c r="K165" t="n">
        <v>0</v>
      </c>
      <c r="L165" t="n">
        <v>0</v>
      </c>
      <c r="M165" t="n">
        <v>0</v>
      </c>
      <c r="N165" t="n">
        <v>0</v>
      </c>
      <c r="O165" t="n">
        <v>0</v>
      </c>
      <c r="P165" t="n">
        <v>0</v>
      </c>
      <c r="Q165" t="n">
        <v>0</v>
      </c>
      <c r="R165" s="2" t="inlineStr"/>
    </row>
    <row r="166" ht="15" customHeight="1">
      <c r="A166" t="inlineStr">
        <is>
          <t>A 49068-2025</t>
        </is>
      </c>
      <c r="B166" s="1" t="n">
        <v>45937.64766203704</v>
      </c>
      <c r="C166" s="1" t="n">
        <v>45981</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39746-2025</t>
        </is>
      </c>
      <c r="B167" s="1" t="n">
        <v>45891</v>
      </c>
      <c r="C167" s="1" t="n">
        <v>45981</v>
      </c>
      <c r="D167" t="inlineStr">
        <is>
          <t>UPPSALA LÄN</t>
        </is>
      </c>
      <c r="E167" t="inlineStr">
        <is>
          <t>ENKÖPING</t>
        </is>
      </c>
      <c r="G167" t="n">
        <v>7.4</v>
      </c>
      <c r="H167" t="n">
        <v>0</v>
      </c>
      <c r="I167" t="n">
        <v>0</v>
      </c>
      <c r="J167" t="n">
        <v>0</v>
      </c>
      <c r="K167" t="n">
        <v>0</v>
      </c>
      <c r="L167" t="n">
        <v>0</v>
      </c>
      <c r="M167" t="n">
        <v>0</v>
      </c>
      <c r="N167" t="n">
        <v>0</v>
      </c>
      <c r="O167" t="n">
        <v>0</v>
      </c>
      <c r="P167" t="n">
        <v>0</v>
      </c>
      <c r="Q167" t="n">
        <v>0</v>
      </c>
      <c r="R167" s="2" t="inlineStr"/>
    </row>
    <row r="168" ht="15" customHeight="1">
      <c r="A168" t="inlineStr">
        <is>
          <t>A 61952-2021</t>
        </is>
      </c>
      <c r="B168" s="1" t="n">
        <v>44502</v>
      </c>
      <c r="C168" s="1" t="n">
        <v>45981</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41826-2024</t>
        </is>
      </c>
      <c r="B169" s="1" t="n">
        <v>45561</v>
      </c>
      <c r="C169" s="1" t="n">
        <v>45981</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14083-2025</t>
        </is>
      </c>
      <c r="B170" s="1" t="n">
        <v>45740</v>
      </c>
      <c r="C170" s="1" t="n">
        <v>45981</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42589-2022</t>
        </is>
      </c>
      <c r="B171" s="1" t="n">
        <v>44831</v>
      </c>
      <c r="C171" s="1" t="n">
        <v>45981</v>
      </c>
      <c r="D171" t="inlineStr">
        <is>
          <t>UPPSALA LÄN</t>
        </is>
      </c>
      <c r="E171" t="inlineStr">
        <is>
          <t>ENKÖPING</t>
        </is>
      </c>
      <c r="G171" t="n">
        <v>20</v>
      </c>
      <c r="H171" t="n">
        <v>0</v>
      </c>
      <c r="I171" t="n">
        <v>0</v>
      </c>
      <c r="J171" t="n">
        <v>0</v>
      </c>
      <c r="K171" t="n">
        <v>0</v>
      </c>
      <c r="L171" t="n">
        <v>0</v>
      </c>
      <c r="M171" t="n">
        <v>0</v>
      </c>
      <c r="N171" t="n">
        <v>0</v>
      </c>
      <c r="O171" t="n">
        <v>0</v>
      </c>
      <c r="P171" t="n">
        <v>0</v>
      </c>
      <c r="Q171" t="n">
        <v>0</v>
      </c>
      <c r="R171" s="2" t="inlineStr"/>
    </row>
    <row r="172" ht="15" customHeight="1">
      <c r="A172" t="inlineStr">
        <is>
          <t>A 22156-2025</t>
        </is>
      </c>
      <c r="B172" s="1" t="n">
        <v>45785.57512731481</v>
      </c>
      <c r="C172" s="1" t="n">
        <v>45981</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22150-2025</t>
        </is>
      </c>
      <c r="B173" s="1" t="n">
        <v>45785.56398148148</v>
      </c>
      <c r="C173" s="1" t="n">
        <v>45981</v>
      </c>
      <c r="D173" t="inlineStr">
        <is>
          <t>UPPSALA LÄN</t>
        </is>
      </c>
      <c r="E173" t="inlineStr">
        <is>
          <t>ENKÖPING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69879-2021</t>
        </is>
      </c>
      <c r="B174" s="1" t="n">
        <v>44532</v>
      </c>
      <c r="C174" s="1" t="n">
        <v>45981</v>
      </c>
      <c r="D174" t="inlineStr">
        <is>
          <t>UPPSALA LÄN</t>
        </is>
      </c>
      <c r="E174" t="inlineStr">
        <is>
          <t>ENKÖPING</t>
        </is>
      </c>
      <c r="G174" t="n">
        <v>4.2</v>
      </c>
      <c r="H174" t="n">
        <v>0</v>
      </c>
      <c r="I174" t="n">
        <v>0</v>
      </c>
      <c r="J174" t="n">
        <v>0</v>
      </c>
      <c r="K174" t="n">
        <v>0</v>
      </c>
      <c r="L174" t="n">
        <v>0</v>
      </c>
      <c r="M174" t="n">
        <v>0</v>
      </c>
      <c r="N174" t="n">
        <v>0</v>
      </c>
      <c r="O174" t="n">
        <v>0</v>
      </c>
      <c r="P174" t="n">
        <v>0</v>
      </c>
      <c r="Q174" t="n">
        <v>0</v>
      </c>
      <c r="R174" s="2" t="inlineStr"/>
    </row>
    <row r="175" ht="15" customHeight="1">
      <c r="A175" t="inlineStr">
        <is>
          <t>A 840-2025</t>
        </is>
      </c>
      <c r="B175" s="1" t="n">
        <v>45665</v>
      </c>
      <c r="C175" s="1" t="n">
        <v>45981</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37115-2024</t>
        </is>
      </c>
      <c r="B176" s="1" t="n">
        <v>45539</v>
      </c>
      <c r="C176" s="1" t="n">
        <v>45981</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30087-2024</t>
        </is>
      </c>
      <c r="B177" s="1" t="n">
        <v>45489.39447916667</v>
      </c>
      <c r="C177" s="1" t="n">
        <v>45981</v>
      </c>
      <c r="D177" t="inlineStr">
        <is>
          <t>UPPSALA LÄN</t>
        </is>
      </c>
      <c r="E177" t="inlineStr">
        <is>
          <t>ENKÖPING</t>
        </is>
      </c>
      <c r="G177" t="n">
        <v>1.4</v>
      </c>
      <c r="H177" t="n">
        <v>0</v>
      </c>
      <c r="I177" t="n">
        <v>0</v>
      </c>
      <c r="J177" t="n">
        <v>0</v>
      </c>
      <c r="K177" t="n">
        <v>0</v>
      </c>
      <c r="L177" t="n">
        <v>0</v>
      </c>
      <c r="M177" t="n">
        <v>0</v>
      </c>
      <c r="N177" t="n">
        <v>0</v>
      </c>
      <c r="O177" t="n">
        <v>0</v>
      </c>
      <c r="P177" t="n">
        <v>0</v>
      </c>
      <c r="Q177" t="n">
        <v>0</v>
      </c>
      <c r="R177" s="2" t="inlineStr"/>
    </row>
    <row r="178" ht="15" customHeight="1">
      <c r="A178" t="inlineStr">
        <is>
          <t>A 54776-2024</t>
        </is>
      </c>
      <c r="B178" s="1" t="n">
        <v>45618</v>
      </c>
      <c r="C178" s="1" t="n">
        <v>45981</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22729-2025</t>
        </is>
      </c>
      <c r="B179" s="1" t="n">
        <v>45789.57790509259</v>
      </c>
      <c r="C179" s="1" t="n">
        <v>45981</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14518-2025</t>
        </is>
      </c>
      <c r="B180" s="1" t="n">
        <v>45741</v>
      </c>
      <c r="C180" s="1" t="n">
        <v>45981</v>
      </c>
      <c r="D180" t="inlineStr">
        <is>
          <t>UPPSALA LÄN</t>
        </is>
      </c>
      <c r="E180" t="inlineStr">
        <is>
          <t>ENKÖPING</t>
        </is>
      </c>
      <c r="G180" t="n">
        <v>2</v>
      </c>
      <c r="H180" t="n">
        <v>0</v>
      </c>
      <c r="I180" t="n">
        <v>0</v>
      </c>
      <c r="J180" t="n">
        <v>0</v>
      </c>
      <c r="K180" t="n">
        <v>0</v>
      </c>
      <c r="L180" t="n">
        <v>0</v>
      </c>
      <c r="M180" t="n">
        <v>0</v>
      </c>
      <c r="N180" t="n">
        <v>0</v>
      </c>
      <c r="O180" t="n">
        <v>0</v>
      </c>
      <c r="P180" t="n">
        <v>0</v>
      </c>
      <c r="Q180" t="n">
        <v>0</v>
      </c>
      <c r="R180" s="2" t="inlineStr"/>
    </row>
    <row r="181" ht="15" customHeight="1">
      <c r="A181" t="inlineStr">
        <is>
          <t>A 22677-2025</t>
        </is>
      </c>
      <c r="B181" s="1" t="n">
        <v>45789.49515046296</v>
      </c>
      <c r="C181" s="1" t="n">
        <v>45981</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22679-2025</t>
        </is>
      </c>
      <c r="B182" s="1" t="n">
        <v>45789.49747685185</v>
      </c>
      <c r="C182" s="1" t="n">
        <v>45981</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22770-2025</t>
        </is>
      </c>
      <c r="B183" s="1" t="n">
        <v>45789.63454861111</v>
      </c>
      <c r="C183" s="1" t="n">
        <v>45981</v>
      </c>
      <c r="D183" t="inlineStr">
        <is>
          <t>UPPSALA LÄN</t>
        </is>
      </c>
      <c r="E183" t="inlineStr">
        <is>
          <t>ENKÖPING</t>
        </is>
      </c>
      <c r="G183" t="n">
        <v>4.5</v>
      </c>
      <c r="H183" t="n">
        <v>0</v>
      </c>
      <c r="I183" t="n">
        <v>0</v>
      </c>
      <c r="J183" t="n">
        <v>0</v>
      </c>
      <c r="K183" t="n">
        <v>0</v>
      </c>
      <c r="L183" t="n">
        <v>0</v>
      </c>
      <c r="M183" t="n">
        <v>0</v>
      </c>
      <c r="N183" t="n">
        <v>0</v>
      </c>
      <c r="O183" t="n">
        <v>0</v>
      </c>
      <c r="P183" t="n">
        <v>0</v>
      </c>
      <c r="Q183" t="n">
        <v>0</v>
      </c>
      <c r="R183" s="2" t="inlineStr"/>
    </row>
    <row r="184" ht="15" customHeight="1">
      <c r="A184" t="inlineStr">
        <is>
          <t>A 22800-2025</t>
        </is>
      </c>
      <c r="B184" s="1" t="n">
        <v>45789.6669212963</v>
      </c>
      <c r="C184" s="1" t="n">
        <v>45981</v>
      </c>
      <c r="D184" t="inlineStr">
        <is>
          <t>UPPSALA LÄN</t>
        </is>
      </c>
      <c r="E184" t="inlineStr">
        <is>
          <t>ENKÖPING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45142-2023</t>
        </is>
      </c>
      <c r="B185" s="1" t="n">
        <v>45191.4702662037</v>
      </c>
      <c r="C185" s="1" t="n">
        <v>45981</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11918-2025</t>
        </is>
      </c>
      <c r="B186" s="1" t="n">
        <v>45728.49331018519</v>
      </c>
      <c r="C186" s="1" t="n">
        <v>45981</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31242-2024</t>
        </is>
      </c>
      <c r="B187" s="1" t="n">
        <v>45503</v>
      </c>
      <c r="C187" s="1" t="n">
        <v>45981</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15757-2023</t>
        </is>
      </c>
      <c r="B188" s="1" t="n">
        <v>45021</v>
      </c>
      <c r="C188" s="1" t="n">
        <v>45981</v>
      </c>
      <c r="D188" t="inlineStr">
        <is>
          <t>UPPSALA LÄN</t>
        </is>
      </c>
      <c r="E188" t="inlineStr">
        <is>
          <t>ENKÖPING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6981-2025</t>
        </is>
      </c>
      <c r="B189" s="1" t="n">
        <v>45701</v>
      </c>
      <c r="C189" s="1" t="n">
        <v>45981</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22786-2025</t>
        </is>
      </c>
      <c r="B190" s="1" t="n">
        <v>45789.64643518518</v>
      </c>
      <c r="C190" s="1" t="n">
        <v>45981</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845-2025</t>
        </is>
      </c>
      <c r="B191" s="1" t="n">
        <v>45665</v>
      </c>
      <c r="C191" s="1" t="n">
        <v>45981</v>
      </c>
      <c r="D191" t="inlineStr">
        <is>
          <t>UPPSALA LÄN</t>
        </is>
      </c>
      <c r="E191" t="inlineStr">
        <is>
          <t>ENKÖPING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849-2025</t>
        </is>
      </c>
      <c r="B192" s="1" t="n">
        <v>45665</v>
      </c>
      <c r="C192" s="1" t="n">
        <v>45981</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2161-2023</t>
        </is>
      </c>
      <c r="B193" s="1" t="n">
        <v>44941</v>
      </c>
      <c r="C193" s="1" t="n">
        <v>45981</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2165-2023</t>
        </is>
      </c>
      <c r="B194" s="1" t="n">
        <v>44941</v>
      </c>
      <c r="C194" s="1" t="n">
        <v>45981</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68123-2021</t>
        </is>
      </c>
      <c r="B195" s="1" t="n">
        <v>44526.39126157408</v>
      </c>
      <c r="C195" s="1" t="n">
        <v>45981</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22680-2025</t>
        </is>
      </c>
      <c r="B196" s="1" t="n">
        <v>45789.5005787037</v>
      </c>
      <c r="C196" s="1" t="n">
        <v>45981</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22802-2025</t>
        </is>
      </c>
      <c r="B197" s="1" t="n">
        <v>45789.6686574074</v>
      </c>
      <c r="C197" s="1" t="n">
        <v>45981</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41616-2025</t>
        </is>
      </c>
      <c r="B198" s="1" t="n">
        <v>45901.69684027778</v>
      </c>
      <c r="C198" s="1" t="n">
        <v>45981</v>
      </c>
      <c r="D198" t="inlineStr">
        <is>
          <t>UPPSALA LÄN</t>
        </is>
      </c>
      <c r="E198" t="inlineStr">
        <is>
          <t>ENKÖPING</t>
        </is>
      </c>
      <c r="F198" t="inlineStr">
        <is>
          <t>Allmännings- och besparingsskogar</t>
        </is>
      </c>
      <c r="G198" t="n">
        <v>17.3</v>
      </c>
      <c r="H198" t="n">
        <v>0</v>
      </c>
      <c r="I198" t="n">
        <v>0</v>
      </c>
      <c r="J198" t="n">
        <v>0</v>
      </c>
      <c r="K198" t="n">
        <v>0</v>
      </c>
      <c r="L198" t="n">
        <v>0</v>
      </c>
      <c r="M198" t="n">
        <v>0</v>
      </c>
      <c r="N198" t="n">
        <v>0</v>
      </c>
      <c r="O198" t="n">
        <v>0</v>
      </c>
      <c r="P198" t="n">
        <v>0</v>
      </c>
      <c r="Q198" t="n">
        <v>0</v>
      </c>
      <c r="R198" s="2" t="inlineStr"/>
    </row>
    <row r="199" ht="15" customHeight="1">
      <c r="A199" t="inlineStr">
        <is>
          <t>A 20112-2024</t>
        </is>
      </c>
      <c r="B199" s="1" t="n">
        <v>45434</v>
      </c>
      <c r="C199" s="1" t="n">
        <v>45981</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22793-2025</t>
        </is>
      </c>
      <c r="B200" s="1" t="n">
        <v>45789.65693287037</v>
      </c>
      <c r="C200" s="1" t="n">
        <v>45981</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22795-2025</t>
        </is>
      </c>
      <c r="B201" s="1" t="n">
        <v>45789.65944444444</v>
      </c>
      <c r="C201" s="1" t="n">
        <v>45981</v>
      </c>
      <c r="D201" t="inlineStr">
        <is>
          <t>UPPSALA LÄN</t>
        </is>
      </c>
      <c r="E201" t="inlineStr">
        <is>
          <t>ENKÖPING</t>
        </is>
      </c>
      <c r="G201" t="n">
        <v>10.4</v>
      </c>
      <c r="H201" t="n">
        <v>0</v>
      </c>
      <c r="I201" t="n">
        <v>0</v>
      </c>
      <c r="J201" t="n">
        <v>0</v>
      </c>
      <c r="K201" t="n">
        <v>0</v>
      </c>
      <c r="L201" t="n">
        <v>0</v>
      </c>
      <c r="M201" t="n">
        <v>0</v>
      </c>
      <c r="N201" t="n">
        <v>0</v>
      </c>
      <c r="O201" t="n">
        <v>0</v>
      </c>
      <c r="P201" t="n">
        <v>0</v>
      </c>
      <c r="Q201" t="n">
        <v>0</v>
      </c>
      <c r="R201" s="2" t="inlineStr"/>
    </row>
    <row r="202" ht="15" customHeight="1">
      <c r="A202" t="inlineStr">
        <is>
          <t>A 22725-2025</t>
        </is>
      </c>
      <c r="B202" s="1" t="n">
        <v>45789.57371527778</v>
      </c>
      <c r="C202" s="1" t="n">
        <v>45981</v>
      </c>
      <c r="D202" t="inlineStr">
        <is>
          <t>UPPSALA LÄN</t>
        </is>
      </c>
      <c r="E202" t="inlineStr">
        <is>
          <t>ENKÖPING</t>
        </is>
      </c>
      <c r="G202" t="n">
        <v>4.8</v>
      </c>
      <c r="H202" t="n">
        <v>0</v>
      </c>
      <c r="I202" t="n">
        <v>0</v>
      </c>
      <c r="J202" t="n">
        <v>0</v>
      </c>
      <c r="K202" t="n">
        <v>0</v>
      </c>
      <c r="L202" t="n">
        <v>0</v>
      </c>
      <c r="M202" t="n">
        <v>0</v>
      </c>
      <c r="N202" t="n">
        <v>0</v>
      </c>
      <c r="O202" t="n">
        <v>0</v>
      </c>
      <c r="P202" t="n">
        <v>0</v>
      </c>
      <c r="Q202" t="n">
        <v>0</v>
      </c>
      <c r="R202" s="2" t="inlineStr"/>
    </row>
    <row r="203" ht="15" customHeight="1">
      <c r="A203" t="inlineStr">
        <is>
          <t>A 41637-2025</t>
        </is>
      </c>
      <c r="B203" s="1" t="n">
        <v>45901</v>
      </c>
      <c r="C203" s="1" t="n">
        <v>45981</v>
      </c>
      <c r="D203" t="inlineStr">
        <is>
          <t>UPPSALA LÄN</t>
        </is>
      </c>
      <c r="E203" t="inlineStr">
        <is>
          <t>ENKÖPING</t>
        </is>
      </c>
      <c r="F203" t="inlineStr">
        <is>
          <t>Allmännings- och besparingsskogar</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41618-2025</t>
        </is>
      </c>
      <c r="B204" s="1" t="n">
        <v>45901.70085648148</v>
      </c>
      <c r="C204" s="1" t="n">
        <v>45981</v>
      </c>
      <c r="D204" t="inlineStr">
        <is>
          <t>UPPSALA LÄN</t>
        </is>
      </c>
      <c r="E204" t="inlineStr">
        <is>
          <t>ENKÖPING</t>
        </is>
      </c>
      <c r="F204" t="inlineStr">
        <is>
          <t>Allmännings- och besparingsskogar</t>
        </is>
      </c>
      <c r="G204" t="n">
        <v>5.3</v>
      </c>
      <c r="H204" t="n">
        <v>0</v>
      </c>
      <c r="I204" t="n">
        <v>0</v>
      </c>
      <c r="J204" t="n">
        <v>0</v>
      </c>
      <c r="K204" t="n">
        <v>0</v>
      </c>
      <c r="L204" t="n">
        <v>0</v>
      </c>
      <c r="M204" t="n">
        <v>0</v>
      </c>
      <c r="N204" t="n">
        <v>0</v>
      </c>
      <c r="O204" t="n">
        <v>0</v>
      </c>
      <c r="P204" t="n">
        <v>0</v>
      </c>
      <c r="Q204" t="n">
        <v>0</v>
      </c>
      <c r="R204" s="2" t="inlineStr"/>
    </row>
    <row r="205" ht="15" customHeight="1">
      <c r="A205" t="inlineStr">
        <is>
          <t>A 62158-2023</t>
        </is>
      </c>
      <c r="B205" s="1" t="n">
        <v>45267</v>
      </c>
      <c r="C205" s="1" t="n">
        <v>45981</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60350-2022</t>
        </is>
      </c>
      <c r="B206" s="1" t="n">
        <v>44910</v>
      </c>
      <c r="C206" s="1" t="n">
        <v>45981</v>
      </c>
      <c r="D206" t="inlineStr">
        <is>
          <t>UPPSALA LÄN</t>
        </is>
      </c>
      <c r="E206" t="inlineStr">
        <is>
          <t>ENKÖPING</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2162-2023</t>
        </is>
      </c>
      <c r="B207" s="1" t="n">
        <v>44941</v>
      </c>
      <c r="C207" s="1" t="n">
        <v>45981</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2850-2025</t>
        </is>
      </c>
      <c r="B208" s="1" t="n">
        <v>45677</v>
      </c>
      <c r="C208" s="1" t="n">
        <v>45981</v>
      </c>
      <c r="D208" t="inlineStr">
        <is>
          <t>UPPSALA LÄN</t>
        </is>
      </c>
      <c r="E208" t="inlineStr">
        <is>
          <t>ENKÖPING</t>
        </is>
      </c>
      <c r="G208" t="n">
        <v>0.3</v>
      </c>
      <c r="H208" t="n">
        <v>0</v>
      </c>
      <c r="I208" t="n">
        <v>0</v>
      </c>
      <c r="J208" t="n">
        <v>0</v>
      </c>
      <c r="K208" t="n">
        <v>0</v>
      </c>
      <c r="L208" t="n">
        <v>0</v>
      </c>
      <c r="M208" t="n">
        <v>0</v>
      </c>
      <c r="N208" t="n">
        <v>0</v>
      </c>
      <c r="O208" t="n">
        <v>0</v>
      </c>
      <c r="P208" t="n">
        <v>0</v>
      </c>
      <c r="Q208" t="n">
        <v>0</v>
      </c>
      <c r="R208" s="2" t="inlineStr"/>
    </row>
    <row r="209" ht="15" customHeight="1">
      <c r="A209" t="inlineStr">
        <is>
          <t>A 32081-2024</t>
        </is>
      </c>
      <c r="B209" s="1" t="n">
        <v>45511.34605324074</v>
      </c>
      <c r="C209" s="1" t="n">
        <v>45981</v>
      </c>
      <c r="D209" t="inlineStr">
        <is>
          <t>UPPSALA LÄN</t>
        </is>
      </c>
      <c r="E209" t="inlineStr">
        <is>
          <t>ENKÖPING</t>
        </is>
      </c>
      <c r="G209" t="n">
        <v>5.4</v>
      </c>
      <c r="H209" t="n">
        <v>0</v>
      </c>
      <c r="I209" t="n">
        <v>0</v>
      </c>
      <c r="J209" t="n">
        <v>0</v>
      </c>
      <c r="K209" t="n">
        <v>0</v>
      </c>
      <c r="L209" t="n">
        <v>0</v>
      </c>
      <c r="M209" t="n">
        <v>0</v>
      </c>
      <c r="N209" t="n">
        <v>0</v>
      </c>
      <c r="O209" t="n">
        <v>0</v>
      </c>
      <c r="P209" t="n">
        <v>0</v>
      </c>
      <c r="Q209" t="n">
        <v>0</v>
      </c>
      <c r="R209" s="2" t="inlineStr"/>
    </row>
    <row r="210" ht="15" customHeight="1">
      <c r="A210" t="inlineStr">
        <is>
          <t>A 35647-2021</t>
        </is>
      </c>
      <c r="B210" s="1" t="n">
        <v>44386</v>
      </c>
      <c r="C210" s="1" t="n">
        <v>45981</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22981-2025</t>
        </is>
      </c>
      <c r="B211" s="1" t="n">
        <v>45790.56964120371</v>
      </c>
      <c r="C211" s="1" t="n">
        <v>45981</v>
      </c>
      <c r="D211" t="inlineStr">
        <is>
          <t>UPPSALA LÄN</t>
        </is>
      </c>
      <c r="E211" t="inlineStr">
        <is>
          <t>ENKÖPING</t>
        </is>
      </c>
      <c r="G211" t="n">
        <v>1.5</v>
      </c>
      <c r="H211" t="n">
        <v>0</v>
      </c>
      <c r="I211" t="n">
        <v>0</v>
      </c>
      <c r="J211" t="n">
        <v>0</v>
      </c>
      <c r="K211" t="n">
        <v>0</v>
      </c>
      <c r="L211" t="n">
        <v>0</v>
      </c>
      <c r="M211" t="n">
        <v>0</v>
      </c>
      <c r="N211" t="n">
        <v>0</v>
      </c>
      <c r="O211" t="n">
        <v>0</v>
      </c>
      <c r="P211" t="n">
        <v>0</v>
      </c>
      <c r="Q211" t="n">
        <v>0</v>
      </c>
      <c r="R211" s="2" t="inlineStr"/>
    </row>
    <row r="212" ht="15" customHeight="1">
      <c r="A212" t="inlineStr">
        <is>
          <t>A 45956-2024</t>
        </is>
      </c>
      <c r="B212" s="1" t="n">
        <v>45580</v>
      </c>
      <c r="C212" s="1" t="n">
        <v>45981</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10831-2024</t>
        </is>
      </c>
      <c r="B213" s="1" t="n">
        <v>45369</v>
      </c>
      <c r="C213" s="1" t="n">
        <v>45981</v>
      </c>
      <c r="D213" t="inlineStr">
        <is>
          <t>UPPSALA LÄN</t>
        </is>
      </c>
      <c r="E213" t="inlineStr">
        <is>
          <t>ENKÖPING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42029-2025</t>
        </is>
      </c>
      <c r="B214" s="1" t="n">
        <v>45903</v>
      </c>
      <c r="C214" s="1" t="n">
        <v>45981</v>
      </c>
      <c r="D214" t="inlineStr">
        <is>
          <t>UPPSALA LÄN</t>
        </is>
      </c>
      <c r="E214" t="inlineStr">
        <is>
          <t>ENKÖPING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41765-2025</t>
        </is>
      </c>
      <c r="B215" s="1" t="n">
        <v>45902</v>
      </c>
      <c r="C215" s="1" t="n">
        <v>45981</v>
      </c>
      <c r="D215" t="inlineStr">
        <is>
          <t>UPPSALA LÄN</t>
        </is>
      </c>
      <c r="E215" t="inlineStr">
        <is>
          <t>ENKÖPING</t>
        </is>
      </c>
      <c r="G215" t="n">
        <v>2.7</v>
      </c>
      <c r="H215" t="n">
        <v>0</v>
      </c>
      <c r="I215" t="n">
        <v>0</v>
      </c>
      <c r="J215" t="n">
        <v>0</v>
      </c>
      <c r="K215" t="n">
        <v>0</v>
      </c>
      <c r="L215" t="n">
        <v>0</v>
      </c>
      <c r="M215" t="n">
        <v>0</v>
      </c>
      <c r="N215" t="n">
        <v>0</v>
      </c>
      <c r="O215" t="n">
        <v>0</v>
      </c>
      <c r="P215" t="n">
        <v>0</v>
      </c>
      <c r="Q215" t="n">
        <v>0</v>
      </c>
      <c r="R215" s="2" t="inlineStr"/>
    </row>
    <row r="216" ht="15" customHeight="1">
      <c r="A216" t="inlineStr">
        <is>
          <t>A 2968-2025</t>
        </is>
      </c>
      <c r="B216" s="1" t="n">
        <v>45678</v>
      </c>
      <c r="C216" s="1" t="n">
        <v>45981</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8020-2022</t>
        </is>
      </c>
      <c r="B217" s="1" t="n">
        <v>44609</v>
      </c>
      <c r="C217" s="1" t="n">
        <v>45981</v>
      </c>
      <c r="D217" t="inlineStr">
        <is>
          <t>UPPSALA LÄN</t>
        </is>
      </c>
      <c r="E217" t="inlineStr">
        <is>
          <t>ENKÖPING</t>
        </is>
      </c>
      <c r="G217" t="n">
        <v>6</v>
      </c>
      <c r="H217" t="n">
        <v>0</v>
      </c>
      <c r="I217" t="n">
        <v>0</v>
      </c>
      <c r="J217" t="n">
        <v>0</v>
      </c>
      <c r="K217" t="n">
        <v>0</v>
      </c>
      <c r="L217" t="n">
        <v>0</v>
      </c>
      <c r="M217" t="n">
        <v>0</v>
      </c>
      <c r="N217" t="n">
        <v>0</v>
      </c>
      <c r="O217" t="n">
        <v>0</v>
      </c>
      <c r="P217" t="n">
        <v>0</v>
      </c>
      <c r="Q217" t="n">
        <v>0</v>
      </c>
      <c r="R217" s="2" t="inlineStr"/>
    </row>
    <row r="218" ht="15" customHeight="1">
      <c r="A218" t="inlineStr">
        <is>
          <t>A 74090-2021</t>
        </is>
      </c>
      <c r="B218" s="1" t="n">
        <v>44557</v>
      </c>
      <c r="C218" s="1" t="n">
        <v>45981</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49525-2021</t>
        </is>
      </c>
      <c r="B219" s="1" t="n">
        <v>44455</v>
      </c>
      <c r="C219" s="1" t="n">
        <v>45981</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34805-2024</t>
        </is>
      </c>
      <c r="B220" s="1" t="n">
        <v>45526</v>
      </c>
      <c r="C220" s="1" t="n">
        <v>45981</v>
      </c>
      <c r="D220" t="inlineStr">
        <is>
          <t>UPPSALA LÄN</t>
        </is>
      </c>
      <c r="E220" t="inlineStr">
        <is>
          <t>ENKÖPING</t>
        </is>
      </c>
      <c r="G220" t="n">
        <v>3.6</v>
      </c>
      <c r="H220" t="n">
        <v>0</v>
      </c>
      <c r="I220" t="n">
        <v>0</v>
      </c>
      <c r="J220" t="n">
        <v>0</v>
      </c>
      <c r="K220" t="n">
        <v>0</v>
      </c>
      <c r="L220" t="n">
        <v>0</v>
      </c>
      <c r="M220" t="n">
        <v>0</v>
      </c>
      <c r="N220" t="n">
        <v>0</v>
      </c>
      <c r="O220" t="n">
        <v>0</v>
      </c>
      <c r="P220" t="n">
        <v>0</v>
      </c>
      <c r="Q220" t="n">
        <v>0</v>
      </c>
      <c r="R220" s="2" t="inlineStr"/>
    </row>
    <row r="221" ht="15" customHeight="1">
      <c r="A221" t="inlineStr">
        <is>
          <t>A 17729-2023</t>
        </is>
      </c>
      <c r="B221" s="1" t="n">
        <v>45037</v>
      </c>
      <c r="C221" s="1" t="n">
        <v>45981</v>
      </c>
      <c r="D221" t="inlineStr">
        <is>
          <t>UPPSALA LÄN</t>
        </is>
      </c>
      <c r="E221" t="inlineStr">
        <is>
          <t>ENKÖPING</t>
        </is>
      </c>
      <c r="G221" t="n">
        <v>10.2</v>
      </c>
      <c r="H221" t="n">
        <v>0</v>
      </c>
      <c r="I221" t="n">
        <v>0</v>
      </c>
      <c r="J221" t="n">
        <v>0</v>
      </c>
      <c r="K221" t="n">
        <v>0</v>
      </c>
      <c r="L221" t="n">
        <v>0</v>
      </c>
      <c r="M221" t="n">
        <v>0</v>
      </c>
      <c r="N221" t="n">
        <v>0</v>
      </c>
      <c r="O221" t="n">
        <v>0</v>
      </c>
      <c r="P221" t="n">
        <v>0</v>
      </c>
      <c r="Q221" t="n">
        <v>0</v>
      </c>
      <c r="R221" s="2" t="inlineStr"/>
    </row>
    <row r="222" ht="15" customHeight="1">
      <c r="A222" t="inlineStr">
        <is>
          <t>A 5712-2025</t>
        </is>
      </c>
      <c r="B222" s="1" t="n">
        <v>45694</v>
      </c>
      <c r="C222" s="1" t="n">
        <v>45981</v>
      </c>
      <c r="D222" t="inlineStr">
        <is>
          <t>UPPSALA LÄN</t>
        </is>
      </c>
      <c r="E222" t="inlineStr">
        <is>
          <t>ENKÖPING</t>
        </is>
      </c>
      <c r="G222" t="n">
        <v>5.1</v>
      </c>
      <c r="H222" t="n">
        <v>0</v>
      </c>
      <c r="I222" t="n">
        <v>0</v>
      </c>
      <c r="J222" t="n">
        <v>0</v>
      </c>
      <c r="K222" t="n">
        <v>0</v>
      </c>
      <c r="L222" t="n">
        <v>0</v>
      </c>
      <c r="M222" t="n">
        <v>0</v>
      </c>
      <c r="N222" t="n">
        <v>0</v>
      </c>
      <c r="O222" t="n">
        <v>0</v>
      </c>
      <c r="P222" t="n">
        <v>0</v>
      </c>
      <c r="Q222" t="n">
        <v>0</v>
      </c>
      <c r="R222" s="2" t="inlineStr"/>
    </row>
    <row r="223" ht="15" customHeight="1">
      <c r="A223" t="inlineStr">
        <is>
          <t>A 5749-2025</t>
        </is>
      </c>
      <c r="B223" s="1" t="n">
        <v>45694</v>
      </c>
      <c r="C223" s="1" t="n">
        <v>45981</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314-2025</t>
        </is>
      </c>
      <c r="B224" s="1" t="n">
        <v>45656</v>
      </c>
      <c r="C224" s="1" t="n">
        <v>45981</v>
      </c>
      <c r="D224" t="inlineStr">
        <is>
          <t>UPPSALA LÄN</t>
        </is>
      </c>
      <c r="E224" t="inlineStr">
        <is>
          <t>ENKÖPING</t>
        </is>
      </c>
      <c r="G224" t="n">
        <v>9</v>
      </c>
      <c r="H224" t="n">
        <v>0</v>
      </c>
      <c r="I224" t="n">
        <v>0</v>
      </c>
      <c r="J224" t="n">
        <v>0</v>
      </c>
      <c r="K224" t="n">
        <v>0</v>
      </c>
      <c r="L224" t="n">
        <v>0</v>
      </c>
      <c r="M224" t="n">
        <v>0</v>
      </c>
      <c r="N224" t="n">
        <v>0</v>
      </c>
      <c r="O224" t="n">
        <v>0</v>
      </c>
      <c r="P224" t="n">
        <v>0</v>
      </c>
      <c r="Q224" t="n">
        <v>0</v>
      </c>
      <c r="R224" s="2" t="inlineStr"/>
    </row>
    <row r="225" ht="15" customHeight="1">
      <c r="A225" t="inlineStr">
        <is>
          <t>A 11627-2025</t>
        </is>
      </c>
      <c r="B225" s="1" t="n">
        <v>45727</v>
      </c>
      <c r="C225" s="1" t="n">
        <v>45981</v>
      </c>
      <c r="D225" t="inlineStr">
        <is>
          <t>UPPSALA LÄN</t>
        </is>
      </c>
      <c r="E225" t="inlineStr">
        <is>
          <t>ENKÖPING</t>
        </is>
      </c>
      <c r="G225" t="n">
        <v>5.5</v>
      </c>
      <c r="H225" t="n">
        <v>0</v>
      </c>
      <c r="I225" t="n">
        <v>0</v>
      </c>
      <c r="J225" t="n">
        <v>0</v>
      </c>
      <c r="K225" t="n">
        <v>0</v>
      </c>
      <c r="L225" t="n">
        <v>0</v>
      </c>
      <c r="M225" t="n">
        <v>0</v>
      </c>
      <c r="N225" t="n">
        <v>0</v>
      </c>
      <c r="O225" t="n">
        <v>0</v>
      </c>
      <c r="P225" t="n">
        <v>0</v>
      </c>
      <c r="Q225" t="n">
        <v>0</v>
      </c>
      <c r="R225" s="2" t="inlineStr"/>
    </row>
    <row r="226" ht="15" customHeight="1">
      <c r="A226" t="inlineStr">
        <is>
          <t>A 6959-2025</t>
        </is>
      </c>
      <c r="B226" s="1" t="n">
        <v>45701.49315972222</v>
      </c>
      <c r="C226" s="1" t="n">
        <v>45981</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10458-2022</t>
        </is>
      </c>
      <c r="B227" s="1" t="n">
        <v>44623.56711805556</v>
      </c>
      <c r="C227" s="1" t="n">
        <v>45981</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47516-2022</t>
        </is>
      </c>
      <c r="B228" s="1" t="n">
        <v>44853.68895833333</v>
      </c>
      <c r="C228" s="1" t="n">
        <v>45981</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51133-2025</t>
        </is>
      </c>
      <c r="B229" s="1" t="n">
        <v>45947.55598379629</v>
      </c>
      <c r="C229" s="1" t="n">
        <v>45981</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30437-2022</t>
        </is>
      </c>
      <c r="B230" s="1" t="n">
        <v>44761</v>
      </c>
      <c r="C230" s="1" t="n">
        <v>45981</v>
      </c>
      <c r="D230" t="inlineStr">
        <is>
          <t>UPPSALA LÄN</t>
        </is>
      </c>
      <c r="E230" t="inlineStr">
        <is>
          <t>ENKÖPING</t>
        </is>
      </c>
      <c r="G230" t="n">
        <v>3.4</v>
      </c>
      <c r="H230" t="n">
        <v>0</v>
      </c>
      <c r="I230" t="n">
        <v>0</v>
      </c>
      <c r="J230" t="n">
        <v>0</v>
      </c>
      <c r="K230" t="n">
        <v>0</v>
      </c>
      <c r="L230" t="n">
        <v>0</v>
      </c>
      <c r="M230" t="n">
        <v>0</v>
      </c>
      <c r="N230" t="n">
        <v>0</v>
      </c>
      <c r="O230" t="n">
        <v>0</v>
      </c>
      <c r="P230" t="n">
        <v>0</v>
      </c>
      <c r="Q230" t="n">
        <v>0</v>
      </c>
      <c r="R230" s="2" t="inlineStr"/>
    </row>
    <row r="231" ht="15" customHeight="1">
      <c r="A231" t="inlineStr">
        <is>
          <t>A 51011-2024</t>
        </is>
      </c>
      <c r="B231" s="1" t="n">
        <v>45603.39427083333</v>
      </c>
      <c r="C231" s="1" t="n">
        <v>45981</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44115-2024</t>
        </is>
      </c>
      <c r="B232" s="1" t="n">
        <v>45572</v>
      </c>
      <c r="C232" s="1" t="n">
        <v>45981</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26319-2022</t>
        </is>
      </c>
      <c r="B233" s="1" t="n">
        <v>44735</v>
      </c>
      <c r="C233" s="1" t="n">
        <v>45981</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9957-2023</t>
        </is>
      </c>
      <c r="B234" s="1" t="n">
        <v>44978</v>
      </c>
      <c r="C234" s="1" t="n">
        <v>45981</v>
      </c>
      <c r="D234" t="inlineStr">
        <is>
          <t>UPPSALA LÄN</t>
        </is>
      </c>
      <c r="E234" t="inlineStr">
        <is>
          <t>ENKÖPING</t>
        </is>
      </c>
      <c r="G234" t="n">
        <v>5.9</v>
      </c>
      <c r="H234" t="n">
        <v>0</v>
      </c>
      <c r="I234" t="n">
        <v>0</v>
      </c>
      <c r="J234" t="n">
        <v>0</v>
      </c>
      <c r="K234" t="n">
        <v>0</v>
      </c>
      <c r="L234" t="n">
        <v>0</v>
      </c>
      <c r="M234" t="n">
        <v>0</v>
      </c>
      <c r="N234" t="n">
        <v>0</v>
      </c>
      <c r="O234" t="n">
        <v>0</v>
      </c>
      <c r="P234" t="n">
        <v>0</v>
      </c>
      <c r="Q234" t="n">
        <v>0</v>
      </c>
      <c r="R234" s="2" t="inlineStr"/>
    </row>
    <row r="235" ht="15" customHeight="1">
      <c r="A235" t="inlineStr">
        <is>
          <t>A 24411-2024</t>
        </is>
      </c>
      <c r="B235" s="1" t="n">
        <v>45457</v>
      </c>
      <c r="C235" s="1" t="n">
        <v>45981</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29918-2023</t>
        </is>
      </c>
      <c r="B236" s="1" t="n">
        <v>45099</v>
      </c>
      <c r="C236" s="1" t="n">
        <v>45981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63402-2023</t>
        </is>
      </c>
      <c r="B237" s="1" t="n">
        <v>45274.50646990741</v>
      </c>
      <c r="C237" s="1" t="n">
        <v>45981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24291-2024</t>
        </is>
      </c>
      <c r="B238" s="1" t="n">
        <v>45457.4584837963</v>
      </c>
      <c r="C238" s="1" t="n">
        <v>45981</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51162-2025</t>
        </is>
      </c>
      <c r="B239" s="1" t="n">
        <v>45947.58820601852</v>
      </c>
      <c r="C239" s="1" t="n">
        <v>45981</v>
      </c>
      <c r="D239" t="inlineStr">
        <is>
          <t>UPPSALA LÄN</t>
        </is>
      </c>
      <c r="E239" t="inlineStr">
        <is>
          <t>ENKÖPING</t>
        </is>
      </c>
      <c r="G239" t="n">
        <v>3.4</v>
      </c>
      <c r="H239" t="n">
        <v>0</v>
      </c>
      <c r="I239" t="n">
        <v>0</v>
      </c>
      <c r="J239" t="n">
        <v>0</v>
      </c>
      <c r="K239" t="n">
        <v>0</v>
      </c>
      <c r="L239" t="n">
        <v>0</v>
      </c>
      <c r="M239" t="n">
        <v>0</v>
      </c>
      <c r="N239" t="n">
        <v>0</v>
      </c>
      <c r="O239" t="n">
        <v>0</v>
      </c>
      <c r="P239" t="n">
        <v>0</v>
      </c>
      <c r="Q239" t="n">
        <v>0</v>
      </c>
      <c r="R239" s="2" t="inlineStr"/>
    </row>
    <row r="240" ht="15" customHeight="1">
      <c r="A240" t="inlineStr">
        <is>
          <t>A 16916-2023</t>
        </is>
      </c>
      <c r="B240" s="1" t="n">
        <v>45033.58347222222</v>
      </c>
      <c r="C240" s="1" t="n">
        <v>45981</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56886-2023</t>
        </is>
      </c>
      <c r="B241" s="1" t="n">
        <v>45239</v>
      </c>
      <c r="C241" s="1" t="n">
        <v>45981</v>
      </c>
      <c r="D241" t="inlineStr">
        <is>
          <t>UPPSALA LÄN</t>
        </is>
      </c>
      <c r="E241" t="inlineStr">
        <is>
          <t>ENKÖPING</t>
        </is>
      </c>
      <c r="G241" t="n">
        <v>2</v>
      </c>
      <c r="H241" t="n">
        <v>0</v>
      </c>
      <c r="I241" t="n">
        <v>0</v>
      </c>
      <c r="J241" t="n">
        <v>0</v>
      </c>
      <c r="K241" t="n">
        <v>0</v>
      </c>
      <c r="L241" t="n">
        <v>0</v>
      </c>
      <c r="M241" t="n">
        <v>0</v>
      </c>
      <c r="N241" t="n">
        <v>0</v>
      </c>
      <c r="O241" t="n">
        <v>0</v>
      </c>
      <c r="P241" t="n">
        <v>0</v>
      </c>
      <c r="Q241" t="n">
        <v>0</v>
      </c>
      <c r="R241" s="2" t="inlineStr"/>
    </row>
    <row r="242" ht="15" customHeight="1">
      <c r="A242" t="inlineStr">
        <is>
          <t>A 41764-2025</t>
        </is>
      </c>
      <c r="B242" s="1" t="n">
        <v>45902</v>
      </c>
      <c r="C242" s="1" t="n">
        <v>45981</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51042-2024</t>
        </is>
      </c>
      <c r="B243" s="1" t="n">
        <v>45603.4342824074</v>
      </c>
      <c r="C243" s="1" t="n">
        <v>45981</v>
      </c>
      <c r="D243" t="inlineStr">
        <is>
          <t>UPPSALA LÄN</t>
        </is>
      </c>
      <c r="E243" t="inlineStr">
        <is>
          <t>ENKÖPING</t>
        </is>
      </c>
      <c r="G243" t="n">
        <v>4.6</v>
      </c>
      <c r="H243" t="n">
        <v>0</v>
      </c>
      <c r="I243" t="n">
        <v>0</v>
      </c>
      <c r="J243" t="n">
        <v>0</v>
      </c>
      <c r="K243" t="n">
        <v>0</v>
      </c>
      <c r="L243" t="n">
        <v>0</v>
      </c>
      <c r="M243" t="n">
        <v>0</v>
      </c>
      <c r="N243" t="n">
        <v>0</v>
      </c>
      <c r="O243" t="n">
        <v>0</v>
      </c>
      <c r="P243" t="n">
        <v>0</v>
      </c>
      <c r="Q243" t="n">
        <v>0</v>
      </c>
      <c r="R243" s="2" t="inlineStr"/>
    </row>
    <row r="244" ht="15" customHeight="1">
      <c r="A244" t="inlineStr">
        <is>
          <t>A 51037-2024</t>
        </is>
      </c>
      <c r="B244" s="1" t="n">
        <v>45603.43005787037</v>
      </c>
      <c r="C244" s="1" t="n">
        <v>45981</v>
      </c>
      <c r="D244" t="inlineStr">
        <is>
          <t>UPPSALA LÄN</t>
        </is>
      </c>
      <c r="E244" t="inlineStr">
        <is>
          <t>ENKÖPING</t>
        </is>
      </c>
      <c r="G244" t="n">
        <v>5.7</v>
      </c>
      <c r="H244" t="n">
        <v>0</v>
      </c>
      <c r="I244" t="n">
        <v>0</v>
      </c>
      <c r="J244" t="n">
        <v>0</v>
      </c>
      <c r="K244" t="n">
        <v>0</v>
      </c>
      <c r="L244" t="n">
        <v>0</v>
      </c>
      <c r="M244" t="n">
        <v>0</v>
      </c>
      <c r="N244" t="n">
        <v>0</v>
      </c>
      <c r="O244" t="n">
        <v>0</v>
      </c>
      <c r="P244" t="n">
        <v>0</v>
      </c>
      <c r="Q244" t="n">
        <v>0</v>
      </c>
      <c r="R244" s="2" t="inlineStr"/>
    </row>
    <row r="245" ht="15" customHeight="1">
      <c r="A245" t="inlineStr">
        <is>
          <t>A 42756-2025</t>
        </is>
      </c>
      <c r="B245" s="1" t="n">
        <v>45908</v>
      </c>
      <c r="C245" s="1" t="n">
        <v>45981</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22632-2025</t>
        </is>
      </c>
      <c r="B246" s="1" t="n">
        <v>45789.44361111111</v>
      </c>
      <c r="C246" s="1" t="n">
        <v>45981</v>
      </c>
      <c r="D246" t="inlineStr">
        <is>
          <t>UPPSALA LÄN</t>
        </is>
      </c>
      <c r="E246" t="inlineStr">
        <is>
          <t>ENKÖPING</t>
        </is>
      </c>
      <c r="G246" t="n">
        <v>2.1</v>
      </c>
      <c r="H246" t="n">
        <v>0</v>
      </c>
      <c r="I246" t="n">
        <v>0</v>
      </c>
      <c r="J246" t="n">
        <v>0</v>
      </c>
      <c r="K246" t="n">
        <v>0</v>
      </c>
      <c r="L246" t="n">
        <v>0</v>
      </c>
      <c r="M246" t="n">
        <v>0</v>
      </c>
      <c r="N246" t="n">
        <v>0</v>
      </c>
      <c r="O246" t="n">
        <v>0</v>
      </c>
      <c r="P246" t="n">
        <v>0</v>
      </c>
      <c r="Q246" t="n">
        <v>0</v>
      </c>
      <c r="R246" s="2" t="inlineStr"/>
    </row>
    <row r="247" ht="15" customHeight="1">
      <c r="A247" t="inlineStr">
        <is>
          <t>A 43103-2025</t>
        </is>
      </c>
      <c r="B247" s="1" t="n">
        <v>45909</v>
      </c>
      <c r="C247" s="1" t="n">
        <v>45981</v>
      </c>
      <c r="D247" t="inlineStr">
        <is>
          <t>UPPSALA LÄN</t>
        </is>
      </c>
      <c r="E247" t="inlineStr">
        <is>
          <t>ENKÖPING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18592-2021</t>
        </is>
      </c>
      <c r="B248" s="1" t="n">
        <v>44306</v>
      </c>
      <c r="C248" s="1" t="n">
        <v>45981</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6356-2022</t>
        </is>
      </c>
      <c r="B249" s="1" t="n">
        <v>44600</v>
      </c>
      <c r="C249" s="1" t="n">
        <v>45981</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2833-2025</t>
        </is>
      </c>
      <c r="B250" s="1" t="n">
        <v>45677.63206018518</v>
      </c>
      <c r="C250" s="1" t="n">
        <v>45981</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13816-2021</t>
        </is>
      </c>
      <c r="B251" s="1" t="n">
        <v>44276</v>
      </c>
      <c r="C251" s="1" t="n">
        <v>45981</v>
      </c>
      <c r="D251" t="inlineStr">
        <is>
          <t>UPPSALA LÄN</t>
        </is>
      </c>
      <c r="E251" t="inlineStr">
        <is>
          <t>ENKÖPING</t>
        </is>
      </c>
      <c r="G251" t="n">
        <v>0.4</v>
      </c>
      <c r="H251" t="n">
        <v>0</v>
      </c>
      <c r="I251" t="n">
        <v>0</v>
      </c>
      <c r="J251" t="n">
        <v>0</v>
      </c>
      <c r="K251" t="n">
        <v>0</v>
      </c>
      <c r="L251" t="n">
        <v>0</v>
      </c>
      <c r="M251" t="n">
        <v>0</v>
      </c>
      <c r="N251" t="n">
        <v>0</v>
      </c>
      <c r="O251" t="n">
        <v>0</v>
      </c>
      <c r="P251" t="n">
        <v>0</v>
      </c>
      <c r="Q251" t="n">
        <v>0</v>
      </c>
      <c r="R251" s="2" t="inlineStr"/>
    </row>
    <row r="252" ht="15" customHeight="1">
      <c r="A252" t="inlineStr">
        <is>
          <t>A 51027-2024</t>
        </is>
      </c>
      <c r="B252" s="1" t="n">
        <v>45603</v>
      </c>
      <c r="C252" s="1" t="n">
        <v>45981</v>
      </c>
      <c r="D252" t="inlineStr">
        <is>
          <t>UPPSALA LÄN</t>
        </is>
      </c>
      <c r="E252" t="inlineStr">
        <is>
          <t>ENKÖPING</t>
        </is>
      </c>
      <c r="G252" t="n">
        <v>3.5</v>
      </c>
      <c r="H252" t="n">
        <v>0</v>
      </c>
      <c r="I252" t="n">
        <v>0</v>
      </c>
      <c r="J252" t="n">
        <v>0</v>
      </c>
      <c r="K252" t="n">
        <v>0</v>
      </c>
      <c r="L252" t="n">
        <v>0</v>
      </c>
      <c r="M252" t="n">
        <v>0</v>
      </c>
      <c r="N252" t="n">
        <v>0</v>
      </c>
      <c r="O252" t="n">
        <v>0</v>
      </c>
      <c r="P252" t="n">
        <v>0</v>
      </c>
      <c r="Q252" t="n">
        <v>0</v>
      </c>
      <c r="R252" s="2" t="inlineStr"/>
    </row>
    <row r="253" ht="15" customHeight="1">
      <c r="A253" t="inlineStr">
        <is>
          <t>A 50006-2023</t>
        </is>
      </c>
      <c r="B253" s="1" t="n">
        <v>45215</v>
      </c>
      <c r="C253" s="1" t="n">
        <v>45981</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56526-2022</t>
        </is>
      </c>
      <c r="B254" s="1" t="n">
        <v>44893</v>
      </c>
      <c r="C254" s="1" t="n">
        <v>45981</v>
      </c>
      <c r="D254" t="inlineStr">
        <is>
          <t>UPPSALA LÄN</t>
        </is>
      </c>
      <c r="E254" t="inlineStr">
        <is>
          <t>ENKÖPING</t>
        </is>
      </c>
      <c r="G254" t="n">
        <v>3.8</v>
      </c>
      <c r="H254" t="n">
        <v>0</v>
      </c>
      <c r="I254" t="n">
        <v>0</v>
      </c>
      <c r="J254" t="n">
        <v>0</v>
      </c>
      <c r="K254" t="n">
        <v>0</v>
      </c>
      <c r="L254" t="n">
        <v>0</v>
      </c>
      <c r="M254" t="n">
        <v>0</v>
      </c>
      <c r="N254" t="n">
        <v>0</v>
      </c>
      <c r="O254" t="n">
        <v>0</v>
      </c>
      <c r="P254" t="n">
        <v>0</v>
      </c>
      <c r="Q254" t="n">
        <v>0</v>
      </c>
      <c r="R254" s="2" t="inlineStr"/>
    </row>
    <row r="255" ht="15" customHeight="1">
      <c r="A255" t="inlineStr">
        <is>
          <t>A 39858-2024</t>
        </is>
      </c>
      <c r="B255" s="1" t="n">
        <v>45553</v>
      </c>
      <c r="C255" s="1" t="n">
        <v>45981</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60289-2022</t>
        </is>
      </c>
      <c r="B256" s="1" t="n">
        <v>44910.53026620371</v>
      </c>
      <c r="C256" s="1" t="n">
        <v>45981</v>
      </c>
      <c r="D256" t="inlineStr">
        <is>
          <t>UPPSALA LÄN</t>
        </is>
      </c>
      <c r="E256" t="inlineStr">
        <is>
          <t>ENKÖPING</t>
        </is>
      </c>
      <c r="G256" t="n">
        <v>3.2</v>
      </c>
      <c r="H256" t="n">
        <v>0</v>
      </c>
      <c r="I256" t="n">
        <v>0</v>
      </c>
      <c r="J256" t="n">
        <v>0</v>
      </c>
      <c r="K256" t="n">
        <v>0</v>
      </c>
      <c r="L256" t="n">
        <v>0</v>
      </c>
      <c r="M256" t="n">
        <v>0</v>
      </c>
      <c r="N256" t="n">
        <v>0</v>
      </c>
      <c r="O256" t="n">
        <v>0</v>
      </c>
      <c r="P256" t="n">
        <v>0</v>
      </c>
      <c r="Q256" t="n">
        <v>0</v>
      </c>
      <c r="R256" s="2" t="inlineStr"/>
    </row>
    <row r="257" ht="15" customHeight="1">
      <c r="A257" t="inlineStr">
        <is>
          <t>A 13110-2023</t>
        </is>
      </c>
      <c r="B257" s="1" t="n">
        <v>45001</v>
      </c>
      <c r="C257" s="1" t="n">
        <v>45981</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58384-2022</t>
        </is>
      </c>
      <c r="B258" s="1" t="n">
        <v>44901</v>
      </c>
      <c r="C258" s="1" t="n">
        <v>45981</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59602-2022</t>
        </is>
      </c>
      <c r="B259" s="1" t="n">
        <v>44907.72241898148</v>
      </c>
      <c r="C259" s="1" t="n">
        <v>45981</v>
      </c>
      <c r="D259" t="inlineStr">
        <is>
          <t>UPPSALA LÄN</t>
        </is>
      </c>
      <c r="E259" t="inlineStr">
        <is>
          <t>ENKÖPING</t>
        </is>
      </c>
      <c r="G259" t="n">
        <v>14.2</v>
      </c>
      <c r="H259" t="n">
        <v>0</v>
      </c>
      <c r="I259" t="n">
        <v>0</v>
      </c>
      <c r="J259" t="n">
        <v>0</v>
      </c>
      <c r="K259" t="n">
        <v>0</v>
      </c>
      <c r="L259" t="n">
        <v>0</v>
      </c>
      <c r="M259" t="n">
        <v>0</v>
      </c>
      <c r="N259" t="n">
        <v>0</v>
      </c>
      <c r="O259" t="n">
        <v>0</v>
      </c>
      <c r="P259" t="n">
        <v>0</v>
      </c>
      <c r="Q259" t="n">
        <v>0</v>
      </c>
      <c r="R259" s="2" t="inlineStr"/>
    </row>
    <row r="260" ht="15" customHeight="1">
      <c r="A260" t="inlineStr">
        <is>
          <t>A 43999-2025</t>
        </is>
      </c>
      <c r="B260" s="1" t="n">
        <v>45915.45158564814</v>
      </c>
      <c r="C260" s="1" t="n">
        <v>45981</v>
      </c>
      <c r="D260" t="inlineStr">
        <is>
          <t>UPPSALA LÄN</t>
        </is>
      </c>
      <c r="E260" t="inlineStr">
        <is>
          <t>ENKÖPING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58092-2024</t>
        </is>
      </c>
      <c r="B261" s="1" t="n">
        <v>45632</v>
      </c>
      <c r="C261" s="1" t="n">
        <v>45981</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31965-2021</t>
        </is>
      </c>
      <c r="B262" s="1" t="n">
        <v>44370.56901620371</v>
      </c>
      <c r="C262" s="1" t="n">
        <v>45981</v>
      </c>
      <c r="D262" t="inlineStr">
        <is>
          <t>UPPSALA LÄN</t>
        </is>
      </c>
      <c r="E262" t="inlineStr">
        <is>
          <t>ENKÖPING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67984-2021</t>
        </is>
      </c>
      <c r="B263" s="1" t="n">
        <v>44525.70237268518</v>
      </c>
      <c r="C263" s="1" t="n">
        <v>45981</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12434-2021</t>
        </is>
      </c>
      <c r="B264" s="1" t="n">
        <v>44267</v>
      </c>
      <c r="C264" s="1" t="n">
        <v>45981</v>
      </c>
      <c r="D264" t="inlineStr">
        <is>
          <t>UPPSALA LÄN</t>
        </is>
      </c>
      <c r="E264" t="inlineStr">
        <is>
          <t>ENKÖPING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49614-2024</t>
        </is>
      </c>
      <c r="B265" s="1" t="n">
        <v>45596.57716435185</v>
      </c>
      <c r="C265" s="1" t="n">
        <v>45981</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49632-2024</t>
        </is>
      </c>
      <c r="B266" s="1" t="n">
        <v>45596</v>
      </c>
      <c r="C266" s="1" t="n">
        <v>45981</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33619-2022</t>
        </is>
      </c>
      <c r="B267" s="1" t="n">
        <v>44789</v>
      </c>
      <c r="C267" s="1" t="n">
        <v>45981</v>
      </c>
      <c r="D267" t="inlineStr">
        <is>
          <t>UPPSALA LÄN</t>
        </is>
      </c>
      <c r="E267" t="inlineStr">
        <is>
          <t>ENKÖPING</t>
        </is>
      </c>
      <c r="F267" t="inlineStr">
        <is>
          <t>Allmännings- och besparingsskogar</t>
        </is>
      </c>
      <c r="G267" t="n">
        <v>4.5</v>
      </c>
      <c r="H267" t="n">
        <v>0</v>
      </c>
      <c r="I267" t="n">
        <v>0</v>
      </c>
      <c r="J267" t="n">
        <v>0</v>
      </c>
      <c r="K267" t="n">
        <v>0</v>
      </c>
      <c r="L267" t="n">
        <v>0</v>
      </c>
      <c r="M267" t="n">
        <v>0</v>
      </c>
      <c r="N267" t="n">
        <v>0</v>
      </c>
      <c r="O267" t="n">
        <v>0</v>
      </c>
      <c r="P267" t="n">
        <v>0</v>
      </c>
      <c r="Q267" t="n">
        <v>0</v>
      </c>
      <c r="R267" s="2" t="inlineStr"/>
    </row>
    <row r="268" ht="15" customHeight="1">
      <c r="A268" t="inlineStr">
        <is>
          <t>A 29479-2022</t>
        </is>
      </c>
      <c r="B268" s="1" t="n">
        <v>44753.57265046296</v>
      </c>
      <c r="C268" s="1" t="n">
        <v>45981</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26017-2025</t>
        </is>
      </c>
      <c r="B269" s="1" t="n">
        <v>45804</v>
      </c>
      <c r="C269" s="1" t="n">
        <v>45981</v>
      </c>
      <c r="D269" t="inlineStr">
        <is>
          <t>UPPSALA LÄN</t>
        </is>
      </c>
      <c r="E269" t="inlineStr">
        <is>
          <t>ENKÖPING</t>
        </is>
      </c>
      <c r="G269" t="n">
        <v>0.4</v>
      </c>
      <c r="H269" t="n">
        <v>0</v>
      </c>
      <c r="I269" t="n">
        <v>0</v>
      </c>
      <c r="J269" t="n">
        <v>0</v>
      </c>
      <c r="K269" t="n">
        <v>0</v>
      </c>
      <c r="L269" t="n">
        <v>0</v>
      </c>
      <c r="M269" t="n">
        <v>0</v>
      </c>
      <c r="N269" t="n">
        <v>0</v>
      </c>
      <c r="O269" t="n">
        <v>0</v>
      </c>
      <c r="P269" t="n">
        <v>0</v>
      </c>
      <c r="Q269" t="n">
        <v>0</v>
      </c>
      <c r="R269" s="2" t="inlineStr"/>
    </row>
    <row r="270" ht="15" customHeight="1">
      <c r="A270" t="inlineStr">
        <is>
          <t>A 26024-2025</t>
        </is>
      </c>
      <c r="B270" s="1" t="n">
        <v>45804.6831712963</v>
      </c>
      <c r="C270" s="1" t="n">
        <v>45981</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26042-2025</t>
        </is>
      </c>
      <c r="B271" s="1" t="n">
        <v>45804.70018518518</v>
      </c>
      <c r="C271" s="1" t="n">
        <v>45981</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26005-2025</t>
        </is>
      </c>
      <c r="B272" s="1" t="n">
        <v>45804.67055555555</v>
      </c>
      <c r="C272" s="1" t="n">
        <v>45981</v>
      </c>
      <c r="D272" t="inlineStr">
        <is>
          <t>UPPSALA LÄN</t>
        </is>
      </c>
      <c r="E272" t="inlineStr">
        <is>
          <t>ENKÖPING</t>
        </is>
      </c>
      <c r="G272" t="n">
        <v>0.3</v>
      </c>
      <c r="H272" t="n">
        <v>0</v>
      </c>
      <c r="I272" t="n">
        <v>0</v>
      </c>
      <c r="J272" t="n">
        <v>0</v>
      </c>
      <c r="K272" t="n">
        <v>0</v>
      </c>
      <c r="L272" t="n">
        <v>0</v>
      </c>
      <c r="M272" t="n">
        <v>0</v>
      </c>
      <c r="N272" t="n">
        <v>0</v>
      </c>
      <c r="O272" t="n">
        <v>0</v>
      </c>
      <c r="P272" t="n">
        <v>0</v>
      </c>
      <c r="Q272" t="n">
        <v>0</v>
      </c>
      <c r="R272" s="2" t="inlineStr"/>
    </row>
    <row r="273" ht="15" customHeight="1">
      <c r="A273" t="inlineStr">
        <is>
          <t>A 26026-2025</t>
        </is>
      </c>
      <c r="B273" s="1" t="n">
        <v>45804.68510416667</v>
      </c>
      <c r="C273" s="1" t="n">
        <v>45981</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26030-2025</t>
        </is>
      </c>
      <c r="B274" s="1" t="n">
        <v>45804.68815972222</v>
      </c>
      <c r="C274" s="1" t="n">
        <v>45981</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26022-2025</t>
        </is>
      </c>
      <c r="B275" s="1" t="n">
        <v>45804.68006944445</v>
      </c>
      <c r="C275" s="1" t="n">
        <v>45981</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25988-2025</t>
        </is>
      </c>
      <c r="B276" s="1" t="n">
        <v>45804.64814814815</v>
      </c>
      <c r="C276" s="1" t="n">
        <v>45981</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26031-2025</t>
        </is>
      </c>
      <c r="B277" s="1" t="n">
        <v>45804.69050925926</v>
      </c>
      <c r="C277" s="1" t="n">
        <v>45981</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26011-2025</t>
        </is>
      </c>
      <c r="B278" s="1" t="n">
        <v>45804.67412037037</v>
      </c>
      <c r="C278" s="1" t="n">
        <v>45981</v>
      </c>
      <c r="D278" t="inlineStr">
        <is>
          <t>UPPSALA LÄN</t>
        </is>
      </c>
      <c r="E278" t="inlineStr">
        <is>
          <t>ENKÖPING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26041-2025</t>
        </is>
      </c>
      <c r="B279" s="1" t="n">
        <v>45804.69883101852</v>
      </c>
      <c r="C279" s="1" t="n">
        <v>45981</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25990-2025</t>
        </is>
      </c>
      <c r="B280" s="1" t="n">
        <v>45804.65229166667</v>
      </c>
      <c r="C280" s="1" t="n">
        <v>45981</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10829-2024</t>
        </is>
      </c>
      <c r="B281" s="1" t="n">
        <v>45369</v>
      </c>
      <c r="C281" s="1" t="n">
        <v>45981</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25847-2025</t>
        </is>
      </c>
      <c r="B282" s="1" t="n">
        <v>45804</v>
      </c>
      <c r="C282" s="1" t="n">
        <v>45981</v>
      </c>
      <c r="D282" t="inlineStr">
        <is>
          <t>UPPSALA LÄN</t>
        </is>
      </c>
      <c r="E282" t="inlineStr">
        <is>
          <t>ENKÖPING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26047-2025</t>
        </is>
      </c>
      <c r="B283" s="1" t="n">
        <v>45804.70835648148</v>
      </c>
      <c r="C283" s="1" t="n">
        <v>45981</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44419-2025</t>
        </is>
      </c>
      <c r="B284" s="1" t="n">
        <v>45916.54671296296</v>
      </c>
      <c r="C284" s="1" t="n">
        <v>45981</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27538-2023</t>
        </is>
      </c>
      <c r="B285" s="1" t="n">
        <v>45097</v>
      </c>
      <c r="C285" s="1" t="n">
        <v>45981</v>
      </c>
      <c r="D285" t="inlineStr">
        <is>
          <t>UPPSALA LÄN</t>
        </is>
      </c>
      <c r="E285" t="inlineStr">
        <is>
          <t>ENKÖPING</t>
        </is>
      </c>
      <c r="G285" t="n">
        <v>5.8</v>
      </c>
      <c r="H285" t="n">
        <v>0</v>
      </c>
      <c r="I285" t="n">
        <v>0</v>
      </c>
      <c r="J285" t="n">
        <v>0</v>
      </c>
      <c r="K285" t="n">
        <v>0</v>
      </c>
      <c r="L285" t="n">
        <v>0</v>
      </c>
      <c r="M285" t="n">
        <v>0</v>
      </c>
      <c r="N285" t="n">
        <v>0</v>
      </c>
      <c r="O285" t="n">
        <v>0</v>
      </c>
      <c r="P285" t="n">
        <v>0</v>
      </c>
      <c r="Q285" t="n">
        <v>0</v>
      </c>
      <c r="R285" s="2" t="inlineStr"/>
    </row>
    <row r="286" ht="15" customHeight="1">
      <c r="A286" t="inlineStr">
        <is>
          <t>A 67982-2021</t>
        </is>
      </c>
      <c r="B286" s="1" t="n">
        <v>44525</v>
      </c>
      <c r="C286" s="1" t="n">
        <v>45981</v>
      </c>
      <c r="D286" t="inlineStr">
        <is>
          <t>UPPSALA LÄN</t>
        </is>
      </c>
      <c r="E286" t="inlineStr">
        <is>
          <t>ENKÖPING</t>
        </is>
      </c>
      <c r="G286" t="n">
        <v>1.7</v>
      </c>
      <c r="H286" t="n">
        <v>0</v>
      </c>
      <c r="I286" t="n">
        <v>0</v>
      </c>
      <c r="J286" t="n">
        <v>0</v>
      </c>
      <c r="K286" t="n">
        <v>0</v>
      </c>
      <c r="L286" t="n">
        <v>0</v>
      </c>
      <c r="M286" t="n">
        <v>0</v>
      </c>
      <c r="N286" t="n">
        <v>0</v>
      </c>
      <c r="O286" t="n">
        <v>0</v>
      </c>
      <c r="P286" t="n">
        <v>0</v>
      </c>
      <c r="Q286" t="n">
        <v>0</v>
      </c>
      <c r="R286" s="2" t="inlineStr"/>
    </row>
    <row r="287" ht="15" customHeight="1">
      <c r="A287" t="inlineStr">
        <is>
          <t>A 15409-2025</t>
        </is>
      </c>
      <c r="B287" s="1" t="n">
        <v>45747</v>
      </c>
      <c r="C287" s="1" t="n">
        <v>45981</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60874-2023</t>
        </is>
      </c>
      <c r="B288" s="1" t="n">
        <v>45261.06280092592</v>
      </c>
      <c r="C288" s="1" t="n">
        <v>45981</v>
      </c>
      <c r="D288" t="inlineStr">
        <is>
          <t>UPPSALA LÄN</t>
        </is>
      </c>
      <c r="E288" t="inlineStr">
        <is>
          <t>ENKÖPING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35067-2024</t>
        </is>
      </c>
      <c r="B289" s="1" t="n">
        <v>45527.66153935185</v>
      </c>
      <c r="C289" s="1" t="n">
        <v>45981</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32477-2025</t>
        </is>
      </c>
      <c r="B290" s="1" t="n">
        <v>45838.43098379629</v>
      </c>
      <c r="C290" s="1" t="n">
        <v>45981</v>
      </c>
      <c r="D290" t="inlineStr">
        <is>
          <t>UPPSALA LÄN</t>
        </is>
      </c>
      <c r="E290" t="inlineStr">
        <is>
          <t>ENKÖPING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50394-2024</t>
        </is>
      </c>
      <c r="B291" s="1" t="n">
        <v>45600</v>
      </c>
      <c r="C291" s="1" t="n">
        <v>45981</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51034-2024</t>
        </is>
      </c>
      <c r="B292" s="1" t="n">
        <v>45603.4262037037</v>
      </c>
      <c r="C292" s="1" t="n">
        <v>45981</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51036-2024</t>
        </is>
      </c>
      <c r="B293" s="1" t="n">
        <v>45603.42839120371</v>
      </c>
      <c r="C293" s="1" t="n">
        <v>45981</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51010-2024</t>
        </is>
      </c>
      <c r="B294" s="1" t="n">
        <v>45603.39285879629</v>
      </c>
      <c r="C294" s="1" t="n">
        <v>45981</v>
      </c>
      <c r="D294" t="inlineStr">
        <is>
          <t>UPPSALA LÄN</t>
        </is>
      </c>
      <c r="E294" t="inlineStr">
        <is>
          <t>ENKÖPING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55876-2024</t>
        </is>
      </c>
      <c r="B295" s="1" t="n">
        <v>45623.5546412037</v>
      </c>
      <c r="C295" s="1" t="n">
        <v>45981</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43016-2021</t>
        </is>
      </c>
      <c r="B296" s="1" t="n">
        <v>44431</v>
      </c>
      <c r="C296" s="1" t="n">
        <v>45981</v>
      </c>
      <c r="D296" t="inlineStr">
        <is>
          <t>UPPSALA LÄN</t>
        </is>
      </c>
      <c r="E296" t="inlineStr">
        <is>
          <t>ENKÖPING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11005-2023</t>
        </is>
      </c>
      <c r="B297" s="1" t="n">
        <v>44991</v>
      </c>
      <c r="C297" s="1" t="n">
        <v>45981</v>
      </c>
      <c r="D297" t="inlineStr">
        <is>
          <t>UPPSALA LÄN</t>
        </is>
      </c>
      <c r="E297" t="inlineStr">
        <is>
          <t>ENKÖPING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19147-2024</t>
        </is>
      </c>
      <c r="B298" s="1" t="n">
        <v>45428</v>
      </c>
      <c r="C298" s="1" t="n">
        <v>45981</v>
      </c>
      <c r="D298" t="inlineStr">
        <is>
          <t>UPPSALA LÄN</t>
        </is>
      </c>
      <c r="E298" t="inlineStr">
        <is>
          <t>ENKÖPING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57209-2024</t>
        </is>
      </c>
      <c r="B299" s="1" t="n">
        <v>45629.49311342592</v>
      </c>
      <c r="C299" s="1" t="n">
        <v>45981</v>
      </c>
      <c r="D299" t="inlineStr">
        <is>
          <t>UPPSALA LÄN</t>
        </is>
      </c>
      <c r="E299" t="inlineStr">
        <is>
          <t>ENKÖPING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51120-2023</t>
        </is>
      </c>
      <c r="B300" s="1" t="n">
        <v>45219.3088425926</v>
      </c>
      <c r="C300" s="1" t="n">
        <v>45981</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12878-2025</t>
        </is>
      </c>
      <c r="B301" s="1" t="n">
        <v>45733.68571759259</v>
      </c>
      <c r="C301" s="1" t="n">
        <v>45981</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57142-2021</t>
        </is>
      </c>
      <c r="B302" s="1" t="n">
        <v>44482</v>
      </c>
      <c r="C302" s="1" t="n">
        <v>45981</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57147-2021</t>
        </is>
      </c>
      <c r="B303" s="1" t="n">
        <v>44482</v>
      </c>
      <c r="C303" s="1" t="n">
        <v>45981</v>
      </c>
      <c r="D303" t="inlineStr">
        <is>
          <t>UPPSALA LÄN</t>
        </is>
      </c>
      <c r="E303" t="inlineStr">
        <is>
          <t>ENKÖPING</t>
        </is>
      </c>
      <c r="G303" t="n">
        <v>5.7</v>
      </c>
      <c r="H303" t="n">
        <v>0</v>
      </c>
      <c r="I303" t="n">
        <v>0</v>
      </c>
      <c r="J303" t="n">
        <v>0</v>
      </c>
      <c r="K303" t="n">
        <v>0</v>
      </c>
      <c r="L303" t="n">
        <v>0</v>
      </c>
      <c r="M303" t="n">
        <v>0</v>
      </c>
      <c r="N303" t="n">
        <v>0</v>
      </c>
      <c r="O303" t="n">
        <v>0</v>
      </c>
      <c r="P303" t="n">
        <v>0</v>
      </c>
      <c r="Q303" t="n">
        <v>0</v>
      </c>
      <c r="R303" s="2" t="inlineStr"/>
    </row>
    <row r="304" ht="15" customHeight="1">
      <c r="A304" t="inlineStr">
        <is>
          <t>A 7868-2024</t>
        </is>
      </c>
      <c r="B304" s="1" t="n">
        <v>45350.33020833333</v>
      </c>
      <c r="C304" s="1" t="n">
        <v>45981</v>
      </c>
      <c r="D304" t="inlineStr">
        <is>
          <t>UPPSALA LÄN</t>
        </is>
      </c>
      <c r="E304" t="inlineStr">
        <is>
          <t>ENKÖPING</t>
        </is>
      </c>
      <c r="G304" t="n">
        <v>0.3</v>
      </c>
      <c r="H304" t="n">
        <v>0</v>
      </c>
      <c r="I304" t="n">
        <v>0</v>
      </c>
      <c r="J304" t="n">
        <v>0</v>
      </c>
      <c r="K304" t="n">
        <v>0</v>
      </c>
      <c r="L304" t="n">
        <v>0</v>
      </c>
      <c r="M304" t="n">
        <v>0</v>
      </c>
      <c r="N304" t="n">
        <v>0</v>
      </c>
      <c r="O304" t="n">
        <v>0</v>
      </c>
      <c r="P304" t="n">
        <v>0</v>
      </c>
      <c r="Q304" t="n">
        <v>0</v>
      </c>
      <c r="R304" s="2" t="inlineStr"/>
    </row>
    <row r="305" ht="15" customHeight="1">
      <c r="A305" t="inlineStr">
        <is>
          <t>A 7870-2024</t>
        </is>
      </c>
      <c r="B305" s="1" t="n">
        <v>45350.33349537037</v>
      </c>
      <c r="C305" s="1" t="n">
        <v>45981</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9231-2023</t>
        </is>
      </c>
      <c r="B306" s="1" t="n">
        <v>44980</v>
      </c>
      <c r="C306" s="1" t="n">
        <v>45981</v>
      </c>
      <c r="D306" t="inlineStr">
        <is>
          <t>UPPSALA LÄN</t>
        </is>
      </c>
      <c r="E306" t="inlineStr">
        <is>
          <t>ENKÖPING</t>
        </is>
      </c>
      <c r="G306" t="n">
        <v>1.5</v>
      </c>
      <c r="H306" t="n">
        <v>0</v>
      </c>
      <c r="I306" t="n">
        <v>0</v>
      </c>
      <c r="J306" t="n">
        <v>0</v>
      </c>
      <c r="K306" t="n">
        <v>0</v>
      </c>
      <c r="L306" t="n">
        <v>0</v>
      </c>
      <c r="M306" t="n">
        <v>0</v>
      </c>
      <c r="N306" t="n">
        <v>0</v>
      </c>
      <c r="O306" t="n">
        <v>0</v>
      </c>
      <c r="P306" t="n">
        <v>0</v>
      </c>
      <c r="Q306" t="n">
        <v>0</v>
      </c>
      <c r="R306" s="2" t="inlineStr"/>
    </row>
    <row r="307" ht="15" customHeight="1">
      <c r="A307" t="inlineStr">
        <is>
          <t>A 16916-2022</t>
        </is>
      </c>
      <c r="B307" s="1" t="n">
        <v>44676</v>
      </c>
      <c r="C307" s="1" t="n">
        <v>45981</v>
      </c>
      <c r="D307" t="inlineStr">
        <is>
          <t>UPPSALA LÄN</t>
        </is>
      </c>
      <c r="E307" t="inlineStr">
        <is>
          <t>ENKÖPING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43896-2022</t>
        </is>
      </c>
      <c r="B308" s="1" t="n">
        <v>44838</v>
      </c>
      <c r="C308" s="1" t="n">
        <v>45981</v>
      </c>
      <c r="D308" t="inlineStr">
        <is>
          <t>UPPSALA LÄN</t>
        </is>
      </c>
      <c r="E308" t="inlineStr">
        <is>
          <t>ENKÖPING</t>
        </is>
      </c>
      <c r="G308" t="n">
        <v>5.3</v>
      </c>
      <c r="H308" t="n">
        <v>0</v>
      </c>
      <c r="I308" t="n">
        <v>0</v>
      </c>
      <c r="J308" t="n">
        <v>0</v>
      </c>
      <c r="K308" t="n">
        <v>0</v>
      </c>
      <c r="L308" t="n">
        <v>0</v>
      </c>
      <c r="M308" t="n">
        <v>0</v>
      </c>
      <c r="N308" t="n">
        <v>0</v>
      </c>
      <c r="O308" t="n">
        <v>0</v>
      </c>
      <c r="P308" t="n">
        <v>0</v>
      </c>
      <c r="Q308" t="n">
        <v>0</v>
      </c>
      <c r="R308" s="2" t="inlineStr"/>
    </row>
    <row r="309" ht="15" customHeight="1">
      <c r="A309" t="inlineStr">
        <is>
          <t>A 4203-2021</t>
        </is>
      </c>
      <c r="B309" s="1" t="n">
        <v>44223</v>
      </c>
      <c r="C309" s="1" t="n">
        <v>45981</v>
      </c>
      <c r="D309" t="inlineStr">
        <is>
          <t>UPPSALA LÄN</t>
        </is>
      </c>
      <c r="E309" t="inlineStr">
        <is>
          <t>ENKÖPING</t>
        </is>
      </c>
      <c r="G309" t="n">
        <v>11.6</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45981</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31604-2023</t>
        </is>
      </c>
      <c r="B311" s="1" t="n">
        <v>45117.50368055556</v>
      </c>
      <c r="C311" s="1" t="n">
        <v>45981</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7090-2022</t>
        </is>
      </c>
      <c r="B312" s="1" t="n">
        <v>44603.59520833333</v>
      </c>
      <c r="C312" s="1" t="n">
        <v>45981</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9487-2025</t>
        </is>
      </c>
      <c r="B313" s="1" t="n">
        <v>45715.49331018519</v>
      </c>
      <c r="C313" s="1" t="n">
        <v>45981</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44343.4558912037</v>
      </c>
      <c r="C314" s="1" t="n">
        <v>45981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15162-2025</t>
        </is>
      </c>
      <c r="B315" s="1" t="n">
        <v>45744</v>
      </c>
      <c r="C315" s="1" t="n">
        <v>45981</v>
      </c>
      <c r="D315" t="inlineStr">
        <is>
          <t>UPPSALA LÄN</t>
        </is>
      </c>
      <c r="E315" t="inlineStr">
        <is>
          <t>ENKÖPING</t>
        </is>
      </c>
      <c r="G315" t="n">
        <v>4.2</v>
      </c>
      <c r="H315" t="n">
        <v>0</v>
      </c>
      <c r="I315" t="n">
        <v>0</v>
      </c>
      <c r="J315" t="n">
        <v>0</v>
      </c>
      <c r="K315" t="n">
        <v>0</v>
      </c>
      <c r="L315" t="n">
        <v>0</v>
      </c>
      <c r="M315" t="n">
        <v>0</v>
      </c>
      <c r="N315" t="n">
        <v>0</v>
      </c>
      <c r="O315" t="n">
        <v>0</v>
      </c>
      <c r="P315" t="n">
        <v>0</v>
      </c>
      <c r="Q315" t="n">
        <v>0</v>
      </c>
      <c r="R315" s="2" t="inlineStr"/>
    </row>
    <row r="316" ht="15" customHeight="1">
      <c r="A316" t="inlineStr">
        <is>
          <t>A 6144-2024</t>
        </is>
      </c>
      <c r="B316" s="1" t="n">
        <v>45337.4684837963</v>
      </c>
      <c r="C316" s="1" t="n">
        <v>45981</v>
      </c>
      <c r="D316" t="inlineStr">
        <is>
          <t>UPPSALA LÄN</t>
        </is>
      </c>
      <c r="E316" t="inlineStr">
        <is>
          <t>ENKÖPING</t>
        </is>
      </c>
      <c r="G316" t="n">
        <v>13.8</v>
      </c>
      <c r="H316" t="n">
        <v>0</v>
      </c>
      <c r="I316" t="n">
        <v>0</v>
      </c>
      <c r="J316" t="n">
        <v>0</v>
      </c>
      <c r="K316" t="n">
        <v>0</v>
      </c>
      <c r="L316" t="n">
        <v>0</v>
      </c>
      <c r="M316" t="n">
        <v>0</v>
      </c>
      <c r="N316" t="n">
        <v>0</v>
      </c>
      <c r="O316" t="n">
        <v>0</v>
      </c>
      <c r="P316" t="n">
        <v>0</v>
      </c>
      <c r="Q316" t="n">
        <v>0</v>
      </c>
      <c r="R316" s="2" t="inlineStr"/>
    </row>
    <row r="317" ht="15" customHeight="1">
      <c r="A317" t="inlineStr">
        <is>
          <t>A 33955-2024</t>
        </is>
      </c>
      <c r="B317" s="1" t="n">
        <v>45523.46952546296</v>
      </c>
      <c r="C317" s="1" t="n">
        <v>45981</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54263-2025</t>
        </is>
      </c>
      <c r="B318" s="1" t="n">
        <v>45964.66271990741</v>
      </c>
      <c r="C318" s="1" t="n">
        <v>45981</v>
      </c>
      <c r="D318" t="inlineStr">
        <is>
          <t>UPPSALA LÄN</t>
        </is>
      </c>
      <c r="E318" t="inlineStr">
        <is>
          <t>ENKÖPING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45755-2025</t>
        </is>
      </c>
      <c r="B319" s="1" t="n">
        <v>45923.50240740741</v>
      </c>
      <c r="C319" s="1" t="n">
        <v>45981</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54541-2025</t>
        </is>
      </c>
      <c r="B320" s="1" t="n">
        <v>45965.64733796296</v>
      </c>
      <c r="C320" s="1" t="n">
        <v>45981</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52388-2024</t>
        </is>
      </c>
      <c r="B321" s="1" t="n">
        <v>45609.42939814815</v>
      </c>
      <c r="C321" s="1" t="n">
        <v>45981</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54758-2025</t>
        </is>
      </c>
      <c r="B322" s="1" t="n">
        <v>45966.59737268519</v>
      </c>
      <c r="C322" s="1" t="n">
        <v>45981</v>
      </c>
      <c r="D322" t="inlineStr">
        <is>
          <t>UPPSALA LÄN</t>
        </is>
      </c>
      <c r="E322" t="inlineStr">
        <is>
          <t>ENKÖPING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54844-2025</t>
        </is>
      </c>
      <c r="B323" s="1" t="n">
        <v>45966.69570601852</v>
      </c>
      <c r="C323" s="1" t="n">
        <v>45981</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66517-2020</t>
        </is>
      </c>
      <c r="B324" s="1" t="n">
        <v>44178</v>
      </c>
      <c r="C324" s="1" t="n">
        <v>45981</v>
      </c>
      <c r="D324" t="inlineStr">
        <is>
          <t>UPPSALA LÄN</t>
        </is>
      </c>
      <c r="E324" t="inlineStr">
        <is>
          <t>ENKÖPING</t>
        </is>
      </c>
      <c r="G324" t="n">
        <v>4</v>
      </c>
      <c r="H324" t="n">
        <v>0</v>
      </c>
      <c r="I324" t="n">
        <v>0</v>
      </c>
      <c r="J324" t="n">
        <v>0</v>
      </c>
      <c r="K324" t="n">
        <v>0</v>
      </c>
      <c r="L324" t="n">
        <v>0</v>
      </c>
      <c r="M324" t="n">
        <v>0</v>
      </c>
      <c r="N324" t="n">
        <v>0</v>
      </c>
      <c r="O324" t="n">
        <v>0</v>
      </c>
      <c r="P324" t="n">
        <v>0</v>
      </c>
      <c r="Q324" t="n">
        <v>0</v>
      </c>
      <c r="R324" s="2" t="inlineStr"/>
    </row>
    <row r="325" ht="15" customHeight="1">
      <c r="A325" t="inlineStr">
        <is>
          <t>A 53607-2023</t>
        </is>
      </c>
      <c r="B325" s="1" t="n">
        <v>45230</v>
      </c>
      <c r="C325" s="1" t="n">
        <v>45981</v>
      </c>
      <c r="D325" t="inlineStr">
        <is>
          <t>UPPSALA LÄN</t>
        </is>
      </c>
      <c r="E325" t="inlineStr">
        <is>
          <t>ENKÖPING</t>
        </is>
      </c>
      <c r="F325" t="inlineStr">
        <is>
          <t>Allmännings- och besparingsskogar</t>
        </is>
      </c>
      <c r="G325" t="n">
        <v>6.3</v>
      </c>
      <c r="H325" t="n">
        <v>0</v>
      </c>
      <c r="I325" t="n">
        <v>0</v>
      </c>
      <c r="J325" t="n">
        <v>0</v>
      </c>
      <c r="K325" t="n">
        <v>0</v>
      </c>
      <c r="L325" t="n">
        <v>0</v>
      </c>
      <c r="M325" t="n">
        <v>0</v>
      </c>
      <c r="N325" t="n">
        <v>0</v>
      </c>
      <c r="O325" t="n">
        <v>0</v>
      </c>
      <c r="P325" t="n">
        <v>0</v>
      </c>
      <c r="Q325" t="n">
        <v>0</v>
      </c>
      <c r="R325" s="2" t="inlineStr"/>
    </row>
    <row r="326" ht="15" customHeight="1">
      <c r="A326" t="inlineStr">
        <is>
          <t>A 34989-2025</t>
        </is>
      </c>
      <c r="B326" s="1" t="n">
        <v>45849</v>
      </c>
      <c r="C326" s="1" t="n">
        <v>45981</v>
      </c>
      <c r="D326" t="inlineStr">
        <is>
          <t>UPPSALA LÄN</t>
        </is>
      </c>
      <c r="E326" t="inlineStr">
        <is>
          <t>ENKÖPING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40202-2024</t>
        </is>
      </c>
      <c r="B327" s="1" t="n">
        <v>45554</v>
      </c>
      <c r="C327" s="1" t="n">
        <v>45981</v>
      </c>
      <c r="D327" t="inlineStr">
        <is>
          <t>UPPSALA LÄN</t>
        </is>
      </c>
      <c r="E327" t="inlineStr">
        <is>
          <t>ENKÖPING</t>
        </is>
      </c>
      <c r="G327" t="n">
        <v>6.2</v>
      </c>
      <c r="H327" t="n">
        <v>0</v>
      </c>
      <c r="I327" t="n">
        <v>0</v>
      </c>
      <c r="J327" t="n">
        <v>0</v>
      </c>
      <c r="K327" t="n">
        <v>0</v>
      </c>
      <c r="L327" t="n">
        <v>0</v>
      </c>
      <c r="M327" t="n">
        <v>0</v>
      </c>
      <c r="N327" t="n">
        <v>0</v>
      </c>
      <c r="O327" t="n">
        <v>0</v>
      </c>
      <c r="P327" t="n">
        <v>0</v>
      </c>
      <c r="Q327" t="n">
        <v>0</v>
      </c>
      <c r="R327" s="2" t="inlineStr"/>
    </row>
    <row r="328" ht="15" customHeight="1">
      <c r="A328" t="inlineStr">
        <is>
          <t>A 34990-2025</t>
        </is>
      </c>
      <c r="B328" s="1" t="n">
        <v>45849.78916666667</v>
      </c>
      <c r="C328" s="1" t="n">
        <v>45981</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8306-2021</t>
        </is>
      </c>
      <c r="B329" s="1" t="n">
        <v>44244</v>
      </c>
      <c r="C329" s="1" t="n">
        <v>45981</v>
      </c>
      <c r="D329" t="inlineStr">
        <is>
          <t>UPPSALA LÄN</t>
        </is>
      </c>
      <c r="E329" t="inlineStr">
        <is>
          <t>ENKÖPING</t>
        </is>
      </c>
      <c r="G329" t="n">
        <v>14.9</v>
      </c>
      <c r="H329" t="n">
        <v>0</v>
      </c>
      <c r="I329" t="n">
        <v>0</v>
      </c>
      <c r="J329" t="n">
        <v>0</v>
      </c>
      <c r="K329" t="n">
        <v>0</v>
      </c>
      <c r="L329" t="n">
        <v>0</v>
      </c>
      <c r="M329" t="n">
        <v>0</v>
      </c>
      <c r="N329" t="n">
        <v>0</v>
      </c>
      <c r="O329" t="n">
        <v>0</v>
      </c>
      <c r="P329" t="n">
        <v>0</v>
      </c>
      <c r="Q329" t="n">
        <v>0</v>
      </c>
      <c r="R329" s="2" t="inlineStr"/>
    </row>
    <row r="330" ht="15" customHeight="1">
      <c r="A330" t="inlineStr">
        <is>
          <t>A 16920-2023</t>
        </is>
      </c>
      <c r="B330" s="1" t="n">
        <v>45033.59030092593</v>
      </c>
      <c r="C330" s="1" t="n">
        <v>45981</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57152-2021</t>
        </is>
      </c>
      <c r="B331" s="1" t="n">
        <v>44482</v>
      </c>
      <c r="C331" s="1" t="n">
        <v>45981</v>
      </c>
      <c r="D331" t="inlineStr">
        <is>
          <t>UPPSALA LÄN</t>
        </is>
      </c>
      <c r="E331" t="inlineStr">
        <is>
          <t>ENKÖPING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53586-2024</t>
        </is>
      </c>
      <c r="B332" s="1" t="n">
        <v>45614</v>
      </c>
      <c r="C332" s="1" t="n">
        <v>45981</v>
      </c>
      <c r="D332" t="inlineStr">
        <is>
          <t>UPPSALA LÄN</t>
        </is>
      </c>
      <c r="E332" t="inlineStr">
        <is>
          <t>ENKÖPING</t>
        </is>
      </c>
      <c r="G332" t="n">
        <v>6.6</v>
      </c>
      <c r="H332" t="n">
        <v>0</v>
      </c>
      <c r="I332" t="n">
        <v>0</v>
      </c>
      <c r="J332" t="n">
        <v>0</v>
      </c>
      <c r="K332" t="n">
        <v>0</v>
      </c>
      <c r="L332" t="n">
        <v>0</v>
      </c>
      <c r="M332" t="n">
        <v>0</v>
      </c>
      <c r="N332" t="n">
        <v>0</v>
      </c>
      <c r="O332" t="n">
        <v>0</v>
      </c>
      <c r="P332" t="n">
        <v>0</v>
      </c>
      <c r="Q332" t="n">
        <v>0</v>
      </c>
      <c r="R332" s="2" t="inlineStr"/>
    </row>
    <row r="333" ht="15" customHeight="1">
      <c r="A333" t="inlineStr">
        <is>
          <t>A 27829-2025</t>
        </is>
      </c>
      <c r="B333" s="1" t="n">
        <v>45817</v>
      </c>
      <c r="C333" s="1" t="n">
        <v>45981</v>
      </c>
      <c r="D333" t="inlineStr">
        <is>
          <t>UPPSALA LÄN</t>
        </is>
      </c>
      <c r="E333" t="inlineStr">
        <is>
          <t>ENKÖPING</t>
        </is>
      </c>
      <c r="G333" t="n">
        <v>2.1</v>
      </c>
      <c r="H333" t="n">
        <v>0</v>
      </c>
      <c r="I333" t="n">
        <v>0</v>
      </c>
      <c r="J333" t="n">
        <v>0</v>
      </c>
      <c r="K333" t="n">
        <v>0</v>
      </c>
      <c r="L333" t="n">
        <v>0</v>
      </c>
      <c r="M333" t="n">
        <v>0</v>
      </c>
      <c r="N333" t="n">
        <v>0</v>
      </c>
      <c r="O333" t="n">
        <v>0</v>
      </c>
      <c r="P333" t="n">
        <v>0</v>
      </c>
      <c r="Q333" t="n">
        <v>0</v>
      </c>
      <c r="R333" s="2" t="inlineStr"/>
    </row>
    <row r="334" ht="15" customHeight="1">
      <c r="A334" t="inlineStr">
        <is>
          <t>A 34124-2021</t>
        </is>
      </c>
      <c r="B334" s="1" t="n">
        <v>44379</v>
      </c>
      <c r="C334" s="1" t="n">
        <v>45981</v>
      </c>
      <c r="D334" t="inlineStr">
        <is>
          <t>UPPSALA LÄN</t>
        </is>
      </c>
      <c r="E334" t="inlineStr">
        <is>
          <t>ENKÖPING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28518-2024</t>
        </is>
      </c>
      <c r="B335" s="1" t="n">
        <v>45477</v>
      </c>
      <c r="C335" s="1" t="n">
        <v>45981</v>
      </c>
      <c r="D335" t="inlineStr">
        <is>
          <t>UPPSALA LÄN</t>
        </is>
      </c>
      <c r="E335" t="inlineStr">
        <is>
          <t>ENKÖPING</t>
        </is>
      </c>
      <c r="G335" t="n">
        <v>3.4</v>
      </c>
      <c r="H335" t="n">
        <v>0</v>
      </c>
      <c r="I335" t="n">
        <v>0</v>
      </c>
      <c r="J335" t="n">
        <v>0</v>
      </c>
      <c r="K335" t="n">
        <v>0</v>
      </c>
      <c r="L335" t="n">
        <v>0</v>
      </c>
      <c r="M335" t="n">
        <v>0</v>
      </c>
      <c r="N335" t="n">
        <v>0</v>
      </c>
      <c r="O335" t="n">
        <v>0</v>
      </c>
      <c r="P335" t="n">
        <v>0</v>
      </c>
      <c r="Q335" t="n">
        <v>0</v>
      </c>
      <c r="R335" s="2" t="inlineStr"/>
    </row>
    <row r="336" ht="15" customHeight="1">
      <c r="A336" t="inlineStr">
        <is>
          <t>A 52299-2023</t>
        </is>
      </c>
      <c r="B336" s="1" t="n">
        <v>45224.61636574074</v>
      </c>
      <c r="C336" s="1" t="n">
        <v>45981</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46940-2025</t>
        </is>
      </c>
      <c r="B337" s="1" t="n">
        <v>45929.45483796296</v>
      </c>
      <c r="C337" s="1" t="n">
        <v>45981</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43506-2023</t>
        </is>
      </c>
      <c r="B338" s="1" t="n">
        <v>45181</v>
      </c>
      <c r="C338" s="1" t="n">
        <v>45981</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30634-2022</t>
        </is>
      </c>
      <c r="B339" s="1" t="n">
        <v>44763.45711805556</v>
      </c>
      <c r="C339" s="1" t="n">
        <v>45981</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46590-2025</t>
        </is>
      </c>
      <c r="B340" s="1" t="n">
        <v>45926.39542824074</v>
      </c>
      <c r="C340" s="1" t="n">
        <v>45981</v>
      </c>
      <c r="D340" t="inlineStr">
        <is>
          <t>UPPSALA LÄN</t>
        </is>
      </c>
      <c r="E340" t="inlineStr">
        <is>
          <t>ENKÖPING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18259-2025</t>
        </is>
      </c>
      <c r="B341" s="1" t="n">
        <v>45762</v>
      </c>
      <c r="C341" s="1" t="n">
        <v>45981</v>
      </c>
      <c r="D341" t="inlineStr">
        <is>
          <t>UPPSALA LÄN</t>
        </is>
      </c>
      <c r="E341" t="inlineStr">
        <is>
          <t>ENKÖPING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46186-2023</t>
        </is>
      </c>
      <c r="B342" s="1" t="n">
        <v>45196</v>
      </c>
      <c r="C342" s="1" t="n">
        <v>45981</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44473.58824074074</v>
      </c>
      <c r="C343" s="1" t="n">
        <v>45981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55567-2025</t>
        </is>
      </c>
      <c r="B344" s="1" t="n">
        <v>45971.65589120371</v>
      </c>
      <c r="C344" s="1" t="n">
        <v>45981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54588-2024</t>
        </is>
      </c>
      <c r="B345" s="1" t="n">
        <v>45617</v>
      </c>
      <c r="C345" s="1" t="n">
        <v>45981</v>
      </c>
      <c r="D345" t="inlineStr">
        <is>
          <t>UPPSALA LÄN</t>
        </is>
      </c>
      <c r="E345" t="inlineStr">
        <is>
          <t>ENKÖPING</t>
        </is>
      </c>
      <c r="G345" t="n">
        <v>3.7</v>
      </c>
      <c r="H345" t="n">
        <v>0</v>
      </c>
      <c r="I345" t="n">
        <v>0</v>
      </c>
      <c r="J345" t="n">
        <v>0</v>
      </c>
      <c r="K345" t="n">
        <v>0</v>
      </c>
      <c r="L345" t="n">
        <v>0</v>
      </c>
      <c r="M345" t="n">
        <v>0</v>
      </c>
      <c r="N345" t="n">
        <v>0</v>
      </c>
      <c r="O345" t="n">
        <v>0</v>
      </c>
      <c r="P345" t="n">
        <v>0</v>
      </c>
      <c r="Q345" t="n">
        <v>0</v>
      </c>
      <c r="R345" s="2" t="inlineStr"/>
    </row>
    <row r="346" ht="15" customHeight="1">
      <c r="A346" t="inlineStr">
        <is>
          <t>A 47428-2023</t>
        </is>
      </c>
      <c r="B346" s="1" t="n">
        <v>45202.66664351852</v>
      </c>
      <c r="C346" s="1" t="n">
        <v>45981</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14004-2023</t>
        </is>
      </c>
      <c r="B347" s="1" t="n">
        <v>45008</v>
      </c>
      <c r="C347" s="1" t="n">
        <v>45981</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5892-2023</t>
        </is>
      </c>
      <c r="B348" s="1" t="n">
        <v>44963.64883101852</v>
      </c>
      <c r="C348" s="1" t="n">
        <v>45981</v>
      </c>
      <c r="D348" t="inlineStr">
        <is>
          <t>UPPSALA LÄN</t>
        </is>
      </c>
      <c r="E348" t="inlineStr">
        <is>
          <t>ENKÖPING</t>
        </is>
      </c>
      <c r="G348" t="n">
        <v>5.5</v>
      </c>
      <c r="H348" t="n">
        <v>0</v>
      </c>
      <c r="I348" t="n">
        <v>0</v>
      </c>
      <c r="J348" t="n">
        <v>0</v>
      </c>
      <c r="K348" t="n">
        <v>0</v>
      </c>
      <c r="L348" t="n">
        <v>0</v>
      </c>
      <c r="M348" t="n">
        <v>0</v>
      </c>
      <c r="N348" t="n">
        <v>0</v>
      </c>
      <c r="O348" t="n">
        <v>0</v>
      </c>
      <c r="P348" t="n">
        <v>0</v>
      </c>
      <c r="Q348" t="n">
        <v>0</v>
      </c>
      <c r="R348" s="2" t="inlineStr"/>
    </row>
    <row r="349" ht="15" customHeight="1">
      <c r="A349" t="inlineStr">
        <is>
          <t>A 12572-2021</t>
        </is>
      </c>
      <c r="B349" s="1" t="n">
        <v>44270.36438657407</v>
      </c>
      <c r="C349" s="1" t="n">
        <v>45981</v>
      </c>
      <c r="D349" t="inlineStr">
        <is>
          <t>UPPSALA LÄN</t>
        </is>
      </c>
      <c r="E349" t="inlineStr">
        <is>
          <t>ENKÖPING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52005-2024</t>
        </is>
      </c>
      <c r="B350" s="1" t="n">
        <v>45607.7627662037</v>
      </c>
      <c r="C350" s="1" t="n">
        <v>45981</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1960-2022</t>
        </is>
      </c>
      <c r="B351" s="1" t="n">
        <v>44575</v>
      </c>
      <c r="C351" s="1" t="n">
        <v>45981</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6157-2021</t>
        </is>
      </c>
      <c r="B352" s="1" t="n">
        <v>44232</v>
      </c>
      <c r="C352" s="1" t="n">
        <v>45981</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671-2022</t>
        </is>
      </c>
      <c r="B353" s="1" t="n">
        <v>44568</v>
      </c>
      <c r="C353" s="1" t="n">
        <v>45981</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43488-2023</t>
        </is>
      </c>
      <c r="B354" s="1" t="n">
        <v>45181</v>
      </c>
      <c r="C354" s="1" t="n">
        <v>45981</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39009-2024</t>
        </is>
      </c>
      <c r="B355" s="1" t="n">
        <v>45548</v>
      </c>
      <c r="C355" s="1" t="n">
        <v>45981</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8537-2025</t>
        </is>
      </c>
      <c r="B356" s="1" t="n">
        <v>45709</v>
      </c>
      <c r="C356" s="1" t="n">
        <v>45981</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9171-2024</t>
        </is>
      </c>
      <c r="B357" s="1" t="n">
        <v>45358</v>
      </c>
      <c r="C357" s="1" t="n">
        <v>45981</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49627-2024</t>
        </is>
      </c>
      <c r="B358" s="1" t="n">
        <v>45596.59140046296</v>
      </c>
      <c r="C358" s="1" t="n">
        <v>45981</v>
      </c>
      <c r="D358" t="inlineStr">
        <is>
          <t>UPPSALA LÄN</t>
        </is>
      </c>
      <c r="E358" t="inlineStr">
        <is>
          <t>ENKÖPING</t>
        </is>
      </c>
      <c r="G358" t="n">
        <v>0.4</v>
      </c>
      <c r="H358" t="n">
        <v>0</v>
      </c>
      <c r="I358" t="n">
        <v>0</v>
      </c>
      <c r="J358" t="n">
        <v>0</v>
      </c>
      <c r="K358" t="n">
        <v>0</v>
      </c>
      <c r="L358" t="n">
        <v>0</v>
      </c>
      <c r="M358" t="n">
        <v>0</v>
      </c>
      <c r="N358" t="n">
        <v>0</v>
      </c>
      <c r="O358" t="n">
        <v>0</v>
      </c>
      <c r="P358" t="n">
        <v>0</v>
      </c>
      <c r="Q358" t="n">
        <v>0</v>
      </c>
      <c r="R358" s="2" t="inlineStr"/>
    </row>
    <row r="359" ht="15" customHeight="1">
      <c r="A359" t="inlineStr">
        <is>
          <t>A 57998-2024</t>
        </is>
      </c>
      <c r="B359" s="1" t="n">
        <v>45631</v>
      </c>
      <c r="C359" s="1" t="n">
        <v>45981</v>
      </c>
      <c r="D359" t="inlineStr">
        <is>
          <t>UPPSALA LÄN</t>
        </is>
      </c>
      <c r="E359" t="inlineStr">
        <is>
          <t>ENKÖPING</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9667-2024</t>
        </is>
      </c>
      <c r="B360" s="1" t="n">
        <v>45362.45130787037</v>
      </c>
      <c r="C360" s="1" t="n">
        <v>45981</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35645-2021</t>
        </is>
      </c>
      <c r="B361" s="1" t="n">
        <v>44386.42</v>
      </c>
      <c r="C361" s="1" t="n">
        <v>45981</v>
      </c>
      <c r="D361" t="inlineStr">
        <is>
          <t>UPPSALA LÄN</t>
        </is>
      </c>
      <c r="E361" t="inlineStr">
        <is>
          <t>ENKÖPING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47441-2025</t>
        </is>
      </c>
      <c r="B362" s="1" t="n">
        <v>45930.63986111111</v>
      </c>
      <c r="C362" s="1" t="n">
        <v>45981</v>
      </c>
      <c r="D362" t="inlineStr">
        <is>
          <t>UPPSALA LÄN</t>
        </is>
      </c>
      <c r="E362" t="inlineStr">
        <is>
          <t>ENKÖPING</t>
        </is>
      </c>
      <c r="F362" t="inlineStr">
        <is>
          <t>Allmännings- och besparingsskogar</t>
        </is>
      </c>
      <c r="G362" t="n">
        <v>11.5</v>
      </c>
      <c r="H362" t="n">
        <v>0</v>
      </c>
      <c r="I362" t="n">
        <v>0</v>
      </c>
      <c r="J362" t="n">
        <v>0</v>
      </c>
      <c r="K362" t="n">
        <v>0</v>
      </c>
      <c r="L362" t="n">
        <v>0</v>
      </c>
      <c r="M362" t="n">
        <v>0</v>
      </c>
      <c r="N362" t="n">
        <v>0</v>
      </c>
      <c r="O362" t="n">
        <v>0</v>
      </c>
      <c r="P362" t="n">
        <v>0</v>
      </c>
      <c r="Q362" t="n">
        <v>0</v>
      </c>
      <c r="R362" s="2" t="inlineStr"/>
    </row>
    <row r="363" ht="15" customHeight="1">
      <c r="A363" t="inlineStr">
        <is>
          <t>A 43230-2023</t>
        </is>
      </c>
      <c r="B363" s="1" t="n">
        <v>45183</v>
      </c>
      <c r="C363" s="1" t="n">
        <v>45981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45362-2022</t>
        </is>
      </c>
      <c r="B364" s="1" t="n">
        <v>44844.62366898148</v>
      </c>
      <c r="C364" s="1" t="n">
        <v>45981</v>
      </c>
      <c r="D364" t="inlineStr">
        <is>
          <t>UPPSALA LÄN</t>
        </is>
      </c>
      <c r="E364" t="inlineStr">
        <is>
          <t>ENKÖPING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72840-2021</t>
        </is>
      </c>
      <c r="B365" s="1" t="n">
        <v>44547</v>
      </c>
      <c r="C365" s="1" t="n">
        <v>45981</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15711-2025</t>
        </is>
      </c>
      <c r="B366" s="1" t="n">
        <v>45748</v>
      </c>
      <c r="C366" s="1" t="n">
        <v>45981</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28758-2025</t>
        </is>
      </c>
      <c r="B367" s="1" t="n">
        <v>45820.41212962963</v>
      </c>
      <c r="C367" s="1" t="n">
        <v>45981</v>
      </c>
      <c r="D367" t="inlineStr">
        <is>
          <t>UPPSALA LÄN</t>
        </is>
      </c>
      <c r="E367" t="inlineStr">
        <is>
          <t>ENKÖPING</t>
        </is>
      </c>
      <c r="G367" t="n">
        <v>2.4</v>
      </c>
      <c r="H367" t="n">
        <v>0</v>
      </c>
      <c r="I367" t="n">
        <v>0</v>
      </c>
      <c r="J367" t="n">
        <v>0</v>
      </c>
      <c r="K367" t="n">
        <v>0</v>
      </c>
      <c r="L367" t="n">
        <v>0</v>
      </c>
      <c r="M367" t="n">
        <v>0</v>
      </c>
      <c r="N367" t="n">
        <v>0</v>
      </c>
      <c r="O367" t="n">
        <v>0</v>
      </c>
      <c r="P367" t="n">
        <v>0</v>
      </c>
      <c r="Q367" t="n">
        <v>0</v>
      </c>
      <c r="R367" s="2" t="inlineStr"/>
    </row>
    <row r="368" ht="15" customHeight="1">
      <c r="A368" t="inlineStr">
        <is>
          <t>A 28862-2025</t>
        </is>
      </c>
      <c r="B368" s="1" t="n">
        <v>45820.59189814814</v>
      </c>
      <c r="C368" s="1" t="n">
        <v>45981</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28855-2025</t>
        </is>
      </c>
      <c r="B369" s="1" t="n">
        <v>45820.58274305556</v>
      </c>
      <c r="C369" s="1" t="n">
        <v>45981</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28318-2024</t>
        </is>
      </c>
      <c r="B370" s="1" t="n">
        <v>45477</v>
      </c>
      <c r="C370" s="1" t="n">
        <v>45981</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34617-2022</t>
        </is>
      </c>
      <c r="B371" s="1" t="n">
        <v>44795</v>
      </c>
      <c r="C371" s="1" t="n">
        <v>45981</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1992-2022</t>
        </is>
      </c>
      <c r="B372" s="1" t="n">
        <v>44575.56153935185</v>
      </c>
      <c r="C372" s="1" t="n">
        <v>45981</v>
      </c>
      <c r="D372" t="inlineStr">
        <is>
          <t>UPPSALA LÄN</t>
        </is>
      </c>
      <c r="E372" t="inlineStr">
        <is>
          <t>ENKÖPING</t>
        </is>
      </c>
      <c r="G372" t="n">
        <v>2.8</v>
      </c>
      <c r="H372" t="n">
        <v>0</v>
      </c>
      <c r="I372" t="n">
        <v>0</v>
      </c>
      <c r="J372" t="n">
        <v>0</v>
      </c>
      <c r="K372" t="n">
        <v>0</v>
      </c>
      <c r="L372" t="n">
        <v>0</v>
      </c>
      <c r="M372" t="n">
        <v>0</v>
      </c>
      <c r="N372" t="n">
        <v>0</v>
      </c>
      <c r="O372" t="n">
        <v>0</v>
      </c>
      <c r="P372" t="n">
        <v>0</v>
      </c>
      <c r="Q372" t="n">
        <v>0</v>
      </c>
      <c r="R372" s="2" t="inlineStr"/>
    </row>
    <row r="373" ht="15" customHeight="1">
      <c r="A373" t="inlineStr">
        <is>
          <t>A 56625-2025</t>
        </is>
      </c>
      <c r="B373" s="1" t="n">
        <v>45975.60608796297</v>
      </c>
      <c r="C373" s="1" t="n">
        <v>45981</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18583-2021</t>
        </is>
      </c>
      <c r="B374" s="1" t="n">
        <v>44306</v>
      </c>
      <c r="C374" s="1" t="n">
        <v>45981</v>
      </c>
      <c r="D374" t="inlineStr">
        <is>
          <t>UPPSALA LÄN</t>
        </is>
      </c>
      <c r="E374" t="inlineStr">
        <is>
          <t>ENKÖPING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1695-2025</t>
        </is>
      </c>
      <c r="B375" s="1" t="n">
        <v>45670</v>
      </c>
      <c r="C375" s="1" t="n">
        <v>45981</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29093-2025</t>
        </is>
      </c>
      <c r="B376" s="1" t="n">
        <v>45821.55743055556</v>
      </c>
      <c r="C376" s="1" t="n">
        <v>45981</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69344-2021</t>
        </is>
      </c>
      <c r="B377" s="1" t="n">
        <v>44531</v>
      </c>
      <c r="C377" s="1" t="n">
        <v>45981</v>
      </c>
      <c r="D377" t="inlineStr">
        <is>
          <t>UPPSALA LÄN</t>
        </is>
      </c>
      <c r="E377" t="inlineStr">
        <is>
          <t>ENKÖPING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29477-2025</t>
        </is>
      </c>
      <c r="B378" s="1" t="n">
        <v>45824.71537037037</v>
      </c>
      <c r="C378" s="1" t="n">
        <v>45981</v>
      </c>
      <c r="D378" t="inlineStr">
        <is>
          <t>UPPSALA LÄN</t>
        </is>
      </c>
      <c r="E378" t="inlineStr">
        <is>
          <t>ENKÖPING</t>
        </is>
      </c>
      <c r="G378" t="n">
        <v>13.4</v>
      </c>
      <c r="H378" t="n">
        <v>0</v>
      </c>
      <c r="I378" t="n">
        <v>0</v>
      </c>
      <c r="J378" t="n">
        <v>0</v>
      </c>
      <c r="K378" t="n">
        <v>0</v>
      </c>
      <c r="L378" t="n">
        <v>0</v>
      </c>
      <c r="M378" t="n">
        <v>0</v>
      </c>
      <c r="N378" t="n">
        <v>0</v>
      </c>
      <c r="O378" t="n">
        <v>0</v>
      </c>
      <c r="P378" t="n">
        <v>0</v>
      </c>
      <c r="Q378" t="n">
        <v>0</v>
      </c>
      <c r="R378" s="2" t="inlineStr"/>
    </row>
    <row r="379" ht="15" customHeight="1">
      <c r="A379" t="inlineStr">
        <is>
          <t>A 54357-2023</t>
        </is>
      </c>
      <c r="B379" s="1" t="n">
        <v>45225</v>
      </c>
      <c r="C379" s="1" t="n">
        <v>45981</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24962-2023</t>
        </is>
      </c>
      <c r="B380" s="1" t="n">
        <v>45085.60123842592</v>
      </c>
      <c r="C380" s="1" t="n">
        <v>45981</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51524-2022</t>
        </is>
      </c>
      <c r="B381" s="1" t="n">
        <v>44869</v>
      </c>
      <c r="C381" s="1" t="n">
        <v>45981</v>
      </c>
      <c r="D381" t="inlineStr">
        <is>
          <t>UPPSALA LÄN</t>
        </is>
      </c>
      <c r="E381" t="inlineStr">
        <is>
          <t>ENKÖPING</t>
        </is>
      </c>
      <c r="G381" t="n">
        <v>6.6</v>
      </c>
      <c r="H381" t="n">
        <v>0</v>
      </c>
      <c r="I381" t="n">
        <v>0</v>
      </c>
      <c r="J381" t="n">
        <v>0</v>
      </c>
      <c r="K381" t="n">
        <v>0</v>
      </c>
      <c r="L381" t="n">
        <v>0</v>
      </c>
      <c r="M381" t="n">
        <v>0</v>
      </c>
      <c r="N381" t="n">
        <v>0</v>
      </c>
      <c r="O381" t="n">
        <v>0</v>
      </c>
      <c r="P381" t="n">
        <v>0</v>
      </c>
      <c r="Q381" t="n">
        <v>0</v>
      </c>
      <c r="R381" s="2" t="inlineStr"/>
    </row>
    <row r="382" ht="15" customHeight="1">
      <c r="A382" t="inlineStr">
        <is>
          <t>A 67765-2020</t>
        </is>
      </c>
      <c r="B382" s="1" t="n">
        <v>44182</v>
      </c>
      <c r="C382" s="1" t="n">
        <v>45981</v>
      </c>
      <c r="D382" t="inlineStr">
        <is>
          <t>UPPSALA LÄN</t>
        </is>
      </c>
      <c r="E382" t="inlineStr">
        <is>
          <t>ENKÖPING</t>
        </is>
      </c>
      <c r="G382" t="n">
        <v>3.6</v>
      </c>
      <c r="H382" t="n">
        <v>0</v>
      </c>
      <c r="I382" t="n">
        <v>0</v>
      </c>
      <c r="J382" t="n">
        <v>0</v>
      </c>
      <c r="K382" t="n">
        <v>0</v>
      </c>
      <c r="L382" t="n">
        <v>0</v>
      </c>
      <c r="M382" t="n">
        <v>0</v>
      </c>
      <c r="N382" t="n">
        <v>0</v>
      </c>
      <c r="O382" t="n">
        <v>0</v>
      </c>
      <c r="P382" t="n">
        <v>0</v>
      </c>
      <c r="Q382" t="n">
        <v>0</v>
      </c>
      <c r="R382" s="2" t="inlineStr"/>
    </row>
    <row r="383" ht="15" customHeight="1">
      <c r="A383" t="inlineStr">
        <is>
          <t>A 6298-2021</t>
        </is>
      </c>
      <c r="B383" s="1" t="n">
        <v>44235</v>
      </c>
      <c r="C383" s="1" t="n">
        <v>45981</v>
      </c>
      <c r="D383" t="inlineStr">
        <is>
          <t>UPPSALA LÄN</t>
        </is>
      </c>
      <c r="E383" t="inlineStr">
        <is>
          <t>ENKÖPING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58961-2024</t>
        </is>
      </c>
      <c r="B384" s="1" t="n">
        <v>45636.585</v>
      </c>
      <c r="C384" s="1" t="n">
        <v>45981</v>
      </c>
      <c r="D384" t="inlineStr">
        <is>
          <t>UPPSALA LÄN</t>
        </is>
      </c>
      <c r="E384" t="inlineStr">
        <is>
          <t>ENKÖPING</t>
        </is>
      </c>
      <c r="G384" t="n">
        <v>4</v>
      </c>
      <c r="H384" t="n">
        <v>0</v>
      </c>
      <c r="I384" t="n">
        <v>0</v>
      </c>
      <c r="J384" t="n">
        <v>0</v>
      </c>
      <c r="K384" t="n">
        <v>0</v>
      </c>
      <c r="L384" t="n">
        <v>0</v>
      </c>
      <c r="M384" t="n">
        <v>0</v>
      </c>
      <c r="N384" t="n">
        <v>0</v>
      </c>
      <c r="O384" t="n">
        <v>0</v>
      </c>
      <c r="P384" t="n">
        <v>0</v>
      </c>
      <c r="Q384" t="n">
        <v>0</v>
      </c>
      <c r="R384" s="2" t="inlineStr"/>
    </row>
    <row r="385" ht="15" customHeight="1">
      <c r="A385" t="inlineStr">
        <is>
          <t>A 46103-2023</t>
        </is>
      </c>
      <c r="B385" s="1" t="n">
        <v>45190</v>
      </c>
      <c r="C385" s="1" t="n">
        <v>45981</v>
      </c>
      <c r="D385" t="inlineStr">
        <is>
          <t>UPPSALA LÄN</t>
        </is>
      </c>
      <c r="E385" t="inlineStr">
        <is>
          <t>ENKÖPING</t>
        </is>
      </c>
      <c r="G385" t="n">
        <v>4.6</v>
      </c>
      <c r="H385" t="n">
        <v>0</v>
      </c>
      <c r="I385" t="n">
        <v>0</v>
      </c>
      <c r="J385" t="n">
        <v>0</v>
      </c>
      <c r="K385" t="n">
        <v>0</v>
      </c>
      <c r="L385" t="n">
        <v>0</v>
      </c>
      <c r="M385" t="n">
        <v>0</v>
      </c>
      <c r="N385" t="n">
        <v>0</v>
      </c>
      <c r="O385" t="n">
        <v>0</v>
      </c>
      <c r="P385" t="n">
        <v>0</v>
      </c>
      <c r="Q385" t="n">
        <v>0</v>
      </c>
      <c r="R385" s="2" t="inlineStr"/>
    </row>
    <row r="386" ht="15" customHeight="1">
      <c r="A386" t="inlineStr">
        <is>
          <t>A 41737-2022</t>
        </is>
      </c>
      <c r="B386" s="1" t="n">
        <v>44827.63826388889</v>
      </c>
      <c r="C386" s="1" t="n">
        <v>45981</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8137-2025</t>
        </is>
      </c>
      <c r="B387" s="1" t="n">
        <v>45707.8561574074</v>
      </c>
      <c r="C387" s="1" t="n">
        <v>45981</v>
      </c>
      <c r="D387" t="inlineStr">
        <is>
          <t>UPPSALA LÄN</t>
        </is>
      </c>
      <c r="E387" t="inlineStr">
        <is>
          <t>ENKÖPING</t>
        </is>
      </c>
      <c r="G387" t="n">
        <v>0.4</v>
      </c>
      <c r="H387" t="n">
        <v>0</v>
      </c>
      <c r="I387" t="n">
        <v>0</v>
      </c>
      <c r="J387" t="n">
        <v>0</v>
      </c>
      <c r="K387" t="n">
        <v>0</v>
      </c>
      <c r="L387" t="n">
        <v>0</v>
      </c>
      <c r="M387" t="n">
        <v>0</v>
      </c>
      <c r="N387" t="n">
        <v>0</v>
      </c>
      <c r="O387" t="n">
        <v>0</v>
      </c>
      <c r="P387" t="n">
        <v>0</v>
      </c>
      <c r="Q387" t="n">
        <v>0</v>
      </c>
      <c r="R387" s="2" t="inlineStr"/>
    </row>
    <row r="388" ht="15" customHeight="1">
      <c r="A388" t="inlineStr">
        <is>
          <t>A 53595-2023</t>
        </is>
      </c>
      <c r="B388" s="1" t="n">
        <v>45223</v>
      </c>
      <c r="C388" s="1" t="n">
        <v>45981</v>
      </c>
      <c r="D388" t="inlineStr">
        <is>
          <t>UPPSALA LÄN</t>
        </is>
      </c>
      <c r="E388" t="inlineStr">
        <is>
          <t>ENKÖPING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39439-2025</t>
        </is>
      </c>
      <c r="B389" s="1" t="n">
        <v>45889</v>
      </c>
      <c r="C389" s="1" t="n">
        <v>45981</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23301-2024</t>
        </is>
      </c>
      <c r="B390" s="1" t="n">
        <v>45453.4396412037</v>
      </c>
      <c r="C390" s="1" t="n">
        <v>45981</v>
      </c>
      <c r="D390" t="inlineStr">
        <is>
          <t>UPPSALA LÄN</t>
        </is>
      </c>
      <c r="E390" t="inlineStr">
        <is>
          <t>ENKÖPING</t>
        </is>
      </c>
      <c r="G390" t="n">
        <v>4.3</v>
      </c>
      <c r="H390" t="n">
        <v>0</v>
      </c>
      <c r="I390" t="n">
        <v>0</v>
      </c>
      <c r="J390" t="n">
        <v>0</v>
      </c>
      <c r="K390" t="n">
        <v>0</v>
      </c>
      <c r="L390" t="n">
        <v>0</v>
      </c>
      <c r="M390" t="n">
        <v>0</v>
      </c>
      <c r="N390" t="n">
        <v>0</v>
      </c>
      <c r="O390" t="n">
        <v>0</v>
      </c>
      <c r="P390" t="n">
        <v>0</v>
      </c>
      <c r="Q390" t="n">
        <v>0</v>
      </c>
      <c r="R390" s="2" t="inlineStr"/>
    </row>
    <row r="391" ht="15" customHeight="1">
      <c r="A391" t="inlineStr">
        <is>
          <t>A 15893-2024</t>
        </is>
      </c>
      <c r="B391" s="1" t="n">
        <v>45405</v>
      </c>
      <c r="C391" s="1" t="n">
        <v>45981</v>
      </c>
      <c r="D391" t="inlineStr">
        <is>
          <t>UPPSALA LÄN</t>
        </is>
      </c>
      <c r="E391" t="inlineStr">
        <is>
          <t>ENKÖPING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18028-2023</t>
        </is>
      </c>
      <c r="B392" s="1" t="n">
        <v>45040</v>
      </c>
      <c r="C392" s="1" t="n">
        <v>45981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48678-2025</t>
        </is>
      </c>
      <c r="B393" s="1" t="n">
        <v>45936.59168981481</v>
      </c>
      <c r="C393" s="1" t="n">
        <v>45981</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52380-2024</t>
        </is>
      </c>
      <c r="B394" s="1" t="n">
        <v>45609</v>
      </c>
      <c r="C394" s="1" t="n">
        <v>45981</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57188-2025</t>
        </is>
      </c>
      <c r="B395" s="1" t="n">
        <v>45979.57570601852</v>
      </c>
      <c r="C395" s="1" t="n">
        <v>45981</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30098-2024</t>
        </is>
      </c>
      <c r="B396" s="1" t="n">
        <v>45489.41609953704</v>
      </c>
      <c r="C396" s="1" t="n">
        <v>45981</v>
      </c>
      <c r="D396" t="inlineStr">
        <is>
          <t>UPPSALA LÄN</t>
        </is>
      </c>
      <c r="E396" t="inlineStr">
        <is>
          <t>ENKÖPING</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34735-2023</t>
        </is>
      </c>
      <c r="B397" s="1" t="n">
        <v>45139</v>
      </c>
      <c r="C397" s="1" t="n">
        <v>45981</v>
      </c>
      <c r="D397" t="inlineStr">
        <is>
          <t>UPPSALA LÄN</t>
        </is>
      </c>
      <c r="E397" t="inlineStr">
        <is>
          <t>ENKÖPING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57328-2024</t>
        </is>
      </c>
      <c r="B398" s="1" t="n">
        <v>45629.62798611111</v>
      </c>
      <c r="C398" s="1" t="n">
        <v>45981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48423-2025</t>
        </is>
      </c>
      <c r="B399" s="1" t="n">
        <v>45934.68024305555</v>
      </c>
      <c r="C399" s="1" t="n">
        <v>45981</v>
      </c>
      <c r="D399" t="inlineStr">
        <is>
          <t>UPPSALA LÄN</t>
        </is>
      </c>
      <c r="E399" t="inlineStr">
        <is>
          <t>ENKÖPING</t>
        </is>
      </c>
      <c r="G399" t="n">
        <v>4.3</v>
      </c>
      <c r="H399" t="n">
        <v>0</v>
      </c>
      <c r="I399" t="n">
        <v>0</v>
      </c>
      <c r="J399" t="n">
        <v>0</v>
      </c>
      <c r="K399" t="n">
        <v>0</v>
      </c>
      <c r="L399" t="n">
        <v>0</v>
      </c>
      <c r="M399" t="n">
        <v>0</v>
      </c>
      <c r="N399" t="n">
        <v>0</v>
      </c>
      <c r="O399" t="n">
        <v>0</v>
      </c>
      <c r="P399" t="n">
        <v>0</v>
      </c>
      <c r="Q399" t="n">
        <v>0</v>
      </c>
      <c r="R399" s="2" t="inlineStr"/>
    </row>
    <row r="400" ht="15" customHeight="1">
      <c r="A400" t="inlineStr">
        <is>
          <t>A 30837-2025</t>
        </is>
      </c>
      <c r="B400" s="1" t="n">
        <v>45831.7063425926</v>
      </c>
      <c r="C400" s="1" t="n">
        <v>45981</v>
      </c>
      <c r="D400" t="inlineStr">
        <is>
          <t>UPPSALA LÄN</t>
        </is>
      </c>
      <c r="E400" t="inlineStr">
        <is>
          <t>ENKÖPING</t>
        </is>
      </c>
      <c r="G400" t="n">
        <v>3.8</v>
      </c>
      <c r="H400" t="n">
        <v>0</v>
      </c>
      <c r="I400" t="n">
        <v>0</v>
      </c>
      <c r="J400" t="n">
        <v>0</v>
      </c>
      <c r="K400" t="n">
        <v>0</v>
      </c>
      <c r="L400" t="n">
        <v>0</v>
      </c>
      <c r="M400" t="n">
        <v>0</v>
      </c>
      <c r="N400" t="n">
        <v>0</v>
      </c>
      <c r="O400" t="n">
        <v>0</v>
      </c>
      <c r="P400" t="n">
        <v>0</v>
      </c>
      <c r="Q400" t="n">
        <v>0</v>
      </c>
      <c r="R400" s="2" t="inlineStr"/>
    </row>
    <row r="401" ht="15" customHeight="1">
      <c r="A401" t="inlineStr">
        <is>
          <t>A 48424-2025</t>
        </is>
      </c>
      <c r="B401" s="1" t="n">
        <v>45934.69131944444</v>
      </c>
      <c r="C401" s="1" t="n">
        <v>45981</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48843-2023</t>
        </is>
      </c>
      <c r="B402" s="1" t="n">
        <v>45209</v>
      </c>
      <c r="C402" s="1" t="n">
        <v>45981</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33670-2024</t>
        </is>
      </c>
      <c r="B403" s="1" t="n">
        <v>45520</v>
      </c>
      <c r="C403" s="1" t="n">
        <v>45981</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49073-2025</t>
        </is>
      </c>
      <c r="B404" s="1" t="n">
        <v>45937.65512731481</v>
      </c>
      <c r="C404" s="1" t="n">
        <v>45981</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29482-2022</t>
        </is>
      </c>
      <c r="B405" s="1" t="n">
        <v>44753.57703703704</v>
      </c>
      <c r="C405" s="1" t="n">
        <v>45981</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29483-2022</t>
        </is>
      </c>
      <c r="B406" s="1" t="n">
        <v>44753.57829861111</v>
      </c>
      <c r="C406" s="1" t="n">
        <v>45981</v>
      </c>
      <c r="D406" t="inlineStr">
        <is>
          <t>UPPSALA LÄN</t>
        </is>
      </c>
      <c r="E406" t="inlineStr">
        <is>
          <t>ENKÖPING</t>
        </is>
      </c>
      <c r="G406" t="n">
        <v>3.6</v>
      </c>
      <c r="H406" t="n">
        <v>0</v>
      </c>
      <c r="I406" t="n">
        <v>0</v>
      </c>
      <c r="J406" t="n">
        <v>0</v>
      </c>
      <c r="K406" t="n">
        <v>0</v>
      </c>
      <c r="L406" t="n">
        <v>0</v>
      </c>
      <c r="M406" t="n">
        <v>0</v>
      </c>
      <c r="N406" t="n">
        <v>0</v>
      </c>
      <c r="O406" t="n">
        <v>0</v>
      </c>
      <c r="P406" t="n">
        <v>0</v>
      </c>
      <c r="Q406" t="n">
        <v>0</v>
      </c>
      <c r="R406" s="2" t="inlineStr"/>
    </row>
    <row r="407" ht="15" customHeight="1">
      <c r="A407" t="inlineStr">
        <is>
          <t>A 44232-2022</t>
        </is>
      </c>
      <c r="B407" s="1" t="n">
        <v>44839</v>
      </c>
      <c r="C407" s="1" t="n">
        <v>45981</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61106-2022</t>
        </is>
      </c>
      <c r="B408" s="1" t="n">
        <v>44915.4128587963</v>
      </c>
      <c r="C408" s="1" t="n">
        <v>45981</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39624-2023</t>
        </is>
      </c>
      <c r="B409" s="1" t="n">
        <v>45164</v>
      </c>
      <c r="C409" s="1" t="n">
        <v>45981</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19376-2024</t>
        </is>
      </c>
      <c r="B410" s="1" t="n">
        <v>45429</v>
      </c>
      <c r="C410" s="1" t="n">
        <v>45981</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20184-2023</t>
        </is>
      </c>
      <c r="B411" s="1" t="n">
        <v>45055.5670949074</v>
      </c>
      <c r="C411" s="1" t="n">
        <v>45981</v>
      </c>
      <c r="D411" t="inlineStr">
        <is>
          <t>UPPSALA LÄN</t>
        </is>
      </c>
      <c r="E411" t="inlineStr">
        <is>
          <t>ENKÖPING</t>
        </is>
      </c>
      <c r="G411" t="n">
        <v>3.2</v>
      </c>
      <c r="H411" t="n">
        <v>0</v>
      </c>
      <c r="I411" t="n">
        <v>0</v>
      </c>
      <c r="J411" t="n">
        <v>0</v>
      </c>
      <c r="K411" t="n">
        <v>0</v>
      </c>
      <c r="L411" t="n">
        <v>0</v>
      </c>
      <c r="M411" t="n">
        <v>0</v>
      </c>
      <c r="N411" t="n">
        <v>0</v>
      </c>
      <c r="O411" t="n">
        <v>0</v>
      </c>
      <c r="P411" t="n">
        <v>0</v>
      </c>
      <c r="Q411" t="n">
        <v>0</v>
      </c>
      <c r="R411" s="2" t="inlineStr"/>
    </row>
    <row r="412" ht="15" customHeight="1">
      <c r="A412" t="inlineStr">
        <is>
          <t>A 8152-2022</t>
        </is>
      </c>
      <c r="B412" s="1" t="n">
        <v>44609</v>
      </c>
      <c r="C412" s="1" t="n">
        <v>45981</v>
      </c>
      <c r="D412" t="inlineStr">
        <is>
          <t>UPPSALA LÄN</t>
        </is>
      </c>
      <c r="E412" t="inlineStr">
        <is>
          <t>ENKÖPING</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40223-2024</t>
        </is>
      </c>
      <c r="B413" s="1" t="n">
        <v>45554</v>
      </c>
      <c r="C413" s="1" t="n">
        <v>45981</v>
      </c>
      <c r="D413" t="inlineStr">
        <is>
          <t>UPPSALA LÄN</t>
        </is>
      </c>
      <c r="E413" t="inlineStr">
        <is>
          <t>ENKÖPING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37035-2023</t>
        </is>
      </c>
      <c r="B414" s="1" t="n">
        <v>45155</v>
      </c>
      <c r="C414" s="1" t="n">
        <v>45981</v>
      </c>
      <c r="D414" t="inlineStr">
        <is>
          <t>UPPSALA LÄN</t>
        </is>
      </c>
      <c r="E414" t="inlineStr">
        <is>
          <t>ENKÖPING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52889-2022</t>
        </is>
      </c>
      <c r="B415" s="1" t="n">
        <v>44875</v>
      </c>
      <c r="C415" s="1" t="n">
        <v>45981</v>
      </c>
      <c r="D415" t="inlineStr">
        <is>
          <t>UPPSALA LÄN</t>
        </is>
      </c>
      <c r="E415" t="inlineStr">
        <is>
          <t>ENKÖPING</t>
        </is>
      </c>
      <c r="G415" t="n">
        <v>1.7</v>
      </c>
      <c r="H415" t="n">
        <v>0</v>
      </c>
      <c r="I415" t="n">
        <v>0</v>
      </c>
      <c r="J415" t="n">
        <v>0</v>
      </c>
      <c r="K415" t="n">
        <v>0</v>
      </c>
      <c r="L415" t="n">
        <v>0</v>
      </c>
      <c r="M415" t="n">
        <v>0</v>
      </c>
      <c r="N415" t="n">
        <v>0</v>
      </c>
      <c r="O415" t="n">
        <v>0</v>
      </c>
      <c r="P415" t="n">
        <v>0</v>
      </c>
      <c r="Q415" t="n">
        <v>0</v>
      </c>
      <c r="R415" s="2" t="inlineStr"/>
    </row>
    <row r="416" ht="15" customHeight="1">
      <c r="A416" t="inlineStr">
        <is>
          <t>A 51030-2024</t>
        </is>
      </c>
      <c r="B416" s="1" t="n">
        <v>45603</v>
      </c>
      <c r="C416" s="1" t="n">
        <v>45981</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61711-2020</t>
        </is>
      </c>
      <c r="B417" s="1" t="n">
        <v>44158</v>
      </c>
      <c r="C417" s="1" t="n">
        <v>45981</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12020-2024</t>
        </is>
      </c>
      <c r="B418" s="1" t="n">
        <v>45377</v>
      </c>
      <c r="C418" s="1" t="n">
        <v>45981</v>
      </c>
      <c r="D418" t="inlineStr">
        <is>
          <t>UPPSALA LÄN</t>
        </is>
      </c>
      <c r="E418" t="inlineStr">
        <is>
          <t>ENKÖPING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26292-2022</t>
        </is>
      </c>
      <c r="B419" s="1" t="n">
        <v>44735</v>
      </c>
      <c r="C419" s="1" t="n">
        <v>45981</v>
      </c>
      <c r="D419" t="inlineStr">
        <is>
          <t>UPPSALA LÄN</t>
        </is>
      </c>
      <c r="E419" t="inlineStr">
        <is>
          <t>ENKÖPING</t>
        </is>
      </c>
      <c r="F419" t="inlineStr">
        <is>
          <t>Kyrkan</t>
        </is>
      </c>
      <c r="G419" t="n">
        <v>4.6</v>
      </c>
      <c r="H419" t="n">
        <v>0</v>
      </c>
      <c r="I419" t="n">
        <v>0</v>
      </c>
      <c r="J419" t="n">
        <v>0</v>
      </c>
      <c r="K419" t="n">
        <v>0</v>
      </c>
      <c r="L419" t="n">
        <v>0</v>
      </c>
      <c r="M419" t="n">
        <v>0</v>
      </c>
      <c r="N419" t="n">
        <v>0</v>
      </c>
      <c r="O419" t="n">
        <v>0</v>
      </c>
      <c r="P419" t="n">
        <v>0</v>
      </c>
      <c r="Q419" t="n">
        <v>0</v>
      </c>
      <c r="R419" s="2" t="inlineStr"/>
    </row>
    <row r="420" ht="15" customHeight="1">
      <c r="A420" t="inlineStr">
        <is>
          <t>A 4044-2024</t>
        </is>
      </c>
      <c r="B420" s="1" t="n">
        <v>45323.45954861111</v>
      </c>
      <c r="C420" s="1" t="n">
        <v>45981</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10465-2022</t>
        </is>
      </c>
      <c r="B421" s="1" t="n">
        <v>44623</v>
      </c>
      <c r="C421" s="1" t="n">
        <v>45981</v>
      </c>
      <c r="D421" t="inlineStr">
        <is>
          <t>UPPSALA LÄN</t>
        </is>
      </c>
      <c r="E421" t="inlineStr">
        <is>
          <t>ENKÖPING</t>
        </is>
      </c>
      <c r="G421" t="n">
        <v>1.7</v>
      </c>
      <c r="H421" t="n">
        <v>0</v>
      </c>
      <c r="I421" t="n">
        <v>0</v>
      </c>
      <c r="J421" t="n">
        <v>0</v>
      </c>
      <c r="K421" t="n">
        <v>0</v>
      </c>
      <c r="L421" t="n">
        <v>0</v>
      </c>
      <c r="M421" t="n">
        <v>0</v>
      </c>
      <c r="N421" t="n">
        <v>0</v>
      </c>
      <c r="O421" t="n">
        <v>0</v>
      </c>
      <c r="P421" t="n">
        <v>0</v>
      </c>
      <c r="Q421" t="n">
        <v>0</v>
      </c>
      <c r="R421" s="2" t="inlineStr"/>
    </row>
    <row r="422" ht="15" customHeight="1">
      <c r="A422" t="inlineStr">
        <is>
          <t>A 14332-2024</t>
        </is>
      </c>
      <c r="B422" s="1" t="n">
        <v>45393</v>
      </c>
      <c r="C422" s="1" t="n">
        <v>45981</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61207-2023</t>
        </is>
      </c>
      <c r="B423" s="1" t="n">
        <v>45264.39444444444</v>
      </c>
      <c r="C423" s="1" t="n">
        <v>45981</v>
      </c>
      <c r="D423" t="inlineStr">
        <is>
          <t>UPPSALA LÄN</t>
        </is>
      </c>
      <c r="E423" t="inlineStr">
        <is>
          <t>ENKÖPING</t>
        </is>
      </c>
      <c r="G423" t="n">
        <v>10.8</v>
      </c>
      <c r="H423" t="n">
        <v>0</v>
      </c>
      <c r="I423" t="n">
        <v>0</v>
      </c>
      <c r="J423" t="n">
        <v>0</v>
      </c>
      <c r="K423" t="n">
        <v>0</v>
      </c>
      <c r="L423" t="n">
        <v>0</v>
      </c>
      <c r="M423" t="n">
        <v>0</v>
      </c>
      <c r="N423" t="n">
        <v>0</v>
      </c>
      <c r="O423" t="n">
        <v>0</v>
      </c>
      <c r="P423" t="n">
        <v>0</v>
      </c>
      <c r="Q423" t="n">
        <v>0</v>
      </c>
      <c r="R423" s="2" t="inlineStr"/>
    </row>
    <row r="424" ht="15" customHeight="1">
      <c r="A424" t="inlineStr">
        <is>
          <t>A 33349-2024</t>
        </is>
      </c>
      <c r="B424" s="1" t="n">
        <v>45519</v>
      </c>
      <c r="C424" s="1" t="n">
        <v>45981</v>
      </c>
      <c r="D424" t="inlineStr">
        <is>
          <t>UPPSALA LÄN</t>
        </is>
      </c>
      <c r="E424" t="inlineStr">
        <is>
          <t>ENKÖPING</t>
        </is>
      </c>
      <c r="G424" t="n">
        <v>3.6</v>
      </c>
      <c r="H424" t="n">
        <v>0</v>
      </c>
      <c r="I424" t="n">
        <v>0</v>
      </c>
      <c r="J424" t="n">
        <v>0</v>
      </c>
      <c r="K424" t="n">
        <v>0</v>
      </c>
      <c r="L424" t="n">
        <v>0</v>
      </c>
      <c r="M424" t="n">
        <v>0</v>
      </c>
      <c r="N424" t="n">
        <v>0</v>
      </c>
      <c r="O424" t="n">
        <v>0</v>
      </c>
      <c r="P424" t="n">
        <v>0</v>
      </c>
      <c r="Q424" t="n">
        <v>0</v>
      </c>
      <c r="R424" s="2" t="inlineStr"/>
    </row>
    <row r="425" ht="15" customHeight="1">
      <c r="A425" t="inlineStr">
        <is>
          <t>A 22912-2024</t>
        </is>
      </c>
      <c r="B425" s="1" t="n">
        <v>45448.73118055556</v>
      </c>
      <c r="C425" s="1" t="n">
        <v>45981</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32111-2025</t>
        </is>
      </c>
      <c r="B426" s="1" t="n">
        <v>45835</v>
      </c>
      <c r="C426" s="1" t="n">
        <v>45981</v>
      </c>
      <c r="D426" t="inlineStr">
        <is>
          <t>UPPSALA LÄN</t>
        </is>
      </c>
      <c r="E426" t="inlineStr">
        <is>
          <t>ENKÖPING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21612-2023</t>
        </is>
      </c>
      <c r="B427" s="1" t="n">
        <v>45063</v>
      </c>
      <c r="C427" s="1" t="n">
        <v>45981</v>
      </c>
      <c r="D427" t="inlineStr">
        <is>
          <t>UPPSALA LÄN</t>
        </is>
      </c>
      <c r="E427" t="inlineStr">
        <is>
          <t>ENKÖPING</t>
        </is>
      </c>
      <c r="F427" t="inlineStr">
        <is>
          <t>Allmännings- och besparingsskogar</t>
        </is>
      </c>
      <c r="G427" t="n">
        <v>1</v>
      </c>
      <c r="H427" t="n">
        <v>0</v>
      </c>
      <c r="I427" t="n">
        <v>0</v>
      </c>
      <c r="J427" t="n">
        <v>0</v>
      </c>
      <c r="K427" t="n">
        <v>0</v>
      </c>
      <c r="L427" t="n">
        <v>0</v>
      </c>
      <c r="M427" t="n">
        <v>0</v>
      </c>
      <c r="N427" t="n">
        <v>0</v>
      </c>
      <c r="O427" t="n">
        <v>0</v>
      </c>
      <c r="P427" t="n">
        <v>0</v>
      </c>
      <c r="Q427" t="n">
        <v>0</v>
      </c>
      <c r="R427" s="2" t="inlineStr"/>
    </row>
    <row r="428" ht="15" customHeight="1">
      <c r="A428" t="inlineStr">
        <is>
          <t>A 32031-2025</t>
        </is>
      </c>
      <c r="B428" s="1" t="n">
        <v>45835.41712962963</v>
      </c>
      <c r="C428" s="1" t="n">
        <v>45981</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14243-2025</t>
        </is>
      </c>
      <c r="B429" s="1" t="n">
        <v>45740.61288194444</v>
      </c>
      <c r="C429" s="1" t="n">
        <v>45981</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40812-2022</t>
        </is>
      </c>
      <c r="B430" s="1" t="n">
        <v>44824.68791666667</v>
      </c>
      <c r="C430" s="1" t="n">
        <v>45981</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33343-2024</t>
        </is>
      </c>
      <c r="B431" s="1" t="n">
        <v>45519</v>
      </c>
      <c r="C431" s="1" t="n">
        <v>45981</v>
      </c>
      <c r="D431" t="inlineStr">
        <is>
          <t>UPPSALA LÄN</t>
        </is>
      </c>
      <c r="E431" t="inlineStr">
        <is>
          <t>ENKÖPING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43691-2024</t>
        </is>
      </c>
      <c r="B432" s="1" t="n">
        <v>45569</v>
      </c>
      <c r="C432" s="1" t="n">
        <v>45981</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25333-2023</t>
        </is>
      </c>
      <c r="B433" s="1" t="n">
        <v>45083</v>
      </c>
      <c r="C433" s="1" t="n">
        <v>45981</v>
      </c>
      <c r="D433" t="inlineStr">
        <is>
          <t>UPPSALA LÄN</t>
        </is>
      </c>
      <c r="E433" t="inlineStr">
        <is>
          <t>ENKÖPING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18302-2025</t>
        </is>
      </c>
      <c r="B434" s="1" t="n">
        <v>45762</v>
      </c>
      <c r="C434" s="1" t="n">
        <v>45981</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3300-2025</t>
        </is>
      </c>
      <c r="B435" s="1" t="n">
        <v>45679</v>
      </c>
      <c r="C435" s="1" t="n">
        <v>45981</v>
      </c>
      <c r="D435" t="inlineStr">
        <is>
          <t>UPPSALA LÄN</t>
        </is>
      </c>
      <c r="E435" t="inlineStr">
        <is>
          <t>ENKÖPING</t>
        </is>
      </c>
      <c r="G435" t="n">
        <v>8.9</v>
      </c>
      <c r="H435" t="n">
        <v>0</v>
      </c>
      <c r="I435" t="n">
        <v>0</v>
      </c>
      <c r="J435" t="n">
        <v>0</v>
      </c>
      <c r="K435" t="n">
        <v>0</v>
      </c>
      <c r="L435" t="n">
        <v>0</v>
      </c>
      <c r="M435" t="n">
        <v>0</v>
      </c>
      <c r="N435" t="n">
        <v>0</v>
      </c>
      <c r="O435" t="n">
        <v>0</v>
      </c>
      <c r="P435" t="n">
        <v>0</v>
      </c>
      <c r="Q435" t="n">
        <v>0</v>
      </c>
      <c r="R435" s="2" t="inlineStr"/>
    </row>
    <row r="436" ht="15" customHeight="1">
      <c r="A436" t="inlineStr">
        <is>
          <t>A 28243-2023</t>
        </is>
      </c>
      <c r="B436" s="1" t="n">
        <v>45099.58885416666</v>
      </c>
      <c r="C436" s="1" t="n">
        <v>45981</v>
      </c>
      <c r="D436" t="inlineStr">
        <is>
          <t>UPPSALA LÄN</t>
        </is>
      </c>
      <c r="E436" t="inlineStr">
        <is>
          <t>ENKÖPING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12754-2025</t>
        </is>
      </c>
      <c r="B437" s="1" t="n">
        <v>45733.56331018519</v>
      </c>
      <c r="C437" s="1" t="n">
        <v>45981</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3235-2025</t>
        </is>
      </c>
      <c r="B438" s="1" t="n">
        <v>45679</v>
      </c>
      <c r="C438" s="1" t="n">
        <v>45981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41828-2024</t>
        </is>
      </c>
      <c r="B439" s="1" t="n">
        <v>45561</v>
      </c>
      <c r="C439" s="1" t="n">
        <v>45981</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16176-2025</t>
        </is>
      </c>
      <c r="B440" s="1" t="n">
        <v>45750</v>
      </c>
      <c r="C440" s="1" t="n">
        <v>45981</v>
      </c>
      <c r="D440" t="inlineStr">
        <is>
          <t>UPPSALA LÄN</t>
        </is>
      </c>
      <c r="E440" t="inlineStr">
        <is>
          <t>ENKÖPING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1536-2024</t>
        </is>
      </c>
      <c r="B441" s="1" t="n">
        <v>45306</v>
      </c>
      <c r="C441" s="1" t="n">
        <v>45981</v>
      </c>
      <c r="D441" t="inlineStr">
        <is>
          <t>UPPSALA LÄN</t>
        </is>
      </c>
      <c r="E441" t="inlineStr">
        <is>
          <t>ENKÖPING</t>
        </is>
      </c>
      <c r="F441" t="inlineStr">
        <is>
          <t>Kyrkan</t>
        </is>
      </c>
      <c r="G441" t="n">
        <v>5.6</v>
      </c>
      <c r="H441" t="n">
        <v>0</v>
      </c>
      <c r="I441" t="n">
        <v>0</v>
      </c>
      <c r="J441" t="n">
        <v>0</v>
      </c>
      <c r="K441" t="n">
        <v>0</v>
      </c>
      <c r="L441" t="n">
        <v>0</v>
      </c>
      <c r="M441" t="n">
        <v>0</v>
      </c>
      <c r="N441" t="n">
        <v>0</v>
      </c>
      <c r="O441" t="n">
        <v>0</v>
      </c>
      <c r="P441" t="n">
        <v>0</v>
      </c>
      <c r="Q441" t="n">
        <v>0</v>
      </c>
      <c r="R441" s="2" t="inlineStr"/>
    </row>
    <row r="442" ht="15" customHeight="1">
      <c r="A442" t="inlineStr">
        <is>
          <t>A 56713-2024</t>
        </is>
      </c>
      <c r="B442" s="1" t="n">
        <v>45628</v>
      </c>
      <c r="C442" s="1" t="n">
        <v>45981</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42564-2024</t>
        </is>
      </c>
      <c r="B443" s="1" t="n">
        <v>45565.63358796296</v>
      </c>
      <c r="C443" s="1" t="n">
        <v>45981</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37870-2023</t>
        </is>
      </c>
      <c r="B444" s="1" t="n">
        <v>45160.41996527778</v>
      </c>
      <c r="C444" s="1" t="n">
        <v>45981</v>
      </c>
      <c r="D444" t="inlineStr">
        <is>
          <t>UPPSALA LÄN</t>
        </is>
      </c>
      <c r="E444" t="inlineStr">
        <is>
          <t>ENKÖPING</t>
        </is>
      </c>
      <c r="G444" t="n">
        <v>3.5</v>
      </c>
      <c r="H444" t="n">
        <v>0</v>
      </c>
      <c r="I444" t="n">
        <v>0</v>
      </c>
      <c r="J444" t="n">
        <v>0</v>
      </c>
      <c r="K444" t="n">
        <v>0</v>
      </c>
      <c r="L444" t="n">
        <v>0</v>
      </c>
      <c r="M444" t="n">
        <v>0</v>
      </c>
      <c r="N444" t="n">
        <v>0</v>
      </c>
      <c r="O444" t="n">
        <v>0</v>
      </c>
      <c r="P444" t="n">
        <v>0</v>
      </c>
      <c r="Q444" t="n">
        <v>0</v>
      </c>
      <c r="R444" s="2" t="inlineStr"/>
    </row>
    <row r="445" ht="15" customHeight="1">
      <c r="A445" t="inlineStr">
        <is>
          <t>A 43492-2023</t>
        </is>
      </c>
      <c r="B445" s="1" t="n">
        <v>45181</v>
      </c>
      <c r="C445" s="1" t="n">
        <v>45981</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22094-2023</t>
        </is>
      </c>
      <c r="B446" s="1" t="n">
        <v>45069</v>
      </c>
      <c r="C446" s="1" t="n">
        <v>45981</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15405-2025</t>
        </is>
      </c>
      <c r="B447" s="1" t="n">
        <v>45747.44670138889</v>
      </c>
      <c r="C447" s="1" t="n">
        <v>45981</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35079-2024</t>
        </is>
      </c>
      <c r="B448" s="1" t="n">
        <v>45527.66770833333</v>
      </c>
      <c r="C448" s="1" t="n">
        <v>45981</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6626-2023</t>
        </is>
      </c>
      <c r="B449" s="1" t="n">
        <v>44966.55946759259</v>
      </c>
      <c r="C449" s="1" t="n">
        <v>45981</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45981</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33581-2023</t>
        </is>
      </c>
      <c r="B451" s="1" t="n">
        <v>45131</v>
      </c>
      <c r="C451" s="1" t="n">
        <v>45981</v>
      </c>
      <c r="D451" t="inlineStr">
        <is>
          <t>UPPSALA LÄN</t>
        </is>
      </c>
      <c r="E451" t="inlineStr">
        <is>
          <t>ENKÖPING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56163-2021</t>
        </is>
      </c>
      <c r="B452" s="1" t="n">
        <v>44477</v>
      </c>
      <c r="C452" s="1" t="n">
        <v>45981</v>
      </c>
      <c r="D452" t="inlineStr">
        <is>
          <t>UPPSALA LÄN</t>
        </is>
      </c>
      <c r="E452" t="inlineStr">
        <is>
          <t>ENKÖPING</t>
        </is>
      </c>
      <c r="F452" t="inlineStr">
        <is>
          <t>Allmännings- och besparingsskogar</t>
        </is>
      </c>
      <c r="G452" t="n">
        <v>0.6</v>
      </c>
      <c r="H452" t="n">
        <v>0</v>
      </c>
      <c r="I452" t="n">
        <v>0</v>
      </c>
      <c r="J452" t="n">
        <v>0</v>
      </c>
      <c r="K452" t="n">
        <v>0</v>
      </c>
      <c r="L452" t="n">
        <v>0</v>
      </c>
      <c r="M452" t="n">
        <v>0</v>
      </c>
      <c r="N452" t="n">
        <v>0</v>
      </c>
      <c r="O452" t="n">
        <v>0</v>
      </c>
      <c r="P452" t="n">
        <v>0</v>
      </c>
      <c r="Q452" t="n">
        <v>0</v>
      </c>
      <c r="R452" s="2" t="inlineStr"/>
    </row>
    <row r="453" ht="15" customHeight="1">
      <c r="A453" t="inlineStr">
        <is>
          <t>A 47909-2024</t>
        </is>
      </c>
      <c r="B453" s="1" t="n">
        <v>45589.31866898148</v>
      </c>
      <c r="C453" s="1" t="n">
        <v>45981</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51932-2022</t>
        </is>
      </c>
      <c r="B454" s="1" t="n">
        <v>44872</v>
      </c>
      <c r="C454" s="1" t="n">
        <v>45981</v>
      </c>
      <c r="D454" t="inlineStr">
        <is>
          <t>UPPSALA LÄN</t>
        </is>
      </c>
      <c r="E454" t="inlineStr">
        <is>
          <t>ENKÖPING</t>
        </is>
      </c>
      <c r="G454" t="n">
        <v>5.5</v>
      </c>
      <c r="H454" t="n">
        <v>0</v>
      </c>
      <c r="I454" t="n">
        <v>0</v>
      </c>
      <c r="J454" t="n">
        <v>0</v>
      </c>
      <c r="K454" t="n">
        <v>0</v>
      </c>
      <c r="L454" t="n">
        <v>0</v>
      </c>
      <c r="M454" t="n">
        <v>0</v>
      </c>
      <c r="N454" t="n">
        <v>0</v>
      </c>
      <c r="O454" t="n">
        <v>0</v>
      </c>
      <c r="P454" t="n">
        <v>0</v>
      </c>
      <c r="Q454" t="n">
        <v>0</v>
      </c>
      <c r="R454" s="2" t="inlineStr"/>
    </row>
    <row r="455" ht="15" customHeight="1">
      <c r="A455" t="inlineStr">
        <is>
          <t>A 17165-2025</t>
        </is>
      </c>
      <c r="B455" s="1" t="n">
        <v>45756</v>
      </c>
      <c r="C455" s="1" t="n">
        <v>45981</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5013-2025</t>
        </is>
      </c>
      <c r="B456" s="1" t="n">
        <v>45691</v>
      </c>
      <c r="C456" s="1" t="n">
        <v>45981</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37170-2021</t>
        </is>
      </c>
      <c r="B457" s="1" t="n">
        <v>44395</v>
      </c>
      <c r="C457" s="1" t="n">
        <v>45981</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18994-2025</t>
        </is>
      </c>
      <c r="B458" s="1" t="n">
        <v>45764.57350694444</v>
      </c>
      <c r="C458" s="1" t="n">
        <v>45981</v>
      </c>
      <c r="D458" t="inlineStr">
        <is>
          <t>UPPSALA LÄN</t>
        </is>
      </c>
      <c r="E458" t="inlineStr">
        <is>
          <t>ENKÖPING</t>
        </is>
      </c>
      <c r="G458" t="n">
        <v>3.8</v>
      </c>
      <c r="H458" t="n">
        <v>0</v>
      </c>
      <c r="I458" t="n">
        <v>0</v>
      </c>
      <c r="J458" t="n">
        <v>0</v>
      </c>
      <c r="K458" t="n">
        <v>0</v>
      </c>
      <c r="L458" t="n">
        <v>0</v>
      </c>
      <c r="M458" t="n">
        <v>0</v>
      </c>
      <c r="N458" t="n">
        <v>0</v>
      </c>
      <c r="O458" t="n">
        <v>0</v>
      </c>
      <c r="P458" t="n">
        <v>0</v>
      </c>
      <c r="Q458" t="n">
        <v>0</v>
      </c>
      <c r="R458" s="2" t="inlineStr"/>
    </row>
    <row r="459" ht="15" customHeight="1">
      <c r="A459" t="inlineStr">
        <is>
          <t>A 57848-2024</t>
        </is>
      </c>
      <c r="B459" s="1" t="n">
        <v>45631.40947916666</v>
      </c>
      <c r="C459" s="1" t="n">
        <v>45981</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49601-2024</t>
        </is>
      </c>
      <c r="B460" s="1" t="n">
        <v>45596.56288194445</v>
      </c>
      <c r="C460" s="1" t="n">
        <v>45981</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58147-2024</t>
        </is>
      </c>
      <c r="B461" s="1" t="n">
        <v>45632.4334375</v>
      </c>
      <c r="C461" s="1" t="n">
        <v>45981</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3550-2023</t>
        </is>
      </c>
      <c r="B462" s="1" t="n">
        <v>44950</v>
      </c>
      <c r="C462" s="1" t="n">
        <v>45981</v>
      </c>
      <c r="D462" t="inlineStr">
        <is>
          <t>UPPSALA LÄN</t>
        </is>
      </c>
      <c r="E462" t="inlineStr">
        <is>
          <t>ENKÖPING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19014-2025</t>
        </is>
      </c>
      <c r="B463" s="1" t="n">
        <v>45764.59631944444</v>
      </c>
      <c r="C463" s="1" t="n">
        <v>45981</v>
      </c>
      <c r="D463" t="inlineStr">
        <is>
          <t>UPPSALA LÄN</t>
        </is>
      </c>
      <c r="E463" t="inlineStr">
        <is>
          <t>ENKÖPING</t>
        </is>
      </c>
      <c r="G463" t="n">
        <v>0.2</v>
      </c>
      <c r="H463" t="n">
        <v>0</v>
      </c>
      <c r="I463" t="n">
        <v>0</v>
      </c>
      <c r="J463" t="n">
        <v>0</v>
      </c>
      <c r="K463" t="n">
        <v>0</v>
      </c>
      <c r="L463" t="n">
        <v>0</v>
      </c>
      <c r="M463" t="n">
        <v>0</v>
      </c>
      <c r="N463" t="n">
        <v>0</v>
      </c>
      <c r="O463" t="n">
        <v>0</v>
      </c>
      <c r="P463" t="n">
        <v>0</v>
      </c>
      <c r="Q463" t="n">
        <v>0</v>
      </c>
      <c r="R463" s="2" t="inlineStr"/>
    </row>
    <row r="464" ht="15" customHeight="1">
      <c r="A464" t="inlineStr">
        <is>
          <t>A 29513-2025</t>
        </is>
      </c>
      <c r="B464" s="1" t="n">
        <v>45825</v>
      </c>
      <c r="C464" s="1" t="n">
        <v>45981</v>
      </c>
      <c r="D464" t="inlineStr">
        <is>
          <t>UPPSALA LÄN</t>
        </is>
      </c>
      <c r="E464" t="inlineStr">
        <is>
          <t>ENKÖPING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12958-2024</t>
        </is>
      </c>
      <c r="B465" s="1" t="n">
        <v>45385</v>
      </c>
      <c r="C465" s="1" t="n">
        <v>45981</v>
      </c>
      <c r="D465" t="inlineStr">
        <is>
          <t>UPPSALA LÄN</t>
        </is>
      </c>
      <c r="E465" t="inlineStr">
        <is>
          <t>ENKÖPING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17844-2025</t>
        </is>
      </c>
      <c r="B466" s="1" t="n">
        <v>45758.59920138889</v>
      </c>
      <c r="C466" s="1" t="n">
        <v>45981</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27837-2025</t>
        </is>
      </c>
      <c r="B467" s="1" t="n">
        <v>45817.37207175926</v>
      </c>
      <c r="C467" s="1" t="n">
        <v>45981</v>
      </c>
      <c r="D467" t="inlineStr">
        <is>
          <t>UPPSALA LÄN</t>
        </is>
      </c>
      <c r="E467" t="inlineStr">
        <is>
          <t>ENKÖPING</t>
        </is>
      </c>
      <c r="G467" t="n">
        <v>7.3</v>
      </c>
      <c r="H467" t="n">
        <v>0</v>
      </c>
      <c r="I467" t="n">
        <v>0</v>
      </c>
      <c r="J467" t="n">
        <v>0</v>
      </c>
      <c r="K467" t="n">
        <v>0</v>
      </c>
      <c r="L467" t="n">
        <v>0</v>
      </c>
      <c r="M467" t="n">
        <v>0</v>
      </c>
      <c r="N467" t="n">
        <v>0</v>
      </c>
      <c r="O467" t="n">
        <v>0</v>
      </c>
      <c r="P467" t="n">
        <v>0</v>
      </c>
      <c r="Q467" t="n">
        <v>0</v>
      </c>
      <c r="R467" s="2" t="inlineStr"/>
    </row>
    <row r="468" ht="15" customHeight="1">
      <c r="A468" t="inlineStr">
        <is>
          <t>A 1651-2024</t>
        </is>
      </c>
      <c r="B468" s="1" t="n">
        <v>45306.73770833333</v>
      </c>
      <c r="C468" s="1" t="n">
        <v>45981</v>
      </c>
      <c r="D468" t="inlineStr">
        <is>
          <t>UPPSALA LÄN</t>
        </is>
      </c>
      <c r="E468" t="inlineStr">
        <is>
          <t>ENKÖPING</t>
        </is>
      </c>
      <c r="G468" t="n">
        <v>10.2</v>
      </c>
      <c r="H468" t="n">
        <v>0</v>
      </c>
      <c r="I468" t="n">
        <v>0</v>
      </c>
      <c r="J468" t="n">
        <v>0</v>
      </c>
      <c r="K468" t="n">
        <v>0</v>
      </c>
      <c r="L468" t="n">
        <v>0</v>
      </c>
      <c r="M468" t="n">
        <v>0</v>
      </c>
      <c r="N468" t="n">
        <v>0</v>
      </c>
      <c r="O468" t="n">
        <v>0</v>
      </c>
      <c r="P468" t="n">
        <v>0</v>
      </c>
      <c r="Q468" t="n">
        <v>0</v>
      </c>
      <c r="R468" s="2" t="inlineStr"/>
    </row>
    <row r="469" ht="15" customHeight="1">
      <c r="A469" t="inlineStr">
        <is>
          <t>A 51012-2024</t>
        </is>
      </c>
      <c r="B469" s="1" t="n">
        <v>45603.39686342593</v>
      </c>
      <c r="C469" s="1" t="n">
        <v>45981</v>
      </c>
      <c r="D469" t="inlineStr">
        <is>
          <t>UPPSALA LÄN</t>
        </is>
      </c>
      <c r="E469" t="inlineStr">
        <is>
          <t>ENKÖPING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57940-2022</t>
        </is>
      </c>
      <c r="B470" s="1" t="n">
        <v>44900</v>
      </c>
      <c r="C470" s="1" t="n">
        <v>45981</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21501-2025</t>
        </is>
      </c>
      <c r="B471" s="1" t="n">
        <v>45782</v>
      </c>
      <c r="C471" s="1" t="n">
        <v>45981</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34988-2025</t>
        </is>
      </c>
      <c r="B472" s="1" t="n">
        <v>45849</v>
      </c>
      <c r="C472" s="1" t="n">
        <v>45981</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34987-2025</t>
        </is>
      </c>
      <c r="B473" s="1" t="n">
        <v>45849</v>
      </c>
      <c r="C473" s="1" t="n">
        <v>45981</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63310-2021</t>
        </is>
      </c>
      <c r="B474" s="1" t="n">
        <v>44508</v>
      </c>
      <c r="C474" s="1" t="n">
        <v>45981</v>
      </c>
      <c r="D474" t="inlineStr">
        <is>
          <t>UPPSALA LÄN</t>
        </is>
      </c>
      <c r="E474" t="inlineStr">
        <is>
          <t>ENKÖPING</t>
        </is>
      </c>
      <c r="G474" t="n">
        <v>3.5</v>
      </c>
      <c r="H474" t="n">
        <v>0</v>
      </c>
      <c r="I474" t="n">
        <v>0</v>
      </c>
      <c r="J474" t="n">
        <v>0</v>
      </c>
      <c r="K474" t="n">
        <v>0</v>
      </c>
      <c r="L474" t="n">
        <v>0</v>
      </c>
      <c r="M474" t="n">
        <v>0</v>
      </c>
      <c r="N474" t="n">
        <v>0</v>
      </c>
      <c r="O474" t="n">
        <v>0</v>
      </c>
      <c r="P474" t="n">
        <v>0</v>
      </c>
      <c r="Q474" t="n">
        <v>0</v>
      </c>
      <c r="R474" s="2" t="inlineStr"/>
    </row>
    <row r="475" ht="15" customHeight="1">
      <c r="A475" t="inlineStr">
        <is>
          <t>A 20440-2025</t>
        </is>
      </c>
      <c r="B475" s="1" t="n">
        <v>45775</v>
      </c>
      <c r="C475" s="1" t="n">
        <v>45981</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36492-2025</t>
        </is>
      </c>
      <c r="B476" s="1" t="n">
        <v>45869</v>
      </c>
      <c r="C476" s="1" t="n">
        <v>45981</v>
      </c>
      <c r="D476" t="inlineStr">
        <is>
          <t>UPPSALA LÄN</t>
        </is>
      </c>
      <c r="E476" t="inlineStr">
        <is>
          <t>ENKÖPING</t>
        </is>
      </c>
      <c r="G476" t="n">
        <v>6.3</v>
      </c>
      <c r="H476" t="n">
        <v>0</v>
      </c>
      <c r="I476" t="n">
        <v>0</v>
      </c>
      <c r="J476" t="n">
        <v>0</v>
      </c>
      <c r="K476" t="n">
        <v>0</v>
      </c>
      <c r="L476" t="n">
        <v>0</v>
      </c>
      <c r="M476" t="n">
        <v>0</v>
      </c>
      <c r="N476" t="n">
        <v>0</v>
      </c>
      <c r="O476" t="n">
        <v>0</v>
      </c>
      <c r="P476" t="n">
        <v>0</v>
      </c>
      <c r="Q476" t="n">
        <v>0</v>
      </c>
      <c r="R476" s="2" t="inlineStr"/>
    </row>
    <row r="477" ht="15" customHeight="1">
      <c r="A477" t="inlineStr">
        <is>
          <t>A 36350-2025</t>
        </is>
      </c>
      <c r="B477" s="1" t="n">
        <v>45868</v>
      </c>
      <c r="C477" s="1" t="n">
        <v>45981</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25989-2025</t>
        </is>
      </c>
      <c r="B478" s="1" t="n">
        <v>45804.65050925926</v>
      </c>
      <c r="C478" s="1" t="n">
        <v>45981</v>
      </c>
      <c r="D478" t="inlineStr">
        <is>
          <t>UPPSALA LÄN</t>
        </is>
      </c>
      <c r="E478" t="inlineStr">
        <is>
          <t>ENKÖPING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36599-2025</t>
        </is>
      </c>
      <c r="B479" s="1" t="n">
        <v>45870.51723379629</v>
      </c>
      <c r="C479" s="1" t="n">
        <v>45981</v>
      </c>
      <c r="D479" t="inlineStr">
        <is>
          <t>UPPSALA LÄN</t>
        </is>
      </c>
      <c r="E479" t="inlineStr">
        <is>
          <t>ENKÖPING</t>
        </is>
      </c>
      <c r="G479" t="n">
        <v>5.9</v>
      </c>
      <c r="H479" t="n">
        <v>0</v>
      </c>
      <c r="I479" t="n">
        <v>0</v>
      </c>
      <c r="J479" t="n">
        <v>0</v>
      </c>
      <c r="K479" t="n">
        <v>0</v>
      </c>
      <c r="L479" t="n">
        <v>0</v>
      </c>
      <c r="M479" t="n">
        <v>0</v>
      </c>
      <c r="N479" t="n">
        <v>0</v>
      </c>
      <c r="O479" t="n">
        <v>0</v>
      </c>
      <c r="P479" t="n">
        <v>0</v>
      </c>
      <c r="Q479" t="n">
        <v>0</v>
      </c>
      <c r="R479" s="2" t="inlineStr"/>
    </row>
    <row r="480" ht="15" customHeight="1">
      <c r="A480" t="inlineStr">
        <is>
          <t>A 19488-2022</t>
        </is>
      </c>
      <c r="B480" s="1" t="n">
        <v>44693</v>
      </c>
      <c r="C480" s="1" t="n">
        <v>45981</v>
      </c>
      <c r="D480" t="inlineStr">
        <is>
          <t>UPPSALA LÄN</t>
        </is>
      </c>
      <c r="E480" t="inlineStr">
        <is>
          <t>ENKÖPING</t>
        </is>
      </c>
      <c r="G480" t="n">
        <v>7.8</v>
      </c>
      <c r="H480" t="n">
        <v>0</v>
      </c>
      <c r="I480" t="n">
        <v>0</v>
      </c>
      <c r="J480" t="n">
        <v>0</v>
      </c>
      <c r="K480" t="n">
        <v>0</v>
      </c>
      <c r="L480" t="n">
        <v>0</v>
      </c>
      <c r="M480" t="n">
        <v>0</v>
      </c>
      <c r="N480" t="n">
        <v>0</v>
      </c>
      <c r="O480" t="n">
        <v>0</v>
      </c>
      <c r="P480" t="n">
        <v>0</v>
      </c>
      <c r="Q480" t="n">
        <v>0</v>
      </c>
      <c r="R480" s="2" t="inlineStr"/>
    </row>
    <row r="481" ht="15" customHeight="1">
      <c r="A481" t="inlineStr">
        <is>
          <t>A 5188-2022</t>
        </is>
      </c>
      <c r="B481" s="1" t="n">
        <v>44594.4471412037</v>
      </c>
      <c r="C481" s="1" t="n">
        <v>45981</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31622-2022</t>
        </is>
      </c>
      <c r="B482" s="1" t="n">
        <v>44775</v>
      </c>
      <c r="C482" s="1" t="n">
        <v>45981</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37498-2025</t>
        </is>
      </c>
      <c r="B483" s="1" t="n">
        <v>45877</v>
      </c>
      <c r="C483" s="1" t="n">
        <v>45981</v>
      </c>
      <c r="D483" t="inlineStr">
        <is>
          <t>UPPSALA LÄN</t>
        </is>
      </c>
      <c r="E483" t="inlineStr">
        <is>
          <t>ENKÖPING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37296-2025</t>
        </is>
      </c>
      <c r="B484" s="1" t="n">
        <v>45876</v>
      </c>
      <c r="C484" s="1" t="n">
        <v>45981</v>
      </c>
      <c r="D484" t="inlineStr">
        <is>
          <t>UPPSALA LÄN</t>
        </is>
      </c>
      <c r="E484" t="inlineStr">
        <is>
          <t>ENKÖPING</t>
        </is>
      </c>
      <c r="G484" t="n">
        <v>9.5</v>
      </c>
      <c r="H484" t="n">
        <v>0</v>
      </c>
      <c r="I484" t="n">
        <v>0</v>
      </c>
      <c r="J484" t="n">
        <v>0</v>
      </c>
      <c r="K484" t="n">
        <v>0</v>
      </c>
      <c r="L484" t="n">
        <v>0</v>
      </c>
      <c r="M484" t="n">
        <v>0</v>
      </c>
      <c r="N484" t="n">
        <v>0</v>
      </c>
      <c r="O484" t="n">
        <v>0</v>
      </c>
      <c r="P484" t="n">
        <v>0</v>
      </c>
      <c r="Q484" t="n">
        <v>0</v>
      </c>
      <c r="R484" s="2" t="inlineStr"/>
    </row>
    <row r="485" ht="15" customHeight="1">
      <c r="A485" t="inlineStr">
        <is>
          <t>A 12102-2024</t>
        </is>
      </c>
      <c r="B485" s="1" t="n">
        <v>45377</v>
      </c>
      <c r="C485" s="1" t="n">
        <v>45981</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37319-2025</t>
        </is>
      </c>
      <c r="B486" s="1" t="n">
        <v>45876</v>
      </c>
      <c r="C486" s="1" t="n">
        <v>45981</v>
      </c>
      <c r="D486" t="inlineStr">
        <is>
          <t>UPPSALA LÄN</t>
        </is>
      </c>
      <c r="E486" t="inlineStr">
        <is>
          <t>ENKÖPING</t>
        </is>
      </c>
      <c r="G486" t="n">
        <v>9.5</v>
      </c>
      <c r="H486" t="n">
        <v>0</v>
      </c>
      <c r="I486" t="n">
        <v>0</v>
      </c>
      <c r="J486" t="n">
        <v>0</v>
      </c>
      <c r="K486" t="n">
        <v>0</v>
      </c>
      <c r="L486" t="n">
        <v>0</v>
      </c>
      <c r="M486" t="n">
        <v>0</v>
      </c>
      <c r="N486" t="n">
        <v>0</v>
      </c>
      <c r="O486" t="n">
        <v>0</v>
      </c>
      <c r="P486" t="n">
        <v>0</v>
      </c>
      <c r="Q486" t="n">
        <v>0</v>
      </c>
      <c r="R486" s="2" t="inlineStr"/>
    </row>
    <row r="487" ht="15" customHeight="1">
      <c r="A487" t="inlineStr">
        <is>
          <t>A 59602-2024</t>
        </is>
      </c>
      <c r="B487" s="1" t="n">
        <v>45638</v>
      </c>
      <c r="C487" s="1" t="n">
        <v>45981</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c r="A488" t="inlineStr">
        <is>
          <t>A 49622-2024</t>
        </is>
      </c>
      <c r="B488" s="1" t="n">
        <v>45596.58372685185</v>
      </c>
      <c r="C488" s="1" t="n">
        <v>45981</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2025-11-20T17:02:28Z</dcterms:created>
  <dcterms:modified xmlns:dcterms="http://purl.org/dc/terms/" xmlns:xsi="http://www.w3.org/2001/XMLSchema-instance" xsi:type="dcterms:W3CDTF">2025-11-20T17:02:29Z</dcterms:modified>
</cp:coreProperties>
</file>