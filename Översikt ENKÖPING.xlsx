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46174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46174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46174</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46174</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46174</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46174</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46174</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46174</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46174</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46174</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46174</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50105-2023</t>
        </is>
      </c>
      <c r="B13" s="1" t="n">
        <v>45215</v>
      </c>
      <c r="C13" s="1" t="n">
        <v>46174</v>
      </c>
      <c r="D13" t="inlineStr">
        <is>
          <t>UPPSALA LÄN</t>
        </is>
      </c>
      <c r="E13" t="inlineStr">
        <is>
          <t>ENKÖPING</t>
        </is>
      </c>
      <c r="G13" t="n">
        <v>8.5</v>
      </c>
      <c r="H13" t="n">
        <v>0</v>
      </c>
      <c r="I13" t="n">
        <v>0</v>
      </c>
      <c r="J13" t="n">
        <v>1</v>
      </c>
      <c r="K13" t="n">
        <v>1</v>
      </c>
      <c r="L13" t="n">
        <v>0</v>
      </c>
      <c r="M13" t="n">
        <v>0</v>
      </c>
      <c r="N13" t="n">
        <v>0</v>
      </c>
      <c r="O13" t="n">
        <v>2</v>
      </c>
      <c r="P13" t="n">
        <v>1</v>
      </c>
      <c r="Q13" t="n">
        <v>2</v>
      </c>
      <c r="R13" s="2" t="inlineStr">
        <is>
          <t>Smalskaftslav
Ullticka</t>
        </is>
      </c>
      <c r="S13">
        <f>HYPERLINK("https://klasma.github.io/Logging_0381/artfynd/A 50105-2023 artfynd.xlsx", "A 50105-2023")</f>
        <v/>
      </c>
      <c r="T13">
        <f>HYPERLINK("https://klasma.github.io/Logging_0381/kartor/A 50105-2023 karta.png", "A 50105-2023")</f>
        <v/>
      </c>
      <c r="V13">
        <f>HYPERLINK("https://klasma.github.io/Logging_0381/klagomål/A 50105-2023 FSC-klagomål.docx", "A 50105-2023")</f>
        <v/>
      </c>
      <c r="W13">
        <f>HYPERLINK("https://klasma.github.io/Logging_0381/klagomålsmail/A 50105-2023 FSC-klagomål mail.docx", "A 50105-2023")</f>
        <v/>
      </c>
      <c r="X13">
        <f>HYPERLINK("https://klasma.github.io/Logging_0381/tillsyn/A 50105-2023 tillsynsbegäran.docx", "A 50105-2023")</f>
        <v/>
      </c>
      <c r="Y13">
        <f>HYPERLINK("https://klasma.github.io/Logging_0381/tillsynsmail/A 50105-2023 tillsynsbegäran mail.docx", "A 50105-2023")</f>
        <v/>
      </c>
    </row>
    <row r="14" ht="15" customHeight="1">
      <c r="A14" t="inlineStr">
        <is>
          <t>A 425-2024</t>
        </is>
      </c>
      <c r="B14" s="1" t="n">
        <v>45296</v>
      </c>
      <c r="C14" s="1" t="n">
        <v>46174</v>
      </c>
      <c r="D14" t="inlineStr">
        <is>
          <t>UPPSALA LÄN</t>
        </is>
      </c>
      <c r="E14" t="inlineStr">
        <is>
          <t>ENKÖPING</t>
        </is>
      </c>
      <c r="G14" t="n">
        <v>8.300000000000001</v>
      </c>
      <c r="H14" t="n">
        <v>2</v>
      </c>
      <c r="I14" t="n">
        <v>0</v>
      </c>
      <c r="J14" t="n">
        <v>0</v>
      </c>
      <c r="K14" t="n">
        <v>0</v>
      </c>
      <c r="L14" t="n">
        <v>0</v>
      </c>
      <c r="M14" t="n">
        <v>0</v>
      </c>
      <c r="N14" t="n">
        <v>0</v>
      </c>
      <c r="O14" t="n">
        <v>0</v>
      </c>
      <c r="P14" t="n">
        <v>0</v>
      </c>
      <c r="Q14" t="n">
        <v>2</v>
      </c>
      <c r="R14" s="2" t="inlineStr">
        <is>
          <t>Grönsiska
Orre</t>
        </is>
      </c>
      <c r="S14">
        <f>HYPERLINK("https://klasma.github.io/Logging_0381/artfynd/A 425-2024 artfynd.xlsx", "A 425-2024")</f>
        <v/>
      </c>
      <c r="T14">
        <f>HYPERLINK("https://klasma.github.io/Logging_0381/kartor/A 425-2024 karta.png", "A 425-2024")</f>
        <v/>
      </c>
      <c r="V14">
        <f>HYPERLINK("https://klasma.github.io/Logging_0381/klagomål/A 425-2024 FSC-klagomål.docx", "A 425-2024")</f>
        <v/>
      </c>
      <c r="W14">
        <f>HYPERLINK("https://klasma.github.io/Logging_0381/klagomålsmail/A 425-2024 FSC-klagomål mail.docx", "A 425-2024")</f>
        <v/>
      </c>
      <c r="X14">
        <f>HYPERLINK("https://klasma.github.io/Logging_0381/tillsyn/A 425-2024 tillsynsbegäran.docx", "A 425-2024")</f>
        <v/>
      </c>
      <c r="Y14">
        <f>HYPERLINK("https://klasma.github.io/Logging_0381/tillsynsmail/A 425-2024 tillsynsbegäran mail.docx", "A 425-2024")</f>
        <v/>
      </c>
      <c r="Z14">
        <f>HYPERLINK("https://klasma.github.io/Logging_0381/fåglar/A 425-2024 prioriterade fågelarter.docx", "A 425-2024")</f>
        <v/>
      </c>
    </row>
    <row r="15" ht="15" customHeight="1">
      <c r="A15" t="inlineStr">
        <is>
          <t>A 21970-2025</t>
        </is>
      </c>
      <c r="B15" s="1" t="n">
        <v>45784.63335648148</v>
      </c>
      <c r="C15" s="1" t="n">
        <v>46174</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46174</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9147-2026</t>
        </is>
      </c>
      <c r="B17" s="1" t="n">
        <v>46070.30649305556</v>
      </c>
      <c r="C17" s="1" t="n">
        <v>46174</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21810-2026</t>
        </is>
      </c>
      <c r="B18" s="1" t="n">
        <v>46150</v>
      </c>
      <c r="C18" s="1" t="n">
        <v>46174</v>
      </c>
      <c r="D18" t="inlineStr">
        <is>
          <t>UPPSALA LÄN</t>
        </is>
      </c>
      <c r="E18" t="inlineStr">
        <is>
          <t>ENKÖPING</t>
        </is>
      </c>
      <c r="G18" t="n">
        <v>13.3</v>
      </c>
      <c r="H18" t="n">
        <v>1</v>
      </c>
      <c r="I18" t="n">
        <v>0</v>
      </c>
      <c r="J18" t="n">
        <v>1</v>
      </c>
      <c r="K18" t="n">
        <v>0</v>
      </c>
      <c r="L18" t="n">
        <v>0</v>
      </c>
      <c r="M18" t="n">
        <v>0</v>
      </c>
      <c r="N18" t="n">
        <v>0</v>
      </c>
      <c r="O18" t="n">
        <v>1</v>
      </c>
      <c r="P18" t="n">
        <v>0</v>
      </c>
      <c r="Q18" t="n">
        <v>2</v>
      </c>
      <c r="R18" s="2" t="inlineStr">
        <is>
          <t>Motaggsvamp
Kungsfågel</t>
        </is>
      </c>
      <c r="S18">
        <f>HYPERLINK("https://klasma.github.io/Logging_0381/artfynd/A 21810-2026 artfynd.xlsx", "A 21810-2026")</f>
        <v/>
      </c>
      <c r="T18">
        <f>HYPERLINK("https://klasma.github.io/Logging_0381/kartor/A 21810-2026 karta.png", "A 21810-2026")</f>
        <v/>
      </c>
      <c r="V18">
        <f>HYPERLINK("https://klasma.github.io/Logging_0381/klagomål/A 21810-2026 FSC-klagomål.docx", "A 21810-2026")</f>
        <v/>
      </c>
      <c r="W18">
        <f>HYPERLINK("https://klasma.github.io/Logging_0381/klagomålsmail/A 21810-2026 FSC-klagomål mail.docx", "A 21810-2026")</f>
        <v/>
      </c>
      <c r="X18">
        <f>HYPERLINK("https://klasma.github.io/Logging_0381/tillsyn/A 21810-2026 tillsynsbegäran.docx", "A 21810-2026")</f>
        <v/>
      </c>
      <c r="Y18">
        <f>HYPERLINK("https://klasma.github.io/Logging_0381/tillsynsmail/A 21810-2026 tillsynsbegäran mail.docx", "A 21810-2026")</f>
        <v/>
      </c>
      <c r="Z18">
        <f>HYPERLINK("https://klasma.github.io/Logging_0381/fåglar/A 21810-2026 prioriterade fågelarter.docx", "A 21810-2026")</f>
        <v/>
      </c>
    </row>
    <row r="19" ht="15" customHeight="1">
      <c r="A19" t="inlineStr">
        <is>
          <t>A 36523-2021</t>
        </is>
      </c>
      <c r="B19" s="1" t="n">
        <v>44391</v>
      </c>
      <c r="C19" s="1" t="n">
        <v>46174</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46174</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28900-2024</t>
        </is>
      </c>
      <c r="B21" s="1" t="n">
        <v>45480</v>
      </c>
      <c r="C21" s="1" t="n">
        <v>46174</v>
      </c>
      <c r="D21" t="inlineStr">
        <is>
          <t>UPPSALA LÄN</t>
        </is>
      </c>
      <c r="E21" t="inlineStr">
        <is>
          <t>ENKÖPING</t>
        </is>
      </c>
      <c r="G21" t="n">
        <v>8.6</v>
      </c>
      <c r="H21" t="n">
        <v>1</v>
      </c>
      <c r="I21" t="n">
        <v>0</v>
      </c>
      <c r="J21" t="n">
        <v>0</v>
      </c>
      <c r="K21" t="n">
        <v>0</v>
      </c>
      <c r="L21" t="n">
        <v>0</v>
      </c>
      <c r="M21" t="n">
        <v>0</v>
      </c>
      <c r="N21" t="n">
        <v>0</v>
      </c>
      <c r="O21" t="n">
        <v>0</v>
      </c>
      <c r="P21" t="n">
        <v>0</v>
      </c>
      <c r="Q21" t="n">
        <v>1</v>
      </c>
      <c r="R21" s="2" t="inlineStr">
        <is>
          <t>Blåsippa</t>
        </is>
      </c>
      <c r="S21">
        <f>HYPERLINK("https://klasma.github.io/Logging_0381/artfynd/A 28900-2024 artfynd.xlsx", "A 28900-2024")</f>
        <v/>
      </c>
      <c r="T21">
        <f>HYPERLINK("https://klasma.github.io/Logging_0381/kartor/A 28900-2024 karta.png", "A 28900-2024")</f>
        <v/>
      </c>
      <c r="V21">
        <f>HYPERLINK("https://klasma.github.io/Logging_0381/klagomål/A 28900-2024 FSC-klagomål.docx", "A 28900-2024")</f>
        <v/>
      </c>
      <c r="W21">
        <f>HYPERLINK("https://klasma.github.io/Logging_0381/klagomålsmail/A 28900-2024 FSC-klagomål mail.docx", "A 28900-2024")</f>
        <v/>
      </c>
      <c r="X21">
        <f>HYPERLINK("https://klasma.github.io/Logging_0381/tillsyn/A 28900-2024 tillsynsbegäran.docx", "A 28900-2024")</f>
        <v/>
      </c>
      <c r="Y21">
        <f>HYPERLINK("https://klasma.github.io/Logging_0381/tillsynsmail/A 28900-2024 tillsynsbegäran mail.docx", "A 28900-2024")</f>
        <v/>
      </c>
    </row>
    <row r="22" ht="15" customHeight="1">
      <c r="A22" t="inlineStr">
        <is>
          <t>A 17942-2024</t>
        </is>
      </c>
      <c r="B22" s="1" t="n">
        <v>45419</v>
      </c>
      <c r="C22" s="1" t="n">
        <v>46174</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46749-2024</t>
        </is>
      </c>
      <c r="B23" s="1" t="n">
        <v>45583.48347222222</v>
      </c>
      <c r="C23" s="1" t="n">
        <v>46174</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Tallkötticka</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45116-2023</t>
        </is>
      </c>
      <c r="B24" s="1" t="n">
        <v>45191</v>
      </c>
      <c r="C24" s="1" t="n">
        <v>46174</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1524-2023</t>
        </is>
      </c>
      <c r="B25" s="1" t="n">
        <v>44935</v>
      </c>
      <c r="C25" s="1" t="n">
        <v>46174</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46174</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23961-2022</t>
        </is>
      </c>
      <c r="B27" s="1" t="n">
        <v>44722</v>
      </c>
      <c r="C27" s="1" t="n">
        <v>46174</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Blåsippa</t>
        </is>
      </c>
      <c r="S27">
        <f>HYPERLINK("https://klasma.github.io/Logging_0381/artfynd/A 23961-2022 artfynd.xlsx", "A 23961-2022")</f>
        <v/>
      </c>
      <c r="T27">
        <f>HYPERLINK("https://klasma.github.io/Logging_0381/kartor/A 23961-2022 karta.png", "A 23961-2022")</f>
        <v/>
      </c>
      <c r="V27">
        <f>HYPERLINK("https://klasma.github.io/Logging_0381/klagomål/A 23961-2022 FSC-klagomål.docx", "A 23961-2022")</f>
        <v/>
      </c>
      <c r="W27">
        <f>HYPERLINK("https://klasma.github.io/Logging_0381/klagomålsmail/A 23961-2022 FSC-klagomål mail.docx", "A 23961-2022")</f>
        <v/>
      </c>
      <c r="X27">
        <f>HYPERLINK("https://klasma.github.io/Logging_0381/tillsyn/A 23961-2022 tillsynsbegäran.docx", "A 23961-2022")</f>
        <v/>
      </c>
      <c r="Y27">
        <f>HYPERLINK("https://klasma.github.io/Logging_0381/tillsynsmail/A 23961-2022 tillsynsbegäran mail.docx", "A 23961-2022")</f>
        <v/>
      </c>
    </row>
    <row r="28" ht="15" customHeight="1">
      <c r="A28" t="inlineStr">
        <is>
          <t>A 52439-2025</t>
        </is>
      </c>
      <c r="B28" s="1" t="n">
        <v>45954.40697916667</v>
      </c>
      <c r="C28" s="1" t="n">
        <v>46174</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33339-2024</t>
        </is>
      </c>
      <c r="B29" s="1" t="n">
        <v>45519</v>
      </c>
      <c r="C29" s="1" t="n">
        <v>46174</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26347-2025</t>
        </is>
      </c>
      <c r="B30" s="1" t="n">
        <v>45805.7403125</v>
      </c>
      <c r="C30" s="1" t="n">
        <v>46174</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46174</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4166-2026</t>
        </is>
      </c>
      <c r="B32" s="1" t="n">
        <v>46044.66402777778</v>
      </c>
      <c r="C32" s="1" t="n">
        <v>46174</v>
      </c>
      <c r="D32" t="inlineStr">
        <is>
          <t>UPPSALA LÄN</t>
        </is>
      </c>
      <c r="E32" t="inlineStr">
        <is>
          <t>ENKÖPING</t>
        </is>
      </c>
      <c r="G32" t="n">
        <v>1.7</v>
      </c>
      <c r="H32" t="n">
        <v>1</v>
      </c>
      <c r="I32" t="n">
        <v>0</v>
      </c>
      <c r="J32" t="n">
        <v>1</v>
      </c>
      <c r="K32" t="n">
        <v>0</v>
      </c>
      <c r="L32" t="n">
        <v>0</v>
      </c>
      <c r="M32" t="n">
        <v>0</v>
      </c>
      <c r="N32" t="n">
        <v>0</v>
      </c>
      <c r="O32" t="n">
        <v>1</v>
      </c>
      <c r="P32" t="n">
        <v>0</v>
      </c>
      <c r="Q32" t="n">
        <v>1</v>
      </c>
      <c r="R32" s="2" t="inlineStr">
        <is>
          <t>Gulsparv</t>
        </is>
      </c>
      <c r="S32">
        <f>HYPERLINK("https://klasma.github.io/Logging_0381/artfynd/A 4166-2026 artfynd.xlsx", "A 4166-2026")</f>
        <v/>
      </c>
      <c r="T32">
        <f>HYPERLINK("https://klasma.github.io/Logging_0381/kartor/A 4166-2026 karta.png", "A 4166-2026")</f>
        <v/>
      </c>
      <c r="V32">
        <f>HYPERLINK("https://klasma.github.io/Logging_0381/klagomål/A 4166-2026 FSC-klagomål.docx", "A 4166-2026")</f>
        <v/>
      </c>
      <c r="W32">
        <f>HYPERLINK("https://klasma.github.io/Logging_0381/klagomålsmail/A 4166-2026 FSC-klagomål mail.docx", "A 4166-2026")</f>
        <v/>
      </c>
      <c r="X32">
        <f>HYPERLINK("https://klasma.github.io/Logging_0381/tillsyn/A 4166-2026 tillsynsbegäran.docx", "A 4166-2026")</f>
        <v/>
      </c>
      <c r="Y32">
        <f>HYPERLINK("https://klasma.github.io/Logging_0381/tillsynsmail/A 4166-2026 tillsynsbegäran mail.docx", "A 4166-2026")</f>
        <v/>
      </c>
      <c r="Z32">
        <f>HYPERLINK("https://klasma.github.io/Logging_0381/fåglar/A 4166-2026 prioriterade fågelarter.docx", "A 4166-2026")</f>
        <v/>
      </c>
    </row>
    <row r="33" ht="15" customHeight="1">
      <c r="A33" t="inlineStr">
        <is>
          <t>A 55582-2021</t>
        </is>
      </c>
      <c r="B33" s="1" t="n">
        <v>44475</v>
      </c>
      <c r="C33" s="1" t="n">
        <v>46174</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46174</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46174</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46174</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46174</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46174</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46174</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32748-2021</t>
        </is>
      </c>
      <c r="B40" s="1" t="n">
        <v>44375.53055555555</v>
      </c>
      <c r="C40" s="1" t="n">
        <v>46174</v>
      </c>
      <c r="D40" t="inlineStr">
        <is>
          <t>UPPSALA LÄN</t>
        </is>
      </c>
      <c r="E40" t="inlineStr">
        <is>
          <t>ENKÖPING</t>
        </is>
      </c>
      <c r="G40" t="n">
        <v>1.1</v>
      </c>
      <c r="H40" t="n">
        <v>0</v>
      </c>
      <c r="I40" t="n">
        <v>0</v>
      </c>
      <c r="J40" t="n">
        <v>0</v>
      </c>
      <c r="K40" t="n">
        <v>0</v>
      </c>
      <c r="L40" t="n">
        <v>0</v>
      </c>
      <c r="M40" t="n">
        <v>0</v>
      </c>
      <c r="N40" t="n">
        <v>0</v>
      </c>
      <c r="O40" t="n">
        <v>0</v>
      </c>
      <c r="P40" t="n">
        <v>0</v>
      </c>
      <c r="Q40" t="n">
        <v>0</v>
      </c>
      <c r="R40" s="2" t="inlineStr"/>
    </row>
    <row r="41" ht="15" customHeight="1">
      <c r="A41" t="inlineStr">
        <is>
          <t>A 54433-2021</t>
        </is>
      </c>
      <c r="B41" s="1" t="n">
        <v>44473</v>
      </c>
      <c r="C41" s="1" t="n">
        <v>46174</v>
      </c>
      <c r="D41" t="inlineStr">
        <is>
          <t>UPPSALA LÄN</t>
        </is>
      </c>
      <c r="E41" t="inlineStr">
        <is>
          <t>ENKÖPING</t>
        </is>
      </c>
      <c r="G41" t="n">
        <v>1</v>
      </c>
      <c r="H41" t="n">
        <v>0</v>
      </c>
      <c r="I41" t="n">
        <v>0</v>
      </c>
      <c r="J41" t="n">
        <v>0</v>
      </c>
      <c r="K41" t="n">
        <v>0</v>
      </c>
      <c r="L41" t="n">
        <v>0</v>
      </c>
      <c r="M41" t="n">
        <v>0</v>
      </c>
      <c r="N41" t="n">
        <v>0</v>
      </c>
      <c r="O41" t="n">
        <v>0</v>
      </c>
      <c r="P41" t="n">
        <v>0</v>
      </c>
      <c r="Q41" t="n">
        <v>0</v>
      </c>
      <c r="R41" s="2" t="inlineStr"/>
    </row>
    <row r="42" ht="15" customHeight="1">
      <c r="A42" t="inlineStr">
        <is>
          <t>A 10202-2022</t>
        </is>
      </c>
      <c r="B42" s="1" t="n">
        <v>44622</v>
      </c>
      <c r="C42" s="1" t="n">
        <v>46174</v>
      </c>
      <c r="D42" t="inlineStr">
        <is>
          <t>UPPSALA LÄN</t>
        </is>
      </c>
      <c r="E42" t="inlineStr">
        <is>
          <t>ENKÖPING</t>
        </is>
      </c>
      <c r="G42" t="n">
        <v>5.6</v>
      </c>
      <c r="H42" t="n">
        <v>0</v>
      </c>
      <c r="I42" t="n">
        <v>0</v>
      </c>
      <c r="J42" t="n">
        <v>0</v>
      </c>
      <c r="K42" t="n">
        <v>0</v>
      </c>
      <c r="L42" t="n">
        <v>0</v>
      </c>
      <c r="M42" t="n">
        <v>0</v>
      </c>
      <c r="N42" t="n">
        <v>0</v>
      </c>
      <c r="O42" t="n">
        <v>0</v>
      </c>
      <c r="P42" t="n">
        <v>0</v>
      </c>
      <c r="Q42" t="n">
        <v>0</v>
      </c>
      <c r="R42" s="2" t="inlineStr"/>
    </row>
    <row r="43" ht="15" customHeight="1">
      <c r="A43" t="inlineStr">
        <is>
          <t>A 10207-2022</t>
        </is>
      </c>
      <c r="B43" s="1" t="n">
        <v>44622</v>
      </c>
      <c r="C43" s="1" t="n">
        <v>46174</v>
      </c>
      <c r="D43" t="inlineStr">
        <is>
          <t>UPPSALA LÄN</t>
        </is>
      </c>
      <c r="E43" t="inlineStr">
        <is>
          <t>ENKÖPING</t>
        </is>
      </c>
      <c r="G43" t="n">
        <v>4.9</v>
      </c>
      <c r="H43" t="n">
        <v>0</v>
      </c>
      <c r="I43" t="n">
        <v>0</v>
      </c>
      <c r="J43" t="n">
        <v>0</v>
      </c>
      <c r="K43" t="n">
        <v>0</v>
      </c>
      <c r="L43" t="n">
        <v>0</v>
      </c>
      <c r="M43" t="n">
        <v>0</v>
      </c>
      <c r="N43" t="n">
        <v>0</v>
      </c>
      <c r="O43" t="n">
        <v>0</v>
      </c>
      <c r="P43" t="n">
        <v>0</v>
      </c>
      <c r="Q43" t="n">
        <v>0</v>
      </c>
      <c r="R43" s="2" t="inlineStr"/>
    </row>
    <row r="44" ht="15" customHeight="1">
      <c r="A44" t="inlineStr">
        <is>
          <t>A 17704-2022</t>
        </is>
      </c>
      <c r="B44" s="1" t="n">
        <v>44680.61315972222</v>
      </c>
      <c r="C44" s="1" t="n">
        <v>46174</v>
      </c>
      <c r="D44" t="inlineStr">
        <is>
          <t>UPPSALA LÄN</t>
        </is>
      </c>
      <c r="E44" t="inlineStr">
        <is>
          <t>ENKÖPING</t>
        </is>
      </c>
      <c r="G44" t="n">
        <v>0.8</v>
      </c>
      <c r="H44" t="n">
        <v>0</v>
      </c>
      <c r="I44" t="n">
        <v>0</v>
      </c>
      <c r="J44" t="n">
        <v>0</v>
      </c>
      <c r="K44" t="n">
        <v>0</v>
      </c>
      <c r="L44" t="n">
        <v>0</v>
      </c>
      <c r="M44" t="n">
        <v>0</v>
      </c>
      <c r="N44" t="n">
        <v>0</v>
      </c>
      <c r="O44" t="n">
        <v>0</v>
      </c>
      <c r="P44" t="n">
        <v>0</v>
      </c>
      <c r="Q44" t="n">
        <v>0</v>
      </c>
      <c r="R44" s="2" t="inlineStr"/>
    </row>
    <row r="45" ht="15" customHeight="1">
      <c r="A45" t="inlineStr">
        <is>
          <t>A 46749-2022</t>
        </is>
      </c>
      <c r="B45" s="1" t="n">
        <v>44851</v>
      </c>
      <c r="C45" s="1" t="n">
        <v>46174</v>
      </c>
      <c r="D45" t="inlineStr">
        <is>
          <t>UPPSALA LÄN</t>
        </is>
      </c>
      <c r="E45" t="inlineStr">
        <is>
          <t>ENKÖPING</t>
        </is>
      </c>
      <c r="G45" t="n">
        <v>6.6</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46174</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46174</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46174</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46174</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498-2022</t>
        </is>
      </c>
      <c r="B50" s="1" t="n">
        <v>44566</v>
      </c>
      <c r="C50" s="1" t="n">
        <v>46174</v>
      </c>
      <c r="D50" t="inlineStr">
        <is>
          <t>UPPSALA LÄN</t>
        </is>
      </c>
      <c r="E50" t="inlineStr">
        <is>
          <t>ENKÖPING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1965-2022</t>
        </is>
      </c>
      <c r="B51" s="1" t="n">
        <v>44575</v>
      </c>
      <c r="C51" s="1" t="n">
        <v>46174</v>
      </c>
      <c r="D51" t="inlineStr">
        <is>
          <t>UPPSALA LÄN</t>
        </is>
      </c>
      <c r="E51" t="inlineStr">
        <is>
          <t>ENKÖPING</t>
        </is>
      </c>
      <c r="G51" t="n">
        <v>0.7</v>
      </c>
      <c r="H51" t="n">
        <v>0</v>
      </c>
      <c r="I51" t="n">
        <v>0</v>
      </c>
      <c r="J51" t="n">
        <v>0</v>
      </c>
      <c r="K51" t="n">
        <v>0</v>
      </c>
      <c r="L51" t="n">
        <v>0</v>
      </c>
      <c r="M51" t="n">
        <v>0</v>
      </c>
      <c r="N51" t="n">
        <v>0</v>
      </c>
      <c r="O51" t="n">
        <v>0</v>
      </c>
      <c r="P51" t="n">
        <v>0</v>
      </c>
      <c r="Q51" t="n">
        <v>0</v>
      </c>
      <c r="R51" s="2" t="inlineStr"/>
    </row>
    <row r="52" ht="15" customHeight="1">
      <c r="A52" t="inlineStr">
        <is>
          <t>A 48230-2022</t>
        </is>
      </c>
      <c r="B52" s="1" t="n">
        <v>44858.45100694444</v>
      </c>
      <c r="C52" s="1" t="n">
        <v>46174</v>
      </c>
      <c r="D52" t="inlineStr">
        <is>
          <t>UPPSALA LÄN</t>
        </is>
      </c>
      <c r="E52" t="inlineStr">
        <is>
          <t>ENKÖPING</t>
        </is>
      </c>
      <c r="G52" t="n">
        <v>0.5</v>
      </c>
      <c r="H52" t="n">
        <v>0</v>
      </c>
      <c r="I52" t="n">
        <v>0</v>
      </c>
      <c r="J52" t="n">
        <v>0</v>
      </c>
      <c r="K52" t="n">
        <v>0</v>
      </c>
      <c r="L52" t="n">
        <v>0</v>
      </c>
      <c r="M52" t="n">
        <v>0</v>
      </c>
      <c r="N52" t="n">
        <v>0</v>
      </c>
      <c r="O52" t="n">
        <v>0</v>
      </c>
      <c r="P52" t="n">
        <v>0</v>
      </c>
      <c r="Q52" t="n">
        <v>0</v>
      </c>
      <c r="R52" s="2" t="inlineStr"/>
    </row>
    <row r="53" ht="15" customHeight="1">
      <c r="A53" t="inlineStr">
        <is>
          <t>A 14531-2022</t>
        </is>
      </c>
      <c r="B53" s="1" t="n">
        <v>44655</v>
      </c>
      <c r="C53" s="1" t="n">
        <v>46174</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48233-2022</t>
        </is>
      </c>
      <c r="B54" s="1" t="n">
        <v>44858.45300925926</v>
      </c>
      <c r="C54" s="1" t="n">
        <v>46174</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29435-2022</t>
        </is>
      </c>
      <c r="B55" s="1" t="n">
        <v>44753.49215277778</v>
      </c>
      <c r="C55" s="1" t="n">
        <v>46174</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39473-2021</t>
        </is>
      </c>
      <c r="B56" s="1" t="n">
        <v>44414</v>
      </c>
      <c r="C56" s="1" t="n">
        <v>46174</v>
      </c>
      <c r="D56" t="inlineStr">
        <is>
          <t>UPPSALA LÄN</t>
        </is>
      </c>
      <c r="E56" t="inlineStr">
        <is>
          <t>ENKÖPING</t>
        </is>
      </c>
      <c r="G56" t="n">
        <v>3.2</v>
      </c>
      <c r="H56" t="n">
        <v>0</v>
      </c>
      <c r="I56" t="n">
        <v>0</v>
      </c>
      <c r="J56" t="n">
        <v>0</v>
      </c>
      <c r="K56" t="n">
        <v>0</v>
      </c>
      <c r="L56" t="n">
        <v>0</v>
      </c>
      <c r="M56" t="n">
        <v>0</v>
      </c>
      <c r="N56" t="n">
        <v>0</v>
      </c>
      <c r="O56" t="n">
        <v>0</v>
      </c>
      <c r="P56" t="n">
        <v>0</v>
      </c>
      <c r="Q56" t="n">
        <v>0</v>
      </c>
      <c r="R56" s="2" t="inlineStr"/>
    </row>
    <row r="57" ht="15" customHeight="1">
      <c r="A57" t="inlineStr">
        <is>
          <t>A 38005-2022</t>
        </is>
      </c>
      <c r="B57" s="1" t="n">
        <v>44810</v>
      </c>
      <c r="C57" s="1" t="n">
        <v>46174</v>
      </c>
      <c r="D57" t="inlineStr">
        <is>
          <t>UPPSALA LÄN</t>
        </is>
      </c>
      <c r="E57" t="inlineStr">
        <is>
          <t>ENKÖPING</t>
        </is>
      </c>
      <c r="G57" t="n">
        <v>1.5</v>
      </c>
      <c r="H57" t="n">
        <v>0</v>
      </c>
      <c r="I57" t="n">
        <v>0</v>
      </c>
      <c r="J57" t="n">
        <v>0</v>
      </c>
      <c r="K57" t="n">
        <v>0</v>
      </c>
      <c r="L57" t="n">
        <v>0</v>
      </c>
      <c r="M57" t="n">
        <v>0</v>
      </c>
      <c r="N57" t="n">
        <v>0</v>
      </c>
      <c r="O57" t="n">
        <v>0</v>
      </c>
      <c r="P57" t="n">
        <v>0</v>
      </c>
      <c r="Q57" t="n">
        <v>0</v>
      </c>
      <c r="R57" s="2" t="inlineStr"/>
    </row>
    <row r="58" ht="15" customHeight="1">
      <c r="A58" t="inlineStr">
        <is>
          <t>A 29425-2022</t>
        </is>
      </c>
      <c r="B58" s="1" t="n">
        <v>44753.47837962963</v>
      </c>
      <c r="C58" s="1" t="n">
        <v>46174</v>
      </c>
      <c r="D58" t="inlineStr">
        <is>
          <t>UPPSALA LÄN</t>
        </is>
      </c>
      <c r="E58" t="inlineStr">
        <is>
          <t>ENKÖPING</t>
        </is>
      </c>
      <c r="G58" t="n">
        <v>2.5</v>
      </c>
      <c r="H58" t="n">
        <v>0</v>
      </c>
      <c r="I58" t="n">
        <v>0</v>
      </c>
      <c r="J58" t="n">
        <v>0</v>
      </c>
      <c r="K58" t="n">
        <v>0</v>
      </c>
      <c r="L58" t="n">
        <v>0</v>
      </c>
      <c r="M58" t="n">
        <v>0</v>
      </c>
      <c r="N58" t="n">
        <v>0</v>
      </c>
      <c r="O58" t="n">
        <v>0</v>
      </c>
      <c r="P58" t="n">
        <v>0</v>
      </c>
      <c r="Q58" t="n">
        <v>0</v>
      </c>
      <c r="R58" s="2" t="inlineStr"/>
    </row>
    <row r="59" ht="15" customHeight="1">
      <c r="A59" t="inlineStr">
        <is>
          <t>A 52896-2022</t>
        </is>
      </c>
      <c r="B59" s="1" t="n">
        <v>44875.5665625</v>
      </c>
      <c r="C59" s="1" t="n">
        <v>46174</v>
      </c>
      <c r="D59" t="inlineStr">
        <is>
          <t>UPPSALA LÄN</t>
        </is>
      </c>
      <c r="E59" t="inlineStr">
        <is>
          <t>ENKÖPING</t>
        </is>
      </c>
      <c r="G59" t="n">
        <v>0.8</v>
      </c>
      <c r="H59" t="n">
        <v>0</v>
      </c>
      <c r="I59" t="n">
        <v>0</v>
      </c>
      <c r="J59" t="n">
        <v>0</v>
      </c>
      <c r="K59" t="n">
        <v>0</v>
      </c>
      <c r="L59" t="n">
        <v>0</v>
      </c>
      <c r="M59" t="n">
        <v>0</v>
      </c>
      <c r="N59" t="n">
        <v>0</v>
      </c>
      <c r="O59" t="n">
        <v>0</v>
      </c>
      <c r="P59" t="n">
        <v>0</v>
      </c>
      <c r="Q59" t="n">
        <v>0</v>
      </c>
      <c r="R59" s="2" t="inlineStr"/>
    </row>
    <row r="60" ht="15" customHeight="1">
      <c r="A60" t="inlineStr">
        <is>
          <t>A 2680-2022</t>
        </is>
      </c>
      <c r="B60" s="1" t="n">
        <v>44580</v>
      </c>
      <c r="C60" s="1" t="n">
        <v>46174</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52014-2021</t>
        </is>
      </c>
      <c r="B61" s="1" t="n">
        <v>44463.3425462963</v>
      </c>
      <c r="C61" s="1" t="n">
        <v>46174</v>
      </c>
      <c r="D61" t="inlineStr">
        <is>
          <t>UPPSALA LÄN</t>
        </is>
      </c>
      <c r="E61" t="inlineStr">
        <is>
          <t>ENKÖPING</t>
        </is>
      </c>
      <c r="G61" t="n">
        <v>5.8</v>
      </c>
      <c r="H61" t="n">
        <v>0</v>
      </c>
      <c r="I61" t="n">
        <v>0</v>
      </c>
      <c r="J61" t="n">
        <v>0</v>
      </c>
      <c r="K61" t="n">
        <v>0</v>
      </c>
      <c r="L61" t="n">
        <v>0</v>
      </c>
      <c r="M61" t="n">
        <v>0</v>
      </c>
      <c r="N61" t="n">
        <v>0</v>
      </c>
      <c r="O61" t="n">
        <v>0</v>
      </c>
      <c r="P61" t="n">
        <v>0</v>
      </c>
      <c r="Q61" t="n">
        <v>0</v>
      </c>
      <c r="R61" s="2" t="inlineStr"/>
    </row>
    <row r="62" ht="15" customHeight="1">
      <c r="A62" t="inlineStr">
        <is>
          <t>A 37410-2022</t>
        </is>
      </c>
      <c r="B62" s="1" t="n">
        <v>44809</v>
      </c>
      <c r="C62" s="1" t="n">
        <v>46174</v>
      </c>
      <c r="D62" t="inlineStr">
        <is>
          <t>UPPSALA LÄN</t>
        </is>
      </c>
      <c r="E62" t="inlineStr">
        <is>
          <t>ENKÖPING</t>
        </is>
      </c>
      <c r="G62" t="n">
        <v>3.6</v>
      </c>
      <c r="H62" t="n">
        <v>0</v>
      </c>
      <c r="I62" t="n">
        <v>0</v>
      </c>
      <c r="J62" t="n">
        <v>0</v>
      </c>
      <c r="K62" t="n">
        <v>0</v>
      </c>
      <c r="L62" t="n">
        <v>0</v>
      </c>
      <c r="M62" t="n">
        <v>0</v>
      </c>
      <c r="N62" t="n">
        <v>0</v>
      </c>
      <c r="O62" t="n">
        <v>0</v>
      </c>
      <c r="P62" t="n">
        <v>0</v>
      </c>
      <c r="Q62" t="n">
        <v>0</v>
      </c>
      <c r="R62" s="2" t="inlineStr"/>
    </row>
    <row r="63" ht="15" customHeight="1">
      <c r="A63" t="inlineStr">
        <is>
          <t>A 1979-2022</t>
        </is>
      </c>
      <c r="B63" s="1" t="n">
        <v>44575</v>
      </c>
      <c r="C63" s="1" t="n">
        <v>46174</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28795-2021</t>
        </is>
      </c>
      <c r="B64" s="1" t="n">
        <v>44357</v>
      </c>
      <c r="C64" s="1" t="n">
        <v>46174</v>
      </c>
      <c r="D64" t="inlineStr">
        <is>
          <t>UPPSALA LÄN</t>
        </is>
      </c>
      <c r="E64" t="inlineStr">
        <is>
          <t>ENKÖPING</t>
        </is>
      </c>
      <c r="F64" t="inlineStr">
        <is>
          <t>Allmännings- och besparingsskogar</t>
        </is>
      </c>
      <c r="G64" t="n">
        <v>2.8</v>
      </c>
      <c r="H64" t="n">
        <v>0</v>
      </c>
      <c r="I64" t="n">
        <v>0</v>
      </c>
      <c r="J64" t="n">
        <v>0</v>
      </c>
      <c r="K64" t="n">
        <v>0</v>
      </c>
      <c r="L64" t="n">
        <v>0</v>
      </c>
      <c r="M64" t="n">
        <v>0</v>
      </c>
      <c r="N64" t="n">
        <v>0</v>
      </c>
      <c r="O64" t="n">
        <v>0</v>
      </c>
      <c r="P64" t="n">
        <v>0</v>
      </c>
      <c r="Q64" t="n">
        <v>0</v>
      </c>
      <c r="R64" s="2" t="inlineStr"/>
    </row>
    <row r="65" ht="15" customHeight="1">
      <c r="A65" t="inlineStr">
        <is>
          <t>A 31013-2022</t>
        </is>
      </c>
      <c r="B65" s="1" t="n">
        <v>44768</v>
      </c>
      <c r="C65" s="1" t="n">
        <v>46174</v>
      </c>
      <c r="D65" t="inlineStr">
        <is>
          <t>UPPSALA LÄN</t>
        </is>
      </c>
      <c r="E65" t="inlineStr">
        <is>
          <t>ENKÖPING</t>
        </is>
      </c>
      <c r="F65" t="inlineStr">
        <is>
          <t>Allmännings- och besparingsskogar</t>
        </is>
      </c>
      <c r="G65" t="n">
        <v>0.5</v>
      </c>
      <c r="H65" t="n">
        <v>0</v>
      </c>
      <c r="I65" t="n">
        <v>0</v>
      </c>
      <c r="J65" t="n">
        <v>0</v>
      </c>
      <c r="K65" t="n">
        <v>0</v>
      </c>
      <c r="L65" t="n">
        <v>0</v>
      </c>
      <c r="M65" t="n">
        <v>0</v>
      </c>
      <c r="N65" t="n">
        <v>0</v>
      </c>
      <c r="O65" t="n">
        <v>0</v>
      </c>
      <c r="P65" t="n">
        <v>0</v>
      </c>
      <c r="Q65" t="n">
        <v>0</v>
      </c>
      <c r="R65" s="2" t="inlineStr"/>
    </row>
    <row r="66" ht="15" customHeight="1">
      <c r="A66" t="inlineStr">
        <is>
          <t>A 42021-2021</t>
        </is>
      </c>
      <c r="B66" s="1" t="n">
        <v>44426</v>
      </c>
      <c r="C66" s="1" t="n">
        <v>46174</v>
      </c>
      <c r="D66" t="inlineStr">
        <is>
          <t>UPPSALA LÄN</t>
        </is>
      </c>
      <c r="E66" t="inlineStr">
        <is>
          <t>ENKÖPING</t>
        </is>
      </c>
      <c r="G66" t="n">
        <v>2.2</v>
      </c>
      <c r="H66" t="n">
        <v>0</v>
      </c>
      <c r="I66" t="n">
        <v>0</v>
      </c>
      <c r="J66" t="n">
        <v>0</v>
      </c>
      <c r="K66" t="n">
        <v>0</v>
      </c>
      <c r="L66" t="n">
        <v>0</v>
      </c>
      <c r="M66" t="n">
        <v>0</v>
      </c>
      <c r="N66" t="n">
        <v>0</v>
      </c>
      <c r="O66" t="n">
        <v>0</v>
      </c>
      <c r="P66" t="n">
        <v>0</v>
      </c>
      <c r="Q66" t="n">
        <v>0</v>
      </c>
      <c r="R66" s="2" t="inlineStr"/>
    </row>
    <row r="67" ht="15" customHeight="1">
      <c r="A67" t="inlineStr">
        <is>
          <t>A 42029-2021</t>
        </is>
      </c>
      <c r="B67" s="1" t="n">
        <v>44426</v>
      </c>
      <c r="C67" s="1" t="n">
        <v>46174</v>
      </c>
      <c r="D67" t="inlineStr">
        <is>
          <t>UPPSALA LÄN</t>
        </is>
      </c>
      <c r="E67" t="inlineStr">
        <is>
          <t>ENKÖPING</t>
        </is>
      </c>
      <c r="G67" t="n">
        <v>5.3</v>
      </c>
      <c r="H67" t="n">
        <v>0</v>
      </c>
      <c r="I67" t="n">
        <v>0</v>
      </c>
      <c r="J67" t="n">
        <v>0</v>
      </c>
      <c r="K67" t="n">
        <v>0</v>
      </c>
      <c r="L67" t="n">
        <v>0</v>
      </c>
      <c r="M67" t="n">
        <v>0</v>
      </c>
      <c r="N67" t="n">
        <v>0</v>
      </c>
      <c r="O67" t="n">
        <v>0</v>
      </c>
      <c r="P67" t="n">
        <v>0</v>
      </c>
      <c r="Q67" t="n">
        <v>0</v>
      </c>
      <c r="R67" s="2" t="inlineStr"/>
    </row>
    <row r="68" ht="15" customHeight="1">
      <c r="A68" t="inlineStr">
        <is>
          <t>A 17467-2022</t>
        </is>
      </c>
      <c r="B68" s="1" t="n">
        <v>44679</v>
      </c>
      <c r="C68" s="1" t="n">
        <v>46174</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46174</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46174</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46174</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1971-2022</t>
        </is>
      </c>
      <c r="B72" s="1" t="n">
        <v>44575</v>
      </c>
      <c r="C72" s="1" t="n">
        <v>46174</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57055-2021</t>
        </is>
      </c>
      <c r="B73" s="1" t="n">
        <v>44482.55201388889</v>
      </c>
      <c r="C73" s="1" t="n">
        <v>46174</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60874-2021</t>
        </is>
      </c>
      <c r="B74" s="1" t="n">
        <v>44497</v>
      </c>
      <c r="C74" s="1" t="n">
        <v>46174</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15924-2022</t>
        </is>
      </c>
      <c r="B75" s="1" t="n">
        <v>44664</v>
      </c>
      <c r="C75" s="1" t="n">
        <v>46174</v>
      </c>
      <c r="D75" t="inlineStr">
        <is>
          <t>UPPSALA LÄN</t>
        </is>
      </c>
      <c r="E75" t="inlineStr">
        <is>
          <t>ENKÖPING</t>
        </is>
      </c>
      <c r="G75" t="n">
        <v>0.7</v>
      </c>
      <c r="H75" t="n">
        <v>0</v>
      </c>
      <c r="I75" t="n">
        <v>0</v>
      </c>
      <c r="J75" t="n">
        <v>0</v>
      </c>
      <c r="K75" t="n">
        <v>0</v>
      </c>
      <c r="L75" t="n">
        <v>0</v>
      </c>
      <c r="M75" t="n">
        <v>0</v>
      </c>
      <c r="N75" t="n">
        <v>0</v>
      </c>
      <c r="O75" t="n">
        <v>0</v>
      </c>
      <c r="P75" t="n">
        <v>0</v>
      </c>
      <c r="Q75" t="n">
        <v>0</v>
      </c>
      <c r="R75" s="2" t="inlineStr"/>
    </row>
    <row r="76" ht="15" customHeight="1">
      <c r="A76" t="inlineStr">
        <is>
          <t>A 15943-2022</t>
        </is>
      </c>
      <c r="B76" s="1" t="n">
        <v>44664.66428240741</v>
      </c>
      <c r="C76" s="1" t="n">
        <v>46174</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47106-2021</t>
        </is>
      </c>
      <c r="B77" s="1" t="n">
        <v>44446</v>
      </c>
      <c r="C77" s="1" t="n">
        <v>46174</v>
      </c>
      <c r="D77" t="inlineStr">
        <is>
          <t>UPPSALA LÄN</t>
        </is>
      </c>
      <c r="E77" t="inlineStr">
        <is>
          <t>ENKÖPING</t>
        </is>
      </c>
      <c r="G77" t="n">
        <v>7.6</v>
      </c>
      <c r="H77" t="n">
        <v>0</v>
      </c>
      <c r="I77" t="n">
        <v>0</v>
      </c>
      <c r="J77" t="n">
        <v>0</v>
      </c>
      <c r="K77" t="n">
        <v>0</v>
      </c>
      <c r="L77" t="n">
        <v>0</v>
      </c>
      <c r="M77" t="n">
        <v>0</v>
      </c>
      <c r="N77" t="n">
        <v>0</v>
      </c>
      <c r="O77" t="n">
        <v>0</v>
      </c>
      <c r="P77" t="n">
        <v>0</v>
      </c>
      <c r="Q77" t="n">
        <v>0</v>
      </c>
      <c r="R77" s="2" t="inlineStr"/>
    </row>
    <row r="78" ht="15" customHeight="1">
      <c r="A78" t="inlineStr">
        <is>
          <t>A 59121-2021</t>
        </is>
      </c>
      <c r="B78" s="1" t="n">
        <v>44490</v>
      </c>
      <c r="C78" s="1" t="n">
        <v>46174</v>
      </c>
      <c r="D78" t="inlineStr">
        <is>
          <t>UPPSALA LÄN</t>
        </is>
      </c>
      <c r="E78" t="inlineStr">
        <is>
          <t>ENKÖPING</t>
        </is>
      </c>
      <c r="G78" t="n">
        <v>2.4</v>
      </c>
      <c r="H78" t="n">
        <v>0</v>
      </c>
      <c r="I78" t="n">
        <v>0</v>
      </c>
      <c r="J78" t="n">
        <v>0</v>
      </c>
      <c r="K78" t="n">
        <v>0</v>
      </c>
      <c r="L78" t="n">
        <v>0</v>
      </c>
      <c r="M78" t="n">
        <v>0</v>
      </c>
      <c r="N78" t="n">
        <v>0</v>
      </c>
      <c r="O78" t="n">
        <v>0</v>
      </c>
      <c r="P78" t="n">
        <v>0</v>
      </c>
      <c r="Q78" t="n">
        <v>0</v>
      </c>
      <c r="R78" s="2" t="inlineStr"/>
    </row>
    <row r="79" ht="15" customHeight="1">
      <c r="A79" t="inlineStr">
        <is>
          <t>A 19731-2022</t>
        </is>
      </c>
      <c r="B79" s="1" t="n">
        <v>44694</v>
      </c>
      <c r="C79" s="1" t="n">
        <v>46174</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24815-2022</t>
        </is>
      </c>
      <c r="B80" s="1" t="n">
        <v>44728</v>
      </c>
      <c r="C80" s="1" t="n">
        <v>46174</v>
      </c>
      <c r="D80" t="inlineStr">
        <is>
          <t>UPPSALA LÄN</t>
        </is>
      </c>
      <c r="E80" t="inlineStr">
        <is>
          <t>ENKÖPING</t>
        </is>
      </c>
      <c r="G80" t="n">
        <v>1.8</v>
      </c>
      <c r="H80" t="n">
        <v>0</v>
      </c>
      <c r="I80" t="n">
        <v>0</v>
      </c>
      <c r="J80" t="n">
        <v>0</v>
      </c>
      <c r="K80" t="n">
        <v>0</v>
      </c>
      <c r="L80" t="n">
        <v>0</v>
      </c>
      <c r="M80" t="n">
        <v>0</v>
      </c>
      <c r="N80" t="n">
        <v>0</v>
      </c>
      <c r="O80" t="n">
        <v>0</v>
      </c>
      <c r="P80" t="n">
        <v>0</v>
      </c>
      <c r="Q80" t="n">
        <v>0</v>
      </c>
      <c r="R80" s="2" t="inlineStr"/>
    </row>
    <row r="81" ht="15" customHeight="1">
      <c r="A81" t="inlineStr">
        <is>
          <t>A 57078-2021</t>
        </is>
      </c>
      <c r="B81" s="1" t="n">
        <v>44482.57855324074</v>
      </c>
      <c r="C81" s="1" t="n">
        <v>46174</v>
      </c>
      <c r="D81" t="inlineStr">
        <is>
          <t>UPPSALA LÄN</t>
        </is>
      </c>
      <c r="E81" t="inlineStr">
        <is>
          <t>ENKÖPING</t>
        </is>
      </c>
      <c r="G81" t="n">
        <v>3</v>
      </c>
      <c r="H81" t="n">
        <v>0</v>
      </c>
      <c r="I81" t="n">
        <v>0</v>
      </c>
      <c r="J81" t="n">
        <v>0</v>
      </c>
      <c r="K81" t="n">
        <v>0</v>
      </c>
      <c r="L81" t="n">
        <v>0</v>
      </c>
      <c r="M81" t="n">
        <v>0</v>
      </c>
      <c r="N81" t="n">
        <v>0</v>
      </c>
      <c r="O81" t="n">
        <v>0</v>
      </c>
      <c r="P81" t="n">
        <v>0</v>
      </c>
      <c r="Q81" t="n">
        <v>0</v>
      </c>
      <c r="R81" s="2" t="inlineStr"/>
    </row>
    <row r="82" ht="15" customHeight="1">
      <c r="A82" t="inlineStr">
        <is>
          <t>A 57043-2021</t>
        </is>
      </c>
      <c r="B82" s="1" t="n">
        <v>44482.53399305556</v>
      </c>
      <c r="C82" s="1" t="n">
        <v>46174</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15021-2022</t>
        </is>
      </c>
      <c r="B83" s="1" t="n">
        <v>44657</v>
      </c>
      <c r="C83" s="1" t="n">
        <v>46174</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27983-2024</t>
        </is>
      </c>
      <c r="B84" s="1" t="n">
        <v>45476</v>
      </c>
      <c r="C84" s="1" t="n">
        <v>46174</v>
      </c>
      <c r="D84" t="inlineStr">
        <is>
          <t>UPPSALA LÄN</t>
        </is>
      </c>
      <c r="E84" t="inlineStr">
        <is>
          <t>ENKÖPING</t>
        </is>
      </c>
      <c r="G84" t="n">
        <v>3.2</v>
      </c>
      <c r="H84" t="n">
        <v>0</v>
      </c>
      <c r="I84" t="n">
        <v>0</v>
      </c>
      <c r="J84" t="n">
        <v>0</v>
      </c>
      <c r="K84" t="n">
        <v>0</v>
      </c>
      <c r="L84" t="n">
        <v>0</v>
      </c>
      <c r="M84" t="n">
        <v>0</v>
      </c>
      <c r="N84" t="n">
        <v>0</v>
      </c>
      <c r="O84" t="n">
        <v>0</v>
      </c>
      <c r="P84" t="n">
        <v>0</v>
      </c>
      <c r="Q84" t="n">
        <v>0</v>
      </c>
      <c r="R84" s="2" t="inlineStr"/>
    </row>
    <row r="85" ht="15" customHeight="1">
      <c r="A85" t="inlineStr">
        <is>
          <t>A 19298-2023</t>
        </is>
      </c>
      <c r="B85" s="1" t="n">
        <v>45048</v>
      </c>
      <c r="C85" s="1" t="n">
        <v>46174</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57335-2024</t>
        </is>
      </c>
      <c r="B86" s="1" t="n">
        <v>45629.63302083333</v>
      </c>
      <c r="C86" s="1" t="n">
        <v>46174</v>
      </c>
      <c r="D86" t="inlineStr">
        <is>
          <t>UPPSALA LÄN</t>
        </is>
      </c>
      <c r="E86" t="inlineStr">
        <is>
          <t>ENKÖPING</t>
        </is>
      </c>
      <c r="G86" t="n">
        <v>2.1</v>
      </c>
      <c r="H86" t="n">
        <v>0</v>
      </c>
      <c r="I86" t="n">
        <v>0</v>
      </c>
      <c r="J86" t="n">
        <v>0</v>
      </c>
      <c r="K86" t="n">
        <v>0</v>
      </c>
      <c r="L86" t="n">
        <v>0</v>
      </c>
      <c r="M86" t="n">
        <v>0</v>
      </c>
      <c r="N86" t="n">
        <v>0</v>
      </c>
      <c r="O86" t="n">
        <v>0</v>
      </c>
      <c r="P86" t="n">
        <v>0</v>
      </c>
      <c r="Q86" t="n">
        <v>0</v>
      </c>
      <c r="R86" s="2" t="inlineStr"/>
    </row>
    <row r="87" ht="15" customHeight="1">
      <c r="A87" t="inlineStr">
        <is>
          <t>A 15939-2022</t>
        </is>
      </c>
      <c r="B87" s="1" t="n">
        <v>44664</v>
      </c>
      <c r="C87" s="1" t="n">
        <v>46174</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29983-2021</t>
        </is>
      </c>
      <c r="B88" s="1" t="n">
        <v>44363</v>
      </c>
      <c r="C88" s="1" t="n">
        <v>46174</v>
      </c>
      <c r="D88" t="inlineStr">
        <is>
          <t>UPPSALA LÄN</t>
        </is>
      </c>
      <c r="E88" t="inlineStr">
        <is>
          <t>ENKÖPING</t>
        </is>
      </c>
      <c r="F88" t="inlineStr">
        <is>
          <t>Kommuner</t>
        </is>
      </c>
      <c r="G88" t="n">
        <v>3.1</v>
      </c>
      <c r="H88" t="n">
        <v>0</v>
      </c>
      <c r="I88" t="n">
        <v>0</v>
      </c>
      <c r="J88" t="n">
        <v>0</v>
      </c>
      <c r="K88" t="n">
        <v>0</v>
      </c>
      <c r="L88" t="n">
        <v>0</v>
      </c>
      <c r="M88" t="n">
        <v>0</v>
      </c>
      <c r="N88" t="n">
        <v>0</v>
      </c>
      <c r="O88" t="n">
        <v>0</v>
      </c>
      <c r="P88" t="n">
        <v>0</v>
      </c>
      <c r="Q88" t="n">
        <v>0</v>
      </c>
      <c r="R88" s="2" t="inlineStr"/>
    </row>
    <row r="89" ht="15" customHeight="1">
      <c r="A89" t="inlineStr">
        <is>
          <t>A 57153-2021</t>
        </is>
      </c>
      <c r="B89" s="1" t="n">
        <v>44482</v>
      </c>
      <c r="C89" s="1" t="n">
        <v>46174</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43697-2024</t>
        </is>
      </c>
      <c r="B90" s="1" t="n">
        <v>45569</v>
      </c>
      <c r="C90" s="1" t="n">
        <v>46174</v>
      </c>
      <c r="D90" t="inlineStr">
        <is>
          <t>UPPSALA LÄN</t>
        </is>
      </c>
      <c r="E90" t="inlineStr">
        <is>
          <t>ENKÖPING</t>
        </is>
      </c>
      <c r="G90" t="n">
        <v>2.1</v>
      </c>
      <c r="H90" t="n">
        <v>0</v>
      </c>
      <c r="I90" t="n">
        <v>0</v>
      </c>
      <c r="J90" t="n">
        <v>0</v>
      </c>
      <c r="K90" t="n">
        <v>0</v>
      </c>
      <c r="L90" t="n">
        <v>0</v>
      </c>
      <c r="M90" t="n">
        <v>0</v>
      </c>
      <c r="N90" t="n">
        <v>0</v>
      </c>
      <c r="O90" t="n">
        <v>0</v>
      </c>
      <c r="P90" t="n">
        <v>0</v>
      </c>
      <c r="Q90" t="n">
        <v>0</v>
      </c>
      <c r="R90" s="2" t="inlineStr"/>
    </row>
    <row r="91" ht="15" customHeight="1">
      <c r="A91" t="inlineStr">
        <is>
          <t>A 57835-2024</t>
        </is>
      </c>
      <c r="B91" s="1" t="n">
        <v>45631.39947916667</v>
      </c>
      <c r="C91" s="1" t="n">
        <v>46174</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53208-2023</t>
        </is>
      </c>
      <c r="B92" s="1" t="n">
        <v>45226</v>
      </c>
      <c r="C92" s="1" t="n">
        <v>46174</v>
      </c>
      <c r="D92" t="inlineStr">
        <is>
          <t>UPPSALA LÄN</t>
        </is>
      </c>
      <c r="E92" t="inlineStr">
        <is>
          <t>ENKÖPING</t>
        </is>
      </c>
      <c r="G92" t="n">
        <v>4.3</v>
      </c>
      <c r="H92" t="n">
        <v>0</v>
      </c>
      <c r="I92" t="n">
        <v>0</v>
      </c>
      <c r="J92" t="n">
        <v>0</v>
      </c>
      <c r="K92" t="n">
        <v>0</v>
      </c>
      <c r="L92" t="n">
        <v>0</v>
      </c>
      <c r="M92" t="n">
        <v>0</v>
      </c>
      <c r="N92" t="n">
        <v>0</v>
      </c>
      <c r="O92" t="n">
        <v>0</v>
      </c>
      <c r="P92" t="n">
        <v>0</v>
      </c>
      <c r="Q92" t="n">
        <v>0</v>
      </c>
      <c r="R92" s="2" t="inlineStr"/>
    </row>
    <row r="93" ht="15" customHeight="1">
      <c r="A93" t="inlineStr">
        <is>
          <t>A 24883-2022</t>
        </is>
      </c>
      <c r="B93" s="1" t="n">
        <v>44728</v>
      </c>
      <c r="C93" s="1" t="n">
        <v>46174</v>
      </c>
      <c r="D93" t="inlineStr">
        <is>
          <t>UPPSALA LÄN</t>
        </is>
      </c>
      <c r="E93" t="inlineStr">
        <is>
          <t>ENKÖPING</t>
        </is>
      </c>
      <c r="G93" t="n">
        <v>2.5</v>
      </c>
      <c r="H93" t="n">
        <v>0</v>
      </c>
      <c r="I93" t="n">
        <v>0</v>
      </c>
      <c r="J93" t="n">
        <v>0</v>
      </c>
      <c r="K93" t="n">
        <v>0</v>
      </c>
      <c r="L93" t="n">
        <v>0</v>
      </c>
      <c r="M93" t="n">
        <v>0</v>
      </c>
      <c r="N93" t="n">
        <v>0</v>
      </c>
      <c r="O93" t="n">
        <v>0</v>
      </c>
      <c r="P93" t="n">
        <v>0</v>
      </c>
      <c r="Q93" t="n">
        <v>0</v>
      </c>
      <c r="R93" s="2" t="inlineStr"/>
    </row>
    <row r="94" ht="15" customHeight="1">
      <c r="A94" t="inlineStr">
        <is>
          <t>A 45283-2022</t>
        </is>
      </c>
      <c r="B94" s="1" t="n">
        <v>44844</v>
      </c>
      <c r="C94" s="1" t="n">
        <v>46174</v>
      </c>
      <c r="D94" t="inlineStr">
        <is>
          <t>UPPSALA LÄN</t>
        </is>
      </c>
      <c r="E94" t="inlineStr">
        <is>
          <t>ENKÖPING</t>
        </is>
      </c>
      <c r="G94" t="n">
        <v>5.9</v>
      </c>
      <c r="H94" t="n">
        <v>0</v>
      </c>
      <c r="I94" t="n">
        <v>0</v>
      </c>
      <c r="J94" t="n">
        <v>0</v>
      </c>
      <c r="K94" t="n">
        <v>0</v>
      </c>
      <c r="L94" t="n">
        <v>0</v>
      </c>
      <c r="M94" t="n">
        <v>0</v>
      </c>
      <c r="N94" t="n">
        <v>0</v>
      </c>
      <c r="O94" t="n">
        <v>0</v>
      </c>
      <c r="P94" t="n">
        <v>0</v>
      </c>
      <c r="Q94" t="n">
        <v>0</v>
      </c>
      <c r="R94" s="2" t="inlineStr"/>
    </row>
    <row r="95" ht="15" customHeight="1">
      <c r="A95" t="inlineStr">
        <is>
          <t>A 19013-2025</t>
        </is>
      </c>
      <c r="B95" s="1" t="n">
        <v>45764.59533564815</v>
      </c>
      <c r="C95" s="1" t="n">
        <v>46174</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41826-2024</t>
        </is>
      </c>
      <c r="B96" s="1" t="n">
        <v>45561</v>
      </c>
      <c r="C96" s="1" t="n">
        <v>46174</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42589-2022</t>
        </is>
      </c>
      <c r="B97" s="1" t="n">
        <v>44831</v>
      </c>
      <c r="C97" s="1" t="n">
        <v>46174</v>
      </c>
      <c r="D97" t="inlineStr">
        <is>
          <t>UPPSALA LÄN</t>
        </is>
      </c>
      <c r="E97" t="inlineStr">
        <is>
          <t>ENKÖPING</t>
        </is>
      </c>
      <c r="G97" t="n">
        <v>20</v>
      </c>
      <c r="H97" t="n">
        <v>0</v>
      </c>
      <c r="I97" t="n">
        <v>0</v>
      </c>
      <c r="J97" t="n">
        <v>0</v>
      </c>
      <c r="K97" t="n">
        <v>0</v>
      </c>
      <c r="L97" t="n">
        <v>0</v>
      </c>
      <c r="M97" t="n">
        <v>0</v>
      </c>
      <c r="N97" t="n">
        <v>0</v>
      </c>
      <c r="O97" t="n">
        <v>0</v>
      </c>
      <c r="P97" t="n">
        <v>0</v>
      </c>
      <c r="Q97" t="n">
        <v>0</v>
      </c>
      <c r="R97" s="2" t="inlineStr"/>
    </row>
    <row r="98" ht="15" customHeight="1">
      <c r="A98" t="inlineStr">
        <is>
          <t>A 840-2025</t>
        </is>
      </c>
      <c r="B98" s="1" t="n">
        <v>45665</v>
      </c>
      <c r="C98" s="1" t="n">
        <v>46174</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37115-2024</t>
        </is>
      </c>
      <c r="B99" s="1" t="n">
        <v>45539</v>
      </c>
      <c r="C99" s="1" t="n">
        <v>46174</v>
      </c>
      <c r="D99" t="inlineStr">
        <is>
          <t>UPPSALA LÄN</t>
        </is>
      </c>
      <c r="E99" t="inlineStr">
        <is>
          <t>ENKÖPING</t>
        </is>
      </c>
      <c r="G99" t="n">
        <v>1.8</v>
      </c>
      <c r="H99" t="n">
        <v>0</v>
      </c>
      <c r="I99" t="n">
        <v>0</v>
      </c>
      <c r="J99" t="n">
        <v>0</v>
      </c>
      <c r="K99" t="n">
        <v>0</v>
      </c>
      <c r="L99" t="n">
        <v>0</v>
      </c>
      <c r="M99" t="n">
        <v>0</v>
      </c>
      <c r="N99" t="n">
        <v>0</v>
      </c>
      <c r="O99" t="n">
        <v>0</v>
      </c>
      <c r="P99" t="n">
        <v>0</v>
      </c>
      <c r="Q99" t="n">
        <v>0</v>
      </c>
      <c r="R99" s="2" t="inlineStr"/>
    </row>
    <row r="100" ht="15" customHeight="1">
      <c r="A100" t="inlineStr">
        <is>
          <t>A 2164-2023</t>
        </is>
      </c>
      <c r="B100" s="1" t="n">
        <v>44941</v>
      </c>
      <c r="C100" s="1" t="n">
        <v>46174</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49063-2024</t>
        </is>
      </c>
      <c r="B101" s="1" t="n">
        <v>45594.59869212963</v>
      </c>
      <c r="C101" s="1" t="n">
        <v>46174</v>
      </c>
      <c r="D101" t="inlineStr">
        <is>
          <t>UPPSALA LÄN</t>
        </is>
      </c>
      <c r="E101" t="inlineStr">
        <is>
          <t>ENKÖPING</t>
        </is>
      </c>
      <c r="G101" t="n">
        <v>1.5</v>
      </c>
      <c r="H101" t="n">
        <v>0</v>
      </c>
      <c r="I101" t="n">
        <v>0</v>
      </c>
      <c r="J101" t="n">
        <v>0</v>
      </c>
      <c r="K101" t="n">
        <v>0</v>
      </c>
      <c r="L101" t="n">
        <v>0</v>
      </c>
      <c r="M101" t="n">
        <v>0</v>
      </c>
      <c r="N101" t="n">
        <v>0</v>
      </c>
      <c r="O101" t="n">
        <v>0</v>
      </c>
      <c r="P101" t="n">
        <v>0</v>
      </c>
      <c r="Q101" t="n">
        <v>0</v>
      </c>
      <c r="R101" s="2" t="inlineStr"/>
    </row>
    <row r="102" ht="15" customHeight="1">
      <c r="A102" t="inlineStr">
        <is>
          <t>A 13853-2023</t>
        </is>
      </c>
      <c r="B102" s="1" t="n">
        <v>45007</v>
      </c>
      <c r="C102" s="1" t="n">
        <v>46174</v>
      </c>
      <c r="D102" t="inlineStr">
        <is>
          <t>UPPSALA LÄN</t>
        </is>
      </c>
      <c r="E102" t="inlineStr">
        <is>
          <t>ENKÖPING</t>
        </is>
      </c>
      <c r="G102" t="n">
        <v>0.6</v>
      </c>
      <c r="H102" t="n">
        <v>0</v>
      </c>
      <c r="I102" t="n">
        <v>0</v>
      </c>
      <c r="J102" t="n">
        <v>0</v>
      </c>
      <c r="K102" t="n">
        <v>0</v>
      </c>
      <c r="L102" t="n">
        <v>0</v>
      </c>
      <c r="M102" t="n">
        <v>0</v>
      </c>
      <c r="N102" t="n">
        <v>0</v>
      </c>
      <c r="O102" t="n">
        <v>0</v>
      </c>
      <c r="P102" t="n">
        <v>0</v>
      </c>
      <c r="Q102" t="n">
        <v>0</v>
      </c>
      <c r="R102" s="2" t="inlineStr"/>
    </row>
    <row r="103" ht="15" customHeight="1">
      <c r="A103" t="inlineStr">
        <is>
          <t>A 61952-2021</t>
        </is>
      </c>
      <c r="B103" s="1" t="n">
        <v>44502</v>
      </c>
      <c r="C103" s="1" t="n">
        <v>46174</v>
      </c>
      <c r="D103" t="inlineStr">
        <is>
          <t>UPPSALA LÄN</t>
        </is>
      </c>
      <c r="E103" t="inlineStr">
        <is>
          <t>ENKÖPING</t>
        </is>
      </c>
      <c r="G103" t="n">
        <v>2.3</v>
      </c>
      <c r="H103" t="n">
        <v>0</v>
      </c>
      <c r="I103" t="n">
        <v>0</v>
      </c>
      <c r="J103" t="n">
        <v>0</v>
      </c>
      <c r="K103" t="n">
        <v>0</v>
      </c>
      <c r="L103" t="n">
        <v>0</v>
      </c>
      <c r="M103" t="n">
        <v>0</v>
      </c>
      <c r="N103" t="n">
        <v>0</v>
      </c>
      <c r="O103" t="n">
        <v>0</v>
      </c>
      <c r="P103" t="n">
        <v>0</v>
      </c>
      <c r="Q103" t="n">
        <v>0</v>
      </c>
      <c r="R103" s="2" t="inlineStr"/>
    </row>
    <row r="104" ht="15" customHeight="1">
      <c r="A104" t="inlineStr">
        <is>
          <t>A 45142-2023</t>
        </is>
      </c>
      <c r="B104" s="1" t="n">
        <v>45191.4702662037</v>
      </c>
      <c r="C104" s="1" t="n">
        <v>46174</v>
      </c>
      <c r="D104" t="inlineStr">
        <is>
          <t>UPPSALA LÄN</t>
        </is>
      </c>
      <c r="E104" t="inlineStr">
        <is>
          <t>ENKÖPING</t>
        </is>
      </c>
      <c r="G104" t="n">
        <v>1.8</v>
      </c>
      <c r="H104" t="n">
        <v>0</v>
      </c>
      <c r="I104" t="n">
        <v>0</v>
      </c>
      <c r="J104" t="n">
        <v>0</v>
      </c>
      <c r="K104" t="n">
        <v>0</v>
      </c>
      <c r="L104" t="n">
        <v>0</v>
      </c>
      <c r="M104" t="n">
        <v>0</v>
      </c>
      <c r="N104" t="n">
        <v>0</v>
      </c>
      <c r="O104" t="n">
        <v>0</v>
      </c>
      <c r="P104" t="n">
        <v>0</v>
      </c>
      <c r="Q104" t="n">
        <v>0</v>
      </c>
      <c r="R104" s="2" t="inlineStr"/>
    </row>
    <row r="105" ht="15" customHeight="1">
      <c r="A105" t="inlineStr">
        <is>
          <t>A 11918-2025</t>
        </is>
      </c>
      <c r="B105" s="1" t="n">
        <v>45728.49331018519</v>
      </c>
      <c r="C105" s="1" t="n">
        <v>46174</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50747-2022</t>
        </is>
      </c>
      <c r="B106" s="1" t="n">
        <v>44867.40162037037</v>
      </c>
      <c r="C106" s="1" t="n">
        <v>46174</v>
      </c>
      <c r="D106" t="inlineStr">
        <is>
          <t>UPPSALA LÄN</t>
        </is>
      </c>
      <c r="E106" t="inlineStr">
        <is>
          <t>ENKÖPING</t>
        </is>
      </c>
      <c r="G106" t="n">
        <v>1.5</v>
      </c>
      <c r="H106" t="n">
        <v>0</v>
      </c>
      <c r="I106" t="n">
        <v>0</v>
      </c>
      <c r="J106" t="n">
        <v>0</v>
      </c>
      <c r="K106" t="n">
        <v>0</v>
      </c>
      <c r="L106" t="n">
        <v>0</v>
      </c>
      <c r="M106" t="n">
        <v>0</v>
      </c>
      <c r="N106" t="n">
        <v>0</v>
      </c>
      <c r="O106" t="n">
        <v>0</v>
      </c>
      <c r="P106" t="n">
        <v>0</v>
      </c>
      <c r="Q106" t="n">
        <v>0</v>
      </c>
      <c r="R106" s="2" t="inlineStr"/>
    </row>
    <row r="107" ht="15" customHeight="1">
      <c r="A107" t="inlineStr">
        <is>
          <t>A 14083-2025</t>
        </is>
      </c>
      <c r="B107" s="1" t="n">
        <v>45740</v>
      </c>
      <c r="C107" s="1" t="n">
        <v>46174</v>
      </c>
      <c r="D107" t="inlineStr">
        <is>
          <t>UPPSALA LÄN</t>
        </is>
      </c>
      <c r="E107" t="inlineStr">
        <is>
          <t>ENKÖPING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31242-2024</t>
        </is>
      </c>
      <c r="B108" s="1" t="n">
        <v>45503</v>
      </c>
      <c r="C108" s="1" t="n">
        <v>46174</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17657-2025</t>
        </is>
      </c>
      <c r="B109" s="1" t="n">
        <v>45758.35006944444</v>
      </c>
      <c r="C109" s="1" t="n">
        <v>46174</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49568-2022</t>
        </is>
      </c>
      <c r="B110" s="1" t="n">
        <v>44862.32791666667</v>
      </c>
      <c r="C110" s="1" t="n">
        <v>46174</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69879-2021</t>
        </is>
      </c>
      <c r="B111" s="1" t="n">
        <v>44532</v>
      </c>
      <c r="C111" s="1" t="n">
        <v>46174</v>
      </c>
      <c r="D111" t="inlineStr">
        <is>
          <t>UPPSALA LÄN</t>
        </is>
      </c>
      <c r="E111" t="inlineStr">
        <is>
          <t>ENKÖPING</t>
        </is>
      </c>
      <c r="G111" t="n">
        <v>4.2</v>
      </c>
      <c r="H111" t="n">
        <v>0</v>
      </c>
      <c r="I111" t="n">
        <v>0</v>
      </c>
      <c r="J111" t="n">
        <v>0</v>
      </c>
      <c r="K111" t="n">
        <v>0</v>
      </c>
      <c r="L111" t="n">
        <v>0</v>
      </c>
      <c r="M111" t="n">
        <v>0</v>
      </c>
      <c r="N111" t="n">
        <v>0</v>
      </c>
      <c r="O111" t="n">
        <v>0</v>
      </c>
      <c r="P111" t="n">
        <v>0</v>
      </c>
      <c r="Q111" t="n">
        <v>0</v>
      </c>
      <c r="R111" s="2" t="inlineStr"/>
    </row>
    <row r="112" ht="15" customHeight="1">
      <c r="A112" t="inlineStr">
        <is>
          <t>A 845-2025</t>
        </is>
      </c>
      <c r="B112" s="1" t="n">
        <v>45665</v>
      </c>
      <c r="C112" s="1" t="n">
        <v>46174</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849-2025</t>
        </is>
      </c>
      <c r="B113" s="1" t="n">
        <v>45665</v>
      </c>
      <c r="C113" s="1" t="n">
        <v>46174</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68127-2021</t>
        </is>
      </c>
      <c r="B114" s="1" t="n">
        <v>44526.39513888889</v>
      </c>
      <c r="C114" s="1" t="n">
        <v>46174</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47681-2024</t>
        </is>
      </c>
      <c r="B115" s="1" t="n">
        <v>45588</v>
      </c>
      <c r="C115" s="1" t="n">
        <v>46174</v>
      </c>
      <c r="D115" t="inlineStr">
        <is>
          <t>UPPSALA LÄN</t>
        </is>
      </c>
      <c r="E115" t="inlineStr">
        <is>
          <t>ENKÖPING</t>
        </is>
      </c>
      <c r="G115" t="n">
        <v>4.2</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46174</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15757-2023</t>
        </is>
      </c>
      <c r="B117" s="1" t="n">
        <v>45021</v>
      </c>
      <c r="C117" s="1" t="n">
        <v>46174</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15942-2022</t>
        </is>
      </c>
      <c r="B118" s="1" t="n">
        <v>44664</v>
      </c>
      <c r="C118" s="1" t="n">
        <v>46174</v>
      </c>
      <c r="D118" t="inlineStr">
        <is>
          <t>UPPSALA LÄN</t>
        </is>
      </c>
      <c r="E118" t="inlineStr">
        <is>
          <t>ENKÖPING</t>
        </is>
      </c>
      <c r="G118" t="n">
        <v>6.6</v>
      </c>
      <c r="H118" t="n">
        <v>0</v>
      </c>
      <c r="I118" t="n">
        <v>0</v>
      </c>
      <c r="J118" t="n">
        <v>0</v>
      </c>
      <c r="K118" t="n">
        <v>0</v>
      </c>
      <c r="L118" t="n">
        <v>0</v>
      </c>
      <c r="M118" t="n">
        <v>0</v>
      </c>
      <c r="N118" t="n">
        <v>0</v>
      </c>
      <c r="O118" t="n">
        <v>0</v>
      </c>
      <c r="P118" t="n">
        <v>0</v>
      </c>
      <c r="Q118" t="n">
        <v>0</v>
      </c>
      <c r="R118" s="2" t="inlineStr"/>
    </row>
    <row r="119" ht="15" customHeight="1">
      <c r="A119" t="inlineStr">
        <is>
          <t>A 2974-2025</t>
        </is>
      </c>
      <c r="B119" s="1" t="n">
        <v>45678.47168981482</v>
      </c>
      <c r="C119" s="1" t="n">
        <v>46174</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62158-2023</t>
        </is>
      </c>
      <c r="B120" s="1" t="n">
        <v>45267</v>
      </c>
      <c r="C120" s="1" t="n">
        <v>46174</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60350-2022</t>
        </is>
      </c>
      <c r="B121" s="1" t="n">
        <v>44910</v>
      </c>
      <c r="C121" s="1" t="n">
        <v>46174</v>
      </c>
      <c r="D121" t="inlineStr">
        <is>
          <t>UPPSALA LÄN</t>
        </is>
      </c>
      <c r="E121" t="inlineStr">
        <is>
          <t>ENKÖPING</t>
        </is>
      </c>
      <c r="F121" t="inlineStr">
        <is>
          <t>Allmännings- och besparingsskogar</t>
        </is>
      </c>
      <c r="G121" t="n">
        <v>3.5</v>
      </c>
      <c r="H121" t="n">
        <v>0</v>
      </c>
      <c r="I121" t="n">
        <v>0</v>
      </c>
      <c r="J121" t="n">
        <v>0</v>
      </c>
      <c r="K121" t="n">
        <v>0</v>
      </c>
      <c r="L121" t="n">
        <v>0</v>
      </c>
      <c r="M121" t="n">
        <v>0</v>
      </c>
      <c r="N121" t="n">
        <v>0</v>
      </c>
      <c r="O121" t="n">
        <v>0</v>
      </c>
      <c r="P121" t="n">
        <v>0</v>
      </c>
      <c r="Q121" t="n">
        <v>0</v>
      </c>
      <c r="R121" s="2" t="inlineStr"/>
    </row>
    <row r="122" ht="15" customHeight="1">
      <c r="A122" t="inlineStr">
        <is>
          <t>A 2161-2023</t>
        </is>
      </c>
      <c r="B122" s="1" t="n">
        <v>44941</v>
      </c>
      <c r="C122" s="1" t="n">
        <v>46174</v>
      </c>
      <c r="D122" t="inlineStr">
        <is>
          <t>UPPSALA LÄN</t>
        </is>
      </c>
      <c r="E122" t="inlineStr">
        <is>
          <t>ENKÖPING</t>
        </is>
      </c>
      <c r="G122" t="n">
        <v>0.9</v>
      </c>
      <c r="H122" t="n">
        <v>0</v>
      </c>
      <c r="I122" t="n">
        <v>0</v>
      </c>
      <c r="J122" t="n">
        <v>0</v>
      </c>
      <c r="K122" t="n">
        <v>0</v>
      </c>
      <c r="L122" t="n">
        <v>0</v>
      </c>
      <c r="M122" t="n">
        <v>0</v>
      </c>
      <c r="N122" t="n">
        <v>0</v>
      </c>
      <c r="O122" t="n">
        <v>0</v>
      </c>
      <c r="P122" t="n">
        <v>0</v>
      </c>
      <c r="Q122" t="n">
        <v>0</v>
      </c>
      <c r="R122" s="2" t="inlineStr"/>
    </row>
    <row r="123" ht="15" customHeight="1">
      <c r="A123" t="inlineStr">
        <is>
          <t>A 2165-2023</t>
        </is>
      </c>
      <c r="B123" s="1" t="n">
        <v>44941</v>
      </c>
      <c r="C123" s="1" t="n">
        <v>46174</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35647-2021</t>
        </is>
      </c>
      <c r="B124" s="1" t="n">
        <v>44386</v>
      </c>
      <c r="C124" s="1" t="n">
        <v>46174</v>
      </c>
      <c r="D124" t="inlineStr">
        <is>
          <t>UPPSALA LÄN</t>
        </is>
      </c>
      <c r="E124" t="inlineStr">
        <is>
          <t>ENKÖPING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20112-2024</t>
        </is>
      </c>
      <c r="B125" s="1" t="n">
        <v>45434</v>
      </c>
      <c r="C125" s="1" t="n">
        <v>46174</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27786-2023</t>
        </is>
      </c>
      <c r="B126" s="1" t="n">
        <v>45098</v>
      </c>
      <c r="C126" s="1" t="n">
        <v>46174</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48864-2022</t>
        </is>
      </c>
      <c r="B127" s="1" t="n">
        <v>44859</v>
      </c>
      <c r="C127" s="1" t="n">
        <v>46174</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6242-2025</t>
        </is>
      </c>
      <c r="B128" s="1" t="n">
        <v>45697</v>
      </c>
      <c r="C128" s="1" t="n">
        <v>46174</v>
      </c>
      <c r="D128" t="inlineStr">
        <is>
          <t>UPPSALA LÄN</t>
        </is>
      </c>
      <c r="E128" t="inlineStr">
        <is>
          <t>ENKÖPING</t>
        </is>
      </c>
      <c r="G128" t="n">
        <v>17.9</v>
      </c>
      <c r="H128" t="n">
        <v>0</v>
      </c>
      <c r="I128" t="n">
        <v>0</v>
      </c>
      <c r="J128" t="n">
        <v>0</v>
      </c>
      <c r="K128" t="n">
        <v>0</v>
      </c>
      <c r="L128" t="n">
        <v>0</v>
      </c>
      <c r="M128" t="n">
        <v>0</v>
      </c>
      <c r="N128" t="n">
        <v>0</v>
      </c>
      <c r="O128" t="n">
        <v>0</v>
      </c>
      <c r="P128" t="n">
        <v>0</v>
      </c>
      <c r="Q128" t="n">
        <v>0</v>
      </c>
      <c r="R128" s="2" t="inlineStr"/>
    </row>
    <row r="129" ht="15" customHeight="1">
      <c r="A129" t="inlineStr">
        <is>
          <t>A 42459-2024</t>
        </is>
      </c>
      <c r="B129" s="1" t="n">
        <v>45565</v>
      </c>
      <c r="C129" s="1" t="n">
        <v>46174</v>
      </c>
      <c r="D129" t="inlineStr">
        <is>
          <t>UPPSALA LÄN</t>
        </is>
      </c>
      <c r="E129" t="inlineStr">
        <is>
          <t>ENKÖPING</t>
        </is>
      </c>
      <c r="G129" t="n">
        <v>3.6</v>
      </c>
      <c r="H129" t="n">
        <v>0</v>
      </c>
      <c r="I129" t="n">
        <v>0</v>
      </c>
      <c r="J129" t="n">
        <v>0</v>
      </c>
      <c r="K129" t="n">
        <v>0</v>
      </c>
      <c r="L129" t="n">
        <v>0</v>
      </c>
      <c r="M129" t="n">
        <v>0</v>
      </c>
      <c r="N129" t="n">
        <v>0</v>
      </c>
      <c r="O129" t="n">
        <v>0</v>
      </c>
      <c r="P129" t="n">
        <v>0</v>
      </c>
      <c r="Q129" t="n">
        <v>0</v>
      </c>
      <c r="R129" s="2" t="inlineStr"/>
    </row>
    <row r="130" ht="15" customHeight="1">
      <c r="A130" t="inlineStr">
        <is>
          <t>A 2162-2023</t>
        </is>
      </c>
      <c r="B130" s="1" t="n">
        <v>44941</v>
      </c>
      <c r="C130" s="1" t="n">
        <v>46174</v>
      </c>
      <c r="D130" t="inlineStr">
        <is>
          <t>UPPSALA LÄN</t>
        </is>
      </c>
      <c r="E130" t="inlineStr">
        <is>
          <t>ENKÖPING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32081-2024</t>
        </is>
      </c>
      <c r="B131" s="1" t="n">
        <v>45511.34605324074</v>
      </c>
      <c r="C131" s="1" t="n">
        <v>46174</v>
      </c>
      <c r="D131" t="inlineStr">
        <is>
          <t>UPPSALA LÄN</t>
        </is>
      </c>
      <c r="E131" t="inlineStr">
        <is>
          <t>ENKÖPING</t>
        </is>
      </c>
      <c r="G131" t="n">
        <v>5.4</v>
      </c>
      <c r="H131" t="n">
        <v>0</v>
      </c>
      <c r="I131" t="n">
        <v>0</v>
      </c>
      <c r="J131" t="n">
        <v>0</v>
      </c>
      <c r="K131" t="n">
        <v>0</v>
      </c>
      <c r="L131" t="n">
        <v>0</v>
      </c>
      <c r="M131" t="n">
        <v>0</v>
      </c>
      <c r="N131" t="n">
        <v>0</v>
      </c>
      <c r="O131" t="n">
        <v>0</v>
      </c>
      <c r="P131" t="n">
        <v>0</v>
      </c>
      <c r="Q131" t="n">
        <v>0</v>
      </c>
      <c r="R131" s="2" t="inlineStr"/>
    </row>
    <row r="132" ht="15" customHeight="1">
      <c r="A132" t="inlineStr">
        <is>
          <t>A 10468-2025</t>
        </is>
      </c>
      <c r="B132" s="1" t="n">
        <v>45720</v>
      </c>
      <c r="C132" s="1" t="n">
        <v>46174</v>
      </c>
      <c r="D132" t="inlineStr">
        <is>
          <t>UPPSALA LÄN</t>
        </is>
      </c>
      <c r="E132" t="inlineStr">
        <is>
          <t>ENKÖPING</t>
        </is>
      </c>
      <c r="G132" t="n">
        <v>1.6</v>
      </c>
      <c r="H132" t="n">
        <v>0</v>
      </c>
      <c r="I132" t="n">
        <v>0</v>
      </c>
      <c r="J132" t="n">
        <v>0</v>
      </c>
      <c r="K132" t="n">
        <v>0</v>
      </c>
      <c r="L132" t="n">
        <v>0</v>
      </c>
      <c r="M132" t="n">
        <v>0</v>
      </c>
      <c r="N132" t="n">
        <v>0</v>
      </c>
      <c r="O132" t="n">
        <v>0</v>
      </c>
      <c r="P132" t="n">
        <v>0</v>
      </c>
      <c r="Q132" t="n">
        <v>0</v>
      </c>
      <c r="R132" s="2" t="inlineStr"/>
    </row>
    <row r="133" ht="15" customHeight="1">
      <c r="A133" t="inlineStr">
        <is>
          <t>A 10458-2022</t>
        </is>
      </c>
      <c r="B133" s="1" t="n">
        <v>44623.56711805556</v>
      </c>
      <c r="C133" s="1" t="n">
        <v>46174</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51012-2024</t>
        </is>
      </c>
      <c r="B134" s="1" t="n">
        <v>45603.39686342593</v>
      </c>
      <c r="C134" s="1" t="n">
        <v>46174</v>
      </c>
      <c r="D134" t="inlineStr">
        <is>
          <t>UPPSALA LÄN</t>
        </is>
      </c>
      <c r="E134" t="inlineStr">
        <is>
          <t>ENKÖPING</t>
        </is>
      </c>
      <c r="G134" t="n">
        <v>2.7</v>
      </c>
      <c r="H134" t="n">
        <v>0</v>
      </c>
      <c r="I134" t="n">
        <v>0</v>
      </c>
      <c r="J134" t="n">
        <v>0</v>
      </c>
      <c r="K134" t="n">
        <v>0</v>
      </c>
      <c r="L134" t="n">
        <v>0</v>
      </c>
      <c r="M134" t="n">
        <v>0</v>
      </c>
      <c r="N134" t="n">
        <v>0</v>
      </c>
      <c r="O134" t="n">
        <v>0</v>
      </c>
      <c r="P134" t="n">
        <v>0</v>
      </c>
      <c r="Q134" t="n">
        <v>0</v>
      </c>
      <c r="R134" s="2" t="inlineStr"/>
    </row>
    <row r="135" ht="15" customHeight="1">
      <c r="A135" t="inlineStr">
        <is>
          <t>A 44115-2024</t>
        </is>
      </c>
      <c r="B135" s="1" t="n">
        <v>45572</v>
      </c>
      <c r="C135" s="1" t="n">
        <v>46174</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5211-2024</t>
        </is>
      </c>
      <c r="B136" s="1" t="n">
        <v>45330</v>
      </c>
      <c r="C136" s="1" t="n">
        <v>46174</v>
      </c>
      <c r="D136" t="inlineStr">
        <is>
          <t>UPPSALA LÄN</t>
        </is>
      </c>
      <c r="E136" t="inlineStr">
        <is>
          <t>ENKÖPING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10409-2025</t>
        </is>
      </c>
      <c r="B137" s="1" t="n">
        <v>45720.631875</v>
      </c>
      <c r="C137" s="1" t="n">
        <v>46174</v>
      </c>
      <c r="D137" t="inlineStr">
        <is>
          <t>UPPSALA LÄN</t>
        </is>
      </c>
      <c r="E137" t="inlineStr">
        <is>
          <t>ENKÖPING</t>
        </is>
      </c>
      <c r="G137" t="n">
        <v>2.2</v>
      </c>
      <c r="H137" t="n">
        <v>0</v>
      </c>
      <c r="I137" t="n">
        <v>0</v>
      </c>
      <c r="J137" t="n">
        <v>0</v>
      </c>
      <c r="K137" t="n">
        <v>0</v>
      </c>
      <c r="L137" t="n">
        <v>0</v>
      </c>
      <c r="M137" t="n">
        <v>0</v>
      </c>
      <c r="N137" t="n">
        <v>0</v>
      </c>
      <c r="O137" t="n">
        <v>0</v>
      </c>
      <c r="P137" t="n">
        <v>0</v>
      </c>
      <c r="Q137" t="n">
        <v>0</v>
      </c>
      <c r="R137" s="2" t="inlineStr"/>
    </row>
    <row r="138" ht="15" customHeight="1">
      <c r="A138" t="inlineStr">
        <is>
          <t>A 9957-2023</t>
        </is>
      </c>
      <c r="B138" s="1" t="n">
        <v>44978</v>
      </c>
      <c r="C138" s="1" t="n">
        <v>46174</v>
      </c>
      <c r="D138" t="inlineStr">
        <is>
          <t>UPPSALA LÄN</t>
        </is>
      </c>
      <c r="E138" t="inlineStr">
        <is>
          <t>ENKÖPING</t>
        </is>
      </c>
      <c r="G138" t="n">
        <v>5.9</v>
      </c>
      <c r="H138" t="n">
        <v>0</v>
      </c>
      <c r="I138" t="n">
        <v>0</v>
      </c>
      <c r="J138" t="n">
        <v>0</v>
      </c>
      <c r="K138" t="n">
        <v>0</v>
      </c>
      <c r="L138" t="n">
        <v>0</v>
      </c>
      <c r="M138" t="n">
        <v>0</v>
      </c>
      <c r="N138" t="n">
        <v>0</v>
      </c>
      <c r="O138" t="n">
        <v>0</v>
      </c>
      <c r="P138" t="n">
        <v>0</v>
      </c>
      <c r="Q138" t="n">
        <v>0</v>
      </c>
      <c r="R138" s="2" t="inlineStr"/>
    </row>
    <row r="139" ht="15" customHeight="1">
      <c r="A139" t="inlineStr">
        <is>
          <t>A 18299-2025</t>
        </is>
      </c>
      <c r="B139" s="1" t="n">
        <v>45762</v>
      </c>
      <c r="C139" s="1" t="n">
        <v>46174</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2968-2025</t>
        </is>
      </c>
      <c r="B140" s="1" t="n">
        <v>45678</v>
      </c>
      <c r="C140" s="1" t="n">
        <v>46174</v>
      </c>
      <c r="D140" t="inlineStr">
        <is>
          <t>UPPSALA LÄN</t>
        </is>
      </c>
      <c r="E140" t="inlineStr">
        <is>
          <t>ENKÖPING</t>
        </is>
      </c>
      <c r="G140" t="n">
        <v>1.1</v>
      </c>
      <c r="H140" t="n">
        <v>0</v>
      </c>
      <c r="I140" t="n">
        <v>0</v>
      </c>
      <c r="J140" t="n">
        <v>0</v>
      </c>
      <c r="K140" t="n">
        <v>0</v>
      </c>
      <c r="L140" t="n">
        <v>0</v>
      </c>
      <c r="M140" t="n">
        <v>0</v>
      </c>
      <c r="N140" t="n">
        <v>0</v>
      </c>
      <c r="O140" t="n">
        <v>0</v>
      </c>
      <c r="P140" t="n">
        <v>0</v>
      </c>
      <c r="Q140" t="n">
        <v>0</v>
      </c>
      <c r="R140" s="2" t="inlineStr"/>
    </row>
    <row r="141" ht="15" customHeight="1">
      <c r="A141" t="inlineStr">
        <is>
          <t>A 49525-2021</t>
        </is>
      </c>
      <c r="B141" s="1" t="n">
        <v>44455</v>
      </c>
      <c r="C141" s="1" t="n">
        <v>46174</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6959-2025</t>
        </is>
      </c>
      <c r="B142" s="1" t="n">
        <v>45701.49315972222</v>
      </c>
      <c r="C142" s="1" t="n">
        <v>46174</v>
      </c>
      <c r="D142" t="inlineStr">
        <is>
          <t>UPPSALA LÄN</t>
        </is>
      </c>
      <c r="E142" t="inlineStr">
        <is>
          <t>ENKÖPING</t>
        </is>
      </c>
      <c r="G142" t="n">
        <v>1.8</v>
      </c>
      <c r="H142" t="n">
        <v>0</v>
      </c>
      <c r="I142" t="n">
        <v>0</v>
      </c>
      <c r="J142" t="n">
        <v>0</v>
      </c>
      <c r="K142" t="n">
        <v>0</v>
      </c>
      <c r="L142" t="n">
        <v>0</v>
      </c>
      <c r="M142" t="n">
        <v>0</v>
      </c>
      <c r="N142" t="n">
        <v>0</v>
      </c>
      <c r="O142" t="n">
        <v>0</v>
      </c>
      <c r="P142" t="n">
        <v>0</v>
      </c>
      <c r="Q142" t="n">
        <v>0</v>
      </c>
      <c r="R142" s="2" t="inlineStr"/>
    </row>
    <row r="143" ht="15" customHeight="1">
      <c r="A143" t="inlineStr">
        <is>
          <t>A 21686-2022</t>
        </is>
      </c>
      <c r="B143" s="1" t="n">
        <v>44707</v>
      </c>
      <c r="C143" s="1" t="n">
        <v>46174</v>
      </c>
      <c r="D143" t="inlineStr">
        <is>
          <t>UPPSALA LÄN</t>
        </is>
      </c>
      <c r="E143" t="inlineStr">
        <is>
          <t>ENKÖPING</t>
        </is>
      </c>
      <c r="G143" t="n">
        <v>2.2</v>
      </c>
      <c r="H143" t="n">
        <v>0</v>
      </c>
      <c r="I143" t="n">
        <v>0</v>
      </c>
      <c r="J143" t="n">
        <v>0</v>
      </c>
      <c r="K143" t="n">
        <v>0</v>
      </c>
      <c r="L143" t="n">
        <v>0</v>
      </c>
      <c r="M143" t="n">
        <v>0</v>
      </c>
      <c r="N143" t="n">
        <v>0</v>
      </c>
      <c r="O143" t="n">
        <v>0</v>
      </c>
      <c r="P143" t="n">
        <v>0</v>
      </c>
      <c r="Q143" t="n">
        <v>0</v>
      </c>
      <c r="R143" s="2" t="inlineStr"/>
    </row>
    <row r="144" ht="15" customHeight="1">
      <c r="A144" t="inlineStr">
        <is>
          <t>A 63402-2023</t>
        </is>
      </c>
      <c r="B144" s="1" t="n">
        <v>45274.50646990741</v>
      </c>
      <c r="C144" s="1" t="n">
        <v>46174</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18831-2023</t>
        </is>
      </c>
      <c r="B145" s="1" t="n">
        <v>45044.40798611111</v>
      </c>
      <c r="C145" s="1" t="n">
        <v>46174</v>
      </c>
      <c r="D145" t="inlineStr">
        <is>
          <t>UPPSALA LÄN</t>
        </is>
      </c>
      <c r="E145" t="inlineStr">
        <is>
          <t>ENKÖPING</t>
        </is>
      </c>
      <c r="G145" t="n">
        <v>4.3</v>
      </c>
      <c r="H145" t="n">
        <v>0</v>
      </c>
      <c r="I145" t="n">
        <v>0</v>
      </c>
      <c r="J145" t="n">
        <v>0</v>
      </c>
      <c r="K145" t="n">
        <v>0</v>
      </c>
      <c r="L145" t="n">
        <v>0</v>
      </c>
      <c r="M145" t="n">
        <v>0</v>
      </c>
      <c r="N145" t="n">
        <v>0</v>
      </c>
      <c r="O145" t="n">
        <v>0</v>
      </c>
      <c r="P145" t="n">
        <v>0</v>
      </c>
      <c r="Q145" t="n">
        <v>0</v>
      </c>
      <c r="R145" s="2" t="inlineStr"/>
    </row>
    <row r="146" ht="15" customHeight="1">
      <c r="A146" t="inlineStr">
        <is>
          <t>A 6172-2023</t>
        </is>
      </c>
      <c r="B146" s="1" t="n">
        <v>44964.68663194445</v>
      </c>
      <c r="C146" s="1" t="n">
        <v>46174</v>
      </c>
      <c r="D146" t="inlineStr">
        <is>
          <t>UPPSALA LÄN</t>
        </is>
      </c>
      <c r="E146" t="inlineStr">
        <is>
          <t>ENKÖPING</t>
        </is>
      </c>
      <c r="G146" t="n">
        <v>2.6</v>
      </c>
      <c r="H146" t="n">
        <v>0</v>
      </c>
      <c r="I146" t="n">
        <v>0</v>
      </c>
      <c r="J146" t="n">
        <v>0</v>
      </c>
      <c r="K146" t="n">
        <v>0</v>
      </c>
      <c r="L146" t="n">
        <v>0</v>
      </c>
      <c r="M146" t="n">
        <v>0</v>
      </c>
      <c r="N146" t="n">
        <v>0</v>
      </c>
      <c r="O146" t="n">
        <v>0</v>
      </c>
      <c r="P146" t="n">
        <v>0</v>
      </c>
      <c r="Q146" t="n">
        <v>0</v>
      </c>
      <c r="R146" s="2" t="inlineStr"/>
    </row>
    <row r="147" ht="15" customHeight="1">
      <c r="A147" t="inlineStr">
        <is>
          <t>A 16916-2023</t>
        </is>
      </c>
      <c r="B147" s="1" t="n">
        <v>45033.58347222222</v>
      </c>
      <c r="C147" s="1" t="n">
        <v>46174</v>
      </c>
      <c r="D147" t="inlineStr">
        <is>
          <t>UPPSALA LÄN</t>
        </is>
      </c>
      <c r="E147" t="inlineStr">
        <is>
          <t>ENKÖPING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14402-2023</t>
        </is>
      </c>
      <c r="B148" s="1" t="n">
        <v>45012</v>
      </c>
      <c r="C148" s="1" t="n">
        <v>46174</v>
      </c>
      <c r="D148" t="inlineStr">
        <is>
          <t>UPPSALA LÄN</t>
        </is>
      </c>
      <c r="E148" t="inlineStr">
        <is>
          <t>ENKÖPING</t>
        </is>
      </c>
      <c r="G148" t="n">
        <v>9.5</v>
      </c>
      <c r="H148" t="n">
        <v>0</v>
      </c>
      <c r="I148" t="n">
        <v>0</v>
      </c>
      <c r="J148" t="n">
        <v>0</v>
      </c>
      <c r="K148" t="n">
        <v>0</v>
      </c>
      <c r="L148" t="n">
        <v>0</v>
      </c>
      <c r="M148" t="n">
        <v>0</v>
      </c>
      <c r="N148" t="n">
        <v>0</v>
      </c>
      <c r="O148" t="n">
        <v>0</v>
      </c>
      <c r="P148" t="n">
        <v>0</v>
      </c>
      <c r="Q148" t="n">
        <v>0</v>
      </c>
      <c r="R148" s="2" t="inlineStr"/>
    </row>
    <row r="149" ht="15" customHeight="1">
      <c r="A149" t="inlineStr">
        <is>
          <t>A 56886-2023</t>
        </is>
      </c>
      <c r="B149" s="1" t="n">
        <v>45239</v>
      </c>
      <c r="C149" s="1" t="n">
        <v>46174</v>
      </c>
      <c r="D149" t="inlineStr">
        <is>
          <t>UPPSALA LÄN</t>
        </is>
      </c>
      <c r="E149" t="inlineStr">
        <is>
          <t>ENKÖPING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30437-2022</t>
        </is>
      </c>
      <c r="B150" s="1" t="n">
        <v>44761</v>
      </c>
      <c r="C150" s="1" t="n">
        <v>46174</v>
      </c>
      <c r="D150" t="inlineStr">
        <is>
          <t>UPPSALA LÄN</t>
        </is>
      </c>
      <c r="E150" t="inlineStr">
        <is>
          <t>ENKÖPING</t>
        </is>
      </c>
      <c r="G150" t="n">
        <v>3.4</v>
      </c>
      <c r="H150" t="n">
        <v>0</v>
      </c>
      <c r="I150" t="n">
        <v>0</v>
      </c>
      <c r="J150" t="n">
        <v>0</v>
      </c>
      <c r="K150" t="n">
        <v>0</v>
      </c>
      <c r="L150" t="n">
        <v>0</v>
      </c>
      <c r="M150" t="n">
        <v>0</v>
      </c>
      <c r="N150" t="n">
        <v>0</v>
      </c>
      <c r="O150" t="n">
        <v>0</v>
      </c>
      <c r="P150" t="n">
        <v>0</v>
      </c>
      <c r="Q150" t="n">
        <v>0</v>
      </c>
      <c r="R150" s="2" t="inlineStr"/>
    </row>
    <row r="151" ht="15" customHeight="1">
      <c r="A151" t="inlineStr">
        <is>
          <t>A 51011-2024</t>
        </is>
      </c>
      <c r="B151" s="1" t="n">
        <v>45603.39427083333</v>
      </c>
      <c r="C151" s="1" t="n">
        <v>46174</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26319-2022</t>
        </is>
      </c>
      <c r="B152" s="1" t="n">
        <v>44735</v>
      </c>
      <c r="C152" s="1" t="n">
        <v>46174</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57940-2022</t>
        </is>
      </c>
      <c r="B153" s="1" t="n">
        <v>44900</v>
      </c>
      <c r="C153" s="1" t="n">
        <v>46174</v>
      </c>
      <c r="D153" t="inlineStr">
        <is>
          <t>UPPSALA LÄN</t>
        </is>
      </c>
      <c r="E153" t="inlineStr">
        <is>
          <t>ENKÖPING</t>
        </is>
      </c>
      <c r="G153" t="n">
        <v>1.9</v>
      </c>
      <c r="H153" t="n">
        <v>0</v>
      </c>
      <c r="I153" t="n">
        <v>0</v>
      </c>
      <c r="J153" t="n">
        <v>0</v>
      </c>
      <c r="K153" t="n">
        <v>0</v>
      </c>
      <c r="L153" t="n">
        <v>0</v>
      </c>
      <c r="M153" t="n">
        <v>0</v>
      </c>
      <c r="N153" t="n">
        <v>0</v>
      </c>
      <c r="O153" t="n">
        <v>0</v>
      </c>
      <c r="P153" t="n">
        <v>0</v>
      </c>
      <c r="Q153" t="n">
        <v>0</v>
      </c>
      <c r="R153" s="2" t="inlineStr"/>
    </row>
    <row r="154" ht="15" customHeight="1">
      <c r="A154" t="inlineStr">
        <is>
          <t>A 29918-2023</t>
        </is>
      </c>
      <c r="B154" s="1" t="n">
        <v>45099</v>
      </c>
      <c r="C154" s="1" t="n">
        <v>46174</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24291-2024</t>
        </is>
      </c>
      <c r="B155" s="1" t="n">
        <v>45457.4584837963</v>
      </c>
      <c r="C155" s="1" t="n">
        <v>46174</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6356-2022</t>
        </is>
      </c>
      <c r="B156" s="1" t="n">
        <v>44600</v>
      </c>
      <c r="C156" s="1" t="n">
        <v>46174</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63310-2021</t>
        </is>
      </c>
      <c r="B157" s="1" t="n">
        <v>44508</v>
      </c>
      <c r="C157" s="1" t="n">
        <v>46174</v>
      </c>
      <c r="D157" t="inlineStr">
        <is>
          <t>UPPSALA LÄN</t>
        </is>
      </c>
      <c r="E157" t="inlineStr">
        <is>
          <t>ENKÖPING</t>
        </is>
      </c>
      <c r="G157" t="n">
        <v>3.5</v>
      </c>
      <c r="H157" t="n">
        <v>0</v>
      </c>
      <c r="I157" t="n">
        <v>0</v>
      </c>
      <c r="J157" t="n">
        <v>0</v>
      </c>
      <c r="K157" t="n">
        <v>0</v>
      </c>
      <c r="L157" t="n">
        <v>0</v>
      </c>
      <c r="M157" t="n">
        <v>0</v>
      </c>
      <c r="N157" t="n">
        <v>0</v>
      </c>
      <c r="O157" t="n">
        <v>0</v>
      </c>
      <c r="P157" t="n">
        <v>0</v>
      </c>
      <c r="Q157" t="n">
        <v>0</v>
      </c>
      <c r="R157" s="2" t="inlineStr"/>
    </row>
    <row r="158" ht="15" customHeight="1">
      <c r="A158" t="inlineStr">
        <is>
          <t>A 21017-2023</t>
        </is>
      </c>
      <c r="B158" s="1" t="n">
        <v>45061</v>
      </c>
      <c r="C158" s="1" t="n">
        <v>46174</v>
      </c>
      <c r="D158" t="inlineStr">
        <is>
          <t>UPPSALA LÄN</t>
        </is>
      </c>
      <c r="E158" t="inlineStr">
        <is>
          <t>ENKÖPING</t>
        </is>
      </c>
      <c r="G158" t="n">
        <v>4.8</v>
      </c>
      <c r="H158" t="n">
        <v>0</v>
      </c>
      <c r="I158" t="n">
        <v>0</v>
      </c>
      <c r="J158" t="n">
        <v>0</v>
      </c>
      <c r="K158" t="n">
        <v>0</v>
      </c>
      <c r="L158" t="n">
        <v>0</v>
      </c>
      <c r="M158" t="n">
        <v>0</v>
      </c>
      <c r="N158" t="n">
        <v>0</v>
      </c>
      <c r="O158" t="n">
        <v>0</v>
      </c>
      <c r="P158" t="n">
        <v>0</v>
      </c>
      <c r="Q158" t="n">
        <v>0</v>
      </c>
      <c r="R158" s="2" t="inlineStr"/>
    </row>
    <row r="159" ht="15" customHeight="1">
      <c r="A159" t="inlineStr">
        <is>
          <t>A 20440-2025</t>
        </is>
      </c>
      <c r="B159" s="1" t="n">
        <v>45775</v>
      </c>
      <c r="C159" s="1" t="n">
        <v>46174</v>
      </c>
      <c r="D159" t="inlineStr">
        <is>
          <t>UPPSALA LÄN</t>
        </is>
      </c>
      <c r="E159" t="inlineStr">
        <is>
          <t>ENKÖPING</t>
        </is>
      </c>
      <c r="G159" t="n">
        <v>1.6</v>
      </c>
      <c r="H159" t="n">
        <v>0</v>
      </c>
      <c r="I159" t="n">
        <v>0</v>
      </c>
      <c r="J159" t="n">
        <v>0</v>
      </c>
      <c r="K159" t="n">
        <v>0</v>
      </c>
      <c r="L159" t="n">
        <v>0</v>
      </c>
      <c r="M159" t="n">
        <v>0</v>
      </c>
      <c r="N159" t="n">
        <v>0</v>
      </c>
      <c r="O159" t="n">
        <v>0</v>
      </c>
      <c r="P159" t="n">
        <v>0</v>
      </c>
      <c r="Q159" t="n">
        <v>0</v>
      </c>
      <c r="R159" s="2" t="inlineStr"/>
    </row>
    <row r="160" ht="15" customHeight="1">
      <c r="A160" t="inlineStr">
        <is>
          <t>A 2833-2025</t>
        </is>
      </c>
      <c r="B160" s="1" t="n">
        <v>45677.63206018518</v>
      </c>
      <c r="C160" s="1" t="n">
        <v>46174</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19488-2022</t>
        </is>
      </c>
      <c r="B161" s="1" t="n">
        <v>44693</v>
      </c>
      <c r="C161" s="1" t="n">
        <v>46174</v>
      </c>
      <c r="D161" t="inlineStr">
        <is>
          <t>UPPSALA LÄN</t>
        </is>
      </c>
      <c r="E161" t="inlineStr">
        <is>
          <t>ENKÖPING</t>
        </is>
      </c>
      <c r="G161" t="n">
        <v>7.8</v>
      </c>
      <c r="H161" t="n">
        <v>0</v>
      </c>
      <c r="I161" t="n">
        <v>0</v>
      </c>
      <c r="J161" t="n">
        <v>0</v>
      </c>
      <c r="K161" t="n">
        <v>0</v>
      </c>
      <c r="L161" t="n">
        <v>0</v>
      </c>
      <c r="M161" t="n">
        <v>0</v>
      </c>
      <c r="N161" t="n">
        <v>0</v>
      </c>
      <c r="O161" t="n">
        <v>0</v>
      </c>
      <c r="P161" t="n">
        <v>0</v>
      </c>
      <c r="Q161" t="n">
        <v>0</v>
      </c>
      <c r="R161" s="2" t="inlineStr"/>
    </row>
    <row r="162" ht="15" customHeight="1">
      <c r="A162" t="inlineStr">
        <is>
          <t>A 50006-2023</t>
        </is>
      </c>
      <c r="B162" s="1" t="n">
        <v>45215</v>
      </c>
      <c r="C162" s="1" t="n">
        <v>46174</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49614-2024</t>
        </is>
      </c>
      <c r="B163" s="1" t="n">
        <v>45596.57716435185</v>
      </c>
      <c r="C163" s="1" t="n">
        <v>46174</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49632-2024</t>
        </is>
      </c>
      <c r="B164" s="1" t="n">
        <v>45596</v>
      </c>
      <c r="C164" s="1" t="n">
        <v>46174</v>
      </c>
      <c r="D164" t="inlineStr">
        <is>
          <t>UPPSALA LÄN</t>
        </is>
      </c>
      <c r="E164" t="inlineStr">
        <is>
          <t>ENKÖPING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5188-2022</t>
        </is>
      </c>
      <c r="B165" s="1" t="n">
        <v>44594.4471412037</v>
      </c>
      <c r="C165" s="1" t="n">
        <v>46174</v>
      </c>
      <c r="D165" t="inlineStr">
        <is>
          <t>UPPSALA LÄN</t>
        </is>
      </c>
      <c r="E165" t="inlineStr">
        <is>
          <t>ENKÖPING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56176-2021</t>
        </is>
      </c>
      <c r="B166" s="1" t="n">
        <v>44477</v>
      </c>
      <c r="C166" s="1" t="n">
        <v>46174</v>
      </c>
      <c r="D166" t="inlineStr">
        <is>
          <t>UPPSALA LÄN</t>
        </is>
      </c>
      <c r="E166" t="inlineStr">
        <is>
          <t>ENKÖPING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29479-2022</t>
        </is>
      </c>
      <c r="B167" s="1" t="n">
        <v>44753.57265046296</v>
      </c>
      <c r="C167" s="1" t="n">
        <v>46174</v>
      </c>
      <c r="D167" t="inlineStr">
        <is>
          <t>UPPSALA LÄN</t>
        </is>
      </c>
      <c r="E167" t="inlineStr">
        <is>
          <t>ENKÖPING</t>
        </is>
      </c>
      <c r="G167" t="n">
        <v>0.9</v>
      </c>
      <c r="H167" t="n">
        <v>0</v>
      </c>
      <c r="I167" t="n">
        <v>0</v>
      </c>
      <c r="J167" t="n">
        <v>0</v>
      </c>
      <c r="K167" t="n">
        <v>0</v>
      </c>
      <c r="L167" t="n">
        <v>0</v>
      </c>
      <c r="M167" t="n">
        <v>0</v>
      </c>
      <c r="N167" t="n">
        <v>0</v>
      </c>
      <c r="O167" t="n">
        <v>0</v>
      </c>
      <c r="P167" t="n">
        <v>0</v>
      </c>
      <c r="Q167" t="n">
        <v>0</v>
      </c>
      <c r="R167" s="2" t="inlineStr"/>
    </row>
    <row r="168" ht="15" customHeight="1">
      <c r="A168" t="inlineStr">
        <is>
          <t>A 56526-2022</t>
        </is>
      </c>
      <c r="B168" s="1" t="n">
        <v>44893</v>
      </c>
      <c r="C168" s="1" t="n">
        <v>46174</v>
      </c>
      <c r="D168" t="inlineStr">
        <is>
          <t>UPPSALA LÄN</t>
        </is>
      </c>
      <c r="E168" t="inlineStr">
        <is>
          <t>ENKÖPING</t>
        </is>
      </c>
      <c r="G168" t="n">
        <v>3.8</v>
      </c>
      <c r="H168" t="n">
        <v>0</v>
      </c>
      <c r="I168" t="n">
        <v>0</v>
      </c>
      <c r="J168" t="n">
        <v>0</v>
      </c>
      <c r="K168" t="n">
        <v>0</v>
      </c>
      <c r="L168" t="n">
        <v>0</v>
      </c>
      <c r="M168" t="n">
        <v>0</v>
      </c>
      <c r="N168" t="n">
        <v>0</v>
      </c>
      <c r="O168" t="n">
        <v>0</v>
      </c>
      <c r="P168" t="n">
        <v>0</v>
      </c>
      <c r="Q168" t="n">
        <v>0</v>
      </c>
      <c r="R168" s="2" t="inlineStr"/>
    </row>
    <row r="169" ht="15" customHeight="1">
      <c r="A169" t="inlineStr">
        <is>
          <t>A 39858-2024</t>
        </is>
      </c>
      <c r="B169" s="1" t="n">
        <v>45553</v>
      </c>
      <c r="C169" s="1" t="n">
        <v>46174</v>
      </c>
      <c r="D169" t="inlineStr">
        <is>
          <t>UPPSALA LÄN</t>
        </is>
      </c>
      <c r="E169" t="inlineStr">
        <is>
          <t>ENKÖPING</t>
        </is>
      </c>
      <c r="G169" t="n">
        <v>0.7</v>
      </c>
      <c r="H169" t="n">
        <v>0</v>
      </c>
      <c r="I169" t="n">
        <v>0</v>
      </c>
      <c r="J169" t="n">
        <v>0</v>
      </c>
      <c r="K169" t="n">
        <v>0</v>
      </c>
      <c r="L169" t="n">
        <v>0</v>
      </c>
      <c r="M169" t="n">
        <v>0</v>
      </c>
      <c r="N169" t="n">
        <v>0</v>
      </c>
      <c r="O169" t="n">
        <v>0</v>
      </c>
      <c r="P169" t="n">
        <v>0</v>
      </c>
      <c r="Q169" t="n">
        <v>0</v>
      </c>
      <c r="R169" s="2" t="inlineStr"/>
    </row>
    <row r="170" ht="15" customHeight="1">
      <c r="A170" t="inlineStr">
        <is>
          <t>A 60289-2022</t>
        </is>
      </c>
      <c r="B170" s="1" t="n">
        <v>44910.53026620371</v>
      </c>
      <c r="C170" s="1" t="n">
        <v>46174</v>
      </c>
      <c r="D170" t="inlineStr">
        <is>
          <t>UPPSALA LÄN</t>
        </is>
      </c>
      <c r="E170" t="inlineStr">
        <is>
          <t>ENKÖPING</t>
        </is>
      </c>
      <c r="G170" t="n">
        <v>3.2</v>
      </c>
      <c r="H170" t="n">
        <v>0</v>
      </c>
      <c r="I170" t="n">
        <v>0</v>
      </c>
      <c r="J170" t="n">
        <v>0</v>
      </c>
      <c r="K170" t="n">
        <v>0</v>
      </c>
      <c r="L170" t="n">
        <v>0</v>
      </c>
      <c r="M170" t="n">
        <v>0</v>
      </c>
      <c r="N170" t="n">
        <v>0</v>
      </c>
      <c r="O170" t="n">
        <v>0</v>
      </c>
      <c r="P170" t="n">
        <v>0</v>
      </c>
      <c r="Q170" t="n">
        <v>0</v>
      </c>
      <c r="R170" s="2" t="inlineStr"/>
    </row>
    <row r="171" ht="15" customHeight="1">
      <c r="A171" t="inlineStr">
        <is>
          <t>A 13110-2023</t>
        </is>
      </c>
      <c r="B171" s="1" t="n">
        <v>45001</v>
      </c>
      <c r="C171" s="1" t="n">
        <v>46174</v>
      </c>
      <c r="D171" t="inlineStr">
        <is>
          <t>UPPSALA LÄN</t>
        </is>
      </c>
      <c r="E171" t="inlineStr">
        <is>
          <t>ENKÖPING</t>
        </is>
      </c>
      <c r="G171" t="n">
        <v>2.5</v>
      </c>
      <c r="H171" t="n">
        <v>0</v>
      </c>
      <c r="I171" t="n">
        <v>0</v>
      </c>
      <c r="J171" t="n">
        <v>0</v>
      </c>
      <c r="K171" t="n">
        <v>0</v>
      </c>
      <c r="L171" t="n">
        <v>0</v>
      </c>
      <c r="M171" t="n">
        <v>0</v>
      </c>
      <c r="N171" t="n">
        <v>0</v>
      </c>
      <c r="O171" t="n">
        <v>0</v>
      </c>
      <c r="P171" t="n">
        <v>0</v>
      </c>
      <c r="Q171" t="n">
        <v>0</v>
      </c>
      <c r="R171" s="2" t="inlineStr"/>
    </row>
    <row r="172" ht="15" customHeight="1">
      <c r="A172" t="inlineStr">
        <is>
          <t>A 58384-2022</t>
        </is>
      </c>
      <c r="B172" s="1" t="n">
        <v>44901</v>
      </c>
      <c r="C172" s="1" t="n">
        <v>46174</v>
      </c>
      <c r="D172" t="inlineStr">
        <is>
          <t>UPPSALA LÄN</t>
        </is>
      </c>
      <c r="E172" t="inlineStr">
        <is>
          <t>ENKÖPING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31622-2022</t>
        </is>
      </c>
      <c r="B173" s="1" t="n">
        <v>44775</v>
      </c>
      <c r="C173" s="1" t="n">
        <v>46174</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59602-2022</t>
        </is>
      </c>
      <c r="B174" s="1" t="n">
        <v>44907.72241898148</v>
      </c>
      <c r="C174" s="1" t="n">
        <v>46174</v>
      </c>
      <c r="D174" t="inlineStr">
        <is>
          <t>UPPSALA LÄN</t>
        </is>
      </c>
      <c r="E174" t="inlineStr">
        <is>
          <t>ENKÖPING</t>
        </is>
      </c>
      <c r="G174" t="n">
        <v>14.2</v>
      </c>
      <c r="H174" t="n">
        <v>0</v>
      </c>
      <c r="I174" t="n">
        <v>0</v>
      </c>
      <c r="J174" t="n">
        <v>0</v>
      </c>
      <c r="K174" t="n">
        <v>0</v>
      </c>
      <c r="L174" t="n">
        <v>0</v>
      </c>
      <c r="M174" t="n">
        <v>0</v>
      </c>
      <c r="N174" t="n">
        <v>0</v>
      </c>
      <c r="O174" t="n">
        <v>0</v>
      </c>
      <c r="P174" t="n">
        <v>0</v>
      </c>
      <c r="Q174" t="n">
        <v>0</v>
      </c>
      <c r="R174" s="2" t="inlineStr"/>
    </row>
    <row r="175" ht="15" customHeight="1">
      <c r="A175" t="inlineStr">
        <is>
          <t>A 31965-2021</t>
        </is>
      </c>
      <c r="B175" s="1" t="n">
        <v>44370.56901620371</v>
      </c>
      <c r="C175" s="1" t="n">
        <v>46174</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27538-2023</t>
        </is>
      </c>
      <c r="B176" s="1" t="n">
        <v>45097</v>
      </c>
      <c r="C176" s="1" t="n">
        <v>46174</v>
      </c>
      <c r="D176" t="inlineStr">
        <is>
          <t>UPPSALA LÄN</t>
        </is>
      </c>
      <c r="E176" t="inlineStr">
        <is>
          <t>ENKÖPING</t>
        </is>
      </c>
      <c r="G176" t="n">
        <v>5.8</v>
      </c>
      <c r="H176" t="n">
        <v>0</v>
      </c>
      <c r="I176" t="n">
        <v>0</v>
      </c>
      <c r="J176" t="n">
        <v>0</v>
      </c>
      <c r="K176" t="n">
        <v>0</v>
      </c>
      <c r="L176" t="n">
        <v>0</v>
      </c>
      <c r="M176" t="n">
        <v>0</v>
      </c>
      <c r="N176" t="n">
        <v>0</v>
      </c>
      <c r="O176" t="n">
        <v>0</v>
      </c>
      <c r="P176" t="n">
        <v>0</v>
      </c>
      <c r="Q176" t="n">
        <v>0</v>
      </c>
      <c r="R176" s="2" t="inlineStr"/>
    </row>
    <row r="177" ht="15" customHeight="1">
      <c r="A177" t="inlineStr">
        <is>
          <t>A 15409-2025</t>
        </is>
      </c>
      <c r="B177" s="1" t="n">
        <v>45747</v>
      </c>
      <c r="C177" s="1" t="n">
        <v>46174</v>
      </c>
      <c r="D177" t="inlineStr">
        <is>
          <t>UPPSALA LÄN</t>
        </is>
      </c>
      <c r="E177" t="inlineStr">
        <is>
          <t>ENKÖPING</t>
        </is>
      </c>
      <c r="G177" t="n">
        <v>2.5</v>
      </c>
      <c r="H177" t="n">
        <v>0</v>
      </c>
      <c r="I177" t="n">
        <v>0</v>
      </c>
      <c r="J177" t="n">
        <v>0</v>
      </c>
      <c r="K177" t="n">
        <v>0</v>
      </c>
      <c r="L177" t="n">
        <v>0</v>
      </c>
      <c r="M177" t="n">
        <v>0</v>
      </c>
      <c r="N177" t="n">
        <v>0</v>
      </c>
      <c r="O177" t="n">
        <v>0</v>
      </c>
      <c r="P177" t="n">
        <v>0</v>
      </c>
      <c r="Q177" t="n">
        <v>0</v>
      </c>
      <c r="R177" s="2" t="inlineStr"/>
    </row>
    <row r="178" ht="15" customHeight="1">
      <c r="A178" t="inlineStr">
        <is>
          <t>A 69344-2021</t>
        </is>
      </c>
      <c r="B178" s="1" t="n">
        <v>44531</v>
      </c>
      <c r="C178" s="1" t="n">
        <v>46174</v>
      </c>
      <c r="D178" t="inlineStr">
        <is>
          <t>UPPSALA LÄN</t>
        </is>
      </c>
      <c r="E178" t="inlineStr">
        <is>
          <t>ENKÖPING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67984-2021</t>
        </is>
      </c>
      <c r="B179" s="1" t="n">
        <v>44525.70237268518</v>
      </c>
      <c r="C179" s="1" t="n">
        <v>46174</v>
      </c>
      <c r="D179" t="inlineStr">
        <is>
          <t>UPPSALA LÄN</t>
        </is>
      </c>
      <c r="E179" t="inlineStr">
        <is>
          <t>ENKÖPING</t>
        </is>
      </c>
      <c r="G179" t="n">
        <v>1.4</v>
      </c>
      <c r="H179" t="n">
        <v>0</v>
      </c>
      <c r="I179" t="n">
        <v>0</v>
      </c>
      <c r="J179" t="n">
        <v>0</v>
      </c>
      <c r="K179" t="n">
        <v>0</v>
      </c>
      <c r="L179" t="n">
        <v>0</v>
      </c>
      <c r="M179" t="n">
        <v>0</v>
      </c>
      <c r="N179" t="n">
        <v>0</v>
      </c>
      <c r="O179" t="n">
        <v>0</v>
      </c>
      <c r="P179" t="n">
        <v>0</v>
      </c>
      <c r="Q179" t="n">
        <v>0</v>
      </c>
      <c r="R179" s="2" t="inlineStr"/>
    </row>
    <row r="180" ht="15" customHeight="1">
      <c r="A180" t="inlineStr">
        <is>
          <t>A 60874-2023</t>
        </is>
      </c>
      <c r="B180" s="1" t="n">
        <v>45261.06280092592</v>
      </c>
      <c r="C180" s="1" t="n">
        <v>46174</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50394-2024</t>
        </is>
      </c>
      <c r="B181" s="1" t="n">
        <v>45600</v>
      </c>
      <c r="C181" s="1" t="n">
        <v>46174</v>
      </c>
      <c r="D181" t="inlineStr">
        <is>
          <t>UPPSALA LÄN</t>
        </is>
      </c>
      <c r="E181" t="inlineStr">
        <is>
          <t>ENKÖPING</t>
        </is>
      </c>
      <c r="G181" t="n">
        <v>1.2</v>
      </c>
      <c r="H181" t="n">
        <v>0</v>
      </c>
      <c r="I181" t="n">
        <v>0</v>
      </c>
      <c r="J181" t="n">
        <v>0</v>
      </c>
      <c r="K181" t="n">
        <v>0</v>
      </c>
      <c r="L181" t="n">
        <v>0</v>
      </c>
      <c r="M181" t="n">
        <v>0</v>
      </c>
      <c r="N181" t="n">
        <v>0</v>
      </c>
      <c r="O181" t="n">
        <v>0</v>
      </c>
      <c r="P181" t="n">
        <v>0</v>
      </c>
      <c r="Q181" t="n">
        <v>0</v>
      </c>
      <c r="R181" s="2" t="inlineStr"/>
    </row>
    <row r="182" ht="15" customHeight="1">
      <c r="A182" t="inlineStr">
        <is>
          <t>A 33619-2022</t>
        </is>
      </c>
      <c r="B182" s="1" t="n">
        <v>44789</v>
      </c>
      <c r="C182" s="1" t="n">
        <v>46174</v>
      </c>
      <c r="D182" t="inlineStr">
        <is>
          <t>UPPSALA LÄN</t>
        </is>
      </c>
      <c r="E182" t="inlineStr">
        <is>
          <t>ENKÖPING</t>
        </is>
      </c>
      <c r="F182" t="inlineStr">
        <is>
          <t>Allmännings- och besparingsskogar</t>
        </is>
      </c>
      <c r="G182" t="n">
        <v>4.5</v>
      </c>
      <c r="H182" t="n">
        <v>0</v>
      </c>
      <c r="I182" t="n">
        <v>0</v>
      </c>
      <c r="J182" t="n">
        <v>0</v>
      </c>
      <c r="K182" t="n">
        <v>0</v>
      </c>
      <c r="L182" t="n">
        <v>0</v>
      </c>
      <c r="M182" t="n">
        <v>0</v>
      </c>
      <c r="N182" t="n">
        <v>0</v>
      </c>
      <c r="O182" t="n">
        <v>0</v>
      </c>
      <c r="P182" t="n">
        <v>0</v>
      </c>
      <c r="Q182" t="n">
        <v>0</v>
      </c>
      <c r="R182" s="2" t="inlineStr"/>
    </row>
    <row r="183" ht="15" customHeight="1">
      <c r="A183" t="inlineStr">
        <is>
          <t>A 51010-2024</t>
        </is>
      </c>
      <c r="B183" s="1" t="n">
        <v>45603.39285879629</v>
      </c>
      <c r="C183" s="1" t="n">
        <v>46174</v>
      </c>
      <c r="D183" t="inlineStr">
        <is>
          <t>UPPSALA LÄN</t>
        </is>
      </c>
      <c r="E183" t="inlineStr">
        <is>
          <t>ENKÖPING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43016-2021</t>
        </is>
      </c>
      <c r="B184" s="1" t="n">
        <v>44431</v>
      </c>
      <c r="C184" s="1" t="n">
        <v>46174</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10829-2024</t>
        </is>
      </c>
      <c r="B185" s="1" t="n">
        <v>45369</v>
      </c>
      <c r="C185" s="1" t="n">
        <v>46174</v>
      </c>
      <c r="D185" t="inlineStr">
        <is>
          <t>UPPSALA LÄN</t>
        </is>
      </c>
      <c r="E185" t="inlineStr">
        <is>
          <t>ENKÖPING</t>
        </is>
      </c>
      <c r="G185" t="n">
        <v>2.1</v>
      </c>
      <c r="H185" t="n">
        <v>0</v>
      </c>
      <c r="I185" t="n">
        <v>0</v>
      </c>
      <c r="J185" t="n">
        <v>0</v>
      </c>
      <c r="K185" t="n">
        <v>0</v>
      </c>
      <c r="L185" t="n">
        <v>0</v>
      </c>
      <c r="M185" t="n">
        <v>0</v>
      </c>
      <c r="N185" t="n">
        <v>0</v>
      </c>
      <c r="O185" t="n">
        <v>0</v>
      </c>
      <c r="P185" t="n">
        <v>0</v>
      </c>
      <c r="Q185" t="n">
        <v>0</v>
      </c>
      <c r="R185" s="2" t="inlineStr"/>
    </row>
    <row r="186" ht="15" customHeight="1">
      <c r="A186" t="inlineStr">
        <is>
          <t>A 12102-2024</t>
        </is>
      </c>
      <c r="B186" s="1" t="n">
        <v>45377</v>
      </c>
      <c r="C186" s="1" t="n">
        <v>46174</v>
      </c>
      <c r="D186" t="inlineStr">
        <is>
          <t>UPPSALA LÄN</t>
        </is>
      </c>
      <c r="E186" t="inlineStr">
        <is>
          <t>ENKÖPING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19147-2024</t>
        </is>
      </c>
      <c r="B187" s="1" t="n">
        <v>45428</v>
      </c>
      <c r="C187" s="1" t="n">
        <v>46174</v>
      </c>
      <c r="D187" t="inlineStr">
        <is>
          <t>UPPSALA LÄN</t>
        </is>
      </c>
      <c r="E187" t="inlineStr">
        <is>
          <t>ENKÖPING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67982-2021</t>
        </is>
      </c>
      <c r="B188" s="1" t="n">
        <v>44525</v>
      </c>
      <c r="C188" s="1" t="n">
        <v>46174</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57209-2024</t>
        </is>
      </c>
      <c r="B189" s="1" t="n">
        <v>45629.49311342592</v>
      </c>
      <c r="C189" s="1" t="n">
        <v>46174</v>
      </c>
      <c r="D189" t="inlineStr">
        <is>
          <t>UPPSALA LÄN</t>
        </is>
      </c>
      <c r="E189" t="inlineStr">
        <is>
          <t>ENKÖPING</t>
        </is>
      </c>
      <c r="G189" t="n">
        <v>3.2</v>
      </c>
      <c r="H189" t="n">
        <v>0</v>
      </c>
      <c r="I189" t="n">
        <v>0</v>
      </c>
      <c r="J189" t="n">
        <v>0</v>
      </c>
      <c r="K189" t="n">
        <v>0</v>
      </c>
      <c r="L189" t="n">
        <v>0</v>
      </c>
      <c r="M189" t="n">
        <v>0</v>
      </c>
      <c r="N189" t="n">
        <v>0</v>
      </c>
      <c r="O189" t="n">
        <v>0</v>
      </c>
      <c r="P189" t="n">
        <v>0</v>
      </c>
      <c r="Q189" t="n">
        <v>0</v>
      </c>
      <c r="R189" s="2" t="inlineStr"/>
    </row>
    <row r="190" ht="15" customHeight="1">
      <c r="A190" t="inlineStr">
        <is>
          <t>A 51120-2023</t>
        </is>
      </c>
      <c r="B190" s="1" t="n">
        <v>45219.3088425926</v>
      </c>
      <c r="C190" s="1" t="n">
        <v>46174</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12878-2025</t>
        </is>
      </c>
      <c r="B191" s="1" t="n">
        <v>45733.68571759259</v>
      </c>
      <c r="C191" s="1" t="n">
        <v>46174</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51034-2024</t>
        </is>
      </c>
      <c r="B192" s="1" t="n">
        <v>45603.4262037037</v>
      </c>
      <c r="C192" s="1" t="n">
        <v>46174</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51036-2024</t>
        </is>
      </c>
      <c r="B193" s="1" t="n">
        <v>45603.42839120371</v>
      </c>
      <c r="C193" s="1" t="n">
        <v>46174</v>
      </c>
      <c r="D193" t="inlineStr">
        <is>
          <t>UPPSALA LÄN</t>
        </is>
      </c>
      <c r="E193" t="inlineStr">
        <is>
          <t>ENKÖPING</t>
        </is>
      </c>
      <c r="G193" t="n">
        <v>2.6</v>
      </c>
      <c r="H193" t="n">
        <v>0</v>
      </c>
      <c r="I193" t="n">
        <v>0</v>
      </c>
      <c r="J193" t="n">
        <v>0</v>
      </c>
      <c r="K193" t="n">
        <v>0</v>
      </c>
      <c r="L193" t="n">
        <v>0</v>
      </c>
      <c r="M193" t="n">
        <v>0</v>
      </c>
      <c r="N193" t="n">
        <v>0</v>
      </c>
      <c r="O193" t="n">
        <v>0</v>
      </c>
      <c r="P193" t="n">
        <v>0</v>
      </c>
      <c r="Q193" t="n">
        <v>0</v>
      </c>
      <c r="R193" s="2" t="inlineStr"/>
    </row>
    <row r="194" ht="15" customHeight="1">
      <c r="A194" t="inlineStr">
        <is>
          <t>A 55876-2024</t>
        </is>
      </c>
      <c r="B194" s="1" t="n">
        <v>45623.5546412037</v>
      </c>
      <c r="C194" s="1" t="n">
        <v>46174</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43896-2022</t>
        </is>
      </c>
      <c r="B195" s="1" t="n">
        <v>44838</v>
      </c>
      <c r="C195" s="1" t="n">
        <v>46174</v>
      </c>
      <c r="D195" t="inlineStr">
        <is>
          <t>UPPSALA LÄN</t>
        </is>
      </c>
      <c r="E195" t="inlineStr">
        <is>
          <t>ENKÖPING</t>
        </is>
      </c>
      <c r="G195" t="n">
        <v>5.3</v>
      </c>
      <c r="H195" t="n">
        <v>0</v>
      </c>
      <c r="I195" t="n">
        <v>0</v>
      </c>
      <c r="J195" t="n">
        <v>0</v>
      </c>
      <c r="K195" t="n">
        <v>0</v>
      </c>
      <c r="L195" t="n">
        <v>0</v>
      </c>
      <c r="M195" t="n">
        <v>0</v>
      </c>
      <c r="N195" t="n">
        <v>0</v>
      </c>
      <c r="O195" t="n">
        <v>0</v>
      </c>
      <c r="P195" t="n">
        <v>0</v>
      </c>
      <c r="Q195" t="n">
        <v>0</v>
      </c>
      <c r="R195" s="2" t="inlineStr"/>
    </row>
    <row r="196" ht="15" customHeight="1">
      <c r="A196" t="inlineStr">
        <is>
          <t>A 39746-2025</t>
        </is>
      </c>
      <c r="B196" s="1" t="n">
        <v>45891</v>
      </c>
      <c r="C196" s="1" t="n">
        <v>46174</v>
      </c>
      <c r="D196" t="inlineStr">
        <is>
          <t>UPPSALA LÄN</t>
        </is>
      </c>
      <c r="E196" t="inlineStr">
        <is>
          <t>ENKÖPING</t>
        </is>
      </c>
      <c r="G196" t="n">
        <v>7.4</v>
      </c>
      <c r="H196" t="n">
        <v>0</v>
      </c>
      <c r="I196" t="n">
        <v>0</v>
      </c>
      <c r="J196" t="n">
        <v>0</v>
      </c>
      <c r="K196" t="n">
        <v>0</v>
      </c>
      <c r="L196" t="n">
        <v>0</v>
      </c>
      <c r="M196" t="n">
        <v>0</v>
      </c>
      <c r="N196" t="n">
        <v>0</v>
      </c>
      <c r="O196" t="n">
        <v>0</v>
      </c>
      <c r="P196" t="n">
        <v>0</v>
      </c>
      <c r="Q196" t="n">
        <v>0</v>
      </c>
      <c r="R196" s="2" t="inlineStr"/>
    </row>
    <row r="197" ht="15" customHeight="1">
      <c r="A197" t="inlineStr">
        <is>
          <t>A 11005-2023</t>
        </is>
      </c>
      <c r="B197" s="1" t="n">
        <v>44991</v>
      </c>
      <c r="C197" s="1" t="n">
        <v>46174</v>
      </c>
      <c r="D197" t="inlineStr">
        <is>
          <t>UPPSALA LÄN</t>
        </is>
      </c>
      <c r="E197" t="inlineStr">
        <is>
          <t>ENKÖPING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57142-2021</t>
        </is>
      </c>
      <c r="B198" s="1" t="n">
        <v>44482</v>
      </c>
      <c r="C198" s="1" t="n">
        <v>46174</v>
      </c>
      <c r="D198" t="inlineStr">
        <is>
          <t>UPPSALA LÄN</t>
        </is>
      </c>
      <c r="E198" t="inlineStr">
        <is>
          <t>ENKÖPING</t>
        </is>
      </c>
      <c r="G198" t="n">
        <v>0.7</v>
      </c>
      <c r="H198" t="n">
        <v>0</v>
      </c>
      <c r="I198" t="n">
        <v>0</v>
      </c>
      <c r="J198" t="n">
        <v>0</v>
      </c>
      <c r="K198" t="n">
        <v>0</v>
      </c>
      <c r="L198" t="n">
        <v>0</v>
      </c>
      <c r="M198" t="n">
        <v>0</v>
      </c>
      <c r="N198" t="n">
        <v>0</v>
      </c>
      <c r="O198" t="n">
        <v>0</v>
      </c>
      <c r="P198" t="n">
        <v>0</v>
      </c>
      <c r="Q198" t="n">
        <v>0</v>
      </c>
      <c r="R198" s="2" t="inlineStr"/>
    </row>
    <row r="199" ht="15" customHeight="1">
      <c r="A199" t="inlineStr">
        <is>
          <t>A 57147-2021</t>
        </is>
      </c>
      <c r="B199" s="1" t="n">
        <v>44482</v>
      </c>
      <c r="C199" s="1" t="n">
        <v>46174</v>
      </c>
      <c r="D199" t="inlineStr">
        <is>
          <t>UPPSALA LÄN</t>
        </is>
      </c>
      <c r="E199" t="inlineStr">
        <is>
          <t>ENKÖPING</t>
        </is>
      </c>
      <c r="G199" t="n">
        <v>5.7</v>
      </c>
      <c r="H199" t="n">
        <v>0</v>
      </c>
      <c r="I199" t="n">
        <v>0</v>
      </c>
      <c r="J199" t="n">
        <v>0</v>
      </c>
      <c r="K199" t="n">
        <v>0</v>
      </c>
      <c r="L199" t="n">
        <v>0</v>
      </c>
      <c r="M199" t="n">
        <v>0</v>
      </c>
      <c r="N199" t="n">
        <v>0</v>
      </c>
      <c r="O199" t="n">
        <v>0</v>
      </c>
      <c r="P199" t="n">
        <v>0</v>
      </c>
      <c r="Q199" t="n">
        <v>0</v>
      </c>
      <c r="R199" s="2" t="inlineStr"/>
    </row>
    <row r="200" ht="15" customHeight="1">
      <c r="A200" t="inlineStr">
        <is>
          <t>A 59602-2024</t>
        </is>
      </c>
      <c r="B200" s="1" t="n">
        <v>45638</v>
      </c>
      <c r="C200" s="1" t="n">
        <v>46174</v>
      </c>
      <c r="D200" t="inlineStr">
        <is>
          <t>UPPSALA LÄN</t>
        </is>
      </c>
      <c r="E200" t="inlineStr">
        <is>
          <t>ENKÖPING</t>
        </is>
      </c>
      <c r="G200" t="n">
        <v>1.1</v>
      </c>
      <c r="H200" t="n">
        <v>0</v>
      </c>
      <c r="I200" t="n">
        <v>0</v>
      </c>
      <c r="J200" t="n">
        <v>0</v>
      </c>
      <c r="K200" t="n">
        <v>0</v>
      </c>
      <c r="L200" t="n">
        <v>0</v>
      </c>
      <c r="M200" t="n">
        <v>0</v>
      </c>
      <c r="N200" t="n">
        <v>0</v>
      </c>
      <c r="O200" t="n">
        <v>0</v>
      </c>
      <c r="P200" t="n">
        <v>0</v>
      </c>
      <c r="Q200" t="n">
        <v>0</v>
      </c>
      <c r="R200" s="2" t="inlineStr"/>
    </row>
    <row r="201" ht="15" customHeight="1">
      <c r="A201" t="inlineStr">
        <is>
          <t>A 7090-2022</t>
        </is>
      </c>
      <c r="B201" s="1" t="n">
        <v>44603.59520833333</v>
      </c>
      <c r="C201" s="1" t="n">
        <v>46174</v>
      </c>
      <c r="D201" t="inlineStr">
        <is>
          <t>UPPSALA LÄN</t>
        </is>
      </c>
      <c r="E201" t="inlineStr">
        <is>
          <t>ENKÖPING</t>
        </is>
      </c>
      <c r="G201" t="n">
        <v>2.8</v>
      </c>
      <c r="H201" t="n">
        <v>0</v>
      </c>
      <c r="I201" t="n">
        <v>0</v>
      </c>
      <c r="J201" t="n">
        <v>0</v>
      </c>
      <c r="K201" t="n">
        <v>0</v>
      </c>
      <c r="L201" t="n">
        <v>0</v>
      </c>
      <c r="M201" t="n">
        <v>0</v>
      </c>
      <c r="N201" t="n">
        <v>0</v>
      </c>
      <c r="O201" t="n">
        <v>0</v>
      </c>
      <c r="P201" t="n">
        <v>0</v>
      </c>
      <c r="Q201" t="n">
        <v>0</v>
      </c>
      <c r="R201" s="2" t="inlineStr"/>
    </row>
    <row r="202" ht="15" customHeight="1">
      <c r="A202" t="inlineStr">
        <is>
          <t>A 7868-2024</t>
        </is>
      </c>
      <c r="B202" s="1" t="n">
        <v>45350.33020833333</v>
      </c>
      <c r="C202" s="1" t="n">
        <v>46174</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7870-2024</t>
        </is>
      </c>
      <c r="B203" s="1" t="n">
        <v>45350.33349537037</v>
      </c>
      <c r="C203" s="1" t="n">
        <v>46174</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9487-2025</t>
        </is>
      </c>
      <c r="B204" s="1" t="n">
        <v>45715.49331018519</v>
      </c>
      <c r="C204" s="1" t="n">
        <v>46174</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9231-2023</t>
        </is>
      </c>
      <c r="B205" s="1" t="n">
        <v>44980</v>
      </c>
      <c r="C205" s="1" t="n">
        <v>46174</v>
      </c>
      <c r="D205" t="inlineStr">
        <is>
          <t>UPPSALA LÄN</t>
        </is>
      </c>
      <c r="E205" t="inlineStr">
        <is>
          <t>ENKÖPING</t>
        </is>
      </c>
      <c r="G205" t="n">
        <v>1.5</v>
      </c>
      <c r="H205" t="n">
        <v>0</v>
      </c>
      <c r="I205" t="n">
        <v>0</v>
      </c>
      <c r="J205" t="n">
        <v>0</v>
      </c>
      <c r="K205" t="n">
        <v>0</v>
      </c>
      <c r="L205" t="n">
        <v>0</v>
      </c>
      <c r="M205" t="n">
        <v>0</v>
      </c>
      <c r="N205" t="n">
        <v>0</v>
      </c>
      <c r="O205" t="n">
        <v>0</v>
      </c>
      <c r="P205" t="n">
        <v>0</v>
      </c>
      <c r="Q205" t="n">
        <v>0</v>
      </c>
      <c r="R205" s="2" t="inlineStr"/>
    </row>
    <row r="206" ht="15" customHeight="1">
      <c r="A206" t="inlineStr">
        <is>
          <t>A 6144-2024</t>
        </is>
      </c>
      <c r="B206" s="1" t="n">
        <v>45337.4684837963</v>
      </c>
      <c r="C206" s="1" t="n">
        <v>46174</v>
      </c>
      <c r="D206" t="inlineStr">
        <is>
          <t>UPPSALA LÄN</t>
        </is>
      </c>
      <c r="E206" t="inlineStr">
        <is>
          <t>ENKÖPING</t>
        </is>
      </c>
      <c r="G206" t="n">
        <v>13.8</v>
      </c>
      <c r="H206" t="n">
        <v>0</v>
      </c>
      <c r="I206" t="n">
        <v>0</v>
      </c>
      <c r="J206" t="n">
        <v>0</v>
      </c>
      <c r="K206" t="n">
        <v>0</v>
      </c>
      <c r="L206" t="n">
        <v>0</v>
      </c>
      <c r="M206" t="n">
        <v>0</v>
      </c>
      <c r="N206" t="n">
        <v>0</v>
      </c>
      <c r="O206" t="n">
        <v>0</v>
      </c>
      <c r="P206" t="n">
        <v>0</v>
      </c>
      <c r="Q206" t="n">
        <v>0</v>
      </c>
      <c r="R206" s="2" t="inlineStr"/>
    </row>
    <row r="207" ht="15" customHeight="1">
      <c r="A207" t="inlineStr">
        <is>
          <t>A 33955-2024</t>
        </is>
      </c>
      <c r="B207" s="1" t="n">
        <v>45523.46952546296</v>
      </c>
      <c r="C207" s="1" t="n">
        <v>46174</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16916-2022</t>
        </is>
      </c>
      <c r="B208" s="1" t="n">
        <v>44676</v>
      </c>
      <c r="C208" s="1" t="n">
        <v>46174</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30514-2021</t>
        </is>
      </c>
      <c r="B209" s="1" t="n">
        <v>44364</v>
      </c>
      <c r="C209" s="1" t="n">
        <v>46174</v>
      </c>
      <c r="D209" t="inlineStr">
        <is>
          <t>UPPSALA LÄN</t>
        </is>
      </c>
      <c r="E209" t="inlineStr">
        <is>
          <t>ENKÖPING</t>
        </is>
      </c>
      <c r="G209" t="n">
        <v>1.4</v>
      </c>
      <c r="H209" t="n">
        <v>0</v>
      </c>
      <c r="I209" t="n">
        <v>0</v>
      </c>
      <c r="J209" t="n">
        <v>0</v>
      </c>
      <c r="K209" t="n">
        <v>0</v>
      </c>
      <c r="L209" t="n">
        <v>0</v>
      </c>
      <c r="M209" t="n">
        <v>0</v>
      </c>
      <c r="N209" t="n">
        <v>0</v>
      </c>
      <c r="O209" t="n">
        <v>0</v>
      </c>
      <c r="P209" t="n">
        <v>0</v>
      </c>
      <c r="Q209" t="n">
        <v>0</v>
      </c>
      <c r="R209" s="2" t="inlineStr"/>
    </row>
    <row r="210" ht="15" customHeight="1">
      <c r="A210" t="inlineStr">
        <is>
          <t>A 31604-2023</t>
        </is>
      </c>
      <c r="B210" s="1" t="n">
        <v>45117.50368055556</v>
      </c>
      <c r="C210" s="1" t="n">
        <v>46174</v>
      </c>
      <c r="D210" t="inlineStr">
        <is>
          <t>UPPSALA LÄN</t>
        </is>
      </c>
      <c r="E210" t="inlineStr">
        <is>
          <t>ENKÖPING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15162-2025</t>
        </is>
      </c>
      <c r="B211" s="1" t="n">
        <v>45744</v>
      </c>
      <c r="C211" s="1" t="n">
        <v>46174</v>
      </c>
      <c r="D211" t="inlineStr">
        <is>
          <t>UPPSALA LÄN</t>
        </is>
      </c>
      <c r="E211" t="inlineStr">
        <is>
          <t>ENKÖPING</t>
        </is>
      </c>
      <c r="G211" t="n">
        <v>4.2</v>
      </c>
      <c r="H211" t="n">
        <v>0</v>
      </c>
      <c r="I211" t="n">
        <v>0</v>
      </c>
      <c r="J211" t="n">
        <v>0</v>
      </c>
      <c r="K211" t="n">
        <v>0</v>
      </c>
      <c r="L211" t="n">
        <v>0</v>
      </c>
      <c r="M211" t="n">
        <v>0</v>
      </c>
      <c r="N211" t="n">
        <v>0</v>
      </c>
      <c r="O211" t="n">
        <v>0</v>
      </c>
      <c r="P211" t="n">
        <v>0</v>
      </c>
      <c r="Q211" t="n">
        <v>0</v>
      </c>
      <c r="R211" s="2" t="inlineStr"/>
    </row>
    <row r="212" ht="15" customHeight="1">
      <c r="A212" t="inlineStr">
        <is>
          <t>A 41616-2025</t>
        </is>
      </c>
      <c r="B212" s="1" t="n">
        <v>45901.69684027778</v>
      </c>
      <c r="C212" s="1" t="n">
        <v>46174</v>
      </c>
      <c r="D212" t="inlineStr">
        <is>
          <t>UPPSALA LÄN</t>
        </is>
      </c>
      <c r="E212" t="inlineStr">
        <is>
          <t>ENKÖPING</t>
        </is>
      </c>
      <c r="F212" t="inlineStr">
        <is>
          <t>Allmännings- och besparingsskogar</t>
        </is>
      </c>
      <c r="G212" t="n">
        <v>17.3</v>
      </c>
      <c r="H212" t="n">
        <v>0</v>
      </c>
      <c r="I212" t="n">
        <v>0</v>
      </c>
      <c r="J212" t="n">
        <v>0</v>
      </c>
      <c r="K212" t="n">
        <v>0</v>
      </c>
      <c r="L212" t="n">
        <v>0</v>
      </c>
      <c r="M212" t="n">
        <v>0</v>
      </c>
      <c r="N212" t="n">
        <v>0</v>
      </c>
      <c r="O212" t="n">
        <v>0</v>
      </c>
      <c r="P212" t="n">
        <v>0</v>
      </c>
      <c r="Q212" t="n">
        <v>0</v>
      </c>
      <c r="R212" s="2" t="inlineStr"/>
    </row>
    <row r="213" ht="15" customHeight="1">
      <c r="A213" t="inlineStr">
        <is>
          <t>A 16920-2023</t>
        </is>
      </c>
      <c r="B213" s="1" t="n">
        <v>45033.59030092593</v>
      </c>
      <c r="C213" s="1" t="n">
        <v>46174</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41637-2025</t>
        </is>
      </c>
      <c r="B214" s="1" t="n">
        <v>45901</v>
      </c>
      <c r="C214" s="1" t="n">
        <v>46174</v>
      </c>
      <c r="D214" t="inlineStr">
        <is>
          <t>UPPSALA LÄN</t>
        </is>
      </c>
      <c r="E214" t="inlineStr">
        <is>
          <t>ENKÖPING</t>
        </is>
      </c>
      <c r="F214" t="inlineStr">
        <is>
          <t>Allmännings- och besparingsskogar</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44131-2023</t>
        </is>
      </c>
      <c r="B215" s="1" t="n">
        <v>45188</v>
      </c>
      <c r="C215" s="1" t="n">
        <v>46174</v>
      </c>
      <c r="D215" t="inlineStr">
        <is>
          <t>UPPSALA LÄN</t>
        </is>
      </c>
      <c r="E215" t="inlineStr">
        <is>
          <t>ENKÖPING</t>
        </is>
      </c>
      <c r="G215" t="n">
        <v>0.3</v>
      </c>
      <c r="H215" t="n">
        <v>0</v>
      </c>
      <c r="I215" t="n">
        <v>0</v>
      </c>
      <c r="J215" t="n">
        <v>0</v>
      </c>
      <c r="K215" t="n">
        <v>0</v>
      </c>
      <c r="L215" t="n">
        <v>0</v>
      </c>
      <c r="M215" t="n">
        <v>0</v>
      </c>
      <c r="N215" t="n">
        <v>0</v>
      </c>
      <c r="O215" t="n">
        <v>0</v>
      </c>
      <c r="P215" t="n">
        <v>0</v>
      </c>
      <c r="Q215" t="n">
        <v>0</v>
      </c>
      <c r="R215" s="2" t="inlineStr"/>
    </row>
    <row r="216" ht="15" customHeight="1">
      <c r="A216" t="inlineStr">
        <is>
          <t>A 41618-2025</t>
        </is>
      </c>
      <c r="B216" s="1" t="n">
        <v>45901.70085648148</v>
      </c>
      <c r="C216" s="1" t="n">
        <v>46174</v>
      </c>
      <c r="D216" t="inlineStr">
        <is>
          <t>UPPSALA LÄN</t>
        </is>
      </c>
      <c r="E216" t="inlineStr">
        <is>
          <t>ENKÖPING</t>
        </is>
      </c>
      <c r="F216" t="inlineStr">
        <is>
          <t>Allmännings- och besparingsskogar</t>
        </is>
      </c>
      <c r="G216" t="n">
        <v>5.3</v>
      </c>
      <c r="H216" t="n">
        <v>0</v>
      </c>
      <c r="I216" t="n">
        <v>0</v>
      </c>
      <c r="J216" t="n">
        <v>0</v>
      </c>
      <c r="K216" t="n">
        <v>0</v>
      </c>
      <c r="L216" t="n">
        <v>0</v>
      </c>
      <c r="M216" t="n">
        <v>0</v>
      </c>
      <c r="N216" t="n">
        <v>0</v>
      </c>
      <c r="O216" t="n">
        <v>0</v>
      </c>
      <c r="P216" t="n">
        <v>0</v>
      </c>
      <c r="Q216" t="n">
        <v>0</v>
      </c>
      <c r="R216" s="2" t="inlineStr"/>
    </row>
    <row r="217" ht="15" customHeight="1">
      <c r="A217" t="inlineStr">
        <is>
          <t>A 60533-2021</t>
        </is>
      </c>
      <c r="B217" s="1" t="n">
        <v>44496</v>
      </c>
      <c r="C217" s="1" t="n">
        <v>46174</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52388-2024</t>
        </is>
      </c>
      <c r="B218" s="1" t="n">
        <v>45609.42939814815</v>
      </c>
      <c r="C218" s="1" t="n">
        <v>46174</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53586-2024</t>
        </is>
      </c>
      <c r="B219" s="1" t="n">
        <v>45614</v>
      </c>
      <c r="C219" s="1" t="n">
        <v>46174</v>
      </c>
      <c r="D219" t="inlineStr">
        <is>
          <t>UPPSALA LÄN</t>
        </is>
      </c>
      <c r="E219" t="inlineStr">
        <is>
          <t>ENKÖPING</t>
        </is>
      </c>
      <c r="G219" t="n">
        <v>6.6</v>
      </c>
      <c r="H219" t="n">
        <v>0</v>
      </c>
      <c r="I219" t="n">
        <v>0</v>
      </c>
      <c r="J219" t="n">
        <v>0</v>
      </c>
      <c r="K219" t="n">
        <v>0</v>
      </c>
      <c r="L219" t="n">
        <v>0</v>
      </c>
      <c r="M219" t="n">
        <v>0</v>
      </c>
      <c r="N219" t="n">
        <v>0</v>
      </c>
      <c r="O219" t="n">
        <v>0</v>
      </c>
      <c r="P219" t="n">
        <v>0</v>
      </c>
      <c r="Q219" t="n">
        <v>0</v>
      </c>
      <c r="R219" s="2" t="inlineStr"/>
    </row>
    <row r="220" ht="15" customHeight="1">
      <c r="A220" t="inlineStr">
        <is>
          <t>A 53607-2023</t>
        </is>
      </c>
      <c r="B220" s="1" t="n">
        <v>45230</v>
      </c>
      <c r="C220" s="1" t="n">
        <v>46174</v>
      </c>
      <c r="D220" t="inlineStr">
        <is>
          <t>UPPSALA LÄN</t>
        </is>
      </c>
      <c r="E220" t="inlineStr">
        <is>
          <t>ENKÖPING</t>
        </is>
      </c>
      <c r="F220" t="inlineStr">
        <is>
          <t>Allmännings- och besparingsskogar</t>
        </is>
      </c>
      <c r="G220" t="n">
        <v>6.3</v>
      </c>
      <c r="H220" t="n">
        <v>0</v>
      </c>
      <c r="I220" t="n">
        <v>0</v>
      </c>
      <c r="J220" t="n">
        <v>0</v>
      </c>
      <c r="K220" t="n">
        <v>0</v>
      </c>
      <c r="L220" t="n">
        <v>0</v>
      </c>
      <c r="M220" t="n">
        <v>0</v>
      </c>
      <c r="N220" t="n">
        <v>0</v>
      </c>
      <c r="O220" t="n">
        <v>0</v>
      </c>
      <c r="P220" t="n">
        <v>0</v>
      </c>
      <c r="Q220" t="n">
        <v>0</v>
      </c>
      <c r="R220" s="2" t="inlineStr"/>
    </row>
    <row r="221" ht="15" customHeight="1">
      <c r="A221" t="inlineStr">
        <is>
          <t>A 40202-2024</t>
        </is>
      </c>
      <c r="B221" s="1" t="n">
        <v>45554</v>
      </c>
      <c r="C221" s="1" t="n">
        <v>46174</v>
      </c>
      <c r="D221" t="inlineStr">
        <is>
          <t>UPPSALA LÄN</t>
        </is>
      </c>
      <c r="E221" t="inlineStr">
        <is>
          <t>ENKÖPING</t>
        </is>
      </c>
      <c r="G221" t="n">
        <v>6.2</v>
      </c>
      <c r="H221" t="n">
        <v>0</v>
      </c>
      <c r="I221" t="n">
        <v>0</v>
      </c>
      <c r="J221" t="n">
        <v>0</v>
      </c>
      <c r="K221" t="n">
        <v>0</v>
      </c>
      <c r="L221" t="n">
        <v>0</v>
      </c>
      <c r="M221" t="n">
        <v>0</v>
      </c>
      <c r="N221" t="n">
        <v>0</v>
      </c>
      <c r="O221" t="n">
        <v>0</v>
      </c>
      <c r="P221" t="n">
        <v>0</v>
      </c>
      <c r="Q221" t="n">
        <v>0</v>
      </c>
      <c r="R221" s="2" t="inlineStr"/>
    </row>
    <row r="222" ht="15" customHeight="1">
      <c r="A222" t="inlineStr">
        <is>
          <t>A 42029-2025</t>
        </is>
      </c>
      <c r="B222" s="1" t="n">
        <v>45903</v>
      </c>
      <c r="C222" s="1" t="n">
        <v>46174</v>
      </c>
      <c r="D222" t="inlineStr">
        <is>
          <t>UPPSALA LÄN</t>
        </is>
      </c>
      <c r="E222" t="inlineStr">
        <is>
          <t>ENKÖPING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41765-2025</t>
        </is>
      </c>
      <c r="B223" s="1" t="n">
        <v>45902</v>
      </c>
      <c r="C223" s="1" t="n">
        <v>46174</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47516-2022</t>
        </is>
      </c>
      <c r="B224" s="1" t="n">
        <v>44853.68895833333</v>
      </c>
      <c r="C224" s="1" t="n">
        <v>46174</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43506-2023</t>
        </is>
      </c>
      <c r="B225" s="1" t="n">
        <v>45181</v>
      </c>
      <c r="C225" s="1" t="n">
        <v>46174</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57152-2021</t>
        </is>
      </c>
      <c r="B226" s="1" t="n">
        <v>44482</v>
      </c>
      <c r="C226" s="1" t="n">
        <v>46174</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46186-2023</t>
        </is>
      </c>
      <c r="B227" s="1" t="n">
        <v>45196</v>
      </c>
      <c r="C227" s="1" t="n">
        <v>46174</v>
      </c>
      <c r="D227" t="inlineStr">
        <is>
          <t>UPPSALA LÄN</t>
        </is>
      </c>
      <c r="E227" t="inlineStr">
        <is>
          <t>ENKÖPING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54595-2021</t>
        </is>
      </c>
      <c r="B228" s="1" t="n">
        <v>44473.58824074074</v>
      </c>
      <c r="C228" s="1" t="n">
        <v>46174</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54588-2024</t>
        </is>
      </c>
      <c r="B229" s="1" t="n">
        <v>45617</v>
      </c>
      <c r="C229" s="1" t="n">
        <v>46174</v>
      </c>
      <c r="D229" t="inlineStr">
        <is>
          <t>UPPSALA LÄN</t>
        </is>
      </c>
      <c r="E229" t="inlineStr">
        <is>
          <t>ENKÖPING</t>
        </is>
      </c>
      <c r="G229" t="n">
        <v>3.7</v>
      </c>
      <c r="H229" t="n">
        <v>0</v>
      </c>
      <c r="I229" t="n">
        <v>0</v>
      </c>
      <c r="J229" t="n">
        <v>0</v>
      </c>
      <c r="K229" t="n">
        <v>0</v>
      </c>
      <c r="L229" t="n">
        <v>0</v>
      </c>
      <c r="M229" t="n">
        <v>0</v>
      </c>
      <c r="N229" t="n">
        <v>0</v>
      </c>
      <c r="O229" t="n">
        <v>0</v>
      </c>
      <c r="P229" t="n">
        <v>0</v>
      </c>
      <c r="Q229" t="n">
        <v>0</v>
      </c>
      <c r="R229" s="2" t="inlineStr"/>
    </row>
    <row r="230" ht="15" customHeight="1">
      <c r="A230" t="inlineStr">
        <is>
          <t>A 41764-2025</t>
        </is>
      </c>
      <c r="B230" s="1" t="n">
        <v>45902</v>
      </c>
      <c r="C230" s="1" t="n">
        <v>46174</v>
      </c>
      <c r="D230" t="inlineStr">
        <is>
          <t>UPPSALA LÄN</t>
        </is>
      </c>
      <c r="E230" t="inlineStr">
        <is>
          <t>ENKÖPING</t>
        </is>
      </c>
      <c r="G230" t="n">
        <v>2.7</v>
      </c>
      <c r="H230" t="n">
        <v>0</v>
      </c>
      <c r="I230" t="n">
        <v>0</v>
      </c>
      <c r="J230" t="n">
        <v>0</v>
      </c>
      <c r="K230" t="n">
        <v>0</v>
      </c>
      <c r="L230" t="n">
        <v>0</v>
      </c>
      <c r="M230" t="n">
        <v>0</v>
      </c>
      <c r="N230" t="n">
        <v>0</v>
      </c>
      <c r="O230" t="n">
        <v>0</v>
      </c>
      <c r="P230" t="n">
        <v>0</v>
      </c>
      <c r="Q230" t="n">
        <v>0</v>
      </c>
      <c r="R230" s="2" t="inlineStr"/>
    </row>
    <row r="231" ht="15" customHeight="1">
      <c r="A231" t="inlineStr">
        <is>
          <t>A 34124-2021</t>
        </is>
      </c>
      <c r="B231" s="1" t="n">
        <v>44379</v>
      </c>
      <c r="C231" s="1" t="n">
        <v>46174</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28518-2024</t>
        </is>
      </c>
      <c r="B232" s="1" t="n">
        <v>45477</v>
      </c>
      <c r="C232" s="1" t="n">
        <v>46174</v>
      </c>
      <c r="D232" t="inlineStr">
        <is>
          <t>UPPSALA LÄN</t>
        </is>
      </c>
      <c r="E232" t="inlineStr">
        <is>
          <t>ENKÖPING</t>
        </is>
      </c>
      <c r="G232" t="n">
        <v>3.4</v>
      </c>
      <c r="H232" t="n">
        <v>0</v>
      </c>
      <c r="I232" t="n">
        <v>0</v>
      </c>
      <c r="J232" t="n">
        <v>0</v>
      </c>
      <c r="K232" t="n">
        <v>0</v>
      </c>
      <c r="L232" t="n">
        <v>0</v>
      </c>
      <c r="M232" t="n">
        <v>0</v>
      </c>
      <c r="N232" t="n">
        <v>0</v>
      </c>
      <c r="O232" t="n">
        <v>0</v>
      </c>
      <c r="P232" t="n">
        <v>0</v>
      </c>
      <c r="Q232" t="n">
        <v>0</v>
      </c>
      <c r="R232" s="2" t="inlineStr"/>
    </row>
    <row r="233" ht="15" customHeight="1">
      <c r="A233" t="inlineStr">
        <is>
          <t>A 47428-2023</t>
        </is>
      </c>
      <c r="B233" s="1" t="n">
        <v>45202.66664351852</v>
      </c>
      <c r="C233" s="1" t="n">
        <v>46174</v>
      </c>
      <c r="D233" t="inlineStr">
        <is>
          <t>UPPSALA LÄN</t>
        </is>
      </c>
      <c r="E233" t="inlineStr">
        <is>
          <t>ENKÖPING</t>
        </is>
      </c>
      <c r="G233" t="n">
        <v>3</v>
      </c>
      <c r="H233" t="n">
        <v>0</v>
      </c>
      <c r="I233" t="n">
        <v>0</v>
      </c>
      <c r="J233" t="n">
        <v>0</v>
      </c>
      <c r="K233" t="n">
        <v>0</v>
      </c>
      <c r="L233" t="n">
        <v>0</v>
      </c>
      <c r="M233" t="n">
        <v>0</v>
      </c>
      <c r="N233" t="n">
        <v>0</v>
      </c>
      <c r="O233" t="n">
        <v>0</v>
      </c>
      <c r="P233" t="n">
        <v>0</v>
      </c>
      <c r="Q233" t="n">
        <v>0</v>
      </c>
      <c r="R233" s="2" t="inlineStr"/>
    </row>
    <row r="234" ht="15" customHeight="1">
      <c r="A234" t="inlineStr">
        <is>
          <t>A 52299-2023</t>
        </is>
      </c>
      <c r="B234" s="1" t="n">
        <v>45224.61636574074</v>
      </c>
      <c r="C234" s="1" t="n">
        <v>46174</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51042-2024</t>
        </is>
      </c>
      <c r="B235" s="1" t="n">
        <v>45603.4342824074</v>
      </c>
      <c r="C235" s="1" t="n">
        <v>46174</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51037-2024</t>
        </is>
      </c>
      <c r="B236" s="1" t="n">
        <v>45603.43005787037</v>
      </c>
      <c r="C236" s="1" t="n">
        <v>46174</v>
      </c>
      <c r="D236" t="inlineStr">
        <is>
          <t>UPPSALA LÄN</t>
        </is>
      </c>
      <c r="E236" t="inlineStr">
        <is>
          <t>ENKÖPING</t>
        </is>
      </c>
      <c r="G236" t="n">
        <v>5.7</v>
      </c>
      <c r="H236" t="n">
        <v>0</v>
      </c>
      <c r="I236" t="n">
        <v>0</v>
      </c>
      <c r="J236" t="n">
        <v>0</v>
      </c>
      <c r="K236" t="n">
        <v>0</v>
      </c>
      <c r="L236" t="n">
        <v>0</v>
      </c>
      <c r="M236" t="n">
        <v>0</v>
      </c>
      <c r="N236" t="n">
        <v>0</v>
      </c>
      <c r="O236" t="n">
        <v>0</v>
      </c>
      <c r="P236" t="n">
        <v>0</v>
      </c>
      <c r="Q236" t="n">
        <v>0</v>
      </c>
      <c r="R236" s="2" t="inlineStr"/>
    </row>
    <row r="237" ht="15" customHeight="1">
      <c r="A237" t="inlineStr">
        <is>
          <t>A 42756-2025</t>
        </is>
      </c>
      <c r="B237" s="1" t="n">
        <v>45908</v>
      </c>
      <c r="C237" s="1" t="n">
        <v>46174</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22632-2025</t>
        </is>
      </c>
      <c r="B238" s="1" t="n">
        <v>45789.44361111111</v>
      </c>
      <c r="C238" s="1" t="n">
        <v>46174</v>
      </c>
      <c r="D238" t="inlineStr">
        <is>
          <t>UPPSALA LÄN</t>
        </is>
      </c>
      <c r="E238" t="inlineStr">
        <is>
          <t>ENKÖPING</t>
        </is>
      </c>
      <c r="G238" t="n">
        <v>2.1</v>
      </c>
      <c r="H238" t="n">
        <v>0</v>
      </c>
      <c r="I238" t="n">
        <v>0</v>
      </c>
      <c r="J238" t="n">
        <v>0</v>
      </c>
      <c r="K238" t="n">
        <v>0</v>
      </c>
      <c r="L238" t="n">
        <v>0</v>
      </c>
      <c r="M238" t="n">
        <v>0</v>
      </c>
      <c r="N238" t="n">
        <v>0</v>
      </c>
      <c r="O238" t="n">
        <v>0</v>
      </c>
      <c r="P238" t="n">
        <v>0</v>
      </c>
      <c r="Q238" t="n">
        <v>0</v>
      </c>
      <c r="R238" s="2" t="inlineStr"/>
    </row>
    <row r="239" ht="15" customHeight="1">
      <c r="A239" t="inlineStr">
        <is>
          <t>A 5892-2023</t>
        </is>
      </c>
      <c r="B239" s="1" t="n">
        <v>44963.64883101852</v>
      </c>
      <c r="C239" s="1" t="n">
        <v>46174</v>
      </c>
      <c r="D239" t="inlineStr">
        <is>
          <t>UPPSALA LÄN</t>
        </is>
      </c>
      <c r="E239" t="inlineStr">
        <is>
          <t>ENKÖPING</t>
        </is>
      </c>
      <c r="G239" t="n">
        <v>5.5</v>
      </c>
      <c r="H239" t="n">
        <v>0</v>
      </c>
      <c r="I239" t="n">
        <v>0</v>
      </c>
      <c r="J239" t="n">
        <v>0</v>
      </c>
      <c r="K239" t="n">
        <v>0</v>
      </c>
      <c r="L239" t="n">
        <v>0</v>
      </c>
      <c r="M239" t="n">
        <v>0</v>
      </c>
      <c r="N239" t="n">
        <v>0</v>
      </c>
      <c r="O239" t="n">
        <v>0</v>
      </c>
      <c r="P239" t="n">
        <v>0</v>
      </c>
      <c r="Q239" t="n">
        <v>0</v>
      </c>
      <c r="R239" s="2" t="inlineStr"/>
    </row>
    <row r="240" ht="15" customHeight="1">
      <c r="A240" t="inlineStr">
        <is>
          <t>A 671-2022</t>
        </is>
      </c>
      <c r="B240" s="1" t="n">
        <v>44568</v>
      </c>
      <c r="C240" s="1" t="n">
        <v>46174</v>
      </c>
      <c r="D240" t="inlineStr">
        <is>
          <t>UPPSALA LÄN</t>
        </is>
      </c>
      <c r="E240" t="inlineStr">
        <is>
          <t>ENKÖPING</t>
        </is>
      </c>
      <c r="G240" t="n">
        <v>3.5</v>
      </c>
      <c r="H240" t="n">
        <v>0</v>
      </c>
      <c r="I240" t="n">
        <v>0</v>
      </c>
      <c r="J240" t="n">
        <v>0</v>
      </c>
      <c r="K240" t="n">
        <v>0</v>
      </c>
      <c r="L240" t="n">
        <v>0</v>
      </c>
      <c r="M240" t="n">
        <v>0</v>
      </c>
      <c r="N240" t="n">
        <v>0</v>
      </c>
      <c r="O240" t="n">
        <v>0</v>
      </c>
      <c r="P240" t="n">
        <v>0</v>
      </c>
      <c r="Q240" t="n">
        <v>0</v>
      </c>
      <c r="R240" s="2" t="inlineStr"/>
    </row>
    <row r="241" ht="15" customHeight="1">
      <c r="A241" t="inlineStr">
        <is>
          <t>A 30634-2022</t>
        </is>
      </c>
      <c r="B241" s="1" t="n">
        <v>44763.45711805556</v>
      </c>
      <c r="C241" s="1" t="n">
        <v>46174</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43488-2023</t>
        </is>
      </c>
      <c r="B242" s="1" t="n">
        <v>45181</v>
      </c>
      <c r="C242" s="1" t="n">
        <v>46174</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18259-2025</t>
        </is>
      </c>
      <c r="B243" s="1" t="n">
        <v>45762</v>
      </c>
      <c r="C243" s="1" t="n">
        <v>46174</v>
      </c>
      <c r="D243" t="inlineStr">
        <is>
          <t>UPPSALA LÄN</t>
        </is>
      </c>
      <c r="E243" t="inlineStr">
        <is>
          <t>ENKÖPING</t>
        </is>
      </c>
      <c r="G243" t="n">
        <v>1.6</v>
      </c>
      <c r="H243" t="n">
        <v>0</v>
      </c>
      <c r="I243" t="n">
        <v>0</v>
      </c>
      <c r="J243" t="n">
        <v>0</v>
      </c>
      <c r="K243" t="n">
        <v>0</v>
      </c>
      <c r="L243" t="n">
        <v>0</v>
      </c>
      <c r="M243" t="n">
        <v>0</v>
      </c>
      <c r="N243" t="n">
        <v>0</v>
      </c>
      <c r="O243" t="n">
        <v>0</v>
      </c>
      <c r="P243" t="n">
        <v>0</v>
      </c>
      <c r="Q243" t="n">
        <v>0</v>
      </c>
      <c r="R243" s="2" t="inlineStr"/>
    </row>
    <row r="244" ht="15" customHeight="1">
      <c r="A244" t="inlineStr">
        <is>
          <t>A 35052-2024</t>
        </is>
      </c>
      <c r="B244" s="1" t="n">
        <v>45527.6516087963</v>
      </c>
      <c r="C244" s="1" t="n">
        <v>46174</v>
      </c>
      <c r="D244" t="inlineStr">
        <is>
          <t>UPPSALA LÄN</t>
        </is>
      </c>
      <c r="E244" t="inlineStr">
        <is>
          <t>ENKÖPING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51027-2024</t>
        </is>
      </c>
      <c r="B245" s="1" t="n">
        <v>45603</v>
      </c>
      <c r="C245" s="1" t="n">
        <v>46174</v>
      </c>
      <c r="D245" t="inlineStr">
        <is>
          <t>UPPSALA LÄN</t>
        </is>
      </c>
      <c r="E245" t="inlineStr">
        <is>
          <t>ENKÖPING</t>
        </is>
      </c>
      <c r="G245" t="n">
        <v>3.5</v>
      </c>
      <c r="H245" t="n">
        <v>0</v>
      </c>
      <c r="I245" t="n">
        <v>0</v>
      </c>
      <c r="J245" t="n">
        <v>0</v>
      </c>
      <c r="K245" t="n">
        <v>0</v>
      </c>
      <c r="L245" t="n">
        <v>0</v>
      </c>
      <c r="M245" t="n">
        <v>0</v>
      </c>
      <c r="N245" t="n">
        <v>0</v>
      </c>
      <c r="O245" t="n">
        <v>0</v>
      </c>
      <c r="P245" t="n">
        <v>0</v>
      </c>
      <c r="Q245" t="n">
        <v>0</v>
      </c>
      <c r="R245" s="2" t="inlineStr"/>
    </row>
    <row r="246" ht="15" customHeight="1">
      <c r="A246" t="inlineStr">
        <is>
          <t>A 9171-2024</t>
        </is>
      </c>
      <c r="B246" s="1" t="n">
        <v>45358</v>
      </c>
      <c r="C246" s="1" t="n">
        <v>46174</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14004-2023</t>
        </is>
      </c>
      <c r="B247" s="1" t="n">
        <v>45008</v>
      </c>
      <c r="C247" s="1" t="n">
        <v>46174</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43999-2025</t>
        </is>
      </c>
      <c r="B248" s="1" t="n">
        <v>45915.45158564814</v>
      </c>
      <c r="C248" s="1" t="n">
        <v>46174</v>
      </c>
      <c r="D248" t="inlineStr">
        <is>
          <t>UPPSALA LÄN</t>
        </is>
      </c>
      <c r="E248" t="inlineStr">
        <is>
          <t>ENKÖPING</t>
        </is>
      </c>
      <c r="G248" t="n">
        <v>4.1</v>
      </c>
      <c r="H248" t="n">
        <v>0</v>
      </c>
      <c r="I248" t="n">
        <v>0</v>
      </c>
      <c r="J248" t="n">
        <v>0</v>
      </c>
      <c r="K248" t="n">
        <v>0</v>
      </c>
      <c r="L248" t="n">
        <v>0</v>
      </c>
      <c r="M248" t="n">
        <v>0</v>
      </c>
      <c r="N248" t="n">
        <v>0</v>
      </c>
      <c r="O248" t="n">
        <v>0</v>
      </c>
      <c r="P248" t="n">
        <v>0</v>
      </c>
      <c r="Q248" t="n">
        <v>0</v>
      </c>
      <c r="R248" s="2" t="inlineStr"/>
    </row>
    <row r="249" ht="15" customHeight="1">
      <c r="A249" t="inlineStr">
        <is>
          <t>A 43230-2023</t>
        </is>
      </c>
      <c r="B249" s="1" t="n">
        <v>45183</v>
      </c>
      <c r="C249" s="1" t="n">
        <v>46174</v>
      </c>
      <c r="D249" t="inlineStr">
        <is>
          <t>UPPSALA LÄN</t>
        </is>
      </c>
      <c r="E249" t="inlineStr">
        <is>
          <t>ENKÖPING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45362-2022</t>
        </is>
      </c>
      <c r="B250" s="1" t="n">
        <v>44844.62366898148</v>
      </c>
      <c r="C250" s="1" t="n">
        <v>46174</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72840-2021</t>
        </is>
      </c>
      <c r="B251" s="1" t="n">
        <v>44547</v>
      </c>
      <c r="C251" s="1" t="n">
        <v>46174</v>
      </c>
      <c r="D251" t="inlineStr">
        <is>
          <t>UPPSALA LÄN</t>
        </is>
      </c>
      <c r="E251" t="inlineStr">
        <is>
          <t>ENKÖPING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52005-2024</t>
        </is>
      </c>
      <c r="B252" s="1" t="n">
        <v>45607.7627662037</v>
      </c>
      <c r="C252" s="1" t="n">
        <v>46174</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1960-2022</t>
        </is>
      </c>
      <c r="B253" s="1" t="n">
        <v>44575</v>
      </c>
      <c r="C253" s="1" t="n">
        <v>46174</v>
      </c>
      <c r="D253" t="inlineStr">
        <is>
          <t>UPPSALA LÄN</t>
        </is>
      </c>
      <c r="E253" t="inlineStr">
        <is>
          <t>ENKÖPING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51008-2024</t>
        </is>
      </c>
      <c r="B254" s="1" t="n">
        <v>45603.39041666667</v>
      </c>
      <c r="C254" s="1" t="n">
        <v>46174</v>
      </c>
      <c r="D254" t="inlineStr">
        <is>
          <t>UPPSALA LÄN</t>
        </is>
      </c>
      <c r="E254" t="inlineStr">
        <is>
          <t>ENKÖPING</t>
        </is>
      </c>
      <c r="G254" t="n">
        <v>2.4</v>
      </c>
      <c r="H254" t="n">
        <v>0</v>
      </c>
      <c r="I254" t="n">
        <v>0</v>
      </c>
      <c r="J254" t="n">
        <v>0</v>
      </c>
      <c r="K254" t="n">
        <v>0</v>
      </c>
      <c r="L254" t="n">
        <v>0</v>
      </c>
      <c r="M254" t="n">
        <v>0</v>
      </c>
      <c r="N254" t="n">
        <v>0</v>
      </c>
      <c r="O254" t="n">
        <v>0</v>
      </c>
      <c r="P254" t="n">
        <v>0</v>
      </c>
      <c r="Q254" t="n">
        <v>0</v>
      </c>
      <c r="R254" s="2" t="inlineStr"/>
    </row>
    <row r="255" ht="15" customHeight="1">
      <c r="A255" t="inlineStr">
        <is>
          <t>A 44419-2025</t>
        </is>
      </c>
      <c r="B255" s="1" t="n">
        <v>45916.54671296296</v>
      </c>
      <c r="C255" s="1" t="n">
        <v>46174</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32477-2025</t>
        </is>
      </c>
      <c r="B256" s="1" t="n">
        <v>45838.43098379629</v>
      </c>
      <c r="C256" s="1" t="n">
        <v>46174</v>
      </c>
      <c r="D256" t="inlineStr">
        <is>
          <t>UPPSALA LÄN</t>
        </is>
      </c>
      <c r="E256" t="inlineStr">
        <is>
          <t>ENKÖPING</t>
        </is>
      </c>
      <c r="G256" t="n">
        <v>2.7</v>
      </c>
      <c r="H256" t="n">
        <v>0</v>
      </c>
      <c r="I256" t="n">
        <v>0</v>
      </c>
      <c r="J256" t="n">
        <v>0</v>
      </c>
      <c r="K256" t="n">
        <v>0</v>
      </c>
      <c r="L256" t="n">
        <v>0</v>
      </c>
      <c r="M256" t="n">
        <v>0</v>
      </c>
      <c r="N256" t="n">
        <v>0</v>
      </c>
      <c r="O256" t="n">
        <v>0</v>
      </c>
      <c r="P256" t="n">
        <v>0</v>
      </c>
      <c r="Q256" t="n">
        <v>0</v>
      </c>
      <c r="R256" s="2" t="inlineStr"/>
    </row>
    <row r="257" ht="15" customHeight="1">
      <c r="A257" t="inlineStr">
        <is>
          <t>A 49627-2024</t>
        </is>
      </c>
      <c r="B257" s="1" t="n">
        <v>45596.59140046296</v>
      </c>
      <c r="C257" s="1" t="n">
        <v>46174</v>
      </c>
      <c r="D257" t="inlineStr">
        <is>
          <t>UPPSALA LÄN</t>
        </is>
      </c>
      <c r="E257" t="inlineStr">
        <is>
          <t>ENKÖPING</t>
        </is>
      </c>
      <c r="G257" t="n">
        <v>0.4</v>
      </c>
      <c r="H257" t="n">
        <v>0</v>
      </c>
      <c r="I257" t="n">
        <v>0</v>
      </c>
      <c r="J257" t="n">
        <v>0</v>
      </c>
      <c r="K257" t="n">
        <v>0</v>
      </c>
      <c r="L257" t="n">
        <v>0</v>
      </c>
      <c r="M257" t="n">
        <v>0</v>
      </c>
      <c r="N257" t="n">
        <v>0</v>
      </c>
      <c r="O257" t="n">
        <v>0</v>
      </c>
      <c r="P257" t="n">
        <v>0</v>
      </c>
      <c r="Q257" t="n">
        <v>0</v>
      </c>
      <c r="R257" s="2" t="inlineStr"/>
    </row>
    <row r="258" ht="15" customHeight="1">
      <c r="A258" t="inlineStr">
        <is>
          <t>A 57998-2024</t>
        </is>
      </c>
      <c r="B258" s="1" t="n">
        <v>45631</v>
      </c>
      <c r="C258" s="1" t="n">
        <v>46174</v>
      </c>
      <c r="D258" t="inlineStr">
        <is>
          <t>UPPSALA LÄN</t>
        </is>
      </c>
      <c r="E258" t="inlineStr">
        <is>
          <t>ENKÖPING</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34617-2022</t>
        </is>
      </c>
      <c r="B259" s="1" t="n">
        <v>44795</v>
      </c>
      <c r="C259" s="1" t="n">
        <v>46174</v>
      </c>
      <c r="D259" t="inlineStr">
        <is>
          <t>UPPSALA LÄN</t>
        </is>
      </c>
      <c r="E259" t="inlineStr">
        <is>
          <t>ENKÖPING</t>
        </is>
      </c>
      <c r="G259" t="n">
        <v>0.7</v>
      </c>
      <c r="H259" t="n">
        <v>0</v>
      </c>
      <c r="I259" t="n">
        <v>0</v>
      </c>
      <c r="J259" t="n">
        <v>0</v>
      </c>
      <c r="K259" t="n">
        <v>0</v>
      </c>
      <c r="L259" t="n">
        <v>0</v>
      </c>
      <c r="M259" t="n">
        <v>0</v>
      </c>
      <c r="N259" t="n">
        <v>0</v>
      </c>
      <c r="O259" t="n">
        <v>0</v>
      </c>
      <c r="P259" t="n">
        <v>0</v>
      </c>
      <c r="Q259" t="n">
        <v>0</v>
      </c>
      <c r="R259" s="2" t="inlineStr"/>
    </row>
    <row r="260" ht="15" customHeight="1">
      <c r="A260" t="inlineStr">
        <is>
          <t>A 1992-2022</t>
        </is>
      </c>
      <c r="B260" s="1" t="n">
        <v>44575.56153935185</v>
      </c>
      <c r="C260" s="1" t="n">
        <v>46174</v>
      </c>
      <c r="D260" t="inlineStr">
        <is>
          <t>UPPSALA LÄN</t>
        </is>
      </c>
      <c r="E260" t="inlineStr">
        <is>
          <t>ENKÖPING</t>
        </is>
      </c>
      <c r="G260" t="n">
        <v>2.8</v>
      </c>
      <c r="H260" t="n">
        <v>0</v>
      </c>
      <c r="I260" t="n">
        <v>0</v>
      </c>
      <c r="J260" t="n">
        <v>0</v>
      </c>
      <c r="K260" t="n">
        <v>0</v>
      </c>
      <c r="L260" t="n">
        <v>0</v>
      </c>
      <c r="M260" t="n">
        <v>0</v>
      </c>
      <c r="N260" t="n">
        <v>0</v>
      </c>
      <c r="O260" t="n">
        <v>0</v>
      </c>
      <c r="P260" t="n">
        <v>0</v>
      </c>
      <c r="Q260" t="n">
        <v>0</v>
      </c>
      <c r="R260" s="2" t="inlineStr"/>
    </row>
    <row r="261" ht="15" customHeight="1">
      <c r="A261" t="inlineStr">
        <is>
          <t>A 9667-2024</t>
        </is>
      </c>
      <c r="B261" s="1" t="n">
        <v>45362.45130787037</v>
      </c>
      <c r="C261" s="1" t="n">
        <v>46174</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1695-2025</t>
        </is>
      </c>
      <c r="B262" s="1" t="n">
        <v>45670</v>
      </c>
      <c r="C262" s="1" t="n">
        <v>46174</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35645-2021</t>
        </is>
      </c>
      <c r="B263" s="1" t="n">
        <v>44386.42</v>
      </c>
      <c r="C263" s="1" t="n">
        <v>46174</v>
      </c>
      <c r="D263" t="inlineStr">
        <is>
          <t>UPPSALA LÄN</t>
        </is>
      </c>
      <c r="E263" t="inlineStr">
        <is>
          <t>ENKÖPING</t>
        </is>
      </c>
      <c r="G263" t="n">
        <v>2.7</v>
      </c>
      <c r="H263" t="n">
        <v>0</v>
      </c>
      <c r="I263" t="n">
        <v>0</v>
      </c>
      <c r="J263" t="n">
        <v>0</v>
      </c>
      <c r="K263" t="n">
        <v>0</v>
      </c>
      <c r="L263" t="n">
        <v>0</v>
      </c>
      <c r="M263" t="n">
        <v>0</v>
      </c>
      <c r="N263" t="n">
        <v>0</v>
      </c>
      <c r="O263" t="n">
        <v>0</v>
      </c>
      <c r="P263" t="n">
        <v>0</v>
      </c>
      <c r="Q263" t="n">
        <v>0</v>
      </c>
      <c r="R263" s="2" t="inlineStr"/>
    </row>
    <row r="264" ht="15" customHeight="1">
      <c r="A264" t="inlineStr">
        <is>
          <t>A 54357-2023</t>
        </is>
      </c>
      <c r="B264" s="1" t="n">
        <v>45225</v>
      </c>
      <c r="C264" s="1" t="n">
        <v>46174</v>
      </c>
      <c r="D264" t="inlineStr">
        <is>
          <t>UPPSALA LÄN</t>
        </is>
      </c>
      <c r="E264" t="inlineStr">
        <is>
          <t>ENKÖPING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24962-2023</t>
        </is>
      </c>
      <c r="B265" s="1" t="n">
        <v>45085.60123842592</v>
      </c>
      <c r="C265" s="1" t="n">
        <v>46174</v>
      </c>
      <c r="D265" t="inlineStr">
        <is>
          <t>UPPSALA LÄN</t>
        </is>
      </c>
      <c r="E265" t="inlineStr">
        <is>
          <t>ENKÖPING</t>
        </is>
      </c>
      <c r="G265" t="n">
        <v>2.8</v>
      </c>
      <c r="H265" t="n">
        <v>0</v>
      </c>
      <c r="I265" t="n">
        <v>0</v>
      </c>
      <c r="J265" t="n">
        <v>0</v>
      </c>
      <c r="K265" t="n">
        <v>0</v>
      </c>
      <c r="L265" t="n">
        <v>0</v>
      </c>
      <c r="M265" t="n">
        <v>0</v>
      </c>
      <c r="N265" t="n">
        <v>0</v>
      </c>
      <c r="O265" t="n">
        <v>0</v>
      </c>
      <c r="P265" t="n">
        <v>0</v>
      </c>
      <c r="Q265" t="n">
        <v>0</v>
      </c>
      <c r="R265" s="2" t="inlineStr"/>
    </row>
    <row r="266" ht="15" customHeight="1">
      <c r="A266" t="inlineStr">
        <is>
          <t>A 15711-2025</t>
        </is>
      </c>
      <c r="B266" s="1" t="n">
        <v>45748</v>
      </c>
      <c r="C266" s="1" t="n">
        <v>46174</v>
      </c>
      <c r="D266" t="inlineStr">
        <is>
          <t>UPPSALA LÄN</t>
        </is>
      </c>
      <c r="E266" t="inlineStr">
        <is>
          <t>ENKÖPING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58961-2024</t>
        </is>
      </c>
      <c r="B267" s="1" t="n">
        <v>45636.585</v>
      </c>
      <c r="C267" s="1" t="n">
        <v>46174</v>
      </c>
      <c r="D267" t="inlineStr">
        <is>
          <t>UPPSALA LÄN</t>
        </is>
      </c>
      <c r="E267" t="inlineStr">
        <is>
          <t>ENKÖPING</t>
        </is>
      </c>
      <c r="G267" t="n">
        <v>4</v>
      </c>
      <c r="H267" t="n">
        <v>0</v>
      </c>
      <c r="I267" t="n">
        <v>0</v>
      </c>
      <c r="J267" t="n">
        <v>0</v>
      </c>
      <c r="K267" t="n">
        <v>0</v>
      </c>
      <c r="L267" t="n">
        <v>0</v>
      </c>
      <c r="M267" t="n">
        <v>0</v>
      </c>
      <c r="N267" t="n">
        <v>0</v>
      </c>
      <c r="O267" t="n">
        <v>0</v>
      </c>
      <c r="P267" t="n">
        <v>0</v>
      </c>
      <c r="Q267" t="n">
        <v>0</v>
      </c>
      <c r="R267" s="2" t="inlineStr"/>
    </row>
    <row r="268" ht="15" customHeight="1">
      <c r="A268" t="inlineStr">
        <is>
          <t>A 28318-2024</t>
        </is>
      </c>
      <c r="B268" s="1" t="n">
        <v>45477</v>
      </c>
      <c r="C268" s="1" t="n">
        <v>46174</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45755-2025</t>
        </is>
      </c>
      <c r="B269" s="1" t="n">
        <v>45923.50240740741</v>
      </c>
      <c r="C269" s="1" t="n">
        <v>46174</v>
      </c>
      <c r="D269" t="inlineStr">
        <is>
          <t>UPPSALA LÄN</t>
        </is>
      </c>
      <c r="E269" t="inlineStr">
        <is>
          <t>ENKÖPING</t>
        </is>
      </c>
      <c r="G269" t="n">
        <v>2.2</v>
      </c>
      <c r="H269" t="n">
        <v>0</v>
      </c>
      <c r="I269" t="n">
        <v>0</v>
      </c>
      <c r="J269" t="n">
        <v>0</v>
      </c>
      <c r="K269" t="n">
        <v>0</v>
      </c>
      <c r="L269" t="n">
        <v>0</v>
      </c>
      <c r="M269" t="n">
        <v>0</v>
      </c>
      <c r="N269" t="n">
        <v>0</v>
      </c>
      <c r="O269" t="n">
        <v>0</v>
      </c>
      <c r="P269" t="n">
        <v>0</v>
      </c>
      <c r="Q269" t="n">
        <v>0</v>
      </c>
      <c r="R269" s="2" t="inlineStr"/>
    </row>
    <row r="270" ht="15" customHeight="1">
      <c r="A270" t="inlineStr">
        <is>
          <t>A 53595-2023</t>
        </is>
      </c>
      <c r="B270" s="1" t="n">
        <v>45223</v>
      </c>
      <c r="C270" s="1" t="n">
        <v>46174</v>
      </c>
      <c r="D270" t="inlineStr">
        <is>
          <t>UPPSALA LÄN</t>
        </is>
      </c>
      <c r="E270" t="inlineStr">
        <is>
          <t>ENKÖPING</t>
        </is>
      </c>
      <c r="G270" t="n">
        <v>2.6</v>
      </c>
      <c r="H270" t="n">
        <v>0</v>
      </c>
      <c r="I270" t="n">
        <v>0</v>
      </c>
      <c r="J270" t="n">
        <v>0</v>
      </c>
      <c r="K270" t="n">
        <v>0</v>
      </c>
      <c r="L270" t="n">
        <v>0</v>
      </c>
      <c r="M270" t="n">
        <v>0</v>
      </c>
      <c r="N270" t="n">
        <v>0</v>
      </c>
      <c r="O270" t="n">
        <v>0</v>
      </c>
      <c r="P270" t="n">
        <v>0</v>
      </c>
      <c r="Q270" t="n">
        <v>0</v>
      </c>
      <c r="R270" s="2" t="inlineStr"/>
    </row>
    <row r="271" ht="15" customHeight="1">
      <c r="A271" t="inlineStr">
        <is>
          <t>A 34989-2025</t>
        </is>
      </c>
      <c r="B271" s="1" t="n">
        <v>45849</v>
      </c>
      <c r="C271" s="1" t="n">
        <v>46174</v>
      </c>
      <c r="D271" t="inlineStr">
        <is>
          <t>UPPSALA LÄN</t>
        </is>
      </c>
      <c r="E271" t="inlineStr">
        <is>
          <t>ENKÖPING</t>
        </is>
      </c>
      <c r="G271" t="n">
        <v>2.4</v>
      </c>
      <c r="H271" t="n">
        <v>0</v>
      </c>
      <c r="I271" t="n">
        <v>0</v>
      </c>
      <c r="J271" t="n">
        <v>0</v>
      </c>
      <c r="K271" t="n">
        <v>0</v>
      </c>
      <c r="L271" t="n">
        <v>0</v>
      </c>
      <c r="M271" t="n">
        <v>0</v>
      </c>
      <c r="N271" t="n">
        <v>0</v>
      </c>
      <c r="O271" t="n">
        <v>0</v>
      </c>
      <c r="P271" t="n">
        <v>0</v>
      </c>
      <c r="Q271" t="n">
        <v>0</v>
      </c>
      <c r="R271" s="2" t="inlineStr"/>
    </row>
    <row r="272" ht="15" customHeight="1">
      <c r="A272" t="inlineStr">
        <is>
          <t>A 69344-2021</t>
        </is>
      </c>
      <c r="B272" s="1" t="n">
        <v>44531</v>
      </c>
      <c r="C272" s="1" t="n">
        <v>46174</v>
      </c>
      <c r="D272" t="inlineStr">
        <is>
          <t>UPPSALA LÄN</t>
        </is>
      </c>
      <c r="E272" t="inlineStr">
        <is>
          <t>ENKÖPING</t>
        </is>
      </c>
      <c r="G272" t="n">
        <v>2.9</v>
      </c>
      <c r="H272" t="n">
        <v>0</v>
      </c>
      <c r="I272" t="n">
        <v>0</v>
      </c>
      <c r="J272" t="n">
        <v>0</v>
      </c>
      <c r="K272" t="n">
        <v>0</v>
      </c>
      <c r="L272" t="n">
        <v>0</v>
      </c>
      <c r="M272" t="n">
        <v>0</v>
      </c>
      <c r="N272" t="n">
        <v>0</v>
      </c>
      <c r="O272" t="n">
        <v>0</v>
      </c>
      <c r="P272" t="n">
        <v>0</v>
      </c>
      <c r="Q272" t="n">
        <v>0</v>
      </c>
      <c r="R272" s="2" t="inlineStr"/>
    </row>
    <row r="273" ht="15" customHeight="1">
      <c r="A273" t="inlineStr">
        <is>
          <t>A 34990-2025</t>
        </is>
      </c>
      <c r="B273" s="1" t="n">
        <v>45849.78916666667</v>
      </c>
      <c r="C273" s="1" t="n">
        <v>46174</v>
      </c>
      <c r="D273" t="inlineStr">
        <is>
          <t>UPPSALA LÄN</t>
        </is>
      </c>
      <c r="E273" t="inlineStr">
        <is>
          <t>ENKÖPING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15893-2024</t>
        </is>
      </c>
      <c r="B274" s="1" t="n">
        <v>45405</v>
      </c>
      <c r="C274" s="1" t="n">
        <v>46174</v>
      </c>
      <c r="D274" t="inlineStr">
        <is>
          <t>UPPSALA LÄN</t>
        </is>
      </c>
      <c r="E274" t="inlineStr">
        <is>
          <t>ENKÖPING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18028-2023</t>
        </is>
      </c>
      <c r="B275" s="1" t="n">
        <v>45040</v>
      </c>
      <c r="C275" s="1" t="n">
        <v>46174</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51524-2022</t>
        </is>
      </c>
      <c r="B276" s="1" t="n">
        <v>44869</v>
      </c>
      <c r="C276" s="1" t="n">
        <v>46174</v>
      </c>
      <c r="D276" t="inlineStr">
        <is>
          <t>UPPSALA LÄN</t>
        </is>
      </c>
      <c r="E276" t="inlineStr">
        <is>
          <t>ENKÖPING</t>
        </is>
      </c>
      <c r="G276" t="n">
        <v>6.6</v>
      </c>
      <c r="H276" t="n">
        <v>0</v>
      </c>
      <c r="I276" t="n">
        <v>0</v>
      </c>
      <c r="J276" t="n">
        <v>0</v>
      </c>
      <c r="K276" t="n">
        <v>0</v>
      </c>
      <c r="L276" t="n">
        <v>0</v>
      </c>
      <c r="M276" t="n">
        <v>0</v>
      </c>
      <c r="N276" t="n">
        <v>0</v>
      </c>
      <c r="O276" t="n">
        <v>0</v>
      </c>
      <c r="P276" t="n">
        <v>0</v>
      </c>
      <c r="Q276" t="n">
        <v>0</v>
      </c>
      <c r="R276" s="2" t="inlineStr"/>
    </row>
    <row r="277" ht="15" customHeight="1">
      <c r="A277" t="inlineStr">
        <is>
          <t>A 46940-2025</t>
        </is>
      </c>
      <c r="B277" s="1" t="n">
        <v>45929.45483796296</v>
      </c>
      <c r="C277" s="1" t="n">
        <v>46174</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46103-2023</t>
        </is>
      </c>
      <c r="B278" s="1" t="n">
        <v>45190</v>
      </c>
      <c r="C278" s="1" t="n">
        <v>46174</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46590-2025</t>
        </is>
      </c>
      <c r="B279" s="1" t="n">
        <v>45926.39542824074</v>
      </c>
      <c r="C279" s="1" t="n">
        <v>46174</v>
      </c>
      <c r="D279" t="inlineStr">
        <is>
          <t>UPPSALA LÄN</t>
        </is>
      </c>
      <c r="E279" t="inlineStr">
        <is>
          <t>ENKÖPING</t>
        </is>
      </c>
      <c r="G279" t="n">
        <v>2.7</v>
      </c>
      <c r="H279" t="n">
        <v>0</v>
      </c>
      <c r="I279" t="n">
        <v>0</v>
      </c>
      <c r="J279" t="n">
        <v>0</v>
      </c>
      <c r="K279" t="n">
        <v>0</v>
      </c>
      <c r="L279" t="n">
        <v>0</v>
      </c>
      <c r="M279" t="n">
        <v>0</v>
      </c>
      <c r="N279" t="n">
        <v>0</v>
      </c>
      <c r="O279" t="n">
        <v>0</v>
      </c>
      <c r="P279" t="n">
        <v>0</v>
      </c>
      <c r="Q279" t="n">
        <v>0</v>
      </c>
      <c r="R279" s="2" t="inlineStr"/>
    </row>
    <row r="280" ht="15" customHeight="1">
      <c r="A280" t="inlineStr">
        <is>
          <t>A 41737-2022</t>
        </is>
      </c>
      <c r="B280" s="1" t="n">
        <v>44827.63826388889</v>
      </c>
      <c r="C280" s="1" t="n">
        <v>46174</v>
      </c>
      <c r="D280" t="inlineStr">
        <is>
          <t>UPPSALA LÄN</t>
        </is>
      </c>
      <c r="E280" t="inlineStr">
        <is>
          <t>ENKÖPING</t>
        </is>
      </c>
      <c r="G280" t="n">
        <v>1.5</v>
      </c>
      <c r="H280" t="n">
        <v>0</v>
      </c>
      <c r="I280" t="n">
        <v>0</v>
      </c>
      <c r="J280" t="n">
        <v>0</v>
      </c>
      <c r="K280" t="n">
        <v>0</v>
      </c>
      <c r="L280" t="n">
        <v>0</v>
      </c>
      <c r="M280" t="n">
        <v>0</v>
      </c>
      <c r="N280" t="n">
        <v>0</v>
      </c>
      <c r="O280" t="n">
        <v>0</v>
      </c>
      <c r="P280" t="n">
        <v>0</v>
      </c>
      <c r="Q280" t="n">
        <v>0</v>
      </c>
      <c r="R280" s="2" t="inlineStr"/>
    </row>
    <row r="281" ht="15" customHeight="1">
      <c r="A281" t="inlineStr">
        <is>
          <t>A 8137-2025</t>
        </is>
      </c>
      <c r="B281" s="1" t="n">
        <v>45707.8561574074</v>
      </c>
      <c r="C281" s="1" t="n">
        <v>46174</v>
      </c>
      <c r="D281" t="inlineStr">
        <is>
          <t>UPPSALA LÄN</t>
        </is>
      </c>
      <c r="E281" t="inlineStr">
        <is>
          <t>ENKÖPING</t>
        </is>
      </c>
      <c r="G281" t="n">
        <v>0.4</v>
      </c>
      <c r="H281" t="n">
        <v>0</v>
      </c>
      <c r="I281" t="n">
        <v>0</v>
      </c>
      <c r="J281" t="n">
        <v>0</v>
      </c>
      <c r="K281" t="n">
        <v>0</v>
      </c>
      <c r="L281" t="n">
        <v>0</v>
      </c>
      <c r="M281" t="n">
        <v>0</v>
      </c>
      <c r="N281" t="n">
        <v>0</v>
      </c>
      <c r="O281" t="n">
        <v>0</v>
      </c>
      <c r="P281" t="n">
        <v>0</v>
      </c>
      <c r="Q281" t="n">
        <v>0</v>
      </c>
      <c r="R281" s="2" t="inlineStr"/>
    </row>
    <row r="282" ht="15" customHeight="1">
      <c r="A282" t="inlineStr">
        <is>
          <t>A 48843-2023</t>
        </is>
      </c>
      <c r="B282" s="1" t="n">
        <v>45209</v>
      </c>
      <c r="C282" s="1" t="n">
        <v>46174</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33670-2024</t>
        </is>
      </c>
      <c r="B283" s="1" t="n">
        <v>45520</v>
      </c>
      <c r="C283" s="1" t="n">
        <v>46174</v>
      </c>
      <c r="D283" t="inlineStr">
        <is>
          <t>UPPSALA LÄN</t>
        </is>
      </c>
      <c r="E283" t="inlineStr">
        <is>
          <t>ENKÖPING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23301-2024</t>
        </is>
      </c>
      <c r="B284" s="1" t="n">
        <v>45453.4396412037</v>
      </c>
      <c r="C284" s="1" t="n">
        <v>46174</v>
      </c>
      <c r="D284" t="inlineStr">
        <is>
          <t>UPPSALA LÄN</t>
        </is>
      </c>
      <c r="E284" t="inlineStr">
        <is>
          <t>ENKÖPING</t>
        </is>
      </c>
      <c r="G284" t="n">
        <v>4.3</v>
      </c>
      <c r="H284" t="n">
        <v>0</v>
      </c>
      <c r="I284" t="n">
        <v>0</v>
      </c>
      <c r="J284" t="n">
        <v>0</v>
      </c>
      <c r="K284" t="n">
        <v>0</v>
      </c>
      <c r="L284" t="n">
        <v>0</v>
      </c>
      <c r="M284" t="n">
        <v>0</v>
      </c>
      <c r="N284" t="n">
        <v>0</v>
      </c>
      <c r="O284" t="n">
        <v>0</v>
      </c>
      <c r="P284" t="n">
        <v>0</v>
      </c>
      <c r="Q284" t="n">
        <v>0</v>
      </c>
      <c r="R284" s="2" t="inlineStr"/>
    </row>
    <row r="285" ht="15" customHeight="1">
      <c r="A285" t="inlineStr">
        <is>
          <t>A 52380-2024</t>
        </is>
      </c>
      <c r="B285" s="1" t="n">
        <v>45609</v>
      </c>
      <c r="C285" s="1" t="n">
        <v>46174</v>
      </c>
      <c r="D285" t="inlineStr">
        <is>
          <t>UPPSALA LÄN</t>
        </is>
      </c>
      <c r="E285" t="inlineStr">
        <is>
          <t>ENKÖPING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47441-2025</t>
        </is>
      </c>
      <c r="B286" s="1" t="n">
        <v>45930.63986111111</v>
      </c>
      <c r="C286" s="1" t="n">
        <v>46174</v>
      </c>
      <c r="D286" t="inlineStr">
        <is>
          <t>UPPSALA LÄN</t>
        </is>
      </c>
      <c r="E286" t="inlineStr">
        <is>
          <t>ENKÖPING</t>
        </is>
      </c>
      <c r="F286" t="inlineStr">
        <is>
          <t>Allmännings- och besparingsskogar</t>
        </is>
      </c>
      <c r="G286" t="n">
        <v>11.5</v>
      </c>
      <c r="H286" t="n">
        <v>0</v>
      </c>
      <c r="I286" t="n">
        <v>0</v>
      </c>
      <c r="J286" t="n">
        <v>0</v>
      </c>
      <c r="K286" t="n">
        <v>0</v>
      </c>
      <c r="L286" t="n">
        <v>0</v>
      </c>
      <c r="M286" t="n">
        <v>0</v>
      </c>
      <c r="N286" t="n">
        <v>0</v>
      </c>
      <c r="O286" t="n">
        <v>0</v>
      </c>
      <c r="P286" t="n">
        <v>0</v>
      </c>
      <c r="Q286" t="n">
        <v>0</v>
      </c>
      <c r="R286" s="2" t="inlineStr"/>
    </row>
    <row r="287" ht="15" customHeight="1">
      <c r="A287" t="inlineStr">
        <is>
          <t>A 19376-2024</t>
        </is>
      </c>
      <c r="B287" s="1" t="n">
        <v>45429</v>
      </c>
      <c r="C287" s="1" t="n">
        <v>46174</v>
      </c>
      <c r="D287" t="inlineStr">
        <is>
          <t>UPPSALA LÄN</t>
        </is>
      </c>
      <c r="E287" t="inlineStr">
        <is>
          <t>ENKÖPING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30098-2024</t>
        </is>
      </c>
      <c r="B288" s="1" t="n">
        <v>45489.41609953704</v>
      </c>
      <c r="C288" s="1" t="n">
        <v>46174</v>
      </c>
      <c r="D288" t="inlineStr">
        <is>
          <t>UPPSALA LÄN</t>
        </is>
      </c>
      <c r="E288" t="inlineStr">
        <is>
          <t>ENKÖPING</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34735-2023</t>
        </is>
      </c>
      <c r="B289" s="1" t="n">
        <v>45139</v>
      </c>
      <c r="C289" s="1" t="n">
        <v>46174</v>
      </c>
      <c r="D289" t="inlineStr">
        <is>
          <t>UPPSALA LÄN</t>
        </is>
      </c>
      <c r="E289" t="inlineStr">
        <is>
          <t>ENKÖPING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57328-2024</t>
        </is>
      </c>
      <c r="B290" s="1" t="n">
        <v>45629.62798611111</v>
      </c>
      <c r="C290" s="1" t="n">
        <v>46174</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39439-2025</t>
        </is>
      </c>
      <c r="B291" s="1" t="n">
        <v>45889</v>
      </c>
      <c r="C291" s="1" t="n">
        <v>46174</v>
      </c>
      <c r="D291" t="inlineStr">
        <is>
          <t>UPPSALA LÄN</t>
        </is>
      </c>
      <c r="E291" t="inlineStr">
        <is>
          <t>ENKÖPING</t>
        </is>
      </c>
      <c r="G291" t="n">
        <v>0.4</v>
      </c>
      <c r="H291" t="n">
        <v>0</v>
      </c>
      <c r="I291" t="n">
        <v>0</v>
      </c>
      <c r="J291" t="n">
        <v>0</v>
      </c>
      <c r="K291" t="n">
        <v>0</v>
      </c>
      <c r="L291" t="n">
        <v>0</v>
      </c>
      <c r="M291" t="n">
        <v>0</v>
      </c>
      <c r="N291" t="n">
        <v>0</v>
      </c>
      <c r="O291" t="n">
        <v>0</v>
      </c>
      <c r="P291" t="n">
        <v>0</v>
      </c>
      <c r="Q291" t="n">
        <v>0</v>
      </c>
      <c r="R291" s="2" t="inlineStr"/>
    </row>
    <row r="292" ht="15" customHeight="1">
      <c r="A292" t="inlineStr">
        <is>
          <t>A 48678-2025</t>
        </is>
      </c>
      <c r="B292" s="1" t="n">
        <v>45936.59168981481</v>
      </c>
      <c r="C292" s="1" t="n">
        <v>46174</v>
      </c>
      <c r="D292" t="inlineStr">
        <is>
          <t>UPPSALA LÄN</t>
        </is>
      </c>
      <c r="E292" t="inlineStr">
        <is>
          <t>ENKÖPING</t>
        </is>
      </c>
      <c r="G292" t="n">
        <v>1.6</v>
      </c>
      <c r="H292" t="n">
        <v>0</v>
      </c>
      <c r="I292" t="n">
        <v>0</v>
      </c>
      <c r="J292" t="n">
        <v>0</v>
      </c>
      <c r="K292" t="n">
        <v>0</v>
      </c>
      <c r="L292" t="n">
        <v>0</v>
      </c>
      <c r="M292" t="n">
        <v>0</v>
      </c>
      <c r="N292" t="n">
        <v>0</v>
      </c>
      <c r="O292" t="n">
        <v>0</v>
      </c>
      <c r="P292" t="n">
        <v>0</v>
      </c>
      <c r="Q292" t="n">
        <v>0</v>
      </c>
      <c r="R292" s="2" t="inlineStr"/>
    </row>
    <row r="293" ht="15" customHeight="1">
      <c r="A293" t="inlineStr">
        <is>
          <t>A 12020-2024</t>
        </is>
      </c>
      <c r="B293" s="1" t="n">
        <v>45377</v>
      </c>
      <c r="C293" s="1" t="n">
        <v>46174</v>
      </c>
      <c r="D293" t="inlineStr">
        <is>
          <t>UPPSALA LÄN</t>
        </is>
      </c>
      <c r="E293" t="inlineStr">
        <is>
          <t>ENKÖPING</t>
        </is>
      </c>
      <c r="G293" t="n">
        <v>2</v>
      </c>
      <c r="H293" t="n">
        <v>0</v>
      </c>
      <c r="I293" t="n">
        <v>0</v>
      </c>
      <c r="J293" t="n">
        <v>0</v>
      </c>
      <c r="K293" t="n">
        <v>0</v>
      </c>
      <c r="L293" t="n">
        <v>0</v>
      </c>
      <c r="M293" t="n">
        <v>0</v>
      </c>
      <c r="N293" t="n">
        <v>0</v>
      </c>
      <c r="O293" t="n">
        <v>0</v>
      </c>
      <c r="P293" t="n">
        <v>0</v>
      </c>
      <c r="Q293" t="n">
        <v>0</v>
      </c>
      <c r="R293" s="2" t="inlineStr"/>
    </row>
    <row r="294" ht="15" customHeight="1">
      <c r="A294" t="inlineStr">
        <is>
          <t>A 48423-2025</t>
        </is>
      </c>
      <c r="B294" s="1" t="n">
        <v>45934.68024305555</v>
      </c>
      <c r="C294" s="1" t="n">
        <v>46174</v>
      </c>
      <c r="D294" t="inlineStr">
        <is>
          <t>UPPSALA LÄN</t>
        </is>
      </c>
      <c r="E294" t="inlineStr">
        <is>
          <t>ENKÖPING</t>
        </is>
      </c>
      <c r="G294" t="n">
        <v>4.3</v>
      </c>
      <c r="H294" t="n">
        <v>0</v>
      </c>
      <c r="I294" t="n">
        <v>0</v>
      </c>
      <c r="J294" t="n">
        <v>0</v>
      </c>
      <c r="K294" t="n">
        <v>0</v>
      </c>
      <c r="L294" t="n">
        <v>0</v>
      </c>
      <c r="M294" t="n">
        <v>0</v>
      </c>
      <c r="N294" t="n">
        <v>0</v>
      </c>
      <c r="O294" t="n">
        <v>0</v>
      </c>
      <c r="P294" t="n">
        <v>0</v>
      </c>
      <c r="Q294" t="n">
        <v>0</v>
      </c>
      <c r="R294" s="2" t="inlineStr"/>
    </row>
    <row r="295" ht="15" customHeight="1">
      <c r="A295" t="inlineStr">
        <is>
          <t>A 48424-2025</t>
        </is>
      </c>
      <c r="B295" s="1" t="n">
        <v>45934.69131944444</v>
      </c>
      <c r="C295" s="1" t="n">
        <v>46174</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49073-2025</t>
        </is>
      </c>
      <c r="B296" s="1" t="n">
        <v>45937.65512731481</v>
      </c>
      <c r="C296" s="1" t="n">
        <v>46174</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10465-2022</t>
        </is>
      </c>
      <c r="B297" s="1" t="n">
        <v>44623</v>
      </c>
      <c r="C297" s="1" t="n">
        <v>46174</v>
      </c>
      <c r="D297" t="inlineStr">
        <is>
          <t>UPPSALA LÄN</t>
        </is>
      </c>
      <c r="E297" t="inlineStr">
        <is>
          <t>ENKÖPING</t>
        </is>
      </c>
      <c r="G297" t="n">
        <v>1.7</v>
      </c>
      <c r="H297" t="n">
        <v>0</v>
      </c>
      <c r="I297" t="n">
        <v>0</v>
      </c>
      <c r="J297" t="n">
        <v>0</v>
      </c>
      <c r="K297" t="n">
        <v>0</v>
      </c>
      <c r="L297" t="n">
        <v>0</v>
      </c>
      <c r="M297" t="n">
        <v>0</v>
      </c>
      <c r="N297" t="n">
        <v>0</v>
      </c>
      <c r="O297" t="n">
        <v>0</v>
      </c>
      <c r="P297" t="n">
        <v>0</v>
      </c>
      <c r="Q297" t="n">
        <v>0</v>
      </c>
      <c r="R297" s="2" t="inlineStr"/>
    </row>
    <row r="298" ht="15" customHeight="1">
      <c r="A298" t="inlineStr">
        <is>
          <t>A 14332-2024</t>
        </is>
      </c>
      <c r="B298" s="1" t="n">
        <v>45393</v>
      </c>
      <c r="C298" s="1" t="n">
        <v>46174</v>
      </c>
      <c r="D298" t="inlineStr">
        <is>
          <t>UPPSALA LÄN</t>
        </is>
      </c>
      <c r="E298" t="inlineStr">
        <is>
          <t>ENKÖPING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61207-2023</t>
        </is>
      </c>
      <c r="B299" s="1" t="n">
        <v>45264.39444444444</v>
      </c>
      <c r="C299" s="1" t="n">
        <v>46174</v>
      </c>
      <c r="D299" t="inlineStr">
        <is>
          <t>UPPSALA LÄN</t>
        </is>
      </c>
      <c r="E299" t="inlineStr">
        <is>
          <t>ENKÖPING</t>
        </is>
      </c>
      <c r="G299" t="n">
        <v>10.8</v>
      </c>
      <c r="H299" t="n">
        <v>0</v>
      </c>
      <c r="I299" t="n">
        <v>0</v>
      </c>
      <c r="J299" t="n">
        <v>0</v>
      </c>
      <c r="K299" t="n">
        <v>0</v>
      </c>
      <c r="L299" t="n">
        <v>0</v>
      </c>
      <c r="M299" t="n">
        <v>0</v>
      </c>
      <c r="N299" t="n">
        <v>0</v>
      </c>
      <c r="O299" t="n">
        <v>0</v>
      </c>
      <c r="P299" t="n">
        <v>0</v>
      </c>
      <c r="Q299" t="n">
        <v>0</v>
      </c>
      <c r="R299" s="2" t="inlineStr"/>
    </row>
    <row r="300" ht="15" customHeight="1">
      <c r="A300" t="inlineStr">
        <is>
          <t>A 29482-2022</t>
        </is>
      </c>
      <c r="B300" s="1" t="n">
        <v>44753.57703703704</v>
      </c>
      <c r="C300" s="1" t="n">
        <v>46174</v>
      </c>
      <c r="D300" t="inlineStr">
        <is>
          <t>UPPSALA LÄN</t>
        </is>
      </c>
      <c r="E300" t="inlineStr">
        <is>
          <t>ENKÖPING</t>
        </is>
      </c>
      <c r="G300" t="n">
        <v>1</v>
      </c>
      <c r="H300" t="n">
        <v>0</v>
      </c>
      <c r="I300" t="n">
        <v>0</v>
      </c>
      <c r="J300" t="n">
        <v>0</v>
      </c>
      <c r="K300" t="n">
        <v>0</v>
      </c>
      <c r="L300" t="n">
        <v>0</v>
      </c>
      <c r="M300" t="n">
        <v>0</v>
      </c>
      <c r="N300" t="n">
        <v>0</v>
      </c>
      <c r="O300" t="n">
        <v>0</v>
      </c>
      <c r="P300" t="n">
        <v>0</v>
      </c>
      <c r="Q300" t="n">
        <v>0</v>
      </c>
      <c r="R300" s="2" t="inlineStr"/>
    </row>
    <row r="301" ht="15" customHeight="1">
      <c r="A301" t="inlineStr">
        <is>
          <t>A 29483-2022</t>
        </is>
      </c>
      <c r="B301" s="1" t="n">
        <v>44753.57829861111</v>
      </c>
      <c r="C301" s="1" t="n">
        <v>46174</v>
      </c>
      <c r="D301" t="inlineStr">
        <is>
          <t>UPPSALA LÄN</t>
        </is>
      </c>
      <c r="E301" t="inlineStr">
        <is>
          <t>ENKÖPING</t>
        </is>
      </c>
      <c r="G301" t="n">
        <v>3.6</v>
      </c>
      <c r="H301" t="n">
        <v>0</v>
      </c>
      <c r="I301" t="n">
        <v>0</v>
      </c>
      <c r="J301" t="n">
        <v>0</v>
      </c>
      <c r="K301" t="n">
        <v>0</v>
      </c>
      <c r="L301" t="n">
        <v>0</v>
      </c>
      <c r="M301" t="n">
        <v>0</v>
      </c>
      <c r="N301" t="n">
        <v>0</v>
      </c>
      <c r="O301" t="n">
        <v>0</v>
      </c>
      <c r="P301" t="n">
        <v>0</v>
      </c>
      <c r="Q301" t="n">
        <v>0</v>
      </c>
      <c r="R301" s="2" t="inlineStr"/>
    </row>
    <row r="302" ht="15" customHeight="1">
      <c r="A302" t="inlineStr">
        <is>
          <t>A 44232-2022</t>
        </is>
      </c>
      <c r="B302" s="1" t="n">
        <v>44839</v>
      </c>
      <c r="C302" s="1" t="n">
        <v>46174</v>
      </c>
      <c r="D302" t="inlineStr">
        <is>
          <t>UPPSALA LÄN</t>
        </is>
      </c>
      <c r="E302" t="inlineStr">
        <is>
          <t>ENKÖPING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61106-2022</t>
        </is>
      </c>
      <c r="B303" s="1" t="n">
        <v>44915.4128587963</v>
      </c>
      <c r="C303" s="1" t="n">
        <v>46174</v>
      </c>
      <c r="D303" t="inlineStr">
        <is>
          <t>UPPSALA LÄN</t>
        </is>
      </c>
      <c r="E303" t="inlineStr">
        <is>
          <t>ENKÖPING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40812-2022</t>
        </is>
      </c>
      <c r="B304" s="1" t="n">
        <v>44824.68791666667</v>
      </c>
      <c r="C304" s="1" t="n">
        <v>46174</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43103-2025</t>
        </is>
      </c>
      <c r="B305" s="1" t="n">
        <v>45909</v>
      </c>
      <c r="C305" s="1" t="n">
        <v>46174</v>
      </c>
      <c r="D305" t="inlineStr">
        <is>
          <t>UPPSALA LÄN</t>
        </is>
      </c>
      <c r="E305" t="inlineStr">
        <is>
          <t>ENKÖPING</t>
        </is>
      </c>
      <c r="G305" t="n">
        <v>2.3</v>
      </c>
      <c r="H305" t="n">
        <v>0</v>
      </c>
      <c r="I305" t="n">
        <v>0</v>
      </c>
      <c r="J305" t="n">
        <v>0</v>
      </c>
      <c r="K305" t="n">
        <v>0</v>
      </c>
      <c r="L305" t="n">
        <v>0</v>
      </c>
      <c r="M305" t="n">
        <v>0</v>
      </c>
      <c r="N305" t="n">
        <v>0</v>
      </c>
      <c r="O305" t="n">
        <v>0</v>
      </c>
      <c r="P305" t="n">
        <v>0</v>
      </c>
      <c r="Q305" t="n">
        <v>0</v>
      </c>
      <c r="R305" s="2" t="inlineStr"/>
    </row>
    <row r="306" ht="15" customHeight="1">
      <c r="A306" t="inlineStr">
        <is>
          <t>A 39624-2023</t>
        </is>
      </c>
      <c r="B306" s="1" t="n">
        <v>45164</v>
      </c>
      <c r="C306" s="1" t="n">
        <v>46174</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43691-2024</t>
        </is>
      </c>
      <c r="B307" s="1" t="n">
        <v>45569</v>
      </c>
      <c r="C307" s="1" t="n">
        <v>46174</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49068-2025</t>
        </is>
      </c>
      <c r="B308" s="1" t="n">
        <v>45937.64766203704</v>
      </c>
      <c r="C308" s="1" t="n">
        <v>46174</v>
      </c>
      <c r="D308" t="inlineStr">
        <is>
          <t>UPPSALA LÄN</t>
        </is>
      </c>
      <c r="E308" t="inlineStr">
        <is>
          <t>ENKÖPING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20184-2023</t>
        </is>
      </c>
      <c r="B309" s="1" t="n">
        <v>45055.5670949074</v>
      </c>
      <c r="C309" s="1" t="n">
        <v>46174</v>
      </c>
      <c r="D309" t="inlineStr">
        <is>
          <t>UPPSALA LÄN</t>
        </is>
      </c>
      <c r="E309" t="inlineStr">
        <is>
          <t>ENKÖPING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8152-2022</t>
        </is>
      </c>
      <c r="B310" s="1" t="n">
        <v>44609</v>
      </c>
      <c r="C310" s="1" t="n">
        <v>46174</v>
      </c>
      <c r="D310" t="inlineStr">
        <is>
          <t>UPPSALA LÄN</t>
        </is>
      </c>
      <c r="E310" t="inlineStr">
        <is>
          <t>ENKÖPING</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40223-2024</t>
        </is>
      </c>
      <c r="B311" s="1" t="n">
        <v>45554</v>
      </c>
      <c r="C311" s="1" t="n">
        <v>46174</v>
      </c>
      <c r="D311" t="inlineStr">
        <is>
          <t>UPPSALA LÄN</t>
        </is>
      </c>
      <c r="E311" t="inlineStr">
        <is>
          <t>ENKÖPING</t>
        </is>
      </c>
      <c r="G311" t="n">
        <v>1.9</v>
      </c>
      <c r="H311" t="n">
        <v>0</v>
      </c>
      <c r="I311" t="n">
        <v>0</v>
      </c>
      <c r="J311" t="n">
        <v>0</v>
      </c>
      <c r="K311" t="n">
        <v>0</v>
      </c>
      <c r="L311" t="n">
        <v>0</v>
      </c>
      <c r="M311" t="n">
        <v>0</v>
      </c>
      <c r="N311" t="n">
        <v>0</v>
      </c>
      <c r="O311" t="n">
        <v>0</v>
      </c>
      <c r="P311" t="n">
        <v>0</v>
      </c>
      <c r="Q311" t="n">
        <v>0</v>
      </c>
      <c r="R311" s="2" t="inlineStr"/>
    </row>
    <row r="312" ht="15" customHeight="1">
      <c r="A312" t="inlineStr">
        <is>
          <t>A 25333-2023</t>
        </is>
      </c>
      <c r="B312" s="1" t="n">
        <v>45083</v>
      </c>
      <c r="C312" s="1" t="n">
        <v>46174</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37035-2023</t>
        </is>
      </c>
      <c r="B313" s="1" t="n">
        <v>45155</v>
      </c>
      <c r="C313" s="1" t="n">
        <v>46174</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3300-2025</t>
        </is>
      </c>
      <c r="B314" s="1" t="n">
        <v>45679</v>
      </c>
      <c r="C314" s="1" t="n">
        <v>46174</v>
      </c>
      <c r="D314" t="inlineStr">
        <is>
          <t>UPPSALA LÄN</t>
        </is>
      </c>
      <c r="E314" t="inlineStr">
        <is>
          <t>ENKÖPING</t>
        </is>
      </c>
      <c r="G314" t="n">
        <v>8.9</v>
      </c>
      <c r="H314" t="n">
        <v>0</v>
      </c>
      <c r="I314" t="n">
        <v>0</v>
      </c>
      <c r="J314" t="n">
        <v>0</v>
      </c>
      <c r="K314" t="n">
        <v>0</v>
      </c>
      <c r="L314" t="n">
        <v>0</v>
      </c>
      <c r="M314" t="n">
        <v>0</v>
      </c>
      <c r="N314" t="n">
        <v>0</v>
      </c>
      <c r="O314" t="n">
        <v>0</v>
      </c>
      <c r="P314" t="n">
        <v>0</v>
      </c>
      <c r="Q314" t="n">
        <v>0</v>
      </c>
      <c r="R314" s="2" t="inlineStr"/>
    </row>
    <row r="315" ht="15" customHeight="1">
      <c r="A315" t="inlineStr">
        <is>
          <t>A 12754-2025</t>
        </is>
      </c>
      <c r="B315" s="1" t="n">
        <v>45733.56331018519</v>
      </c>
      <c r="C315" s="1" t="n">
        <v>46174</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52889-2022</t>
        </is>
      </c>
      <c r="B316" s="1" t="n">
        <v>44875</v>
      </c>
      <c r="C316" s="1" t="n">
        <v>46174</v>
      </c>
      <c r="D316" t="inlineStr">
        <is>
          <t>UPPSALA LÄN</t>
        </is>
      </c>
      <c r="E316" t="inlineStr">
        <is>
          <t>ENKÖPING</t>
        </is>
      </c>
      <c r="G316" t="n">
        <v>1.7</v>
      </c>
      <c r="H316" t="n">
        <v>0</v>
      </c>
      <c r="I316" t="n">
        <v>0</v>
      </c>
      <c r="J316" t="n">
        <v>0</v>
      </c>
      <c r="K316" t="n">
        <v>0</v>
      </c>
      <c r="L316" t="n">
        <v>0</v>
      </c>
      <c r="M316" t="n">
        <v>0</v>
      </c>
      <c r="N316" t="n">
        <v>0</v>
      </c>
      <c r="O316" t="n">
        <v>0</v>
      </c>
      <c r="P316" t="n">
        <v>0</v>
      </c>
      <c r="Q316" t="n">
        <v>0</v>
      </c>
      <c r="R316" s="2" t="inlineStr"/>
    </row>
    <row r="317" ht="15" customHeight="1">
      <c r="A317" t="inlineStr">
        <is>
          <t>A 51030-2024</t>
        </is>
      </c>
      <c r="B317" s="1" t="n">
        <v>45603</v>
      </c>
      <c r="C317" s="1" t="n">
        <v>46174</v>
      </c>
      <c r="D317" t="inlineStr">
        <is>
          <t>UPPSALA LÄN</t>
        </is>
      </c>
      <c r="E317" t="inlineStr">
        <is>
          <t>ENKÖPING</t>
        </is>
      </c>
      <c r="G317" t="n">
        <v>2</v>
      </c>
      <c r="H317" t="n">
        <v>0</v>
      </c>
      <c r="I317" t="n">
        <v>0</v>
      </c>
      <c r="J317" t="n">
        <v>0</v>
      </c>
      <c r="K317" t="n">
        <v>0</v>
      </c>
      <c r="L317" t="n">
        <v>0</v>
      </c>
      <c r="M317" t="n">
        <v>0</v>
      </c>
      <c r="N317" t="n">
        <v>0</v>
      </c>
      <c r="O317" t="n">
        <v>0</v>
      </c>
      <c r="P317" t="n">
        <v>0</v>
      </c>
      <c r="Q317" t="n">
        <v>0</v>
      </c>
      <c r="R317" s="2" t="inlineStr"/>
    </row>
    <row r="318" ht="15" customHeight="1">
      <c r="A318" t="inlineStr">
        <is>
          <t>A 26292-2022</t>
        </is>
      </c>
      <c r="B318" s="1" t="n">
        <v>44735</v>
      </c>
      <c r="C318" s="1" t="n">
        <v>46174</v>
      </c>
      <c r="D318" t="inlineStr">
        <is>
          <t>UPPSALA LÄN</t>
        </is>
      </c>
      <c r="E318" t="inlineStr">
        <is>
          <t>ENKÖPING</t>
        </is>
      </c>
      <c r="F318" t="inlineStr">
        <is>
          <t>Kyrkan</t>
        </is>
      </c>
      <c r="G318" t="n">
        <v>4.6</v>
      </c>
      <c r="H318" t="n">
        <v>0</v>
      </c>
      <c r="I318" t="n">
        <v>0</v>
      </c>
      <c r="J318" t="n">
        <v>0</v>
      </c>
      <c r="K318" t="n">
        <v>0</v>
      </c>
      <c r="L318" t="n">
        <v>0</v>
      </c>
      <c r="M318" t="n">
        <v>0</v>
      </c>
      <c r="N318" t="n">
        <v>0</v>
      </c>
      <c r="O318" t="n">
        <v>0</v>
      </c>
      <c r="P318" t="n">
        <v>0</v>
      </c>
      <c r="Q318" t="n">
        <v>0</v>
      </c>
      <c r="R318" s="2" t="inlineStr"/>
    </row>
    <row r="319" ht="15" customHeight="1">
      <c r="A319" t="inlineStr">
        <is>
          <t>A 4044-2024</t>
        </is>
      </c>
      <c r="B319" s="1" t="n">
        <v>45323.45954861111</v>
      </c>
      <c r="C319" s="1" t="n">
        <v>46174</v>
      </c>
      <c r="D319" t="inlineStr">
        <is>
          <t>UPPSALA LÄN</t>
        </is>
      </c>
      <c r="E319" t="inlineStr">
        <is>
          <t>ENKÖPING</t>
        </is>
      </c>
      <c r="G319" t="n">
        <v>2.1</v>
      </c>
      <c r="H319" t="n">
        <v>0</v>
      </c>
      <c r="I319" t="n">
        <v>0</v>
      </c>
      <c r="J319" t="n">
        <v>0</v>
      </c>
      <c r="K319" t="n">
        <v>0</v>
      </c>
      <c r="L319" t="n">
        <v>0</v>
      </c>
      <c r="M319" t="n">
        <v>0</v>
      </c>
      <c r="N319" t="n">
        <v>0</v>
      </c>
      <c r="O319" t="n">
        <v>0</v>
      </c>
      <c r="P319" t="n">
        <v>0</v>
      </c>
      <c r="Q319" t="n">
        <v>0</v>
      </c>
      <c r="R319" s="2" t="inlineStr"/>
    </row>
    <row r="320" ht="15" customHeight="1">
      <c r="A320" t="inlineStr">
        <is>
          <t>A 51162-2025</t>
        </is>
      </c>
      <c r="B320" s="1" t="n">
        <v>45947.58820601852</v>
      </c>
      <c r="C320" s="1" t="n">
        <v>46174</v>
      </c>
      <c r="D320" t="inlineStr">
        <is>
          <t>UPPSALA LÄN</t>
        </is>
      </c>
      <c r="E320" t="inlineStr">
        <is>
          <t>ENKÖPING</t>
        </is>
      </c>
      <c r="G320" t="n">
        <v>3.4</v>
      </c>
      <c r="H320" t="n">
        <v>0</v>
      </c>
      <c r="I320" t="n">
        <v>0</v>
      </c>
      <c r="J320" t="n">
        <v>0</v>
      </c>
      <c r="K320" t="n">
        <v>0</v>
      </c>
      <c r="L320" t="n">
        <v>0</v>
      </c>
      <c r="M320" t="n">
        <v>0</v>
      </c>
      <c r="N320" t="n">
        <v>0</v>
      </c>
      <c r="O320" t="n">
        <v>0</v>
      </c>
      <c r="P320" t="n">
        <v>0</v>
      </c>
      <c r="Q320" t="n">
        <v>0</v>
      </c>
      <c r="R320" s="2" t="inlineStr"/>
    </row>
    <row r="321" ht="15" customHeight="1">
      <c r="A321" t="inlineStr">
        <is>
          <t>A 51133-2025</t>
        </is>
      </c>
      <c r="B321" s="1" t="n">
        <v>45947.55598379629</v>
      </c>
      <c r="C321" s="1" t="n">
        <v>46174</v>
      </c>
      <c r="D321" t="inlineStr">
        <is>
          <t>UPPSALA LÄN</t>
        </is>
      </c>
      <c r="E321" t="inlineStr">
        <is>
          <t>ENKÖPING</t>
        </is>
      </c>
      <c r="G321" t="n">
        <v>2.4</v>
      </c>
      <c r="H321" t="n">
        <v>0</v>
      </c>
      <c r="I321" t="n">
        <v>0</v>
      </c>
      <c r="J321" t="n">
        <v>0</v>
      </c>
      <c r="K321" t="n">
        <v>0</v>
      </c>
      <c r="L321" t="n">
        <v>0</v>
      </c>
      <c r="M321" t="n">
        <v>0</v>
      </c>
      <c r="N321" t="n">
        <v>0</v>
      </c>
      <c r="O321" t="n">
        <v>0</v>
      </c>
      <c r="P321" t="n">
        <v>0</v>
      </c>
      <c r="Q321" t="n">
        <v>0</v>
      </c>
      <c r="R321" s="2" t="inlineStr"/>
    </row>
    <row r="322" ht="15" customHeight="1">
      <c r="A322" t="inlineStr">
        <is>
          <t>A 33349-2024</t>
        </is>
      </c>
      <c r="B322" s="1" t="n">
        <v>45519</v>
      </c>
      <c r="C322" s="1" t="n">
        <v>46174</v>
      </c>
      <c r="D322" t="inlineStr">
        <is>
          <t>UPPSALA LÄN</t>
        </is>
      </c>
      <c r="E322" t="inlineStr">
        <is>
          <t>ENKÖPING</t>
        </is>
      </c>
      <c r="G322" t="n">
        <v>3.6</v>
      </c>
      <c r="H322" t="n">
        <v>0</v>
      </c>
      <c r="I322" t="n">
        <v>0</v>
      </c>
      <c r="J322" t="n">
        <v>0</v>
      </c>
      <c r="K322" t="n">
        <v>0</v>
      </c>
      <c r="L322" t="n">
        <v>0</v>
      </c>
      <c r="M322" t="n">
        <v>0</v>
      </c>
      <c r="N322" t="n">
        <v>0</v>
      </c>
      <c r="O322" t="n">
        <v>0</v>
      </c>
      <c r="P322" t="n">
        <v>0</v>
      </c>
      <c r="Q322" t="n">
        <v>0</v>
      </c>
      <c r="R322" s="2" t="inlineStr"/>
    </row>
    <row r="323" ht="15" customHeight="1">
      <c r="A323" t="inlineStr">
        <is>
          <t>A 16176-2025</t>
        </is>
      </c>
      <c r="B323" s="1" t="n">
        <v>45750</v>
      </c>
      <c r="C323" s="1" t="n">
        <v>46174</v>
      </c>
      <c r="D323" t="inlineStr">
        <is>
          <t>UPPSALA LÄN</t>
        </is>
      </c>
      <c r="E323" t="inlineStr">
        <is>
          <t>ENKÖPING</t>
        </is>
      </c>
      <c r="G323" t="n">
        <v>3.9</v>
      </c>
      <c r="H323" t="n">
        <v>0</v>
      </c>
      <c r="I323" t="n">
        <v>0</v>
      </c>
      <c r="J323" t="n">
        <v>0</v>
      </c>
      <c r="K323" t="n">
        <v>0</v>
      </c>
      <c r="L323" t="n">
        <v>0</v>
      </c>
      <c r="M323" t="n">
        <v>0</v>
      </c>
      <c r="N323" t="n">
        <v>0</v>
      </c>
      <c r="O323" t="n">
        <v>0</v>
      </c>
      <c r="P323" t="n">
        <v>0</v>
      </c>
      <c r="Q323" t="n">
        <v>0</v>
      </c>
      <c r="R323" s="2" t="inlineStr"/>
    </row>
    <row r="324" ht="15" customHeight="1">
      <c r="A324" t="inlineStr">
        <is>
          <t>A 22912-2024</t>
        </is>
      </c>
      <c r="B324" s="1" t="n">
        <v>45448.73118055556</v>
      </c>
      <c r="C324" s="1" t="n">
        <v>46174</v>
      </c>
      <c r="D324" t="inlineStr">
        <is>
          <t>UPPSALA LÄN</t>
        </is>
      </c>
      <c r="E324" t="inlineStr">
        <is>
          <t>ENKÖPING</t>
        </is>
      </c>
      <c r="G324" t="n">
        <v>2.8</v>
      </c>
      <c r="H324" t="n">
        <v>0</v>
      </c>
      <c r="I324" t="n">
        <v>0</v>
      </c>
      <c r="J324" t="n">
        <v>0</v>
      </c>
      <c r="K324" t="n">
        <v>0</v>
      </c>
      <c r="L324" t="n">
        <v>0</v>
      </c>
      <c r="M324" t="n">
        <v>0</v>
      </c>
      <c r="N324" t="n">
        <v>0</v>
      </c>
      <c r="O324" t="n">
        <v>0</v>
      </c>
      <c r="P324" t="n">
        <v>0</v>
      </c>
      <c r="Q324" t="n">
        <v>0</v>
      </c>
      <c r="R324" s="2" t="inlineStr"/>
    </row>
    <row r="325" ht="15" customHeight="1">
      <c r="A325" t="inlineStr">
        <is>
          <t>A 21612-2023</t>
        </is>
      </c>
      <c r="B325" s="1" t="n">
        <v>45063</v>
      </c>
      <c r="C325" s="1" t="n">
        <v>46174</v>
      </c>
      <c r="D325" t="inlineStr">
        <is>
          <t>UPPSALA LÄN</t>
        </is>
      </c>
      <c r="E325" t="inlineStr">
        <is>
          <t>ENKÖPING</t>
        </is>
      </c>
      <c r="F325" t="inlineStr">
        <is>
          <t>Allmännings- och besparingsskogar</t>
        </is>
      </c>
      <c r="G325" t="n">
        <v>1</v>
      </c>
      <c r="H325" t="n">
        <v>0</v>
      </c>
      <c r="I325" t="n">
        <v>0</v>
      </c>
      <c r="J325" t="n">
        <v>0</v>
      </c>
      <c r="K325" t="n">
        <v>0</v>
      </c>
      <c r="L325" t="n">
        <v>0</v>
      </c>
      <c r="M325" t="n">
        <v>0</v>
      </c>
      <c r="N325" t="n">
        <v>0</v>
      </c>
      <c r="O325" t="n">
        <v>0</v>
      </c>
      <c r="P325" t="n">
        <v>0</v>
      </c>
      <c r="Q325" t="n">
        <v>0</v>
      </c>
      <c r="R325" s="2" t="inlineStr"/>
    </row>
    <row r="326" ht="15" customHeight="1">
      <c r="A326" t="inlineStr">
        <is>
          <t>A 56713-2024</t>
        </is>
      </c>
      <c r="B326" s="1" t="n">
        <v>45628</v>
      </c>
      <c r="C326" s="1" t="n">
        <v>46174</v>
      </c>
      <c r="D326" t="inlineStr">
        <is>
          <t>UPPSALA LÄN</t>
        </is>
      </c>
      <c r="E326" t="inlineStr">
        <is>
          <t>ENKÖPING</t>
        </is>
      </c>
      <c r="G326" t="n">
        <v>1.7</v>
      </c>
      <c r="H326" t="n">
        <v>0</v>
      </c>
      <c r="I326" t="n">
        <v>0</v>
      </c>
      <c r="J326" t="n">
        <v>0</v>
      </c>
      <c r="K326" t="n">
        <v>0</v>
      </c>
      <c r="L326" t="n">
        <v>0</v>
      </c>
      <c r="M326" t="n">
        <v>0</v>
      </c>
      <c r="N326" t="n">
        <v>0</v>
      </c>
      <c r="O326" t="n">
        <v>0</v>
      </c>
      <c r="P326" t="n">
        <v>0</v>
      </c>
      <c r="Q326" t="n">
        <v>0</v>
      </c>
      <c r="R326" s="2" t="inlineStr"/>
    </row>
    <row r="327" ht="15" customHeight="1">
      <c r="A327" t="inlineStr">
        <is>
          <t>A 37870-2023</t>
        </is>
      </c>
      <c r="B327" s="1" t="n">
        <v>45160.41996527778</v>
      </c>
      <c r="C327" s="1" t="n">
        <v>46174</v>
      </c>
      <c r="D327" t="inlineStr">
        <is>
          <t>UPPSALA LÄN</t>
        </is>
      </c>
      <c r="E327" t="inlineStr">
        <is>
          <t>ENKÖPING</t>
        </is>
      </c>
      <c r="G327" t="n">
        <v>3.5</v>
      </c>
      <c r="H327" t="n">
        <v>0</v>
      </c>
      <c r="I327" t="n">
        <v>0</v>
      </c>
      <c r="J327" t="n">
        <v>0</v>
      </c>
      <c r="K327" t="n">
        <v>0</v>
      </c>
      <c r="L327" t="n">
        <v>0</v>
      </c>
      <c r="M327" t="n">
        <v>0</v>
      </c>
      <c r="N327" t="n">
        <v>0</v>
      </c>
      <c r="O327" t="n">
        <v>0</v>
      </c>
      <c r="P327" t="n">
        <v>0</v>
      </c>
      <c r="Q327" t="n">
        <v>0</v>
      </c>
      <c r="R327" s="2" t="inlineStr"/>
    </row>
    <row r="328" ht="15" customHeight="1">
      <c r="A328" t="inlineStr">
        <is>
          <t>A 14243-2025</t>
        </is>
      </c>
      <c r="B328" s="1" t="n">
        <v>45740.61288194444</v>
      </c>
      <c r="C328" s="1" t="n">
        <v>46174</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33343-2024</t>
        </is>
      </c>
      <c r="B329" s="1" t="n">
        <v>45519</v>
      </c>
      <c r="C329" s="1" t="n">
        <v>46174</v>
      </c>
      <c r="D329" t="inlineStr">
        <is>
          <t>UPPSALA LÄN</t>
        </is>
      </c>
      <c r="E329" t="inlineStr">
        <is>
          <t>ENKÖPING</t>
        </is>
      </c>
      <c r="G329" t="n">
        <v>2</v>
      </c>
      <c r="H329" t="n">
        <v>0</v>
      </c>
      <c r="I329" t="n">
        <v>0</v>
      </c>
      <c r="J329" t="n">
        <v>0</v>
      </c>
      <c r="K329" t="n">
        <v>0</v>
      </c>
      <c r="L329" t="n">
        <v>0</v>
      </c>
      <c r="M329" t="n">
        <v>0</v>
      </c>
      <c r="N329" t="n">
        <v>0</v>
      </c>
      <c r="O329" t="n">
        <v>0</v>
      </c>
      <c r="P329" t="n">
        <v>0</v>
      </c>
      <c r="Q329" t="n">
        <v>0</v>
      </c>
      <c r="R329" s="2" t="inlineStr"/>
    </row>
    <row r="330" ht="15" customHeight="1">
      <c r="A330" t="inlineStr">
        <is>
          <t>A 22094-2023</t>
        </is>
      </c>
      <c r="B330" s="1" t="n">
        <v>45069</v>
      </c>
      <c r="C330" s="1" t="n">
        <v>46174</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15405-2025</t>
        </is>
      </c>
      <c r="B331" s="1" t="n">
        <v>45747.44670138889</v>
      </c>
      <c r="C331" s="1" t="n">
        <v>46174</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26017-2025</t>
        </is>
      </c>
      <c r="B332" s="1" t="n">
        <v>45804</v>
      </c>
      <c r="C332" s="1" t="n">
        <v>46174</v>
      </c>
      <c r="D332" t="inlineStr">
        <is>
          <t>UPPSALA LÄN</t>
        </is>
      </c>
      <c r="E332" t="inlineStr">
        <is>
          <t>ENKÖPING</t>
        </is>
      </c>
      <c r="G332" t="n">
        <v>0.4</v>
      </c>
      <c r="H332" t="n">
        <v>0</v>
      </c>
      <c r="I332" t="n">
        <v>0</v>
      </c>
      <c r="J332" t="n">
        <v>0</v>
      </c>
      <c r="K332" t="n">
        <v>0</v>
      </c>
      <c r="L332" t="n">
        <v>0</v>
      </c>
      <c r="M332" t="n">
        <v>0</v>
      </c>
      <c r="N332" t="n">
        <v>0</v>
      </c>
      <c r="O332" t="n">
        <v>0</v>
      </c>
      <c r="P332" t="n">
        <v>0</v>
      </c>
      <c r="Q332" t="n">
        <v>0</v>
      </c>
      <c r="R332" s="2" t="inlineStr"/>
    </row>
    <row r="333" ht="15" customHeight="1">
      <c r="A333" t="inlineStr">
        <is>
          <t>A 35079-2024</t>
        </is>
      </c>
      <c r="B333" s="1" t="n">
        <v>45527.66770833333</v>
      </c>
      <c r="C333" s="1" t="n">
        <v>46174</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33581-2023</t>
        </is>
      </c>
      <c r="B334" s="1" t="n">
        <v>45131</v>
      </c>
      <c r="C334" s="1" t="n">
        <v>46174</v>
      </c>
      <c r="D334" t="inlineStr">
        <is>
          <t>UPPSALA LÄN</t>
        </is>
      </c>
      <c r="E334" t="inlineStr">
        <is>
          <t>ENKÖPING</t>
        </is>
      </c>
      <c r="G334" t="n">
        <v>3.5</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46174</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47909-2024</t>
        </is>
      </c>
      <c r="B336" s="1" t="n">
        <v>45589.31866898148</v>
      </c>
      <c r="C336" s="1" t="n">
        <v>46174</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18302-2025</t>
        </is>
      </c>
      <c r="B337" s="1" t="n">
        <v>45762</v>
      </c>
      <c r="C337" s="1" t="n">
        <v>46174</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51932-2022</t>
        </is>
      </c>
      <c r="B338" s="1" t="n">
        <v>44872</v>
      </c>
      <c r="C338" s="1" t="n">
        <v>46174</v>
      </c>
      <c r="D338" t="inlineStr">
        <is>
          <t>UPPSALA LÄN</t>
        </is>
      </c>
      <c r="E338" t="inlineStr">
        <is>
          <t>ENKÖPING</t>
        </is>
      </c>
      <c r="G338" t="n">
        <v>5.5</v>
      </c>
      <c r="H338" t="n">
        <v>0</v>
      </c>
      <c r="I338" t="n">
        <v>0</v>
      </c>
      <c r="J338" t="n">
        <v>0</v>
      </c>
      <c r="K338" t="n">
        <v>0</v>
      </c>
      <c r="L338" t="n">
        <v>0</v>
      </c>
      <c r="M338" t="n">
        <v>0</v>
      </c>
      <c r="N338" t="n">
        <v>0</v>
      </c>
      <c r="O338" t="n">
        <v>0</v>
      </c>
      <c r="P338" t="n">
        <v>0</v>
      </c>
      <c r="Q338" t="n">
        <v>0</v>
      </c>
      <c r="R338" s="2" t="inlineStr"/>
    </row>
    <row r="339" ht="15" customHeight="1">
      <c r="A339" t="inlineStr">
        <is>
          <t>A 28243-2023</t>
        </is>
      </c>
      <c r="B339" s="1" t="n">
        <v>45099.58885416666</v>
      </c>
      <c r="C339" s="1" t="n">
        <v>46174</v>
      </c>
      <c r="D339" t="inlineStr">
        <is>
          <t>UPPSALA LÄN</t>
        </is>
      </c>
      <c r="E339" t="inlineStr">
        <is>
          <t>ENKÖPING</t>
        </is>
      </c>
      <c r="G339" t="n">
        <v>1.9</v>
      </c>
      <c r="H339" t="n">
        <v>0</v>
      </c>
      <c r="I339" t="n">
        <v>0</v>
      </c>
      <c r="J339" t="n">
        <v>0</v>
      </c>
      <c r="K339" t="n">
        <v>0</v>
      </c>
      <c r="L339" t="n">
        <v>0</v>
      </c>
      <c r="M339" t="n">
        <v>0</v>
      </c>
      <c r="N339" t="n">
        <v>0</v>
      </c>
      <c r="O339" t="n">
        <v>0</v>
      </c>
      <c r="P339" t="n">
        <v>0</v>
      </c>
      <c r="Q339" t="n">
        <v>0</v>
      </c>
      <c r="R339" s="2" t="inlineStr"/>
    </row>
    <row r="340" ht="15" customHeight="1">
      <c r="A340" t="inlineStr">
        <is>
          <t>A 3235-2025</t>
        </is>
      </c>
      <c r="B340" s="1" t="n">
        <v>45679</v>
      </c>
      <c r="C340" s="1" t="n">
        <v>46174</v>
      </c>
      <c r="D340" t="inlineStr">
        <is>
          <t>UPPSALA LÄN</t>
        </is>
      </c>
      <c r="E340" t="inlineStr">
        <is>
          <t>ENKÖPING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41828-2024</t>
        </is>
      </c>
      <c r="B341" s="1" t="n">
        <v>45561</v>
      </c>
      <c r="C341" s="1" t="n">
        <v>46174</v>
      </c>
      <c r="D341" t="inlineStr">
        <is>
          <t>UPPSALA LÄN</t>
        </is>
      </c>
      <c r="E341" t="inlineStr">
        <is>
          <t>ENKÖPING</t>
        </is>
      </c>
      <c r="G341" t="n">
        <v>2.5</v>
      </c>
      <c r="H341" t="n">
        <v>0</v>
      </c>
      <c r="I341" t="n">
        <v>0</v>
      </c>
      <c r="J341" t="n">
        <v>0</v>
      </c>
      <c r="K341" t="n">
        <v>0</v>
      </c>
      <c r="L341" t="n">
        <v>0</v>
      </c>
      <c r="M341" t="n">
        <v>0</v>
      </c>
      <c r="N341" t="n">
        <v>0</v>
      </c>
      <c r="O341" t="n">
        <v>0</v>
      </c>
      <c r="P341" t="n">
        <v>0</v>
      </c>
      <c r="Q341" t="n">
        <v>0</v>
      </c>
      <c r="R341" s="2" t="inlineStr"/>
    </row>
    <row r="342" ht="15" customHeight="1">
      <c r="A342" t="inlineStr">
        <is>
          <t>A 26011-2025</t>
        </is>
      </c>
      <c r="B342" s="1" t="n">
        <v>45804.67412037037</v>
      </c>
      <c r="C342" s="1" t="n">
        <v>46174</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1536-2024</t>
        </is>
      </c>
      <c r="B343" s="1" t="n">
        <v>45306</v>
      </c>
      <c r="C343" s="1" t="n">
        <v>46174</v>
      </c>
      <c r="D343" t="inlineStr">
        <is>
          <t>UPPSALA LÄN</t>
        </is>
      </c>
      <c r="E343" t="inlineStr">
        <is>
          <t>ENKÖPING</t>
        </is>
      </c>
      <c r="F343" t="inlineStr">
        <is>
          <t>Kyrkan</t>
        </is>
      </c>
      <c r="G343" t="n">
        <v>5.6</v>
      </c>
      <c r="H343" t="n">
        <v>0</v>
      </c>
      <c r="I343" t="n">
        <v>0</v>
      </c>
      <c r="J343" t="n">
        <v>0</v>
      </c>
      <c r="K343" t="n">
        <v>0</v>
      </c>
      <c r="L343" t="n">
        <v>0</v>
      </c>
      <c r="M343" t="n">
        <v>0</v>
      </c>
      <c r="N343" t="n">
        <v>0</v>
      </c>
      <c r="O343" t="n">
        <v>0</v>
      </c>
      <c r="P343" t="n">
        <v>0</v>
      </c>
      <c r="Q343" t="n">
        <v>0</v>
      </c>
      <c r="R343" s="2" t="inlineStr"/>
    </row>
    <row r="344" ht="15" customHeight="1">
      <c r="A344" t="inlineStr">
        <is>
          <t>A 42564-2024</t>
        </is>
      </c>
      <c r="B344" s="1" t="n">
        <v>45565.63358796296</v>
      </c>
      <c r="C344" s="1" t="n">
        <v>46174</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59497-2022</t>
        </is>
      </c>
      <c r="B345" s="1" t="n">
        <v>44907.48258101852</v>
      </c>
      <c r="C345" s="1" t="n">
        <v>46174</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43492-2023</t>
        </is>
      </c>
      <c r="B346" s="1" t="n">
        <v>45181</v>
      </c>
      <c r="C346" s="1" t="n">
        <v>46174</v>
      </c>
      <c r="D346" t="inlineStr">
        <is>
          <t>UPPSALA LÄN</t>
        </is>
      </c>
      <c r="E346" t="inlineStr">
        <is>
          <t>ENKÖPING</t>
        </is>
      </c>
      <c r="G346" t="n">
        <v>1.6</v>
      </c>
      <c r="H346" t="n">
        <v>0</v>
      </c>
      <c r="I346" t="n">
        <v>0</v>
      </c>
      <c r="J346" t="n">
        <v>0</v>
      </c>
      <c r="K346" t="n">
        <v>0</v>
      </c>
      <c r="L346" t="n">
        <v>0</v>
      </c>
      <c r="M346" t="n">
        <v>0</v>
      </c>
      <c r="N346" t="n">
        <v>0</v>
      </c>
      <c r="O346" t="n">
        <v>0</v>
      </c>
      <c r="P346" t="n">
        <v>0</v>
      </c>
      <c r="Q346" t="n">
        <v>0</v>
      </c>
      <c r="R346" s="2" t="inlineStr"/>
    </row>
    <row r="347" ht="15" customHeight="1">
      <c r="A347" t="inlineStr">
        <is>
          <t>A 2850-2025</t>
        </is>
      </c>
      <c r="B347" s="1" t="n">
        <v>45677</v>
      </c>
      <c r="C347" s="1" t="n">
        <v>46174</v>
      </c>
      <c r="D347" t="inlineStr">
        <is>
          <t>UPPSALA LÄN</t>
        </is>
      </c>
      <c r="E347" t="inlineStr">
        <is>
          <t>ENKÖPING</t>
        </is>
      </c>
      <c r="G347" t="n">
        <v>0.3</v>
      </c>
      <c r="H347" t="n">
        <v>0</v>
      </c>
      <c r="I347" t="n">
        <v>0</v>
      </c>
      <c r="J347" t="n">
        <v>0</v>
      </c>
      <c r="K347" t="n">
        <v>0</v>
      </c>
      <c r="L347" t="n">
        <v>0</v>
      </c>
      <c r="M347" t="n">
        <v>0</v>
      </c>
      <c r="N347" t="n">
        <v>0</v>
      </c>
      <c r="O347" t="n">
        <v>0</v>
      </c>
      <c r="P347" t="n">
        <v>0</v>
      </c>
      <c r="Q347" t="n">
        <v>0</v>
      </c>
      <c r="R347" s="2" t="inlineStr"/>
    </row>
    <row r="348" ht="15" customHeight="1">
      <c r="A348" t="inlineStr">
        <is>
          <t>A 9041-2023</t>
        </is>
      </c>
      <c r="B348" s="1" t="n">
        <v>44979</v>
      </c>
      <c r="C348" s="1" t="n">
        <v>46174</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12755-2025</t>
        </is>
      </c>
      <c r="B349" s="1" t="n">
        <v>45733.56541666666</v>
      </c>
      <c r="C349" s="1" t="n">
        <v>46174</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54541-2025</t>
        </is>
      </c>
      <c r="B350" s="1" t="n">
        <v>45965.64733796296</v>
      </c>
      <c r="C350" s="1" t="n">
        <v>46174</v>
      </c>
      <c r="D350" t="inlineStr">
        <is>
          <t>UPPSALA LÄN</t>
        </is>
      </c>
      <c r="E350" t="inlineStr">
        <is>
          <t>ENKÖPING</t>
        </is>
      </c>
      <c r="G350" t="n">
        <v>3.1</v>
      </c>
      <c r="H350" t="n">
        <v>0</v>
      </c>
      <c r="I350" t="n">
        <v>0</v>
      </c>
      <c r="J350" t="n">
        <v>0</v>
      </c>
      <c r="K350" t="n">
        <v>0</v>
      </c>
      <c r="L350" t="n">
        <v>0</v>
      </c>
      <c r="M350" t="n">
        <v>0</v>
      </c>
      <c r="N350" t="n">
        <v>0</v>
      </c>
      <c r="O350" t="n">
        <v>0</v>
      </c>
      <c r="P350" t="n">
        <v>0</v>
      </c>
      <c r="Q350" t="n">
        <v>0</v>
      </c>
      <c r="R350" s="2" t="inlineStr"/>
    </row>
    <row r="351" ht="15" customHeight="1">
      <c r="A351" t="inlineStr">
        <is>
          <t>A 54263-2025</t>
        </is>
      </c>
      <c r="B351" s="1" t="n">
        <v>45964.66271990741</v>
      </c>
      <c r="C351" s="1" t="n">
        <v>46174</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59027-2024</t>
        </is>
      </c>
      <c r="B352" s="1" t="n">
        <v>45636.68755787037</v>
      </c>
      <c r="C352" s="1" t="n">
        <v>46174</v>
      </c>
      <c r="D352" t="inlineStr">
        <is>
          <t>UPPSALA LÄN</t>
        </is>
      </c>
      <c r="E352" t="inlineStr">
        <is>
          <t>ENKÖPING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6626-2023</t>
        </is>
      </c>
      <c r="B353" s="1" t="n">
        <v>44966.55946759259</v>
      </c>
      <c r="C353" s="1" t="n">
        <v>46174</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53587-2024</t>
        </is>
      </c>
      <c r="B354" s="1" t="n">
        <v>45614.66953703704</v>
      </c>
      <c r="C354" s="1" t="n">
        <v>46174</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11503-2024</t>
        </is>
      </c>
      <c r="B355" s="1" t="n">
        <v>45372.68020833333</v>
      </c>
      <c r="C355" s="1" t="n">
        <v>46174</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39115-2024</t>
        </is>
      </c>
      <c r="B356" s="1" t="n">
        <v>45548</v>
      </c>
      <c r="C356" s="1" t="n">
        <v>46174</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25334-2023</t>
        </is>
      </c>
      <c r="B357" s="1" t="n">
        <v>45083</v>
      </c>
      <c r="C357" s="1" t="n">
        <v>46174</v>
      </c>
      <c r="D357" t="inlineStr">
        <is>
          <t>UPPSALA LÄN</t>
        </is>
      </c>
      <c r="E357" t="inlineStr">
        <is>
          <t>ENKÖPING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17165-2025</t>
        </is>
      </c>
      <c r="B358" s="1" t="n">
        <v>45756</v>
      </c>
      <c r="C358" s="1" t="n">
        <v>46174</v>
      </c>
      <c r="D358" t="inlineStr">
        <is>
          <t>UPPSALA LÄN</t>
        </is>
      </c>
      <c r="E358" t="inlineStr">
        <is>
          <t>ENKÖPING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56837-2024</t>
        </is>
      </c>
      <c r="B359" s="1" t="n">
        <v>45628</v>
      </c>
      <c r="C359" s="1" t="n">
        <v>46174</v>
      </c>
      <c r="D359" t="inlineStr">
        <is>
          <t>UPPSALA LÄN</t>
        </is>
      </c>
      <c r="E359" t="inlineStr">
        <is>
          <t>ENKÖPING</t>
        </is>
      </c>
      <c r="G359" t="n">
        <v>2.2</v>
      </c>
      <c r="H359" t="n">
        <v>0</v>
      </c>
      <c r="I359" t="n">
        <v>0</v>
      </c>
      <c r="J359" t="n">
        <v>0</v>
      </c>
      <c r="K359" t="n">
        <v>0</v>
      </c>
      <c r="L359" t="n">
        <v>0</v>
      </c>
      <c r="M359" t="n">
        <v>0</v>
      </c>
      <c r="N359" t="n">
        <v>0</v>
      </c>
      <c r="O359" t="n">
        <v>0</v>
      </c>
      <c r="P359" t="n">
        <v>0</v>
      </c>
      <c r="Q359" t="n">
        <v>0</v>
      </c>
      <c r="R359" s="2" t="inlineStr"/>
    </row>
    <row r="360" ht="15" customHeight="1">
      <c r="A360" t="inlineStr">
        <is>
          <t>A 5013-2025</t>
        </is>
      </c>
      <c r="B360" s="1" t="n">
        <v>45691</v>
      </c>
      <c r="C360" s="1" t="n">
        <v>46174</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22156-2025</t>
        </is>
      </c>
      <c r="B361" s="1" t="n">
        <v>45785.57512731481</v>
      </c>
      <c r="C361" s="1" t="n">
        <v>46174</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54844-2025</t>
        </is>
      </c>
      <c r="B362" s="1" t="n">
        <v>45966.69570601852</v>
      </c>
      <c r="C362" s="1" t="n">
        <v>46174</v>
      </c>
      <c r="D362" t="inlineStr">
        <is>
          <t>UPPSALA LÄN</t>
        </is>
      </c>
      <c r="E362" t="inlineStr">
        <is>
          <t>ENKÖPING</t>
        </is>
      </c>
      <c r="G362" t="n">
        <v>5.5</v>
      </c>
      <c r="H362" t="n">
        <v>0</v>
      </c>
      <c r="I362" t="n">
        <v>0</v>
      </c>
      <c r="J362" t="n">
        <v>0</v>
      </c>
      <c r="K362" t="n">
        <v>0</v>
      </c>
      <c r="L362" t="n">
        <v>0</v>
      </c>
      <c r="M362" t="n">
        <v>0</v>
      </c>
      <c r="N362" t="n">
        <v>0</v>
      </c>
      <c r="O362" t="n">
        <v>0</v>
      </c>
      <c r="P362" t="n">
        <v>0</v>
      </c>
      <c r="Q362" t="n">
        <v>0</v>
      </c>
      <c r="R362" s="2" t="inlineStr"/>
    </row>
    <row r="363" ht="15" customHeight="1">
      <c r="A363" t="inlineStr">
        <is>
          <t>A 22150-2025</t>
        </is>
      </c>
      <c r="B363" s="1" t="n">
        <v>45785.56398148148</v>
      </c>
      <c r="C363" s="1" t="n">
        <v>46174</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54758-2025</t>
        </is>
      </c>
      <c r="B364" s="1" t="n">
        <v>45966.59737268519</v>
      </c>
      <c r="C364" s="1" t="n">
        <v>46174</v>
      </c>
      <c r="D364" t="inlineStr">
        <is>
          <t>UPPSALA LÄN</t>
        </is>
      </c>
      <c r="E364" t="inlineStr">
        <is>
          <t>ENKÖPING</t>
        </is>
      </c>
      <c r="G364" t="n">
        <v>3.3</v>
      </c>
      <c r="H364" t="n">
        <v>0</v>
      </c>
      <c r="I364" t="n">
        <v>0</v>
      </c>
      <c r="J364" t="n">
        <v>0</v>
      </c>
      <c r="K364" t="n">
        <v>0</v>
      </c>
      <c r="L364" t="n">
        <v>0</v>
      </c>
      <c r="M364" t="n">
        <v>0</v>
      </c>
      <c r="N364" t="n">
        <v>0</v>
      </c>
      <c r="O364" t="n">
        <v>0</v>
      </c>
      <c r="P364" t="n">
        <v>0</v>
      </c>
      <c r="Q364" t="n">
        <v>0</v>
      </c>
      <c r="R364" s="2" t="inlineStr"/>
    </row>
    <row r="365" ht="15" customHeight="1">
      <c r="A365" t="inlineStr">
        <is>
          <t>A 37170-2021</t>
        </is>
      </c>
      <c r="B365" s="1" t="n">
        <v>44395</v>
      </c>
      <c r="C365" s="1" t="n">
        <v>46174</v>
      </c>
      <c r="D365" t="inlineStr">
        <is>
          <t>UPPSALA LÄN</t>
        </is>
      </c>
      <c r="E365" t="inlineStr">
        <is>
          <t>ENKÖPING</t>
        </is>
      </c>
      <c r="G365" t="n">
        <v>1.5</v>
      </c>
      <c r="H365" t="n">
        <v>0</v>
      </c>
      <c r="I365" t="n">
        <v>0</v>
      </c>
      <c r="J365" t="n">
        <v>0</v>
      </c>
      <c r="K365" t="n">
        <v>0</v>
      </c>
      <c r="L365" t="n">
        <v>0</v>
      </c>
      <c r="M365" t="n">
        <v>0</v>
      </c>
      <c r="N365" t="n">
        <v>0</v>
      </c>
      <c r="O365" t="n">
        <v>0</v>
      </c>
      <c r="P365" t="n">
        <v>0</v>
      </c>
      <c r="Q365" t="n">
        <v>0</v>
      </c>
      <c r="R365" s="2" t="inlineStr"/>
    </row>
    <row r="366" ht="15" customHeight="1">
      <c r="A366" t="inlineStr">
        <is>
          <t>A 55567-2025</t>
        </is>
      </c>
      <c r="B366" s="1" t="n">
        <v>45971.65589120371</v>
      </c>
      <c r="C366" s="1" t="n">
        <v>46174</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30087-2024</t>
        </is>
      </c>
      <c r="B367" s="1" t="n">
        <v>45489.39447916667</v>
      </c>
      <c r="C367" s="1" t="n">
        <v>46174</v>
      </c>
      <c r="D367" t="inlineStr">
        <is>
          <t>UPPSALA LÄN</t>
        </is>
      </c>
      <c r="E367" t="inlineStr">
        <is>
          <t>ENKÖPING</t>
        </is>
      </c>
      <c r="G367" t="n">
        <v>1.4</v>
      </c>
      <c r="H367" t="n">
        <v>0</v>
      </c>
      <c r="I367" t="n">
        <v>0</v>
      </c>
      <c r="J367" t="n">
        <v>0</v>
      </c>
      <c r="K367" t="n">
        <v>0</v>
      </c>
      <c r="L367" t="n">
        <v>0</v>
      </c>
      <c r="M367" t="n">
        <v>0</v>
      </c>
      <c r="N367" t="n">
        <v>0</v>
      </c>
      <c r="O367" t="n">
        <v>0</v>
      </c>
      <c r="P367" t="n">
        <v>0</v>
      </c>
      <c r="Q367" t="n">
        <v>0</v>
      </c>
      <c r="R367" s="2" t="inlineStr"/>
    </row>
    <row r="368" ht="15" customHeight="1">
      <c r="A368" t="inlineStr">
        <is>
          <t>A 54776-2024</t>
        </is>
      </c>
      <c r="B368" s="1" t="n">
        <v>45618</v>
      </c>
      <c r="C368" s="1" t="n">
        <v>46174</v>
      </c>
      <c r="D368" t="inlineStr">
        <is>
          <t>UPPSALA LÄN</t>
        </is>
      </c>
      <c r="E368" t="inlineStr">
        <is>
          <t>ENKÖPING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22729-2025</t>
        </is>
      </c>
      <c r="B369" s="1" t="n">
        <v>45789.57790509259</v>
      </c>
      <c r="C369" s="1" t="n">
        <v>46174</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14518-2025</t>
        </is>
      </c>
      <c r="B370" s="1" t="n">
        <v>45741</v>
      </c>
      <c r="C370" s="1" t="n">
        <v>46174</v>
      </c>
      <c r="D370" t="inlineStr">
        <is>
          <t>UPPSALA LÄN</t>
        </is>
      </c>
      <c r="E370" t="inlineStr">
        <is>
          <t>ENKÖPING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18821-2023</t>
        </is>
      </c>
      <c r="B371" s="1" t="n">
        <v>45044.3782175926</v>
      </c>
      <c r="C371" s="1" t="n">
        <v>46174</v>
      </c>
      <c r="D371" t="inlineStr">
        <is>
          <t>UPPSALA LÄN</t>
        </is>
      </c>
      <c r="E371" t="inlineStr">
        <is>
          <t>ENKÖPING</t>
        </is>
      </c>
      <c r="G371" t="n">
        <v>6</v>
      </c>
      <c r="H371" t="n">
        <v>0</v>
      </c>
      <c r="I371" t="n">
        <v>0</v>
      </c>
      <c r="J371" t="n">
        <v>0</v>
      </c>
      <c r="K371" t="n">
        <v>0</v>
      </c>
      <c r="L371" t="n">
        <v>0</v>
      </c>
      <c r="M371" t="n">
        <v>0</v>
      </c>
      <c r="N371" t="n">
        <v>0</v>
      </c>
      <c r="O371" t="n">
        <v>0</v>
      </c>
      <c r="P371" t="n">
        <v>0</v>
      </c>
      <c r="Q371" t="n">
        <v>0</v>
      </c>
      <c r="R371" s="2" t="inlineStr"/>
    </row>
    <row r="372" ht="15" customHeight="1">
      <c r="A372" t="inlineStr">
        <is>
          <t>A 22677-2025</t>
        </is>
      </c>
      <c r="B372" s="1" t="n">
        <v>45789.49515046296</v>
      </c>
      <c r="C372" s="1" t="n">
        <v>46174</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22679-2025</t>
        </is>
      </c>
      <c r="B373" s="1" t="n">
        <v>45789.49747685185</v>
      </c>
      <c r="C373" s="1" t="n">
        <v>46174</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22770-2025</t>
        </is>
      </c>
      <c r="B374" s="1" t="n">
        <v>45789.63454861111</v>
      </c>
      <c r="C374" s="1" t="n">
        <v>46174</v>
      </c>
      <c r="D374" t="inlineStr">
        <is>
          <t>UPPSALA LÄN</t>
        </is>
      </c>
      <c r="E374" t="inlineStr">
        <is>
          <t>ENKÖPING</t>
        </is>
      </c>
      <c r="G374" t="n">
        <v>4.5</v>
      </c>
      <c r="H374" t="n">
        <v>0</v>
      </c>
      <c r="I374" t="n">
        <v>0</v>
      </c>
      <c r="J374" t="n">
        <v>0</v>
      </c>
      <c r="K374" t="n">
        <v>0</v>
      </c>
      <c r="L374" t="n">
        <v>0</v>
      </c>
      <c r="M374" t="n">
        <v>0</v>
      </c>
      <c r="N374" t="n">
        <v>0</v>
      </c>
      <c r="O374" t="n">
        <v>0</v>
      </c>
      <c r="P374" t="n">
        <v>0</v>
      </c>
      <c r="Q374" t="n">
        <v>0</v>
      </c>
      <c r="R374" s="2" t="inlineStr"/>
    </row>
    <row r="375" ht="15" customHeight="1">
      <c r="A375" t="inlineStr">
        <is>
          <t>A 22800-2025</t>
        </is>
      </c>
      <c r="B375" s="1" t="n">
        <v>45789.6669212963</v>
      </c>
      <c r="C375" s="1" t="n">
        <v>46174</v>
      </c>
      <c r="D375" t="inlineStr">
        <is>
          <t>UPPSALA LÄN</t>
        </is>
      </c>
      <c r="E375" t="inlineStr">
        <is>
          <t>ENKÖPING</t>
        </is>
      </c>
      <c r="G375" t="n">
        <v>2</v>
      </c>
      <c r="H375" t="n">
        <v>0</v>
      </c>
      <c r="I375" t="n">
        <v>0</v>
      </c>
      <c r="J375" t="n">
        <v>0</v>
      </c>
      <c r="K375" t="n">
        <v>0</v>
      </c>
      <c r="L375" t="n">
        <v>0</v>
      </c>
      <c r="M375" t="n">
        <v>0</v>
      </c>
      <c r="N375" t="n">
        <v>0</v>
      </c>
      <c r="O375" t="n">
        <v>0</v>
      </c>
      <c r="P375" t="n">
        <v>0</v>
      </c>
      <c r="Q375" t="n">
        <v>0</v>
      </c>
      <c r="R375" s="2" t="inlineStr"/>
    </row>
    <row r="376" ht="15" customHeight="1">
      <c r="A376" t="inlineStr">
        <is>
          <t>A 23889-2026</t>
        </is>
      </c>
      <c r="B376" s="1" t="n">
        <v>46167.45914351852</v>
      </c>
      <c r="C376" s="1" t="n">
        <v>46174</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58147-2024</t>
        </is>
      </c>
      <c r="B377" s="1" t="n">
        <v>45632.4334375</v>
      </c>
      <c r="C377" s="1" t="n">
        <v>46174</v>
      </c>
      <c r="D377" t="inlineStr">
        <is>
          <t>UPPSALA LÄN</t>
        </is>
      </c>
      <c r="E377" t="inlineStr">
        <is>
          <t>ENKÖPING</t>
        </is>
      </c>
      <c r="G377" t="n">
        <v>3</v>
      </c>
      <c r="H377" t="n">
        <v>0</v>
      </c>
      <c r="I377" t="n">
        <v>0</v>
      </c>
      <c r="J377" t="n">
        <v>0</v>
      </c>
      <c r="K377" t="n">
        <v>0</v>
      </c>
      <c r="L377" t="n">
        <v>0</v>
      </c>
      <c r="M377" t="n">
        <v>0</v>
      </c>
      <c r="N377" t="n">
        <v>0</v>
      </c>
      <c r="O377" t="n">
        <v>0</v>
      </c>
      <c r="P377" t="n">
        <v>0</v>
      </c>
      <c r="Q377" t="n">
        <v>0</v>
      </c>
      <c r="R377" s="2" t="inlineStr"/>
    </row>
    <row r="378" ht="15" customHeight="1">
      <c r="A378" t="inlineStr">
        <is>
          <t>A 40773-2022</t>
        </is>
      </c>
      <c r="B378" s="1" t="n">
        <v>44824.61237268519</v>
      </c>
      <c r="C378" s="1" t="n">
        <v>46174</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6981-2025</t>
        </is>
      </c>
      <c r="B379" s="1" t="n">
        <v>45701</v>
      </c>
      <c r="C379" s="1" t="n">
        <v>46174</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22786-2025</t>
        </is>
      </c>
      <c r="B380" s="1" t="n">
        <v>45789.64643518518</v>
      </c>
      <c r="C380" s="1" t="n">
        <v>46174</v>
      </c>
      <c r="D380" t="inlineStr">
        <is>
          <t>UPPSALA LÄN</t>
        </is>
      </c>
      <c r="E380" t="inlineStr">
        <is>
          <t>ENKÖPING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62599-2025</t>
        </is>
      </c>
      <c r="B381" s="1" t="n">
        <v>46007.91961805556</v>
      </c>
      <c r="C381" s="1" t="n">
        <v>46174</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3550-2023</t>
        </is>
      </c>
      <c r="B382" s="1" t="n">
        <v>44950</v>
      </c>
      <c r="C382" s="1" t="n">
        <v>46174</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16967-2022</t>
        </is>
      </c>
      <c r="B383" s="1" t="n">
        <v>44676</v>
      </c>
      <c r="C383" s="1" t="n">
        <v>46174</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68123-2021</t>
        </is>
      </c>
      <c r="B384" s="1" t="n">
        <v>44526.39126157408</v>
      </c>
      <c r="C384" s="1" t="n">
        <v>46174</v>
      </c>
      <c r="D384" t="inlineStr">
        <is>
          <t>UPPSALA LÄN</t>
        </is>
      </c>
      <c r="E384" t="inlineStr">
        <is>
          <t>ENKÖPING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19014-2025</t>
        </is>
      </c>
      <c r="B385" s="1" t="n">
        <v>45764.59631944444</v>
      </c>
      <c r="C385" s="1" t="n">
        <v>46174</v>
      </c>
      <c r="D385" t="inlineStr">
        <is>
          <t>UPPSALA LÄN</t>
        </is>
      </c>
      <c r="E385" t="inlineStr">
        <is>
          <t>ENKÖPING</t>
        </is>
      </c>
      <c r="G385" t="n">
        <v>0.2</v>
      </c>
      <c r="H385" t="n">
        <v>0</v>
      </c>
      <c r="I385" t="n">
        <v>0</v>
      </c>
      <c r="J385" t="n">
        <v>0</v>
      </c>
      <c r="K385" t="n">
        <v>0</v>
      </c>
      <c r="L385" t="n">
        <v>0</v>
      </c>
      <c r="M385" t="n">
        <v>0</v>
      </c>
      <c r="N385" t="n">
        <v>0</v>
      </c>
      <c r="O385" t="n">
        <v>0</v>
      </c>
      <c r="P385" t="n">
        <v>0</v>
      </c>
      <c r="Q385" t="n">
        <v>0</v>
      </c>
      <c r="R385" s="2" t="inlineStr"/>
    </row>
    <row r="386" ht="15" customHeight="1">
      <c r="A386" t="inlineStr">
        <is>
          <t>A 56625-2025</t>
        </is>
      </c>
      <c r="B386" s="1" t="n">
        <v>45975.60608796297</v>
      </c>
      <c r="C386" s="1" t="n">
        <v>46174</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22680-2025</t>
        </is>
      </c>
      <c r="B387" s="1" t="n">
        <v>45789.5005787037</v>
      </c>
      <c r="C387" s="1" t="n">
        <v>46174</v>
      </c>
      <c r="D387" t="inlineStr">
        <is>
          <t>UPPSALA LÄN</t>
        </is>
      </c>
      <c r="E387" t="inlineStr">
        <is>
          <t>ENKÖPING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22802-2025</t>
        </is>
      </c>
      <c r="B388" s="1" t="n">
        <v>45789.6686574074</v>
      </c>
      <c r="C388" s="1" t="n">
        <v>46174</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23882-2026</t>
        </is>
      </c>
      <c r="B389" s="1" t="n">
        <v>46167.448125</v>
      </c>
      <c r="C389" s="1" t="n">
        <v>46174</v>
      </c>
      <c r="D389" t="inlineStr">
        <is>
          <t>UPPSALA LÄN</t>
        </is>
      </c>
      <c r="E389" t="inlineStr">
        <is>
          <t>ENKÖPING</t>
        </is>
      </c>
      <c r="G389" t="n">
        <v>8.5</v>
      </c>
      <c r="H389" t="n">
        <v>0</v>
      </c>
      <c r="I389" t="n">
        <v>0</v>
      </c>
      <c r="J389" t="n">
        <v>0</v>
      </c>
      <c r="K389" t="n">
        <v>0</v>
      </c>
      <c r="L389" t="n">
        <v>0</v>
      </c>
      <c r="M389" t="n">
        <v>0</v>
      </c>
      <c r="N389" t="n">
        <v>0</v>
      </c>
      <c r="O389" t="n">
        <v>0</v>
      </c>
      <c r="P389" t="n">
        <v>0</v>
      </c>
      <c r="Q389" t="n">
        <v>0</v>
      </c>
      <c r="R389" s="2" t="inlineStr"/>
    </row>
    <row r="390" ht="15" customHeight="1">
      <c r="A390" t="inlineStr">
        <is>
          <t>A 9257-2026</t>
        </is>
      </c>
      <c r="B390" s="1" t="n">
        <v>46070.51166666667</v>
      </c>
      <c r="C390" s="1" t="n">
        <v>46174</v>
      </c>
      <c r="D390" t="inlineStr">
        <is>
          <t>UPPSALA LÄN</t>
        </is>
      </c>
      <c r="E390" t="inlineStr">
        <is>
          <t>ENKÖPING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12958-2024</t>
        </is>
      </c>
      <c r="B391" s="1" t="n">
        <v>45385</v>
      </c>
      <c r="C391" s="1" t="n">
        <v>46174</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25989-2025</t>
        </is>
      </c>
      <c r="B392" s="1" t="n">
        <v>45804.65050925926</v>
      </c>
      <c r="C392" s="1" t="n">
        <v>46174</v>
      </c>
      <c r="D392" t="inlineStr">
        <is>
          <t>UPPSALA LÄN</t>
        </is>
      </c>
      <c r="E392" t="inlineStr">
        <is>
          <t>ENKÖPING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18644-2026</t>
        </is>
      </c>
      <c r="B393" s="1" t="n">
        <v>46128.33157407407</v>
      </c>
      <c r="C393" s="1" t="n">
        <v>46174</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1651-2024</t>
        </is>
      </c>
      <c r="B394" s="1" t="n">
        <v>45306.73770833333</v>
      </c>
      <c r="C394" s="1" t="n">
        <v>46174</v>
      </c>
      <c r="D394" t="inlineStr">
        <is>
          <t>UPPSALA LÄN</t>
        </is>
      </c>
      <c r="E394" t="inlineStr">
        <is>
          <t>ENKÖPING</t>
        </is>
      </c>
      <c r="G394" t="n">
        <v>10.2</v>
      </c>
      <c r="H394" t="n">
        <v>0</v>
      </c>
      <c r="I394" t="n">
        <v>0</v>
      </c>
      <c r="J394" t="n">
        <v>0</v>
      </c>
      <c r="K394" t="n">
        <v>0</v>
      </c>
      <c r="L394" t="n">
        <v>0</v>
      </c>
      <c r="M394" t="n">
        <v>0</v>
      </c>
      <c r="N394" t="n">
        <v>0</v>
      </c>
      <c r="O394" t="n">
        <v>0</v>
      </c>
      <c r="P394" t="n">
        <v>0</v>
      </c>
      <c r="Q394" t="n">
        <v>0</v>
      </c>
      <c r="R394" s="2" t="inlineStr"/>
    </row>
    <row r="395" ht="15" customHeight="1">
      <c r="A395" t="inlineStr">
        <is>
          <t>A 18643-2026</t>
        </is>
      </c>
      <c r="B395" s="1" t="n">
        <v>46128.33024305556</v>
      </c>
      <c r="C395" s="1" t="n">
        <v>46174</v>
      </c>
      <c r="D395" t="inlineStr">
        <is>
          <t>UPPSALA LÄN</t>
        </is>
      </c>
      <c r="E395" t="inlineStr">
        <is>
          <t>ENKÖPING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57294-2025</t>
        </is>
      </c>
      <c r="B396" s="1" t="n">
        <v>45979</v>
      </c>
      <c r="C396" s="1" t="n">
        <v>46174</v>
      </c>
      <c r="D396" t="inlineStr">
        <is>
          <t>UPPSALA LÄN</t>
        </is>
      </c>
      <c r="E396" t="inlineStr">
        <is>
          <t>ENKÖPING</t>
        </is>
      </c>
      <c r="G396" t="n">
        <v>6.2</v>
      </c>
      <c r="H396" t="n">
        <v>0</v>
      </c>
      <c r="I396" t="n">
        <v>0</v>
      </c>
      <c r="J396" t="n">
        <v>0</v>
      </c>
      <c r="K396" t="n">
        <v>0</v>
      </c>
      <c r="L396" t="n">
        <v>0</v>
      </c>
      <c r="M396" t="n">
        <v>0</v>
      </c>
      <c r="N396" t="n">
        <v>0</v>
      </c>
      <c r="O396" t="n">
        <v>0</v>
      </c>
      <c r="P396" t="n">
        <v>0</v>
      </c>
      <c r="Q396" t="n">
        <v>0</v>
      </c>
      <c r="R396" s="2" t="inlineStr"/>
    </row>
    <row r="397" ht="15" customHeight="1">
      <c r="A397" t="inlineStr">
        <is>
          <t>A 18806-2026</t>
        </is>
      </c>
      <c r="B397" s="1" t="n">
        <v>46128.63238425926</v>
      </c>
      <c r="C397" s="1" t="n">
        <v>46174</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22793-2025</t>
        </is>
      </c>
      <c r="B398" s="1" t="n">
        <v>45789.65693287037</v>
      </c>
      <c r="C398" s="1" t="n">
        <v>46174</v>
      </c>
      <c r="D398" t="inlineStr">
        <is>
          <t>UPPSALA LÄN</t>
        </is>
      </c>
      <c r="E398" t="inlineStr">
        <is>
          <t>ENKÖPING</t>
        </is>
      </c>
      <c r="G398" t="n">
        <v>3.2</v>
      </c>
      <c r="H398" t="n">
        <v>0</v>
      </c>
      <c r="I398" t="n">
        <v>0</v>
      </c>
      <c r="J398" t="n">
        <v>0</v>
      </c>
      <c r="K398" t="n">
        <v>0</v>
      </c>
      <c r="L398" t="n">
        <v>0</v>
      </c>
      <c r="M398" t="n">
        <v>0</v>
      </c>
      <c r="N398" t="n">
        <v>0</v>
      </c>
      <c r="O398" t="n">
        <v>0</v>
      </c>
      <c r="P398" t="n">
        <v>0</v>
      </c>
      <c r="Q398" t="n">
        <v>0</v>
      </c>
      <c r="R398" s="2" t="inlineStr"/>
    </row>
    <row r="399" ht="15" customHeight="1">
      <c r="A399" t="inlineStr">
        <is>
          <t>A 22795-2025</t>
        </is>
      </c>
      <c r="B399" s="1" t="n">
        <v>45789.65944444444</v>
      </c>
      <c r="C399" s="1" t="n">
        <v>46174</v>
      </c>
      <c r="D399" t="inlineStr">
        <is>
          <t>UPPSALA LÄN</t>
        </is>
      </c>
      <c r="E399" t="inlineStr">
        <is>
          <t>ENKÖPING</t>
        </is>
      </c>
      <c r="G399" t="n">
        <v>10.4</v>
      </c>
      <c r="H399" t="n">
        <v>0</v>
      </c>
      <c r="I399" t="n">
        <v>0</v>
      </c>
      <c r="J399" t="n">
        <v>0</v>
      </c>
      <c r="K399" t="n">
        <v>0</v>
      </c>
      <c r="L399" t="n">
        <v>0</v>
      </c>
      <c r="M399" t="n">
        <v>0</v>
      </c>
      <c r="N399" t="n">
        <v>0</v>
      </c>
      <c r="O399" t="n">
        <v>0</v>
      </c>
      <c r="P399" t="n">
        <v>0</v>
      </c>
      <c r="Q399" t="n">
        <v>0</v>
      </c>
      <c r="R399" s="2" t="inlineStr"/>
    </row>
    <row r="400" ht="15" customHeight="1">
      <c r="A400" t="inlineStr">
        <is>
          <t>A 18565-2026</t>
        </is>
      </c>
      <c r="B400" s="1" t="n">
        <v>46127.5871412037</v>
      </c>
      <c r="C400" s="1" t="n">
        <v>46174</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22725-2025</t>
        </is>
      </c>
      <c r="B401" s="1" t="n">
        <v>45789.57371527778</v>
      </c>
      <c r="C401" s="1" t="n">
        <v>46174</v>
      </c>
      <c r="D401" t="inlineStr">
        <is>
          <t>UPPSALA LÄN</t>
        </is>
      </c>
      <c r="E401" t="inlineStr">
        <is>
          <t>ENKÖPING</t>
        </is>
      </c>
      <c r="G401" t="n">
        <v>4.8</v>
      </c>
      <c r="H401" t="n">
        <v>0</v>
      </c>
      <c r="I401" t="n">
        <v>0</v>
      </c>
      <c r="J401" t="n">
        <v>0</v>
      </c>
      <c r="K401" t="n">
        <v>0</v>
      </c>
      <c r="L401" t="n">
        <v>0</v>
      </c>
      <c r="M401" t="n">
        <v>0</v>
      </c>
      <c r="N401" t="n">
        <v>0</v>
      </c>
      <c r="O401" t="n">
        <v>0</v>
      </c>
      <c r="P401" t="n">
        <v>0</v>
      </c>
      <c r="Q401" t="n">
        <v>0</v>
      </c>
      <c r="R401" s="2" t="inlineStr"/>
    </row>
    <row r="402" ht="15" customHeight="1">
      <c r="A402" t="inlineStr">
        <is>
          <t>A 6041-2026</t>
        </is>
      </c>
      <c r="B402" s="1" t="n">
        <v>46052.62184027778</v>
      </c>
      <c r="C402" s="1" t="n">
        <v>46174</v>
      </c>
      <c r="D402" t="inlineStr">
        <is>
          <t>UPPSALA LÄN</t>
        </is>
      </c>
      <c r="E402" t="inlineStr">
        <is>
          <t>ENKÖPING</t>
        </is>
      </c>
      <c r="G402" t="n">
        <v>4</v>
      </c>
      <c r="H402" t="n">
        <v>0</v>
      </c>
      <c r="I402" t="n">
        <v>0</v>
      </c>
      <c r="J402" t="n">
        <v>0</v>
      </c>
      <c r="K402" t="n">
        <v>0</v>
      </c>
      <c r="L402" t="n">
        <v>0</v>
      </c>
      <c r="M402" t="n">
        <v>0</v>
      </c>
      <c r="N402" t="n">
        <v>0</v>
      </c>
      <c r="O402" t="n">
        <v>0</v>
      </c>
      <c r="P402" t="n">
        <v>0</v>
      </c>
      <c r="Q402" t="n">
        <v>0</v>
      </c>
      <c r="R402" s="2" t="inlineStr"/>
    </row>
    <row r="403" ht="15" customHeight="1">
      <c r="A403" t="inlineStr">
        <is>
          <t>A 6044-2026</t>
        </is>
      </c>
      <c r="B403" s="1" t="n">
        <v>46052.62506944445</v>
      </c>
      <c r="C403" s="1" t="n">
        <v>46174</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7167-2026</t>
        </is>
      </c>
      <c r="B404" s="1" t="n">
        <v>46058.45677083333</v>
      </c>
      <c r="C404" s="1" t="n">
        <v>46174</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6049-2026</t>
        </is>
      </c>
      <c r="B405" s="1" t="n">
        <v>46052.63005787037</v>
      </c>
      <c r="C405" s="1" t="n">
        <v>46174</v>
      </c>
      <c r="D405" t="inlineStr">
        <is>
          <t>UPPSALA LÄN</t>
        </is>
      </c>
      <c r="E405" t="inlineStr">
        <is>
          <t>ENKÖPING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7168-2026</t>
        </is>
      </c>
      <c r="B406" s="1" t="n">
        <v>46058.45831018518</v>
      </c>
      <c r="C406" s="1" t="n">
        <v>46174</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7172-2026</t>
        </is>
      </c>
      <c r="B407" s="1" t="n">
        <v>46058.46113425926</v>
      </c>
      <c r="C407" s="1" t="n">
        <v>46174</v>
      </c>
      <c r="D407" t="inlineStr">
        <is>
          <t>UPPSALA LÄN</t>
        </is>
      </c>
      <c r="E407" t="inlineStr">
        <is>
          <t>ENKÖPING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7175-2026</t>
        </is>
      </c>
      <c r="B408" s="1" t="n">
        <v>46058.46399305556</v>
      </c>
      <c r="C408" s="1" t="n">
        <v>46174</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25990-2025</t>
        </is>
      </c>
      <c r="B409" s="1" t="n">
        <v>45804.65229166667</v>
      </c>
      <c r="C409" s="1" t="n">
        <v>46174</v>
      </c>
      <c r="D409" t="inlineStr">
        <is>
          <t>UPPSALA LÄN</t>
        </is>
      </c>
      <c r="E409" t="inlineStr">
        <is>
          <t>ENKÖPING</t>
        </is>
      </c>
      <c r="G409" t="n">
        <v>1.8</v>
      </c>
      <c r="H409" t="n">
        <v>0</v>
      </c>
      <c r="I409" t="n">
        <v>0</v>
      </c>
      <c r="J409" t="n">
        <v>0</v>
      </c>
      <c r="K409" t="n">
        <v>0</v>
      </c>
      <c r="L409" t="n">
        <v>0</v>
      </c>
      <c r="M409" t="n">
        <v>0</v>
      </c>
      <c r="N409" t="n">
        <v>0</v>
      </c>
      <c r="O409" t="n">
        <v>0</v>
      </c>
      <c r="P409" t="n">
        <v>0</v>
      </c>
      <c r="Q409" t="n">
        <v>0</v>
      </c>
      <c r="R409" s="2" t="inlineStr"/>
    </row>
    <row r="410" ht="15" customHeight="1">
      <c r="A410" t="inlineStr">
        <is>
          <t>A 58025-2025</t>
        </is>
      </c>
      <c r="B410" s="1" t="n">
        <v>45982</v>
      </c>
      <c r="C410" s="1" t="n">
        <v>46174</v>
      </c>
      <c r="D410" t="inlineStr">
        <is>
          <t>UPPSALA LÄN</t>
        </is>
      </c>
      <c r="E410" t="inlineStr">
        <is>
          <t>ENKÖPING</t>
        </is>
      </c>
      <c r="G410" t="n">
        <v>3.2</v>
      </c>
      <c r="H410" t="n">
        <v>0</v>
      </c>
      <c r="I410" t="n">
        <v>0</v>
      </c>
      <c r="J410" t="n">
        <v>0</v>
      </c>
      <c r="K410" t="n">
        <v>0</v>
      </c>
      <c r="L410" t="n">
        <v>0</v>
      </c>
      <c r="M410" t="n">
        <v>0</v>
      </c>
      <c r="N410" t="n">
        <v>0</v>
      </c>
      <c r="O410" t="n">
        <v>0</v>
      </c>
      <c r="P410" t="n">
        <v>0</v>
      </c>
      <c r="Q410" t="n">
        <v>0</v>
      </c>
      <c r="R410" s="2" t="inlineStr"/>
    </row>
    <row r="411" ht="15" customHeight="1">
      <c r="A411" t="inlineStr">
        <is>
          <t>A 18562-2026</t>
        </is>
      </c>
      <c r="B411" s="1" t="n">
        <v>46127</v>
      </c>
      <c r="C411" s="1" t="n">
        <v>46174</v>
      </c>
      <c r="D411" t="inlineStr">
        <is>
          <t>UPPSALA LÄN</t>
        </is>
      </c>
      <c r="E411" t="inlineStr">
        <is>
          <t>ENKÖPING</t>
        </is>
      </c>
      <c r="G411" t="n">
        <v>4</v>
      </c>
      <c r="H411" t="n">
        <v>0</v>
      </c>
      <c r="I411" t="n">
        <v>0</v>
      </c>
      <c r="J411" t="n">
        <v>0</v>
      </c>
      <c r="K411" t="n">
        <v>0</v>
      </c>
      <c r="L411" t="n">
        <v>0</v>
      </c>
      <c r="M411" t="n">
        <v>0</v>
      </c>
      <c r="N411" t="n">
        <v>0</v>
      </c>
      <c r="O411" t="n">
        <v>0</v>
      </c>
      <c r="P411" t="n">
        <v>0</v>
      </c>
      <c r="Q411" t="n">
        <v>0</v>
      </c>
      <c r="R411" s="2" t="inlineStr"/>
    </row>
    <row r="412" ht="15" customHeight="1">
      <c r="A412" t="inlineStr">
        <is>
          <t>A 57188-2025</t>
        </is>
      </c>
      <c r="B412" s="1" t="n">
        <v>45979</v>
      </c>
      <c r="C412" s="1" t="n">
        <v>46174</v>
      </c>
      <c r="D412" t="inlineStr">
        <is>
          <t>UPPSALA LÄN</t>
        </is>
      </c>
      <c r="E412" t="inlineStr">
        <is>
          <t>ENKÖPING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22981-2025</t>
        </is>
      </c>
      <c r="B413" s="1" t="n">
        <v>45790.56964120371</v>
      </c>
      <c r="C413" s="1" t="n">
        <v>46174</v>
      </c>
      <c r="D413" t="inlineStr">
        <is>
          <t>UPPSALA LÄN</t>
        </is>
      </c>
      <c r="E413" t="inlineStr">
        <is>
          <t>ENKÖPING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45956-2024</t>
        </is>
      </c>
      <c r="B414" s="1" t="n">
        <v>45580</v>
      </c>
      <c r="C414" s="1" t="n">
        <v>46174</v>
      </c>
      <c r="D414" t="inlineStr">
        <is>
          <t>UPPSALA LÄN</t>
        </is>
      </c>
      <c r="E414" t="inlineStr">
        <is>
          <t>ENKÖPING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10831-2024</t>
        </is>
      </c>
      <c r="B415" s="1" t="n">
        <v>45369</v>
      </c>
      <c r="C415" s="1" t="n">
        <v>46174</v>
      </c>
      <c r="D415" t="inlineStr">
        <is>
          <t>UPPSALA LÄN</t>
        </is>
      </c>
      <c r="E415" t="inlineStr">
        <is>
          <t>ENKÖPING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8020-2022</t>
        </is>
      </c>
      <c r="B416" s="1" t="n">
        <v>44609</v>
      </c>
      <c r="C416" s="1" t="n">
        <v>46174</v>
      </c>
      <c r="D416" t="inlineStr">
        <is>
          <t>UPPSALA LÄN</t>
        </is>
      </c>
      <c r="E416" t="inlineStr">
        <is>
          <t>ENKÖPING</t>
        </is>
      </c>
      <c r="G416" t="n">
        <v>6</v>
      </c>
      <c r="H416" t="n">
        <v>0</v>
      </c>
      <c r="I416" t="n">
        <v>0</v>
      </c>
      <c r="J416" t="n">
        <v>0</v>
      </c>
      <c r="K416" t="n">
        <v>0</v>
      </c>
      <c r="L416" t="n">
        <v>0</v>
      </c>
      <c r="M416" t="n">
        <v>0</v>
      </c>
      <c r="N416" t="n">
        <v>0</v>
      </c>
      <c r="O416" t="n">
        <v>0</v>
      </c>
      <c r="P416" t="n">
        <v>0</v>
      </c>
      <c r="Q416" t="n">
        <v>0</v>
      </c>
      <c r="R416" s="2" t="inlineStr"/>
    </row>
    <row r="417" ht="15" customHeight="1">
      <c r="A417" t="inlineStr">
        <is>
          <t>A 74090-2021</t>
        </is>
      </c>
      <c r="B417" s="1" t="n">
        <v>44557</v>
      </c>
      <c r="C417" s="1" t="n">
        <v>46174</v>
      </c>
      <c r="D417" t="inlineStr">
        <is>
          <t>UPPSALA LÄN</t>
        </is>
      </c>
      <c r="E417" t="inlineStr">
        <is>
          <t>ENKÖPING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59668-2025</t>
        </is>
      </c>
      <c r="B418" s="1" t="n">
        <v>45992.45567129629</v>
      </c>
      <c r="C418" s="1" t="n">
        <v>46174</v>
      </c>
      <c r="D418" t="inlineStr">
        <is>
          <t>UPPSALA LÄN</t>
        </is>
      </c>
      <c r="E418" t="inlineStr">
        <is>
          <t>ENKÖPING</t>
        </is>
      </c>
      <c r="G418" t="n">
        <v>3.3</v>
      </c>
      <c r="H418" t="n">
        <v>0</v>
      </c>
      <c r="I418" t="n">
        <v>0</v>
      </c>
      <c r="J418" t="n">
        <v>0</v>
      </c>
      <c r="K418" t="n">
        <v>0</v>
      </c>
      <c r="L418" t="n">
        <v>0</v>
      </c>
      <c r="M418" t="n">
        <v>0</v>
      </c>
      <c r="N418" t="n">
        <v>0</v>
      </c>
      <c r="O418" t="n">
        <v>0</v>
      </c>
      <c r="P418" t="n">
        <v>0</v>
      </c>
      <c r="Q418" t="n">
        <v>0</v>
      </c>
      <c r="R418" s="2" t="inlineStr"/>
    </row>
    <row r="419" ht="15" customHeight="1">
      <c r="A419" t="inlineStr">
        <is>
          <t>A 34805-2024</t>
        </is>
      </c>
      <c r="B419" s="1" t="n">
        <v>45526</v>
      </c>
      <c r="C419" s="1" t="n">
        <v>46174</v>
      </c>
      <c r="D419" t="inlineStr">
        <is>
          <t>UPPSALA LÄN</t>
        </is>
      </c>
      <c r="E419" t="inlineStr">
        <is>
          <t>ENKÖPING</t>
        </is>
      </c>
      <c r="G419" t="n">
        <v>3.6</v>
      </c>
      <c r="H419" t="n">
        <v>0</v>
      </c>
      <c r="I419" t="n">
        <v>0</v>
      </c>
      <c r="J419" t="n">
        <v>0</v>
      </c>
      <c r="K419" t="n">
        <v>0</v>
      </c>
      <c r="L419" t="n">
        <v>0</v>
      </c>
      <c r="M419" t="n">
        <v>0</v>
      </c>
      <c r="N419" t="n">
        <v>0</v>
      </c>
      <c r="O419" t="n">
        <v>0</v>
      </c>
      <c r="P419" t="n">
        <v>0</v>
      </c>
      <c r="Q419" t="n">
        <v>0</v>
      </c>
      <c r="R419" s="2" t="inlineStr"/>
    </row>
    <row r="420" ht="15" customHeight="1">
      <c r="A420" t="inlineStr">
        <is>
          <t>A 17729-2023</t>
        </is>
      </c>
      <c r="B420" s="1" t="n">
        <v>45037</v>
      </c>
      <c r="C420" s="1" t="n">
        <v>46174</v>
      </c>
      <c r="D420" t="inlineStr">
        <is>
          <t>UPPSALA LÄN</t>
        </is>
      </c>
      <c r="E420" t="inlineStr">
        <is>
          <t>ENKÖPING</t>
        </is>
      </c>
      <c r="G420" t="n">
        <v>10.2</v>
      </c>
      <c r="H420" t="n">
        <v>0</v>
      </c>
      <c r="I420" t="n">
        <v>0</v>
      </c>
      <c r="J420" t="n">
        <v>0</v>
      </c>
      <c r="K420" t="n">
        <v>0</v>
      </c>
      <c r="L420" t="n">
        <v>0</v>
      </c>
      <c r="M420" t="n">
        <v>0</v>
      </c>
      <c r="N420" t="n">
        <v>0</v>
      </c>
      <c r="O420" t="n">
        <v>0</v>
      </c>
      <c r="P420" t="n">
        <v>0</v>
      </c>
      <c r="Q420" t="n">
        <v>0</v>
      </c>
      <c r="R420" s="2" t="inlineStr"/>
    </row>
    <row r="421" ht="15" customHeight="1">
      <c r="A421" t="inlineStr">
        <is>
          <t>A 59964-2025</t>
        </is>
      </c>
      <c r="B421" s="1" t="n">
        <v>45993.48043981481</v>
      </c>
      <c r="C421" s="1" t="n">
        <v>46174</v>
      </c>
      <c r="D421" t="inlineStr">
        <is>
          <t>UPPSALA LÄN</t>
        </is>
      </c>
      <c r="E421" t="inlineStr">
        <is>
          <t>ENKÖPING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5712-2025</t>
        </is>
      </c>
      <c r="B422" s="1" t="n">
        <v>45694</v>
      </c>
      <c r="C422" s="1" t="n">
        <v>46174</v>
      </c>
      <c r="D422" t="inlineStr">
        <is>
          <t>UPPSALA LÄN</t>
        </is>
      </c>
      <c r="E422" t="inlineStr">
        <is>
          <t>ENKÖPING</t>
        </is>
      </c>
      <c r="G422" t="n">
        <v>5.1</v>
      </c>
      <c r="H422" t="n">
        <v>0</v>
      </c>
      <c r="I422" t="n">
        <v>0</v>
      </c>
      <c r="J422" t="n">
        <v>0</v>
      </c>
      <c r="K422" t="n">
        <v>0</v>
      </c>
      <c r="L422" t="n">
        <v>0</v>
      </c>
      <c r="M422" t="n">
        <v>0</v>
      </c>
      <c r="N422" t="n">
        <v>0</v>
      </c>
      <c r="O422" t="n">
        <v>0</v>
      </c>
      <c r="P422" t="n">
        <v>0</v>
      </c>
      <c r="Q422" t="n">
        <v>0</v>
      </c>
      <c r="R422" s="2" t="inlineStr"/>
    </row>
    <row r="423" ht="15" customHeight="1">
      <c r="A423" t="inlineStr">
        <is>
          <t>A 5749-2025</t>
        </is>
      </c>
      <c r="B423" s="1" t="n">
        <v>45694</v>
      </c>
      <c r="C423" s="1" t="n">
        <v>46174</v>
      </c>
      <c r="D423" t="inlineStr">
        <is>
          <t>UPPSALA LÄN</t>
        </is>
      </c>
      <c r="E423" t="inlineStr">
        <is>
          <t>ENKÖPING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60340-2025</t>
        </is>
      </c>
      <c r="B424" s="1" t="n">
        <v>45994.83415509259</v>
      </c>
      <c r="C424" s="1" t="n">
        <v>46174</v>
      </c>
      <c r="D424" t="inlineStr">
        <is>
          <t>UPPSALA LÄN</t>
        </is>
      </c>
      <c r="E424" t="inlineStr">
        <is>
          <t>ENKÖPING</t>
        </is>
      </c>
      <c r="G424" t="n">
        <v>5.6</v>
      </c>
      <c r="H424" t="n">
        <v>0</v>
      </c>
      <c r="I424" t="n">
        <v>0</v>
      </c>
      <c r="J424" t="n">
        <v>0</v>
      </c>
      <c r="K424" t="n">
        <v>0</v>
      </c>
      <c r="L424" t="n">
        <v>0</v>
      </c>
      <c r="M424" t="n">
        <v>0</v>
      </c>
      <c r="N424" t="n">
        <v>0</v>
      </c>
      <c r="O424" t="n">
        <v>0</v>
      </c>
      <c r="P424" t="n">
        <v>0</v>
      </c>
      <c r="Q424" t="n">
        <v>0</v>
      </c>
      <c r="R424" s="2" t="inlineStr"/>
    </row>
    <row r="425" ht="15" customHeight="1">
      <c r="A425" t="inlineStr">
        <is>
          <t>A 314-2025</t>
        </is>
      </c>
      <c r="B425" s="1" t="n">
        <v>45656</v>
      </c>
      <c r="C425" s="1" t="n">
        <v>46174</v>
      </c>
      <c r="D425" t="inlineStr">
        <is>
          <t>UPPSALA LÄN</t>
        </is>
      </c>
      <c r="E425" t="inlineStr">
        <is>
          <t>ENKÖPING</t>
        </is>
      </c>
      <c r="G425" t="n">
        <v>9</v>
      </c>
      <c r="H425" t="n">
        <v>0</v>
      </c>
      <c r="I425" t="n">
        <v>0</v>
      </c>
      <c r="J425" t="n">
        <v>0</v>
      </c>
      <c r="K425" t="n">
        <v>0</v>
      </c>
      <c r="L425" t="n">
        <v>0</v>
      </c>
      <c r="M425" t="n">
        <v>0</v>
      </c>
      <c r="N425" t="n">
        <v>0</v>
      </c>
      <c r="O425" t="n">
        <v>0</v>
      </c>
      <c r="P425" t="n">
        <v>0</v>
      </c>
      <c r="Q425" t="n">
        <v>0</v>
      </c>
      <c r="R425" s="2" t="inlineStr"/>
    </row>
    <row r="426" ht="15" customHeight="1">
      <c r="A426" t="inlineStr">
        <is>
          <t>A 11627-2025</t>
        </is>
      </c>
      <c r="B426" s="1" t="n">
        <v>45727</v>
      </c>
      <c r="C426" s="1" t="n">
        <v>46174</v>
      </c>
      <c r="D426" t="inlineStr">
        <is>
          <t>UPPSALA LÄN</t>
        </is>
      </c>
      <c r="E426" t="inlineStr">
        <is>
          <t>ENKÖPING</t>
        </is>
      </c>
      <c r="G426" t="n">
        <v>5.5</v>
      </c>
      <c r="H426" t="n">
        <v>0</v>
      </c>
      <c r="I426" t="n">
        <v>0</v>
      </c>
      <c r="J426" t="n">
        <v>0</v>
      </c>
      <c r="K426" t="n">
        <v>0</v>
      </c>
      <c r="L426" t="n">
        <v>0</v>
      </c>
      <c r="M426" t="n">
        <v>0</v>
      </c>
      <c r="N426" t="n">
        <v>0</v>
      </c>
      <c r="O426" t="n">
        <v>0</v>
      </c>
      <c r="P426" t="n">
        <v>0</v>
      </c>
      <c r="Q426" t="n">
        <v>0</v>
      </c>
      <c r="R426" s="2" t="inlineStr"/>
    </row>
    <row r="427" ht="15" customHeight="1">
      <c r="A427" t="inlineStr">
        <is>
          <t>A 60174-2025</t>
        </is>
      </c>
      <c r="B427" s="1" t="n">
        <v>45994.45039351852</v>
      </c>
      <c r="C427" s="1" t="n">
        <v>46174</v>
      </c>
      <c r="D427" t="inlineStr">
        <is>
          <t>UPPSALA LÄN</t>
        </is>
      </c>
      <c r="E427" t="inlineStr">
        <is>
          <t>ENKÖPING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60175-2025</t>
        </is>
      </c>
      <c r="B428" s="1" t="n">
        <v>45994.45378472222</v>
      </c>
      <c r="C428" s="1" t="n">
        <v>46174</v>
      </c>
      <c r="D428" t="inlineStr">
        <is>
          <t>UPPSALA LÄN</t>
        </is>
      </c>
      <c r="E428" t="inlineStr">
        <is>
          <t>ENKÖPING</t>
        </is>
      </c>
      <c r="G428" t="n">
        <v>2.4</v>
      </c>
      <c r="H428" t="n">
        <v>0</v>
      </c>
      <c r="I428" t="n">
        <v>0</v>
      </c>
      <c r="J428" t="n">
        <v>0</v>
      </c>
      <c r="K428" t="n">
        <v>0</v>
      </c>
      <c r="L428" t="n">
        <v>0</v>
      </c>
      <c r="M428" t="n">
        <v>0</v>
      </c>
      <c r="N428" t="n">
        <v>0</v>
      </c>
      <c r="O428" t="n">
        <v>0</v>
      </c>
      <c r="P428" t="n">
        <v>0</v>
      </c>
      <c r="Q428" t="n">
        <v>0</v>
      </c>
      <c r="R428" s="2" t="inlineStr"/>
    </row>
    <row r="429" ht="15" customHeight="1">
      <c r="A429" t="inlineStr">
        <is>
          <t>A 24411-2024</t>
        </is>
      </c>
      <c r="B429" s="1" t="n">
        <v>45457</v>
      </c>
      <c r="C429" s="1" t="n">
        <v>46174</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60947-2025</t>
        </is>
      </c>
      <c r="B430" s="1" t="n">
        <v>45999</v>
      </c>
      <c r="C430" s="1" t="n">
        <v>46174</v>
      </c>
      <c r="D430" t="inlineStr">
        <is>
          <t>UPPSALA LÄN</t>
        </is>
      </c>
      <c r="E430" t="inlineStr">
        <is>
          <t>ENKÖPING</t>
        </is>
      </c>
      <c r="G430" t="n">
        <v>4</v>
      </c>
      <c r="H430" t="n">
        <v>0</v>
      </c>
      <c r="I430" t="n">
        <v>0</v>
      </c>
      <c r="J430" t="n">
        <v>0</v>
      </c>
      <c r="K430" t="n">
        <v>0</v>
      </c>
      <c r="L430" t="n">
        <v>0</v>
      </c>
      <c r="M430" t="n">
        <v>0</v>
      </c>
      <c r="N430" t="n">
        <v>0</v>
      </c>
      <c r="O430" t="n">
        <v>0</v>
      </c>
      <c r="P430" t="n">
        <v>0</v>
      </c>
      <c r="Q430" t="n">
        <v>0</v>
      </c>
      <c r="R430" s="2" t="inlineStr"/>
    </row>
    <row r="431" ht="15" customHeight="1">
      <c r="A431" t="inlineStr">
        <is>
          <t>A 60934-2025</t>
        </is>
      </c>
      <c r="B431" s="1" t="n">
        <v>45999</v>
      </c>
      <c r="C431" s="1" t="n">
        <v>46174</v>
      </c>
      <c r="D431" t="inlineStr">
        <is>
          <t>UPPSALA LÄN</t>
        </is>
      </c>
      <c r="E431" t="inlineStr">
        <is>
          <t>ENKÖPING</t>
        </is>
      </c>
      <c r="G431" t="n">
        <v>2.5</v>
      </c>
      <c r="H431" t="n">
        <v>0</v>
      </c>
      <c r="I431" t="n">
        <v>0</v>
      </c>
      <c r="J431" t="n">
        <v>0</v>
      </c>
      <c r="K431" t="n">
        <v>0</v>
      </c>
      <c r="L431" t="n">
        <v>0</v>
      </c>
      <c r="M431" t="n">
        <v>0</v>
      </c>
      <c r="N431" t="n">
        <v>0</v>
      </c>
      <c r="O431" t="n">
        <v>0</v>
      </c>
      <c r="P431" t="n">
        <v>0</v>
      </c>
      <c r="Q431" t="n">
        <v>0</v>
      </c>
      <c r="R431" s="2" t="inlineStr"/>
    </row>
    <row r="432" ht="15" customHeight="1">
      <c r="A432" t="inlineStr">
        <is>
          <t>A 61437-2025</t>
        </is>
      </c>
      <c r="B432" s="1" t="n">
        <v>46001.5659375</v>
      </c>
      <c r="C432" s="1" t="n">
        <v>46174</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29477-2025</t>
        </is>
      </c>
      <c r="B433" s="1" t="n">
        <v>45824.71537037037</v>
      </c>
      <c r="C433" s="1" t="n">
        <v>46174</v>
      </c>
      <c r="D433" t="inlineStr">
        <is>
          <t>UPPSALA LÄN</t>
        </is>
      </c>
      <c r="E433" t="inlineStr">
        <is>
          <t>ENKÖPING</t>
        </is>
      </c>
      <c r="G433" t="n">
        <v>13.4</v>
      </c>
      <c r="H433" t="n">
        <v>0</v>
      </c>
      <c r="I433" t="n">
        <v>0</v>
      </c>
      <c r="J433" t="n">
        <v>0</v>
      </c>
      <c r="K433" t="n">
        <v>0</v>
      </c>
      <c r="L433" t="n">
        <v>0</v>
      </c>
      <c r="M433" t="n">
        <v>0</v>
      </c>
      <c r="N433" t="n">
        <v>0</v>
      </c>
      <c r="O433" t="n">
        <v>0</v>
      </c>
      <c r="P433" t="n">
        <v>0</v>
      </c>
      <c r="Q433" t="n">
        <v>0</v>
      </c>
      <c r="R433" s="2" t="inlineStr"/>
    </row>
    <row r="434" ht="15" customHeight="1">
      <c r="A434" t="inlineStr">
        <is>
          <t>A 61778-2025</t>
        </is>
      </c>
      <c r="B434" s="1" t="n">
        <v>46002.66555555556</v>
      </c>
      <c r="C434" s="1" t="n">
        <v>46174</v>
      </c>
      <c r="D434" t="inlineStr">
        <is>
          <t>UPPSALA LÄN</t>
        </is>
      </c>
      <c r="E434" t="inlineStr">
        <is>
          <t>ENKÖPING</t>
        </is>
      </c>
      <c r="G434" t="n">
        <v>3.2</v>
      </c>
      <c r="H434" t="n">
        <v>0</v>
      </c>
      <c r="I434" t="n">
        <v>0</v>
      </c>
      <c r="J434" t="n">
        <v>0</v>
      </c>
      <c r="K434" t="n">
        <v>0</v>
      </c>
      <c r="L434" t="n">
        <v>0</v>
      </c>
      <c r="M434" t="n">
        <v>0</v>
      </c>
      <c r="N434" t="n">
        <v>0</v>
      </c>
      <c r="O434" t="n">
        <v>0</v>
      </c>
      <c r="P434" t="n">
        <v>0</v>
      </c>
      <c r="Q434" t="n">
        <v>0</v>
      </c>
      <c r="R434" s="2" t="inlineStr"/>
    </row>
    <row r="435" ht="15" customHeight="1">
      <c r="A435" t="inlineStr">
        <is>
          <t>A 61811-2025</t>
        </is>
      </c>
      <c r="B435" s="1" t="n">
        <v>46002.90059027778</v>
      </c>
      <c r="C435" s="1" t="n">
        <v>46174</v>
      </c>
      <c r="D435" t="inlineStr">
        <is>
          <t>UPPSALA LÄN</t>
        </is>
      </c>
      <c r="E435" t="inlineStr">
        <is>
          <t>ENKÖPING</t>
        </is>
      </c>
      <c r="F435" t="inlineStr">
        <is>
          <t>Allmännings- och besparingsskogar</t>
        </is>
      </c>
      <c r="G435" t="n">
        <v>4.7</v>
      </c>
      <c r="H435" t="n">
        <v>0</v>
      </c>
      <c r="I435" t="n">
        <v>0</v>
      </c>
      <c r="J435" t="n">
        <v>0</v>
      </c>
      <c r="K435" t="n">
        <v>0</v>
      </c>
      <c r="L435" t="n">
        <v>0</v>
      </c>
      <c r="M435" t="n">
        <v>0</v>
      </c>
      <c r="N435" t="n">
        <v>0</v>
      </c>
      <c r="O435" t="n">
        <v>0</v>
      </c>
      <c r="P435" t="n">
        <v>0</v>
      </c>
      <c r="Q435" t="n">
        <v>0</v>
      </c>
      <c r="R435" s="2" t="inlineStr"/>
    </row>
    <row r="436" ht="15" customHeight="1">
      <c r="A436" t="inlineStr">
        <is>
          <t>A 58092-2024</t>
        </is>
      </c>
      <c r="B436" s="1" t="n">
        <v>45632</v>
      </c>
      <c r="C436" s="1" t="n">
        <v>46174</v>
      </c>
      <c r="D436" t="inlineStr">
        <is>
          <t>UPPSALA LÄN</t>
        </is>
      </c>
      <c r="E436" t="inlineStr">
        <is>
          <t>ENKÖPING</t>
        </is>
      </c>
      <c r="G436" t="n">
        <v>4.8</v>
      </c>
      <c r="H436" t="n">
        <v>0</v>
      </c>
      <c r="I436" t="n">
        <v>0</v>
      </c>
      <c r="J436" t="n">
        <v>0</v>
      </c>
      <c r="K436" t="n">
        <v>0</v>
      </c>
      <c r="L436" t="n">
        <v>0</v>
      </c>
      <c r="M436" t="n">
        <v>0</v>
      </c>
      <c r="N436" t="n">
        <v>0</v>
      </c>
      <c r="O436" t="n">
        <v>0</v>
      </c>
      <c r="P436" t="n">
        <v>0</v>
      </c>
      <c r="Q436" t="n">
        <v>0</v>
      </c>
      <c r="R436" s="2" t="inlineStr"/>
    </row>
    <row r="437" ht="15" customHeight="1">
      <c r="A437" t="inlineStr">
        <is>
          <t>A 38941-2025</t>
        </is>
      </c>
      <c r="B437" s="1" t="n">
        <v>45887</v>
      </c>
      <c r="C437" s="1" t="n">
        <v>46174</v>
      </c>
      <c r="D437" t="inlineStr">
        <is>
          <t>UPPSALA LÄN</t>
        </is>
      </c>
      <c r="E437" t="inlineStr">
        <is>
          <t>ENKÖPING</t>
        </is>
      </c>
      <c r="F437" t="inlineStr">
        <is>
          <t>Övriga statliga verk och myndigheter</t>
        </is>
      </c>
      <c r="G437" t="n">
        <v>0.6</v>
      </c>
      <c r="H437" t="n">
        <v>0</v>
      </c>
      <c r="I437" t="n">
        <v>0</v>
      </c>
      <c r="J437" t="n">
        <v>0</v>
      </c>
      <c r="K437" t="n">
        <v>0</v>
      </c>
      <c r="L437" t="n">
        <v>0</v>
      </c>
      <c r="M437" t="n">
        <v>0</v>
      </c>
      <c r="N437" t="n">
        <v>0</v>
      </c>
      <c r="O437" t="n">
        <v>0</v>
      </c>
      <c r="P437" t="n">
        <v>0</v>
      </c>
      <c r="Q437" t="n">
        <v>0</v>
      </c>
      <c r="R437" s="2" t="inlineStr"/>
    </row>
    <row r="438" ht="15" customHeight="1">
      <c r="A438" t="inlineStr">
        <is>
          <t>A 61889-2025</t>
        </is>
      </c>
      <c r="B438" s="1" t="n">
        <v>46003.44765046296</v>
      </c>
      <c r="C438" s="1" t="n">
        <v>46174</v>
      </c>
      <c r="D438" t="inlineStr">
        <is>
          <t>UPPSALA LÄN</t>
        </is>
      </c>
      <c r="E438" t="inlineStr">
        <is>
          <t>ENKÖPING</t>
        </is>
      </c>
      <c r="G438" t="n">
        <v>2.3</v>
      </c>
      <c r="H438" t="n">
        <v>0</v>
      </c>
      <c r="I438" t="n">
        <v>0</v>
      </c>
      <c r="J438" t="n">
        <v>0</v>
      </c>
      <c r="K438" t="n">
        <v>0</v>
      </c>
      <c r="L438" t="n">
        <v>0</v>
      </c>
      <c r="M438" t="n">
        <v>0</v>
      </c>
      <c r="N438" t="n">
        <v>0</v>
      </c>
      <c r="O438" t="n">
        <v>0</v>
      </c>
      <c r="P438" t="n">
        <v>0</v>
      </c>
      <c r="Q438" t="n">
        <v>0</v>
      </c>
      <c r="R438" s="2" t="inlineStr"/>
    </row>
    <row r="439" ht="15" customHeight="1">
      <c r="A439" t="inlineStr">
        <is>
          <t>A 26024-2025</t>
        </is>
      </c>
      <c r="B439" s="1" t="n">
        <v>45804.6831712963</v>
      </c>
      <c r="C439" s="1" t="n">
        <v>46174</v>
      </c>
      <c r="D439" t="inlineStr">
        <is>
          <t>UPPSALA LÄN</t>
        </is>
      </c>
      <c r="E439" t="inlineStr">
        <is>
          <t>ENKÖPING</t>
        </is>
      </c>
      <c r="G439" t="n">
        <v>0.8</v>
      </c>
      <c r="H439" t="n">
        <v>0</v>
      </c>
      <c r="I439" t="n">
        <v>0</v>
      </c>
      <c r="J439" t="n">
        <v>0</v>
      </c>
      <c r="K439" t="n">
        <v>0</v>
      </c>
      <c r="L439" t="n">
        <v>0</v>
      </c>
      <c r="M439" t="n">
        <v>0</v>
      </c>
      <c r="N439" t="n">
        <v>0</v>
      </c>
      <c r="O439" t="n">
        <v>0</v>
      </c>
      <c r="P439" t="n">
        <v>0</v>
      </c>
      <c r="Q439" t="n">
        <v>0</v>
      </c>
      <c r="R439" s="2" t="inlineStr"/>
    </row>
    <row r="440" ht="15" customHeight="1">
      <c r="A440" t="inlineStr">
        <is>
          <t>A 26042-2025</t>
        </is>
      </c>
      <c r="B440" s="1" t="n">
        <v>45804.70018518518</v>
      </c>
      <c r="C440" s="1" t="n">
        <v>46174</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26005-2025</t>
        </is>
      </c>
      <c r="B441" s="1" t="n">
        <v>45804.67055555555</v>
      </c>
      <c r="C441" s="1" t="n">
        <v>46174</v>
      </c>
      <c r="D441" t="inlineStr">
        <is>
          <t>UPPSALA LÄN</t>
        </is>
      </c>
      <c r="E441" t="inlineStr">
        <is>
          <t>ENKÖPING</t>
        </is>
      </c>
      <c r="G441" t="n">
        <v>0.3</v>
      </c>
      <c r="H441" t="n">
        <v>0</v>
      </c>
      <c r="I441" t="n">
        <v>0</v>
      </c>
      <c r="J441" t="n">
        <v>0</v>
      </c>
      <c r="K441" t="n">
        <v>0</v>
      </c>
      <c r="L441" t="n">
        <v>0</v>
      </c>
      <c r="M441" t="n">
        <v>0</v>
      </c>
      <c r="N441" t="n">
        <v>0</v>
      </c>
      <c r="O441" t="n">
        <v>0</v>
      </c>
      <c r="P441" t="n">
        <v>0</v>
      </c>
      <c r="Q441" t="n">
        <v>0</v>
      </c>
      <c r="R441" s="2" t="inlineStr"/>
    </row>
    <row r="442" ht="15" customHeight="1">
      <c r="A442" t="inlineStr">
        <is>
          <t>A 26026-2025</t>
        </is>
      </c>
      <c r="B442" s="1" t="n">
        <v>45804.68510416667</v>
      </c>
      <c r="C442" s="1" t="n">
        <v>46174</v>
      </c>
      <c r="D442" t="inlineStr">
        <is>
          <t>UPPSALA LÄN</t>
        </is>
      </c>
      <c r="E442" t="inlineStr">
        <is>
          <t>ENKÖPING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26030-2025</t>
        </is>
      </c>
      <c r="B443" s="1" t="n">
        <v>45804.68815972222</v>
      </c>
      <c r="C443" s="1" t="n">
        <v>46174</v>
      </c>
      <c r="D443" t="inlineStr">
        <is>
          <t>UPPSALA LÄN</t>
        </is>
      </c>
      <c r="E443" t="inlineStr">
        <is>
          <t>ENKÖPING</t>
        </is>
      </c>
      <c r="G443" t="n">
        <v>0.3</v>
      </c>
      <c r="H443" t="n">
        <v>0</v>
      </c>
      <c r="I443" t="n">
        <v>0</v>
      </c>
      <c r="J443" t="n">
        <v>0</v>
      </c>
      <c r="K443" t="n">
        <v>0</v>
      </c>
      <c r="L443" t="n">
        <v>0</v>
      </c>
      <c r="M443" t="n">
        <v>0</v>
      </c>
      <c r="N443" t="n">
        <v>0</v>
      </c>
      <c r="O443" t="n">
        <v>0</v>
      </c>
      <c r="P443" t="n">
        <v>0</v>
      </c>
      <c r="Q443" t="n">
        <v>0</v>
      </c>
      <c r="R443" s="2" t="inlineStr"/>
    </row>
    <row r="444" ht="15" customHeight="1">
      <c r="A444" t="inlineStr">
        <is>
          <t>A 26022-2025</t>
        </is>
      </c>
      <c r="B444" s="1" t="n">
        <v>45804.68006944445</v>
      </c>
      <c r="C444" s="1" t="n">
        <v>46174</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25988-2025</t>
        </is>
      </c>
      <c r="B445" s="1" t="n">
        <v>45804.64814814815</v>
      </c>
      <c r="C445" s="1" t="n">
        <v>46174</v>
      </c>
      <c r="D445" t="inlineStr">
        <is>
          <t>UPPSALA LÄN</t>
        </is>
      </c>
      <c r="E445" t="inlineStr">
        <is>
          <t>ENKÖPING</t>
        </is>
      </c>
      <c r="G445" t="n">
        <v>4.7</v>
      </c>
      <c r="H445" t="n">
        <v>0</v>
      </c>
      <c r="I445" t="n">
        <v>0</v>
      </c>
      <c r="J445" t="n">
        <v>0</v>
      </c>
      <c r="K445" t="n">
        <v>0</v>
      </c>
      <c r="L445" t="n">
        <v>0</v>
      </c>
      <c r="M445" t="n">
        <v>0</v>
      </c>
      <c r="N445" t="n">
        <v>0</v>
      </c>
      <c r="O445" t="n">
        <v>0</v>
      </c>
      <c r="P445" t="n">
        <v>0</v>
      </c>
      <c r="Q445" t="n">
        <v>0</v>
      </c>
      <c r="R445" s="2" t="inlineStr"/>
    </row>
    <row r="446" ht="15" customHeight="1">
      <c r="A446" t="inlineStr">
        <is>
          <t>A 26031-2025</t>
        </is>
      </c>
      <c r="B446" s="1" t="n">
        <v>45804.69050925926</v>
      </c>
      <c r="C446" s="1" t="n">
        <v>46174</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26041-2025</t>
        </is>
      </c>
      <c r="B447" s="1" t="n">
        <v>45804.69883101852</v>
      </c>
      <c r="C447" s="1" t="n">
        <v>46174</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62772-2025</t>
        </is>
      </c>
      <c r="B448" s="1" t="n">
        <v>46008.60365740741</v>
      </c>
      <c r="C448" s="1" t="n">
        <v>46174</v>
      </c>
      <c r="D448" t="inlineStr">
        <is>
          <t>UPPSALA LÄN</t>
        </is>
      </c>
      <c r="E448" t="inlineStr">
        <is>
          <t>ENKÖPING</t>
        </is>
      </c>
      <c r="G448" t="n">
        <v>1.1</v>
      </c>
      <c r="H448" t="n">
        <v>0</v>
      </c>
      <c r="I448" t="n">
        <v>0</v>
      </c>
      <c r="J448" t="n">
        <v>0</v>
      </c>
      <c r="K448" t="n">
        <v>0</v>
      </c>
      <c r="L448" t="n">
        <v>0</v>
      </c>
      <c r="M448" t="n">
        <v>0</v>
      </c>
      <c r="N448" t="n">
        <v>0</v>
      </c>
      <c r="O448" t="n">
        <v>0</v>
      </c>
      <c r="P448" t="n">
        <v>0</v>
      </c>
      <c r="Q448" t="n">
        <v>0</v>
      </c>
      <c r="R448" s="2" t="inlineStr"/>
    </row>
    <row r="449" ht="15" customHeight="1">
      <c r="A449" t="inlineStr">
        <is>
          <t>A 25847-2025</t>
        </is>
      </c>
      <c r="B449" s="1" t="n">
        <v>45804</v>
      </c>
      <c r="C449" s="1" t="n">
        <v>46174</v>
      </c>
      <c r="D449" t="inlineStr">
        <is>
          <t>UPPSALA LÄN</t>
        </is>
      </c>
      <c r="E449" t="inlineStr">
        <is>
          <t>ENKÖPING</t>
        </is>
      </c>
      <c r="G449" t="n">
        <v>3.6</v>
      </c>
      <c r="H449" t="n">
        <v>0</v>
      </c>
      <c r="I449" t="n">
        <v>0</v>
      </c>
      <c r="J449" t="n">
        <v>0</v>
      </c>
      <c r="K449" t="n">
        <v>0</v>
      </c>
      <c r="L449" t="n">
        <v>0</v>
      </c>
      <c r="M449" t="n">
        <v>0</v>
      </c>
      <c r="N449" t="n">
        <v>0</v>
      </c>
      <c r="O449" t="n">
        <v>0</v>
      </c>
      <c r="P449" t="n">
        <v>0</v>
      </c>
      <c r="Q449" t="n">
        <v>0</v>
      </c>
      <c r="R449" s="2" t="inlineStr"/>
    </row>
    <row r="450" ht="15" customHeight="1">
      <c r="A450" t="inlineStr">
        <is>
          <t>A 63128-2025</t>
        </is>
      </c>
      <c r="B450" s="1" t="n">
        <v>46009</v>
      </c>
      <c r="C450" s="1" t="n">
        <v>46174</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62600-2025</t>
        </is>
      </c>
      <c r="B451" s="1" t="n">
        <v>46007.92175925926</v>
      </c>
      <c r="C451" s="1" t="n">
        <v>46174</v>
      </c>
      <c r="D451" t="inlineStr">
        <is>
          <t>UPPSALA LÄN</t>
        </is>
      </c>
      <c r="E451" t="inlineStr">
        <is>
          <t>ENKÖPING</t>
        </is>
      </c>
      <c r="G451" t="n">
        <v>2</v>
      </c>
      <c r="H451" t="n">
        <v>0</v>
      </c>
      <c r="I451" t="n">
        <v>0</v>
      </c>
      <c r="J451" t="n">
        <v>0</v>
      </c>
      <c r="K451" t="n">
        <v>0</v>
      </c>
      <c r="L451" t="n">
        <v>0</v>
      </c>
      <c r="M451" t="n">
        <v>0</v>
      </c>
      <c r="N451" t="n">
        <v>0</v>
      </c>
      <c r="O451" t="n">
        <v>0</v>
      </c>
      <c r="P451" t="n">
        <v>0</v>
      </c>
      <c r="Q451" t="n">
        <v>0</v>
      </c>
      <c r="R451" s="2" t="inlineStr"/>
    </row>
    <row r="452" ht="15" customHeight="1">
      <c r="A452" t="inlineStr">
        <is>
          <t>A 62602-2025</t>
        </is>
      </c>
      <c r="B452" s="1" t="n">
        <v>46007.92581018519</v>
      </c>
      <c r="C452" s="1" t="n">
        <v>46174</v>
      </c>
      <c r="D452" t="inlineStr">
        <is>
          <t>UPPSALA LÄN</t>
        </is>
      </c>
      <c r="E452" t="inlineStr">
        <is>
          <t>ENKÖPING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26047-2025</t>
        </is>
      </c>
      <c r="B453" s="1" t="n">
        <v>45804.70835648148</v>
      </c>
      <c r="C453" s="1" t="n">
        <v>46174</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62601-2025</t>
        </is>
      </c>
      <c r="B454" s="1" t="n">
        <v>46007.92395833333</v>
      </c>
      <c r="C454" s="1" t="n">
        <v>46174</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35067-2024</t>
        </is>
      </c>
      <c r="B455" s="1" t="n">
        <v>45527.66153935185</v>
      </c>
      <c r="C455" s="1" t="n">
        <v>46174</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60848-2025</t>
        </is>
      </c>
      <c r="B456" s="1" t="n">
        <v>45999</v>
      </c>
      <c r="C456" s="1" t="n">
        <v>46174</v>
      </c>
      <c r="D456" t="inlineStr">
        <is>
          <t>UPPSALA LÄN</t>
        </is>
      </c>
      <c r="E456" t="inlineStr">
        <is>
          <t>ENKÖPING</t>
        </is>
      </c>
      <c r="G456" t="n">
        <v>2.5</v>
      </c>
      <c r="H456" t="n">
        <v>0</v>
      </c>
      <c r="I456" t="n">
        <v>0</v>
      </c>
      <c r="J456" t="n">
        <v>0</v>
      </c>
      <c r="K456" t="n">
        <v>0</v>
      </c>
      <c r="L456" t="n">
        <v>0</v>
      </c>
      <c r="M456" t="n">
        <v>0</v>
      </c>
      <c r="N456" t="n">
        <v>0</v>
      </c>
      <c r="O456" t="n">
        <v>0</v>
      </c>
      <c r="P456" t="n">
        <v>0</v>
      </c>
      <c r="Q456" t="n">
        <v>0</v>
      </c>
      <c r="R456" s="2" t="inlineStr"/>
    </row>
    <row r="457" ht="15" customHeight="1">
      <c r="A457" t="inlineStr">
        <is>
          <t>A 192-2026</t>
        </is>
      </c>
      <c r="B457" s="1" t="n">
        <v>46025</v>
      </c>
      <c r="C457" s="1" t="n">
        <v>46174</v>
      </c>
      <c r="D457" t="inlineStr">
        <is>
          <t>UPPSALA LÄN</t>
        </is>
      </c>
      <c r="E457" t="inlineStr">
        <is>
          <t>ENKÖPING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27829-2025</t>
        </is>
      </c>
      <c r="B458" s="1" t="n">
        <v>45817</v>
      </c>
      <c r="C458" s="1" t="n">
        <v>46174</v>
      </c>
      <c r="D458" t="inlineStr">
        <is>
          <t>UPPSALA LÄN</t>
        </is>
      </c>
      <c r="E458" t="inlineStr">
        <is>
          <t>ENKÖPING</t>
        </is>
      </c>
      <c r="G458" t="n">
        <v>2.1</v>
      </c>
      <c r="H458" t="n">
        <v>0</v>
      </c>
      <c r="I458" t="n">
        <v>0</v>
      </c>
      <c r="J458" t="n">
        <v>0</v>
      </c>
      <c r="K458" t="n">
        <v>0</v>
      </c>
      <c r="L458" t="n">
        <v>0</v>
      </c>
      <c r="M458" t="n">
        <v>0</v>
      </c>
      <c r="N458" t="n">
        <v>0</v>
      </c>
      <c r="O458" t="n">
        <v>0</v>
      </c>
      <c r="P458" t="n">
        <v>0</v>
      </c>
      <c r="Q458" t="n">
        <v>0</v>
      </c>
      <c r="R458" s="2" t="inlineStr"/>
    </row>
    <row r="459" ht="15" customHeight="1">
      <c r="A459" t="inlineStr">
        <is>
          <t>A 39009-2024</t>
        </is>
      </c>
      <c r="B459" s="1" t="n">
        <v>45548</v>
      </c>
      <c r="C459" s="1" t="n">
        <v>46174</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8537-2025</t>
        </is>
      </c>
      <c r="B460" s="1" t="n">
        <v>45709</v>
      </c>
      <c r="C460" s="1" t="n">
        <v>46174</v>
      </c>
      <c r="D460" t="inlineStr">
        <is>
          <t>UPPSALA LÄN</t>
        </is>
      </c>
      <c r="E460" t="inlineStr">
        <is>
          <t>ENKÖPING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861-2026</t>
        </is>
      </c>
      <c r="B461" s="1" t="n">
        <v>46030</v>
      </c>
      <c r="C461" s="1" t="n">
        <v>46174</v>
      </c>
      <c r="D461" t="inlineStr">
        <is>
          <t>UPPSALA LÄN</t>
        </is>
      </c>
      <c r="E461" t="inlineStr">
        <is>
          <t>ENKÖPING</t>
        </is>
      </c>
      <c r="G461" t="n">
        <v>1.1</v>
      </c>
      <c r="H461" t="n">
        <v>0</v>
      </c>
      <c r="I461" t="n">
        <v>0</v>
      </c>
      <c r="J461" t="n">
        <v>0</v>
      </c>
      <c r="K461" t="n">
        <v>0</v>
      </c>
      <c r="L461" t="n">
        <v>0</v>
      </c>
      <c r="M461" t="n">
        <v>0</v>
      </c>
      <c r="N461" t="n">
        <v>0</v>
      </c>
      <c r="O461" t="n">
        <v>0</v>
      </c>
      <c r="P461" t="n">
        <v>0</v>
      </c>
      <c r="Q461" t="n">
        <v>0</v>
      </c>
      <c r="R461" s="2" t="inlineStr"/>
    </row>
    <row r="462" ht="15" customHeight="1">
      <c r="A462" t="inlineStr">
        <is>
          <t>A 28758-2025</t>
        </is>
      </c>
      <c r="B462" s="1" t="n">
        <v>45820.41212962963</v>
      </c>
      <c r="C462" s="1" t="n">
        <v>46174</v>
      </c>
      <c r="D462" t="inlineStr">
        <is>
          <t>UPPSALA LÄN</t>
        </is>
      </c>
      <c r="E462" t="inlineStr">
        <is>
          <t>ENKÖPING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28862-2025</t>
        </is>
      </c>
      <c r="B463" s="1" t="n">
        <v>45820.59189814814</v>
      </c>
      <c r="C463" s="1" t="n">
        <v>46174</v>
      </c>
      <c r="D463" t="inlineStr">
        <is>
          <t>UPPSALA LÄN</t>
        </is>
      </c>
      <c r="E463" t="inlineStr">
        <is>
          <t>ENKÖPING</t>
        </is>
      </c>
      <c r="G463" t="n">
        <v>2.2</v>
      </c>
      <c r="H463" t="n">
        <v>0</v>
      </c>
      <c r="I463" t="n">
        <v>0</v>
      </c>
      <c r="J463" t="n">
        <v>0</v>
      </c>
      <c r="K463" t="n">
        <v>0</v>
      </c>
      <c r="L463" t="n">
        <v>0</v>
      </c>
      <c r="M463" t="n">
        <v>0</v>
      </c>
      <c r="N463" t="n">
        <v>0</v>
      </c>
      <c r="O463" t="n">
        <v>0</v>
      </c>
      <c r="P463" t="n">
        <v>0</v>
      </c>
      <c r="Q463" t="n">
        <v>0</v>
      </c>
      <c r="R463" s="2" t="inlineStr"/>
    </row>
    <row r="464" ht="15" customHeight="1">
      <c r="A464" t="inlineStr">
        <is>
          <t>A 28855-2025</t>
        </is>
      </c>
      <c r="B464" s="1" t="n">
        <v>45820.58274305556</v>
      </c>
      <c r="C464" s="1" t="n">
        <v>46174</v>
      </c>
      <c r="D464" t="inlineStr">
        <is>
          <t>UPPSALA LÄN</t>
        </is>
      </c>
      <c r="E464" t="inlineStr">
        <is>
          <t>ENKÖPING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29093-2025</t>
        </is>
      </c>
      <c r="B465" s="1" t="n">
        <v>45821.55743055556</v>
      </c>
      <c r="C465" s="1" t="n">
        <v>46174</v>
      </c>
      <c r="D465" t="inlineStr">
        <is>
          <t>UPPSALA LÄN</t>
        </is>
      </c>
      <c r="E465" t="inlineStr">
        <is>
          <t>ENKÖPING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2258-2026</t>
        </is>
      </c>
      <c r="B466" s="1" t="n">
        <v>46036</v>
      </c>
      <c r="C466" s="1" t="n">
        <v>46174</v>
      </c>
      <c r="D466" t="inlineStr">
        <is>
          <t>UPPSALA LÄN</t>
        </is>
      </c>
      <c r="E466" t="inlineStr">
        <is>
          <t>ENKÖPING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2218-2026</t>
        </is>
      </c>
      <c r="B467" s="1" t="n">
        <v>46036.50010416667</v>
      </c>
      <c r="C467" s="1" t="n">
        <v>46174</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30837-2025</t>
        </is>
      </c>
      <c r="B468" s="1" t="n">
        <v>45831.7063425926</v>
      </c>
      <c r="C468" s="1" t="n">
        <v>46174</v>
      </c>
      <c r="D468" t="inlineStr">
        <is>
          <t>UPPSALA LÄN</t>
        </is>
      </c>
      <c r="E468" t="inlineStr">
        <is>
          <t>ENKÖPING</t>
        </is>
      </c>
      <c r="G468" t="n">
        <v>3.8</v>
      </c>
      <c r="H468" t="n">
        <v>0</v>
      </c>
      <c r="I468" t="n">
        <v>0</v>
      </c>
      <c r="J468" t="n">
        <v>0</v>
      </c>
      <c r="K468" t="n">
        <v>0</v>
      </c>
      <c r="L468" t="n">
        <v>0</v>
      </c>
      <c r="M468" t="n">
        <v>0</v>
      </c>
      <c r="N468" t="n">
        <v>0</v>
      </c>
      <c r="O468" t="n">
        <v>0</v>
      </c>
      <c r="P468" t="n">
        <v>0</v>
      </c>
      <c r="Q468" t="n">
        <v>0</v>
      </c>
      <c r="R468" s="2" t="inlineStr"/>
    </row>
    <row r="469" ht="15" customHeight="1">
      <c r="A469" t="inlineStr">
        <is>
          <t>A 5104-2026</t>
        </is>
      </c>
      <c r="B469" s="1" t="n">
        <v>46049.56914351852</v>
      </c>
      <c r="C469" s="1" t="n">
        <v>46174</v>
      </c>
      <c r="D469" t="inlineStr">
        <is>
          <t>UPPSALA LÄN</t>
        </is>
      </c>
      <c r="E469" t="inlineStr">
        <is>
          <t>ENKÖPING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32111-2025</t>
        </is>
      </c>
      <c r="B470" s="1" t="n">
        <v>45835</v>
      </c>
      <c r="C470" s="1" t="n">
        <v>46174</v>
      </c>
      <c r="D470" t="inlineStr">
        <is>
          <t>UPPSALA LÄN</t>
        </is>
      </c>
      <c r="E470" t="inlineStr">
        <is>
          <t>ENKÖPING</t>
        </is>
      </c>
      <c r="G470" t="n">
        <v>1.7</v>
      </c>
      <c r="H470" t="n">
        <v>0</v>
      </c>
      <c r="I470" t="n">
        <v>0</v>
      </c>
      <c r="J470" t="n">
        <v>0</v>
      </c>
      <c r="K470" t="n">
        <v>0</v>
      </c>
      <c r="L470" t="n">
        <v>0</v>
      </c>
      <c r="M470" t="n">
        <v>0</v>
      </c>
      <c r="N470" t="n">
        <v>0</v>
      </c>
      <c r="O470" t="n">
        <v>0</v>
      </c>
      <c r="P470" t="n">
        <v>0</v>
      </c>
      <c r="Q470" t="n">
        <v>0</v>
      </c>
      <c r="R470" s="2" t="inlineStr"/>
    </row>
    <row r="471" ht="15" customHeight="1">
      <c r="A471" t="inlineStr">
        <is>
          <t>A 32031-2025</t>
        </is>
      </c>
      <c r="B471" s="1" t="n">
        <v>45835.41712962963</v>
      </c>
      <c r="C471" s="1" t="n">
        <v>46174</v>
      </c>
      <c r="D471" t="inlineStr">
        <is>
          <t>UPPSALA LÄN</t>
        </is>
      </c>
      <c r="E471" t="inlineStr">
        <is>
          <t>ENKÖPING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5569-2026</t>
        </is>
      </c>
      <c r="B472" s="1" t="n">
        <v>46050.89431712963</v>
      </c>
      <c r="C472" s="1" t="n">
        <v>46174</v>
      </c>
      <c r="D472" t="inlineStr">
        <is>
          <t>UPPSALA LÄN</t>
        </is>
      </c>
      <c r="E472" t="inlineStr">
        <is>
          <t>ENKÖPING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5948-2026</t>
        </is>
      </c>
      <c r="B473" s="1" t="n">
        <v>46052</v>
      </c>
      <c r="C473" s="1" t="n">
        <v>46174</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6031-2026</t>
        </is>
      </c>
      <c r="B474" s="1" t="n">
        <v>46052.61201388889</v>
      </c>
      <c r="C474" s="1" t="n">
        <v>46174</v>
      </c>
      <c r="D474" t="inlineStr">
        <is>
          <t>UPPSALA LÄN</t>
        </is>
      </c>
      <c r="E474" t="inlineStr">
        <is>
          <t>ENKÖPING</t>
        </is>
      </c>
      <c r="G474" t="n">
        <v>4.1</v>
      </c>
      <c r="H474" t="n">
        <v>0</v>
      </c>
      <c r="I474" t="n">
        <v>0</v>
      </c>
      <c r="J474" t="n">
        <v>0</v>
      </c>
      <c r="K474" t="n">
        <v>0</v>
      </c>
      <c r="L474" t="n">
        <v>0</v>
      </c>
      <c r="M474" t="n">
        <v>0</v>
      </c>
      <c r="N474" t="n">
        <v>0</v>
      </c>
      <c r="O474" t="n">
        <v>0</v>
      </c>
      <c r="P474" t="n">
        <v>0</v>
      </c>
      <c r="Q474" t="n">
        <v>0</v>
      </c>
      <c r="R474" s="2" t="inlineStr"/>
    </row>
    <row r="475" ht="15" customHeight="1">
      <c r="A475" t="inlineStr">
        <is>
          <t>A 6047-2026</t>
        </is>
      </c>
      <c r="B475" s="1" t="n">
        <v>46052.62738425926</v>
      </c>
      <c r="C475" s="1" t="n">
        <v>46174</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7008-2026</t>
        </is>
      </c>
      <c r="B476" s="1" t="n">
        <v>46057.63806712963</v>
      </c>
      <c r="C476" s="1" t="n">
        <v>46174</v>
      </c>
      <c r="D476" t="inlineStr">
        <is>
          <t>UPPSALA LÄN</t>
        </is>
      </c>
      <c r="E476" t="inlineStr">
        <is>
          <t>ENKÖPING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7003-2026</t>
        </is>
      </c>
      <c r="B477" s="1" t="n">
        <v>46057.63243055555</v>
      </c>
      <c r="C477" s="1" t="n">
        <v>46174</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15740-2025</t>
        </is>
      </c>
      <c r="B478" s="1" t="n">
        <v>45748</v>
      </c>
      <c r="C478" s="1" t="n">
        <v>46174</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18994-2025</t>
        </is>
      </c>
      <c r="B479" s="1" t="n">
        <v>45764.57350694444</v>
      </c>
      <c r="C479" s="1" t="n">
        <v>46174</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57848-2024</t>
        </is>
      </c>
      <c r="B480" s="1" t="n">
        <v>45631.40947916666</v>
      </c>
      <c r="C480" s="1" t="n">
        <v>46174</v>
      </c>
      <c r="D480" t="inlineStr">
        <is>
          <t>UPPSALA LÄN</t>
        </is>
      </c>
      <c r="E480" t="inlineStr">
        <is>
          <t>ENKÖPING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49601-2024</t>
        </is>
      </c>
      <c r="B481" s="1" t="n">
        <v>45596.56288194445</v>
      </c>
      <c r="C481" s="1" t="n">
        <v>46174</v>
      </c>
      <c r="D481" t="inlineStr">
        <is>
          <t>UPPSALA LÄN</t>
        </is>
      </c>
      <c r="E481" t="inlineStr">
        <is>
          <t>ENKÖPING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8309-2026</t>
        </is>
      </c>
      <c r="B482" s="1" t="n">
        <v>46064.59081018518</v>
      </c>
      <c r="C482" s="1" t="n">
        <v>46174</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29513-2025</t>
        </is>
      </c>
      <c r="B483" s="1" t="n">
        <v>45825</v>
      </c>
      <c r="C483" s="1" t="n">
        <v>46174</v>
      </c>
      <c r="D483" t="inlineStr">
        <is>
          <t>UPPSALA LÄN</t>
        </is>
      </c>
      <c r="E483" t="inlineStr">
        <is>
          <t>ENKÖPING</t>
        </is>
      </c>
      <c r="G483" t="n">
        <v>2.6</v>
      </c>
      <c r="H483" t="n">
        <v>0</v>
      </c>
      <c r="I483" t="n">
        <v>0</v>
      </c>
      <c r="J483" t="n">
        <v>0</v>
      </c>
      <c r="K483" t="n">
        <v>0</v>
      </c>
      <c r="L483" t="n">
        <v>0</v>
      </c>
      <c r="M483" t="n">
        <v>0</v>
      </c>
      <c r="N483" t="n">
        <v>0</v>
      </c>
      <c r="O483" t="n">
        <v>0</v>
      </c>
      <c r="P483" t="n">
        <v>0</v>
      </c>
      <c r="Q483" t="n">
        <v>0</v>
      </c>
      <c r="R483" s="2" t="inlineStr"/>
    </row>
    <row r="484" ht="15" customHeight="1">
      <c r="A484" t="inlineStr">
        <is>
          <t>A 9474-2026</t>
        </is>
      </c>
      <c r="B484" s="1" t="n">
        <v>46071.52324074074</v>
      </c>
      <c r="C484" s="1" t="n">
        <v>46174</v>
      </c>
      <c r="D484" t="inlineStr">
        <is>
          <t>UPPSALA LÄN</t>
        </is>
      </c>
      <c r="E484" t="inlineStr">
        <is>
          <t>ENKÖPING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17844-2025</t>
        </is>
      </c>
      <c r="B485" s="1" t="n">
        <v>45758.59920138889</v>
      </c>
      <c r="C485" s="1" t="n">
        <v>46174</v>
      </c>
      <c r="D485" t="inlineStr">
        <is>
          <t>UPPSALA LÄN</t>
        </is>
      </c>
      <c r="E485" t="inlineStr">
        <is>
          <t>ENKÖPING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9467-2026</t>
        </is>
      </c>
      <c r="B486" s="1" t="n">
        <v>46071.50694444445</v>
      </c>
      <c r="C486" s="1" t="n">
        <v>46174</v>
      </c>
      <c r="D486" t="inlineStr">
        <is>
          <t>UPPSALA LÄN</t>
        </is>
      </c>
      <c r="E486" t="inlineStr">
        <is>
          <t>ENKÖPING</t>
        </is>
      </c>
      <c r="G486" t="n">
        <v>5.9</v>
      </c>
      <c r="H486" t="n">
        <v>0</v>
      </c>
      <c r="I486" t="n">
        <v>0</v>
      </c>
      <c r="J486" t="n">
        <v>0</v>
      </c>
      <c r="K486" t="n">
        <v>0</v>
      </c>
      <c r="L486" t="n">
        <v>0</v>
      </c>
      <c r="M486" t="n">
        <v>0</v>
      </c>
      <c r="N486" t="n">
        <v>0</v>
      </c>
      <c r="O486" t="n">
        <v>0</v>
      </c>
      <c r="P486" t="n">
        <v>0</v>
      </c>
      <c r="Q486" t="n">
        <v>0</v>
      </c>
      <c r="R486" s="2" t="inlineStr"/>
    </row>
    <row r="487" ht="15" customHeight="1">
      <c r="A487" t="inlineStr">
        <is>
          <t>A 9469-2026</t>
        </is>
      </c>
      <c r="B487" s="1" t="n">
        <v>46071.51248842593</v>
      </c>
      <c r="C487" s="1" t="n">
        <v>46174</v>
      </c>
      <c r="D487" t="inlineStr">
        <is>
          <t>UPPSALA LÄN</t>
        </is>
      </c>
      <c r="E487" t="inlineStr">
        <is>
          <t>ENKÖPING</t>
        </is>
      </c>
      <c r="G487" t="n">
        <v>3</v>
      </c>
      <c r="H487" t="n">
        <v>0</v>
      </c>
      <c r="I487" t="n">
        <v>0</v>
      </c>
      <c r="J487" t="n">
        <v>0</v>
      </c>
      <c r="K487" t="n">
        <v>0</v>
      </c>
      <c r="L487" t="n">
        <v>0</v>
      </c>
      <c r="M487" t="n">
        <v>0</v>
      </c>
      <c r="N487" t="n">
        <v>0</v>
      </c>
      <c r="O487" t="n">
        <v>0</v>
      </c>
      <c r="P487" t="n">
        <v>0</v>
      </c>
      <c r="Q487" t="n">
        <v>0</v>
      </c>
      <c r="R487" s="2" t="inlineStr"/>
    </row>
    <row r="488" ht="15" customHeight="1">
      <c r="A488" t="inlineStr">
        <is>
          <t>A 9148-2026</t>
        </is>
      </c>
      <c r="B488" s="1" t="n">
        <v>46070.30946759259</v>
      </c>
      <c r="C488" s="1" t="n">
        <v>46174</v>
      </c>
      <c r="D488" t="inlineStr">
        <is>
          <t>UPPSALA LÄN</t>
        </is>
      </c>
      <c r="E488" t="inlineStr">
        <is>
          <t>ENKÖPING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60125-2024</t>
        </is>
      </c>
      <c r="B489" s="1" t="n">
        <v>45642</v>
      </c>
      <c r="C489" s="1" t="n">
        <v>46174</v>
      </c>
      <c r="D489" t="inlineStr">
        <is>
          <t>UPPSALA LÄN</t>
        </is>
      </c>
      <c r="E489" t="inlineStr">
        <is>
          <t>ENKÖPING</t>
        </is>
      </c>
      <c r="G489" t="n">
        <v>2.1</v>
      </c>
      <c r="H489" t="n">
        <v>0</v>
      </c>
      <c r="I489" t="n">
        <v>0</v>
      </c>
      <c r="J489" t="n">
        <v>0</v>
      </c>
      <c r="K489" t="n">
        <v>0</v>
      </c>
      <c r="L489" t="n">
        <v>0</v>
      </c>
      <c r="M489" t="n">
        <v>0</v>
      </c>
      <c r="N489" t="n">
        <v>0</v>
      </c>
      <c r="O489" t="n">
        <v>0</v>
      </c>
      <c r="P489" t="n">
        <v>0</v>
      </c>
      <c r="Q489" t="n">
        <v>0</v>
      </c>
      <c r="R489" s="2" t="inlineStr"/>
    </row>
    <row r="490" ht="15" customHeight="1">
      <c r="A490" t="inlineStr">
        <is>
          <t>A 21501-2025</t>
        </is>
      </c>
      <c r="B490" s="1" t="n">
        <v>45782</v>
      </c>
      <c r="C490" s="1" t="n">
        <v>46174</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34988-2025</t>
        </is>
      </c>
      <c r="B491" s="1" t="n">
        <v>45849</v>
      </c>
      <c r="C491" s="1" t="n">
        <v>46174</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34987-2025</t>
        </is>
      </c>
      <c r="B492" s="1" t="n">
        <v>45849</v>
      </c>
      <c r="C492" s="1" t="n">
        <v>46174</v>
      </c>
      <c r="D492" t="inlineStr">
        <is>
          <t>UPPSALA LÄN</t>
        </is>
      </c>
      <c r="E492" t="inlineStr">
        <is>
          <t>ENKÖPING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36492-2025</t>
        </is>
      </c>
      <c r="B493" s="1" t="n">
        <v>45869</v>
      </c>
      <c r="C493" s="1" t="n">
        <v>46174</v>
      </c>
      <c r="D493" t="inlineStr">
        <is>
          <t>UPPSALA LÄN</t>
        </is>
      </c>
      <c r="E493" t="inlineStr">
        <is>
          <t>ENKÖPING</t>
        </is>
      </c>
      <c r="G493" t="n">
        <v>6.3</v>
      </c>
      <c r="H493" t="n">
        <v>0</v>
      </c>
      <c r="I493" t="n">
        <v>0</v>
      </c>
      <c r="J493" t="n">
        <v>0</v>
      </c>
      <c r="K493" t="n">
        <v>0</v>
      </c>
      <c r="L493" t="n">
        <v>0</v>
      </c>
      <c r="M493" t="n">
        <v>0</v>
      </c>
      <c r="N493" t="n">
        <v>0</v>
      </c>
      <c r="O493" t="n">
        <v>0</v>
      </c>
      <c r="P493" t="n">
        <v>0</v>
      </c>
      <c r="Q493" t="n">
        <v>0</v>
      </c>
      <c r="R493" s="2" t="inlineStr"/>
    </row>
    <row r="494" ht="15" customHeight="1">
      <c r="A494" t="inlineStr">
        <is>
          <t>A 36350-2025</t>
        </is>
      </c>
      <c r="B494" s="1" t="n">
        <v>45868</v>
      </c>
      <c r="C494" s="1" t="n">
        <v>46174</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36599-2025</t>
        </is>
      </c>
      <c r="B495" s="1" t="n">
        <v>45870.51723379629</v>
      </c>
      <c r="C495" s="1" t="n">
        <v>46174</v>
      </c>
      <c r="D495" t="inlineStr">
        <is>
          <t>UPPSALA LÄN</t>
        </is>
      </c>
      <c r="E495" t="inlineStr">
        <is>
          <t>ENKÖPING</t>
        </is>
      </c>
      <c r="G495" t="n">
        <v>5.9</v>
      </c>
      <c r="H495" t="n">
        <v>0</v>
      </c>
      <c r="I495" t="n">
        <v>0</v>
      </c>
      <c r="J495" t="n">
        <v>0</v>
      </c>
      <c r="K495" t="n">
        <v>0</v>
      </c>
      <c r="L495" t="n">
        <v>0</v>
      </c>
      <c r="M495" t="n">
        <v>0</v>
      </c>
      <c r="N495" t="n">
        <v>0</v>
      </c>
      <c r="O495" t="n">
        <v>0</v>
      </c>
      <c r="P495" t="n">
        <v>0</v>
      </c>
      <c r="Q495" t="n">
        <v>0</v>
      </c>
      <c r="R495" s="2" t="inlineStr"/>
    </row>
    <row r="496" ht="15" customHeight="1">
      <c r="A496" t="inlineStr">
        <is>
          <t>A 12411-2026</t>
        </is>
      </c>
      <c r="B496" s="1" t="n">
        <v>46090.42670138889</v>
      </c>
      <c r="C496" s="1" t="n">
        <v>46174</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5953-2026</t>
        </is>
      </c>
      <c r="B497" s="1" t="n">
        <v>46052.49119212963</v>
      </c>
      <c r="C497" s="1" t="n">
        <v>46174</v>
      </c>
      <c r="D497" t="inlineStr">
        <is>
          <t>UPPSALA LÄN</t>
        </is>
      </c>
      <c r="E497" t="inlineStr">
        <is>
          <t>ENKÖPING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37498-2025</t>
        </is>
      </c>
      <c r="B498" s="1" t="n">
        <v>45877</v>
      </c>
      <c r="C498" s="1" t="n">
        <v>46174</v>
      </c>
      <c r="D498" t="inlineStr">
        <is>
          <t>UPPSALA LÄN</t>
        </is>
      </c>
      <c r="E498" t="inlineStr">
        <is>
          <t>ENKÖPING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37296-2025</t>
        </is>
      </c>
      <c r="B499" s="1" t="n">
        <v>45876</v>
      </c>
      <c r="C499" s="1" t="n">
        <v>46174</v>
      </c>
      <c r="D499" t="inlineStr">
        <is>
          <t>UPPSALA LÄN</t>
        </is>
      </c>
      <c r="E499" t="inlineStr">
        <is>
          <t>ENKÖPING</t>
        </is>
      </c>
      <c r="G499" t="n">
        <v>9.5</v>
      </c>
      <c r="H499" t="n">
        <v>0</v>
      </c>
      <c r="I499" t="n">
        <v>0</v>
      </c>
      <c r="J499" t="n">
        <v>0</v>
      </c>
      <c r="K499" t="n">
        <v>0</v>
      </c>
      <c r="L499" t="n">
        <v>0</v>
      </c>
      <c r="M499" t="n">
        <v>0</v>
      </c>
      <c r="N499" t="n">
        <v>0</v>
      </c>
      <c r="O499" t="n">
        <v>0</v>
      </c>
      <c r="P499" t="n">
        <v>0</v>
      </c>
      <c r="Q499" t="n">
        <v>0</v>
      </c>
      <c r="R499" s="2" t="inlineStr"/>
    </row>
    <row r="500" ht="15" customHeight="1">
      <c r="A500" t="inlineStr">
        <is>
          <t>A 12996-2026</t>
        </is>
      </c>
      <c r="B500" s="1" t="n">
        <v>46092.68149305556</v>
      </c>
      <c r="C500" s="1" t="n">
        <v>46174</v>
      </c>
      <c r="D500" t="inlineStr">
        <is>
          <t>UPPSALA LÄN</t>
        </is>
      </c>
      <c r="E500" t="inlineStr">
        <is>
          <t>ENKÖPING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37319-2025</t>
        </is>
      </c>
      <c r="B501" s="1" t="n">
        <v>45876</v>
      </c>
      <c r="C501" s="1" t="n">
        <v>46174</v>
      </c>
      <c r="D501" t="inlineStr">
        <is>
          <t>UPPSALA LÄN</t>
        </is>
      </c>
      <c r="E501" t="inlineStr">
        <is>
          <t>ENKÖPING</t>
        </is>
      </c>
      <c r="G501" t="n">
        <v>9.5</v>
      </c>
      <c r="H501" t="n">
        <v>0</v>
      </c>
      <c r="I501" t="n">
        <v>0</v>
      </c>
      <c r="J501" t="n">
        <v>0</v>
      </c>
      <c r="K501" t="n">
        <v>0</v>
      </c>
      <c r="L501" t="n">
        <v>0</v>
      </c>
      <c r="M501" t="n">
        <v>0</v>
      </c>
      <c r="N501" t="n">
        <v>0</v>
      </c>
      <c r="O501" t="n">
        <v>0</v>
      </c>
      <c r="P501" t="n">
        <v>0</v>
      </c>
      <c r="Q501" t="n">
        <v>0</v>
      </c>
      <c r="R501" s="2" t="inlineStr"/>
    </row>
    <row r="502" ht="15" customHeight="1">
      <c r="A502" t="inlineStr">
        <is>
          <t>A 12997-2026</t>
        </is>
      </c>
      <c r="B502" s="1" t="n">
        <v>46092.6834375</v>
      </c>
      <c r="C502" s="1" t="n">
        <v>46174</v>
      </c>
      <c r="D502" t="inlineStr">
        <is>
          <t>UPPSALA LÄN</t>
        </is>
      </c>
      <c r="E502" t="inlineStr">
        <is>
          <t>ENKÖPING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49622-2024</t>
        </is>
      </c>
      <c r="B503" s="1" t="n">
        <v>45596.58372685185</v>
      </c>
      <c r="C503" s="1" t="n">
        <v>46174</v>
      </c>
      <c r="D503" t="inlineStr">
        <is>
          <t>UPPSALA LÄN</t>
        </is>
      </c>
      <c r="E503" t="inlineStr">
        <is>
          <t>ENKÖPING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13590-2026</t>
        </is>
      </c>
      <c r="B504" s="1" t="n">
        <v>46096</v>
      </c>
      <c r="C504" s="1" t="n">
        <v>46174</v>
      </c>
      <c r="D504" t="inlineStr">
        <is>
          <t>UPPSALA LÄN</t>
        </is>
      </c>
      <c r="E504" t="inlineStr">
        <is>
          <t>ENKÖPING</t>
        </is>
      </c>
      <c r="G504" t="n">
        <v>2.3</v>
      </c>
      <c r="H504" t="n">
        <v>0</v>
      </c>
      <c r="I504" t="n">
        <v>0</v>
      </c>
      <c r="J504" t="n">
        <v>0</v>
      </c>
      <c r="K504" t="n">
        <v>0</v>
      </c>
      <c r="L504" t="n">
        <v>0</v>
      </c>
      <c r="M504" t="n">
        <v>0</v>
      </c>
      <c r="N504" t="n">
        <v>0</v>
      </c>
      <c r="O504" t="n">
        <v>0</v>
      </c>
      <c r="P504" t="n">
        <v>0</v>
      </c>
      <c r="Q504" t="n">
        <v>0</v>
      </c>
      <c r="R504" s="2" t="inlineStr"/>
    </row>
    <row r="505" ht="15" customHeight="1">
      <c r="A505" t="inlineStr">
        <is>
          <t>A 27837-2025</t>
        </is>
      </c>
      <c r="B505" s="1" t="n">
        <v>45817.37207175926</v>
      </c>
      <c r="C505" s="1" t="n">
        <v>46174</v>
      </c>
      <c r="D505" t="inlineStr">
        <is>
          <t>UPPSALA LÄN</t>
        </is>
      </c>
      <c r="E505" t="inlineStr">
        <is>
          <t>ENKÖPING</t>
        </is>
      </c>
      <c r="G505" t="n">
        <v>7.3</v>
      </c>
      <c r="H505" t="n">
        <v>0</v>
      </c>
      <c r="I505" t="n">
        <v>0</v>
      </c>
      <c r="J505" t="n">
        <v>0</v>
      </c>
      <c r="K505" t="n">
        <v>0</v>
      </c>
      <c r="L505" t="n">
        <v>0</v>
      </c>
      <c r="M505" t="n">
        <v>0</v>
      </c>
      <c r="N505" t="n">
        <v>0</v>
      </c>
      <c r="O505" t="n">
        <v>0</v>
      </c>
      <c r="P505" t="n">
        <v>0</v>
      </c>
      <c r="Q505" t="n">
        <v>0</v>
      </c>
      <c r="R505" s="2" t="inlineStr"/>
    </row>
    <row r="506" ht="15" customHeight="1">
      <c r="A506" t="inlineStr">
        <is>
          <t>A 14229-2026</t>
        </is>
      </c>
      <c r="B506" s="1" t="n">
        <v>46099</v>
      </c>
      <c r="C506" s="1" t="n">
        <v>46174</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14296-2026</t>
        </is>
      </c>
      <c r="B507" s="1" t="n">
        <v>46099.7181712963</v>
      </c>
      <c r="C507" s="1" t="n">
        <v>46174</v>
      </c>
      <c r="D507" t="inlineStr">
        <is>
          <t>UPPSALA LÄN</t>
        </is>
      </c>
      <c r="E507" t="inlineStr">
        <is>
          <t>ENKÖPING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14260-2026</t>
        </is>
      </c>
      <c r="B508" s="1" t="n">
        <v>46099.63395833333</v>
      </c>
      <c r="C508" s="1" t="n">
        <v>46174</v>
      </c>
      <c r="D508" t="inlineStr">
        <is>
          <t>UPPSALA LÄN</t>
        </is>
      </c>
      <c r="E508" t="inlineStr">
        <is>
          <t>ENKÖPING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14182-2026</t>
        </is>
      </c>
      <c r="B509" s="1" t="n">
        <v>46099.49839120371</v>
      </c>
      <c r="C509" s="1" t="n">
        <v>46174</v>
      </c>
      <c r="D509" t="inlineStr">
        <is>
          <t>UPPSALA LÄN</t>
        </is>
      </c>
      <c r="E509" t="inlineStr">
        <is>
          <t>ENKÖPING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14298-2026</t>
        </is>
      </c>
      <c r="B510" s="1" t="n">
        <v>46099</v>
      </c>
      <c r="C510" s="1" t="n">
        <v>46174</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14178-2026</t>
        </is>
      </c>
      <c r="B511" s="1" t="n">
        <v>46099.49608796297</v>
      </c>
      <c r="C511" s="1" t="n">
        <v>46174</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15003-2026</t>
        </is>
      </c>
      <c r="B512" s="1" t="n">
        <v>46104.60931712963</v>
      </c>
      <c r="C512" s="1" t="n">
        <v>46174</v>
      </c>
      <c r="D512" t="inlineStr">
        <is>
          <t>UPPSALA LÄN</t>
        </is>
      </c>
      <c r="E512" t="inlineStr">
        <is>
          <t>ENKÖPING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15547-2026</t>
        </is>
      </c>
      <c r="B513" s="1" t="n">
        <v>46106.52613425926</v>
      </c>
      <c r="C513" s="1" t="n">
        <v>46174</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21862-2026</t>
        </is>
      </c>
      <c r="B514" s="1" t="n">
        <v>46150.55599537037</v>
      </c>
      <c r="C514" s="1" t="n">
        <v>46174</v>
      </c>
      <c r="D514" t="inlineStr">
        <is>
          <t>UPPSALA LÄN</t>
        </is>
      </c>
      <c r="E514" t="inlineStr">
        <is>
          <t>ENKÖPING</t>
        </is>
      </c>
      <c r="G514" t="n">
        <v>4.1</v>
      </c>
      <c r="H514" t="n">
        <v>0</v>
      </c>
      <c r="I514" t="n">
        <v>0</v>
      </c>
      <c r="J514" t="n">
        <v>0</v>
      </c>
      <c r="K514" t="n">
        <v>0</v>
      </c>
      <c r="L514" t="n">
        <v>0</v>
      </c>
      <c r="M514" t="n">
        <v>0</v>
      </c>
      <c r="N514" t="n">
        <v>0</v>
      </c>
      <c r="O514" t="n">
        <v>0</v>
      </c>
      <c r="P514" t="n">
        <v>0</v>
      </c>
      <c r="Q514" t="n">
        <v>0</v>
      </c>
      <c r="R514" s="2" t="inlineStr"/>
    </row>
    <row r="515" ht="15" customHeight="1">
      <c r="A515" t="inlineStr">
        <is>
          <t>A 22315-2026</t>
        </is>
      </c>
      <c r="B515" s="1" t="n">
        <v>46154.49106481481</v>
      </c>
      <c r="C515" s="1" t="n">
        <v>46174</v>
      </c>
      <c r="D515" t="inlineStr">
        <is>
          <t>UPPSALA LÄN</t>
        </is>
      </c>
      <c r="E515" t="inlineStr">
        <is>
          <t>ENKÖPING</t>
        </is>
      </c>
      <c r="G515" t="n">
        <v>1.3</v>
      </c>
      <c r="H515" t="n">
        <v>0</v>
      </c>
      <c r="I515" t="n">
        <v>0</v>
      </c>
      <c r="J515" t="n">
        <v>0</v>
      </c>
      <c r="K515" t="n">
        <v>0</v>
      </c>
      <c r="L515" t="n">
        <v>0</v>
      </c>
      <c r="M515" t="n">
        <v>0</v>
      </c>
      <c r="N515" t="n">
        <v>0</v>
      </c>
      <c r="O515" t="n">
        <v>0</v>
      </c>
      <c r="P515" t="n">
        <v>0</v>
      </c>
      <c r="Q515" t="n">
        <v>0</v>
      </c>
      <c r="R515" s="2" t="inlineStr"/>
    </row>
    <row r="516" ht="15" customHeight="1">
      <c r="A516" t="inlineStr">
        <is>
          <t>A 17418-2026</t>
        </is>
      </c>
      <c r="B516" s="1" t="n">
        <v>46120.3591087963</v>
      </c>
      <c r="C516" s="1" t="n">
        <v>46174</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23202-2026</t>
        </is>
      </c>
      <c r="B517" s="1" t="n">
        <v>46162.19833333333</v>
      </c>
      <c r="C517" s="1" t="n">
        <v>46174</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c r="A518" t="inlineStr">
        <is>
          <t>A 17419-2026</t>
        </is>
      </c>
      <c r="B518" s="1" t="n">
        <v>46120.36064814815</v>
      </c>
      <c r="C518" s="1" t="n">
        <v>46174</v>
      </c>
      <c r="D518" t="inlineStr">
        <is>
          <t>UPPSALA LÄN</t>
        </is>
      </c>
      <c r="E518" t="inlineStr">
        <is>
          <t>ENKÖPING</t>
        </is>
      </c>
      <c r="G518" t="n">
        <v>0.6</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2026-06-01T10:56:41Z</dcterms:created>
  <dcterms:modified xmlns:dcterms="http://purl.org/dc/terms/" xmlns:xsi="http://www.w3.org/2001/XMLSchema-instance" xsi:type="dcterms:W3CDTF">2026-06-01T10:56:42Z</dcterms:modified>
</cp:coreProperties>
</file>