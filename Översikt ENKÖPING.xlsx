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45972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45972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45972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45972</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45972</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45972</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45972</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45972</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45972</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45972</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45972</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45972</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45972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45972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45972</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74028-2021</t>
        </is>
      </c>
      <c r="B23" s="1" t="n">
        <v>44557.4596875</v>
      </c>
      <c r="C23" s="1" t="n">
        <v>45972</v>
      </c>
      <c r="D23" t="inlineStr">
        <is>
          <t>UPPSALA LÄN</t>
        </is>
      </c>
      <c r="E23" t="inlineStr">
        <is>
          <t>ENKÖPING</t>
        </is>
      </c>
      <c r="G23" t="n">
        <v>7.3</v>
      </c>
      <c r="H23" t="n">
        <v>1</v>
      </c>
      <c r="I23" t="n">
        <v>0</v>
      </c>
      <c r="J23" t="n">
        <v>0</v>
      </c>
      <c r="K23" t="n">
        <v>0</v>
      </c>
      <c r="L23" t="n">
        <v>0</v>
      </c>
      <c r="M23" t="n">
        <v>0</v>
      </c>
      <c r="N23" t="n">
        <v>0</v>
      </c>
      <c r="O23" t="n">
        <v>0</v>
      </c>
      <c r="P23" t="n">
        <v>0</v>
      </c>
      <c r="Q23" t="n">
        <v>1</v>
      </c>
      <c r="R23" s="2" t="inlineStr">
        <is>
          <t>Tjäder</t>
        </is>
      </c>
      <c r="S23">
        <f>HYPERLINK("https://klasma.github.io/Logging_0381/artfynd/A 74028-2021 artfynd.xlsx", "A 74028-2021")</f>
        <v/>
      </c>
      <c r="T23">
        <f>HYPERLINK("https://klasma.github.io/Logging_0381/kartor/A 74028-2021 karta.png", "A 74028-2021")</f>
        <v/>
      </c>
      <c r="V23">
        <f>HYPERLINK("https://klasma.github.io/Logging_0381/klagomål/A 74028-2021 FSC-klagomål.docx", "A 74028-2021")</f>
        <v/>
      </c>
      <c r="W23">
        <f>HYPERLINK("https://klasma.github.io/Logging_0381/klagomålsmail/A 74028-2021 FSC-klagomål mail.docx", "A 74028-2021")</f>
        <v/>
      </c>
      <c r="X23">
        <f>HYPERLINK("https://klasma.github.io/Logging_0381/tillsyn/A 74028-2021 tillsynsbegäran.docx", "A 74028-2021")</f>
        <v/>
      </c>
      <c r="Y23">
        <f>HYPERLINK("https://klasma.github.io/Logging_0381/tillsynsmail/A 74028-2021 tillsynsbegäran mail.docx", "A 74028-2021")</f>
        <v/>
      </c>
      <c r="Z23">
        <f>HYPERLINK("https://klasma.github.io/Logging_0381/fåglar/A 74028-2021 prioriterade fågelarter.docx", "A 74028-2021")</f>
        <v/>
      </c>
    </row>
    <row r="24" ht="15" customHeight="1">
      <c r="A24" t="inlineStr">
        <is>
          <t>A 17942-2024</t>
        </is>
      </c>
      <c r="B24" s="1" t="n">
        <v>45419</v>
      </c>
      <c r="C24" s="1" t="n">
        <v>45972</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45972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46749-2024</t>
        </is>
      </c>
      <c r="B26" s="1" t="n">
        <v>45583.48347222222</v>
      </c>
      <c r="C26" s="1" t="n">
        <v>45972</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33339-2024</t>
        </is>
      </c>
      <c r="B27" s="1" t="n">
        <v>45519</v>
      </c>
      <c r="C27" s="1" t="n">
        <v>45972</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23961-2022</t>
        </is>
      </c>
      <c r="B28" s="1" t="n">
        <v>44722</v>
      </c>
      <c r="C28" s="1" t="n">
        <v>45972</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26347-2025</t>
        </is>
      </c>
      <c r="B29" s="1" t="n">
        <v>45805.7403125</v>
      </c>
      <c r="C29" s="1" t="n">
        <v>45972</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45972</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52439-2025</t>
        </is>
      </c>
      <c r="B31" s="1" t="n">
        <v>45954.40697916667</v>
      </c>
      <c r="C31" s="1" t="n">
        <v>45972</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45116-2023</t>
        </is>
      </c>
      <c r="B32" s="1" t="n">
        <v>45191</v>
      </c>
      <c r="C32" s="1" t="n">
        <v>45972</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29510-2025</t>
        </is>
      </c>
      <c r="B33" s="1" t="n">
        <v>45825</v>
      </c>
      <c r="C33" s="1" t="n">
        <v>45972</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45972</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45972</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45972</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45972</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45972</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45972</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45972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45972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45972</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45972</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45972</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45972</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45972</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45972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45972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45972</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45972</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45972</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45972</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45972</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45972</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45972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45972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45972</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45972</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45972</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45972</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45972</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45972</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45972</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45972</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45972</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45972</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45972</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45972</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45972</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45972</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45972</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45972</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45972</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45972</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45972</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45972</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45972</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45972</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45972</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45972</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45972</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58798-2020</t>
        </is>
      </c>
      <c r="B95" s="1" t="n">
        <v>44146</v>
      </c>
      <c r="C95" s="1" t="n">
        <v>45972</v>
      </c>
      <c r="D95" t="inlineStr">
        <is>
          <t>UPPSALA LÄN</t>
        </is>
      </c>
      <c r="E95" t="inlineStr">
        <is>
          <t>ENKÖPING</t>
        </is>
      </c>
      <c r="G95" t="n">
        <v>1.8</v>
      </c>
      <c r="H95" t="n">
        <v>0</v>
      </c>
      <c r="I95" t="n">
        <v>0</v>
      </c>
      <c r="J95" t="n">
        <v>0</v>
      </c>
      <c r="K95" t="n">
        <v>0</v>
      </c>
      <c r="L95" t="n">
        <v>0</v>
      </c>
      <c r="M95" t="n">
        <v>0</v>
      </c>
      <c r="N95" t="n">
        <v>0</v>
      </c>
      <c r="O95" t="n">
        <v>0</v>
      </c>
      <c r="P95" t="n">
        <v>0</v>
      </c>
      <c r="Q95" t="n">
        <v>0</v>
      </c>
      <c r="R95" s="2" t="inlineStr"/>
    </row>
    <row r="96" ht="15" customHeight="1">
      <c r="A96" t="inlineStr">
        <is>
          <t>A 29983-2021</t>
        </is>
      </c>
      <c r="B96" s="1" t="n">
        <v>44363</v>
      </c>
      <c r="C96" s="1" t="n">
        <v>45972</v>
      </c>
      <c r="D96" t="inlineStr">
        <is>
          <t>UPPSALA LÄN</t>
        </is>
      </c>
      <c r="E96" t="inlineStr">
        <is>
          <t>ENKÖPING</t>
        </is>
      </c>
      <c r="F96" t="inlineStr">
        <is>
          <t>Kommuner</t>
        </is>
      </c>
      <c r="G96" t="n">
        <v>3.1</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45972</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31965-2021</t>
        </is>
      </c>
      <c r="B98" s="1" t="n">
        <v>44370.56901620371</v>
      </c>
      <c r="C98" s="1" t="n">
        <v>45972</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45972</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31013-2022</t>
        </is>
      </c>
      <c r="B100" s="1" t="n">
        <v>44768</v>
      </c>
      <c r="C100" s="1" t="n">
        <v>45972</v>
      </c>
      <c r="D100" t="inlineStr">
        <is>
          <t>UPPSALA LÄN</t>
        </is>
      </c>
      <c r="E100" t="inlineStr">
        <is>
          <t>ENKÖPING</t>
        </is>
      </c>
      <c r="F100" t="inlineStr">
        <is>
          <t>Allmännings- och besparingsskogar</t>
        </is>
      </c>
      <c r="G100" t="n">
        <v>0.5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45972</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45972</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43488-2023</t>
        </is>
      </c>
      <c r="B103" s="1" t="n">
        <v>45181</v>
      </c>
      <c r="C103" s="1" t="n">
        <v>45972</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12755-2025</t>
        </is>
      </c>
      <c r="B104" s="1" t="n">
        <v>45733.56541666666</v>
      </c>
      <c r="C104" s="1" t="n">
        <v>45972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45972</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4044-2024</t>
        </is>
      </c>
      <c r="B106" s="1" t="n">
        <v>45323.45954861111</v>
      </c>
      <c r="C106" s="1" t="n">
        <v>45972</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1971-2022</t>
        </is>
      </c>
      <c r="B107" s="1" t="n">
        <v>44575</v>
      </c>
      <c r="C107" s="1" t="n">
        <v>45972</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5211-2024</t>
        </is>
      </c>
      <c r="B108" s="1" t="n">
        <v>45330</v>
      </c>
      <c r="C108" s="1" t="n">
        <v>45972</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20067-2021</t>
        </is>
      </c>
      <c r="B109" s="1" t="n">
        <v>44314</v>
      </c>
      <c r="C109" s="1" t="n">
        <v>45972</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45972</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15924-2022</t>
        </is>
      </c>
      <c r="B111" s="1" t="n">
        <v>44664</v>
      </c>
      <c r="C111" s="1" t="n">
        <v>45972</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15943-2022</t>
        </is>
      </c>
      <c r="B112" s="1" t="n">
        <v>44664.66428240741</v>
      </c>
      <c r="C112" s="1" t="n">
        <v>45972</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47106-2021</t>
        </is>
      </c>
      <c r="B113" s="1" t="n">
        <v>44446</v>
      </c>
      <c r="C113" s="1" t="n">
        <v>45972</v>
      </c>
      <c r="D113" t="inlineStr">
        <is>
          <t>UPPSALA LÄN</t>
        </is>
      </c>
      <c r="E113" t="inlineStr">
        <is>
          <t>ENKÖPING</t>
        </is>
      </c>
      <c r="G113" t="n">
        <v>7.6</v>
      </c>
      <c r="H113" t="n">
        <v>0</v>
      </c>
      <c r="I113" t="n">
        <v>0</v>
      </c>
      <c r="J113" t="n">
        <v>0</v>
      </c>
      <c r="K113" t="n">
        <v>0</v>
      </c>
      <c r="L113" t="n">
        <v>0</v>
      </c>
      <c r="M113" t="n">
        <v>0</v>
      </c>
      <c r="N113" t="n">
        <v>0</v>
      </c>
      <c r="O113" t="n">
        <v>0</v>
      </c>
      <c r="P113" t="n">
        <v>0</v>
      </c>
      <c r="Q113" t="n">
        <v>0</v>
      </c>
      <c r="R113" s="2" t="inlineStr"/>
    </row>
    <row r="114" ht="15" customHeight="1">
      <c r="A114" t="inlineStr">
        <is>
          <t>A 19731-2022</t>
        </is>
      </c>
      <c r="B114" s="1" t="n">
        <v>44694</v>
      </c>
      <c r="C114" s="1" t="n">
        <v>45972</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45972</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25334-2023</t>
        </is>
      </c>
      <c r="B116" s="1" t="n">
        <v>45083</v>
      </c>
      <c r="C116" s="1" t="n">
        <v>45972</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45972</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33349-2024</t>
        </is>
      </c>
      <c r="B118" s="1" t="n">
        <v>45519</v>
      </c>
      <c r="C118" s="1" t="n">
        <v>45972</v>
      </c>
      <c r="D118" t="inlineStr">
        <is>
          <t>UPPSALA LÄN</t>
        </is>
      </c>
      <c r="E118" t="inlineStr">
        <is>
          <t>ENKÖPING</t>
        </is>
      </c>
      <c r="G118" t="n">
        <v>3.6</v>
      </c>
      <c r="H118" t="n">
        <v>0</v>
      </c>
      <c r="I118" t="n">
        <v>0</v>
      </c>
      <c r="J118" t="n">
        <v>0</v>
      </c>
      <c r="K118" t="n">
        <v>0</v>
      </c>
      <c r="L118" t="n">
        <v>0</v>
      </c>
      <c r="M118" t="n">
        <v>0</v>
      </c>
      <c r="N118" t="n">
        <v>0</v>
      </c>
      <c r="O118" t="n">
        <v>0</v>
      </c>
      <c r="P118" t="n">
        <v>0</v>
      </c>
      <c r="Q118" t="n">
        <v>0</v>
      </c>
      <c r="R118" s="2" t="inlineStr"/>
    </row>
    <row r="119" ht="15" customHeight="1">
      <c r="A119" t="inlineStr">
        <is>
          <t>A 57043-2021</t>
        </is>
      </c>
      <c r="B119" s="1" t="n">
        <v>44482.53399305556</v>
      </c>
      <c r="C119" s="1" t="n">
        <v>45972</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45972</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53587-2024</t>
        </is>
      </c>
      <c r="B121" s="1" t="n">
        <v>45614.66953703704</v>
      </c>
      <c r="C121" s="1" t="n">
        <v>45972</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59121-2021</t>
        </is>
      </c>
      <c r="B122" s="1" t="n">
        <v>44490</v>
      </c>
      <c r="C122" s="1" t="n">
        <v>45972</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45972</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45972</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24815-2022</t>
        </is>
      </c>
      <c r="B125" s="1" t="n">
        <v>44728</v>
      </c>
      <c r="C125" s="1" t="n">
        <v>45972</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57078-2021</t>
        </is>
      </c>
      <c r="B126" s="1" t="n">
        <v>44482.57855324074</v>
      </c>
      <c r="C126" s="1" t="n">
        <v>45972</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30437-2022</t>
        </is>
      </c>
      <c r="B127" s="1" t="n">
        <v>44761</v>
      </c>
      <c r="C127" s="1" t="n">
        <v>45972</v>
      </c>
      <c r="D127" t="inlineStr">
        <is>
          <t>UPPSALA LÄN</t>
        </is>
      </c>
      <c r="E127" t="inlineStr">
        <is>
          <t>ENKÖPING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45972</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66517-2020</t>
        </is>
      </c>
      <c r="B129" s="1" t="n">
        <v>44178</v>
      </c>
      <c r="C129" s="1" t="n">
        <v>45972</v>
      </c>
      <c r="D129" t="inlineStr">
        <is>
          <t>UPPSALA LÄN</t>
        </is>
      </c>
      <c r="E129" t="inlineStr">
        <is>
          <t>ENKÖPING</t>
        </is>
      </c>
      <c r="G129" t="n">
        <v>4</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45972</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6356-2022</t>
        </is>
      </c>
      <c r="B131" s="1" t="n">
        <v>44600</v>
      </c>
      <c r="C131" s="1" t="n">
        <v>45972</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18583-2021</t>
        </is>
      </c>
      <c r="B132" s="1" t="n">
        <v>44306</v>
      </c>
      <c r="C132" s="1" t="n">
        <v>45972</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45972</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57147-2021</t>
        </is>
      </c>
      <c r="B134" s="1" t="n">
        <v>44482</v>
      </c>
      <c r="C134" s="1" t="n">
        <v>45972</v>
      </c>
      <c r="D134" t="inlineStr">
        <is>
          <t>UPPSALA LÄN</t>
        </is>
      </c>
      <c r="E134" t="inlineStr">
        <is>
          <t>ENKÖPING</t>
        </is>
      </c>
      <c r="G134" t="n">
        <v>5.7</v>
      </c>
      <c r="H134" t="n">
        <v>0</v>
      </c>
      <c r="I134" t="n">
        <v>0</v>
      </c>
      <c r="J134" t="n">
        <v>0</v>
      </c>
      <c r="K134" t="n">
        <v>0</v>
      </c>
      <c r="L134" t="n">
        <v>0</v>
      </c>
      <c r="M134" t="n">
        <v>0</v>
      </c>
      <c r="N134" t="n">
        <v>0</v>
      </c>
      <c r="O134" t="n">
        <v>0</v>
      </c>
      <c r="P134" t="n">
        <v>0</v>
      </c>
      <c r="Q134" t="n">
        <v>0</v>
      </c>
      <c r="R134" s="2" t="inlineStr"/>
    </row>
    <row r="135" ht="15" customHeight="1">
      <c r="A135" t="inlineStr">
        <is>
          <t>A 51932-2022</t>
        </is>
      </c>
      <c r="B135" s="1" t="n">
        <v>44872</v>
      </c>
      <c r="C135" s="1" t="n">
        <v>45972</v>
      </c>
      <c r="D135" t="inlineStr">
        <is>
          <t>UPPSALA LÄN</t>
        </is>
      </c>
      <c r="E135" t="inlineStr">
        <is>
          <t>ENKÖPING</t>
        </is>
      </c>
      <c r="G135" t="n">
        <v>5.5</v>
      </c>
      <c r="H135" t="n">
        <v>0</v>
      </c>
      <c r="I135" t="n">
        <v>0</v>
      </c>
      <c r="J135" t="n">
        <v>0</v>
      </c>
      <c r="K135" t="n">
        <v>0</v>
      </c>
      <c r="L135" t="n">
        <v>0</v>
      </c>
      <c r="M135" t="n">
        <v>0</v>
      </c>
      <c r="N135" t="n">
        <v>0</v>
      </c>
      <c r="O135" t="n">
        <v>0</v>
      </c>
      <c r="P135" t="n">
        <v>0</v>
      </c>
      <c r="Q135" t="n">
        <v>0</v>
      </c>
      <c r="R135" s="2" t="inlineStr"/>
    </row>
    <row r="136" ht="15" customHeight="1">
      <c r="A136" t="inlineStr">
        <is>
          <t>A 61711-2020</t>
        </is>
      </c>
      <c r="B136" s="1" t="n">
        <v>44158</v>
      </c>
      <c r="C136" s="1" t="n">
        <v>45972</v>
      </c>
      <c r="D136" t="inlineStr">
        <is>
          <t>UPPSALA LÄN</t>
        </is>
      </c>
      <c r="E136" t="inlineStr">
        <is>
          <t>ENKÖPING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1695-2025</t>
        </is>
      </c>
      <c r="B137" s="1" t="n">
        <v>45670</v>
      </c>
      <c r="C137" s="1" t="n">
        <v>45972</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59027-2024</t>
        </is>
      </c>
      <c r="B138" s="1" t="n">
        <v>45636.68755787037</v>
      </c>
      <c r="C138" s="1" t="n">
        <v>45972</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12958-2024</t>
        </is>
      </c>
      <c r="B139" s="1" t="n">
        <v>45385</v>
      </c>
      <c r="C139" s="1" t="n">
        <v>45972</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45972</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42564-2024</t>
        </is>
      </c>
      <c r="B141" s="1" t="n">
        <v>45565.63358796296</v>
      </c>
      <c r="C141" s="1" t="n">
        <v>45972</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21017-2023</t>
        </is>
      </c>
      <c r="B142" s="1" t="n">
        <v>45061</v>
      </c>
      <c r="C142" s="1" t="n">
        <v>45972</v>
      </c>
      <c r="D142" t="inlineStr">
        <is>
          <t>UPPSALA LÄN</t>
        </is>
      </c>
      <c r="E142" t="inlineStr">
        <is>
          <t>ENKÖPING</t>
        </is>
      </c>
      <c r="G142" t="n">
        <v>4.8</v>
      </c>
      <c r="H142" t="n">
        <v>0</v>
      </c>
      <c r="I142" t="n">
        <v>0</v>
      </c>
      <c r="J142" t="n">
        <v>0</v>
      </c>
      <c r="K142" t="n">
        <v>0</v>
      </c>
      <c r="L142" t="n">
        <v>0</v>
      </c>
      <c r="M142" t="n">
        <v>0</v>
      </c>
      <c r="N142" t="n">
        <v>0</v>
      </c>
      <c r="O142" t="n">
        <v>0</v>
      </c>
      <c r="P142" t="n">
        <v>0</v>
      </c>
      <c r="Q142" t="n">
        <v>0</v>
      </c>
      <c r="R142" s="2" t="inlineStr"/>
    </row>
    <row r="143" ht="15" customHeight="1">
      <c r="A143" t="inlineStr">
        <is>
          <t>A 3235-2025</t>
        </is>
      </c>
      <c r="B143" s="1" t="n">
        <v>45679</v>
      </c>
      <c r="C143" s="1" t="n">
        <v>45972</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6157-2021</t>
        </is>
      </c>
      <c r="B144" s="1" t="n">
        <v>44232</v>
      </c>
      <c r="C144" s="1" t="n">
        <v>45972</v>
      </c>
      <c r="D144" t="inlineStr">
        <is>
          <t>UPPSALA LÄN</t>
        </is>
      </c>
      <c r="E144" t="inlineStr">
        <is>
          <t>ENKÖPING</t>
        </is>
      </c>
      <c r="G144" t="n">
        <v>3.9</v>
      </c>
      <c r="H144" t="n">
        <v>0</v>
      </c>
      <c r="I144" t="n">
        <v>0</v>
      </c>
      <c r="J144" t="n">
        <v>0</v>
      </c>
      <c r="K144" t="n">
        <v>0</v>
      </c>
      <c r="L144" t="n">
        <v>0</v>
      </c>
      <c r="M144" t="n">
        <v>0</v>
      </c>
      <c r="N144" t="n">
        <v>0</v>
      </c>
      <c r="O144" t="n">
        <v>0</v>
      </c>
      <c r="P144" t="n">
        <v>0</v>
      </c>
      <c r="Q144" t="n">
        <v>0</v>
      </c>
      <c r="R144" s="2" t="inlineStr"/>
    </row>
    <row r="145" ht="15" customHeight="1">
      <c r="A145" t="inlineStr">
        <is>
          <t>A 52005-2024</t>
        </is>
      </c>
      <c r="B145" s="1" t="n">
        <v>45607.7627662037</v>
      </c>
      <c r="C145" s="1" t="n">
        <v>45972</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15711-2025</t>
        </is>
      </c>
      <c r="B146" s="1" t="n">
        <v>45748</v>
      </c>
      <c r="C146" s="1" t="n">
        <v>45972</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56176-2021</t>
        </is>
      </c>
      <c r="B147" s="1" t="n">
        <v>44477</v>
      </c>
      <c r="C147" s="1" t="n">
        <v>45972</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6959-2025</t>
        </is>
      </c>
      <c r="B148" s="1" t="n">
        <v>45701.49315972222</v>
      </c>
      <c r="C148" s="1" t="n">
        <v>45972</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67765-2020</t>
        </is>
      </c>
      <c r="B149" s="1" t="n">
        <v>44182</v>
      </c>
      <c r="C149" s="1" t="n">
        <v>45972</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45972</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45972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45972</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45972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53586-2024</t>
        </is>
      </c>
      <c r="B154" s="1" t="n">
        <v>45614</v>
      </c>
      <c r="C154" s="1" t="n">
        <v>45972</v>
      </c>
      <c r="D154" t="inlineStr">
        <is>
          <t>UPPSALA LÄN</t>
        </is>
      </c>
      <c r="E154" t="inlineStr">
        <is>
          <t>ENKÖPING</t>
        </is>
      </c>
      <c r="G154" t="n">
        <v>6.6</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45972</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45972</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45362-2022</t>
        </is>
      </c>
      <c r="B157" s="1" t="n">
        <v>44844.62366898148</v>
      </c>
      <c r="C157" s="1" t="n">
        <v>45972</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56526-2022</t>
        </is>
      </c>
      <c r="B158" s="1" t="n">
        <v>44893</v>
      </c>
      <c r="C158" s="1" t="n">
        <v>45972</v>
      </c>
      <c r="D158" t="inlineStr">
        <is>
          <t>UPPSALA LÄN</t>
        </is>
      </c>
      <c r="E158" t="inlineStr">
        <is>
          <t>ENKÖPING</t>
        </is>
      </c>
      <c r="G158" t="n">
        <v>3.8</v>
      </c>
      <c r="H158" t="n">
        <v>0</v>
      </c>
      <c r="I158" t="n">
        <v>0</v>
      </c>
      <c r="J158" t="n">
        <v>0</v>
      </c>
      <c r="K158" t="n">
        <v>0</v>
      </c>
      <c r="L158" t="n">
        <v>0</v>
      </c>
      <c r="M158" t="n">
        <v>0</v>
      </c>
      <c r="N158" t="n">
        <v>0</v>
      </c>
      <c r="O158" t="n">
        <v>0</v>
      </c>
      <c r="P158" t="n">
        <v>0</v>
      </c>
      <c r="Q158" t="n">
        <v>0</v>
      </c>
      <c r="R158" s="2" t="inlineStr"/>
    </row>
    <row r="159" ht="15" customHeight="1">
      <c r="A159" t="inlineStr">
        <is>
          <t>A 51034-2024</t>
        </is>
      </c>
      <c r="B159" s="1" t="n">
        <v>45603.4262037037</v>
      </c>
      <c r="C159" s="1" t="n">
        <v>45972</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51036-2024</t>
        </is>
      </c>
      <c r="B160" s="1" t="n">
        <v>45603.42839120371</v>
      </c>
      <c r="C160" s="1" t="n">
        <v>45972</v>
      </c>
      <c r="D160" t="inlineStr">
        <is>
          <t>UPPSALA LÄN</t>
        </is>
      </c>
      <c r="E160" t="inlineStr">
        <is>
          <t>ENKÖPING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43492-2023</t>
        </is>
      </c>
      <c r="B161" s="1" t="n">
        <v>45181</v>
      </c>
      <c r="C161" s="1" t="n">
        <v>45972</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52299-2023</t>
        </is>
      </c>
      <c r="B162" s="1" t="n">
        <v>45224.61636574074</v>
      </c>
      <c r="C162" s="1" t="n">
        <v>45972</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45972</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28518-2024</t>
        </is>
      </c>
      <c r="B164" s="1" t="n">
        <v>45477</v>
      </c>
      <c r="C164" s="1" t="n">
        <v>45972</v>
      </c>
      <c r="D164" t="inlineStr">
        <is>
          <t>UPPSALA LÄN</t>
        </is>
      </c>
      <c r="E164" t="inlineStr">
        <is>
          <t>ENKÖPING</t>
        </is>
      </c>
      <c r="G164" t="n">
        <v>3.4</v>
      </c>
      <c r="H164" t="n">
        <v>0</v>
      </c>
      <c r="I164" t="n">
        <v>0</v>
      </c>
      <c r="J164" t="n">
        <v>0</v>
      </c>
      <c r="K164" t="n">
        <v>0</v>
      </c>
      <c r="L164" t="n">
        <v>0</v>
      </c>
      <c r="M164" t="n">
        <v>0</v>
      </c>
      <c r="N164" t="n">
        <v>0</v>
      </c>
      <c r="O164" t="n">
        <v>0</v>
      </c>
      <c r="P164" t="n">
        <v>0</v>
      </c>
      <c r="Q164" t="n">
        <v>0</v>
      </c>
      <c r="R164" s="2" t="inlineStr"/>
    </row>
    <row r="165" ht="15" customHeight="1">
      <c r="A165" t="inlineStr">
        <is>
          <t>A 25598-2021</t>
        </is>
      </c>
      <c r="B165" s="1" t="n">
        <v>44343.4558912037</v>
      </c>
      <c r="C165" s="1" t="n">
        <v>45972</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46940-2025</t>
        </is>
      </c>
      <c r="B166" s="1" t="n">
        <v>45929.45483796296</v>
      </c>
      <c r="C166" s="1" t="n">
        <v>45972</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47441-2025</t>
        </is>
      </c>
      <c r="B167" s="1" t="n">
        <v>45930.63986111111</v>
      </c>
      <c r="C167" s="1" t="n">
        <v>45972</v>
      </c>
      <c r="D167" t="inlineStr">
        <is>
          <t>UPPSALA LÄN</t>
        </is>
      </c>
      <c r="E167" t="inlineStr">
        <is>
          <t>ENKÖPING</t>
        </is>
      </c>
      <c r="F167" t="inlineStr">
        <is>
          <t>Allmännings- och besparingsskogar</t>
        </is>
      </c>
      <c r="G167" t="n">
        <v>11.5</v>
      </c>
      <c r="H167" t="n">
        <v>0</v>
      </c>
      <c r="I167" t="n">
        <v>0</v>
      </c>
      <c r="J167" t="n">
        <v>0</v>
      </c>
      <c r="K167" t="n">
        <v>0</v>
      </c>
      <c r="L167" t="n">
        <v>0</v>
      </c>
      <c r="M167" t="n">
        <v>0</v>
      </c>
      <c r="N167" t="n">
        <v>0</v>
      </c>
      <c r="O167" t="n">
        <v>0</v>
      </c>
      <c r="P167" t="n">
        <v>0</v>
      </c>
      <c r="Q167" t="n">
        <v>0</v>
      </c>
      <c r="R167" s="2" t="inlineStr"/>
    </row>
    <row r="168" ht="15" customHeight="1">
      <c r="A168" t="inlineStr">
        <is>
          <t>A 1536-2024</t>
        </is>
      </c>
      <c r="B168" s="1" t="n">
        <v>45306</v>
      </c>
      <c r="C168" s="1" t="n">
        <v>45972</v>
      </c>
      <c r="D168" t="inlineStr">
        <is>
          <t>UPPSALA LÄN</t>
        </is>
      </c>
      <c r="E168" t="inlineStr">
        <is>
          <t>ENKÖPING</t>
        </is>
      </c>
      <c r="F168" t="inlineStr">
        <is>
          <t>Kyrkan</t>
        </is>
      </c>
      <c r="G168" t="n">
        <v>5.6</v>
      </c>
      <c r="H168" t="n">
        <v>0</v>
      </c>
      <c r="I168" t="n">
        <v>0</v>
      </c>
      <c r="J168" t="n">
        <v>0</v>
      </c>
      <c r="K168" t="n">
        <v>0</v>
      </c>
      <c r="L168" t="n">
        <v>0</v>
      </c>
      <c r="M168" t="n">
        <v>0</v>
      </c>
      <c r="N168" t="n">
        <v>0</v>
      </c>
      <c r="O168" t="n">
        <v>0</v>
      </c>
      <c r="P168" t="n">
        <v>0</v>
      </c>
      <c r="Q168" t="n">
        <v>0</v>
      </c>
      <c r="R168" s="2" t="inlineStr"/>
    </row>
    <row r="169" ht="15" customHeight="1">
      <c r="A169" t="inlineStr">
        <is>
          <t>A 32081-2024</t>
        </is>
      </c>
      <c r="B169" s="1" t="n">
        <v>45511.34605324074</v>
      </c>
      <c r="C169" s="1" t="n">
        <v>45972</v>
      </c>
      <c r="D169" t="inlineStr">
        <is>
          <t>UPPSALA LÄN</t>
        </is>
      </c>
      <c r="E169" t="inlineStr">
        <is>
          <t>ENKÖPING</t>
        </is>
      </c>
      <c r="G169" t="n">
        <v>5.4</v>
      </c>
      <c r="H169" t="n">
        <v>0</v>
      </c>
      <c r="I169" t="n">
        <v>0</v>
      </c>
      <c r="J169" t="n">
        <v>0</v>
      </c>
      <c r="K169" t="n">
        <v>0</v>
      </c>
      <c r="L169" t="n">
        <v>0</v>
      </c>
      <c r="M169" t="n">
        <v>0</v>
      </c>
      <c r="N169" t="n">
        <v>0</v>
      </c>
      <c r="O169" t="n">
        <v>0</v>
      </c>
      <c r="P169" t="n">
        <v>0</v>
      </c>
      <c r="Q169" t="n">
        <v>0</v>
      </c>
      <c r="R169" s="2" t="inlineStr"/>
    </row>
    <row r="170" ht="15" customHeight="1">
      <c r="A170" t="inlineStr">
        <is>
          <t>A 2974-2025</t>
        </is>
      </c>
      <c r="B170" s="1" t="n">
        <v>45678.47168981482</v>
      </c>
      <c r="C170" s="1" t="n">
        <v>45972</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38941-2025</t>
        </is>
      </c>
      <c r="B171" s="1" t="n">
        <v>45887</v>
      </c>
      <c r="C171" s="1" t="n">
        <v>45972</v>
      </c>
      <c r="D171" t="inlineStr">
        <is>
          <t>UPPSALA LÄN</t>
        </is>
      </c>
      <c r="E171" t="inlineStr">
        <is>
          <t>ENKÖPING</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16916-2023</t>
        </is>
      </c>
      <c r="B172" s="1" t="n">
        <v>45033.58347222222</v>
      </c>
      <c r="C172" s="1" t="n">
        <v>45972</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30098-2024</t>
        </is>
      </c>
      <c r="B173" s="1" t="n">
        <v>45489.41609953704</v>
      </c>
      <c r="C173" s="1" t="n">
        <v>45972</v>
      </c>
      <c r="D173" t="inlineStr">
        <is>
          <t>UPPSALA LÄN</t>
        </is>
      </c>
      <c r="E173" t="inlineStr">
        <is>
          <t>ENKÖPING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20184-2023</t>
        </is>
      </c>
      <c r="B174" s="1" t="n">
        <v>45055.5670949074</v>
      </c>
      <c r="C174" s="1" t="n">
        <v>45972</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16920-2023</t>
        </is>
      </c>
      <c r="B175" s="1" t="n">
        <v>45033.59030092593</v>
      </c>
      <c r="C175" s="1" t="n">
        <v>45972</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1651-2024</t>
        </is>
      </c>
      <c r="B176" s="1" t="n">
        <v>45306.73770833333</v>
      </c>
      <c r="C176" s="1" t="n">
        <v>45972</v>
      </c>
      <c r="D176" t="inlineStr">
        <is>
          <t>UPPSALA LÄN</t>
        </is>
      </c>
      <c r="E176" t="inlineStr">
        <is>
          <t>ENKÖPING</t>
        </is>
      </c>
      <c r="G176" t="n">
        <v>10.2</v>
      </c>
      <c r="H176" t="n">
        <v>0</v>
      </c>
      <c r="I176" t="n">
        <v>0</v>
      </c>
      <c r="J176" t="n">
        <v>0</v>
      </c>
      <c r="K176" t="n">
        <v>0</v>
      </c>
      <c r="L176" t="n">
        <v>0</v>
      </c>
      <c r="M176" t="n">
        <v>0</v>
      </c>
      <c r="N176" t="n">
        <v>0</v>
      </c>
      <c r="O176" t="n">
        <v>0</v>
      </c>
      <c r="P176" t="n">
        <v>0</v>
      </c>
      <c r="Q176" t="n">
        <v>0</v>
      </c>
      <c r="R176" s="2" t="inlineStr"/>
    </row>
    <row r="177" ht="15" customHeight="1">
      <c r="A177" t="inlineStr">
        <is>
          <t>A 61952-2021</t>
        </is>
      </c>
      <c r="B177" s="1" t="n">
        <v>44502</v>
      </c>
      <c r="C177" s="1" t="n">
        <v>45972</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60289-2022</t>
        </is>
      </c>
      <c r="B178" s="1" t="n">
        <v>44910.53026620371</v>
      </c>
      <c r="C178" s="1" t="n">
        <v>45972</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52388-2024</t>
        </is>
      </c>
      <c r="B179" s="1" t="n">
        <v>45609.42939814815</v>
      </c>
      <c r="C179" s="1" t="n">
        <v>45972</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12434-2021</t>
        </is>
      </c>
      <c r="B180" s="1" t="n">
        <v>44267</v>
      </c>
      <c r="C180" s="1" t="n">
        <v>45972</v>
      </c>
      <c r="D180" t="inlineStr">
        <is>
          <t>UPPSALA LÄN</t>
        </is>
      </c>
      <c r="E180" t="inlineStr">
        <is>
          <t>ENKÖPING</t>
        </is>
      </c>
      <c r="G180" t="n">
        <v>5.3</v>
      </c>
      <c r="H180" t="n">
        <v>0</v>
      </c>
      <c r="I180" t="n">
        <v>0</v>
      </c>
      <c r="J180" t="n">
        <v>0</v>
      </c>
      <c r="K180" t="n">
        <v>0</v>
      </c>
      <c r="L180" t="n">
        <v>0</v>
      </c>
      <c r="M180" t="n">
        <v>0</v>
      </c>
      <c r="N180" t="n">
        <v>0</v>
      </c>
      <c r="O180" t="n">
        <v>0</v>
      </c>
      <c r="P180" t="n">
        <v>0</v>
      </c>
      <c r="Q180" t="n">
        <v>0</v>
      </c>
      <c r="R180" s="2" t="inlineStr"/>
    </row>
    <row r="181" ht="15" customHeight="1">
      <c r="A181" t="inlineStr">
        <is>
          <t>A 1992-2022</t>
        </is>
      </c>
      <c r="B181" s="1" t="n">
        <v>44575.56153935185</v>
      </c>
      <c r="C181" s="1" t="n">
        <v>45972</v>
      </c>
      <c r="D181" t="inlineStr">
        <is>
          <t>UPPSALA LÄN</t>
        </is>
      </c>
      <c r="E181" t="inlineStr">
        <is>
          <t>ENKÖPING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6626-2023</t>
        </is>
      </c>
      <c r="B182" s="1" t="n">
        <v>44966.55946759259</v>
      </c>
      <c r="C182" s="1" t="n">
        <v>45972</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59602-2022</t>
        </is>
      </c>
      <c r="B183" s="1" t="n">
        <v>44907.72241898148</v>
      </c>
      <c r="C183" s="1" t="n">
        <v>45972</v>
      </c>
      <c r="D183" t="inlineStr">
        <is>
          <t>UPPSALA LÄN</t>
        </is>
      </c>
      <c r="E183" t="inlineStr">
        <is>
          <t>ENKÖPING</t>
        </is>
      </c>
      <c r="G183" t="n">
        <v>14.2</v>
      </c>
      <c r="H183" t="n">
        <v>0</v>
      </c>
      <c r="I183" t="n">
        <v>0</v>
      </c>
      <c r="J183" t="n">
        <v>0</v>
      </c>
      <c r="K183" t="n">
        <v>0</v>
      </c>
      <c r="L183" t="n">
        <v>0</v>
      </c>
      <c r="M183" t="n">
        <v>0</v>
      </c>
      <c r="N183" t="n">
        <v>0</v>
      </c>
      <c r="O183" t="n">
        <v>0</v>
      </c>
      <c r="P183" t="n">
        <v>0</v>
      </c>
      <c r="Q183" t="n">
        <v>0</v>
      </c>
      <c r="R183" s="2" t="inlineStr"/>
    </row>
    <row r="184" ht="15" customHeight="1">
      <c r="A184" t="inlineStr">
        <is>
          <t>A 42589-2022</t>
        </is>
      </c>
      <c r="B184" s="1" t="n">
        <v>44831</v>
      </c>
      <c r="C184" s="1" t="n">
        <v>45972</v>
      </c>
      <c r="D184" t="inlineStr">
        <is>
          <t>UPPSALA LÄN</t>
        </is>
      </c>
      <c r="E184" t="inlineStr">
        <is>
          <t>ENKÖPING</t>
        </is>
      </c>
      <c r="G184" t="n">
        <v>20</v>
      </c>
      <c r="H184" t="n">
        <v>0</v>
      </c>
      <c r="I184" t="n">
        <v>0</v>
      </c>
      <c r="J184" t="n">
        <v>0</v>
      </c>
      <c r="K184" t="n">
        <v>0</v>
      </c>
      <c r="L184" t="n">
        <v>0</v>
      </c>
      <c r="M184" t="n">
        <v>0</v>
      </c>
      <c r="N184" t="n">
        <v>0</v>
      </c>
      <c r="O184" t="n">
        <v>0</v>
      </c>
      <c r="P184" t="n">
        <v>0</v>
      </c>
      <c r="Q184" t="n">
        <v>0</v>
      </c>
      <c r="R184" s="2" t="inlineStr"/>
    </row>
    <row r="185" ht="15" customHeight="1">
      <c r="A185" t="inlineStr">
        <is>
          <t>A 35645-2021</t>
        </is>
      </c>
      <c r="B185" s="1" t="n">
        <v>44386.42</v>
      </c>
      <c r="C185" s="1" t="n">
        <v>45972</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48843-2023</t>
        </is>
      </c>
      <c r="B186" s="1" t="n">
        <v>45209</v>
      </c>
      <c r="C186" s="1" t="n">
        <v>45972</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45972</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57940-2022</t>
        </is>
      </c>
      <c r="B188" s="1" t="n">
        <v>44900</v>
      </c>
      <c r="C188" s="1" t="n">
        <v>45972</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31242-2024</t>
        </is>
      </c>
      <c r="B189" s="1" t="n">
        <v>45503</v>
      </c>
      <c r="C189" s="1" t="n">
        <v>45972</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35079-2024</t>
        </is>
      </c>
      <c r="B190" s="1" t="n">
        <v>45527.66770833333</v>
      </c>
      <c r="C190" s="1" t="n">
        <v>45972</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2162-2023</t>
        </is>
      </c>
      <c r="B191" s="1" t="n">
        <v>44941</v>
      </c>
      <c r="C191" s="1" t="n">
        <v>45972</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53595-2023</t>
        </is>
      </c>
      <c r="B192" s="1" t="n">
        <v>45223</v>
      </c>
      <c r="C192" s="1" t="n">
        <v>45972</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56163-2021</t>
        </is>
      </c>
      <c r="B193" s="1" t="n">
        <v>44477</v>
      </c>
      <c r="C193" s="1" t="n">
        <v>45972</v>
      </c>
      <c r="D193" t="inlineStr">
        <is>
          <t>UPPSALA LÄN</t>
        </is>
      </c>
      <c r="E193" t="inlineStr">
        <is>
          <t>ENKÖPING</t>
        </is>
      </c>
      <c r="F193" t="inlineStr">
        <is>
          <t>Allmännings- och besparingsskogar</t>
        </is>
      </c>
      <c r="G193" t="n">
        <v>0.6</v>
      </c>
      <c r="H193" t="n">
        <v>0</v>
      </c>
      <c r="I193" t="n">
        <v>0</v>
      </c>
      <c r="J193" t="n">
        <v>0</v>
      </c>
      <c r="K193" t="n">
        <v>0</v>
      </c>
      <c r="L193" t="n">
        <v>0</v>
      </c>
      <c r="M193" t="n">
        <v>0</v>
      </c>
      <c r="N193" t="n">
        <v>0</v>
      </c>
      <c r="O193" t="n">
        <v>0</v>
      </c>
      <c r="P193" t="n">
        <v>0</v>
      </c>
      <c r="Q193" t="n">
        <v>0</v>
      </c>
      <c r="R193" s="2" t="inlineStr"/>
    </row>
    <row r="194" ht="15" customHeight="1">
      <c r="A194" t="inlineStr">
        <is>
          <t>A 9487-2025</t>
        </is>
      </c>
      <c r="B194" s="1" t="n">
        <v>45715.49331018519</v>
      </c>
      <c r="C194" s="1" t="n">
        <v>45972</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28318-2024</t>
        </is>
      </c>
      <c r="B195" s="1" t="n">
        <v>45477</v>
      </c>
      <c r="C195" s="1" t="n">
        <v>45972</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16176-2025</t>
        </is>
      </c>
      <c r="B196" s="1" t="n">
        <v>45750</v>
      </c>
      <c r="C196" s="1" t="n">
        <v>45972</v>
      </c>
      <c r="D196" t="inlineStr">
        <is>
          <t>UPPSALA LÄN</t>
        </is>
      </c>
      <c r="E196" t="inlineStr">
        <is>
          <t>ENKÖPING</t>
        </is>
      </c>
      <c r="G196" t="n">
        <v>3.9</v>
      </c>
      <c r="H196" t="n">
        <v>0</v>
      </c>
      <c r="I196" t="n">
        <v>0</v>
      </c>
      <c r="J196" t="n">
        <v>0</v>
      </c>
      <c r="K196" t="n">
        <v>0</v>
      </c>
      <c r="L196" t="n">
        <v>0</v>
      </c>
      <c r="M196" t="n">
        <v>0</v>
      </c>
      <c r="N196" t="n">
        <v>0</v>
      </c>
      <c r="O196" t="n">
        <v>0</v>
      </c>
      <c r="P196" t="n">
        <v>0</v>
      </c>
      <c r="Q196" t="n">
        <v>0</v>
      </c>
      <c r="R196" s="2" t="inlineStr"/>
    </row>
    <row r="197" ht="15" customHeight="1">
      <c r="A197" t="inlineStr">
        <is>
          <t>A 37035-2023</t>
        </is>
      </c>
      <c r="B197" s="1" t="n">
        <v>45155</v>
      </c>
      <c r="C197" s="1" t="n">
        <v>45972</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46186-2023</t>
        </is>
      </c>
      <c r="B198" s="1" t="n">
        <v>45196</v>
      </c>
      <c r="C198" s="1" t="n">
        <v>45972</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15162-2025</t>
        </is>
      </c>
      <c r="B199" s="1" t="n">
        <v>45744</v>
      </c>
      <c r="C199" s="1" t="n">
        <v>45972</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60533-2021</t>
        </is>
      </c>
      <c r="B200" s="1" t="n">
        <v>44496</v>
      </c>
      <c r="C200" s="1" t="n">
        <v>45972</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15757-2023</t>
        </is>
      </c>
      <c r="B201" s="1" t="n">
        <v>45021</v>
      </c>
      <c r="C201" s="1" t="n">
        <v>45972</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14402-2023</t>
        </is>
      </c>
      <c r="B202" s="1" t="n">
        <v>45012</v>
      </c>
      <c r="C202" s="1" t="n">
        <v>45972</v>
      </c>
      <c r="D202" t="inlineStr">
        <is>
          <t>UPPSALA LÄN</t>
        </is>
      </c>
      <c r="E202" t="inlineStr">
        <is>
          <t>ENKÖPING</t>
        </is>
      </c>
      <c r="G202" t="n">
        <v>9.5</v>
      </c>
      <c r="H202" t="n">
        <v>0</v>
      </c>
      <c r="I202" t="n">
        <v>0</v>
      </c>
      <c r="J202" t="n">
        <v>0</v>
      </c>
      <c r="K202" t="n">
        <v>0</v>
      </c>
      <c r="L202" t="n">
        <v>0</v>
      </c>
      <c r="M202" t="n">
        <v>0</v>
      </c>
      <c r="N202" t="n">
        <v>0</v>
      </c>
      <c r="O202" t="n">
        <v>0</v>
      </c>
      <c r="P202" t="n">
        <v>0</v>
      </c>
      <c r="Q202" t="n">
        <v>0</v>
      </c>
      <c r="R202" s="2" t="inlineStr"/>
    </row>
    <row r="203" ht="15" customHeight="1">
      <c r="A203" t="inlineStr">
        <is>
          <t>A 43230-2023</t>
        </is>
      </c>
      <c r="B203" s="1" t="n">
        <v>45183</v>
      </c>
      <c r="C203" s="1" t="n">
        <v>45972</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18299-2025</t>
        </is>
      </c>
      <c r="B204" s="1" t="n">
        <v>45762</v>
      </c>
      <c r="C204" s="1" t="n">
        <v>45972</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56886-2023</t>
        </is>
      </c>
      <c r="B205" s="1" t="n">
        <v>45239</v>
      </c>
      <c r="C205" s="1" t="n">
        <v>45972</v>
      </c>
      <c r="D205" t="inlineStr">
        <is>
          <t>UPPSALA LÄN</t>
        </is>
      </c>
      <c r="E205" t="inlineStr">
        <is>
          <t>ENKÖPING</t>
        </is>
      </c>
      <c r="G205" t="n">
        <v>2</v>
      </c>
      <c r="H205" t="n">
        <v>0</v>
      </c>
      <c r="I205" t="n">
        <v>0</v>
      </c>
      <c r="J205" t="n">
        <v>0</v>
      </c>
      <c r="K205" t="n">
        <v>0</v>
      </c>
      <c r="L205" t="n">
        <v>0</v>
      </c>
      <c r="M205" t="n">
        <v>0</v>
      </c>
      <c r="N205" t="n">
        <v>0</v>
      </c>
      <c r="O205" t="n">
        <v>0</v>
      </c>
      <c r="P205" t="n">
        <v>0</v>
      </c>
      <c r="Q205" t="n">
        <v>0</v>
      </c>
      <c r="R205" s="2" t="inlineStr"/>
    </row>
    <row r="206" ht="15" customHeight="1">
      <c r="A206" t="inlineStr">
        <is>
          <t>A 6242-2025</t>
        </is>
      </c>
      <c r="B206" s="1" t="n">
        <v>45697</v>
      </c>
      <c r="C206" s="1" t="n">
        <v>45972</v>
      </c>
      <c r="D206" t="inlineStr">
        <is>
          <t>UPPSALA LÄN</t>
        </is>
      </c>
      <c r="E206" t="inlineStr">
        <is>
          <t>ENKÖPING</t>
        </is>
      </c>
      <c r="G206" t="n">
        <v>17.9</v>
      </c>
      <c r="H206" t="n">
        <v>0</v>
      </c>
      <c r="I206" t="n">
        <v>0</v>
      </c>
      <c r="J206" t="n">
        <v>0</v>
      </c>
      <c r="K206" t="n">
        <v>0</v>
      </c>
      <c r="L206" t="n">
        <v>0</v>
      </c>
      <c r="M206" t="n">
        <v>0</v>
      </c>
      <c r="N206" t="n">
        <v>0</v>
      </c>
      <c r="O206" t="n">
        <v>0</v>
      </c>
      <c r="P206" t="n">
        <v>0</v>
      </c>
      <c r="Q206" t="n">
        <v>0</v>
      </c>
      <c r="R206" s="2" t="inlineStr"/>
    </row>
    <row r="207" ht="15" customHeight="1">
      <c r="A207" t="inlineStr">
        <is>
          <t>A 51011-2024</t>
        </is>
      </c>
      <c r="B207" s="1" t="n">
        <v>45603.39427083333</v>
      </c>
      <c r="C207" s="1" t="n">
        <v>45972</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39115-2024</t>
        </is>
      </c>
      <c r="B208" s="1" t="n">
        <v>45548</v>
      </c>
      <c r="C208" s="1" t="n">
        <v>45972</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12020-2024</t>
        </is>
      </c>
      <c r="B209" s="1" t="n">
        <v>45377</v>
      </c>
      <c r="C209" s="1" t="n">
        <v>45972</v>
      </c>
      <c r="D209" t="inlineStr">
        <is>
          <t>UPPSALA LÄN</t>
        </is>
      </c>
      <c r="E209" t="inlineStr">
        <is>
          <t>ENKÖPING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6144-2024</t>
        </is>
      </c>
      <c r="B210" s="1" t="n">
        <v>45337.4684837963</v>
      </c>
      <c r="C210" s="1" t="n">
        <v>45972</v>
      </c>
      <c r="D210" t="inlineStr">
        <is>
          <t>UPPSALA LÄN</t>
        </is>
      </c>
      <c r="E210" t="inlineStr">
        <is>
          <t>ENKÖPING</t>
        </is>
      </c>
      <c r="G210" t="n">
        <v>13.8</v>
      </c>
      <c r="H210" t="n">
        <v>0</v>
      </c>
      <c r="I210" t="n">
        <v>0</v>
      </c>
      <c r="J210" t="n">
        <v>0</v>
      </c>
      <c r="K210" t="n">
        <v>0</v>
      </c>
      <c r="L210" t="n">
        <v>0</v>
      </c>
      <c r="M210" t="n">
        <v>0</v>
      </c>
      <c r="N210" t="n">
        <v>0</v>
      </c>
      <c r="O210" t="n">
        <v>0</v>
      </c>
      <c r="P210" t="n">
        <v>0</v>
      </c>
      <c r="Q210" t="n">
        <v>0</v>
      </c>
      <c r="R210" s="2" t="inlineStr"/>
    </row>
    <row r="211" ht="15" customHeight="1">
      <c r="A211" t="inlineStr">
        <is>
          <t>A 67984-2021</t>
        </is>
      </c>
      <c r="B211" s="1" t="n">
        <v>44525.70237268518</v>
      </c>
      <c r="C211" s="1" t="n">
        <v>45972</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18592-2021</t>
        </is>
      </c>
      <c r="B212" s="1" t="n">
        <v>44306</v>
      </c>
      <c r="C212" s="1" t="n">
        <v>45972</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11918-2025</t>
        </is>
      </c>
      <c r="B213" s="1" t="n">
        <v>45728.49331018519</v>
      </c>
      <c r="C213" s="1" t="n">
        <v>45972</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12102-2024</t>
        </is>
      </c>
      <c r="B214" s="1" t="n">
        <v>45377</v>
      </c>
      <c r="C214" s="1" t="n">
        <v>45972</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69344-2021</t>
        </is>
      </c>
      <c r="B215" s="1" t="n">
        <v>44531</v>
      </c>
      <c r="C215" s="1" t="n">
        <v>45972</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58961-2024</t>
        </is>
      </c>
      <c r="B216" s="1" t="n">
        <v>45636.585</v>
      </c>
      <c r="C216" s="1" t="n">
        <v>45972</v>
      </c>
      <c r="D216" t="inlineStr">
        <is>
          <t>UPPSALA LÄN</t>
        </is>
      </c>
      <c r="E216" t="inlineStr">
        <is>
          <t>ENKÖPING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34124-2021</t>
        </is>
      </c>
      <c r="B217" s="1" t="n">
        <v>44379</v>
      </c>
      <c r="C217" s="1" t="n">
        <v>45972</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43697-2024</t>
        </is>
      </c>
      <c r="B218" s="1" t="n">
        <v>45569</v>
      </c>
      <c r="C218" s="1" t="n">
        <v>45972</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45283-2022</t>
        </is>
      </c>
      <c r="B219" s="1" t="n">
        <v>44844</v>
      </c>
      <c r="C219" s="1" t="n">
        <v>45972</v>
      </c>
      <c r="D219" t="inlineStr">
        <is>
          <t>UPPSALA LÄN</t>
        </is>
      </c>
      <c r="E219" t="inlineStr">
        <is>
          <t>ENKÖPING</t>
        </is>
      </c>
      <c r="G219" t="n">
        <v>5.9</v>
      </c>
      <c r="H219" t="n">
        <v>0</v>
      </c>
      <c r="I219" t="n">
        <v>0</v>
      </c>
      <c r="J219" t="n">
        <v>0</v>
      </c>
      <c r="K219" t="n">
        <v>0</v>
      </c>
      <c r="L219" t="n">
        <v>0</v>
      </c>
      <c r="M219" t="n">
        <v>0</v>
      </c>
      <c r="N219" t="n">
        <v>0</v>
      </c>
      <c r="O219" t="n">
        <v>0</v>
      </c>
      <c r="P219" t="n">
        <v>0</v>
      </c>
      <c r="Q219" t="n">
        <v>0</v>
      </c>
      <c r="R219" s="2" t="inlineStr"/>
    </row>
    <row r="220" ht="15" customHeight="1">
      <c r="A220" t="inlineStr">
        <is>
          <t>A 845-2025</t>
        </is>
      </c>
      <c r="B220" s="1" t="n">
        <v>45665</v>
      </c>
      <c r="C220" s="1" t="n">
        <v>45972</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849-2025</t>
        </is>
      </c>
      <c r="B221" s="1" t="n">
        <v>45665</v>
      </c>
      <c r="C221" s="1" t="n">
        <v>45972</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27983-2024</t>
        </is>
      </c>
      <c r="B222" s="1" t="n">
        <v>45476</v>
      </c>
      <c r="C222" s="1" t="n">
        <v>45972</v>
      </c>
      <c r="D222" t="inlineStr">
        <is>
          <t>UPPSALA LÄN</t>
        </is>
      </c>
      <c r="E222" t="inlineStr">
        <is>
          <t>ENKÖPING</t>
        </is>
      </c>
      <c r="G222" t="n">
        <v>3.2</v>
      </c>
      <c r="H222" t="n">
        <v>0</v>
      </c>
      <c r="I222" t="n">
        <v>0</v>
      </c>
      <c r="J222" t="n">
        <v>0</v>
      </c>
      <c r="K222" t="n">
        <v>0</v>
      </c>
      <c r="L222" t="n">
        <v>0</v>
      </c>
      <c r="M222" t="n">
        <v>0</v>
      </c>
      <c r="N222" t="n">
        <v>0</v>
      </c>
      <c r="O222" t="n">
        <v>0</v>
      </c>
      <c r="P222" t="n">
        <v>0</v>
      </c>
      <c r="Q222" t="n">
        <v>0</v>
      </c>
      <c r="R222" s="2" t="inlineStr"/>
    </row>
    <row r="223" ht="15" customHeight="1">
      <c r="A223" t="inlineStr">
        <is>
          <t>A 51010-2024</t>
        </is>
      </c>
      <c r="B223" s="1" t="n">
        <v>45603.39285879629</v>
      </c>
      <c r="C223" s="1" t="n">
        <v>45972</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45972</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39439-2025</t>
        </is>
      </c>
      <c r="B225" s="1" t="n">
        <v>45889</v>
      </c>
      <c r="C225" s="1" t="n">
        <v>45972</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20440-2025</t>
        </is>
      </c>
      <c r="B226" s="1" t="n">
        <v>45775</v>
      </c>
      <c r="C226" s="1" t="n">
        <v>45972</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22912-2024</t>
        </is>
      </c>
      <c r="B227" s="1" t="n">
        <v>45448.73118055556</v>
      </c>
      <c r="C227" s="1" t="n">
        <v>45972</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41737-2022</t>
        </is>
      </c>
      <c r="B228" s="1" t="n">
        <v>44827.63826388889</v>
      </c>
      <c r="C228" s="1" t="n">
        <v>45972</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9667-2024</t>
        </is>
      </c>
      <c r="B229" s="1" t="n">
        <v>45362.45130787037</v>
      </c>
      <c r="C229" s="1" t="n">
        <v>45972</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58147-2024</t>
        </is>
      </c>
      <c r="B230" s="1" t="n">
        <v>45632.4334375</v>
      </c>
      <c r="C230" s="1" t="n">
        <v>45972</v>
      </c>
      <c r="D230" t="inlineStr">
        <is>
          <t>UPPSALA LÄN</t>
        </is>
      </c>
      <c r="E230" t="inlineStr">
        <is>
          <t>ENKÖPING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54595-2021</t>
        </is>
      </c>
      <c r="B231" s="1" t="n">
        <v>44473.58824074074</v>
      </c>
      <c r="C231" s="1" t="n">
        <v>45972</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22094-2023</t>
        </is>
      </c>
      <c r="B232" s="1" t="n">
        <v>45069</v>
      </c>
      <c r="C232" s="1" t="n">
        <v>45972</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35647-2021</t>
        </is>
      </c>
      <c r="B233" s="1" t="n">
        <v>44386</v>
      </c>
      <c r="C233" s="1" t="n">
        <v>45972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18302-2025</t>
        </is>
      </c>
      <c r="B234" s="1" t="n">
        <v>45762</v>
      </c>
      <c r="C234" s="1" t="n">
        <v>45972</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34735-2023</t>
        </is>
      </c>
      <c r="B235" s="1" t="n">
        <v>45139</v>
      </c>
      <c r="C235" s="1" t="n">
        <v>45972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43506-2023</t>
        </is>
      </c>
      <c r="B236" s="1" t="n">
        <v>45181</v>
      </c>
      <c r="C236" s="1" t="n">
        <v>45972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30514-2021</t>
        </is>
      </c>
      <c r="B237" s="1" t="n">
        <v>44364</v>
      </c>
      <c r="C237" s="1" t="n">
        <v>45972</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24962-2023</t>
        </is>
      </c>
      <c r="B238" s="1" t="n">
        <v>45085.60123842592</v>
      </c>
      <c r="C238" s="1" t="n">
        <v>45972</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44131-2023</t>
        </is>
      </c>
      <c r="B239" s="1" t="n">
        <v>45188</v>
      </c>
      <c r="C239" s="1" t="n">
        <v>45972</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29482-2022</t>
        </is>
      </c>
      <c r="B240" s="1" t="n">
        <v>44753.57703703704</v>
      </c>
      <c r="C240" s="1" t="n">
        <v>45972</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29483-2022</t>
        </is>
      </c>
      <c r="B241" s="1" t="n">
        <v>44753.57829861111</v>
      </c>
      <c r="C241" s="1" t="n">
        <v>45972</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37170-2021</t>
        </is>
      </c>
      <c r="B242" s="1" t="n">
        <v>44395</v>
      </c>
      <c r="C242" s="1" t="n">
        <v>45972</v>
      </c>
      <c r="D242" t="inlineStr">
        <is>
          <t>UPPSALA LÄN</t>
        </is>
      </c>
      <c r="E242" t="inlineStr">
        <is>
          <t>ENKÖPING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14004-2023</t>
        </is>
      </c>
      <c r="B243" s="1" t="n">
        <v>45008</v>
      </c>
      <c r="C243" s="1" t="n">
        <v>45972</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51012-2024</t>
        </is>
      </c>
      <c r="B244" s="1" t="n">
        <v>45603.39686342593</v>
      </c>
      <c r="C244" s="1" t="n">
        <v>45972</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53496-2022</t>
        </is>
      </c>
      <c r="B245" s="1" t="n">
        <v>44879.57217592592</v>
      </c>
      <c r="C245" s="1" t="n">
        <v>45972</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41828-2024</t>
        </is>
      </c>
      <c r="B246" s="1" t="n">
        <v>45561</v>
      </c>
      <c r="C246" s="1" t="n">
        <v>45972</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7870-2024</t>
        </is>
      </c>
      <c r="B247" s="1" t="n">
        <v>45350.33349537037</v>
      </c>
      <c r="C247" s="1" t="n">
        <v>45972</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28243-2023</t>
        </is>
      </c>
      <c r="B248" s="1" t="n">
        <v>45099.58885416666</v>
      </c>
      <c r="C248" s="1" t="n">
        <v>45972</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57209-2024</t>
        </is>
      </c>
      <c r="B249" s="1" t="n">
        <v>45629.49311342592</v>
      </c>
      <c r="C249" s="1" t="n">
        <v>45972</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10829-2024</t>
        </is>
      </c>
      <c r="B250" s="1" t="n">
        <v>45369</v>
      </c>
      <c r="C250" s="1" t="n">
        <v>45972</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10465-2022</t>
        </is>
      </c>
      <c r="B251" s="1" t="n">
        <v>44623</v>
      </c>
      <c r="C251" s="1" t="n">
        <v>45972</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2161-2023</t>
        </is>
      </c>
      <c r="B252" s="1" t="n">
        <v>44941</v>
      </c>
      <c r="C252" s="1" t="n">
        <v>45972</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2165-2023</t>
        </is>
      </c>
      <c r="B253" s="1" t="n">
        <v>44941</v>
      </c>
      <c r="C253" s="1" t="n">
        <v>45972</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8306-2021</t>
        </is>
      </c>
      <c r="B254" s="1" t="n">
        <v>44244</v>
      </c>
      <c r="C254" s="1" t="n">
        <v>45972</v>
      </c>
      <c r="D254" t="inlineStr">
        <is>
          <t>UPPSALA LÄN</t>
        </is>
      </c>
      <c r="E254" t="inlineStr">
        <is>
          <t>ENKÖPING</t>
        </is>
      </c>
      <c r="G254" t="n">
        <v>14.9</v>
      </c>
      <c r="H254" t="n">
        <v>0</v>
      </c>
      <c r="I254" t="n">
        <v>0</v>
      </c>
      <c r="J254" t="n">
        <v>0</v>
      </c>
      <c r="K254" t="n">
        <v>0</v>
      </c>
      <c r="L254" t="n">
        <v>0</v>
      </c>
      <c r="M254" t="n">
        <v>0</v>
      </c>
      <c r="N254" t="n">
        <v>0</v>
      </c>
      <c r="O254" t="n">
        <v>0</v>
      </c>
      <c r="P254" t="n">
        <v>0</v>
      </c>
      <c r="Q254" t="n">
        <v>0</v>
      </c>
      <c r="R254" s="2" t="inlineStr"/>
    </row>
    <row r="255" ht="15" customHeight="1">
      <c r="A255" t="inlineStr">
        <is>
          <t>A 13110-2023</t>
        </is>
      </c>
      <c r="B255" s="1" t="n">
        <v>45001</v>
      </c>
      <c r="C255" s="1" t="n">
        <v>45972</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49627-2024</t>
        </is>
      </c>
      <c r="B256" s="1" t="n">
        <v>45596.59140046296</v>
      </c>
      <c r="C256" s="1" t="n">
        <v>45972</v>
      </c>
      <c r="D256" t="inlineStr">
        <is>
          <t>UPPSALA LÄN</t>
        </is>
      </c>
      <c r="E256" t="inlineStr">
        <is>
          <t>ENKÖPING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9231-2023</t>
        </is>
      </c>
      <c r="B257" s="1" t="n">
        <v>44980</v>
      </c>
      <c r="C257" s="1" t="n">
        <v>45972</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27538-2023</t>
        </is>
      </c>
      <c r="B258" s="1" t="n">
        <v>45097</v>
      </c>
      <c r="C258" s="1" t="n">
        <v>45972</v>
      </c>
      <c r="D258" t="inlineStr">
        <is>
          <t>UPPSALA LÄN</t>
        </is>
      </c>
      <c r="E258" t="inlineStr">
        <is>
          <t>ENKÖPING</t>
        </is>
      </c>
      <c r="G258" t="n">
        <v>5.8</v>
      </c>
      <c r="H258" t="n">
        <v>0</v>
      </c>
      <c r="I258" t="n">
        <v>0</v>
      </c>
      <c r="J258" t="n">
        <v>0</v>
      </c>
      <c r="K258" t="n">
        <v>0</v>
      </c>
      <c r="L258" t="n">
        <v>0</v>
      </c>
      <c r="M258" t="n">
        <v>0</v>
      </c>
      <c r="N258" t="n">
        <v>0</v>
      </c>
      <c r="O258" t="n">
        <v>0</v>
      </c>
      <c r="P258" t="n">
        <v>0</v>
      </c>
      <c r="Q258" t="n">
        <v>0</v>
      </c>
      <c r="R258" s="2" t="inlineStr"/>
    </row>
    <row r="259" ht="15" customHeight="1">
      <c r="A259" t="inlineStr">
        <is>
          <t>A 18821-2023</t>
        </is>
      </c>
      <c r="B259" s="1" t="n">
        <v>45044.3782175926</v>
      </c>
      <c r="C259" s="1" t="n">
        <v>45972</v>
      </c>
      <c r="D259" t="inlineStr">
        <is>
          <t>UPPSALA LÄN</t>
        </is>
      </c>
      <c r="E259" t="inlineStr">
        <is>
          <t>ENKÖPING</t>
        </is>
      </c>
      <c r="G259" t="n">
        <v>6</v>
      </c>
      <c r="H259" t="n">
        <v>0</v>
      </c>
      <c r="I259" t="n">
        <v>0</v>
      </c>
      <c r="J259" t="n">
        <v>0</v>
      </c>
      <c r="K259" t="n">
        <v>0</v>
      </c>
      <c r="L259" t="n">
        <v>0</v>
      </c>
      <c r="M259" t="n">
        <v>0</v>
      </c>
      <c r="N259" t="n">
        <v>0</v>
      </c>
      <c r="O259" t="n">
        <v>0</v>
      </c>
      <c r="P259" t="n">
        <v>0</v>
      </c>
      <c r="Q259" t="n">
        <v>0</v>
      </c>
      <c r="R259" s="2" t="inlineStr"/>
    </row>
    <row r="260" ht="15" customHeight="1">
      <c r="A260" t="inlineStr">
        <is>
          <t>A 52380-2024</t>
        </is>
      </c>
      <c r="B260" s="1" t="n">
        <v>45609</v>
      </c>
      <c r="C260" s="1" t="n">
        <v>45972</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9041-2023</t>
        </is>
      </c>
      <c r="B261" s="1" t="n">
        <v>44979</v>
      </c>
      <c r="C261" s="1" t="n">
        <v>45972</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27786-2023</t>
        </is>
      </c>
      <c r="B262" s="1" t="n">
        <v>45098</v>
      </c>
      <c r="C262" s="1" t="n">
        <v>45972</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5013-2025</t>
        </is>
      </c>
      <c r="B263" s="1" t="n">
        <v>45691</v>
      </c>
      <c r="C263" s="1" t="n">
        <v>45972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11503-2024</t>
        </is>
      </c>
      <c r="B264" s="1" t="n">
        <v>45372.68020833333</v>
      </c>
      <c r="C264" s="1" t="n">
        <v>45972</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2850-2025</t>
        </is>
      </c>
      <c r="B265" s="1" t="n">
        <v>45677</v>
      </c>
      <c r="C265" s="1" t="n">
        <v>45972</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13853-2023</t>
        </is>
      </c>
      <c r="B266" s="1" t="n">
        <v>45007</v>
      </c>
      <c r="C266" s="1" t="n">
        <v>45972</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45972</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2164-2023</t>
        </is>
      </c>
      <c r="B268" s="1" t="n">
        <v>44941</v>
      </c>
      <c r="C268" s="1" t="n">
        <v>45972</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48424-2025</t>
        </is>
      </c>
      <c r="B269" s="1" t="n">
        <v>45934.69131944444</v>
      </c>
      <c r="C269" s="1" t="n">
        <v>45972</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50006-2023</t>
        </is>
      </c>
      <c r="B270" s="1" t="n">
        <v>45215</v>
      </c>
      <c r="C270" s="1" t="n">
        <v>45972</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63310-2021</t>
        </is>
      </c>
      <c r="B271" s="1" t="n">
        <v>44508</v>
      </c>
      <c r="C271" s="1" t="n">
        <v>45972</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45972</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61106-2022</t>
        </is>
      </c>
      <c r="B273" s="1" t="n">
        <v>44915.4128587963</v>
      </c>
      <c r="C273" s="1" t="n">
        <v>45972</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6172-2023</t>
        </is>
      </c>
      <c r="B274" s="1" t="n">
        <v>44964.68663194445</v>
      </c>
      <c r="C274" s="1" t="n">
        <v>45972</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10409-2025</t>
        </is>
      </c>
      <c r="B275" s="1" t="n">
        <v>45720.631875</v>
      </c>
      <c r="C275" s="1" t="n">
        <v>45972</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53607-2023</t>
        </is>
      </c>
      <c r="B276" s="1" t="n">
        <v>45230</v>
      </c>
      <c r="C276" s="1" t="n">
        <v>45972</v>
      </c>
      <c r="D276" t="inlineStr">
        <is>
          <t>UPPSALA LÄN</t>
        </is>
      </c>
      <c r="E276" t="inlineStr">
        <is>
          <t>ENKÖPING</t>
        </is>
      </c>
      <c r="F276" t="inlineStr">
        <is>
          <t>Allmännings- och besparingsskogar</t>
        </is>
      </c>
      <c r="G276" t="n">
        <v>6.3</v>
      </c>
      <c r="H276" t="n">
        <v>0</v>
      </c>
      <c r="I276" t="n">
        <v>0</v>
      </c>
      <c r="J276" t="n">
        <v>0</v>
      </c>
      <c r="K276" t="n">
        <v>0</v>
      </c>
      <c r="L276" t="n">
        <v>0</v>
      </c>
      <c r="M276" t="n">
        <v>0</v>
      </c>
      <c r="N276" t="n">
        <v>0</v>
      </c>
      <c r="O276" t="n">
        <v>0</v>
      </c>
      <c r="P276" t="n">
        <v>0</v>
      </c>
      <c r="Q276" t="n">
        <v>0</v>
      </c>
      <c r="R276" s="2" t="inlineStr"/>
    </row>
    <row r="277" ht="15" customHeight="1">
      <c r="A277" t="inlineStr">
        <is>
          <t>A 59497-2022</t>
        </is>
      </c>
      <c r="B277" s="1" t="n">
        <v>44907.48258101852</v>
      </c>
      <c r="C277" s="1" t="n">
        <v>45972</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39746-2025</t>
        </is>
      </c>
      <c r="B278" s="1" t="n">
        <v>45891</v>
      </c>
      <c r="C278" s="1" t="n">
        <v>45972</v>
      </c>
      <c r="D278" t="inlineStr">
        <is>
          <t>UPPSALA LÄN</t>
        </is>
      </c>
      <c r="E278" t="inlineStr">
        <is>
          <t>ENKÖPING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9171-2024</t>
        </is>
      </c>
      <c r="B279" s="1" t="n">
        <v>45358</v>
      </c>
      <c r="C279" s="1" t="n">
        <v>45972</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48423-2025</t>
        </is>
      </c>
      <c r="B280" s="1" t="n">
        <v>45934.68024305555</v>
      </c>
      <c r="C280" s="1" t="n">
        <v>45972</v>
      </c>
      <c r="D280" t="inlineStr">
        <is>
          <t>UPPSALA LÄN</t>
        </is>
      </c>
      <c r="E280" t="inlineStr">
        <is>
          <t>ENKÖPING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671-2022</t>
        </is>
      </c>
      <c r="B281" s="1" t="n">
        <v>44568</v>
      </c>
      <c r="C281" s="1" t="n">
        <v>45972</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11005-2023</t>
        </is>
      </c>
      <c r="B282" s="1" t="n">
        <v>44991</v>
      </c>
      <c r="C282" s="1" t="n">
        <v>45972</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49614-2024</t>
        </is>
      </c>
      <c r="B283" s="1" t="n">
        <v>45596.57716435185</v>
      </c>
      <c r="C283" s="1" t="n">
        <v>45972</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49632-2024</t>
        </is>
      </c>
      <c r="B284" s="1" t="n">
        <v>45596</v>
      </c>
      <c r="C284" s="1" t="n">
        <v>45972</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29918-2023</t>
        </is>
      </c>
      <c r="B285" s="1" t="n">
        <v>45099</v>
      </c>
      <c r="C285" s="1" t="n">
        <v>45972</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69567-2020</t>
        </is>
      </c>
      <c r="B286" s="1" t="n">
        <v>44194</v>
      </c>
      <c r="C286" s="1" t="n">
        <v>45972</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51030-2024</t>
        </is>
      </c>
      <c r="B287" s="1" t="n">
        <v>45603</v>
      </c>
      <c r="C287" s="1" t="n">
        <v>45972</v>
      </c>
      <c r="D287" t="inlineStr">
        <is>
          <t>UPPSALA LÄN</t>
        </is>
      </c>
      <c r="E287" t="inlineStr">
        <is>
          <t>ENKÖPING</t>
        </is>
      </c>
      <c r="G287" t="n">
        <v>2</v>
      </c>
      <c r="H287" t="n">
        <v>0</v>
      </c>
      <c r="I287" t="n">
        <v>0</v>
      </c>
      <c r="J287" t="n">
        <v>0</v>
      </c>
      <c r="K287" t="n">
        <v>0</v>
      </c>
      <c r="L287" t="n">
        <v>0</v>
      </c>
      <c r="M287" t="n">
        <v>0</v>
      </c>
      <c r="N287" t="n">
        <v>0</v>
      </c>
      <c r="O287" t="n">
        <v>0</v>
      </c>
      <c r="P287" t="n">
        <v>0</v>
      </c>
      <c r="Q287" t="n">
        <v>0</v>
      </c>
      <c r="R287" s="2" t="inlineStr"/>
    </row>
    <row r="288" ht="15" customHeight="1">
      <c r="A288" t="inlineStr">
        <is>
          <t>A 48678-2025</t>
        </is>
      </c>
      <c r="B288" s="1" t="n">
        <v>45936.59168981481</v>
      </c>
      <c r="C288" s="1" t="n">
        <v>45972</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58384-2022</t>
        </is>
      </c>
      <c r="B289" s="1" t="n">
        <v>44901</v>
      </c>
      <c r="C289" s="1" t="n">
        <v>45972</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43016-2021</t>
        </is>
      </c>
      <c r="B290" s="1" t="n">
        <v>44431</v>
      </c>
      <c r="C290" s="1" t="n">
        <v>45972</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15893-2024</t>
        </is>
      </c>
      <c r="B291" s="1" t="n">
        <v>45405</v>
      </c>
      <c r="C291" s="1" t="n">
        <v>45972</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21686-2022</t>
        </is>
      </c>
      <c r="B292" s="1" t="n">
        <v>44707</v>
      </c>
      <c r="C292" s="1" t="n">
        <v>45972</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33343-2024</t>
        </is>
      </c>
      <c r="B293" s="1" t="n">
        <v>45519</v>
      </c>
      <c r="C293" s="1" t="n">
        <v>45972</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29479-2022</t>
        </is>
      </c>
      <c r="B294" s="1" t="n">
        <v>44753.57265046296</v>
      </c>
      <c r="C294" s="1" t="n">
        <v>45972</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57142-2021</t>
        </is>
      </c>
      <c r="B295" s="1" t="n">
        <v>44482</v>
      </c>
      <c r="C295" s="1" t="n">
        <v>45972</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57153-2021</t>
        </is>
      </c>
      <c r="B296" s="1" t="n">
        <v>44482</v>
      </c>
      <c r="C296" s="1" t="n">
        <v>45972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49525-2021</t>
        </is>
      </c>
      <c r="B297" s="1" t="n">
        <v>44455</v>
      </c>
      <c r="C297" s="1" t="n">
        <v>45972</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15405-2025</t>
        </is>
      </c>
      <c r="B298" s="1" t="n">
        <v>45747.44670138889</v>
      </c>
      <c r="C298" s="1" t="n">
        <v>45972</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5188-2022</t>
        </is>
      </c>
      <c r="B299" s="1" t="n">
        <v>44594.4471412037</v>
      </c>
      <c r="C299" s="1" t="n">
        <v>45972</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6298-2021</t>
        </is>
      </c>
      <c r="B300" s="1" t="n">
        <v>44235</v>
      </c>
      <c r="C300" s="1" t="n">
        <v>45972</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12878-2025</t>
        </is>
      </c>
      <c r="B301" s="1" t="n">
        <v>45733.68571759259</v>
      </c>
      <c r="C301" s="1" t="n">
        <v>45972</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19014-2025</t>
        </is>
      </c>
      <c r="B302" s="1" t="n">
        <v>45764.59631944444</v>
      </c>
      <c r="C302" s="1" t="n">
        <v>45972</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43691-2024</t>
        </is>
      </c>
      <c r="B303" s="1" t="n">
        <v>45569</v>
      </c>
      <c r="C303" s="1" t="n">
        <v>45972</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52889-2022</t>
        </is>
      </c>
      <c r="B304" s="1" t="n">
        <v>44875</v>
      </c>
      <c r="C304" s="1" t="n">
        <v>45972</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47681-2024</t>
        </is>
      </c>
      <c r="B305" s="1" t="n">
        <v>45588</v>
      </c>
      <c r="C305" s="1" t="n">
        <v>45972</v>
      </c>
      <c r="D305" t="inlineStr">
        <is>
          <t>UPPSALA LÄN</t>
        </is>
      </c>
      <c r="E305" t="inlineStr">
        <is>
          <t>ENKÖPING</t>
        </is>
      </c>
      <c r="G305" t="n">
        <v>4.2</v>
      </c>
      <c r="H305" t="n">
        <v>0</v>
      </c>
      <c r="I305" t="n">
        <v>0</v>
      </c>
      <c r="J305" t="n">
        <v>0</v>
      </c>
      <c r="K305" t="n">
        <v>0</v>
      </c>
      <c r="L305" t="n">
        <v>0</v>
      </c>
      <c r="M305" t="n">
        <v>0</v>
      </c>
      <c r="N305" t="n">
        <v>0</v>
      </c>
      <c r="O305" t="n">
        <v>0</v>
      </c>
      <c r="P305" t="n">
        <v>0</v>
      </c>
      <c r="Q305" t="n">
        <v>0</v>
      </c>
      <c r="R305" s="2" t="inlineStr"/>
    </row>
    <row r="306" ht="15" customHeight="1">
      <c r="A306" t="inlineStr">
        <is>
          <t>A 12754-2025</t>
        </is>
      </c>
      <c r="B306" s="1" t="n">
        <v>45733.56331018519</v>
      </c>
      <c r="C306" s="1" t="n">
        <v>45972</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54588-2024</t>
        </is>
      </c>
      <c r="B307" s="1" t="n">
        <v>45617</v>
      </c>
      <c r="C307" s="1" t="n">
        <v>45972</v>
      </c>
      <c r="D307" t="inlineStr">
        <is>
          <t>UPPSALA LÄN</t>
        </is>
      </c>
      <c r="E307" t="inlineStr">
        <is>
          <t>ENKÖPING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45972</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19376-2024</t>
        </is>
      </c>
      <c r="B309" s="1" t="n">
        <v>45429</v>
      </c>
      <c r="C309" s="1" t="n">
        <v>45972</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51524-2022</t>
        </is>
      </c>
      <c r="B310" s="1" t="n">
        <v>44869</v>
      </c>
      <c r="C310" s="1" t="n">
        <v>45972</v>
      </c>
      <c r="D310" t="inlineStr">
        <is>
          <t>UPPSALA LÄN</t>
        </is>
      </c>
      <c r="E310" t="inlineStr">
        <is>
          <t>ENKÖPING</t>
        </is>
      </c>
      <c r="G310" t="n">
        <v>6.6</v>
      </c>
      <c r="H310" t="n">
        <v>0</v>
      </c>
      <c r="I310" t="n">
        <v>0</v>
      </c>
      <c r="J310" t="n">
        <v>0</v>
      </c>
      <c r="K310" t="n">
        <v>0</v>
      </c>
      <c r="L310" t="n">
        <v>0</v>
      </c>
      <c r="M310" t="n">
        <v>0</v>
      </c>
      <c r="N310" t="n">
        <v>0</v>
      </c>
      <c r="O310" t="n">
        <v>0</v>
      </c>
      <c r="P310" t="n">
        <v>0</v>
      </c>
      <c r="Q310" t="n">
        <v>0</v>
      </c>
      <c r="R310" s="2" t="inlineStr"/>
    </row>
    <row r="311" ht="15" customHeight="1">
      <c r="A311" t="inlineStr">
        <is>
          <t>A 59441-2020</t>
        </is>
      </c>
      <c r="B311" s="1" t="n">
        <v>44148</v>
      </c>
      <c r="C311" s="1" t="n">
        <v>45972</v>
      </c>
      <c r="D311" t="inlineStr">
        <is>
          <t>UPPSALA LÄN</t>
        </is>
      </c>
      <c r="E311" t="inlineStr">
        <is>
          <t>ENKÖPING</t>
        </is>
      </c>
      <c r="G311" t="n">
        <v>4.8</v>
      </c>
      <c r="H311" t="n">
        <v>0</v>
      </c>
      <c r="I311" t="n">
        <v>0</v>
      </c>
      <c r="J311" t="n">
        <v>0</v>
      </c>
      <c r="K311" t="n">
        <v>0</v>
      </c>
      <c r="L311" t="n">
        <v>0</v>
      </c>
      <c r="M311" t="n">
        <v>0</v>
      </c>
      <c r="N311" t="n">
        <v>0</v>
      </c>
      <c r="O311" t="n">
        <v>0</v>
      </c>
      <c r="P311" t="n">
        <v>0</v>
      </c>
      <c r="Q311" t="n">
        <v>0</v>
      </c>
      <c r="R311" s="2" t="inlineStr"/>
    </row>
    <row r="312" ht="15" customHeight="1">
      <c r="A312" t="inlineStr">
        <is>
          <t>A 57328-2024</t>
        </is>
      </c>
      <c r="B312" s="1" t="n">
        <v>45629.62798611111</v>
      </c>
      <c r="C312" s="1" t="n">
        <v>45972</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49068-2025</t>
        </is>
      </c>
      <c r="B313" s="1" t="n">
        <v>45937.64766203704</v>
      </c>
      <c r="C313" s="1" t="n">
        <v>45972</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33670-2024</t>
        </is>
      </c>
      <c r="B314" s="1" t="n">
        <v>45520</v>
      </c>
      <c r="C314" s="1" t="n">
        <v>45972</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8137-2025</t>
        </is>
      </c>
      <c r="B315" s="1" t="n">
        <v>45707.8561574074</v>
      </c>
      <c r="C315" s="1" t="n">
        <v>45972</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7868-2024</t>
        </is>
      </c>
      <c r="B316" s="1" t="n">
        <v>45350.33020833333</v>
      </c>
      <c r="C316" s="1" t="n">
        <v>45972</v>
      </c>
      <c r="D316" t="inlineStr">
        <is>
          <t>UPPSALA LÄN</t>
        </is>
      </c>
      <c r="E316" t="inlineStr">
        <is>
          <t>ENKÖPING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49073-2025</t>
        </is>
      </c>
      <c r="B317" s="1" t="n">
        <v>45937.65512731481</v>
      </c>
      <c r="C317" s="1" t="n">
        <v>45972</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19147-2024</t>
        </is>
      </c>
      <c r="B318" s="1" t="n">
        <v>45428</v>
      </c>
      <c r="C318" s="1" t="n">
        <v>45972</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67982-2021</t>
        </is>
      </c>
      <c r="B319" s="1" t="n">
        <v>44525</v>
      </c>
      <c r="C319" s="1" t="n">
        <v>45972</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51008-2024</t>
        </is>
      </c>
      <c r="B320" s="1" t="n">
        <v>45603.39041666667</v>
      </c>
      <c r="C320" s="1" t="n">
        <v>45972</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56837-2024</t>
        </is>
      </c>
      <c r="B321" s="1" t="n">
        <v>45628</v>
      </c>
      <c r="C321" s="1" t="n">
        <v>45972</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35052-2024</t>
        </is>
      </c>
      <c r="B322" s="1" t="n">
        <v>45527.6516087963</v>
      </c>
      <c r="C322" s="1" t="n">
        <v>45972</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57835-2024</t>
        </is>
      </c>
      <c r="B323" s="1" t="n">
        <v>45631.39947916667</v>
      </c>
      <c r="C323" s="1" t="n">
        <v>45972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21612-2023</t>
        </is>
      </c>
      <c r="B324" s="1" t="n">
        <v>45063</v>
      </c>
      <c r="C324" s="1" t="n">
        <v>45972</v>
      </c>
      <c r="D324" t="inlineStr">
        <is>
          <t>UPPSALA LÄN</t>
        </is>
      </c>
      <c r="E324" t="inlineStr">
        <is>
          <t>ENKÖPING</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39624-2023</t>
        </is>
      </c>
      <c r="B325" s="1" t="n">
        <v>45164</v>
      </c>
      <c r="C325" s="1" t="n">
        <v>45972</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45972</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55876-2024</t>
        </is>
      </c>
      <c r="B327" s="1" t="n">
        <v>45623.5546412037</v>
      </c>
      <c r="C327" s="1" t="n">
        <v>45972</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45972</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45972</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14518-2025</t>
        </is>
      </c>
      <c r="B330" s="1" t="n">
        <v>45741</v>
      </c>
      <c r="C330" s="1" t="n">
        <v>45972</v>
      </c>
      <c r="D330" t="inlineStr">
        <is>
          <t>UPPSALA LÄN</t>
        </is>
      </c>
      <c r="E330" t="inlineStr">
        <is>
          <t>ENKÖPING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54776-2024</t>
        </is>
      </c>
      <c r="B331" s="1" t="n">
        <v>45618</v>
      </c>
      <c r="C331" s="1" t="n">
        <v>45972</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22150-2025</t>
        </is>
      </c>
      <c r="B332" s="1" t="n">
        <v>45785.56398148148</v>
      </c>
      <c r="C332" s="1" t="n">
        <v>45972</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22156-2025</t>
        </is>
      </c>
      <c r="B333" s="1" t="n">
        <v>45785.57512731481</v>
      </c>
      <c r="C333" s="1" t="n">
        <v>45972</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30087-2024</t>
        </is>
      </c>
      <c r="B334" s="1" t="n">
        <v>45489.39447916667</v>
      </c>
      <c r="C334" s="1" t="n">
        <v>45972</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8152-2022</t>
        </is>
      </c>
      <c r="B335" s="1" t="n">
        <v>44609</v>
      </c>
      <c r="C335" s="1" t="n">
        <v>45972</v>
      </c>
      <c r="D335" t="inlineStr">
        <is>
          <t>UPPSALA LÄN</t>
        </is>
      </c>
      <c r="E335" t="inlineStr">
        <is>
          <t>ENKÖPING</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22677-2025</t>
        </is>
      </c>
      <c r="B336" s="1" t="n">
        <v>45789.49515046296</v>
      </c>
      <c r="C336" s="1" t="n">
        <v>45972</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22679-2025</t>
        </is>
      </c>
      <c r="B337" s="1" t="n">
        <v>45789.49747685185</v>
      </c>
      <c r="C337" s="1" t="n">
        <v>45972</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22729-2025</t>
        </is>
      </c>
      <c r="B338" s="1" t="n">
        <v>45789.57790509259</v>
      </c>
      <c r="C338" s="1" t="n">
        <v>45972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22786-2025</t>
        </is>
      </c>
      <c r="B339" s="1" t="n">
        <v>45789.64643518518</v>
      </c>
      <c r="C339" s="1" t="n">
        <v>45972</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22795-2025</t>
        </is>
      </c>
      <c r="B340" s="1" t="n">
        <v>45789.65944444444</v>
      </c>
      <c r="C340" s="1" t="n">
        <v>45972</v>
      </c>
      <c r="D340" t="inlineStr">
        <is>
          <t>UPPSALA LÄN</t>
        </is>
      </c>
      <c r="E340" t="inlineStr">
        <is>
          <t>ENKÖPING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22802-2025</t>
        </is>
      </c>
      <c r="B341" s="1" t="n">
        <v>45789.6686574074</v>
      </c>
      <c r="C341" s="1" t="n">
        <v>45972</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22680-2025</t>
        </is>
      </c>
      <c r="B342" s="1" t="n">
        <v>45789.5005787037</v>
      </c>
      <c r="C342" s="1" t="n">
        <v>45972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6981-2025</t>
        </is>
      </c>
      <c r="B343" s="1" t="n">
        <v>45701</v>
      </c>
      <c r="C343" s="1" t="n">
        <v>45972</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22770-2025</t>
        </is>
      </c>
      <c r="B344" s="1" t="n">
        <v>45789.63454861111</v>
      </c>
      <c r="C344" s="1" t="n">
        <v>45972</v>
      </c>
      <c r="D344" t="inlineStr">
        <is>
          <t>UPPSALA LÄN</t>
        </is>
      </c>
      <c r="E344" t="inlineStr">
        <is>
          <t>ENKÖPING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22725-2025</t>
        </is>
      </c>
      <c r="B345" s="1" t="n">
        <v>45789.57371527778</v>
      </c>
      <c r="C345" s="1" t="n">
        <v>45972</v>
      </c>
      <c r="D345" t="inlineStr">
        <is>
          <t>UPPSALA LÄN</t>
        </is>
      </c>
      <c r="E345" t="inlineStr">
        <is>
          <t>ENKÖPING</t>
        </is>
      </c>
      <c r="G345" t="n">
        <v>4.8</v>
      </c>
      <c r="H345" t="n">
        <v>0</v>
      </c>
      <c r="I345" t="n">
        <v>0</v>
      </c>
      <c r="J345" t="n">
        <v>0</v>
      </c>
      <c r="K345" t="n">
        <v>0</v>
      </c>
      <c r="L345" t="n">
        <v>0</v>
      </c>
      <c r="M345" t="n">
        <v>0</v>
      </c>
      <c r="N345" t="n">
        <v>0</v>
      </c>
      <c r="O345" t="n">
        <v>0</v>
      </c>
      <c r="P345" t="n">
        <v>0</v>
      </c>
      <c r="Q345" t="n">
        <v>0</v>
      </c>
      <c r="R345" s="2" t="inlineStr"/>
    </row>
    <row r="346" ht="15" customHeight="1">
      <c r="A346" t="inlineStr">
        <is>
          <t>A 22981-2025</t>
        </is>
      </c>
      <c r="B346" s="1" t="n">
        <v>45790.56964120371</v>
      </c>
      <c r="C346" s="1" t="n">
        <v>45972</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45972</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22793-2025</t>
        </is>
      </c>
      <c r="B348" s="1" t="n">
        <v>45789.65693287037</v>
      </c>
      <c r="C348" s="1" t="n">
        <v>45972</v>
      </c>
      <c r="D348" t="inlineStr">
        <is>
          <t>UPPSALA LÄN</t>
        </is>
      </c>
      <c r="E348" t="inlineStr">
        <is>
          <t>ENKÖPING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22800-2025</t>
        </is>
      </c>
      <c r="B349" s="1" t="n">
        <v>45789.6669212963</v>
      </c>
      <c r="C349" s="1" t="n">
        <v>45972</v>
      </c>
      <c r="D349" t="inlineStr">
        <is>
          <t>UPPSALA LÄN</t>
        </is>
      </c>
      <c r="E349" t="inlineStr">
        <is>
          <t>ENKÖPING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17657-2025</t>
        </is>
      </c>
      <c r="B350" s="1" t="n">
        <v>45758.35006944444</v>
      </c>
      <c r="C350" s="1" t="n">
        <v>45972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41618-2025</t>
        </is>
      </c>
      <c r="B351" s="1" t="n">
        <v>45901.70085648148</v>
      </c>
      <c r="C351" s="1" t="n">
        <v>45972</v>
      </c>
      <c r="D351" t="inlineStr">
        <is>
          <t>UPPSALA LÄN</t>
        </is>
      </c>
      <c r="E351" t="inlineStr">
        <is>
          <t>ENKÖPING</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15939-2022</t>
        </is>
      </c>
      <c r="B352" s="1" t="n">
        <v>44664</v>
      </c>
      <c r="C352" s="1" t="n">
        <v>45972</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17729-2023</t>
        </is>
      </c>
      <c r="B353" s="1" t="n">
        <v>45037</v>
      </c>
      <c r="C353" s="1" t="n">
        <v>45972</v>
      </c>
      <c r="D353" t="inlineStr">
        <is>
          <t>UPPSALA LÄN</t>
        </is>
      </c>
      <c r="E353" t="inlineStr">
        <is>
          <t>ENKÖPING</t>
        </is>
      </c>
      <c r="G353" t="n">
        <v>10.2</v>
      </c>
      <c r="H353" t="n">
        <v>0</v>
      </c>
      <c r="I353" t="n">
        <v>0</v>
      </c>
      <c r="J353" t="n">
        <v>0</v>
      </c>
      <c r="K353" t="n">
        <v>0</v>
      </c>
      <c r="L353" t="n">
        <v>0</v>
      </c>
      <c r="M353" t="n">
        <v>0</v>
      </c>
      <c r="N353" t="n">
        <v>0</v>
      </c>
      <c r="O353" t="n">
        <v>0</v>
      </c>
      <c r="P353" t="n">
        <v>0</v>
      </c>
      <c r="Q353" t="n">
        <v>0</v>
      </c>
      <c r="R353" s="2" t="inlineStr"/>
    </row>
    <row r="354" ht="15" customHeight="1">
      <c r="A354" t="inlineStr">
        <is>
          <t>A 5749-2025</t>
        </is>
      </c>
      <c r="B354" s="1" t="n">
        <v>45694</v>
      </c>
      <c r="C354" s="1" t="n">
        <v>45972</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41765-2025</t>
        </is>
      </c>
      <c r="B355" s="1" t="n">
        <v>45902</v>
      </c>
      <c r="C355" s="1" t="n">
        <v>45972</v>
      </c>
      <c r="D355" t="inlineStr">
        <is>
          <t>UPPSALA LÄN</t>
        </is>
      </c>
      <c r="E355" t="inlineStr">
        <is>
          <t>ENKÖPING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41616-2025</t>
        </is>
      </c>
      <c r="B356" s="1" t="n">
        <v>45901.69684027778</v>
      </c>
      <c r="C356" s="1" t="n">
        <v>45972</v>
      </c>
      <c r="D356" t="inlineStr">
        <is>
          <t>UPPSALA LÄN</t>
        </is>
      </c>
      <c r="E356" t="inlineStr">
        <is>
          <t>ENKÖPING</t>
        </is>
      </c>
      <c r="F356" t="inlineStr">
        <is>
          <t>Allmännings- och besparingsskogar</t>
        </is>
      </c>
      <c r="G356" t="n">
        <v>17.3</v>
      </c>
      <c r="H356" t="n">
        <v>0</v>
      </c>
      <c r="I356" t="n">
        <v>0</v>
      </c>
      <c r="J356" t="n">
        <v>0</v>
      </c>
      <c r="K356" t="n">
        <v>0</v>
      </c>
      <c r="L356" t="n">
        <v>0</v>
      </c>
      <c r="M356" t="n">
        <v>0</v>
      </c>
      <c r="N356" t="n">
        <v>0</v>
      </c>
      <c r="O356" t="n">
        <v>0</v>
      </c>
      <c r="P356" t="n">
        <v>0</v>
      </c>
      <c r="Q356" t="n">
        <v>0</v>
      </c>
      <c r="R356" s="2" t="inlineStr"/>
    </row>
    <row r="357" ht="15" customHeight="1">
      <c r="A357" t="inlineStr">
        <is>
          <t>A 50394-2024</t>
        </is>
      </c>
      <c r="B357" s="1" t="n">
        <v>45600</v>
      </c>
      <c r="C357" s="1" t="n">
        <v>45972</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8020-2022</t>
        </is>
      </c>
      <c r="B358" s="1" t="n">
        <v>44609</v>
      </c>
      <c r="C358" s="1" t="n">
        <v>45972</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34805-2024</t>
        </is>
      </c>
      <c r="B359" s="1" t="n">
        <v>45526</v>
      </c>
      <c r="C359" s="1" t="n">
        <v>45972</v>
      </c>
      <c r="D359" t="inlineStr">
        <is>
          <t>UPPSALA LÄN</t>
        </is>
      </c>
      <c r="E359" t="inlineStr">
        <is>
          <t>ENKÖPING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314-2025</t>
        </is>
      </c>
      <c r="B360" s="1" t="n">
        <v>45656</v>
      </c>
      <c r="C360" s="1" t="n">
        <v>45972</v>
      </c>
      <c r="D360" t="inlineStr">
        <is>
          <t>UPPSALA LÄN</t>
        </is>
      </c>
      <c r="E360" t="inlineStr">
        <is>
          <t>ENKÖPING</t>
        </is>
      </c>
      <c r="G360" t="n">
        <v>9</v>
      </c>
      <c r="H360" t="n">
        <v>0</v>
      </c>
      <c r="I360" t="n">
        <v>0</v>
      </c>
      <c r="J360" t="n">
        <v>0</v>
      </c>
      <c r="K360" t="n">
        <v>0</v>
      </c>
      <c r="L360" t="n">
        <v>0</v>
      </c>
      <c r="M360" t="n">
        <v>0</v>
      </c>
      <c r="N360" t="n">
        <v>0</v>
      </c>
      <c r="O360" t="n">
        <v>0</v>
      </c>
      <c r="P360" t="n">
        <v>0</v>
      </c>
      <c r="Q360" t="n">
        <v>0</v>
      </c>
      <c r="R360" s="2" t="inlineStr"/>
    </row>
    <row r="361" ht="15" customHeight="1">
      <c r="A361" t="inlineStr">
        <is>
          <t>A 10831-2024</t>
        </is>
      </c>
      <c r="B361" s="1" t="n">
        <v>45369</v>
      </c>
      <c r="C361" s="1" t="n">
        <v>45972</v>
      </c>
      <c r="D361" t="inlineStr">
        <is>
          <t>UPPSALA LÄN</t>
        </is>
      </c>
      <c r="E361" t="inlineStr">
        <is>
          <t>ENKÖPING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5712-2025</t>
        </is>
      </c>
      <c r="B362" s="1" t="n">
        <v>45694</v>
      </c>
      <c r="C362" s="1" t="n">
        <v>45972</v>
      </c>
      <c r="D362" t="inlineStr">
        <is>
          <t>UPPSALA LÄN</t>
        </is>
      </c>
      <c r="E362" t="inlineStr">
        <is>
          <t>ENKÖPING</t>
        </is>
      </c>
      <c r="G362" t="n">
        <v>5.1</v>
      </c>
      <c r="H362" t="n">
        <v>0</v>
      </c>
      <c r="I362" t="n">
        <v>0</v>
      </c>
      <c r="J362" t="n">
        <v>0</v>
      </c>
      <c r="K362" t="n">
        <v>0</v>
      </c>
      <c r="L362" t="n">
        <v>0</v>
      </c>
      <c r="M362" t="n">
        <v>0</v>
      </c>
      <c r="N362" t="n">
        <v>0</v>
      </c>
      <c r="O362" t="n">
        <v>0</v>
      </c>
      <c r="P362" t="n">
        <v>0</v>
      </c>
      <c r="Q362" t="n">
        <v>0</v>
      </c>
      <c r="R362" s="2" t="inlineStr"/>
    </row>
    <row r="363" ht="15" customHeight="1">
      <c r="A363" t="inlineStr">
        <is>
          <t>A 41637-2025</t>
        </is>
      </c>
      <c r="B363" s="1" t="n">
        <v>45901</v>
      </c>
      <c r="C363" s="1" t="n">
        <v>45972</v>
      </c>
      <c r="D363" t="inlineStr">
        <is>
          <t>UPPSALA LÄN</t>
        </is>
      </c>
      <c r="E363" t="inlineStr">
        <is>
          <t>ENKÖPING</t>
        </is>
      </c>
      <c r="F363" t="inlineStr">
        <is>
          <t>Allmännings- och besparingsskogar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72840-2021</t>
        </is>
      </c>
      <c r="B364" s="1" t="n">
        <v>44547</v>
      </c>
      <c r="C364" s="1" t="n">
        <v>45972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45956-2024</t>
        </is>
      </c>
      <c r="B365" s="1" t="n">
        <v>45580</v>
      </c>
      <c r="C365" s="1" t="n">
        <v>45972</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11627-2025</t>
        </is>
      </c>
      <c r="B366" s="1" t="n">
        <v>45727</v>
      </c>
      <c r="C366" s="1" t="n">
        <v>45972</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74090-2021</t>
        </is>
      </c>
      <c r="B367" s="1" t="n">
        <v>44557</v>
      </c>
      <c r="C367" s="1" t="n">
        <v>45972</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45972</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45972</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45972</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45972</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45972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58092-2024</t>
        </is>
      </c>
      <c r="B373" s="1" t="n">
        <v>45632</v>
      </c>
      <c r="C373" s="1" t="n">
        <v>45972</v>
      </c>
      <c r="D373" t="inlineStr">
        <is>
          <t>UPPSALA LÄN</t>
        </is>
      </c>
      <c r="E373" t="inlineStr">
        <is>
          <t>ENKÖPING</t>
        </is>
      </c>
      <c r="G373" t="n">
        <v>4.8</v>
      </c>
      <c r="H373" t="n">
        <v>0</v>
      </c>
      <c r="I373" t="n">
        <v>0</v>
      </c>
      <c r="J373" t="n">
        <v>0</v>
      </c>
      <c r="K373" t="n">
        <v>0</v>
      </c>
      <c r="L373" t="n">
        <v>0</v>
      </c>
      <c r="M373" t="n">
        <v>0</v>
      </c>
      <c r="N373" t="n">
        <v>0</v>
      </c>
      <c r="O373" t="n">
        <v>0</v>
      </c>
      <c r="P373" t="n">
        <v>0</v>
      </c>
      <c r="Q373" t="n">
        <v>0</v>
      </c>
      <c r="R373" s="2" t="inlineStr"/>
    </row>
    <row r="374" ht="15" customHeight="1">
      <c r="A374" t="inlineStr">
        <is>
          <t>A 15409-2025</t>
        </is>
      </c>
      <c r="B374" s="1" t="n">
        <v>45747</v>
      </c>
      <c r="C374" s="1" t="n">
        <v>45972</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47516-2022</t>
        </is>
      </c>
      <c r="B375" s="1" t="n">
        <v>44853.68895833333</v>
      </c>
      <c r="C375" s="1" t="n">
        <v>45972</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24411-2024</t>
        </is>
      </c>
      <c r="B376" s="1" t="n">
        <v>45457</v>
      </c>
      <c r="C376" s="1" t="n">
        <v>45972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25988-2025</t>
        </is>
      </c>
      <c r="B377" s="1" t="n">
        <v>45804.64814814815</v>
      </c>
      <c r="C377" s="1" t="n">
        <v>45972</v>
      </c>
      <c r="D377" t="inlineStr">
        <is>
          <t>UPPSALA LÄN</t>
        </is>
      </c>
      <c r="E377" t="inlineStr">
        <is>
          <t>ENKÖPING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26017-2025</t>
        </is>
      </c>
      <c r="B378" s="1" t="n">
        <v>45804</v>
      </c>
      <c r="C378" s="1" t="n">
        <v>45972</v>
      </c>
      <c r="D378" t="inlineStr">
        <is>
          <t>UPPSALA LÄN</t>
        </is>
      </c>
      <c r="E378" t="inlineStr">
        <is>
          <t>ENKÖPING</t>
        </is>
      </c>
      <c r="G378" t="n">
        <v>0.4</v>
      </c>
      <c r="H378" t="n">
        <v>0</v>
      </c>
      <c r="I378" t="n">
        <v>0</v>
      </c>
      <c r="J378" t="n">
        <v>0</v>
      </c>
      <c r="K378" t="n">
        <v>0</v>
      </c>
      <c r="L378" t="n">
        <v>0</v>
      </c>
      <c r="M378" t="n">
        <v>0</v>
      </c>
      <c r="N378" t="n">
        <v>0</v>
      </c>
      <c r="O378" t="n">
        <v>0</v>
      </c>
      <c r="P378" t="n">
        <v>0</v>
      </c>
      <c r="Q378" t="n">
        <v>0</v>
      </c>
      <c r="R378" s="2" t="inlineStr"/>
    </row>
    <row r="379" ht="15" customHeight="1">
      <c r="A379" t="inlineStr">
        <is>
          <t>A 26024-2025</t>
        </is>
      </c>
      <c r="B379" s="1" t="n">
        <v>45804.6831712963</v>
      </c>
      <c r="C379" s="1" t="n">
        <v>45972</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26042-2025</t>
        </is>
      </c>
      <c r="B380" s="1" t="n">
        <v>45804.70018518518</v>
      </c>
      <c r="C380" s="1" t="n">
        <v>45972</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25990-2025</t>
        </is>
      </c>
      <c r="B381" s="1" t="n">
        <v>45804.65229166667</v>
      </c>
      <c r="C381" s="1" t="n">
        <v>45972</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26030-2025</t>
        </is>
      </c>
      <c r="B382" s="1" t="n">
        <v>45804.68815972222</v>
      </c>
      <c r="C382" s="1" t="n">
        <v>45972</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26026-2025</t>
        </is>
      </c>
      <c r="B383" s="1" t="n">
        <v>45804.68510416667</v>
      </c>
      <c r="C383" s="1" t="n">
        <v>45972</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26047-2025</t>
        </is>
      </c>
      <c r="B384" s="1" t="n">
        <v>45804.70835648148</v>
      </c>
      <c r="C384" s="1" t="n">
        <v>45972</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25847-2025</t>
        </is>
      </c>
      <c r="B385" s="1" t="n">
        <v>45804</v>
      </c>
      <c r="C385" s="1" t="n">
        <v>45972</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45972</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26031-2025</t>
        </is>
      </c>
      <c r="B387" s="1" t="n">
        <v>45804.69050925926</v>
      </c>
      <c r="C387" s="1" t="n">
        <v>45972</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26041-2025</t>
        </is>
      </c>
      <c r="B388" s="1" t="n">
        <v>45804.69883101852</v>
      </c>
      <c r="C388" s="1" t="n">
        <v>45972</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45972</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26011-2025</t>
        </is>
      </c>
      <c r="B390" s="1" t="n">
        <v>45804.67412037037</v>
      </c>
      <c r="C390" s="1" t="n">
        <v>45972</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42029-2025</t>
        </is>
      </c>
      <c r="B391" s="1" t="n">
        <v>45903</v>
      </c>
      <c r="C391" s="1" t="n">
        <v>45972</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34617-2022</t>
        </is>
      </c>
      <c r="B392" s="1" t="n">
        <v>44795</v>
      </c>
      <c r="C392" s="1" t="n">
        <v>45972</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40202-2024</t>
        </is>
      </c>
      <c r="B393" s="1" t="n">
        <v>45554</v>
      </c>
      <c r="C393" s="1" t="n">
        <v>45972</v>
      </c>
      <c r="D393" t="inlineStr">
        <is>
          <t>UPPSALA LÄN</t>
        </is>
      </c>
      <c r="E393" t="inlineStr">
        <is>
          <t>ENKÖPING</t>
        </is>
      </c>
      <c r="G393" t="n">
        <v>6.2</v>
      </c>
      <c r="H393" t="n">
        <v>0</v>
      </c>
      <c r="I393" t="n">
        <v>0</v>
      </c>
      <c r="J393" t="n">
        <v>0</v>
      </c>
      <c r="K393" t="n">
        <v>0</v>
      </c>
      <c r="L393" t="n">
        <v>0</v>
      </c>
      <c r="M393" t="n">
        <v>0</v>
      </c>
      <c r="N393" t="n">
        <v>0</v>
      </c>
      <c r="O393" t="n">
        <v>0</v>
      </c>
      <c r="P393" t="n">
        <v>0</v>
      </c>
      <c r="Q393" t="n">
        <v>0</v>
      </c>
      <c r="R393" s="2" t="inlineStr"/>
    </row>
    <row r="394" ht="15" customHeight="1">
      <c r="A394" t="inlineStr">
        <is>
          <t>A 40223-2024</t>
        </is>
      </c>
      <c r="B394" s="1" t="n">
        <v>45554</v>
      </c>
      <c r="C394" s="1" t="n">
        <v>45972</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69879-2021</t>
        </is>
      </c>
      <c r="B395" s="1" t="n">
        <v>44532</v>
      </c>
      <c r="C395" s="1" t="n">
        <v>45972</v>
      </c>
      <c r="D395" t="inlineStr">
        <is>
          <t>UPPSALA LÄN</t>
        </is>
      </c>
      <c r="E395" t="inlineStr">
        <is>
          <t>ENKÖPING</t>
        </is>
      </c>
      <c r="G395" t="n">
        <v>4.2</v>
      </c>
      <c r="H395" t="n">
        <v>0</v>
      </c>
      <c r="I395" t="n">
        <v>0</v>
      </c>
      <c r="J395" t="n">
        <v>0</v>
      </c>
      <c r="K395" t="n">
        <v>0</v>
      </c>
      <c r="L395" t="n">
        <v>0</v>
      </c>
      <c r="M395" t="n">
        <v>0</v>
      </c>
      <c r="N395" t="n">
        <v>0</v>
      </c>
      <c r="O395" t="n">
        <v>0</v>
      </c>
      <c r="P395" t="n">
        <v>0</v>
      </c>
      <c r="Q395" t="n">
        <v>0</v>
      </c>
      <c r="R395" s="2" t="inlineStr"/>
    </row>
    <row r="396" ht="15" customHeight="1">
      <c r="A396" t="inlineStr">
        <is>
          <t>A 19013-2025</t>
        </is>
      </c>
      <c r="B396" s="1" t="n">
        <v>45764.59533564815</v>
      </c>
      <c r="C396" s="1" t="n">
        <v>45972</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35067-2024</t>
        </is>
      </c>
      <c r="B397" s="1" t="n">
        <v>45527.66153935185</v>
      </c>
      <c r="C397" s="1" t="n">
        <v>45972</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42756-2025</t>
        </is>
      </c>
      <c r="B398" s="1" t="n">
        <v>45908</v>
      </c>
      <c r="C398" s="1" t="n">
        <v>45972</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51133-2025</t>
        </is>
      </c>
      <c r="B399" s="1" t="n">
        <v>45947.55598379629</v>
      </c>
      <c r="C399" s="1" t="n">
        <v>45972</v>
      </c>
      <c r="D399" t="inlineStr">
        <is>
          <t>UPPSALA LÄN</t>
        </is>
      </c>
      <c r="E399" t="inlineStr">
        <is>
          <t>ENKÖPING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57335-2024</t>
        </is>
      </c>
      <c r="B400" s="1" t="n">
        <v>45629.63302083333</v>
      </c>
      <c r="C400" s="1" t="n">
        <v>45972</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23301-2024</t>
        </is>
      </c>
      <c r="B401" s="1" t="n">
        <v>45453.4396412037</v>
      </c>
      <c r="C401" s="1" t="n">
        <v>45972</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45972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51162-2025</t>
        </is>
      </c>
      <c r="B403" s="1" t="n">
        <v>45947.58820601852</v>
      </c>
      <c r="C403" s="1" t="n">
        <v>45972</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43103-2025</t>
        </is>
      </c>
      <c r="B404" s="1" t="n">
        <v>45909</v>
      </c>
      <c r="C404" s="1" t="n">
        <v>45972</v>
      </c>
      <c r="D404" t="inlineStr">
        <is>
          <t>UPPSALA LÄN</t>
        </is>
      </c>
      <c r="E404" t="inlineStr">
        <is>
          <t>ENKÖPING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41764-2025</t>
        </is>
      </c>
      <c r="B405" s="1" t="n">
        <v>45902</v>
      </c>
      <c r="C405" s="1" t="n">
        <v>45972</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51042-2024</t>
        </is>
      </c>
      <c r="B406" s="1" t="n">
        <v>45603.4342824074</v>
      </c>
      <c r="C406" s="1" t="n">
        <v>45972</v>
      </c>
      <c r="D406" t="inlineStr">
        <is>
          <t>UPPSALA LÄN</t>
        </is>
      </c>
      <c r="E406" t="inlineStr">
        <is>
          <t>ENKÖPING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22632-2025</t>
        </is>
      </c>
      <c r="B407" s="1" t="n">
        <v>45789.44361111111</v>
      </c>
      <c r="C407" s="1" t="n">
        <v>45972</v>
      </c>
      <c r="D407" t="inlineStr">
        <is>
          <t>UPPSALA LÄN</t>
        </is>
      </c>
      <c r="E407" t="inlineStr">
        <is>
          <t>ENKÖPING</t>
        </is>
      </c>
      <c r="G407" t="n">
        <v>2.1</v>
      </c>
      <c r="H407" t="n">
        <v>0</v>
      </c>
      <c r="I407" t="n">
        <v>0</v>
      </c>
      <c r="J407" t="n">
        <v>0</v>
      </c>
      <c r="K407" t="n">
        <v>0</v>
      </c>
      <c r="L407" t="n">
        <v>0</v>
      </c>
      <c r="M407" t="n">
        <v>0</v>
      </c>
      <c r="N407" t="n">
        <v>0</v>
      </c>
      <c r="O407" t="n">
        <v>0</v>
      </c>
      <c r="P407" t="n">
        <v>0</v>
      </c>
      <c r="Q407" t="n">
        <v>0</v>
      </c>
      <c r="R407" s="2" t="inlineStr"/>
    </row>
    <row r="408" ht="15" customHeight="1">
      <c r="A408" t="inlineStr">
        <is>
          <t>A 33619-2022</t>
        </is>
      </c>
      <c r="B408" s="1" t="n">
        <v>44789</v>
      </c>
      <c r="C408" s="1" t="n">
        <v>45972</v>
      </c>
      <c r="D408" t="inlineStr">
        <is>
          <t>UPPSALA LÄN</t>
        </is>
      </c>
      <c r="E408" t="inlineStr">
        <is>
          <t>ENKÖPING</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45972</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51037-2024</t>
        </is>
      </c>
      <c r="B410" s="1" t="n">
        <v>45603.43005787037</v>
      </c>
      <c r="C410" s="1" t="n">
        <v>45972</v>
      </c>
      <c r="D410" t="inlineStr">
        <is>
          <t>UPPSALA LÄN</t>
        </is>
      </c>
      <c r="E410" t="inlineStr">
        <is>
          <t>ENKÖPING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27829-2025</t>
        </is>
      </c>
      <c r="B411" s="1" t="n">
        <v>45817</v>
      </c>
      <c r="C411" s="1" t="n">
        <v>45972</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59602-2024</t>
        </is>
      </c>
      <c r="B412" s="1" t="n">
        <v>45638</v>
      </c>
      <c r="C412" s="1" t="n">
        <v>45972</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14243-2025</t>
        </is>
      </c>
      <c r="B413" s="1" t="n">
        <v>45740.61288194444</v>
      </c>
      <c r="C413" s="1" t="n">
        <v>45972</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45972</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51027-2024</t>
        </is>
      </c>
      <c r="B415" s="1" t="n">
        <v>45603</v>
      </c>
      <c r="C415" s="1" t="n">
        <v>45972</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45972</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45972</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41826-2024</t>
        </is>
      </c>
      <c r="B418" s="1" t="n">
        <v>45561</v>
      </c>
      <c r="C418" s="1" t="n">
        <v>45972</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39009-2024</t>
        </is>
      </c>
      <c r="B419" s="1" t="n">
        <v>45548</v>
      </c>
      <c r="C419" s="1" t="n">
        <v>45972</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8537-2025</t>
        </is>
      </c>
      <c r="B420" s="1" t="n">
        <v>45709</v>
      </c>
      <c r="C420" s="1" t="n">
        <v>45972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28862-2025</t>
        </is>
      </c>
      <c r="B421" s="1" t="n">
        <v>45820.59189814814</v>
      </c>
      <c r="C421" s="1" t="n">
        <v>45972</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45972</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45972</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29093-2025</t>
        </is>
      </c>
      <c r="B424" s="1" t="n">
        <v>45821.55743055556</v>
      </c>
      <c r="C424" s="1" t="n">
        <v>45972</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29477-2025</t>
        </is>
      </c>
      <c r="B425" s="1" t="n">
        <v>45824.71537037037</v>
      </c>
      <c r="C425" s="1" t="n">
        <v>45972</v>
      </c>
      <c r="D425" t="inlineStr">
        <is>
          <t>UPPSALA LÄN</t>
        </is>
      </c>
      <c r="E425" t="inlineStr">
        <is>
          <t>ENKÖPING</t>
        </is>
      </c>
      <c r="G425" t="n">
        <v>13.4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44763.45711805556</v>
      </c>
      <c r="C426" s="1" t="n">
        <v>45972</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44419-2025</t>
        </is>
      </c>
      <c r="B427" s="1" t="n">
        <v>45916.54671296296</v>
      </c>
      <c r="C427" s="1" t="n">
        <v>45972</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3300-2025</t>
        </is>
      </c>
      <c r="B428" s="1" t="n">
        <v>45679</v>
      </c>
      <c r="C428" s="1" t="n">
        <v>45972</v>
      </c>
      <c r="D428" t="inlineStr">
        <is>
          <t>UPPSALA LÄN</t>
        </is>
      </c>
      <c r="E428" t="inlineStr">
        <is>
          <t>ENKÖPING</t>
        </is>
      </c>
      <c r="G428" t="n">
        <v>8.9</v>
      </c>
      <c r="H428" t="n">
        <v>0</v>
      </c>
      <c r="I428" t="n">
        <v>0</v>
      </c>
      <c r="J428" t="n">
        <v>0</v>
      </c>
      <c r="K428" t="n">
        <v>0</v>
      </c>
      <c r="L428" t="n">
        <v>0</v>
      </c>
      <c r="M428" t="n">
        <v>0</v>
      </c>
      <c r="N428" t="n">
        <v>0</v>
      </c>
      <c r="O428" t="n">
        <v>0</v>
      </c>
      <c r="P428" t="n">
        <v>0</v>
      </c>
      <c r="Q428" t="n">
        <v>0</v>
      </c>
      <c r="R428" s="2" t="inlineStr"/>
    </row>
    <row r="429" ht="15" customHeight="1">
      <c r="A429" t="inlineStr">
        <is>
          <t>A 43999-2025</t>
        </is>
      </c>
      <c r="B429" s="1" t="n">
        <v>45915.45158564814</v>
      </c>
      <c r="C429" s="1" t="n">
        <v>45972</v>
      </c>
      <c r="D429" t="inlineStr">
        <is>
          <t>UPPSALA LÄN</t>
        </is>
      </c>
      <c r="E429" t="inlineStr">
        <is>
          <t>ENKÖPING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45972</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30837-2025</t>
        </is>
      </c>
      <c r="B431" s="1" t="n">
        <v>45831.7063425926</v>
      </c>
      <c r="C431" s="1" t="n">
        <v>45972</v>
      </c>
      <c r="D431" t="inlineStr">
        <is>
          <t>UPPSALA LÄN</t>
        </is>
      </c>
      <c r="E431" t="inlineStr">
        <is>
          <t>ENKÖPING</t>
        </is>
      </c>
      <c r="G431" t="n">
        <v>3.8</v>
      </c>
      <c r="H431" t="n">
        <v>0</v>
      </c>
      <c r="I431" t="n">
        <v>0</v>
      </c>
      <c r="J431" t="n">
        <v>0</v>
      </c>
      <c r="K431" t="n">
        <v>0</v>
      </c>
      <c r="L431" t="n">
        <v>0</v>
      </c>
      <c r="M431" t="n">
        <v>0</v>
      </c>
      <c r="N431" t="n">
        <v>0</v>
      </c>
      <c r="O431" t="n">
        <v>0</v>
      </c>
      <c r="P431" t="n">
        <v>0</v>
      </c>
      <c r="Q431" t="n">
        <v>0</v>
      </c>
      <c r="R431" s="2" t="inlineStr"/>
    </row>
    <row r="432" ht="15" customHeight="1">
      <c r="A432" t="inlineStr">
        <is>
          <t>A 51120-2023</t>
        </is>
      </c>
      <c r="B432" s="1" t="n">
        <v>45219.3088425926</v>
      </c>
      <c r="C432" s="1" t="n">
        <v>45972</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45972</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54357-2023</t>
        </is>
      </c>
      <c r="B434" s="1" t="n">
        <v>45225</v>
      </c>
      <c r="C434" s="1" t="n">
        <v>45972</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4203-2021</t>
        </is>
      </c>
      <c r="B435" s="1" t="n">
        <v>44223</v>
      </c>
      <c r="C435" s="1" t="n">
        <v>45972</v>
      </c>
      <c r="D435" t="inlineStr">
        <is>
          <t>UPPSALA LÄN</t>
        </is>
      </c>
      <c r="E435" t="inlineStr">
        <is>
          <t>ENKÖPING</t>
        </is>
      </c>
      <c r="G435" t="n">
        <v>11.6</v>
      </c>
      <c r="H435" t="n">
        <v>0</v>
      </c>
      <c r="I435" t="n">
        <v>0</v>
      </c>
      <c r="J435" t="n">
        <v>0</v>
      </c>
      <c r="K435" t="n">
        <v>0</v>
      </c>
      <c r="L435" t="n">
        <v>0</v>
      </c>
      <c r="M435" t="n">
        <v>0</v>
      </c>
      <c r="N435" t="n">
        <v>0</v>
      </c>
      <c r="O435" t="n">
        <v>0</v>
      </c>
      <c r="P435" t="n">
        <v>0</v>
      </c>
      <c r="Q435" t="n">
        <v>0</v>
      </c>
      <c r="R435" s="2" t="inlineStr"/>
    </row>
    <row r="436" ht="15" customHeight="1">
      <c r="A436" t="inlineStr">
        <is>
          <t>A 13816-2021</t>
        </is>
      </c>
      <c r="B436" s="1" t="n">
        <v>44276</v>
      </c>
      <c r="C436" s="1" t="n">
        <v>45972</v>
      </c>
      <c r="D436" t="inlineStr">
        <is>
          <t>UPPSALA LÄN</t>
        </is>
      </c>
      <c r="E436" t="inlineStr">
        <is>
          <t>ENKÖPING</t>
        </is>
      </c>
      <c r="G436" t="n">
        <v>0.4</v>
      </c>
      <c r="H436" t="n">
        <v>0</v>
      </c>
      <c r="I436" t="n">
        <v>0</v>
      </c>
      <c r="J436" t="n">
        <v>0</v>
      </c>
      <c r="K436" t="n">
        <v>0</v>
      </c>
      <c r="L436" t="n">
        <v>0</v>
      </c>
      <c r="M436" t="n">
        <v>0</v>
      </c>
      <c r="N436" t="n">
        <v>0</v>
      </c>
      <c r="O436" t="n">
        <v>0</v>
      </c>
      <c r="P436" t="n">
        <v>0</v>
      </c>
      <c r="Q436" t="n">
        <v>0</v>
      </c>
      <c r="R436" s="2" t="inlineStr"/>
    </row>
    <row r="437" ht="15" customHeight="1">
      <c r="A437" t="inlineStr">
        <is>
          <t>A 63402-2023</t>
        </is>
      </c>
      <c r="B437" s="1" t="n">
        <v>45274.50646990741</v>
      </c>
      <c r="C437" s="1" t="n">
        <v>45972</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53208-2023</t>
        </is>
      </c>
      <c r="B438" s="1" t="n">
        <v>45226</v>
      </c>
      <c r="C438" s="1" t="n">
        <v>45972</v>
      </c>
      <c r="D438" t="inlineStr">
        <is>
          <t>UPPSALA LÄN</t>
        </is>
      </c>
      <c r="E438" t="inlineStr">
        <is>
          <t>ENKÖPING</t>
        </is>
      </c>
      <c r="G438" t="n">
        <v>4.3</v>
      </c>
      <c r="H438" t="n">
        <v>0</v>
      </c>
      <c r="I438" t="n">
        <v>0</v>
      </c>
      <c r="J438" t="n">
        <v>0</v>
      </c>
      <c r="K438" t="n">
        <v>0</v>
      </c>
      <c r="L438" t="n">
        <v>0</v>
      </c>
      <c r="M438" t="n">
        <v>0</v>
      </c>
      <c r="N438" t="n">
        <v>0</v>
      </c>
      <c r="O438" t="n">
        <v>0</v>
      </c>
      <c r="P438" t="n">
        <v>0</v>
      </c>
      <c r="Q438" t="n">
        <v>0</v>
      </c>
      <c r="R438" s="2" t="inlineStr"/>
    </row>
    <row r="439" ht="15" customHeight="1">
      <c r="A439" t="inlineStr">
        <is>
          <t>A 32031-2025</t>
        </is>
      </c>
      <c r="B439" s="1" t="n">
        <v>45835.41712962963</v>
      </c>
      <c r="C439" s="1" t="n">
        <v>45972</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32111-2025</t>
        </is>
      </c>
      <c r="B440" s="1" t="n">
        <v>45835</v>
      </c>
      <c r="C440" s="1" t="n">
        <v>45972</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18259-2025</t>
        </is>
      </c>
      <c r="B441" s="1" t="n">
        <v>45762</v>
      </c>
      <c r="C441" s="1" t="n">
        <v>45972</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15740-2025</t>
        </is>
      </c>
      <c r="B442" s="1" t="n">
        <v>45748</v>
      </c>
      <c r="C442" s="1" t="n">
        <v>45972</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62158-2023</t>
        </is>
      </c>
      <c r="B443" s="1" t="n">
        <v>45267</v>
      </c>
      <c r="C443" s="1" t="n">
        <v>45972</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57848-2024</t>
        </is>
      </c>
      <c r="B444" s="1" t="n">
        <v>45631.40947916666</v>
      </c>
      <c r="C444" s="1" t="n">
        <v>45972</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18994-2025</t>
        </is>
      </c>
      <c r="B445" s="1" t="n">
        <v>45764.57350694444</v>
      </c>
      <c r="C445" s="1" t="n">
        <v>45972</v>
      </c>
      <c r="D445" t="inlineStr">
        <is>
          <t>UPPSALA LÄN</t>
        </is>
      </c>
      <c r="E445" t="inlineStr">
        <is>
          <t>ENKÖPING</t>
        </is>
      </c>
      <c r="G445" t="n">
        <v>3.8</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45972</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60874-2023</t>
        </is>
      </c>
      <c r="B447" s="1" t="n">
        <v>45261.06280092592</v>
      </c>
      <c r="C447" s="1" t="n">
        <v>45972</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17844-2025</t>
        </is>
      </c>
      <c r="B448" s="1" t="n">
        <v>45758.59920138889</v>
      </c>
      <c r="C448" s="1" t="n">
        <v>45972</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3550-2023</t>
        </is>
      </c>
      <c r="B449" s="1" t="n">
        <v>44950</v>
      </c>
      <c r="C449" s="1" t="n">
        <v>45972</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27837-2025</t>
        </is>
      </c>
      <c r="B450" s="1" t="n">
        <v>45817.37207175926</v>
      </c>
      <c r="C450" s="1" t="n">
        <v>45972</v>
      </c>
      <c r="D450" t="inlineStr">
        <is>
          <t>UPPSALA LÄN</t>
        </is>
      </c>
      <c r="E450" t="inlineStr">
        <is>
          <t>ENKÖPING</t>
        </is>
      </c>
      <c r="G450" t="n">
        <v>7.3</v>
      </c>
      <c r="H450" t="n">
        <v>0</v>
      </c>
      <c r="I450" t="n">
        <v>0</v>
      </c>
      <c r="J450" t="n">
        <v>0</v>
      </c>
      <c r="K450" t="n">
        <v>0</v>
      </c>
      <c r="L450" t="n">
        <v>0</v>
      </c>
      <c r="M450" t="n">
        <v>0</v>
      </c>
      <c r="N450" t="n">
        <v>0</v>
      </c>
      <c r="O450" t="n">
        <v>0</v>
      </c>
      <c r="P450" t="n">
        <v>0</v>
      </c>
      <c r="Q450" t="n">
        <v>0</v>
      </c>
      <c r="R450" s="2" t="inlineStr"/>
    </row>
    <row r="451" ht="15" customHeight="1">
      <c r="A451" t="inlineStr">
        <is>
          <t>A 29513-2025</t>
        </is>
      </c>
      <c r="B451" s="1" t="n">
        <v>45825</v>
      </c>
      <c r="C451" s="1" t="n">
        <v>45972</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45972</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61207-2023</t>
        </is>
      </c>
      <c r="B453" s="1" t="n">
        <v>45264.39444444444</v>
      </c>
      <c r="C453" s="1" t="n">
        <v>45972</v>
      </c>
      <c r="D453" t="inlineStr">
        <is>
          <t>UPPSALA LÄN</t>
        </is>
      </c>
      <c r="E453" t="inlineStr">
        <is>
          <t>ENKÖPING</t>
        </is>
      </c>
      <c r="G453" t="n">
        <v>10.8</v>
      </c>
      <c r="H453" t="n">
        <v>0</v>
      </c>
      <c r="I453" t="n">
        <v>0</v>
      </c>
      <c r="J453" t="n">
        <v>0</v>
      </c>
      <c r="K453" t="n">
        <v>0</v>
      </c>
      <c r="L453" t="n">
        <v>0</v>
      </c>
      <c r="M453" t="n">
        <v>0</v>
      </c>
      <c r="N453" t="n">
        <v>0</v>
      </c>
      <c r="O453" t="n">
        <v>0</v>
      </c>
      <c r="P453" t="n">
        <v>0</v>
      </c>
      <c r="Q453" t="n">
        <v>0</v>
      </c>
      <c r="R453" s="2" t="inlineStr"/>
    </row>
    <row r="454" ht="15" customHeight="1">
      <c r="A454" t="inlineStr">
        <is>
          <t>A 21501-2025</t>
        </is>
      </c>
      <c r="B454" s="1" t="n">
        <v>45782</v>
      </c>
      <c r="C454" s="1" t="n">
        <v>45972</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34987-2025</t>
        </is>
      </c>
      <c r="B455" s="1" t="n">
        <v>45849</v>
      </c>
      <c r="C455" s="1" t="n">
        <v>45972</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54263-2025</t>
        </is>
      </c>
      <c r="B456" s="1" t="n">
        <v>45964.66271990741</v>
      </c>
      <c r="C456" s="1" t="n">
        <v>45972</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34988-2025</t>
        </is>
      </c>
      <c r="B457" s="1" t="n">
        <v>45849</v>
      </c>
      <c r="C457" s="1" t="n">
        <v>45972</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840-2025</t>
        </is>
      </c>
      <c r="B458" s="1" t="n">
        <v>45665</v>
      </c>
      <c r="C458" s="1" t="n">
        <v>45972</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54758-2025</t>
        </is>
      </c>
      <c r="B459" s="1" t="n">
        <v>45966.59737268519</v>
      </c>
      <c r="C459" s="1" t="n">
        <v>45972</v>
      </c>
      <c r="D459" t="inlineStr">
        <is>
          <t>UPPSALA LÄN</t>
        </is>
      </c>
      <c r="E459" t="inlineStr">
        <is>
          <t>ENKÖPING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10458-2022</t>
        </is>
      </c>
      <c r="B460" s="1" t="n">
        <v>44623.56711805556</v>
      </c>
      <c r="C460" s="1" t="n">
        <v>45972</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45142-2023</t>
        </is>
      </c>
      <c r="B461" s="1" t="n">
        <v>45191.4702662037</v>
      </c>
      <c r="C461" s="1" t="n">
        <v>45972</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36350-2025</t>
        </is>
      </c>
      <c r="B462" s="1" t="n">
        <v>45868</v>
      </c>
      <c r="C462" s="1" t="n">
        <v>45972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57998-2024</t>
        </is>
      </c>
      <c r="B463" s="1" t="n">
        <v>45631</v>
      </c>
      <c r="C463" s="1" t="n">
        <v>45972</v>
      </c>
      <c r="D463" t="inlineStr">
        <is>
          <t>UPPSALA LÄN</t>
        </is>
      </c>
      <c r="E463" t="inlineStr">
        <is>
          <t>ENKÖPING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54541-2025</t>
        </is>
      </c>
      <c r="B464" s="1" t="n">
        <v>45965.64733796296</v>
      </c>
      <c r="C464" s="1" t="n">
        <v>45972</v>
      </c>
      <c r="D464" t="inlineStr">
        <is>
          <t>UPPSALA LÄN</t>
        </is>
      </c>
      <c r="E464" t="inlineStr">
        <is>
          <t>ENKÖPING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25989-2025</t>
        </is>
      </c>
      <c r="B465" s="1" t="n">
        <v>45804.65050925926</v>
      </c>
      <c r="C465" s="1" t="n">
        <v>45972</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14332-2024</t>
        </is>
      </c>
      <c r="B466" s="1" t="n">
        <v>45393</v>
      </c>
      <c r="C466" s="1" t="n">
        <v>45972</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18831-2023</t>
        </is>
      </c>
      <c r="B467" s="1" t="n">
        <v>45044.40798611111</v>
      </c>
      <c r="C467" s="1" t="n">
        <v>45972</v>
      </c>
      <c r="D467" t="inlineStr">
        <is>
          <t>UPPSALA LÄN</t>
        </is>
      </c>
      <c r="E467" t="inlineStr">
        <is>
          <t>ENKÖPING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36599-2025</t>
        </is>
      </c>
      <c r="B468" s="1" t="n">
        <v>45870.51723379629</v>
      </c>
      <c r="C468" s="1" t="n">
        <v>45972</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36492-2025</t>
        </is>
      </c>
      <c r="B469" s="1" t="n">
        <v>45869</v>
      </c>
      <c r="C469" s="1" t="n">
        <v>45972</v>
      </c>
      <c r="D469" t="inlineStr">
        <is>
          <t>UPPSALA LÄN</t>
        </is>
      </c>
      <c r="E469" t="inlineStr">
        <is>
          <t>ENKÖPING</t>
        </is>
      </c>
      <c r="G469" t="n">
        <v>6.3</v>
      </c>
      <c r="H469" t="n">
        <v>0</v>
      </c>
      <c r="I469" t="n">
        <v>0</v>
      </c>
      <c r="J469" t="n">
        <v>0</v>
      </c>
      <c r="K469" t="n">
        <v>0</v>
      </c>
      <c r="L469" t="n">
        <v>0</v>
      </c>
      <c r="M469" t="n">
        <v>0</v>
      </c>
      <c r="N469" t="n">
        <v>0</v>
      </c>
      <c r="O469" t="n">
        <v>0</v>
      </c>
      <c r="P469" t="n">
        <v>0</v>
      </c>
      <c r="Q469" t="n">
        <v>0</v>
      </c>
      <c r="R469" s="2" t="inlineStr"/>
    </row>
    <row r="470" ht="15" customHeight="1">
      <c r="A470" t="inlineStr">
        <is>
          <t>A 33581-2023</t>
        </is>
      </c>
      <c r="B470" s="1" t="n">
        <v>45131</v>
      </c>
      <c r="C470" s="1" t="n">
        <v>45972</v>
      </c>
      <c r="D470" t="inlineStr">
        <is>
          <t>UPPSALA LÄN</t>
        </is>
      </c>
      <c r="E470" t="inlineStr">
        <is>
          <t>ENKÖPING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37319-2025</t>
        </is>
      </c>
      <c r="B471" s="1" t="n">
        <v>45876</v>
      </c>
      <c r="C471" s="1" t="n">
        <v>45972</v>
      </c>
      <c r="D471" t="inlineStr">
        <is>
          <t>UPPSALA LÄN</t>
        </is>
      </c>
      <c r="E471" t="inlineStr">
        <is>
          <t>ENKÖPING</t>
        </is>
      </c>
      <c r="G471" t="n">
        <v>9.5</v>
      </c>
      <c r="H471" t="n">
        <v>0</v>
      </c>
      <c r="I471" t="n">
        <v>0</v>
      </c>
      <c r="J471" t="n">
        <v>0</v>
      </c>
      <c r="K471" t="n">
        <v>0</v>
      </c>
      <c r="L471" t="n">
        <v>0</v>
      </c>
      <c r="M471" t="n">
        <v>0</v>
      </c>
      <c r="N471" t="n">
        <v>0</v>
      </c>
      <c r="O471" t="n">
        <v>0</v>
      </c>
      <c r="P471" t="n">
        <v>0</v>
      </c>
      <c r="Q471" t="n">
        <v>0</v>
      </c>
      <c r="R471" s="2" t="inlineStr"/>
    </row>
    <row r="472" ht="15" customHeight="1">
      <c r="A472" t="inlineStr">
        <is>
          <t>A 37296-2025</t>
        </is>
      </c>
      <c r="B472" s="1" t="n">
        <v>45876</v>
      </c>
      <c r="C472" s="1" t="n">
        <v>45972</v>
      </c>
      <c r="D472" t="inlineStr">
        <is>
          <t>UPPSALA LÄN</t>
        </is>
      </c>
      <c r="E472" t="inlineStr">
        <is>
          <t>ENKÖPING</t>
        </is>
      </c>
      <c r="G472" t="n">
        <v>9.5</v>
      </c>
      <c r="H472" t="n">
        <v>0</v>
      </c>
      <c r="I472" t="n">
        <v>0</v>
      </c>
      <c r="J472" t="n">
        <v>0</v>
      </c>
      <c r="K472" t="n">
        <v>0</v>
      </c>
      <c r="L472" t="n">
        <v>0</v>
      </c>
      <c r="M472" t="n">
        <v>0</v>
      </c>
      <c r="N472" t="n">
        <v>0</v>
      </c>
      <c r="O472" t="n">
        <v>0</v>
      </c>
      <c r="P472" t="n">
        <v>0</v>
      </c>
      <c r="Q472" t="n">
        <v>0</v>
      </c>
      <c r="R472" s="2" t="inlineStr"/>
    </row>
    <row r="473" ht="15" customHeight="1">
      <c r="A473" t="inlineStr">
        <is>
          <t>A 58896-2020</t>
        </is>
      </c>
      <c r="B473" s="1" t="n">
        <v>44146</v>
      </c>
      <c r="C473" s="1" t="n">
        <v>45972</v>
      </c>
      <c r="D473" t="inlineStr">
        <is>
          <t>UPPSALA LÄN</t>
        </is>
      </c>
      <c r="E473" t="inlineStr">
        <is>
          <t>ENKÖPING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37115-2024</t>
        </is>
      </c>
      <c r="B474" s="1" t="n">
        <v>45539</v>
      </c>
      <c r="C474" s="1" t="n">
        <v>45972</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37498-2025</t>
        </is>
      </c>
      <c r="B475" s="1" t="n">
        <v>45877</v>
      </c>
      <c r="C475" s="1" t="n">
        <v>45972</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58062-2020</t>
        </is>
      </c>
      <c r="B476" s="1" t="n">
        <v>44144</v>
      </c>
      <c r="C476" s="1" t="n">
        <v>45972</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49622-2024</t>
        </is>
      </c>
      <c r="B477" s="1" t="n">
        <v>45596.58372685185</v>
      </c>
      <c r="C477" s="1" t="n">
        <v>45972</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6147-2021</t>
        </is>
      </c>
      <c r="B478" s="1" t="n">
        <v>44232</v>
      </c>
      <c r="C478" s="1" t="n">
        <v>45972</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1960-2022</t>
        </is>
      </c>
      <c r="B479" s="1" t="n">
        <v>44575</v>
      </c>
      <c r="C479" s="1" t="n">
        <v>45972</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54844-2025</t>
        </is>
      </c>
      <c r="B480" s="1" t="n">
        <v>45966.69570601852</v>
      </c>
      <c r="C480" s="1" t="n">
        <v>45972</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45972</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18028-2023</t>
        </is>
      </c>
      <c r="B482" s="1" t="n">
        <v>45040</v>
      </c>
      <c r="C482" s="1" t="n">
        <v>45972</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49568-2022</t>
        </is>
      </c>
      <c r="B483" s="1" t="n">
        <v>44862.32791666667</v>
      </c>
      <c r="C483" s="1" t="n">
        <v>45972</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42459-2024</t>
        </is>
      </c>
      <c r="B484" s="1" t="n">
        <v>45565</v>
      </c>
      <c r="C484" s="1" t="n">
        <v>45972</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46590-2025</t>
        </is>
      </c>
      <c r="B485" s="1" t="n">
        <v>45926.39542824074</v>
      </c>
      <c r="C485" s="1" t="n">
        <v>45972</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48864-2022</t>
        </is>
      </c>
      <c r="B486" s="1" t="n">
        <v>44859</v>
      </c>
      <c r="C486" s="1" t="n">
        <v>45972</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31622-2022</t>
        </is>
      </c>
      <c r="B487" s="1" t="n">
        <v>44775</v>
      </c>
      <c r="C487" s="1" t="n">
        <v>45972</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34989-2025</t>
        </is>
      </c>
      <c r="B488" s="1" t="n">
        <v>45849</v>
      </c>
      <c r="C488" s="1" t="n">
        <v>45972</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c r="A489" t="inlineStr">
        <is>
          <t>A 34990-2025</t>
        </is>
      </c>
      <c r="B489" s="1" t="n">
        <v>45849.78916666667</v>
      </c>
      <c r="C489" s="1" t="n">
        <v>45972</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2025-11-11T10:07:37Z</dcterms:created>
  <dcterms:modified xmlns:dcterms="http://purl.org/dc/terms/" xmlns:xsi="http://www.w3.org/2001/XMLSchema-instance" xsi:type="dcterms:W3CDTF">2025-11-11T10:07:37Z</dcterms:modified>
</cp:coreProperties>
</file>