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46003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46003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46003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46003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46003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46003</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46003</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46003</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46003</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46003</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46003</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46003</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46003</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46003</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46003</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46003</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46003</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46003</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46003</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46003</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45116-2023</t>
        </is>
      </c>
      <c r="B22" s="1" t="n">
        <v>45191</v>
      </c>
      <c r="C22" s="1" t="n">
        <v>46003</v>
      </c>
      <c r="D22" t="inlineStr">
        <is>
          <t>UPPSALA LÄN</t>
        </is>
      </c>
      <c r="E22" t="inlineStr">
        <is>
          <t>ENKÖPING</t>
        </is>
      </c>
      <c r="G22" t="n">
        <v>2</v>
      </c>
      <c r="H22" t="n">
        <v>0</v>
      </c>
      <c r="I22" t="n">
        <v>1</v>
      </c>
      <c r="J22" t="n">
        <v>0</v>
      </c>
      <c r="K22" t="n">
        <v>0</v>
      </c>
      <c r="L22" t="n">
        <v>0</v>
      </c>
      <c r="M22" t="n">
        <v>0</v>
      </c>
      <c r="N22" t="n">
        <v>0</v>
      </c>
      <c r="O22" t="n">
        <v>0</v>
      </c>
      <c r="P22" t="n">
        <v>0</v>
      </c>
      <c r="Q22" t="n">
        <v>1</v>
      </c>
      <c r="R22" s="2" t="inlineStr">
        <is>
          <t>Rävticka</t>
        </is>
      </c>
      <c r="S22">
        <f>HYPERLINK("https://klasma.github.io/Logging_0381/artfynd/A 45116-2023 artfynd.xlsx", "A 45116-2023")</f>
        <v/>
      </c>
      <c r="T22">
        <f>HYPERLINK("https://klasma.github.io/Logging_0381/kartor/A 45116-2023 karta.png", "A 45116-2023")</f>
        <v/>
      </c>
      <c r="V22">
        <f>HYPERLINK("https://klasma.github.io/Logging_0381/klagomål/A 45116-2023 FSC-klagomål.docx", "A 45116-2023")</f>
        <v/>
      </c>
      <c r="W22">
        <f>HYPERLINK("https://klasma.github.io/Logging_0381/klagomålsmail/A 45116-2023 FSC-klagomål mail.docx", "A 45116-2023")</f>
        <v/>
      </c>
      <c r="X22">
        <f>HYPERLINK("https://klasma.github.io/Logging_0381/tillsyn/A 45116-2023 tillsynsbegäran.docx", "A 45116-2023")</f>
        <v/>
      </c>
      <c r="Y22">
        <f>HYPERLINK("https://klasma.github.io/Logging_0381/tillsynsmail/A 45116-2023 tillsynsbegäran mail.docx", "A 45116-2023")</f>
        <v/>
      </c>
    </row>
    <row r="23" ht="15" customHeight="1">
      <c r="A23" t="inlineStr">
        <is>
          <t>A 23961-2022</t>
        </is>
      </c>
      <c r="B23" s="1" t="n">
        <v>44722</v>
      </c>
      <c r="C23" s="1" t="n">
        <v>46003</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28900-2024</t>
        </is>
      </c>
      <c r="B24" s="1" t="n">
        <v>45480</v>
      </c>
      <c r="C24" s="1" t="n">
        <v>46003</v>
      </c>
      <c r="D24" t="inlineStr">
        <is>
          <t>UPPSALA LÄN</t>
        </is>
      </c>
      <c r="E24" t="inlineStr">
        <is>
          <t>ENKÖPING</t>
        </is>
      </c>
      <c r="G24" t="n">
        <v>8.6</v>
      </c>
      <c r="H24" t="n">
        <v>1</v>
      </c>
      <c r="I24" t="n">
        <v>0</v>
      </c>
      <c r="J24" t="n">
        <v>0</v>
      </c>
      <c r="K24" t="n">
        <v>0</v>
      </c>
      <c r="L24" t="n">
        <v>0</v>
      </c>
      <c r="M24" t="n">
        <v>0</v>
      </c>
      <c r="N24" t="n">
        <v>0</v>
      </c>
      <c r="O24" t="n">
        <v>0</v>
      </c>
      <c r="P24" t="n">
        <v>0</v>
      </c>
      <c r="Q24" t="n">
        <v>1</v>
      </c>
      <c r="R24" s="2" t="inlineStr">
        <is>
          <t>Blåsippa</t>
        </is>
      </c>
      <c r="S24">
        <f>HYPERLINK("https://klasma.github.io/Logging_0381/artfynd/A 28900-2024 artfynd.xlsx", "A 28900-2024")</f>
        <v/>
      </c>
      <c r="T24">
        <f>HYPERLINK("https://klasma.github.io/Logging_0381/kartor/A 28900-2024 karta.png", "A 28900-2024")</f>
        <v/>
      </c>
      <c r="V24">
        <f>HYPERLINK("https://klasma.github.io/Logging_0381/klagomål/A 28900-2024 FSC-klagomål.docx", "A 28900-2024")</f>
        <v/>
      </c>
      <c r="W24">
        <f>HYPERLINK("https://klasma.github.io/Logging_0381/klagomålsmail/A 28900-2024 FSC-klagomål mail.docx", "A 28900-2024")</f>
        <v/>
      </c>
      <c r="X24">
        <f>HYPERLINK("https://klasma.github.io/Logging_0381/tillsyn/A 28900-2024 tillsynsbegäran.docx", "A 28900-2024")</f>
        <v/>
      </c>
      <c r="Y24">
        <f>HYPERLINK("https://klasma.github.io/Logging_0381/tillsynsmail/A 28900-2024 tillsynsbegäran mail.docx", "A 28900-2024")</f>
        <v/>
      </c>
    </row>
    <row r="25" ht="15" customHeight="1">
      <c r="A25" t="inlineStr">
        <is>
          <t>A 17942-2024</t>
        </is>
      </c>
      <c r="B25" s="1" t="n">
        <v>45419</v>
      </c>
      <c r="C25" s="1" t="n">
        <v>46003</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46749-2024</t>
        </is>
      </c>
      <c r="B26" s="1" t="n">
        <v>45583.48347222222</v>
      </c>
      <c r="C26" s="1" t="n">
        <v>46003</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Leptoporus erubescens</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1524-2023</t>
        </is>
      </c>
      <c r="B27" s="1" t="n">
        <v>44935</v>
      </c>
      <c r="C27" s="1" t="n">
        <v>46003</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33339-2024</t>
        </is>
      </c>
      <c r="B28" s="1" t="n">
        <v>45519</v>
      </c>
      <c r="C28" s="1" t="n">
        <v>46003</v>
      </c>
      <c r="D28" t="inlineStr">
        <is>
          <t>UPPSALA LÄN</t>
        </is>
      </c>
      <c r="E28" t="inlineStr">
        <is>
          <t>ENKÖPING</t>
        </is>
      </c>
      <c r="G28" t="n">
        <v>2.3</v>
      </c>
      <c r="H28" t="n">
        <v>0</v>
      </c>
      <c r="I28" t="n">
        <v>0</v>
      </c>
      <c r="J28" t="n">
        <v>1</v>
      </c>
      <c r="K28" t="n">
        <v>0</v>
      </c>
      <c r="L28" t="n">
        <v>0</v>
      </c>
      <c r="M28" t="n">
        <v>0</v>
      </c>
      <c r="N28" t="n">
        <v>0</v>
      </c>
      <c r="O28" t="n">
        <v>1</v>
      </c>
      <c r="P28" t="n">
        <v>0</v>
      </c>
      <c r="Q28" t="n">
        <v>1</v>
      </c>
      <c r="R28" s="2" t="inlineStr">
        <is>
          <t>Ullticka</t>
        </is>
      </c>
      <c r="S28">
        <f>HYPERLINK("https://klasma.github.io/Logging_0381/artfynd/A 33339-2024 artfynd.xlsx", "A 33339-2024")</f>
        <v/>
      </c>
      <c r="T28">
        <f>HYPERLINK("https://klasma.github.io/Logging_0381/kartor/A 33339-2024 karta.png", "A 33339-2024")</f>
        <v/>
      </c>
      <c r="V28">
        <f>HYPERLINK("https://klasma.github.io/Logging_0381/klagomål/A 33339-2024 FSC-klagomål.docx", "A 33339-2024")</f>
        <v/>
      </c>
      <c r="W28">
        <f>HYPERLINK("https://klasma.github.io/Logging_0381/klagomålsmail/A 33339-2024 FSC-klagomål mail.docx", "A 33339-2024")</f>
        <v/>
      </c>
      <c r="X28">
        <f>HYPERLINK("https://klasma.github.io/Logging_0381/tillsyn/A 33339-2024 tillsynsbegäran.docx", "A 33339-2024")</f>
        <v/>
      </c>
      <c r="Y28">
        <f>HYPERLINK("https://klasma.github.io/Logging_0381/tillsynsmail/A 33339-2024 tillsynsbegäran mail.docx", "A 33339-2024")</f>
        <v/>
      </c>
    </row>
    <row r="29" ht="15" customHeight="1">
      <c r="A29" t="inlineStr">
        <is>
          <t>A 29510-2025</t>
        </is>
      </c>
      <c r="B29" s="1" t="n">
        <v>45825</v>
      </c>
      <c r="C29" s="1" t="n">
        <v>46003</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26347-2025</t>
        </is>
      </c>
      <c r="B30" s="1" t="n">
        <v>45805.7403125</v>
      </c>
      <c r="C30" s="1" t="n">
        <v>46003</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46003</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52439-2025</t>
        </is>
      </c>
      <c r="B32" s="1" t="n">
        <v>45954.40697916667</v>
      </c>
      <c r="C32" s="1" t="n">
        <v>46003</v>
      </c>
      <c r="D32" t="inlineStr">
        <is>
          <t>UPPSALA LÄN</t>
        </is>
      </c>
      <c r="E32" t="inlineStr">
        <is>
          <t>ENKÖPING</t>
        </is>
      </c>
      <c r="F32" t="inlineStr">
        <is>
          <t>Allmännings- och besparingsskogar</t>
        </is>
      </c>
      <c r="G32" t="n">
        <v>2.2</v>
      </c>
      <c r="H32" t="n">
        <v>0</v>
      </c>
      <c r="I32" t="n">
        <v>0</v>
      </c>
      <c r="J32" t="n">
        <v>1</v>
      </c>
      <c r="K32" t="n">
        <v>0</v>
      </c>
      <c r="L32" t="n">
        <v>0</v>
      </c>
      <c r="M32" t="n">
        <v>0</v>
      </c>
      <c r="N32" t="n">
        <v>0</v>
      </c>
      <c r="O32" t="n">
        <v>1</v>
      </c>
      <c r="P32" t="n">
        <v>0</v>
      </c>
      <c r="Q32" t="n">
        <v>1</v>
      </c>
      <c r="R32" s="2" t="inlineStr">
        <is>
          <t>Igelkott</t>
        </is>
      </c>
      <c r="S32">
        <f>HYPERLINK("https://klasma.github.io/Logging_0381/artfynd/A 52439-2025 artfynd.xlsx", "A 52439-2025")</f>
        <v/>
      </c>
      <c r="T32">
        <f>HYPERLINK("https://klasma.github.io/Logging_0381/kartor/A 52439-2025 karta.png", "A 52439-2025")</f>
        <v/>
      </c>
      <c r="V32">
        <f>HYPERLINK("https://klasma.github.io/Logging_0381/klagomål/A 52439-2025 FSC-klagomål.docx", "A 52439-2025")</f>
        <v/>
      </c>
      <c r="W32">
        <f>HYPERLINK("https://klasma.github.io/Logging_0381/klagomålsmail/A 52439-2025 FSC-klagomål mail.docx", "A 52439-2025")</f>
        <v/>
      </c>
      <c r="X32">
        <f>HYPERLINK("https://klasma.github.io/Logging_0381/tillsyn/A 52439-2025 tillsynsbegäran.docx", "A 52439-2025")</f>
        <v/>
      </c>
      <c r="Y32">
        <f>HYPERLINK("https://klasma.github.io/Logging_0381/tillsynsmail/A 52439-2025 tillsynsbegäran mail.docx", "A 52439-2025")</f>
        <v/>
      </c>
    </row>
    <row r="33" ht="15" customHeight="1">
      <c r="A33" t="inlineStr">
        <is>
          <t>A 16683-2021</t>
        </is>
      </c>
      <c r="B33" s="1" t="n">
        <v>44294.58495370371</v>
      </c>
      <c r="C33" s="1" t="n">
        <v>46003</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46003</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46003</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46003</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46003</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46003</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46003</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46003</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46003</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46003</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46003</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46003</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46003</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46003</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46003</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10202-2022</t>
        </is>
      </c>
      <c r="B48" s="1" t="n">
        <v>44622</v>
      </c>
      <c r="C48" s="1" t="n">
        <v>46003</v>
      </c>
      <c r="D48" t="inlineStr">
        <is>
          <t>UPPSALA LÄN</t>
        </is>
      </c>
      <c r="E48" t="inlineStr">
        <is>
          <t>ENKÖPING</t>
        </is>
      </c>
      <c r="G48" t="n">
        <v>5.6</v>
      </c>
      <c r="H48" t="n">
        <v>0</v>
      </c>
      <c r="I48" t="n">
        <v>0</v>
      </c>
      <c r="J48" t="n">
        <v>0</v>
      </c>
      <c r="K48" t="n">
        <v>0</v>
      </c>
      <c r="L48" t="n">
        <v>0</v>
      </c>
      <c r="M48" t="n">
        <v>0</v>
      </c>
      <c r="N48" t="n">
        <v>0</v>
      </c>
      <c r="O48" t="n">
        <v>0</v>
      </c>
      <c r="P48" t="n">
        <v>0</v>
      </c>
      <c r="Q48" t="n">
        <v>0</v>
      </c>
      <c r="R48" s="2" t="inlineStr"/>
    </row>
    <row r="49" ht="15" customHeight="1">
      <c r="A49" t="inlineStr">
        <is>
          <t>A 10207-2022</t>
        </is>
      </c>
      <c r="B49" s="1" t="n">
        <v>44622</v>
      </c>
      <c r="C49" s="1" t="n">
        <v>46003</v>
      </c>
      <c r="D49" t="inlineStr">
        <is>
          <t>UPPSALA LÄN</t>
        </is>
      </c>
      <c r="E49" t="inlineStr">
        <is>
          <t>ENKÖPING</t>
        </is>
      </c>
      <c r="G49" t="n">
        <v>4.9</v>
      </c>
      <c r="H49" t="n">
        <v>0</v>
      </c>
      <c r="I49" t="n">
        <v>0</v>
      </c>
      <c r="J49" t="n">
        <v>0</v>
      </c>
      <c r="K49" t="n">
        <v>0</v>
      </c>
      <c r="L49" t="n">
        <v>0</v>
      </c>
      <c r="M49" t="n">
        <v>0</v>
      </c>
      <c r="N49" t="n">
        <v>0</v>
      </c>
      <c r="O49" t="n">
        <v>0</v>
      </c>
      <c r="P49" t="n">
        <v>0</v>
      </c>
      <c r="Q49" t="n">
        <v>0</v>
      </c>
      <c r="R49" s="2" t="inlineStr"/>
    </row>
    <row r="50" ht="15" customHeight="1">
      <c r="A50" t="inlineStr">
        <is>
          <t>A 54433-2021</t>
        </is>
      </c>
      <c r="B50" s="1" t="n">
        <v>44473</v>
      </c>
      <c r="C50" s="1" t="n">
        <v>46003</v>
      </c>
      <c r="D50" t="inlineStr">
        <is>
          <t>UPPSALA LÄN</t>
        </is>
      </c>
      <c r="E50" t="inlineStr">
        <is>
          <t>ENKÖPING</t>
        </is>
      </c>
      <c r="G50" t="n">
        <v>1</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46003</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46003</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46003</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46003</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46003</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46003</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46003</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46003</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46003</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46003</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46003</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46003</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46003</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46003</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46003</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46003</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46003</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46003</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46003</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46003</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46003</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46003</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46003</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46003</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46003</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46003</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46003</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46003</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31013-2022</t>
        </is>
      </c>
      <c r="B79" s="1" t="n">
        <v>44768</v>
      </c>
      <c r="C79" s="1" t="n">
        <v>46003</v>
      </c>
      <c r="D79" t="inlineStr">
        <is>
          <t>UPPSALA LÄN</t>
        </is>
      </c>
      <c r="E79" t="inlineStr">
        <is>
          <t>ENKÖPING</t>
        </is>
      </c>
      <c r="F79" t="inlineStr">
        <is>
          <t>Allmännings- och besparingsskogar</t>
        </is>
      </c>
      <c r="G79" t="n">
        <v>0.5</v>
      </c>
      <c r="H79" t="n">
        <v>0</v>
      </c>
      <c r="I79" t="n">
        <v>0</v>
      </c>
      <c r="J79" t="n">
        <v>0</v>
      </c>
      <c r="K79" t="n">
        <v>0</v>
      </c>
      <c r="L79" t="n">
        <v>0</v>
      </c>
      <c r="M79" t="n">
        <v>0</v>
      </c>
      <c r="N79" t="n">
        <v>0</v>
      </c>
      <c r="O79" t="n">
        <v>0</v>
      </c>
      <c r="P79" t="n">
        <v>0</v>
      </c>
      <c r="Q79" t="n">
        <v>0</v>
      </c>
      <c r="R79" s="2" t="inlineStr"/>
    </row>
    <row r="80" ht="15" customHeight="1">
      <c r="A80" t="inlineStr">
        <is>
          <t>A 42029-2021</t>
        </is>
      </c>
      <c r="B80" s="1" t="n">
        <v>44426</v>
      </c>
      <c r="C80" s="1" t="n">
        <v>46003</v>
      </c>
      <c r="D80" t="inlineStr">
        <is>
          <t>UPPSALA LÄN</t>
        </is>
      </c>
      <c r="E80" t="inlineStr">
        <is>
          <t>ENKÖPING</t>
        </is>
      </c>
      <c r="G80" t="n">
        <v>5.3</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46003</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46003</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69791-2021</t>
        </is>
      </c>
      <c r="B83" s="1" t="n">
        <v>44532</v>
      </c>
      <c r="C83" s="1" t="n">
        <v>46003</v>
      </c>
      <c r="D83" t="inlineStr">
        <is>
          <t>UPPSALA LÄN</t>
        </is>
      </c>
      <c r="E83" t="inlineStr">
        <is>
          <t>ENKÖPING</t>
        </is>
      </c>
      <c r="G83" t="n">
        <v>0.8</v>
      </c>
      <c r="H83" t="n">
        <v>0</v>
      </c>
      <c r="I83" t="n">
        <v>0</v>
      </c>
      <c r="J83" t="n">
        <v>0</v>
      </c>
      <c r="K83" t="n">
        <v>0</v>
      </c>
      <c r="L83" t="n">
        <v>0</v>
      </c>
      <c r="M83" t="n">
        <v>0</v>
      </c>
      <c r="N83" t="n">
        <v>0</v>
      </c>
      <c r="O83" t="n">
        <v>0</v>
      </c>
      <c r="P83" t="n">
        <v>0</v>
      </c>
      <c r="Q83" t="n">
        <v>0</v>
      </c>
      <c r="R83" s="2" t="inlineStr"/>
    </row>
    <row r="84" ht="15" customHeight="1">
      <c r="A84" t="inlineStr">
        <is>
          <t>A 40773-2022</t>
        </is>
      </c>
      <c r="B84" s="1" t="n">
        <v>44824.61237268519</v>
      </c>
      <c r="C84" s="1" t="n">
        <v>46003</v>
      </c>
      <c r="D84" t="inlineStr">
        <is>
          <t>UPPSALA LÄN</t>
        </is>
      </c>
      <c r="E84" t="inlineStr">
        <is>
          <t>ENKÖPING</t>
        </is>
      </c>
      <c r="G84" t="n">
        <v>0.6</v>
      </c>
      <c r="H84" t="n">
        <v>0</v>
      </c>
      <c r="I84" t="n">
        <v>0</v>
      </c>
      <c r="J84" t="n">
        <v>0</v>
      </c>
      <c r="K84" t="n">
        <v>0</v>
      </c>
      <c r="L84" t="n">
        <v>0</v>
      </c>
      <c r="M84" t="n">
        <v>0</v>
      </c>
      <c r="N84" t="n">
        <v>0</v>
      </c>
      <c r="O84" t="n">
        <v>0</v>
      </c>
      <c r="P84" t="n">
        <v>0</v>
      </c>
      <c r="Q84" t="n">
        <v>0</v>
      </c>
      <c r="R84" s="2" t="inlineStr"/>
    </row>
    <row r="85" ht="15" customHeight="1">
      <c r="A85" t="inlineStr">
        <is>
          <t>A 49375-2021</t>
        </is>
      </c>
      <c r="B85" s="1" t="n">
        <v>44454</v>
      </c>
      <c r="C85" s="1" t="n">
        <v>46003</v>
      </c>
      <c r="D85" t="inlineStr">
        <is>
          <t>UPPSALA LÄN</t>
        </is>
      </c>
      <c r="E85" t="inlineStr">
        <is>
          <t>ENKÖPING</t>
        </is>
      </c>
      <c r="G85" t="n">
        <v>0.7</v>
      </c>
      <c r="H85" t="n">
        <v>0</v>
      </c>
      <c r="I85" t="n">
        <v>0</v>
      </c>
      <c r="J85" t="n">
        <v>0</v>
      </c>
      <c r="K85" t="n">
        <v>0</v>
      </c>
      <c r="L85" t="n">
        <v>0</v>
      </c>
      <c r="M85" t="n">
        <v>0</v>
      </c>
      <c r="N85" t="n">
        <v>0</v>
      </c>
      <c r="O85" t="n">
        <v>0</v>
      </c>
      <c r="P85" t="n">
        <v>0</v>
      </c>
      <c r="Q85" t="n">
        <v>0</v>
      </c>
      <c r="R85" s="2" t="inlineStr"/>
    </row>
    <row r="86" ht="15" customHeight="1">
      <c r="A86" t="inlineStr">
        <is>
          <t>A 1971-2022</t>
        </is>
      </c>
      <c r="B86" s="1" t="n">
        <v>44575</v>
      </c>
      <c r="C86" s="1" t="n">
        <v>46003</v>
      </c>
      <c r="D86" t="inlineStr">
        <is>
          <t>UPPSALA LÄN</t>
        </is>
      </c>
      <c r="E86" t="inlineStr">
        <is>
          <t>ENKÖPING</t>
        </is>
      </c>
      <c r="G86" t="n">
        <v>1.4</v>
      </c>
      <c r="H86" t="n">
        <v>0</v>
      </c>
      <c r="I86" t="n">
        <v>0</v>
      </c>
      <c r="J86" t="n">
        <v>0</v>
      </c>
      <c r="K86" t="n">
        <v>0</v>
      </c>
      <c r="L86" t="n">
        <v>0</v>
      </c>
      <c r="M86" t="n">
        <v>0</v>
      </c>
      <c r="N86" t="n">
        <v>0</v>
      </c>
      <c r="O86" t="n">
        <v>0</v>
      </c>
      <c r="P86" t="n">
        <v>0</v>
      </c>
      <c r="Q86" t="n">
        <v>0</v>
      </c>
      <c r="R86" s="2" t="inlineStr"/>
    </row>
    <row r="87" ht="15" customHeight="1">
      <c r="A87" t="inlineStr">
        <is>
          <t>A 20067-2021</t>
        </is>
      </c>
      <c r="B87" s="1" t="n">
        <v>44314</v>
      </c>
      <c r="C87" s="1" t="n">
        <v>46003</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11688-2021</t>
        </is>
      </c>
      <c r="B88" s="1" t="n">
        <v>44264</v>
      </c>
      <c r="C88" s="1" t="n">
        <v>46003</v>
      </c>
      <c r="D88" t="inlineStr">
        <is>
          <t>UPPSALA LÄN</t>
        </is>
      </c>
      <c r="E88" t="inlineStr">
        <is>
          <t>ENKÖPING</t>
        </is>
      </c>
      <c r="G88" t="n">
        <v>4.7</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46003</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24883-2022</t>
        </is>
      </c>
      <c r="B90" s="1" t="n">
        <v>44728</v>
      </c>
      <c r="C90" s="1" t="n">
        <v>46003</v>
      </c>
      <c r="D90" t="inlineStr">
        <is>
          <t>UPPSALA LÄN</t>
        </is>
      </c>
      <c r="E90" t="inlineStr">
        <is>
          <t>ENKÖPING</t>
        </is>
      </c>
      <c r="G90" t="n">
        <v>2.5</v>
      </c>
      <c r="H90" t="n">
        <v>0</v>
      </c>
      <c r="I90" t="n">
        <v>0</v>
      </c>
      <c r="J90" t="n">
        <v>0</v>
      </c>
      <c r="K90" t="n">
        <v>0</v>
      </c>
      <c r="L90" t="n">
        <v>0</v>
      </c>
      <c r="M90" t="n">
        <v>0</v>
      </c>
      <c r="N90" t="n">
        <v>0</v>
      </c>
      <c r="O90" t="n">
        <v>0</v>
      </c>
      <c r="P90" t="n">
        <v>0</v>
      </c>
      <c r="Q90" t="n">
        <v>0</v>
      </c>
      <c r="R90" s="2" t="inlineStr"/>
    </row>
    <row r="91" ht="15" customHeight="1">
      <c r="A91" t="inlineStr">
        <is>
          <t>A 15924-2022</t>
        </is>
      </c>
      <c r="B91" s="1" t="n">
        <v>44664</v>
      </c>
      <c r="C91" s="1" t="n">
        <v>46003</v>
      </c>
      <c r="D91" t="inlineStr">
        <is>
          <t>UPPSALA LÄN</t>
        </is>
      </c>
      <c r="E91" t="inlineStr">
        <is>
          <t>ENKÖPING</t>
        </is>
      </c>
      <c r="G91" t="n">
        <v>0.7</v>
      </c>
      <c r="H91" t="n">
        <v>0</v>
      </c>
      <c r="I91" t="n">
        <v>0</v>
      </c>
      <c r="J91" t="n">
        <v>0</v>
      </c>
      <c r="K91" t="n">
        <v>0</v>
      </c>
      <c r="L91" t="n">
        <v>0</v>
      </c>
      <c r="M91" t="n">
        <v>0</v>
      </c>
      <c r="N91" t="n">
        <v>0</v>
      </c>
      <c r="O91" t="n">
        <v>0</v>
      </c>
      <c r="P91" t="n">
        <v>0</v>
      </c>
      <c r="Q91" t="n">
        <v>0</v>
      </c>
      <c r="R91" s="2" t="inlineStr"/>
    </row>
    <row r="92" ht="15" customHeight="1">
      <c r="A92" t="inlineStr">
        <is>
          <t>A 15943-2022</t>
        </is>
      </c>
      <c r="B92" s="1" t="n">
        <v>44664.66428240741</v>
      </c>
      <c r="C92" s="1" t="n">
        <v>46003</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47106-2021</t>
        </is>
      </c>
      <c r="B93" s="1" t="n">
        <v>44446</v>
      </c>
      <c r="C93" s="1" t="n">
        <v>46003</v>
      </c>
      <c r="D93" t="inlineStr">
        <is>
          <t>UPPSALA LÄN</t>
        </is>
      </c>
      <c r="E93" t="inlineStr">
        <is>
          <t>ENKÖPING</t>
        </is>
      </c>
      <c r="G93" t="n">
        <v>7.6</v>
      </c>
      <c r="H93" t="n">
        <v>0</v>
      </c>
      <c r="I93" t="n">
        <v>0</v>
      </c>
      <c r="J93" t="n">
        <v>0</v>
      </c>
      <c r="K93" t="n">
        <v>0</v>
      </c>
      <c r="L93" t="n">
        <v>0</v>
      </c>
      <c r="M93" t="n">
        <v>0</v>
      </c>
      <c r="N93" t="n">
        <v>0</v>
      </c>
      <c r="O93" t="n">
        <v>0</v>
      </c>
      <c r="P93" t="n">
        <v>0</v>
      </c>
      <c r="Q93" t="n">
        <v>0</v>
      </c>
      <c r="R93" s="2" t="inlineStr"/>
    </row>
    <row r="94" ht="15" customHeight="1">
      <c r="A94" t="inlineStr">
        <is>
          <t>A 19630-2021</t>
        </is>
      </c>
      <c r="B94" s="1" t="n">
        <v>44312.61876157407</v>
      </c>
      <c r="C94" s="1" t="n">
        <v>46003</v>
      </c>
      <c r="D94" t="inlineStr">
        <is>
          <t>UPPSALA LÄN</t>
        </is>
      </c>
      <c r="E94" t="inlineStr">
        <is>
          <t>ENKÖPING</t>
        </is>
      </c>
      <c r="G94" t="n">
        <v>2.7</v>
      </c>
      <c r="H94" t="n">
        <v>0</v>
      </c>
      <c r="I94" t="n">
        <v>0</v>
      </c>
      <c r="J94" t="n">
        <v>0</v>
      </c>
      <c r="K94" t="n">
        <v>0</v>
      </c>
      <c r="L94" t="n">
        <v>0</v>
      </c>
      <c r="M94" t="n">
        <v>0</v>
      </c>
      <c r="N94" t="n">
        <v>0</v>
      </c>
      <c r="O94" t="n">
        <v>0</v>
      </c>
      <c r="P94" t="n">
        <v>0</v>
      </c>
      <c r="Q94" t="n">
        <v>0</v>
      </c>
      <c r="R94" s="2" t="inlineStr"/>
    </row>
    <row r="95" ht="15" customHeight="1">
      <c r="A95" t="inlineStr">
        <is>
          <t>A 19731-2022</t>
        </is>
      </c>
      <c r="B95" s="1" t="n">
        <v>44694</v>
      </c>
      <c r="C95" s="1" t="n">
        <v>46003</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14839-2021</t>
        </is>
      </c>
      <c r="B96" s="1" t="n">
        <v>44280</v>
      </c>
      <c r="C96" s="1" t="n">
        <v>46003</v>
      </c>
      <c r="D96" t="inlineStr">
        <is>
          <t>UPPSALA LÄN</t>
        </is>
      </c>
      <c r="E96" t="inlineStr">
        <is>
          <t>ENKÖPING</t>
        </is>
      </c>
      <c r="G96" t="n">
        <v>11.4</v>
      </c>
      <c r="H96" t="n">
        <v>0</v>
      </c>
      <c r="I96" t="n">
        <v>0</v>
      </c>
      <c r="J96" t="n">
        <v>0</v>
      </c>
      <c r="K96" t="n">
        <v>0</v>
      </c>
      <c r="L96" t="n">
        <v>0</v>
      </c>
      <c r="M96" t="n">
        <v>0</v>
      </c>
      <c r="N96" t="n">
        <v>0</v>
      </c>
      <c r="O96" t="n">
        <v>0</v>
      </c>
      <c r="P96" t="n">
        <v>0</v>
      </c>
      <c r="Q96" t="n">
        <v>0</v>
      </c>
      <c r="R96" s="2" t="inlineStr"/>
    </row>
    <row r="97" ht="15" customHeight="1">
      <c r="A97" t="inlineStr">
        <is>
          <t>A 15997-2021</t>
        </is>
      </c>
      <c r="B97" s="1" t="n">
        <v>44287</v>
      </c>
      <c r="C97" s="1" t="n">
        <v>46003</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28795-2021</t>
        </is>
      </c>
      <c r="B98" s="1" t="n">
        <v>44357</v>
      </c>
      <c r="C98" s="1" t="n">
        <v>46003</v>
      </c>
      <c r="D98" t="inlineStr">
        <is>
          <t>UPPSALA LÄN</t>
        </is>
      </c>
      <c r="E98" t="inlineStr">
        <is>
          <t>ENKÖPING</t>
        </is>
      </c>
      <c r="F98" t="inlineStr">
        <is>
          <t>Allmännings- och besparingsskogar</t>
        </is>
      </c>
      <c r="G98" t="n">
        <v>2.8</v>
      </c>
      <c r="H98" t="n">
        <v>0</v>
      </c>
      <c r="I98" t="n">
        <v>0</v>
      </c>
      <c r="J98" t="n">
        <v>0</v>
      </c>
      <c r="K98" t="n">
        <v>0</v>
      </c>
      <c r="L98" t="n">
        <v>0</v>
      </c>
      <c r="M98" t="n">
        <v>0</v>
      </c>
      <c r="N98" t="n">
        <v>0</v>
      </c>
      <c r="O98" t="n">
        <v>0</v>
      </c>
      <c r="P98" t="n">
        <v>0</v>
      </c>
      <c r="Q98" t="n">
        <v>0</v>
      </c>
      <c r="R98" s="2" t="inlineStr"/>
    </row>
    <row r="99" ht="15" customHeight="1">
      <c r="A99" t="inlineStr">
        <is>
          <t>A 68127-2021</t>
        </is>
      </c>
      <c r="B99" s="1" t="n">
        <v>44526.39513888889</v>
      </c>
      <c r="C99" s="1" t="n">
        <v>46003</v>
      </c>
      <c r="D99" t="inlineStr">
        <is>
          <t>UPPSALA LÄN</t>
        </is>
      </c>
      <c r="E99" t="inlineStr">
        <is>
          <t>ENKÖPING</t>
        </is>
      </c>
      <c r="G99" t="n">
        <v>0.8</v>
      </c>
      <c r="H99" t="n">
        <v>0</v>
      </c>
      <c r="I99" t="n">
        <v>0</v>
      </c>
      <c r="J99" t="n">
        <v>0</v>
      </c>
      <c r="K99" t="n">
        <v>0</v>
      </c>
      <c r="L99" t="n">
        <v>0</v>
      </c>
      <c r="M99" t="n">
        <v>0</v>
      </c>
      <c r="N99" t="n">
        <v>0</v>
      </c>
      <c r="O99" t="n">
        <v>0</v>
      </c>
      <c r="P99" t="n">
        <v>0</v>
      </c>
      <c r="Q99" t="n">
        <v>0</v>
      </c>
      <c r="R99" s="2" t="inlineStr"/>
    </row>
    <row r="100" ht="15" customHeight="1">
      <c r="A100" t="inlineStr">
        <is>
          <t>A 57055-2021</t>
        </is>
      </c>
      <c r="B100" s="1" t="n">
        <v>44482.55201388889</v>
      </c>
      <c r="C100" s="1" t="n">
        <v>46003</v>
      </c>
      <c r="D100" t="inlineStr">
        <is>
          <t>UPPSALA LÄN</t>
        </is>
      </c>
      <c r="E100" t="inlineStr">
        <is>
          <t>ENKÖPING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57043-2021</t>
        </is>
      </c>
      <c r="B101" s="1" t="n">
        <v>44482.53399305556</v>
      </c>
      <c r="C101" s="1" t="n">
        <v>46003</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60874-2021</t>
        </is>
      </c>
      <c r="B102" s="1" t="n">
        <v>44497</v>
      </c>
      <c r="C102" s="1" t="n">
        <v>46003</v>
      </c>
      <c r="D102" t="inlineStr">
        <is>
          <t>UPPSALA LÄN</t>
        </is>
      </c>
      <c r="E102" t="inlineStr">
        <is>
          <t>ENKÖPING</t>
        </is>
      </c>
      <c r="G102" t="n">
        <v>0.6</v>
      </c>
      <c r="H102" t="n">
        <v>0</v>
      </c>
      <c r="I102" t="n">
        <v>0</v>
      </c>
      <c r="J102" t="n">
        <v>0</v>
      </c>
      <c r="K102" t="n">
        <v>0</v>
      </c>
      <c r="L102" t="n">
        <v>0</v>
      </c>
      <c r="M102" t="n">
        <v>0</v>
      </c>
      <c r="N102" t="n">
        <v>0</v>
      </c>
      <c r="O102" t="n">
        <v>0</v>
      </c>
      <c r="P102" t="n">
        <v>0</v>
      </c>
      <c r="Q102" t="n">
        <v>0</v>
      </c>
      <c r="R102" s="2" t="inlineStr"/>
    </row>
    <row r="103" ht="15" customHeight="1">
      <c r="A103" t="inlineStr">
        <is>
          <t>A 59121-2021</t>
        </is>
      </c>
      <c r="B103" s="1" t="n">
        <v>44490</v>
      </c>
      <c r="C103" s="1" t="n">
        <v>46003</v>
      </c>
      <c r="D103" t="inlineStr">
        <is>
          <t>UPPSALA LÄN</t>
        </is>
      </c>
      <c r="E103" t="inlineStr">
        <is>
          <t>ENKÖPING</t>
        </is>
      </c>
      <c r="G103" t="n">
        <v>2.4</v>
      </c>
      <c r="H103" t="n">
        <v>0</v>
      </c>
      <c r="I103" t="n">
        <v>0</v>
      </c>
      <c r="J103" t="n">
        <v>0</v>
      </c>
      <c r="K103" t="n">
        <v>0</v>
      </c>
      <c r="L103" t="n">
        <v>0</v>
      </c>
      <c r="M103" t="n">
        <v>0</v>
      </c>
      <c r="N103" t="n">
        <v>0</v>
      </c>
      <c r="O103" t="n">
        <v>0</v>
      </c>
      <c r="P103" t="n">
        <v>0</v>
      </c>
      <c r="Q103" t="n">
        <v>0</v>
      </c>
      <c r="R103" s="2" t="inlineStr"/>
    </row>
    <row r="104" ht="15" customHeight="1">
      <c r="A104" t="inlineStr">
        <is>
          <t>A 68107-2021</t>
        </is>
      </c>
      <c r="B104" s="1" t="n">
        <v>44526</v>
      </c>
      <c r="C104" s="1" t="n">
        <v>46003</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24815-2022</t>
        </is>
      </c>
      <c r="B105" s="1" t="n">
        <v>44728</v>
      </c>
      <c r="C105" s="1" t="n">
        <v>46003</v>
      </c>
      <c r="D105" t="inlineStr">
        <is>
          <t>UPPSALA LÄN</t>
        </is>
      </c>
      <c r="E105" t="inlineStr">
        <is>
          <t>ENKÖPING</t>
        </is>
      </c>
      <c r="G105" t="n">
        <v>1.8</v>
      </c>
      <c r="H105" t="n">
        <v>0</v>
      </c>
      <c r="I105" t="n">
        <v>0</v>
      </c>
      <c r="J105" t="n">
        <v>0</v>
      </c>
      <c r="K105" t="n">
        <v>0</v>
      </c>
      <c r="L105" t="n">
        <v>0</v>
      </c>
      <c r="M105" t="n">
        <v>0</v>
      </c>
      <c r="N105" t="n">
        <v>0</v>
      </c>
      <c r="O105" t="n">
        <v>0</v>
      </c>
      <c r="P105" t="n">
        <v>0</v>
      </c>
      <c r="Q105" t="n">
        <v>0</v>
      </c>
      <c r="R105" s="2" t="inlineStr"/>
    </row>
    <row r="106" ht="15" customHeight="1">
      <c r="A106" t="inlineStr">
        <is>
          <t>A 57078-2021</t>
        </is>
      </c>
      <c r="B106" s="1" t="n">
        <v>44482.57855324074</v>
      </c>
      <c r="C106" s="1" t="n">
        <v>46003</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42021-2021</t>
        </is>
      </c>
      <c r="B107" s="1" t="n">
        <v>44426</v>
      </c>
      <c r="C107" s="1" t="n">
        <v>46003</v>
      </c>
      <c r="D107" t="inlineStr">
        <is>
          <t>UPPSALA LÄN</t>
        </is>
      </c>
      <c r="E107" t="inlineStr">
        <is>
          <t>ENKÖPING</t>
        </is>
      </c>
      <c r="G107" t="n">
        <v>2.2</v>
      </c>
      <c r="H107" t="n">
        <v>0</v>
      </c>
      <c r="I107" t="n">
        <v>0</v>
      </c>
      <c r="J107" t="n">
        <v>0</v>
      </c>
      <c r="K107" t="n">
        <v>0</v>
      </c>
      <c r="L107" t="n">
        <v>0</v>
      </c>
      <c r="M107" t="n">
        <v>0</v>
      </c>
      <c r="N107" t="n">
        <v>0</v>
      </c>
      <c r="O107" t="n">
        <v>0</v>
      </c>
      <c r="P107" t="n">
        <v>0</v>
      </c>
      <c r="Q107" t="n">
        <v>0</v>
      </c>
      <c r="R107" s="2" t="inlineStr"/>
    </row>
    <row r="108" ht="15" customHeight="1">
      <c r="A108" t="inlineStr">
        <is>
          <t>A 17467-2022</t>
        </is>
      </c>
      <c r="B108" s="1" t="n">
        <v>44679</v>
      </c>
      <c r="C108" s="1" t="n">
        <v>46003</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46003</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15939-2022</t>
        </is>
      </c>
      <c r="B110" s="1" t="n">
        <v>44664</v>
      </c>
      <c r="C110" s="1" t="n">
        <v>46003</v>
      </c>
      <c r="D110" t="inlineStr">
        <is>
          <t>UPPSALA LÄN</t>
        </is>
      </c>
      <c r="E110" t="inlineStr">
        <is>
          <t>ENKÖPING</t>
        </is>
      </c>
      <c r="G110" t="n">
        <v>2</v>
      </c>
      <c r="H110" t="n">
        <v>0</v>
      </c>
      <c r="I110" t="n">
        <v>0</v>
      </c>
      <c r="J110" t="n">
        <v>0</v>
      </c>
      <c r="K110" t="n">
        <v>0</v>
      </c>
      <c r="L110" t="n">
        <v>0</v>
      </c>
      <c r="M110" t="n">
        <v>0</v>
      </c>
      <c r="N110" t="n">
        <v>0</v>
      </c>
      <c r="O110" t="n">
        <v>0</v>
      </c>
      <c r="P110" t="n">
        <v>0</v>
      </c>
      <c r="Q110" t="n">
        <v>0</v>
      </c>
      <c r="R110" s="2" t="inlineStr"/>
    </row>
    <row r="111" ht="15" customHeight="1">
      <c r="A111" t="inlineStr">
        <is>
          <t>A 31965-2021</t>
        </is>
      </c>
      <c r="B111" s="1" t="n">
        <v>44370.56901620371</v>
      </c>
      <c r="C111" s="1" t="n">
        <v>46003</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10468-2025</t>
        </is>
      </c>
      <c r="B112" s="1" t="n">
        <v>45720</v>
      </c>
      <c r="C112" s="1" t="n">
        <v>46003</v>
      </c>
      <c r="D112" t="inlineStr">
        <is>
          <t>UPPSALA LÄN</t>
        </is>
      </c>
      <c r="E112" t="inlineStr">
        <is>
          <t>ENKÖPING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50394-2024</t>
        </is>
      </c>
      <c r="B113" s="1" t="n">
        <v>45600</v>
      </c>
      <c r="C113" s="1" t="n">
        <v>46003</v>
      </c>
      <c r="D113" t="inlineStr">
        <is>
          <t>UPPSALA LÄN</t>
        </is>
      </c>
      <c r="E113" t="inlineStr">
        <is>
          <t>ENKÖPING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2164-2023</t>
        </is>
      </c>
      <c r="B114" s="1" t="n">
        <v>44941</v>
      </c>
      <c r="C114" s="1" t="n">
        <v>46003</v>
      </c>
      <c r="D114" t="inlineStr">
        <is>
          <t>UPPSALA LÄN</t>
        </is>
      </c>
      <c r="E114" t="inlineStr">
        <is>
          <t>ENKÖPING</t>
        </is>
      </c>
      <c r="G114" t="n">
        <v>2.5</v>
      </c>
      <c r="H114" t="n">
        <v>0</v>
      </c>
      <c r="I114" t="n">
        <v>0</v>
      </c>
      <c r="J114" t="n">
        <v>0</v>
      </c>
      <c r="K114" t="n">
        <v>0</v>
      </c>
      <c r="L114" t="n">
        <v>0</v>
      </c>
      <c r="M114" t="n">
        <v>0</v>
      </c>
      <c r="N114" t="n">
        <v>0</v>
      </c>
      <c r="O114" t="n">
        <v>0</v>
      </c>
      <c r="P114" t="n">
        <v>0</v>
      </c>
      <c r="Q114" t="n">
        <v>0</v>
      </c>
      <c r="R114" s="2" t="inlineStr"/>
    </row>
    <row r="115" ht="15" customHeight="1">
      <c r="A115" t="inlineStr">
        <is>
          <t>A 43488-2023</t>
        </is>
      </c>
      <c r="B115" s="1" t="n">
        <v>45181</v>
      </c>
      <c r="C115" s="1" t="n">
        <v>46003</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12755-2025</t>
        </is>
      </c>
      <c r="B116" s="1" t="n">
        <v>45733.56541666666</v>
      </c>
      <c r="C116" s="1" t="n">
        <v>46003</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15021-2022</t>
        </is>
      </c>
      <c r="B117" s="1" t="n">
        <v>44657</v>
      </c>
      <c r="C117" s="1" t="n">
        <v>46003</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72840-2021</t>
        </is>
      </c>
      <c r="B118" s="1" t="n">
        <v>44547</v>
      </c>
      <c r="C118" s="1" t="n">
        <v>46003</v>
      </c>
      <c r="D118" t="inlineStr">
        <is>
          <t>UPPSALA LÄN</t>
        </is>
      </c>
      <c r="E118" t="inlineStr">
        <is>
          <t>ENKÖPING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4044-2024</t>
        </is>
      </c>
      <c r="B119" s="1" t="n">
        <v>45323.45954861111</v>
      </c>
      <c r="C119" s="1" t="n">
        <v>46003</v>
      </c>
      <c r="D119" t="inlineStr">
        <is>
          <t>UPPSALA LÄN</t>
        </is>
      </c>
      <c r="E119" t="inlineStr">
        <is>
          <t>ENKÖPING</t>
        </is>
      </c>
      <c r="G119" t="n">
        <v>2.1</v>
      </c>
      <c r="H119" t="n">
        <v>0</v>
      </c>
      <c r="I119" t="n">
        <v>0</v>
      </c>
      <c r="J119" t="n">
        <v>0</v>
      </c>
      <c r="K119" t="n">
        <v>0</v>
      </c>
      <c r="L119" t="n">
        <v>0</v>
      </c>
      <c r="M119" t="n">
        <v>0</v>
      </c>
      <c r="N119" t="n">
        <v>0</v>
      </c>
      <c r="O119" t="n">
        <v>0</v>
      </c>
      <c r="P119" t="n">
        <v>0</v>
      </c>
      <c r="Q119" t="n">
        <v>0</v>
      </c>
      <c r="R119" s="2" t="inlineStr"/>
    </row>
    <row r="120" ht="15" customHeight="1">
      <c r="A120" t="inlineStr">
        <is>
          <t>A 33955-2024</t>
        </is>
      </c>
      <c r="B120" s="1" t="n">
        <v>45523.46952546296</v>
      </c>
      <c r="C120" s="1" t="n">
        <v>46003</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6172-2023</t>
        </is>
      </c>
      <c r="B121" s="1" t="n">
        <v>44964.68663194445</v>
      </c>
      <c r="C121" s="1" t="n">
        <v>46003</v>
      </c>
      <c r="D121" t="inlineStr">
        <is>
          <t>UPPSALA LÄN</t>
        </is>
      </c>
      <c r="E121" t="inlineStr">
        <is>
          <t>ENKÖPING</t>
        </is>
      </c>
      <c r="G121" t="n">
        <v>2.6</v>
      </c>
      <c r="H121" t="n">
        <v>0</v>
      </c>
      <c r="I121" t="n">
        <v>0</v>
      </c>
      <c r="J121" t="n">
        <v>0</v>
      </c>
      <c r="K121" t="n">
        <v>0</v>
      </c>
      <c r="L121" t="n">
        <v>0</v>
      </c>
      <c r="M121" t="n">
        <v>0</v>
      </c>
      <c r="N121" t="n">
        <v>0</v>
      </c>
      <c r="O121" t="n">
        <v>0</v>
      </c>
      <c r="P121" t="n">
        <v>0</v>
      </c>
      <c r="Q121" t="n">
        <v>0</v>
      </c>
      <c r="R121" s="2" t="inlineStr"/>
    </row>
    <row r="122" ht="15" customHeight="1">
      <c r="A122" t="inlineStr">
        <is>
          <t>A 5211-2024</t>
        </is>
      </c>
      <c r="B122" s="1" t="n">
        <v>45330</v>
      </c>
      <c r="C122" s="1" t="n">
        <v>46003</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10409-2025</t>
        </is>
      </c>
      <c r="B123" s="1" t="n">
        <v>45720.631875</v>
      </c>
      <c r="C123" s="1" t="n">
        <v>46003</v>
      </c>
      <c r="D123" t="inlineStr">
        <is>
          <t>UPPSALA LÄN</t>
        </is>
      </c>
      <c r="E123" t="inlineStr">
        <is>
          <t>ENKÖPING</t>
        </is>
      </c>
      <c r="G123" t="n">
        <v>2.2</v>
      </c>
      <c r="H123" t="n">
        <v>0</v>
      </c>
      <c r="I123" t="n">
        <v>0</v>
      </c>
      <c r="J123" t="n">
        <v>0</v>
      </c>
      <c r="K123" t="n">
        <v>0</v>
      </c>
      <c r="L123" t="n">
        <v>0</v>
      </c>
      <c r="M123" t="n">
        <v>0</v>
      </c>
      <c r="N123" t="n">
        <v>0</v>
      </c>
      <c r="O123" t="n">
        <v>0</v>
      </c>
      <c r="P123" t="n">
        <v>0</v>
      </c>
      <c r="Q123" t="n">
        <v>0</v>
      </c>
      <c r="R123" s="2" t="inlineStr"/>
    </row>
    <row r="124" ht="15" customHeight="1">
      <c r="A124" t="inlineStr">
        <is>
          <t>A 46103-2023</t>
        </is>
      </c>
      <c r="B124" s="1" t="n">
        <v>45190</v>
      </c>
      <c r="C124" s="1" t="n">
        <v>46003</v>
      </c>
      <c r="D124" t="inlineStr">
        <is>
          <t>UPPSALA LÄN</t>
        </is>
      </c>
      <c r="E124" t="inlineStr">
        <is>
          <t>ENKÖPING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37870-2023</t>
        </is>
      </c>
      <c r="B125" s="1" t="n">
        <v>45160.41996527778</v>
      </c>
      <c r="C125" s="1" t="n">
        <v>46003</v>
      </c>
      <c r="D125" t="inlineStr">
        <is>
          <t>UPPSALA LÄN</t>
        </is>
      </c>
      <c r="E125" t="inlineStr">
        <is>
          <t>ENKÖPING</t>
        </is>
      </c>
      <c r="G125" t="n">
        <v>3.5</v>
      </c>
      <c r="H125" t="n">
        <v>0</v>
      </c>
      <c r="I125" t="n">
        <v>0</v>
      </c>
      <c r="J125" t="n">
        <v>0</v>
      </c>
      <c r="K125" t="n">
        <v>0</v>
      </c>
      <c r="L125" t="n">
        <v>0</v>
      </c>
      <c r="M125" t="n">
        <v>0</v>
      </c>
      <c r="N125" t="n">
        <v>0</v>
      </c>
      <c r="O125" t="n">
        <v>0</v>
      </c>
      <c r="P125" t="n">
        <v>0</v>
      </c>
      <c r="Q125" t="n">
        <v>0</v>
      </c>
      <c r="R125" s="2" t="inlineStr"/>
    </row>
    <row r="126" ht="15" customHeight="1">
      <c r="A126" t="inlineStr">
        <is>
          <t>A 7090-2022</t>
        </is>
      </c>
      <c r="B126" s="1" t="n">
        <v>44603.59520833333</v>
      </c>
      <c r="C126" s="1" t="n">
        <v>46003</v>
      </c>
      <c r="D126" t="inlineStr">
        <is>
          <t>UPPSALA LÄN</t>
        </is>
      </c>
      <c r="E126" t="inlineStr">
        <is>
          <t>ENKÖPING</t>
        </is>
      </c>
      <c r="G126" t="n">
        <v>2.8</v>
      </c>
      <c r="H126" t="n">
        <v>0</v>
      </c>
      <c r="I126" t="n">
        <v>0</v>
      </c>
      <c r="J126" t="n">
        <v>0</v>
      </c>
      <c r="K126" t="n">
        <v>0</v>
      </c>
      <c r="L126" t="n">
        <v>0</v>
      </c>
      <c r="M126" t="n">
        <v>0</v>
      </c>
      <c r="N126" t="n">
        <v>0</v>
      </c>
      <c r="O126" t="n">
        <v>0</v>
      </c>
      <c r="P126" t="n">
        <v>0</v>
      </c>
      <c r="Q126" t="n">
        <v>0</v>
      </c>
      <c r="R126" s="2" t="inlineStr"/>
    </row>
    <row r="127" ht="15" customHeight="1">
      <c r="A127" t="inlineStr">
        <is>
          <t>A 49063-2024</t>
        </is>
      </c>
      <c r="B127" s="1" t="n">
        <v>45594.59869212963</v>
      </c>
      <c r="C127" s="1" t="n">
        <v>46003</v>
      </c>
      <c r="D127" t="inlineStr">
        <is>
          <t>UPPSALA LÄN</t>
        </is>
      </c>
      <c r="E127" t="inlineStr">
        <is>
          <t>ENKÖPING</t>
        </is>
      </c>
      <c r="G127" t="n">
        <v>1.5</v>
      </c>
      <c r="H127" t="n">
        <v>0</v>
      </c>
      <c r="I127" t="n">
        <v>0</v>
      </c>
      <c r="J127" t="n">
        <v>0</v>
      </c>
      <c r="K127" t="n">
        <v>0</v>
      </c>
      <c r="L127" t="n">
        <v>0</v>
      </c>
      <c r="M127" t="n">
        <v>0</v>
      </c>
      <c r="N127" t="n">
        <v>0</v>
      </c>
      <c r="O127" t="n">
        <v>0</v>
      </c>
      <c r="P127" t="n">
        <v>0</v>
      </c>
      <c r="Q127" t="n">
        <v>0</v>
      </c>
      <c r="R127" s="2" t="inlineStr"/>
    </row>
    <row r="128" ht="15" customHeight="1">
      <c r="A128" t="inlineStr">
        <is>
          <t>A 14083-2025</t>
        </is>
      </c>
      <c r="B128" s="1" t="n">
        <v>45740</v>
      </c>
      <c r="C128" s="1" t="n">
        <v>46003</v>
      </c>
      <c r="D128" t="inlineStr">
        <is>
          <t>UPPSALA LÄN</t>
        </is>
      </c>
      <c r="E128" t="inlineStr">
        <is>
          <t>ENKÖPING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19298-2023</t>
        </is>
      </c>
      <c r="B129" s="1" t="n">
        <v>45048</v>
      </c>
      <c r="C129" s="1" t="n">
        <v>46003</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69567-2020</t>
        </is>
      </c>
      <c r="B130" s="1" t="n">
        <v>44194</v>
      </c>
      <c r="C130" s="1" t="n">
        <v>46003</v>
      </c>
      <c r="D130" t="inlineStr">
        <is>
          <t>UPPSALA LÄN</t>
        </is>
      </c>
      <c r="E130" t="inlineStr">
        <is>
          <t>ENKÖPING</t>
        </is>
      </c>
      <c r="G130" t="n">
        <v>1.6</v>
      </c>
      <c r="H130" t="n">
        <v>0</v>
      </c>
      <c r="I130" t="n">
        <v>0</v>
      </c>
      <c r="J130" t="n">
        <v>0</v>
      </c>
      <c r="K130" t="n">
        <v>0</v>
      </c>
      <c r="L130" t="n">
        <v>0</v>
      </c>
      <c r="M130" t="n">
        <v>0</v>
      </c>
      <c r="N130" t="n">
        <v>0</v>
      </c>
      <c r="O130" t="n">
        <v>0</v>
      </c>
      <c r="P130" t="n">
        <v>0</v>
      </c>
      <c r="Q130" t="n">
        <v>0</v>
      </c>
      <c r="R130" s="2" t="inlineStr"/>
    </row>
    <row r="131" ht="15" customHeight="1">
      <c r="A131" t="inlineStr">
        <is>
          <t>A 25333-2023</t>
        </is>
      </c>
      <c r="B131" s="1" t="n">
        <v>45083</v>
      </c>
      <c r="C131" s="1" t="n">
        <v>46003</v>
      </c>
      <c r="D131" t="inlineStr">
        <is>
          <t>UPPSALA LÄN</t>
        </is>
      </c>
      <c r="E131" t="inlineStr">
        <is>
          <t>ENKÖPING</t>
        </is>
      </c>
      <c r="G131" t="n">
        <v>2.7</v>
      </c>
      <c r="H131" t="n">
        <v>0</v>
      </c>
      <c r="I131" t="n">
        <v>0</v>
      </c>
      <c r="J131" t="n">
        <v>0</v>
      </c>
      <c r="K131" t="n">
        <v>0</v>
      </c>
      <c r="L131" t="n">
        <v>0</v>
      </c>
      <c r="M131" t="n">
        <v>0</v>
      </c>
      <c r="N131" t="n">
        <v>0</v>
      </c>
      <c r="O131" t="n">
        <v>0</v>
      </c>
      <c r="P131" t="n">
        <v>0</v>
      </c>
      <c r="Q131" t="n">
        <v>0</v>
      </c>
      <c r="R131" s="2" t="inlineStr"/>
    </row>
    <row r="132" ht="15" customHeight="1">
      <c r="A132" t="inlineStr">
        <is>
          <t>A 50747-2022</t>
        </is>
      </c>
      <c r="B132" s="1" t="n">
        <v>44867.40162037037</v>
      </c>
      <c r="C132" s="1" t="n">
        <v>46003</v>
      </c>
      <c r="D132" t="inlineStr">
        <is>
          <t>UPPSALA LÄN</t>
        </is>
      </c>
      <c r="E132" t="inlineStr">
        <is>
          <t>ENKÖPING</t>
        </is>
      </c>
      <c r="G132" t="n">
        <v>1.5</v>
      </c>
      <c r="H132" t="n">
        <v>0</v>
      </c>
      <c r="I132" t="n">
        <v>0</v>
      </c>
      <c r="J132" t="n">
        <v>0</v>
      </c>
      <c r="K132" t="n">
        <v>0</v>
      </c>
      <c r="L132" t="n">
        <v>0</v>
      </c>
      <c r="M132" t="n">
        <v>0</v>
      </c>
      <c r="N132" t="n">
        <v>0</v>
      </c>
      <c r="O132" t="n">
        <v>0</v>
      </c>
      <c r="P132" t="n">
        <v>0</v>
      </c>
      <c r="Q132" t="n">
        <v>0</v>
      </c>
      <c r="R132" s="2" t="inlineStr"/>
    </row>
    <row r="133" ht="15" customHeight="1">
      <c r="A133" t="inlineStr">
        <is>
          <t>A 57152-2021</t>
        </is>
      </c>
      <c r="B133" s="1" t="n">
        <v>44482</v>
      </c>
      <c r="C133" s="1" t="n">
        <v>46003</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21686-2022</t>
        </is>
      </c>
      <c r="B134" s="1" t="n">
        <v>44707</v>
      </c>
      <c r="C134" s="1" t="n">
        <v>46003</v>
      </c>
      <c r="D134" t="inlineStr">
        <is>
          <t>UPPSALA LÄN</t>
        </is>
      </c>
      <c r="E134" t="inlineStr">
        <is>
          <t>ENKÖPING</t>
        </is>
      </c>
      <c r="G134" t="n">
        <v>2.2</v>
      </c>
      <c r="H134" t="n">
        <v>0</v>
      </c>
      <c r="I134" t="n">
        <v>0</v>
      </c>
      <c r="J134" t="n">
        <v>0</v>
      </c>
      <c r="K134" t="n">
        <v>0</v>
      </c>
      <c r="L134" t="n">
        <v>0</v>
      </c>
      <c r="M134" t="n">
        <v>0</v>
      </c>
      <c r="N134" t="n">
        <v>0</v>
      </c>
      <c r="O134" t="n">
        <v>0</v>
      </c>
      <c r="P134" t="n">
        <v>0</v>
      </c>
      <c r="Q134" t="n">
        <v>0</v>
      </c>
      <c r="R134" s="2" t="inlineStr"/>
    </row>
    <row r="135" ht="15" customHeight="1">
      <c r="A135" t="inlineStr">
        <is>
          <t>A 30437-2022</t>
        </is>
      </c>
      <c r="B135" s="1" t="n">
        <v>44761</v>
      </c>
      <c r="C135" s="1" t="n">
        <v>46003</v>
      </c>
      <c r="D135" t="inlineStr">
        <is>
          <t>UPPSALA LÄN</t>
        </is>
      </c>
      <c r="E135" t="inlineStr">
        <is>
          <t>ENKÖPING</t>
        </is>
      </c>
      <c r="G135" t="n">
        <v>3.4</v>
      </c>
      <c r="H135" t="n">
        <v>0</v>
      </c>
      <c r="I135" t="n">
        <v>0</v>
      </c>
      <c r="J135" t="n">
        <v>0</v>
      </c>
      <c r="K135" t="n">
        <v>0</v>
      </c>
      <c r="L135" t="n">
        <v>0</v>
      </c>
      <c r="M135" t="n">
        <v>0</v>
      </c>
      <c r="N135" t="n">
        <v>0</v>
      </c>
      <c r="O135" t="n">
        <v>0</v>
      </c>
      <c r="P135" t="n">
        <v>0</v>
      </c>
      <c r="Q135" t="n">
        <v>0</v>
      </c>
      <c r="R135" s="2" t="inlineStr"/>
    </row>
    <row r="136" ht="15" customHeight="1">
      <c r="A136" t="inlineStr">
        <is>
          <t>A 15409-2025</t>
        </is>
      </c>
      <c r="B136" s="1" t="n">
        <v>45747</v>
      </c>
      <c r="C136" s="1" t="n">
        <v>46003</v>
      </c>
      <c r="D136" t="inlineStr">
        <is>
          <t>UPPSALA LÄN</t>
        </is>
      </c>
      <c r="E136" t="inlineStr">
        <is>
          <t>ENKÖPING</t>
        </is>
      </c>
      <c r="G136" t="n">
        <v>2.5</v>
      </c>
      <c r="H136" t="n">
        <v>0</v>
      </c>
      <c r="I136" t="n">
        <v>0</v>
      </c>
      <c r="J136" t="n">
        <v>0</v>
      </c>
      <c r="K136" t="n">
        <v>0</v>
      </c>
      <c r="L136" t="n">
        <v>0</v>
      </c>
      <c r="M136" t="n">
        <v>0</v>
      </c>
      <c r="N136" t="n">
        <v>0</v>
      </c>
      <c r="O136" t="n">
        <v>0</v>
      </c>
      <c r="P136" t="n">
        <v>0</v>
      </c>
      <c r="Q136" t="n">
        <v>0</v>
      </c>
      <c r="R136" s="2" t="inlineStr"/>
    </row>
    <row r="137" ht="15" customHeight="1">
      <c r="A137" t="inlineStr">
        <is>
          <t>A 29479-2022</t>
        </is>
      </c>
      <c r="B137" s="1" t="n">
        <v>44753.57265046296</v>
      </c>
      <c r="C137" s="1" t="n">
        <v>46003</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12572-2021</t>
        </is>
      </c>
      <c r="B138" s="1" t="n">
        <v>44270.36438657407</v>
      </c>
      <c r="C138" s="1" t="n">
        <v>46003</v>
      </c>
      <c r="D138" t="inlineStr">
        <is>
          <t>UPPSALA LÄN</t>
        </is>
      </c>
      <c r="E138" t="inlineStr">
        <is>
          <t>ENKÖPING</t>
        </is>
      </c>
      <c r="G138" t="n">
        <v>3.3</v>
      </c>
      <c r="H138" t="n">
        <v>0</v>
      </c>
      <c r="I138" t="n">
        <v>0</v>
      </c>
      <c r="J138" t="n">
        <v>0</v>
      </c>
      <c r="K138" t="n">
        <v>0</v>
      </c>
      <c r="L138" t="n">
        <v>0</v>
      </c>
      <c r="M138" t="n">
        <v>0</v>
      </c>
      <c r="N138" t="n">
        <v>0</v>
      </c>
      <c r="O138" t="n">
        <v>0</v>
      </c>
      <c r="P138" t="n">
        <v>0</v>
      </c>
      <c r="Q138" t="n">
        <v>0</v>
      </c>
      <c r="R138" s="2" t="inlineStr"/>
    </row>
    <row r="139" ht="15" customHeight="1">
      <c r="A139" t="inlineStr">
        <is>
          <t>A 49525-2021</t>
        </is>
      </c>
      <c r="B139" s="1" t="n">
        <v>44455</v>
      </c>
      <c r="C139" s="1" t="n">
        <v>46003</v>
      </c>
      <c r="D139" t="inlineStr">
        <is>
          <t>UPPSALA LÄN</t>
        </is>
      </c>
      <c r="E139" t="inlineStr">
        <is>
          <t>ENKÖPING</t>
        </is>
      </c>
      <c r="G139" t="n">
        <v>1.8</v>
      </c>
      <c r="H139" t="n">
        <v>0</v>
      </c>
      <c r="I139" t="n">
        <v>0</v>
      </c>
      <c r="J139" t="n">
        <v>0</v>
      </c>
      <c r="K139" t="n">
        <v>0</v>
      </c>
      <c r="L139" t="n">
        <v>0</v>
      </c>
      <c r="M139" t="n">
        <v>0</v>
      </c>
      <c r="N139" t="n">
        <v>0</v>
      </c>
      <c r="O139" t="n">
        <v>0</v>
      </c>
      <c r="P139" t="n">
        <v>0</v>
      </c>
      <c r="Q139" t="n">
        <v>0</v>
      </c>
      <c r="R139" s="2" t="inlineStr"/>
    </row>
    <row r="140" ht="15" customHeight="1">
      <c r="A140" t="inlineStr">
        <is>
          <t>A 6298-2021</t>
        </is>
      </c>
      <c r="B140" s="1" t="n">
        <v>44235</v>
      </c>
      <c r="C140" s="1" t="n">
        <v>46003</v>
      </c>
      <c r="D140" t="inlineStr">
        <is>
          <t>UPPSALA LÄN</t>
        </is>
      </c>
      <c r="E140" t="inlineStr">
        <is>
          <t>ENKÖPING</t>
        </is>
      </c>
      <c r="G140" t="n">
        <v>1.4</v>
      </c>
      <c r="H140" t="n">
        <v>0</v>
      </c>
      <c r="I140" t="n">
        <v>0</v>
      </c>
      <c r="J140" t="n">
        <v>0</v>
      </c>
      <c r="K140" t="n">
        <v>0</v>
      </c>
      <c r="L140" t="n">
        <v>0</v>
      </c>
      <c r="M140" t="n">
        <v>0</v>
      </c>
      <c r="N140" t="n">
        <v>0</v>
      </c>
      <c r="O140" t="n">
        <v>0</v>
      </c>
      <c r="P140" t="n">
        <v>0</v>
      </c>
      <c r="Q140" t="n">
        <v>0</v>
      </c>
      <c r="R140" s="2" t="inlineStr"/>
    </row>
    <row r="141" ht="15" customHeight="1">
      <c r="A141" t="inlineStr">
        <is>
          <t>A 20112-2024</t>
        </is>
      </c>
      <c r="B141" s="1" t="n">
        <v>45434</v>
      </c>
      <c r="C141" s="1" t="n">
        <v>46003</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51932-2022</t>
        </is>
      </c>
      <c r="B142" s="1" t="n">
        <v>44872</v>
      </c>
      <c r="C142" s="1" t="n">
        <v>46003</v>
      </c>
      <c r="D142" t="inlineStr">
        <is>
          <t>UPPSALA LÄN</t>
        </is>
      </c>
      <c r="E142" t="inlineStr">
        <is>
          <t>ENKÖPING</t>
        </is>
      </c>
      <c r="G142" t="n">
        <v>5.5</v>
      </c>
      <c r="H142" t="n">
        <v>0</v>
      </c>
      <c r="I142" t="n">
        <v>0</v>
      </c>
      <c r="J142" t="n">
        <v>0</v>
      </c>
      <c r="K142" t="n">
        <v>0</v>
      </c>
      <c r="L142" t="n">
        <v>0</v>
      </c>
      <c r="M142" t="n">
        <v>0</v>
      </c>
      <c r="N142" t="n">
        <v>0</v>
      </c>
      <c r="O142" t="n">
        <v>0</v>
      </c>
      <c r="P142" t="n">
        <v>0</v>
      </c>
      <c r="Q142" t="n">
        <v>0</v>
      </c>
      <c r="R142" s="2" t="inlineStr"/>
    </row>
    <row r="143" ht="15" customHeight="1">
      <c r="A143" t="inlineStr">
        <is>
          <t>A 34617-2022</t>
        </is>
      </c>
      <c r="B143" s="1" t="n">
        <v>44795</v>
      </c>
      <c r="C143" s="1" t="n">
        <v>46003</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40202-2024</t>
        </is>
      </c>
      <c r="B144" s="1" t="n">
        <v>45554</v>
      </c>
      <c r="C144" s="1" t="n">
        <v>46003</v>
      </c>
      <c r="D144" t="inlineStr">
        <is>
          <t>UPPSALA LÄN</t>
        </is>
      </c>
      <c r="E144" t="inlineStr">
        <is>
          <t>ENKÖPING</t>
        </is>
      </c>
      <c r="G144" t="n">
        <v>6.2</v>
      </c>
      <c r="H144" t="n">
        <v>0</v>
      </c>
      <c r="I144" t="n">
        <v>0</v>
      </c>
      <c r="J144" t="n">
        <v>0</v>
      </c>
      <c r="K144" t="n">
        <v>0</v>
      </c>
      <c r="L144" t="n">
        <v>0</v>
      </c>
      <c r="M144" t="n">
        <v>0</v>
      </c>
      <c r="N144" t="n">
        <v>0</v>
      </c>
      <c r="O144" t="n">
        <v>0</v>
      </c>
      <c r="P144" t="n">
        <v>0</v>
      </c>
      <c r="Q144" t="n">
        <v>0</v>
      </c>
      <c r="R144" s="2" t="inlineStr"/>
    </row>
    <row r="145" ht="15" customHeight="1">
      <c r="A145" t="inlineStr">
        <is>
          <t>A 12958-2024</t>
        </is>
      </c>
      <c r="B145" s="1" t="n">
        <v>45385</v>
      </c>
      <c r="C145" s="1" t="n">
        <v>46003</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40223-2024</t>
        </is>
      </c>
      <c r="B146" s="1" t="n">
        <v>45554</v>
      </c>
      <c r="C146" s="1" t="n">
        <v>46003</v>
      </c>
      <c r="D146" t="inlineStr">
        <is>
          <t>UPPSALA LÄN</t>
        </is>
      </c>
      <c r="E146" t="inlineStr">
        <is>
          <t>ENKÖPING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69879-2021</t>
        </is>
      </c>
      <c r="B147" s="1" t="n">
        <v>44532</v>
      </c>
      <c r="C147" s="1" t="n">
        <v>46003</v>
      </c>
      <c r="D147" t="inlineStr">
        <is>
          <t>UPPSALA LÄN</t>
        </is>
      </c>
      <c r="E147" t="inlineStr">
        <is>
          <t>ENKÖPING</t>
        </is>
      </c>
      <c r="G147" t="n">
        <v>4.2</v>
      </c>
      <c r="H147" t="n">
        <v>0</v>
      </c>
      <c r="I147" t="n">
        <v>0</v>
      </c>
      <c r="J147" t="n">
        <v>0</v>
      </c>
      <c r="K147" t="n">
        <v>0</v>
      </c>
      <c r="L147" t="n">
        <v>0</v>
      </c>
      <c r="M147" t="n">
        <v>0</v>
      </c>
      <c r="N147" t="n">
        <v>0</v>
      </c>
      <c r="O147" t="n">
        <v>0</v>
      </c>
      <c r="P147" t="n">
        <v>0</v>
      </c>
      <c r="Q147" t="n">
        <v>0</v>
      </c>
      <c r="R147" s="2" t="inlineStr"/>
    </row>
    <row r="148" ht="15" customHeight="1">
      <c r="A148" t="inlineStr">
        <is>
          <t>A 19013-2025</t>
        </is>
      </c>
      <c r="B148" s="1" t="n">
        <v>45764.59533564815</v>
      </c>
      <c r="C148" s="1" t="n">
        <v>46003</v>
      </c>
      <c r="D148" t="inlineStr">
        <is>
          <t>UPPSALA LÄN</t>
        </is>
      </c>
      <c r="E148" t="inlineStr">
        <is>
          <t>ENKÖPING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57335-2024</t>
        </is>
      </c>
      <c r="B149" s="1" t="n">
        <v>45629.63302083333</v>
      </c>
      <c r="C149" s="1" t="n">
        <v>46003</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57328-2024</t>
        </is>
      </c>
      <c r="B150" s="1" t="n">
        <v>45629.62798611111</v>
      </c>
      <c r="C150" s="1" t="n">
        <v>46003</v>
      </c>
      <c r="D150" t="inlineStr">
        <is>
          <t>UPPSALA LÄN</t>
        </is>
      </c>
      <c r="E150" t="inlineStr">
        <is>
          <t>ENKÖPING</t>
        </is>
      </c>
      <c r="G150" t="n">
        <v>0.8</v>
      </c>
      <c r="H150" t="n">
        <v>0</v>
      </c>
      <c r="I150" t="n">
        <v>0</v>
      </c>
      <c r="J150" t="n">
        <v>0</v>
      </c>
      <c r="K150" t="n">
        <v>0</v>
      </c>
      <c r="L150" t="n">
        <v>0</v>
      </c>
      <c r="M150" t="n">
        <v>0</v>
      </c>
      <c r="N150" t="n">
        <v>0</v>
      </c>
      <c r="O150" t="n">
        <v>0</v>
      </c>
      <c r="P150" t="n">
        <v>0</v>
      </c>
      <c r="Q150" t="n">
        <v>0</v>
      </c>
      <c r="R150" s="2" t="inlineStr"/>
    </row>
    <row r="151" ht="15" customHeight="1">
      <c r="A151" t="inlineStr">
        <is>
          <t>A 23301-2024</t>
        </is>
      </c>
      <c r="B151" s="1" t="n">
        <v>45453.4396412037</v>
      </c>
      <c r="C151" s="1" t="n">
        <v>46003</v>
      </c>
      <c r="D151" t="inlineStr">
        <is>
          <t>UPPSALA LÄN</t>
        </is>
      </c>
      <c r="E151" t="inlineStr">
        <is>
          <t>ENKÖPING</t>
        </is>
      </c>
      <c r="G151" t="n">
        <v>4.3</v>
      </c>
      <c r="H151" t="n">
        <v>0</v>
      </c>
      <c r="I151" t="n">
        <v>0</v>
      </c>
      <c r="J151" t="n">
        <v>0</v>
      </c>
      <c r="K151" t="n">
        <v>0</v>
      </c>
      <c r="L151" t="n">
        <v>0</v>
      </c>
      <c r="M151" t="n">
        <v>0</v>
      </c>
      <c r="N151" t="n">
        <v>0</v>
      </c>
      <c r="O151" t="n">
        <v>0</v>
      </c>
      <c r="P151" t="n">
        <v>0</v>
      </c>
      <c r="Q151" t="n">
        <v>0</v>
      </c>
      <c r="R151" s="2" t="inlineStr"/>
    </row>
    <row r="152" ht="15" customHeight="1">
      <c r="A152" t="inlineStr">
        <is>
          <t>A 2833-2025</t>
        </is>
      </c>
      <c r="B152" s="1" t="n">
        <v>45677.63206018518</v>
      </c>
      <c r="C152" s="1" t="n">
        <v>46003</v>
      </c>
      <c r="D152" t="inlineStr">
        <is>
          <t>UPPSALA LÄN</t>
        </is>
      </c>
      <c r="E152" t="inlineStr">
        <is>
          <t>ENKÖPING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40812-2022</t>
        </is>
      </c>
      <c r="B153" s="1" t="n">
        <v>44824.68791666667</v>
      </c>
      <c r="C153" s="1" t="n">
        <v>46003</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24291-2024</t>
        </is>
      </c>
      <c r="B154" s="1" t="n">
        <v>45457.4584837963</v>
      </c>
      <c r="C154" s="1" t="n">
        <v>46003</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44232-2022</t>
        </is>
      </c>
      <c r="B155" s="1" t="n">
        <v>44839</v>
      </c>
      <c r="C155" s="1" t="n">
        <v>46003</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47428-2023</t>
        </is>
      </c>
      <c r="B156" s="1" t="n">
        <v>45202.66664351852</v>
      </c>
      <c r="C156" s="1" t="n">
        <v>46003</v>
      </c>
      <c r="D156" t="inlineStr">
        <is>
          <t>UPPSALA LÄN</t>
        </is>
      </c>
      <c r="E156" t="inlineStr">
        <is>
          <t>ENKÖPING</t>
        </is>
      </c>
      <c r="G156" t="n">
        <v>3</v>
      </c>
      <c r="H156" t="n">
        <v>0</v>
      </c>
      <c r="I156" t="n">
        <v>0</v>
      </c>
      <c r="J156" t="n">
        <v>0</v>
      </c>
      <c r="K156" t="n">
        <v>0</v>
      </c>
      <c r="L156" t="n">
        <v>0</v>
      </c>
      <c r="M156" t="n">
        <v>0</v>
      </c>
      <c r="N156" t="n">
        <v>0</v>
      </c>
      <c r="O156" t="n">
        <v>0</v>
      </c>
      <c r="P156" t="n">
        <v>0</v>
      </c>
      <c r="Q156" t="n">
        <v>0</v>
      </c>
      <c r="R156" s="2" t="inlineStr"/>
    </row>
    <row r="157" ht="15" customHeight="1">
      <c r="A157" t="inlineStr">
        <is>
          <t>A 33619-2022</t>
        </is>
      </c>
      <c r="B157" s="1" t="n">
        <v>44789</v>
      </c>
      <c r="C157" s="1" t="n">
        <v>46003</v>
      </c>
      <c r="D157" t="inlineStr">
        <is>
          <t>UPPSALA LÄN</t>
        </is>
      </c>
      <c r="E157" t="inlineStr">
        <is>
          <t>ENKÖPING</t>
        </is>
      </c>
      <c r="F157" t="inlineStr">
        <is>
          <t>Allmännings- och besparingsskogar</t>
        </is>
      </c>
      <c r="G157" t="n">
        <v>4.5</v>
      </c>
      <c r="H157" t="n">
        <v>0</v>
      </c>
      <c r="I157" t="n">
        <v>0</v>
      </c>
      <c r="J157" t="n">
        <v>0</v>
      </c>
      <c r="K157" t="n">
        <v>0</v>
      </c>
      <c r="L157" t="n">
        <v>0</v>
      </c>
      <c r="M157" t="n">
        <v>0</v>
      </c>
      <c r="N157" t="n">
        <v>0</v>
      </c>
      <c r="O157" t="n">
        <v>0</v>
      </c>
      <c r="P157" t="n">
        <v>0</v>
      </c>
      <c r="Q157" t="n">
        <v>0</v>
      </c>
      <c r="R157" s="2" t="inlineStr"/>
    </row>
    <row r="158" ht="15" customHeight="1">
      <c r="A158" t="inlineStr">
        <is>
          <t>A 31604-2023</t>
        </is>
      </c>
      <c r="B158" s="1" t="n">
        <v>45117.50368055556</v>
      </c>
      <c r="C158" s="1" t="n">
        <v>46003</v>
      </c>
      <c r="D158" t="inlineStr">
        <is>
          <t>UPPSALA LÄN</t>
        </is>
      </c>
      <c r="E158" t="inlineStr">
        <is>
          <t>ENKÖPING</t>
        </is>
      </c>
      <c r="G158" t="n">
        <v>3.5</v>
      </c>
      <c r="H158" t="n">
        <v>0</v>
      </c>
      <c r="I158" t="n">
        <v>0</v>
      </c>
      <c r="J158" t="n">
        <v>0</v>
      </c>
      <c r="K158" t="n">
        <v>0</v>
      </c>
      <c r="L158" t="n">
        <v>0</v>
      </c>
      <c r="M158" t="n">
        <v>0</v>
      </c>
      <c r="N158" t="n">
        <v>0</v>
      </c>
      <c r="O158" t="n">
        <v>0</v>
      </c>
      <c r="P158" t="n">
        <v>0</v>
      </c>
      <c r="Q158" t="n">
        <v>0</v>
      </c>
      <c r="R158" s="2" t="inlineStr"/>
    </row>
    <row r="159" ht="15" customHeight="1">
      <c r="A159" t="inlineStr">
        <is>
          <t>A 56837-2024</t>
        </is>
      </c>
      <c r="B159" s="1" t="n">
        <v>45628</v>
      </c>
      <c r="C159" s="1" t="n">
        <v>46003</v>
      </c>
      <c r="D159" t="inlineStr">
        <is>
          <t>UPPSALA LÄN</t>
        </is>
      </c>
      <c r="E159" t="inlineStr">
        <is>
          <t>ENKÖPING</t>
        </is>
      </c>
      <c r="G159" t="n">
        <v>2.2</v>
      </c>
      <c r="H159" t="n">
        <v>0</v>
      </c>
      <c r="I159" t="n">
        <v>0</v>
      </c>
      <c r="J159" t="n">
        <v>0</v>
      </c>
      <c r="K159" t="n">
        <v>0</v>
      </c>
      <c r="L159" t="n">
        <v>0</v>
      </c>
      <c r="M159" t="n">
        <v>0</v>
      </c>
      <c r="N159" t="n">
        <v>0</v>
      </c>
      <c r="O159" t="n">
        <v>0</v>
      </c>
      <c r="P159" t="n">
        <v>0</v>
      </c>
      <c r="Q159" t="n">
        <v>0</v>
      </c>
      <c r="R159" s="2" t="inlineStr"/>
    </row>
    <row r="160" ht="15" customHeight="1">
      <c r="A160" t="inlineStr">
        <is>
          <t>A 45362-2022</t>
        </is>
      </c>
      <c r="B160" s="1" t="n">
        <v>44844.62366898148</v>
      </c>
      <c r="C160" s="1" t="n">
        <v>46003</v>
      </c>
      <c r="D160" t="inlineStr">
        <is>
          <t>UPPSALA LÄN</t>
        </is>
      </c>
      <c r="E160" t="inlineStr">
        <is>
          <t>ENKÖPING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56526-2022</t>
        </is>
      </c>
      <c r="B161" s="1" t="n">
        <v>44893</v>
      </c>
      <c r="C161" s="1" t="n">
        <v>46003</v>
      </c>
      <c r="D161" t="inlineStr">
        <is>
          <t>UPPSALA LÄN</t>
        </is>
      </c>
      <c r="E161" t="inlineStr">
        <is>
          <t>ENKÖPING</t>
        </is>
      </c>
      <c r="G161" t="n">
        <v>3.8</v>
      </c>
      <c r="H161" t="n">
        <v>0</v>
      </c>
      <c r="I161" t="n">
        <v>0</v>
      </c>
      <c r="J161" t="n">
        <v>0</v>
      </c>
      <c r="K161" t="n">
        <v>0</v>
      </c>
      <c r="L161" t="n">
        <v>0</v>
      </c>
      <c r="M161" t="n">
        <v>0</v>
      </c>
      <c r="N161" t="n">
        <v>0</v>
      </c>
      <c r="O161" t="n">
        <v>0</v>
      </c>
      <c r="P161" t="n">
        <v>0</v>
      </c>
      <c r="Q161" t="n">
        <v>0</v>
      </c>
      <c r="R161" s="2" t="inlineStr"/>
    </row>
    <row r="162" ht="15" customHeight="1">
      <c r="A162" t="inlineStr">
        <is>
          <t>A 57209-2024</t>
        </is>
      </c>
      <c r="B162" s="1" t="n">
        <v>45629.49311342592</v>
      </c>
      <c r="C162" s="1" t="n">
        <v>46003</v>
      </c>
      <c r="D162" t="inlineStr">
        <is>
          <t>UPPSALA LÄN</t>
        </is>
      </c>
      <c r="E162" t="inlineStr">
        <is>
          <t>ENKÖPING</t>
        </is>
      </c>
      <c r="G162" t="n">
        <v>3.2</v>
      </c>
      <c r="H162" t="n">
        <v>0</v>
      </c>
      <c r="I162" t="n">
        <v>0</v>
      </c>
      <c r="J162" t="n">
        <v>0</v>
      </c>
      <c r="K162" t="n">
        <v>0</v>
      </c>
      <c r="L162" t="n">
        <v>0</v>
      </c>
      <c r="M162" t="n">
        <v>0</v>
      </c>
      <c r="N162" t="n">
        <v>0</v>
      </c>
      <c r="O162" t="n">
        <v>0</v>
      </c>
      <c r="P162" t="n">
        <v>0</v>
      </c>
      <c r="Q162" t="n">
        <v>0</v>
      </c>
      <c r="R162" s="2" t="inlineStr"/>
    </row>
    <row r="163" ht="15" customHeight="1">
      <c r="A163" t="inlineStr">
        <is>
          <t>A 60350-2022</t>
        </is>
      </c>
      <c r="B163" s="1" t="n">
        <v>44910</v>
      </c>
      <c r="C163" s="1" t="n">
        <v>46003</v>
      </c>
      <c r="D163" t="inlineStr">
        <is>
          <t>UPPSALA LÄN</t>
        </is>
      </c>
      <c r="E163" t="inlineStr">
        <is>
          <t>ENKÖPING</t>
        </is>
      </c>
      <c r="F163" t="inlineStr">
        <is>
          <t>Allmännings- och besparingsskogar</t>
        </is>
      </c>
      <c r="G163" t="n">
        <v>3.5</v>
      </c>
      <c r="H163" t="n">
        <v>0</v>
      </c>
      <c r="I163" t="n">
        <v>0</v>
      </c>
      <c r="J163" t="n">
        <v>0</v>
      </c>
      <c r="K163" t="n">
        <v>0</v>
      </c>
      <c r="L163" t="n">
        <v>0</v>
      </c>
      <c r="M163" t="n">
        <v>0</v>
      </c>
      <c r="N163" t="n">
        <v>0</v>
      </c>
      <c r="O163" t="n">
        <v>0</v>
      </c>
      <c r="P163" t="n">
        <v>0</v>
      </c>
      <c r="Q163" t="n">
        <v>0</v>
      </c>
      <c r="R163" s="2" t="inlineStr"/>
    </row>
    <row r="164" ht="15" customHeight="1">
      <c r="A164" t="inlineStr">
        <is>
          <t>A 28518-2024</t>
        </is>
      </c>
      <c r="B164" s="1" t="n">
        <v>45477</v>
      </c>
      <c r="C164" s="1" t="n">
        <v>46003</v>
      </c>
      <c r="D164" t="inlineStr">
        <is>
          <t>UPPSALA LÄN</t>
        </is>
      </c>
      <c r="E164" t="inlineStr">
        <is>
          <t>ENKÖPING</t>
        </is>
      </c>
      <c r="G164" t="n">
        <v>3.4</v>
      </c>
      <c r="H164" t="n">
        <v>0</v>
      </c>
      <c r="I164" t="n">
        <v>0</v>
      </c>
      <c r="J164" t="n">
        <v>0</v>
      </c>
      <c r="K164" t="n">
        <v>0</v>
      </c>
      <c r="L164" t="n">
        <v>0</v>
      </c>
      <c r="M164" t="n">
        <v>0</v>
      </c>
      <c r="N164" t="n">
        <v>0</v>
      </c>
      <c r="O164" t="n">
        <v>0</v>
      </c>
      <c r="P164" t="n">
        <v>0</v>
      </c>
      <c r="Q164" t="n">
        <v>0</v>
      </c>
      <c r="R164" s="2" t="inlineStr"/>
    </row>
    <row r="165" ht="15" customHeight="1">
      <c r="A165" t="inlineStr">
        <is>
          <t>A 59602-2024</t>
        </is>
      </c>
      <c r="B165" s="1" t="n">
        <v>45638</v>
      </c>
      <c r="C165" s="1" t="n">
        <v>46003</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55876-2024</t>
        </is>
      </c>
      <c r="B166" s="1" t="n">
        <v>45623.5546412037</v>
      </c>
      <c r="C166" s="1" t="n">
        <v>46003</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13110-2023</t>
        </is>
      </c>
      <c r="B167" s="1" t="n">
        <v>45001</v>
      </c>
      <c r="C167" s="1" t="n">
        <v>46003</v>
      </c>
      <c r="D167" t="inlineStr">
        <is>
          <t>UPPSALA LÄN</t>
        </is>
      </c>
      <c r="E167" t="inlineStr">
        <is>
          <t>ENKÖPING</t>
        </is>
      </c>
      <c r="G167" t="n">
        <v>2.5</v>
      </c>
      <c r="H167" t="n">
        <v>0</v>
      </c>
      <c r="I167" t="n">
        <v>0</v>
      </c>
      <c r="J167" t="n">
        <v>0</v>
      </c>
      <c r="K167" t="n">
        <v>0</v>
      </c>
      <c r="L167" t="n">
        <v>0</v>
      </c>
      <c r="M167" t="n">
        <v>0</v>
      </c>
      <c r="N167" t="n">
        <v>0</v>
      </c>
      <c r="O167" t="n">
        <v>0</v>
      </c>
      <c r="P167" t="n">
        <v>0</v>
      </c>
      <c r="Q167" t="n">
        <v>0</v>
      </c>
      <c r="R167" s="2" t="inlineStr"/>
    </row>
    <row r="168" ht="15" customHeight="1">
      <c r="A168" t="inlineStr">
        <is>
          <t>A 49627-2024</t>
        </is>
      </c>
      <c r="B168" s="1" t="n">
        <v>45596.59140046296</v>
      </c>
      <c r="C168" s="1" t="n">
        <v>46003</v>
      </c>
      <c r="D168" t="inlineStr">
        <is>
          <t>UPPSALA LÄN</t>
        </is>
      </c>
      <c r="E168" t="inlineStr">
        <is>
          <t>ENKÖPING</t>
        </is>
      </c>
      <c r="G168" t="n">
        <v>0.4</v>
      </c>
      <c r="H168" t="n">
        <v>0</v>
      </c>
      <c r="I168" t="n">
        <v>0</v>
      </c>
      <c r="J168" t="n">
        <v>0</v>
      </c>
      <c r="K168" t="n">
        <v>0</v>
      </c>
      <c r="L168" t="n">
        <v>0</v>
      </c>
      <c r="M168" t="n">
        <v>0</v>
      </c>
      <c r="N168" t="n">
        <v>0</v>
      </c>
      <c r="O168" t="n">
        <v>0</v>
      </c>
      <c r="P168" t="n">
        <v>0</v>
      </c>
      <c r="Q168" t="n">
        <v>0</v>
      </c>
      <c r="R168" s="2" t="inlineStr"/>
    </row>
    <row r="169" ht="15" customHeight="1">
      <c r="A169" t="inlineStr">
        <is>
          <t>A 9231-2023</t>
        </is>
      </c>
      <c r="B169" s="1" t="n">
        <v>44980</v>
      </c>
      <c r="C169" s="1" t="n">
        <v>46003</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27538-2023</t>
        </is>
      </c>
      <c r="B170" s="1" t="n">
        <v>45097</v>
      </c>
      <c r="C170" s="1" t="n">
        <v>46003</v>
      </c>
      <c r="D170" t="inlineStr">
        <is>
          <t>UPPSALA LÄN</t>
        </is>
      </c>
      <c r="E170" t="inlineStr">
        <is>
          <t>ENKÖPING</t>
        </is>
      </c>
      <c r="G170" t="n">
        <v>5.8</v>
      </c>
      <c r="H170" t="n">
        <v>0</v>
      </c>
      <c r="I170" t="n">
        <v>0</v>
      </c>
      <c r="J170" t="n">
        <v>0</v>
      </c>
      <c r="K170" t="n">
        <v>0</v>
      </c>
      <c r="L170" t="n">
        <v>0</v>
      </c>
      <c r="M170" t="n">
        <v>0</v>
      </c>
      <c r="N170" t="n">
        <v>0</v>
      </c>
      <c r="O170" t="n">
        <v>0</v>
      </c>
      <c r="P170" t="n">
        <v>0</v>
      </c>
      <c r="Q170" t="n">
        <v>0</v>
      </c>
      <c r="R170" s="2" t="inlineStr"/>
    </row>
    <row r="171" ht="15" customHeight="1">
      <c r="A171" t="inlineStr">
        <is>
          <t>A 30098-2024</t>
        </is>
      </c>
      <c r="B171" s="1" t="n">
        <v>45489.41609953704</v>
      </c>
      <c r="C171" s="1" t="n">
        <v>46003</v>
      </c>
      <c r="D171" t="inlineStr">
        <is>
          <t>UPPSALA LÄN</t>
        </is>
      </c>
      <c r="E171" t="inlineStr">
        <is>
          <t>ENKÖPING</t>
        </is>
      </c>
      <c r="G171" t="n">
        <v>8.199999999999999</v>
      </c>
      <c r="H171" t="n">
        <v>0</v>
      </c>
      <c r="I171" t="n">
        <v>0</v>
      </c>
      <c r="J171" t="n">
        <v>0</v>
      </c>
      <c r="K171" t="n">
        <v>0</v>
      </c>
      <c r="L171" t="n">
        <v>0</v>
      </c>
      <c r="M171" t="n">
        <v>0</v>
      </c>
      <c r="N171" t="n">
        <v>0</v>
      </c>
      <c r="O171" t="n">
        <v>0</v>
      </c>
      <c r="P171" t="n">
        <v>0</v>
      </c>
      <c r="Q171" t="n">
        <v>0</v>
      </c>
      <c r="R171" s="2" t="inlineStr"/>
    </row>
    <row r="172" ht="15" customHeight="1">
      <c r="A172" t="inlineStr">
        <is>
          <t>A 14243-2025</t>
        </is>
      </c>
      <c r="B172" s="1" t="n">
        <v>45740.61288194444</v>
      </c>
      <c r="C172" s="1" t="n">
        <v>46003</v>
      </c>
      <c r="D172" t="inlineStr">
        <is>
          <t>UPPSALA LÄN</t>
        </is>
      </c>
      <c r="E172" t="inlineStr">
        <is>
          <t>ENKÖPING</t>
        </is>
      </c>
      <c r="G172" t="n">
        <v>2.2</v>
      </c>
      <c r="H172" t="n">
        <v>0</v>
      </c>
      <c r="I172" t="n">
        <v>0</v>
      </c>
      <c r="J172" t="n">
        <v>0</v>
      </c>
      <c r="K172" t="n">
        <v>0</v>
      </c>
      <c r="L172" t="n">
        <v>0</v>
      </c>
      <c r="M172" t="n">
        <v>0</v>
      </c>
      <c r="N172" t="n">
        <v>0</v>
      </c>
      <c r="O172" t="n">
        <v>0</v>
      </c>
      <c r="P172" t="n">
        <v>0</v>
      </c>
      <c r="Q172" t="n">
        <v>0</v>
      </c>
      <c r="R172" s="2" t="inlineStr"/>
    </row>
    <row r="173" ht="15" customHeight="1">
      <c r="A173" t="inlineStr">
        <is>
          <t>A 19488-2022</t>
        </is>
      </c>
      <c r="B173" s="1" t="n">
        <v>44693</v>
      </c>
      <c r="C173" s="1" t="n">
        <v>46003</v>
      </c>
      <c r="D173" t="inlineStr">
        <is>
          <t>UPPSALA LÄN</t>
        </is>
      </c>
      <c r="E173" t="inlineStr">
        <is>
          <t>ENKÖPING</t>
        </is>
      </c>
      <c r="G173" t="n">
        <v>7.8</v>
      </c>
      <c r="H173" t="n">
        <v>0</v>
      </c>
      <c r="I173" t="n">
        <v>0</v>
      </c>
      <c r="J173" t="n">
        <v>0</v>
      </c>
      <c r="K173" t="n">
        <v>0</v>
      </c>
      <c r="L173" t="n">
        <v>0</v>
      </c>
      <c r="M173" t="n">
        <v>0</v>
      </c>
      <c r="N173" t="n">
        <v>0</v>
      </c>
      <c r="O173" t="n">
        <v>0</v>
      </c>
      <c r="P173" t="n">
        <v>0</v>
      </c>
      <c r="Q173" t="n">
        <v>0</v>
      </c>
      <c r="R173" s="2" t="inlineStr"/>
    </row>
    <row r="174" ht="15" customHeight="1">
      <c r="A174" t="inlineStr">
        <is>
          <t>A 25334-2023</t>
        </is>
      </c>
      <c r="B174" s="1" t="n">
        <v>45083</v>
      </c>
      <c r="C174" s="1" t="n">
        <v>46003</v>
      </c>
      <c r="D174" t="inlineStr">
        <is>
          <t>UPPSALA LÄN</t>
        </is>
      </c>
      <c r="E174" t="inlineStr">
        <is>
          <t>ENKÖPING</t>
        </is>
      </c>
      <c r="G174" t="n">
        <v>0.2</v>
      </c>
      <c r="H174" t="n">
        <v>0</v>
      </c>
      <c r="I174" t="n">
        <v>0</v>
      </c>
      <c r="J174" t="n">
        <v>0</v>
      </c>
      <c r="K174" t="n">
        <v>0</v>
      </c>
      <c r="L174" t="n">
        <v>0</v>
      </c>
      <c r="M174" t="n">
        <v>0</v>
      </c>
      <c r="N174" t="n">
        <v>0</v>
      </c>
      <c r="O174" t="n">
        <v>0</v>
      </c>
      <c r="P174" t="n">
        <v>0</v>
      </c>
      <c r="Q174" t="n">
        <v>0</v>
      </c>
      <c r="R174" s="2" t="inlineStr"/>
    </row>
    <row r="175" ht="15" customHeight="1">
      <c r="A175" t="inlineStr">
        <is>
          <t>A 33349-2024</t>
        </is>
      </c>
      <c r="B175" s="1" t="n">
        <v>45519</v>
      </c>
      <c r="C175" s="1" t="n">
        <v>46003</v>
      </c>
      <c r="D175" t="inlineStr">
        <is>
          <t>UPPSALA LÄN</t>
        </is>
      </c>
      <c r="E175" t="inlineStr">
        <is>
          <t>ENKÖPING</t>
        </is>
      </c>
      <c r="G175" t="n">
        <v>3.6</v>
      </c>
      <c r="H175" t="n">
        <v>0</v>
      </c>
      <c r="I175" t="n">
        <v>0</v>
      </c>
      <c r="J175" t="n">
        <v>0</v>
      </c>
      <c r="K175" t="n">
        <v>0</v>
      </c>
      <c r="L175" t="n">
        <v>0</v>
      </c>
      <c r="M175" t="n">
        <v>0</v>
      </c>
      <c r="N175" t="n">
        <v>0</v>
      </c>
      <c r="O175" t="n">
        <v>0</v>
      </c>
      <c r="P175" t="n">
        <v>0</v>
      </c>
      <c r="Q175" t="n">
        <v>0</v>
      </c>
      <c r="R175" s="2" t="inlineStr"/>
    </row>
    <row r="176" ht="15" customHeight="1">
      <c r="A176" t="inlineStr">
        <is>
          <t>A 1651-2024</t>
        </is>
      </c>
      <c r="B176" s="1" t="n">
        <v>45306.73770833333</v>
      </c>
      <c r="C176" s="1" t="n">
        <v>46003</v>
      </c>
      <c r="D176" t="inlineStr">
        <is>
          <t>UPPSALA LÄN</t>
        </is>
      </c>
      <c r="E176" t="inlineStr">
        <is>
          <t>ENKÖPING</t>
        </is>
      </c>
      <c r="G176" t="n">
        <v>10.2</v>
      </c>
      <c r="H176" t="n">
        <v>0</v>
      </c>
      <c r="I176" t="n">
        <v>0</v>
      </c>
      <c r="J176" t="n">
        <v>0</v>
      </c>
      <c r="K176" t="n">
        <v>0</v>
      </c>
      <c r="L176" t="n">
        <v>0</v>
      </c>
      <c r="M176" t="n">
        <v>0</v>
      </c>
      <c r="N176" t="n">
        <v>0</v>
      </c>
      <c r="O176" t="n">
        <v>0</v>
      </c>
      <c r="P176" t="n">
        <v>0</v>
      </c>
      <c r="Q176" t="n">
        <v>0</v>
      </c>
      <c r="R176" s="2" t="inlineStr"/>
    </row>
    <row r="177" ht="15" customHeight="1">
      <c r="A177" t="inlineStr">
        <is>
          <t>A 60289-2022</t>
        </is>
      </c>
      <c r="B177" s="1" t="n">
        <v>44910.53026620371</v>
      </c>
      <c r="C177" s="1" t="n">
        <v>46003</v>
      </c>
      <c r="D177" t="inlineStr">
        <is>
          <t>UPPSALA LÄN</t>
        </is>
      </c>
      <c r="E177" t="inlineStr">
        <is>
          <t>ENKÖPING</t>
        </is>
      </c>
      <c r="G177" t="n">
        <v>3.2</v>
      </c>
      <c r="H177" t="n">
        <v>0</v>
      </c>
      <c r="I177" t="n">
        <v>0</v>
      </c>
      <c r="J177" t="n">
        <v>0</v>
      </c>
      <c r="K177" t="n">
        <v>0</v>
      </c>
      <c r="L177" t="n">
        <v>0</v>
      </c>
      <c r="M177" t="n">
        <v>0</v>
      </c>
      <c r="N177" t="n">
        <v>0</v>
      </c>
      <c r="O177" t="n">
        <v>0</v>
      </c>
      <c r="P177" t="n">
        <v>0</v>
      </c>
      <c r="Q177" t="n">
        <v>0</v>
      </c>
      <c r="R177" s="2" t="inlineStr"/>
    </row>
    <row r="178" ht="15" customHeight="1">
      <c r="A178" t="inlineStr">
        <is>
          <t>A 41826-2024</t>
        </is>
      </c>
      <c r="B178" s="1" t="n">
        <v>45561</v>
      </c>
      <c r="C178" s="1" t="n">
        <v>46003</v>
      </c>
      <c r="D178" t="inlineStr">
        <is>
          <t>UPPSALA LÄN</t>
        </is>
      </c>
      <c r="E178" t="inlineStr">
        <is>
          <t>ENKÖPING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16916-2022</t>
        </is>
      </c>
      <c r="B179" s="1" t="n">
        <v>44676</v>
      </c>
      <c r="C179" s="1" t="n">
        <v>46003</v>
      </c>
      <c r="D179" t="inlineStr">
        <is>
          <t>UPPSALA LÄN</t>
        </is>
      </c>
      <c r="E179" t="inlineStr">
        <is>
          <t>ENKÖPING</t>
        </is>
      </c>
      <c r="G179" t="n">
        <v>1</v>
      </c>
      <c r="H179" t="n">
        <v>0</v>
      </c>
      <c r="I179" t="n">
        <v>0</v>
      </c>
      <c r="J179" t="n">
        <v>0</v>
      </c>
      <c r="K179" t="n">
        <v>0</v>
      </c>
      <c r="L179" t="n">
        <v>0</v>
      </c>
      <c r="M179" t="n">
        <v>0</v>
      </c>
      <c r="N179" t="n">
        <v>0</v>
      </c>
      <c r="O179" t="n">
        <v>0</v>
      </c>
      <c r="P179" t="n">
        <v>0</v>
      </c>
      <c r="Q179" t="n">
        <v>0</v>
      </c>
      <c r="R179" s="2" t="inlineStr"/>
    </row>
    <row r="180" ht="15" customHeight="1">
      <c r="A180" t="inlineStr">
        <is>
          <t>A 18821-2023</t>
        </is>
      </c>
      <c r="B180" s="1" t="n">
        <v>45044.3782175926</v>
      </c>
      <c r="C180" s="1" t="n">
        <v>46003</v>
      </c>
      <c r="D180" t="inlineStr">
        <is>
          <t>UPPSALA LÄN</t>
        </is>
      </c>
      <c r="E180" t="inlineStr">
        <is>
          <t>ENKÖPING</t>
        </is>
      </c>
      <c r="G180" t="n">
        <v>6</v>
      </c>
      <c r="H180" t="n">
        <v>0</v>
      </c>
      <c r="I180" t="n">
        <v>0</v>
      </c>
      <c r="J180" t="n">
        <v>0</v>
      </c>
      <c r="K180" t="n">
        <v>0</v>
      </c>
      <c r="L180" t="n">
        <v>0</v>
      </c>
      <c r="M180" t="n">
        <v>0</v>
      </c>
      <c r="N180" t="n">
        <v>0</v>
      </c>
      <c r="O180" t="n">
        <v>0</v>
      </c>
      <c r="P180" t="n">
        <v>0</v>
      </c>
      <c r="Q180" t="n">
        <v>0</v>
      </c>
      <c r="R180" s="2" t="inlineStr"/>
    </row>
    <row r="181" ht="15" customHeight="1">
      <c r="A181" t="inlineStr">
        <is>
          <t>A 53587-2024</t>
        </is>
      </c>
      <c r="B181" s="1" t="n">
        <v>45614.66953703704</v>
      </c>
      <c r="C181" s="1" t="n">
        <v>46003</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44115-2024</t>
        </is>
      </c>
      <c r="B182" s="1" t="n">
        <v>45572</v>
      </c>
      <c r="C182" s="1" t="n">
        <v>46003</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52380-2024</t>
        </is>
      </c>
      <c r="B183" s="1" t="n">
        <v>45609</v>
      </c>
      <c r="C183" s="1" t="n">
        <v>46003</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31242-2024</t>
        </is>
      </c>
      <c r="B184" s="1" t="n">
        <v>45503</v>
      </c>
      <c r="C184" s="1" t="n">
        <v>46003</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30634-2022</t>
        </is>
      </c>
      <c r="B185" s="1" t="n">
        <v>44763.45711805556</v>
      </c>
      <c r="C185" s="1" t="n">
        <v>46003</v>
      </c>
      <c r="D185" t="inlineStr">
        <is>
          <t>UPPSALA LÄN</t>
        </is>
      </c>
      <c r="E185" t="inlineStr">
        <is>
          <t>ENKÖPING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9041-2023</t>
        </is>
      </c>
      <c r="B186" s="1" t="n">
        <v>44979</v>
      </c>
      <c r="C186" s="1" t="n">
        <v>46003</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2162-2023</t>
        </is>
      </c>
      <c r="B187" s="1" t="n">
        <v>44941</v>
      </c>
      <c r="C187" s="1" t="n">
        <v>46003</v>
      </c>
      <c r="D187" t="inlineStr">
        <is>
          <t>UPPSALA LÄN</t>
        </is>
      </c>
      <c r="E187" t="inlineStr">
        <is>
          <t>ENKÖPING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56163-2021</t>
        </is>
      </c>
      <c r="B188" s="1" t="n">
        <v>44477</v>
      </c>
      <c r="C188" s="1" t="n">
        <v>46003</v>
      </c>
      <c r="D188" t="inlineStr">
        <is>
          <t>UPPSALA LÄN</t>
        </is>
      </c>
      <c r="E188" t="inlineStr">
        <is>
          <t>ENKÖPING</t>
        </is>
      </c>
      <c r="F188" t="inlineStr">
        <is>
          <t>Allmännings- och besparingsskogar</t>
        </is>
      </c>
      <c r="G188" t="n">
        <v>0.6</v>
      </c>
      <c r="H188" t="n">
        <v>0</v>
      </c>
      <c r="I188" t="n">
        <v>0</v>
      </c>
      <c r="J188" t="n">
        <v>0</v>
      </c>
      <c r="K188" t="n">
        <v>0</v>
      </c>
      <c r="L188" t="n">
        <v>0</v>
      </c>
      <c r="M188" t="n">
        <v>0</v>
      </c>
      <c r="N188" t="n">
        <v>0</v>
      </c>
      <c r="O188" t="n">
        <v>0</v>
      </c>
      <c r="P188" t="n">
        <v>0</v>
      </c>
      <c r="Q188" t="n">
        <v>0</v>
      </c>
      <c r="R188" s="2" t="inlineStr"/>
    </row>
    <row r="189" ht="15" customHeight="1">
      <c r="A189" t="inlineStr">
        <is>
          <t>A 27786-2023</t>
        </is>
      </c>
      <c r="B189" s="1" t="n">
        <v>45098</v>
      </c>
      <c r="C189" s="1" t="n">
        <v>46003</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18583-2021</t>
        </is>
      </c>
      <c r="B190" s="1" t="n">
        <v>44306</v>
      </c>
      <c r="C190" s="1" t="n">
        <v>46003</v>
      </c>
      <c r="D190" t="inlineStr">
        <is>
          <t>UPPSALA LÄN</t>
        </is>
      </c>
      <c r="E190" t="inlineStr">
        <is>
          <t>ENKÖPING</t>
        </is>
      </c>
      <c r="G190" t="n">
        <v>0.4</v>
      </c>
      <c r="H190" t="n">
        <v>0</v>
      </c>
      <c r="I190" t="n">
        <v>0</v>
      </c>
      <c r="J190" t="n">
        <v>0</v>
      </c>
      <c r="K190" t="n">
        <v>0</v>
      </c>
      <c r="L190" t="n">
        <v>0</v>
      </c>
      <c r="M190" t="n">
        <v>0</v>
      </c>
      <c r="N190" t="n">
        <v>0</v>
      </c>
      <c r="O190" t="n">
        <v>0</v>
      </c>
      <c r="P190" t="n">
        <v>0</v>
      </c>
      <c r="Q190" t="n">
        <v>0</v>
      </c>
      <c r="R190" s="2" t="inlineStr"/>
    </row>
    <row r="191" ht="15" customHeight="1">
      <c r="A191" t="inlineStr">
        <is>
          <t>A 28318-2024</t>
        </is>
      </c>
      <c r="B191" s="1" t="n">
        <v>45477</v>
      </c>
      <c r="C191" s="1" t="n">
        <v>46003</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60125-2024</t>
        </is>
      </c>
      <c r="B192" s="1" t="n">
        <v>45642</v>
      </c>
      <c r="C192" s="1" t="n">
        <v>46003</v>
      </c>
      <c r="D192" t="inlineStr">
        <is>
          <t>UPPSALA LÄN</t>
        </is>
      </c>
      <c r="E192" t="inlineStr">
        <is>
          <t>ENKÖPING</t>
        </is>
      </c>
      <c r="G192" t="n">
        <v>2.1</v>
      </c>
      <c r="H192" t="n">
        <v>0</v>
      </c>
      <c r="I192" t="n">
        <v>0</v>
      </c>
      <c r="J192" t="n">
        <v>0</v>
      </c>
      <c r="K192" t="n">
        <v>0</v>
      </c>
      <c r="L192" t="n">
        <v>0</v>
      </c>
      <c r="M192" t="n">
        <v>0</v>
      </c>
      <c r="N192" t="n">
        <v>0</v>
      </c>
      <c r="O192" t="n">
        <v>0</v>
      </c>
      <c r="P192" t="n">
        <v>0</v>
      </c>
      <c r="Q192" t="n">
        <v>0</v>
      </c>
      <c r="R192" s="2" t="inlineStr"/>
    </row>
    <row r="193" ht="15" customHeight="1">
      <c r="A193" t="inlineStr">
        <is>
          <t>A 3300-2025</t>
        </is>
      </c>
      <c r="B193" s="1" t="n">
        <v>45679</v>
      </c>
      <c r="C193" s="1" t="n">
        <v>46003</v>
      </c>
      <c r="D193" t="inlineStr">
        <is>
          <t>UPPSALA LÄN</t>
        </is>
      </c>
      <c r="E193" t="inlineStr">
        <is>
          <t>ENKÖPING</t>
        </is>
      </c>
      <c r="G193" t="n">
        <v>8.9</v>
      </c>
      <c r="H193" t="n">
        <v>0</v>
      </c>
      <c r="I193" t="n">
        <v>0</v>
      </c>
      <c r="J193" t="n">
        <v>0</v>
      </c>
      <c r="K193" t="n">
        <v>0</v>
      </c>
      <c r="L193" t="n">
        <v>0</v>
      </c>
      <c r="M193" t="n">
        <v>0</v>
      </c>
      <c r="N193" t="n">
        <v>0</v>
      </c>
      <c r="O193" t="n">
        <v>0</v>
      </c>
      <c r="P193" t="n">
        <v>0</v>
      </c>
      <c r="Q193" t="n">
        <v>0</v>
      </c>
      <c r="R193" s="2" t="inlineStr"/>
    </row>
    <row r="194" ht="15" customHeight="1">
      <c r="A194" t="inlineStr">
        <is>
          <t>A 1695-2025</t>
        </is>
      </c>
      <c r="B194" s="1" t="n">
        <v>45670</v>
      </c>
      <c r="C194" s="1" t="n">
        <v>46003</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59027-2024</t>
        </is>
      </c>
      <c r="B195" s="1" t="n">
        <v>45636.68755787037</v>
      </c>
      <c r="C195" s="1" t="n">
        <v>46003</v>
      </c>
      <c r="D195" t="inlineStr">
        <is>
          <t>UPPSALA LÄN</t>
        </is>
      </c>
      <c r="E195" t="inlineStr">
        <is>
          <t>ENKÖPING</t>
        </is>
      </c>
      <c r="G195" t="n">
        <v>1.1</v>
      </c>
      <c r="H195" t="n">
        <v>0</v>
      </c>
      <c r="I195" t="n">
        <v>0</v>
      </c>
      <c r="J195" t="n">
        <v>0</v>
      </c>
      <c r="K195" t="n">
        <v>0</v>
      </c>
      <c r="L195" t="n">
        <v>0</v>
      </c>
      <c r="M195" t="n">
        <v>0</v>
      </c>
      <c r="N195" t="n">
        <v>0</v>
      </c>
      <c r="O195" t="n">
        <v>0</v>
      </c>
      <c r="P195" t="n">
        <v>0</v>
      </c>
      <c r="Q195" t="n">
        <v>0</v>
      </c>
      <c r="R195" s="2" t="inlineStr"/>
    </row>
    <row r="196" ht="15" customHeight="1">
      <c r="A196" t="inlineStr">
        <is>
          <t>A 14402-2023</t>
        </is>
      </c>
      <c r="B196" s="1" t="n">
        <v>45012</v>
      </c>
      <c r="C196" s="1" t="n">
        <v>46003</v>
      </c>
      <c r="D196" t="inlineStr">
        <is>
          <t>UPPSALA LÄN</t>
        </is>
      </c>
      <c r="E196" t="inlineStr">
        <is>
          <t>ENKÖPING</t>
        </is>
      </c>
      <c r="G196" t="n">
        <v>9.5</v>
      </c>
      <c r="H196" t="n">
        <v>0</v>
      </c>
      <c r="I196" t="n">
        <v>0</v>
      </c>
      <c r="J196" t="n">
        <v>0</v>
      </c>
      <c r="K196" t="n">
        <v>0</v>
      </c>
      <c r="L196" t="n">
        <v>0</v>
      </c>
      <c r="M196" t="n">
        <v>0</v>
      </c>
      <c r="N196" t="n">
        <v>0</v>
      </c>
      <c r="O196" t="n">
        <v>0</v>
      </c>
      <c r="P196" t="n">
        <v>0</v>
      </c>
      <c r="Q196" t="n">
        <v>0</v>
      </c>
      <c r="R196" s="2" t="inlineStr"/>
    </row>
    <row r="197" ht="15" customHeight="1">
      <c r="A197" t="inlineStr">
        <is>
          <t>A 42564-2024</t>
        </is>
      </c>
      <c r="B197" s="1" t="n">
        <v>45565.63358796296</v>
      </c>
      <c r="C197" s="1" t="n">
        <v>46003</v>
      </c>
      <c r="D197" t="inlineStr">
        <is>
          <t>UPPSALA LÄN</t>
        </is>
      </c>
      <c r="E197" t="inlineStr">
        <is>
          <t>ENKÖPING</t>
        </is>
      </c>
      <c r="G197" t="n">
        <v>1.7</v>
      </c>
      <c r="H197" t="n">
        <v>0</v>
      </c>
      <c r="I197" t="n">
        <v>0</v>
      </c>
      <c r="J197" t="n">
        <v>0</v>
      </c>
      <c r="K197" t="n">
        <v>0</v>
      </c>
      <c r="L197" t="n">
        <v>0</v>
      </c>
      <c r="M197" t="n">
        <v>0</v>
      </c>
      <c r="N197" t="n">
        <v>0</v>
      </c>
      <c r="O197" t="n">
        <v>0</v>
      </c>
      <c r="P197" t="n">
        <v>0</v>
      </c>
      <c r="Q197" t="n">
        <v>0</v>
      </c>
      <c r="R197" s="2" t="inlineStr"/>
    </row>
    <row r="198" ht="15" customHeight="1">
      <c r="A198" t="inlineStr">
        <is>
          <t>A 39115-2024</t>
        </is>
      </c>
      <c r="B198" s="1" t="n">
        <v>45548</v>
      </c>
      <c r="C198" s="1" t="n">
        <v>46003</v>
      </c>
      <c r="D198" t="inlineStr">
        <is>
          <t>UPPSALA LÄN</t>
        </is>
      </c>
      <c r="E198" t="inlineStr">
        <is>
          <t>ENKÖPING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3235-2025</t>
        </is>
      </c>
      <c r="B199" s="1" t="n">
        <v>45679</v>
      </c>
      <c r="C199" s="1" t="n">
        <v>46003</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12020-2024</t>
        </is>
      </c>
      <c r="B200" s="1" t="n">
        <v>45377</v>
      </c>
      <c r="C200" s="1" t="n">
        <v>46003</v>
      </c>
      <c r="D200" t="inlineStr">
        <is>
          <t>UPPSALA LÄN</t>
        </is>
      </c>
      <c r="E200" t="inlineStr">
        <is>
          <t>ENKÖPING</t>
        </is>
      </c>
      <c r="G200" t="n">
        <v>2</v>
      </c>
      <c r="H200" t="n">
        <v>0</v>
      </c>
      <c r="I200" t="n">
        <v>0</v>
      </c>
      <c r="J200" t="n">
        <v>0</v>
      </c>
      <c r="K200" t="n">
        <v>0</v>
      </c>
      <c r="L200" t="n">
        <v>0</v>
      </c>
      <c r="M200" t="n">
        <v>0</v>
      </c>
      <c r="N200" t="n">
        <v>0</v>
      </c>
      <c r="O200" t="n">
        <v>0</v>
      </c>
      <c r="P200" t="n">
        <v>0</v>
      </c>
      <c r="Q200" t="n">
        <v>0</v>
      </c>
      <c r="R200" s="2" t="inlineStr"/>
    </row>
    <row r="201" ht="15" customHeight="1">
      <c r="A201" t="inlineStr">
        <is>
          <t>A 15711-2025</t>
        </is>
      </c>
      <c r="B201" s="1" t="n">
        <v>45748</v>
      </c>
      <c r="C201" s="1" t="n">
        <v>46003</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51120-2023</t>
        </is>
      </c>
      <c r="B202" s="1" t="n">
        <v>45219.3088425926</v>
      </c>
      <c r="C202" s="1" t="n">
        <v>46003</v>
      </c>
      <c r="D202" t="inlineStr">
        <is>
          <t>UPPSALA LÄN</t>
        </is>
      </c>
      <c r="E202" t="inlineStr">
        <is>
          <t>ENKÖPING</t>
        </is>
      </c>
      <c r="G202" t="n">
        <v>1.4</v>
      </c>
      <c r="H202" t="n">
        <v>0</v>
      </c>
      <c r="I202" t="n">
        <v>0</v>
      </c>
      <c r="J202" t="n">
        <v>0</v>
      </c>
      <c r="K202" t="n">
        <v>0</v>
      </c>
      <c r="L202" t="n">
        <v>0</v>
      </c>
      <c r="M202" t="n">
        <v>0</v>
      </c>
      <c r="N202" t="n">
        <v>0</v>
      </c>
      <c r="O202" t="n">
        <v>0</v>
      </c>
      <c r="P202" t="n">
        <v>0</v>
      </c>
      <c r="Q202" t="n">
        <v>0</v>
      </c>
      <c r="R202" s="2" t="inlineStr"/>
    </row>
    <row r="203" ht="15" customHeight="1">
      <c r="A203" t="inlineStr">
        <is>
          <t>A 26319-2022</t>
        </is>
      </c>
      <c r="B203" s="1" t="n">
        <v>44735</v>
      </c>
      <c r="C203" s="1" t="n">
        <v>46003</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54357-2023</t>
        </is>
      </c>
      <c r="B204" s="1" t="n">
        <v>45225</v>
      </c>
      <c r="C204" s="1" t="n">
        <v>46003</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4203-2021</t>
        </is>
      </c>
      <c r="B205" s="1" t="n">
        <v>44223</v>
      </c>
      <c r="C205" s="1" t="n">
        <v>46003</v>
      </c>
      <c r="D205" t="inlineStr">
        <is>
          <t>UPPSALA LÄN</t>
        </is>
      </c>
      <c r="E205" t="inlineStr">
        <is>
          <t>ENKÖPING</t>
        </is>
      </c>
      <c r="G205" t="n">
        <v>11.6</v>
      </c>
      <c r="H205" t="n">
        <v>0</v>
      </c>
      <c r="I205" t="n">
        <v>0</v>
      </c>
      <c r="J205" t="n">
        <v>0</v>
      </c>
      <c r="K205" t="n">
        <v>0</v>
      </c>
      <c r="L205" t="n">
        <v>0</v>
      </c>
      <c r="M205" t="n">
        <v>0</v>
      </c>
      <c r="N205" t="n">
        <v>0</v>
      </c>
      <c r="O205" t="n">
        <v>0</v>
      </c>
      <c r="P205" t="n">
        <v>0</v>
      </c>
      <c r="Q205" t="n">
        <v>0</v>
      </c>
      <c r="R205" s="2" t="inlineStr"/>
    </row>
    <row r="206" ht="15" customHeight="1">
      <c r="A206" t="inlineStr">
        <is>
          <t>A 6959-2025</t>
        </is>
      </c>
      <c r="B206" s="1" t="n">
        <v>45701.49315972222</v>
      </c>
      <c r="C206" s="1" t="n">
        <v>46003</v>
      </c>
      <c r="D206" t="inlineStr">
        <is>
          <t>UPPSALA LÄN</t>
        </is>
      </c>
      <c r="E206" t="inlineStr">
        <is>
          <t>ENKÖPING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67765-2020</t>
        </is>
      </c>
      <c r="B207" s="1" t="n">
        <v>44182</v>
      </c>
      <c r="C207" s="1" t="n">
        <v>46003</v>
      </c>
      <c r="D207" t="inlineStr">
        <is>
          <t>UPPSALA LÄN</t>
        </is>
      </c>
      <c r="E207" t="inlineStr">
        <is>
          <t>ENKÖPING</t>
        </is>
      </c>
      <c r="G207" t="n">
        <v>3.6</v>
      </c>
      <c r="H207" t="n">
        <v>0</v>
      </c>
      <c r="I207" t="n">
        <v>0</v>
      </c>
      <c r="J207" t="n">
        <v>0</v>
      </c>
      <c r="K207" t="n">
        <v>0</v>
      </c>
      <c r="L207" t="n">
        <v>0</v>
      </c>
      <c r="M207" t="n">
        <v>0</v>
      </c>
      <c r="N207" t="n">
        <v>0</v>
      </c>
      <c r="O207" t="n">
        <v>0</v>
      </c>
      <c r="P207" t="n">
        <v>0</v>
      </c>
      <c r="Q207" t="n">
        <v>0</v>
      </c>
      <c r="R207" s="2" t="inlineStr"/>
    </row>
    <row r="208" ht="15" customHeight="1">
      <c r="A208" t="inlineStr">
        <is>
          <t>A 69344-2021</t>
        </is>
      </c>
      <c r="B208" s="1" t="n">
        <v>44531</v>
      </c>
      <c r="C208" s="1" t="n">
        <v>46003</v>
      </c>
      <c r="D208" t="inlineStr">
        <is>
          <t>UPPSALA LÄN</t>
        </is>
      </c>
      <c r="E208" t="inlineStr">
        <is>
          <t>ENKÖPING</t>
        </is>
      </c>
      <c r="G208" t="n">
        <v>2.9</v>
      </c>
      <c r="H208" t="n">
        <v>0</v>
      </c>
      <c r="I208" t="n">
        <v>0</v>
      </c>
      <c r="J208" t="n">
        <v>0</v>
      </c>
      <c r="K208" t="n">
        <v>0</v>
      </c>
      <c r="L208" t="n">
        <v>0</v>
      </c>
      <c r="M208" t="n">
        <v>0</v>
      </c>
      <c r="N208" t="n">
        <v>0</v>
      </c>
      <c r="O208" t="n">
        <v>0</v>
      </c>
      <c r="P208" t="n">
        <v>0</v>
      </c>
      <c r="Q208" t="n">
        <v>0</v>
      </c>
      <c r="R208" s="2" t="inlineStr"/>
    </row>
    <row r="209" ht="15" customHeight="1">
      <c r="A209" t="inlineStr">
        <is>
          <t>A 17165-2025</t>
        </is>
      </c>
      <c r="B209" s="1" t="n">
        <v>45756</v>
      </c>
      <c r="C209" s="1" t="n">
        <v>46003</v>
      </c>
      <c r="D209" t="inlineStr">
        <is>
          <t>UPPSALA LÄN</t>
        </is>
      </c>
      <c r="E209" t="inlineStr">
        <is>
          <t>ENKÖPING</t>
        </is>
      </c>
      <c r="G209" t="n">
        <v>0.9</v>
      </c>
      <c r="H209" t="n">
        <v>0</v>
      </c>
      <c r="I209" t="n">
        <v>0</v>
      </c>
      <c r="J209" t="n">
        <v>0</v>
      </c>
      <c r="K209" t="n">
        <v>0</v>
      </c>
      <c r="L209" t="n">
        <v>0</v>
      </c>
      <c r="M209" t="n">
        <v>0</v>
      </c>
      <c r="N209" t="n">
        <v>0</v>
      </c>
      <c r="O209" t="n">
        <v>0</v>
      </c>
      <c r="P209" t="n">
        <v>0</v>
      </c>
      <c r="Q209" t="n">
        <v>0</v>
      </c>
      <c r="R209" s="2" t="inlineStr"/>
    </row>
    <row r="210" ht="15" customHeight="1">
      <c r="A210" t="inlineStr">
        <is>
          <t>A 13816-2021</t>
        </is>
      </c>
      <c r="B210" s="1" t="n">
        <v>44276</v>
      </c>
      <c r="C210" s="1" t="n">
        <v>46003</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34124-2021</t>
        </is>
      </c>
      <c r="B211" s="1" t="n">
        <v>44379</v>
      </c>
      <c r="C211" s="1" t="n">
        <v>46003</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43697-2024</t>
        </is>
      </c>
      <c r="B212" s="1" t="n">
        <v>45569</v>
      </c>
      <c r="C212" s="1" t="n">
        <v>46003</v>
      </c>
      <c r="D212" t="inlineStr">
        <is>
          <t>UPPSALA LÄN</t>
        </is>
      </c>
      <c r="E212" t="inlineStr">
        <is>
          <t>ENKÖPING</t>
        </is>
      </c>
      <c r="G212" t="n">
        <v>2.1</v>
      </c>
      <c r="H212" t="n">
        <v>0</v>
      </c>
      <c r="I212" t="n">
        <v>0</v>
      </c>
      <c r="J212" t="n">
        <v>0</v>
      </c>
      <c r="K212" t="n">
        <v>0</v>
      </c>
      <c r="L212" t="n">
        <v>0</v>
      </c>
      <c r="M212" t="n">
        <v>0</v>
      </c>
      <c r="N212" t="n">
        <v>0</v>
      </c>
      <c r="O212" t="n">
        <v>0</v>
      </c>
      <c r="P212" t="n">
        <v>0</v>
      </c>
      <c r="Q212" t="n">
        <v>0</v>
      </c>
      <c r="R212" s="2" t="inlineStr"/>
    </row>
    <row r="213" ht="15" customHeight="1">
      <c r="A213" t="inlineStr">
        <is>
          <t>A 15942-2022</t>
        </is>
      </c>
      <c r="B213" s="1" t="n">
        <v>44664</v>
      </c>
      <c r="C213" s="1" t="n">
        <v>46003</v>
      </c>
      <c r="D213" t="inlineStr">
        <is>
          <t>UPPSALA LÄN</t>
        </is>
      </c>
      <c r="E213" t="inlineStr">
        <is>
          <t>ENKÖPING</t>
        </is>
      </c>
      <c r="G213" t="n">
        <v>6.6</v>
      </c>
      <c r="H213" t="n">
        <v>0</v>
      </c>
      <c r="I213" t="n">
        <v>0</v>
      </c>
      <c r="J213" t="n">
        <v>0</v>
      </c>
      <c r="K213" t="n">
        <v>0</v>
      </c>
      <c r="L213" t="n">
        <v>0</v>
      </c>
      <c r="M213" t="n">
        <v>0</v>
      </c>
      <c r="N213" t="n">
        <v>0</v>
      </c>
      <c r="O213" t="n">
        <v>0</v>
      </c>
      <c r="P213" t="n">
        <v>0</v>
      </c>
      <c r="Q213" t="n">
        <v>0</v>
      </c>
      <c r="R213" s="2" t="inlineStr"/>
    </row>
    <row r="214" ht="15" customHeight="1">
      <c r="A214" t="inlineStr">
        <is>
          <t>A 63402-2023</t>
        </is>
      </c>
      <c r="B214" s="1" t="n">
        <v>45274.50646990741</v>
      </c>
      <c r="C214" s="1" t="n">
        <v>46003</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27983-2024</t>
        </is>
      </c>
      <c r="B215" s="1" t="n">
        <v>45476</v>
      </c>
      <c r="C215" s="1" t="n">
        <v>46003</v>
      </c>
      <c r="D215" t="inlineStr">
        <is>
          <t>UPPSALA LÄN</t>
        </is>
      </c>
      <c r="E215" t="inlineStr">
        <is>
          <t>ENKÖPING</t>
        </is>
      </c>
      <c r="G215" t="n">
        <v>3.2</v>
      </c>
      <c r="H215" t="n">
        <v>0</v>
      </c>
      <c r="I215" t="n">
        <v>0</v>
      </c>
      <c r="J215" t="n">
        <v>0</v>
      </c>
      <c r="K215" t="n">
        <v>0</v>
      </c>
      <c r="L215" t="n">
        <v>0</v>
      </c>
      <c r="M215" t="n">
        <v>0</v>
      </c>
      <c r="N215" t="n">
        <v>0</v>
      </c>
      <c r="O215" t="n">
        <v>0</v>
      </c>
      <c r="P215" t="n">
        <v>0</v>
      </c>
      <c r="Q215" t="n">
        <v>0</v>
      </c>
      <c r="R215" s="2" t="inlineStr"/>
    </row>
    <row r="216" ht="15" customHeight="1">
      <c r="A216" t="inlineStr">
        <is>
          <t>A 51010-2024</t>
        </is>
      </c>
      <c r="B216" s="1" t="n">
        <v>45603.39285879629</v>
      </c>
      <c r="C216" s="1" t="n">
        <v>46003</v>
      </c>
      <c r="D216" t="inlineStr">
        <is>
          <t>UPPSALA LÄN</t>
        </is>
      </c>
      <c r="E216" t="inlineStr">
        <is>
          <t>ENKÖPING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53208-2023</t>
        </is>
      </c>
      <c r="B217" s="1" t="n">
        <v>45226</v>
      </c>
      <c r="C217" s="1" t="n">
        <v>46003</v>
      </c>
      <c r="D217" t="inlineStr">
        <is>
          <t>UPPSALA LÄN</t>
        </is>
      </c>
      <c r="E217" t="inlineStr">
        <is>
          <t>ENKÖPING</t>
        </is>
      </c>
      <c r="G217" t="n">
        <v>4.3</v>
      </c>
      <c r="H217" t="n">
        <v>0</v>
      </c>
      <c r="I217" t="n">
        <v>0</v>
      </c>
      <c r="J217" t="n">
        <v>0</v>
      </c>
      <c r="K217" t="n">
        <v>0</v>
      </c>
      <c r="L217" t="n">
        <v>0</v>
      </c>
      <c r="M217" t="n">
        <v>0</v>
      </c>
      <c r="N217" t="n">
        <v>0</v>
      </c>
      <c r="O217" t="n">
        <v>0</v>
      </c>
      <c r="P217" t="n">
        <v>0</v>
      </c>
      <c r="Q217" t="n">
        <v>0</v>
      </c>
      <c r="R217" s="2" t="inlineStr"/>
    </row>
    <row r="218" ht="15" customHeight="1">
      <c r="A218" t="inlineStr">
        <is>
          <t>A 52299-2023</t>
        </is>
      </c>
      <c r="B218" s="1" t="n">
        <v>45224.61636574074</v>
      </c>
      <c r="C218" s="1" t="n">
        <v>46003</v>
      </c>
      <c r="D218" t="inlineStr">
        <is>
          <t>UPPSALA LÄN</t>
        </is>
      </c>
      <c r="E218" t="inlineStr">
        <is>
          <t>ENKÖPING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25598-2021</t>
        </is>
      </c>
      <c r="B219" s="1" t="n">
        <v>44343.4558912037</v>
      </c>
      <c r="C219" s="1" t="n">
        <v>46003</v>
      </c>
      <c r="D219" t="inlineStr">
        <is>
          <t>UPPSALA LÄN</t>
        </is>
      </c>
      <c r="E219" t="inlineStr">
        <is>
          <t>ENKÖPING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32081-2024</t>
        </is>
      </c>
      <c r="B220" s="1" t="n">
        <v>45511.34605324074</v>
      </c>
      <c r="C220" s="1" t="n">
        <v>46003</v>
      </c>
      <c r="D220" t="inlineStr">
        <is>
          <t>UPPSALA LÄN</t>
        </is>
      </c>
      <c r="E220" t="inlineStr">
        <is>
          <t>ENKÖPING</t>
        </is>
      </c>
      <c r="G220" t="n">
        <v>5.4</v>
      </c>
      <c r="H220" t="n">
        <v>0</v>
      </c>
      <c r="I220" t="n">
        <v>0</v>
      </c>
      <c r="J220" t="n">
        <v>0</v>
      </c>
      <c r="K220" t="n">
        <v>0</v>
      </c>
      <c r="L220" t="n">
        <v>0</v>
      </c>
      <c r="M220" t="n">
        <v>0</v>
      </c>
      <c r="N220" t="n">
        <v>0</v>
      </c>
      <c r="O220" t="n">
        <v>0</v>
      </c>
      <c r="P220" t="n">
        <v>0</v>
      </c>
      <c r="Q220" t="n">
        <v>0</v>
      </c>
      <c r="R220" s="2" t="inlineStr"/>
    </row>
    <row r="221" ht="15" customHeight="1">
      <c r="A221" t="inlineStr">
        <is>
          <t>A 22912-2024</t>
        </is>
      </c>
      <c r="B221" s="1" t="n">
        <v>45448.73118055556</v>
      </c>
      <c r="C221" s="1" t="n">
        <v>46003</v>
      </c>
      <c r="D221" t="inlineStr">
        <is>
          <t>UPPSALA LÄN</t>
        </is>
      </c>
      <c r="E221" t="inlineStr">
        <is>
          <t>ENKÖPING</t>
        </is>
      </c>
      <c r="G221" t="n">
        <v>2.8</v>
      </c>
      <c r="H221" t="n">
        <v>0</v>
      </c>
      <c r="I221" t="n">
        <v>0</v>
      </c>
      <c r="J221" t="n">
        <v>0</v>
      </c>
      <c r="K221" t="n">
        <v>0</v>
      </c>
      <c r="L221" t="n">
        <v>0</v>
      </c>
      <c r="M221" t="n">
        <v>0</v>
      </c>
      <c r="N221" t="n">
        <v>0</v>
      </c>
      <c r="O221" t="n">
        <v>0</v>
      </c>
      <c r="P221" t="n">
        <v>0</v>
      </c>
      <c r="Q221" t="n">
        <v>0</v>
      </c>
      <c r="R221" s="2" t="inlineStr"/>
    </row>
    <row r="222" ht="15" customHeight="1">
      <c r="A222" t="inlineStr">
        <is>
          <t>A 20184-2023</t>
        </is>
      </c>
      <c r="B222" s="1" t="n">
        <v>45055.5670949074</v>
      </c>
      <c r="C222" s="1" t="n">
        <v>46003</v>
      </c>
      <c r="D222" t="inlineStr">
        <is>
          <t>UPPSALA LÄN</t>
        </is>
      </c>
      <c r="E222" t="inlineStr">
        <is>
          <t>ENKÖPING</t>
        </is>
      </c>
      <c r="G222" t="n">
        <v>3.2</v>
      </c>
      <c r="H222" t="n">
        <v>0</v>
      </c>
      <c r="I222" t="n">
        <v>0</v>
      </c>
      <c r="J222" t="n">
        <v>0</v>
      </c>
      <c r="K222" t="n">
        <v>0</v>
      </c>
      <c r="L222" t="n">
        <v>0</v>
      </c>
      <c r="M222" t="n">
        <v>0</v>
      </c>
      <c r="N222" t="n">
        <v>0</v>
      </c>
      <c r="O222" t="n">
        <v>0</v>
      </c>
      <c r="P222" t="n">
        <v>0</v>
      </c>
      <c r="Q222" t="n">
        <v>0</v>
      </c>
      <c r="R222" s="2" t="inlineStr"/>
    </row>
    <row r="223" ht="15" customHeight="1">
      <c r="A223" t="inlineStr">
        <is>
          <t>A 9667-2024</t>
        </is>
      </c>
      <c r="B223" s="1" t="n">
        <v>45362.45130787037</v>
      </c>
      <c r="C223" s="1" t="n">
        <v>46003</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50006-2023</t>
        </is>
      </c>
      <c r="B224" s="1" t="n">
        <v>45215</v>
      </c>
      <c r="C224" s="1" t="n">
        <v>46003</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61952-2021</t>
        </is>
      </c>
      <c r="B225" s="1" t="n">
        <v>44502</v>
      </c>
      <c r="C225" s="1" t="n">
        <v>46003</v>
      </c>
      <c r="D225" t="inlineStr">
        <is>
          <t>UPPSALA LÄN</t>
        </is>
      </c>
      <c r="E225" t="inlineStr">
        <is>
          <t>ENKÖPING</t>
        </is>
      </c>
      <c r="G225" t="n">
        <v>2.3</v>
      </c>
      <c r="H225" t="n">
        <v>0</v>
      </c>
      <c r="I225" t="n">
        <v>0</v>
      </c>
      <c r="J225" t="n">
        <v>0</v>
      </c>
      <c r="K225" t="n">
        <v>0</v>
      </c>
      <c r="L225" t="n">
        <v>0</v>
      </c>
      <c r="M225" t="n">
        <v>0</v>
      </c>
      <c r="N225" t="n">
        <v>0</v>
      </c>
      <c r="O225" t="n">
        <v>0</v>
      </c>
      <c r="P225" t="n">
        <v>0</v>
      </c>
      <c r="Q225" t="n">
        <v>0</v>
      </c>
      <c r="R225" s="2" t="inlineStr"/>
    </row>
    <row r="226" ht="15" customHeight="1">
      <c r="A226" t="inlineStr">
        <is>
          <t>A 53607-2023</t>
        </is>
      </c>
      <c r="B226" s="1" t="n">
        <v>45230</v>
      </c>
      <c r="C226" s="1" t="n">
        <v>46003</v>
      </c>
      <c r="D226" t="inlineStr">
        <is>
          <t>UPPSALA LÄN</t>
        </is>
      </c>
      <c r="E226" t="inlineStr">
        <is>
          <t>ENKÖPING</t>
        </is>
      </c>
      <c r="F226" t="inlineStr">
        <is>
          <t>Allmännings- och besparingsskogar</t>
        </is>
      </c>
      <c r="G226" t="n">
        <v>6.3</v>
      </c>
      <c r="H226" t="n">
        <v>0</v>
      </c>
      <c r="I226" t="n">
        <v>0</v>
      </c>
      <c r="J226" t="n">
        <v>0</v>
      </c>
      <c r="K226" t="n">
        <v>0</v>
      </c>
      <c r="L226" t="n">
        <v>0</v>
      </c>
      <c r="M226" t="n">
        <v>0</v>
      </c>
      <c r="N226" t="n">
        <v>0</v>
      </c>
      <c r="O226" t="n">
        <v>0</v>
      </c>
      <c r="P226" t="n">
        <v>0</v>
      </c>
      <c r="Q226" t="n">
        <v>0</v>
      </c>
      <c r="R226" s="2" t="inlineStr"/>
    </row>
    <row r="227" ht="15" customHeight="1">
      <c r="A227" t="inlineStr">
        <is>
          <t>A 59497-2022</t>
        </is>
      </c>
      <c r="B227" s="1" t="n">
        <v>44907.48258101852</v>
      </c>
      <c r="C227" s="1" t="n">
        <v>46003</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49614-2024</t>
        </is>
      </c>
      <c r="B228" s="1" t="n">
        <v>45596.57716435185</v>
      </c>
      <c r="C228" s="1" t="n">
        <v>46003</v>
      </c>
      <c r="D228" t="inlineStr">
        <is>
          <t>UPPSALA LÄN</t>
        </is>
      </c>
      <c r="E228" t="inlineStr">
        <is>
          <t>ENKÖPING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49632-2024</t>
        </is>
      </c>
      <c r="B229" s="1" t="n">
        <v>45596</v>
      </c>
      <c r="C229" s="1" t="n">
        <v>46003</v>
      </c>
      <c r="D229" t="inlineStr">
        <is>
          <t>UPPSALA LÄN</t>
        </is>
      </c>
      <c r="E229" t="inlineStr">
        <is>
          <t>ENKÖPING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18259-2025</t>
        </is>
      </c>
      <c r="B230" s="1" t="n">
        <v>45762</v>
      </c>
      <c r="C230" s="1" t="n">
        <v>46003</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43506-2023</t>
        </is>
      </c>
      <c r="B231" s="1" t="n">
        <v>45181</v>
      </c>
      <c r="C231" s="1" t="n">
        <v>46003</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59602-2022</t>
        </is>
      </c>
      <c r="B232" s="1" t="n">
        <v>44907.72241898148</v>
      </c>
      <c r="C232" s="1" t="n">
        <v>46003</v>
      </c>
      <c r="D232" t="inlineStr">
        <is>
          <t>UPPSALA LÄN</t>
        </is>
      </c>
      <c r="E232" t="inlineStr">
        <is>
          <t>ENKÖPING</t>
        </is>
      </c>
      <c r="G232" t="n">
        <v>14.2</v>
      </c>
      <c r="H232" t="n">
        <v>0</v>
      </c>
      <c r="I232" t="n">
        <v>0</v>
      </c>
      <c r="J232" t="n">
        <v>0</v>
      </c>
      <c r="K232" t="n">
        <v>0</v>
      </c>
      <c r="L232" t="n">
        <v>0</v>
      </c>
      <c r="M232" t="n">
        <v>0</v>
      </c>
      <c r="N232" t="n">
        <v>0</v>
      </c>
      <c r="O232" t="n">
        <v>0</v>
      </c>
      <c r="P232" t="n">
        <v>0</v>
      </c>
      <c r="Q232" t="n">
        <v>0</v>
      </c>
      <c r="R232" s="2" t="inlineStr"/>
    </row>
    <row r="233" ht="15" customHeight="1">
      <c r="A233" t="inlineStr">
        <is>
          <t>A 42589-2022</t>
        </is>
      </c>
      <c r="B233" s="1" t="n">
        <v>44831</v>
      </c>
      <c r="C233" s="1" t="n">
        <v>46003</v>
      </c>
      <c r="D233" t="inlineStr">
        <is>
          <t>UPPSALA LÄN</t>
        </is>
      </c>
      <c r="E233" t="inlineStr">
        <is>
          <t>ENKÖPING</t>
        </is>
      </c>
      <c r="G233" t="n">
        <v>20</v>
      </c>
      <c r="H233" t="n">
        <v>0</v>
      </c>
      <c r="I233" t="n">
        <v>0</v>
      </c>
      <c r="J233" t="n">
        <v>0</v>
      </c>
      <c r="K233" t="n">
        <v>0</v>
      </c>
      <c r="L233" t="n">
        <v>0</v>
      </c>
      <c r="M233" t="n">
        <v>0</v>
      </c>
      <c r="N233" t="n">
        <v>0</v>
      </c>
      <c r="O233" t="n">
        <v>0</v>
      </c>
      <c r="P233" t="n">
        <v>0</v>
      </c>
      <c r="Q233" t="n">
        <v>0</v>
      </c>
      <c r="R233" s="2" t="inlineStr"/>
    </row>
    <row r="234" ht="15" customHeight="1">
      <c r="A234" t="inlineStr">
        <is>
          <t>A 35645-2021</t>
        </is>
      </c>
      <c r="B234" s="1" t="n">
        <v>44386.42</v>
      </c>
      <c r="C234" s="1" t="n">
        <v>46003</v>
      </c>
      <c r="D234" t="inlineStr">
        <is>
          <t>UPPSALA LÄN</t>
        </is>
      </c>
      <c r="E234" t="inlineStr">
        <is>
          <t>ENKÖPING</t>
        </is>
      </c>
      <c r="G234" t="n">
        <v>2.7</v>
      </c>
      <c r="H234" t="n">
        <v>0</v>
      </c>
      <c r="I234" t="n">
        <v>0</v>
      </c>
      <c r="J234" t="n">
        <v>0</v>
      </c>
      <c r="K234" t="n">
        <v>0</v>
      </c>
      <c r="L234" t="n">
        <v>0</v>
      </c>
      <c r="M234" t="n">
        <v>0</v>
      </c>
      <c r="N234" t="n">
        <v>0</v>
      </c>
      <c r="O234" t="n">
        <v>0</v>
      </c>
      <c r="P234" t="n">
        <v>0</v>
      </c>
      <c r="Q234" t="n">
        <v>0</v>
      </c>
      <c r="R234" s="2" t="inlineStr"/>
    </row>
    <row r="235" ht="15" customHeight="1">
      <c r="A235" t="inlineStr">
        <is>
          <t>A 2968-2025</t>
        </is>
      </c>
      <c r="B235" s="1" t="n">
        <v>45678</v>
      </c>
      <c r="C235" s="1" t="n">
        <v>46003</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51030-2024</t>
        </is>
      </c>
      <c r="B236" s="1" t="n">
        <v>45603</v>
      </c>
      <c r="C236" s="1" t="n">
        <v>46003</v>
      </c>
      <c r="D236" t="inlineStr">
        <is>
          <t>UPPSALA LÄN</t>
        </is>
      </c>
      <c r="E236" t="inlineStr">
        <is>
          <t>ENKÖPING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62158-2023</t>
        </is>
      </c>
      <c r="B237" s="1" t="n">
        <v>45267</v>
      </c>
      <c r="C237" s="1" t="n">
        <v>46003</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15405-2025</t>
        </is>
      </c>
      <c r="B238" s="1" t="n">
        <v>45747.44670138889</v>
      </c>
      <c r="C238" s="1" t="n">
        <v>46003</v>
      </c>
      <c r="D238" t="inlineStr">
        <is>
          <t>UPPSALA LÄN</t>
        </is>
      </c>
      <c r="E238" t="inlineStr">
        <is>
          <t>ENKÖPING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12878-2025</t>
        </is>
      </c>
      <c r="B239" s="1" t="n">
        <v>45733.68571759259</v>
      </c>
      <c r="C239" s="1" t="n">
        <v>46003</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52889-2022</t>
        </is>
      </c>
      <c r="B240" s="1" t="n">
        <v>44875</v>
      </c>
      <c r="C240" s="1" t="n">
        <v>46003</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14004-2023</t>
        </is>
      </c>
      <c r="B241" s="1" t="n">
        <v>45008</v>
      </c>
      <c r="C241" s="1" t="n">
        <v>46003</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47681-2024</t>
        </is>
      </c>
      <c r="B242" s="1" t="n">
        <v>45588</v>
      </c>
      <c r="C242" s="1" t="n">
        <v>46003</v>
      </c>
      <c r="D242" t="inlineStr">
        <is>
          <t>UPPSALA LÄN</t>
        </is>
      </c>
      <c r="E242" t="inlineStr">
        <is>
          <t>ENKÖPING</t>
        </is>
      </c>
      <c r="G242" t="n">
        <v>4.2</v>
      </c>
      <c r="H242" t="n">
        <v>0</v>
      </c>
      <c r="I242" t="n">
        <v>0</v>
      </c>
      <c r="J242" t="n">
        <v>0</v>
      </c>
      <c r="K242" t="n">
        <v>0</v>
      </c>
      <c r="L242" t="n">
        <v>0</v>
      </c>
      <c r="M242" t="n">
        <v>0</v>
      </c>
      <c r="N242" t="n">
        <v>0</v>
      </c>
      <c r="O242" t="n">
        <v>0</v>
      </c>
      <c r="P242" t="n">
        <v>0</v>
      </c>
      <c r="Q242" t="n">
        <v>0</v>
      </c>
      <c r="R242" s="2" t="inlineStr"/>
    </row>
    <row r="243" ht="15" customHeight="1">
      <c r="A243" t="inlineStr">
        <is>
          <t>A 12754-2025</t>
        </is>
      </c>
      <c r="B243" s="1" t="n">
        <v>45733.56331018519</v>
      </c>
      <c r="C243" s="1" t="n">
        <v>46003</v>
      </c>
      <c r="D243" t="inlineStr">
        <is>
          <t>UPPSALA LÄN</t>
        </is>
      </c>
      <c r="E243" t="inlineStr">
        <is>
          <t>ENKÖPING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54588-2024</t>
        </is>
      </c>
      <c r="B244" s="1" t="n">
        <v>45617</v>
      </c>
      <c r="C244" s="1" t="n">
        <v>46003</v>
      </c>
      <c r="D244" t="inlineStr">
        <is>
          <t>UPPSALA LÄN</t>
        </is>
      </c>
      <c r="E244" t="inlineStr">
        <is>
          <t>ENKÖPING</t>
        </is>
      </c>
      <c r="G244" t="n">
        <v>3.7</v>
      </c>
      <c r="H244" t="n">
        <v>0</v>
      </c>
      <c r="I244" t="n">
        <v>0</v>
      </c>
      <c r="J244" t="n">
        <v>0</v>
      </c>
      <c r="K244" t="n">
        <v>0</v>
      </c>
      <c r="L244" t="n">
        <v>0</v>
      </c>
      <c r="M244" t="n">
        <v>0</v>
      </c>
      <c r="N244" t="n">
        <v>0</v>
      </c>
      <c r="O244" t="n">
        <v>0</v>
      </c>
      <c r="P244" t="n">
        <v>0</v>
      </c>
      <c r="Q244" t="n">
        <v>0</v>
      </c>
      <c r="R244" s="2" t="inlineStr"/>
    </row>
    <row r="245" ht="15" customHeight="1">
      <c r="A245" t="inlineStr">
        <is>
          <t>A 56713-2024</t>
        </is>
      </c>
      <c r="B245" s="1" t="n">
        <v>45628</v>
      </c>
      <c r="C245" s="1" t="n">
        <v>46003</v>
      </c>
      <c r="D245" t="inlineStr">
        <is>
          <t>UPPSALA LÄN</t>
        </is>
      </c>
      <c r="E245" t="inlineStr">
        <is>
          <t>ENKÖPING</t>
        </is>
      </c>
      <c r="G245" t="n">
        <v>1.7</v>
      </c>
      <c r="H245" t="n">
        <v>0</v>
      </c>
      <c r="I245" t="n">
        <v>0</v>
      </c>
      <c r="J245" t="n">
        <v>0</v>
      </c>
      <c r="K245" t="n">
        <v>0</v>
      </c>
      <c r="L245" t="n">
        <v>0</v>
      </c>
      <c r="M245" t="n">
        <v>0</v>
      </c>
      <c r="N245" t="n">
        <v>0</v>
      </c>
      <c r="O245" t="n">
        <v>0</v>
      </c>
      <c r="P245" t="n">
        <v>0</v>
      </c>
      <c r="Q245" t="n">
        <v>0</v>
      </c>
      <c r="R245" s="2" t="inlineStr"/>
    </row>
    <row r="246" ht="15" customHeight="1">
      <c r="A246" t="inlineStr">
        <is>
          <t>A 51524-2022</t>
        </is>
      </c>
      <c r="B246" s="1" t="n">
        <v>44869</v>
      </c>
      <c r="C246" s="1" t="n">
        <v>46003</v>
      </c>
      <c r="D246" t="inlineStr">
        <is>
          <t>UPPSALA LÄN</t>
        </is>
      </c>
      <c r="E246" t="inlineStr">
        <is>
          <t>ENKÖPING</t>
        </is>
      </c>
      <c r="G246" t="n">
        <v>6.6</v>
      </c>
      <c r="H246" t="n">
        <v>0</v>
      </c>
      <c r="I246" t="n">
        <v>0</v>
      </c>
      <c r="J246" t="n">
        <v>0</v>
      </c>
      <c r="K246" t="n">
        <v>0</v>
      </c>
      <c r="L246" t="n">
        <v>0</v>
      </c>
      <c r="M246" t="n">
        <v>0</v>
      </c>
      <c r="N246" t="n">
        <v>0</v>
      </c>
      <c r="O246" t="n">
        <v>0</v>
      </c>
      <c r="P246" t="n">
        <v>0</v>
      </c>
      <c r="Q246" t="n">
        <v>0</v>
      </c>
      <c r="R246" s="2" t="inlineStr"/>
    </row>
    <row r="247" ht="15" customHeight="1">
      <c r="A247" t="inlineStr">
        <is>
          <t>A 8137-2025</t>
        </is>
      </c>
      <c r="B247" s="1" t="n">
        <v>45707.8561574074</v>
      </c>
      <c r="C247" s="1" t="n">
        <v>46003</v>
      </c>
      <c r="D247" t="inlineStr">
        <is>
          <t>UPPSALA LÄN</t>
        </is>
      </c>
      <c r="E247" t="inlineStr">
        <is>
          <t>ENKÖPING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7868-2024</t>
        </is>
      </c>
      <c r="B248" s="1" t="n">
        <v>45350.33020833333</v>
      </c>
      <c r="C248" s="1" t="n">
        <v>46003</v>
      </c>
      <c r="D248" t="inlineStr">
        <is>
          <t>UPPSALA LÄN</t>
        </is>
      </c>
      <c r="E248" t="inlineStr">
        <is>
          <t>ENKÖPING</t>
        </is>
      </c>
      <c r="G248" t="n">
        <v>0.3</v>
      </c>
      <c r="H248" t="n">
        <v>0</v>
      </c>
      <c r="I248" t="n">
        <v>0</v>
      </c>
      <c r="J248" t="n">
        <v>0</v>
      </c>
      <c r="K248" t="n">
        <v>0</v>
      </c>
      <c r="L248" t="n">
        <v>0</v>
      </c>
      <c r="M248" t="n">
        <v>0</v>
      </c>
      <c r="N248" t="n">
        <v>0</v>
      </c>
      <c r="O248" t="n">
        <v>0</v>
      </c>
      <c r="P248" t="n">
        <v>0</v>
      </c>
      <c r="Q248" t="n">
        <v>0</v>
      </c>
      <c r="R248" s="2" t="inlineStr"/>
    </row>
    <row r="249" ht="15" customHeight="1">
      <c r="A249" t="inlineStr">
        <is>
          <t>A 51012-2024</t>
        </is>
      </c>
      <c r="B249" s="1" t="n">
        <v>45603.39686342593</v>
      </c>
      <c r="C249" s="1" t="n">
        <v>46003</v>
      </c>
      <c r="D249" t="inlineStr">
        <is>
          <t>UPPSALA LÄN</t>
        </is>
      </c>
      <c r="E249" t="inlineStr">
        <is>
          <t>ENKÖPING</t>
        </is>
      </c>
      <c r="G249" t="n">
        <v>2.7</v>
      </c>
      <c r="H249" t="n">
        <v>0</v>
      </c>
      <c r="I249" t="n">
        <v>0</v>
      </c>
      <c r="J249" t="n">
        <v>0</v>
      </c>
      <c r="K249" t="n">
        <v>0</v>
      </c>
      <c r="L249" t="n">
        <v>0</v>
      </c>
      <c r="M249" t="n">
        <v>0</v>
      </c>
      <c r="N249" t="n">
        <v>0</v>
      </c>
      <c r="O249" t="n">
        <v>0</v>
      </c>
      <c r="P249" t="n">
        <v>0</v>
      </c>
      <c r="Q249" t="n">
        <v>0</v>
      </c>
      <c r="R249" s="2" t="inlineStr"/>
    </row>
    <row r="250" ht="15" customHeight="1">
      <c r="A250" t="inlineStr">
        <is>
          <t>A 9487-2025</t>
        </is>
      </c>
      <c r="B250" s="1" t="n">
        <v>45715.49331018519</v>
      </c>
      <c r="C250" s="1" t="n">
        <v>46003</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16176-2025</t>
        </is>
      </c>
      <c r="B251" s="1" t="n">
        <v>45750</v>
      </c>
      <c r="C251" s="1" t="n">
        <v>46003</v>
      </c>
      <c r="D251" t="inlineStr">
        <is>
          <t>UPPSALA LÄN</t>
        </is>
      </c>
      <c r="E251" t="inlineStr">
        <is>
          <t>ENKÖPING</t>
        </is>
      </c>
      <c r="G251" t="n">
        <v>3.9</v>
      </c>
      <c r="H251" t="n">
        <v>0</v>
      </c>
      <c r="I251" t="n">
        <v>0</v>
      </c>
      <c r="J251" t="n">
        <v>0</v>
      </c>
      <c r="K251" t="n">
        <v>0</v>
      </c>
      <c r="L251" t="n">
        <v>0</v>
      </c>
      <c r="M251" t="n">
        <v>0</v>
      </c>
      <c r="N251" t="n">
        <v>0</v>
      </c>
      <c r="O251" t="n">
        <v>0</v>
      </c>
      <c r="P251" t="n">
        <v>0</v>
      </c>
      <c r="Q251" t="n">
        <v>0</v>
      </c>
      <c r="R251" s="2" t="inlineStr"/>
    </row>
    <row r="252" ht="15" customHeight="1">
      <c r="A252" t="inlineStr">
        <is>
          <t>A 37035-2023</t>
        </is>
      </c>
      <c r="B252" s="1" t="n">
        <v>45155</v>
      </c>
      <c r="C252" s="1" t="n">
        <v>46003</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60874-2023</t>
        </is>
      </c>
      <c r="B253" s="1" t="n">
        <v>45261.06280092592</v>
      </c>
      <c r="C253" s="1" t="n">
        <v>46003</v>
      </c>
      <c r="D253" t="inlineStr">
        <is>
          <t>UPPSALA LÄN</t>
        </is>
      </c>
      <c r="E253" t="inlineStr">
        <is>
          <t>ENKÖPING</t>
        </is>
      </c>
      <c r="G253" t="n">
        <v>1.5</v>
      </c>
      <c r="H253" t="n">
        <v>0</v>
      </c>
      <c r="I253" t="n">
        <v>0</v>
      </c>
      <c r="J253" t="n">
        <v>0</v>
      </c>
      <c r="K253" t="n">
        <v>0</v>
      </c>
      <c r="L253" t="n">
        <v>0</v>
      </c>
      <c r="M253" t="n">
        <v>0</v>
      </c>
      <c r="N253" t="n">
        <v>0</v>
      </c>
      <c r="O253" t="n">
        <v>0</v>
      </c>
      <c r="P253" t="n">
        <v>0</v>
      </c>
      <c r="Q253" t="n">
        <v>0</v>
      </c>
      <c r="R253" s="2" t="inlineStr"/>
    </row>
    <row r="254" ht="15" customHeight="1">
      <c r="A254" t="inlineStr">
        <is>
          <t>A 41828-2024</t>
        </is>
      </c>
      <c r="B254" s="1" t="n">
        <v>45561</v>
      </c>
      <c r="C254" s="1" t="n">
        <v>46003</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46186-2023</t>
        </is>
      </c>
      <c r="B255" s="1" t="n">
        <v>45196</v>
      </c>
      <c r="C255" s="1" t="n">
        <v>46003</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15162-2025</t>
        </is>
      </c>
      <c r="B256" s="1" t="n">
        <v>45744</v>
      </c>
      <c r="C256" s="1" t="n">
        <v>46003</v>
      </c>
      <c r="D256" t="inlineStr">
        <is>
          <t>UPPSALA LÄN</t>
        </is>
      </c>
      <c r="E256" t="inlineStr">
        <is>
          <t>ENKÖPING</t>
        </is>
      </c>
      <c r="G256" t="n">
        <v>4.2</v>
      </c>
      <c r="H256" t="n">
        <v>0</v>
      </c>
      <c r="I256" t="n">
        <v>0</v>
      </c>
      <c r="J256" t="n">
        <v>0</v>
      </c>
      <c r="K256" t="n">
        <v>0</v>
      </c>
      <c r="L256" t="n">
        <v>0</v>
      </c>
      <c r="M256" t="n">
        <v>0</v>
      </c>
      <c r="N256" t="n">
        <v>0</v>
      </c>
      <c r="O256" t="n">
        <v>0</v>
      </c>
      <c r="P256" t="n">
        <v>0</v>
      </c>
      <c r="Q256" t="n">
        <v>0</v>
      </c>
      <c r="R256" s="2" t="inlineStr"/>
    </row>
    <row r="257" ht="15" customHeight="1">
      <c r="A257" t="inlineStr">
        <is>
          <t>A 18299-2025</t>
        </is>
      </c>
      <c r="B257" s="1" t="n">
        <v>45762</v>
      </c>
      <c r="C257" s="1" t="n">
        <v>46003</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10465-2022</t>
        </is>
      </c>
      <c r="B258" s="1" t="n">
        <v>44623</v>
      </c>
      <c r="C258" s="1" t="n">
        <v>46003</v>
      </c>
      <c r="D258" t="inlineStr">
        <is>
          <t>UPPSALA LÄN</t>
        </is>
      </c>
      <c r="E258" t="inlineStr">
        <is>
          <t>ENKÖPING</t>
        </is>
      </c>
      <c r="G258" t="n">
        <v>1.7</v>
      </c>
      <c r="H258" t="n">
        <v>0</v>
      </c>
      <c r="I258" t="n">
        <v>0</v>
      </c>
      <c r="J258" t="n">
        <v>0</v>
      </c>
      <c r="K258" t="n">
        <v>0</v>
      </c>
      <c r="L258" t="n">
        <v>0</v>
      </c>
      <c r="M258" t="n">
        <v>0</v>
      </c>
      <c r="N258" t="n">
        <v>0</v>
      </c>
      <c r="O258" t="n">
        <v>0</v>
      </c>
      <c r="P258" t="n">
        <v>0</v>
      </c>
      <c r="Q258" t="n">
        <v>0</v>
      </c>
      <c r="R258" s="2" t="inlineStr"/>
    </row>
    <row r="259" ht="15" customHeight="1">
      <c r="A259" t="inlineStr">
        <is>
          <t>A 6242-2025</t>
        </is>
      </c>
      <c r="B259" s="1" t="n">
        <v>45697</v>
      </c>
      <c r="C259" s="1" t="n">
        <v>46003</v>
      </c>
      <c r="D259" t="inlineStr">
        <is>
          <t>UPPSALA LÄN</t>
        </is>
      </c>
      <c r="E259" t="inlineStr">
        <is>
          <t>ENKÖPING</t>
        </is>
      </c>
      <c r="G259" t="n">
        <v>17.9</v>
      </c>
      <c r="H259" t="n">
        <v>0</v>
      </c>
      <c r="I259" t="n">
        <v>0</v>
      </c>
      <c r="J259" t="n">
        <v>0</v>
      </c>
      <c r="K259" t="n">
        <v>0</v>
      </c>
      <c r="L259" t="n">
        <v>0</v>
      </c>
      <c r="M259" t="n">
        <v>0</v>
      </c>
      <c r="N259" t="n">
        <v>0</v>
      </c>
      <c r="O259" t="n">
        <v>0</v>
      </c>
      <c r="P259" t="n">
        <v>0</v>
      </c>
      <c r="Q259" t="n">
        <v>0</v>
      </c>
      <c r="R259" s="2" t="inlineStr"/>
    </row>
    <row r="260" ht="15" customHeight="1">
      <c r="A260" t="inlineStr">
        <is>
          <t>A 3550-2023</t>
        </is>
      </c>
      <c r="B260" s="1" t="n">
        <v>44950</v>
      </c>
      <c r="C260" s="1" t="n">
        <v>46003</v>
      </c>
      <c r="D260" t="inlineStr">
        <is>
          <t>UPPSALA LÄN</t>
        </is>
      </c>
      <c r="E260" t="inlineStr">
        <is>
          <t>ENKÖPING</t>
        </is>
      </c>
      <c r="G260" t="n">
        <v>0.9</v>
      </c>
      <c r="H260" t="n">
        <v>0</v>
      </c>
      <c r="I260" t="n">
        <v>0</v>
      </c>
      <c r="J260" t="n">
        <v>0</v>
      </c>
      <c r="K260" t="n">
        <v>0</v>
      </c>
      <c r="L260" t="n">
        <v>0</v>
      </c>
      <c r="M260" t="n">
        <v>0</v>
      </c>
      <c r="N260" t="n">
        <v>0</v>
      </c>
      <c r="O260" t="n">
        <v>0</v>
      </c>
      <c r="P260" t="n">
        <v>0</v>
      </c>
      <c r="Q260" t="n">
        <v>0</v>
      </c>
      <c r="R260" s="2" t="inlineStr"/>
    </row>
    <row r="261" ht="15" customHeight="1">
      <c r="A261" t="inlineStr">
        <is>
          <t>A 6144-2024</t>
        </is>
      </c>
      <c r="B261" s="1" t="n">
        <v>45337.4684837963</v>
      </c>
      <c r="C261" s="1" t="n">
        <v>46003</v>
      </c>
      <c r="D261" t="inlineStr">
        <is>
          <t>UPPSALA LÄN</t>
        </is>
      </c>
      <c r="E261" t="inlineStr">
        <is>
          <t>ENKÖPING</t>
        </is>
      </c>
      <c r="G261" t="n">
        <v>13.8</v>
      </c>
      <c r="H261" t="n">
        <v>0</v>
      </c>
      <c r="I261" t="n">
        <v>0</v>
      </c>
      <c r="J261" t="n">
        <v>0</v>
      </c>
      <c r="K261" t="n">
        <v>0</v>
      </c>
      <c r="L261" t="n">
        <v>0</v>
      </c>
      <c r="M261" t="n">
        <v>0</v>
      </c>
      <c r="N261" t="n">
        <v>0</v>
      </c>
      <c r="O261" t="n">
        <v>0</v>
      </c>
      <c r="P261" t="n">
        <v>0</v>
      </c>
      <c r="Q261" t="n">
        <v>0</v>
      </c>
      <c r="R261" s="2" t="inlineStr"/>
    </row>
    <row r="262" ht="15" customHeight="1">
      <c r="A262" t="inlineStr">
        <is>
          <t>A 67984-2021</t>
        </is>
      </c>
      <c r="B262" s="1" t="n">
        <v>44525.70237268518</v>
      </c>
      <c r="C262" s="1" t="n">
        <v>46003</v>
      </c>
      <c r="D262" t="inlineStr">
        <is>
          <t>UPPSALA LÄN</t>
        </is>
      </c>
      <c r="E262" t="inlineStr">
        <is>
          <t>ENKÖPING</t>
        </is>
      </c>
      <c r="G262" t="n">
        <v>1.4</v>
      </c>
      <c r="H262" t="n">
        <v>0</v>
      </c>
      <c r="I262" t="n">
        <v>0</v>
      </c>
      <c r="J262" t="n">
        <v>0</v>
      </c>
      <c r="K262" t="n">
        <v>0</v>
      </c>
      <c r="L262" t="n">
        <v>0</v>
      </c>
      <c r="M262" t="n">
        <v>0</v>
      </c>
      <c r="N262" t="n">
        <v>0</v>
      </c>
      <c r="O262" t="n">
        <v>0</v>
      </c>
      <c r="P262" t="n">
        <v>0</v>
      </c>
      <c r="Q262" t="n">
        <v>0</v>
      </c>
      <c r="R262" s="2" t="inlineStr"/>
    </row>
    <row r="263" ht="15" customHeight="1">
      <c r="A263" t="inlineStr">
        <is>
          <t>A 26292-2022</t>
        </is>
      </c>
      <c r="B263" s="1" t="n">
        <v>44735</v>
      </c>
      <c r="C263" s="1" t="n">
        <v>46003</v>
      </c>
      <c r="D263" t="inlineStr">
        <is>
          <t>UPPSALA LÄN</t>
        </is>
      </c>
      <c r="E263" t="inlineStr">
        <is>
          <t>ENKÖPING</t>
        </is>
      </c>
      <c r="F263" t="inlineStr">
        <is>
          <t>Kyrkan</t>
        </is>
      </c>
      <c r="G263" t="n">
        <v>4.6</v>
      </c>
      <c r="H263" t="n">
        <v>0</v>
      </c>
      <c r="I263" t="n">
        <v>0</v>
      </c>
      <c r="J263" t="n">
        <v>0</v>
      </c>
      <c r="K263" t="n">
        <v>0</v>
      </c>
      <c r="L263" t="n">
        <v>0</v>
      </c>
      <c r="M263" t="n">
        <v>0</v>
      </c>
      <c r="N263" t="n">
        <v>0</v>
      </c>
      <c r="O263" t="n">
        <v>0</v>
      </c>
      <c r="P263" t="n">
        <v>0</v>
      </c>
      <c r="Q263" t="n">
        <v>0</v>
      </c>
      <c r="R263" s="2" t="inlineStr"/>
    </row>
    <row r="264" ht="15" customHeight="1">
      <c r="A264" t="inlineStr">
        <is>
          <t>A 18592-2021</t>
        </is>
      </c>
      <c r="B264" s="1" t="n">
        <v>44306</v>
      </c>
      <c r="C264" s="1" t="n">
        <v>46003</v>
      </c>
      <c r="D264" t="inlineStr">
        <is>
          <t>UPPSALA LÄN</t>
        </is>
      </c>
      <c r="E264" t="inlineStr">
        <is>
          <t>ENKÖPING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11918-2025</t>
        </is>
      </c>
      <c r="B265" s="1" t="n">
        <v>45728.49331018519</v>
      </c>
      <c r="C265" s="1" t="n">
        <v>46003</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61207-2023</t>
        </is>
      </c>
      <c r="B266" s="1" t="n">
        <v>45264.39444444444</v>
      </c>
      <c r="C266" s="1" t="n">
        <v>46003</v>
      </c>
      <c r="D266" t="inlineStr">
        <is>
          <t>UPPSALA LÄN</t>
        </is>
      </c>
      <c r="E266" t="inlineStr">
        <is>
          <t>ENKÖPING</t>
        </is>
      </c>
      <c r="G266" t="n">
        <v>10.8</v>
      </c>
      <c r="H266" t="n">
        <v>0</v>
      </c>
      <c r="I266" t="n">
        <v>0</v>
      </c>
      <c r="J266" t="n">
        <v>0</v>
      </c>
      <c r="K266" t="n">
        <v>0</v>
      </c>
      <c r="L266" t="n">
        <v>0</v>
      </c>
      <c r="M266" t="n">
        <v>0</v>
      </c>
      <c r="N266" t="n">
        <v>0</v>
      </c>
      <c r="O266" t="n">
        <v>0</v>
      </c>
      <c r="P266" t="n">
        <v>0</v>
      </c>
      <c r="Q266" t="n">
        <v>0</v>
      </c>
      <c r="R266" s="2" t="inlineStr"/>
    </row>
    <row r="267" ht="15" customHeight="1">
      <c r="A267" t="inlineStr">
        <is>
          <t>A 5013-2025</t>
        </is>
      </c>
      <c r="B267" s="1" t="n">
        <v>45691</v>
      </c>
      <c r="C267" s="1" t="n">
        <v>46003</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11503-2024</t>
        </is>
      </c>
      <c r="B268" s="1" t="n">
        <v>45372.68020833333</v>
      </c>
      <c r="C268" s="1" t="n">
        <v>46003</v>
      </c>
      <c r="D268" t="inlineStr">
        <is>
          <t>UPPSALA LÄN</t>
        </is>
      </c>
      <c r="E268" t="inlineStr">
        <is>
          <t>ENKÖPING</t>
        </is>
      </c>
      <c r="G268" t="n">
        <v>1.2</v>
      </c>
      <c r="H268" t="n">
        <v>0</v>
      </c>
      <c r="I268" t="n">
        <v>0</v>
      </c>
      <c r="J268" t="n">
        <v>0</v>
      </c>
      <c r="K268" t="n">
        <v>0</v>
      </c>
      <c r="L268" t="n">
        <v>0</v>
      </c>
      <c r="M268" t="n">
        <v>0</v>
      </c>
      <c r="N268" t="n">
        <v>0</v>
      </c>
      <c r="O268" t="n">
        <v>0</v>
      </c>
      <c r="P268" t="n">
        <v>0</v>
      </c>
      <c r="Q268" t="n">
        <v>0</v>
      </c>
      <c r="R268" s="2" t="inlineStr"/>
    </row>
    <row r="269" ht="15" customHeight="1">
      <c r="A269" t="inlineStr">
        <is>
          <t>A 51008-2024</t>
        </is>
      </c>
      <c r="B269" s="1" t="n">
        <v>45603.39041666667</v>
      </c>
      <c r="C269" s="1" t="n">
        <v>46003</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43896-2022</t>
        </is>
      </c>
      <c r="B270" s="1" t="n">
        <v>44838</v>
      </c>
      <c r="C270" s="1" t="n">
        <v>46003</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21017-2023</t>
        </is>
      </c>
      <c r="B271" s="1" t="n">
        <v>45061</v>
      </c>
      <c r="C271" s="1" t="n">
        <v>46003</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35052-2024</t>
        </is>
      </c>
      <c r="B272" s="1" t="n">
        <v>45527.6516087963</v>
      </c>
      <c r="C272" s="1" t="n">
        <v>46003</v>
      </c>
      <c r="D272" t="inlineStr">
        <is>
          <t>UPPSALA LÄN</t>
        </is>
      </c>
      <c r="E272" t="inlineStr">
        <is>
          <t>ENKÖPING</t>
        </is>
      </c>
      <c r="G272" t="n">
        <v>1.5</v>
      </c>
      <c r="H272" t="n">
        <v>0</v>
      </c>
      <c r="I272" t="n">
        <v>0</v>
      </c>
      <c r="J272" t="n">
        <v>0</v>
      </c>
      <c r="K272" t="n">
        <v>0</v>
      </c>
      <c r="L272" t="n">
        <v>0</v>
      </c>
      <c r="M272" t="n">
        <v>0</v>
      </c>
      <c r="N272" t="n">
        <v>0</v>
      </c>
      <c r="O272" t="n">
        <v>0</v>
      </c>
      <c r="P272" t="n">
        <v>0</v>
      </c>
      <c r="Q272" t="n">
        <v>0</v>
      </c>
      <c r="R272" s="2" t="inlineStr"/>
    </row>
    <row r="273" ht="15" customHeight="1">
      <c r="A273" t="inlineStr">
        <is>
          <t>A 20440-2025</t>
        </is>
      </c>
      <c r="B273" s="1" t="n">
        <v>45775</v>
      </c>
      <c r="C273" s="1" t="n">
        <v>46003</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840-2025</t>
        </is>
      </c>
      <c r="B274" s="1" t="n">
        <v>45665</v>
      </c>
      <c r="C274" s="1" t="n">
        <v>46003</v>
      </c>
      <c r="D274" t="inlineStr">
        <is>
          <t>UPPSALA LÄN</t>
        </is>
      </c>
      <c r="E274" t="inlineStr">
        <is>
          <t>ENKÖPING</t>
        </is>
      </c>
      <c r="G274" t="n">
        <v>0.9</v>
      </c>
      <c r="H274" t="n">
        <v>0</v>
      </c>
      <c r="I274" t="n">
        <v>0</v>
      </c>
      <c r="J274" t="n">
        <v>0</v>
      </c>
      <c r="K274" t="n">
        <v>0</v>
      </c>
      <c r="L274" t="n">
        <v>0</v>
      </c>
      <c r="M274" t="n">
        <v>0</v>
      </c>
      <c r="N274" t="n">
        <v>0</v>
      </c>
      <c r="O274" t="n">
        <v>0</v>
      </c>
      <c r="P274" t="n">
        <v>0</v>
      </c>
      <c r="Q274" t="n">
        <v>0</v>
      </c>
      <c r="R274" s="2" t="inlineStr"/>
    </row>
    <row r="275" ht="15" customHeight="1">
      <c r="A275" t="inlineStr">
        <is>
          <t>A 56176-2021</t>
        </is>
      </c>
      <c r="B275" s="1" t="n">
        <v>44477</v>
      </c>
      <c r="C275" s="1" t="n">
        <v>46003</v>
      </c>
      <c r="D275" t="inlineStr">
        <is>
          <t>UPPSALA LÄN</t>
        </is>
      </c>
      <c r="E275" t="inlineStr">
        <is>
          <t>ENKÖPING</t>
        </is>
      </c>
      <c r="G275" t="n">
        <v>2.9</v>
      </c>
      <c r="H275" t="n">
        <v>0</v>
      </c>
      <c r="I275" t="n">
        <v>0</v>
      </c>
      <c r="J275" t="n">
        <v>0</v>
      </c>
      <c r="K275" t="n">
        <v>0</v>
      </c>
      <c r="L275" t="n">
        <v>0</v>
      </c>
      <c r="M275" t="n">
        <v>0</v>
      </c>
      <c r="N275" t="n">
        <v>0</v>
      </c>
      <c r="O275" t="n">
        <v>0</v>
      </c>
      <c r="P275" t="n">
        <v>0</v>
      </c>
      <c r="Q275" t="n">
        <v>0</v>
      </c>
      <c r="R275" s="2" t="inlineStr"/>
    </row>
    <row r="276" ht="15" customHeight="1">
      <c r="A276" t="inlineStr">
        <is>
          <t>A 41737-2022</t>
        </is>
      </c>
      <c r="B276" s="1" t="n">
        <v>44827.63826388889</v>
      </c>
      <c r="C276" s="1" t="n">
        <v>46003</v>
      </c>
      <c r="D276" t="inlineStr">
        <is>
          <t>UPPSALA LÄN</t>
        </is>
      </c>
      <c r="E276" t="inlineStr">
        <is>
          <t>ENKÖPING</t>
        </is>
      </c>
      <c r="G276" t="n">
        <v>1.5</v>
      </c>
      <c r="H276" t="n">
        <v>0</v>
      </c>
      <c r="I276" t="n">
        <v>0</v>
      </c>
      <c r="J276" t="n">
        <v>0</v>
      </c>
      <c r="K276" t="n">
        <v>0</v>
      </c>
      <c r="L276" t="n">
        <v>0</v>
      </c>
      <c r="M276" t="n">
        <v>0</v>
      </c>
      <c r="N276" t="n">
        <v>0</v>
      </c>
      <c r="O276" t="n">
        <v>0</v>
      </c>
      <c r="P276" t="n">
        <v>0</v>
      </c>
      <c r="Q276" t="n">
        <v>0</v>
      </c>
      <c r="R276" s="2" t="inlineStr"/>
    </row>
    <row r="277" ht="15" customHeight="1">
      <c r="A277" t="inlineStr">
        <is>
          <t>A 10458-2022</t>
        </is>
      </c>
      <c r="B277" s="1" t="n">
        <v>44623.56711805556</v>
      </c>
      <c r="C277" s="1" t="n">
        <v>46003</v>
      </c>
      <c r="D277" t="inlineStr">
        <is>
          <t>UPPSALA LÄN</t>
        </is>
      </c>
      <c r="E277" t="inlineStr">
        <is>
          <t>ENKÖPING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45142-2023</t>
        </is>
      </c>
      <c r="B278" s="1" t="n">
        <v>45191.4702662037</v>
      </c>
      <c r="C278" s="1" t="n">
        <v>46003</v>
      </c>
      <c r="D278" t="inlineStr">
        <is>
          <t>UPPSALA LÄN</t>
        </is>
      </c>
      <c r="E278" t="inlineStr">
        <is>
          <t>ENKÖPING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54595-2021</t>
        </is>
      </c>
      <c r="B279" s="1" t="n">
        <v>44473.58824074074</v>
      </c>
      <c r="C279" s="1" t="n">
        <v>46003</v>
      </c>
      <c r="D279" t="inlineStr">
        <is>
          <t>UPPSALA LÄN</t>
        </is>
      </c>
      <c r="E279" t="inlineStr">
        <is>
          <t>ENKÖPING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57998-2024</t>
        </is>
      </c>
      <c r="B280" s="1" t="n">
        <v>45631</v>
      </c>
      <c r="C280" s="1" t="n">
        <v>46003</v>
      </c>
      <c r="D280" t="inlineStr">
        <is>
          <t>UPPSALA LÄN</t>
        </is>
      </c>
      <c r="E280" t="inlineStr">
        <is>
          <t>ENKÖPING</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22094-2023</t>
        </is>
      </c>
      <c r="B281" s="1" t="n">
        <v>45069</v>
      </c>
      <c r="C281" s="1" t="n">
        <v>46003</v>
      </c>
      <c r="D281" t="inlineStr">
        <is>
          <t>UPPSALA LÄN</t>
        </is>
      </c>
      <c r="E281" t="inlineStr">
        <is>
          <t>ENKÖPING</t>
        </is>
      </c>
      <c r="G281" t="n">
        <v>2.1</v>
      </c>
      <c r="H281" t="n">
        <v>0</v>
      </c>
      <c r="I281" t="n">
        <v>0</v>
      </c>
      <c r="J281" t="n">
        <v>0</v>
      </c>
      <c r="K281" t="n">
        <v>0</v>
      </c>
      <c r="L281" t="n">
        <v>0</v>
      </c>
      <c r="M281" t="n">
        <v>0</v>
      </c>
      <c r="N281" t="n">
        <v>0</v>
      </c>
      <c r="O281" t="n">
        <v>0</v>
      </c>
      <c r="P281" t="n">
        <v>0</v>
      </c>
      <c r="Q281" t="n">
        <v>0</v>
      </c>
      <c r="R281" s="2" t="inlineStr"/>
    </row>
    <row r="282" ht="15" customHeight="1">
      <c r="A282" t="inlineStr">
        <is>
          <t>A 14332-2024</t>
        </is>
      </c>
      <c r="B282" s="1" t="n">
        <v>45393</v>
      </c>
      <c r="C282" s="1" t="n">
        <v>46003</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18831-2023</t>
        </is>
      </c>
      <c r="B283" s="1" t="n">
        <v>45044.40798611111</v>
      </c>
      <c r="C283" s="1" t="n">
        <v>46003</v>
      </c>
      <c r="D283" t="inlineStr">
        <is>
          <t>UPPSALA LÄN</t>
        </is>
      </c>
      <c r="E283" t="inlineStr">
        <is>
          <t>ENKÖPING</t>
        </is>
      </c>
      <c r="G283" t="n">
        <v>4.3</v>
      </c>
      <c r="H283" t="n">
        <v>0</v>
      </c>
      <c r="I283" t="n">
        <v>0</v>
      </c>
      <c r="J283" t="n">
        <v>0</v>
      </c>
      <c r="K283" t="n">
        <v>0</v>
      </c>
      <c r="L283" t="n">
        <v>0</v>
      </c>
      <c r="M283" t="n">
        <v>0</v>
      </c>
      <c r="N283" t="n">
        <v>0</v>
      </c>
      <c r="O283" t="n">
        <v>0</v>
      </c>
      <c r="P283" t="n">
        <v>0</v>
      </c>
      <c r="Q283" t="n">
        <v>0</v>
      </c>
      <c r="R283" s="2" t="inlineStr"/>
    </row>
    <row r="284" ht="15" customHeight="1">
      <c r="A284" t="inlineStr">
        <is>
          <t>A 35647-2021</t>
        </is>
      </c>
      <c r="B284" s="1" t="n">
        <v>44386</v>
      </c>
      <c r="C284" s="1" t="n">
        <v>46003</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24962-2023</t>
        </is>
      </c>
      <c r="B285" s="1" t="n">
        <v>45085.60123842592</v>
      </c>
      <c r="C285" s="1" t="n">
        <v>46003</v>
      </c>
      <c r="D285" t="inlineStr">
        <is>
          <t>UPPSALA LÄN</t>
        </is>
      </c>
      <c r="E285" t="inlineStr">
        <is>
          <t>ENKÖPING</t>
        </is>
      </c>
      <c r="G285" t="n">
        <v>2.8</v>
      </c>
      <c r="H285" t="n">
        <v>0</v>
      </c>
      <c r="I285" t="n">
        <v>0</v>
      </c>
      <c r="J285" t="n">
        <v>0</v>
      </c>
      <c r="K285" t="n">
        <v>0</v>
      </c>
      <c r="L285" t="n">
        <v>0</v>
      </c>
      <c r="M285" t="n">
        <v>0</v>
      </c>
      <c r="N285" t="n">
        <v>0</v>
      </c>
      <c r="O285" t="n">
        <v>0</v>
      </c>
      <c r="P285" t="n">
        <v>0</v>
      </c>
      <c r="Q285" t="n">
        <v>0</v>
      </c>
      <c r="R285" s="2" t="inlineStr"/>
    </row>
    <row r="286" ht="15" customHeight="1">
      <c r="A286" t="inlineStr">
        <is>
          <t>A 44131-2023</t>
        </is>
      </c>
      <c r="B286" s="1" t="n">
        <v>45188</v>
      </c>
      <c r="C286" s="1" t="n">
        <v>46003</v>
      </c>
      <c r="D286" t="inlineStr">
        <is>
          <t>UPPSALA LÄN</t>
        </is>
      </c>
      <c r="E286" t="inlineStr">
        <is>
          <t>ENKÖPING</t>
        </is>
      </c>
      <c r="G286" t="n">
        <v>0.3</v>
      </c>
      <c r="H286" t="n">
        <v>0</v>
      </c>
      <c r="I286" t="n">
        <v>0</v>
      </c>
      <c r="J286" t="n">
        <v>0</v>
      </c>
      <c r="K286" t="n">
        <v>0</v>
      </c>
      <c r="L286" t="n">
        <v>0</v>
      </c>
      <c r="M286" t="n">
        <v>0</v>
      </c>
      <c r="N286" t="n">
        <v>0</v>
      </c>
      <c r="O286" t="n">
        <v>0</v>
      </c>
      <c r="P286" t="n">
        <v>0</v>
      </c>
      <c r="Q286" t="n">
        <v>0</v>
      </c>
      <c r="R286" s="2" t="inlineStr"/>
    </row>
    <row r="287" ht="15" customHeight="1">
      <c r="A287" t="inlineStr">
        <is>
          <t>A 29482-2022</t>
        </is>
      </c>
      <c r="B287" s="1" t="n">
        <v>44753.57703703704</v>
      </c>
      <c r="C287" s="1" t="n">
        <v>46003</v>
      </c>
      <c r="D287" t="inlineStr">
        <is>
          <t>UPPSALA LÄN</t>
        </is>
      </c>
      <c r="E287" t="inlineStr">
        <is>
          <t>ENKÖPING</t>
        </is>
      </c>
      <c r="G287" t="n">
        <v>1</v>
      </c>
      <c r="H287" t="n">
        <v>0</v>
      </c>
      <c r="I287" t="n">
        <v>0</v>
      </c>
      <c r="J287" t="n">
        <v>0</v>
      </c>
      <c r="K287" t="n">
        <v>0</v>
      </c>
      <c r="L287" t="n">
        <v>0</v>
      </c>
      <c r="M287" t="n">
        <v>0</v>
      </c>
      <c r="N287" t="n">
        <v>0</v>
      </c>
      <c r="O287" t="n">
        <v>0</v>
      </c>
      <c r="P287" t="n">
        <v>0</v>
      </c>
      <c r="Q287" t="n">
        <v>0</v>
      </c>
      <c r="R287" s="2" t="inlineStr"/>
    </row>
    <row r="288" ht="15" customHeight="1">
      <c r="A288" t="inlineStr">
        <is>
          <t>A 29483-2022</t>
        </is>
      </c>
      <c r="B288" s="1" t="n">
        <v>44753.57829861111</v>
      </c>
      <c r="C288" s="1" t="n">
        <v>46003</v>
      </c>
      <c r="D288" t="inlineStr">
        <is>
          <t>UPPSALA LÄN</t>
        </is>
      </c>
      <c r="E288" t="inlineStr">
        <is>
          <t>ENKÖPING</t>
        </is>
      </c>
      <c r="G288" t="n">
        <v>3.6</v>
      </c>
      <c r="H288" t="n">
        <v>0</v>
      </c>
      <c r="I288" t="n">
        <v>0</v>
      </c>
      <c r="J288" t="n">
        <v>0</v>
      </c>
      <c r="K288" t="n">
        <v>0</v>
      </c>
      <c r="L288" t="n">
        <v>0</v>
      </c>
      <c r="M288" t="n">
        <v>0</v>
      </c>
      <c r="N288" t="n">
        <v>0</v>
      </c>
      <c r="O288" t="n">
        <v>0</v>
      </c>
      <c r="P288" t="n">
        <v>0</v>
      </c>
      <c r="Q288" t="n">
        <v>0</v>
      </c>
      <c r="R288" s="2" t="inlineStr"/>
    </row>
    <row r="289" ht="15" customHeight="1">
      <c r="A289" t="inlineStr">
        <is>
          <t>A 37170-2021</t>
        </is>
      </c>
      <c r="B289" s="1" t="n">
        <v>44395</v>
      </c>
      <c r="C289" s="1" t="n">
        <v>46003</v>
      </c>
      <c r="D289" t="inlineStr">
        <is>
          <t>UPPSALA LÄN</t>
        </is>
      </c>
      <c r="E289" t="inlineStr">
        <is>
          <t>ENKÖPING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33581-2023</t>
        </is>
      </c>
      <c r="B290" s="1" t="n">
        <v>45131</v>
      </c>
      <c r="C290" s="1" t="n">
        <v>46003</v>
      </c>
      <c r="D290" t="inlineStr">
        <is>
          <t>UPPSALA LÄN</t>
        </is>
      </c>
      <c r="E290" t="inlineStr">
        <is>
          <t>ENKÖPING</t>
        </is>
      </c>
      <c r="G290" t="n">
        <v>3.5</v>
      </c>
      <c r="H290" t="n">
        <v>0</v>
      </c>
      <c r="I290" t="n">
        <v>0</v>
      </c>
      <c r="J290" t="n">
        <v>0</v>
      </c>
      <c r="K290" t="n">
        <v>0</v>
      </c>
      <c r="L290" t="n">
        <v>0</v>
      </c>
      <c r="M290" t="n">
        <v>0</v>
      </c>
      <c r="N290" t="n">
        <v>0</v>
      </c>
      <c r="O290" t="n">
        <v>0</v>
      </c>
      <c r="P290" t="n">
        <v>0</v>
      </c>
      <c r="Q290" t="n">
        <v>0</v>
      </c>
      <c r="R290" s="2" t="inlineStr"/>
    </row>
    <row r="291" ht="15" customHeight="1">
      <c r="A291" t="inlineStr">
        <is>
          <t>A 53496-2022</t>
        </is>
      </c>
      <c r="B291" s="1" t="n">
        <v>44879.57217592592</v>
      </c>
      <c r="C291" s="1" t="n">
        <v>46003</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69344-2021</t>
        </is>
      </c>
      <c r="B292" s="1" t="n">
        <v>44531</v>
      </c>
      <c r="C292" s="1" t="n">
        <v>46003</v>
      </c>
      <c r="D292" t="inlineStr">
        <is>
          <t>UPPSALA LÄN</t>
        </is>
      </c>
      <c r="E292" t="inlineStr">
        <is>
          <t>ENKÖPING</t>
        </is>
      </c>
      <c r="G292" t="n">
        <v>2.9</v>
      </c>
      <c r="H292" t="n">
        <v>0</v>
      </c>
      <c r="I292" t="n">
        <v>0</v>
      </c>
      <c r="J292" t="n">
        <v>0</v>
      </c>
      <c r="K292" t="n">
        <v>0</v>
      </c>
      <c r="L292" t="n">
        <v>0</v>
      </c>
      <c r="M292" t="n">
        <v>0</v>
      </c>
      <c r="N292" t="n">
        <v>0</v>
      </c>
      <c r="O292" t="n">
        <v>0</v>
      </c>
      <c r="P292" t="n">
        <v>0</v>
      </c>
      <c r="Q292" t="n">
        <v>0</v>
      </c>
      <c r="R292" s="2" t="inlineStr"/>
    </row>
    <row r="293" ht="15" customHeight="1">
      <c r="A293" t="inlineStr">
        <is>
          <t>A 7870-2024</t>
        </is>
      </c>
      <c r="B293" s="1" t="n">
        <v>45350.33349537037</v>
      </c>
      <c r="C293" s="1" t="n">
        <v>46003</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28243-2023</t>
        </is>
      </c>
      <c r="B294" s="1" t="n">
        <v>45099.58885416666</v>
      </c>
      <c r="C294" s="1" t="n">
        <v>46003</v>
      </c>
      <c r="D294" t="inlineStr">
        <is>
          <t>UPPSALA LÄN</t>
        </is>
      </c>
      <c r="E294" t="inlineStr">
        <is>
          <t>ENKÖPING</t>
        </is>
      </c>
      <c r="G294" t="n">
        <v>1.9</v>
      </c>
      <c r="H294" t="n">
        <v>0</v>
      </c>
      <c r="I294" t="n">
        <v>0</v>
      </c>
      <c r="J294" t="n">
        <v>0</v>
      </c>
      <c r="K294" t="n">
        <v>0</v>
      </c>
      <c r="L294" t="n">
        <v>0</v>
      </c>
      <c r="M294" t="n">
        <v>0</v>
      </c>
      <c r="N294" t="n">
        <v>0</v>
      </c>
      <c r="O294" t="n">
        <v>0</v>
      </c>
      <c r="P294" t="n">
        <v>0</v>
      </c>
      <c r="Q294" t="n">
        <v>0</v>
      </c>
      <c r="R294" s="2" t="inlineStr"/>
    </row>
    <row r="295" ht="15" customHeight="1">
      <c r="A295" t="inlineStr">
        <is>
          <t>A 37115-2024</t>
        </is>
      </c>
      <c r="B295" s="1" t="n">
        <v>45539</v>
      </c>
      <c r="C295" s="1" t="n">
        <v>46003</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10829-2024</t>
        </is>
      </c>
      <c r="B296" s="1" t="n">
        <v>45369</v>
      </c>
      <c r="C296" s="1" t="n">
        <v>46003</v>
      </c>
      <c r="D296" t="inlineStr">
        <is>
          <t>UPPSALA LÄN</t>
        </is>
      </c>
      <c r="E296" t="inlineStr">
        <is>
          <t>ENKÖPING</t>
        </is>
      </c>
      <c r="G296" t="n">
        <v>2.1</v>
      </c>
      <c r="H296" t="n">
        <v>0</v>
      </c>
      <c r="I296" t="n">
        <v>0</v>
      </c>
      <c r="J296" t="n">
        <v>0</v>
      </c>
      <c r="K296" t="n">
        <v>0</v>
      </c>
      <c r="L296" t="n">
        <v>0</v>
      </c>
      <c r="M296" t="n">
        <v>0</v>
      </c>
      <c r="N296" t="n">
        <v>0</v>
      </c>
      <c r="O296" t="n">
        <v>0</v>
      </c>
      <c r="P296" t="n">
        <v>0</v>
      </c>
      <c r="Q296" t="n">
        <v>0</v>
      </c>
      <c r="R296" s="2" t="inlineStr"/>
    </row>
    <row r="297" ht="15" customHeight="1">
      <c r="A297" t="inlineStr">
        <is>
          <t>A 2161-2023</t>
        </is>
      </c>
      <c r="B297" s="1" t="n">
        <v>44941</v>
      </c>
      <c r="C297" s="1" t="n">
        <v>46003</v>
      </c>
      <c r="D297" t="inlineStr">
        <is>
          <t>UPPSALA LÄN</t>
        </is>
      </c>
      <c r="E297" t="inlineStr">
        <is>
          <t>ENKÖPING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2165-2023</t>
        </is>
      </c>
      <c r="B298" s="1" t="n">
        <v>44941</v>
      </c>
      <c r="C298" s="1" t="n">
        <v>46003</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8306-2021</t>
        </is>
      </c>
      <c r="B299" s="1" t="n">
        <v>44244</v>
      </c>
      <c r="C299" s="1" t="n">
        <v>46003</v>
      </c>
      <c r="D299" t="inlineStr">
        <is>
          <t>UPPSALA LÄN</t>
        </is>
      </c>
      <c r="E299" t="inlineStr">
        <is>
          <t>ENKÖPING</t>
        </is>
      </c>
      <c r="G299" t="n">
        <v>14.9</v>
      </c>
      <c r="H299" t="n">
        <v>0</v>
      </c>
      <c r="I299" t="n">
        <v>0</v>
      </c>
      <c r="J299" t="n">
        <v>0</v>
      </c>
      <c r="K299" t="n">
        <v>0</v>
      </c>
      <c r="L299" t="n">
        <v>0</v>
      </c>
      <c r="M299" t="n">
        <v>0</v>
      </c>
      <c r="N299" t="n">
        <v>0</v>
      </c>
      <c r="O299" t="n">
        <v>0</v>
      </c>
      <c r="P299" t="n">
        <v>0</v>
      </c>
      <c r="Q299" t="n">
        <v>0</v>
      </c>
      <c r="R299" s="2" t="inlineStr"/>
    </row>
    <row r="300" ht="15" customHeight="1">
      <c r="A300" t="inlineStr">
        <is>
          <t>A 6147-2021</t>
        </is>
      </c>
      <c r="B300" s="1" t="n">
        <v>44232</v>
      </c>
      <c r="C300" s="1" t="n">
        <v>46003</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1960-2022</t>
        </is>
      </c>
      <c r="B301" s="1" t="n">
        <v>44575</v>
      </c>
      <c r="C301" s="1" t="n">
        <v>46003</v>
      </c>
      <c r="D301" t="inlineStr">
        <is>
          <t>UPPSALA LÄN</t>
        </is>
      </c>
      <c r="E301" t="inlineStr">
        <is>
          <t>ENKÖPING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18028-2023</t>
        </is>
      </c>
      <c r="B302" s="1" t="n">
        <v>45040</v>
      </c>
      <c r="C302" s="1" t="n">
        <v>46003</v>
      </c>
      <c r="D302" t="inlineStr">
        <is>
          <t>UPPSALA LÄN</t>
        </is>
      </c>
      <c r="E302" t="inlineStr">
        <is>
          <t>ENKÖPING</t>
        </is>
      </c>
      <c r="G302" t="n">
        <v>1.1</v>
      </c>
      <c r="H302" t="n">
        <v>0</v>
      </c>
      <c r="I302" t="n">
        <v>0</v>
      </c>
      <c r="J302" t="n">
        <v>0</v>
      </c>
      <c r="K302" t="n">
        <v>0</v>
      </c>
      <c r="L302" t="n">
        <v>0</v>
      </c>
      <c r="M302" t="n">
        <v>0</v>
      </c>
      <c r="N302" t="n">
        <v>0</v>
      </c>
      <c r="O302" t="n">
        <v>0</v>
      </c>
      <c r="P302" t="n">
        <v>0</v>
      </c>
      <c r="Q302" t="n">
        <v>0</v>
      </c>
      <c r="R302" s="2" t="inlineStr"/>
    </row>
    <row r="303" ht="15" customHeight="1">
      <c r="A303" t="inlineStr">
        <is>
          <t>A 49568-2022</t>
        </is>
      </c>
      <c r="B303" s="1" t="n">
        <v>44862.32791666667</v>
      </c>
      <c r="C303" s="1" t="n">
        <v>46003</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14518-2025</t>
        </is>
      </c>
      <c r="B304" s="1" t="n">
        <v>45741</v>
      </c>
      <c r="C304" s="1" t="n">
        <v>46003</v>
      </c>
      <c r="D304" t="inlineStr">
        <is>
          <t>UPPSALA LÄN</t>
        </is>
      </c>
      <c r="E304" t="inlineStr">
        <is>
          <t>ENKÖPING</t>
        </is>
      </c>
      <c r="G304" t="n">
        <v>2</v>
      </c>
      <c r="H304" t="n">
        <v>0</v>
      </c>
      <c r="I304" t="n">
        <v>0</v>
      </c>
      <c r="J304" t="n">
        <v>0</v>
      </c>
      <c r="K304" t="n">
        <v>0</v>
      </c>
      <c r="L304" t="n">
        <v>0</v>
      </c>
      <c r="M304" t="n">
        <v>0</v>
      </c>
      <c r="N304" t="n">
        <v>0</v>
      </c>
      <c r="O304" t="n">
        <v>0</v>
      </c>
      <c r="P304" t="n">
        <v>0</v>
      </c>
      <c r="Q304" t="n">
        <v>0</v>
      </c>
      <c r="R304" s="2" t="inlineStr"/>
    </row>
    <row r="305" ht="15" customHeight="1">
      <c r="A305" t="inlineStr">
        <is>
          <t>A 42459-2024</t>
        </is>
      </c>
      <c r="B305" s="1" t="n">
        <v>45565</v>
      </c>
      <c r="C305" s="1" t="n">
        <v>46003</v>
      </c>
      <c r="D305" t="inlineStr">
        <is>
          <t>UPPSALA LÄN</t>
        </is>
      </c>
      <c r="E305" t="inlineStr">
        <is>
          <t>ENKÖPING</t>
        </is>
      </c>
      <c r="G305" t="n">
        <v>3.6</v>
      </c>
      <c r="H305" t="n">
        <v>0</v>
      </c>
      <c r="I305" t="n">
        <v>0</v>
      </c>
      <c r="J305" t="n">
        <v>0</v>
      </c>
      <c r="K305" t="n">
        <v>0</v>
      </c>
      <c r="L305" t="n">
        <v>0</v>
      </c>
      <c r="M305" t="n">
        <v>0</v>
      </c>
      <c r="N305" t="n">
        <v>0</v>
      </c>
      <c r="O305" t="n">
        <v>0</v>
      </c>
      <c r="P305" t="n">
        <v>0</v>
      </c>
      <c r="Q305" t="n">
        <v>0</v>
      </c>
      <c r="R305" s="2" t="inlineStr"/>
    </row>
    <row r="306" ht="15" customHeight="1">
      <c r="A306" t="inlineStr">
        <is>
          <t>A 13853-2023</t>
        </is>
      </c>
      <c r="B306" s="1" t="n">
        <v>45007</v>
      </c>
      <c r="C306" s="1" t="n">
        <v>46003</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38941-2025</t>
        </is>
      </c>
      <c r="B307" s="1" t="n">
        <v>45887</v>
      </c>
      <c r="C307" s="1" t="n">
        <v>46003</v>
      </c>
      <c r="D307" t="inlineStr">
        <is>
          <t>UPPSALA LÄN</t>
        </is>
      </c>
      <c r="E307" t="inlineStr">
        <is>
          <t>ENKÖPING</t>
        </is>
      </c>
      <c r="F307" t="inlineStr">
        <is>
          <t>Övriga statliga verk och myndigheter</t>
        </is>
      </c>
      <c r="G307" t="n">
        <v>0.6</v>
      </c>
      <c r="H307" t="n">
        <v>0</v>
      </c>
      <c r="I307" t="n">
        <v>0</v>
      </c>
      <c r="J307" t="n">
        <v>0</v>
      </c>
      <c r="K307" t="n">
        <v>0</v>
      </c>
      <c r="L307" t="n">
        <v>0</v>
      </c>
      <c r="M307" t="n">
        <v>0</v>
      </c>
      <c r="N307" t="n">
        <v>0</v>
      </c>
      <c r="O307" t="n">
        <v>0</v>
      </c>
      <c r="P307" t="n">
        <v>0</v>
      </c>
      <c r="Q307" t="n">
        <v>0</v>
      </c>
      <c r="R307" s="2" t="inlineStr"/>
    </row>
    <row r="308" ht="15" customHeight="1">
      <c r="A308" t="inlineStr">
        <is>
          <t>A 48864-2022</t>
        </is>
      </c>
      <c r="B308" s="1" t="n">
        <v>44859</v>
      </c>
      <c r="C308" s="1" t="n">
        <v>46003</v>
      </c>
      <c r="D308" t="inlineStr">
        <is>
          <t>UPPSALA LÄN</t>
        </is>
      </c>
      <c r="E308" t="inlineStr">
        <is>
          <t>ENKÖPING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31622-2022</t>
        </is>
      </c>
      <c r="B309" s="1" t="n">
        <v>44775</v>
      </c>
      <c r="C309" s="1" t="n">
        <v>46003</v>
      </c>
      <c r="D309" t="inlineStr">
        <is>
          <t>UPPSALA LÄN</t>
        </is>
      </c>
      <c r="E309" t="inlineStr">
        <is>
          <t>ENKÖPING</t>
        </is>
      </c>
      <c r="G309" t="n">
        <v>1.5</v>
      </c>
      <c r="H309" t="n">
        <v>0</v>
      </c>
      <c r="I309" t="n">
        <v>0</v>
      </c>
      <c r="J309" t="n">
        <v>0</v>
      </c>
      <c r="K309" t="n">
        <v>0</v>
      </c>
      <c r="L309" t="n">
        <v>0</v>
      </c>
      <c r="M309" t="n">
        <v>0</v>
      </c>
      <c r="N309" t="n">
        <v>0</v>
      </c>
      <c r="O309" t="n">
        <v>0</v>
      </c>
      <c r="P309" t="n">
        <v>0</v>
      </c>
      <c r="Q309" t="n">
        <v>0</v>
      </c>
      <c r="R309" s="2" t="inlineStr"/>
    </row>
    <row r="310" ht="15" customHeight="1">
      <c r="A310" t="inlineStr">
        <is>
          <t>A 63310-2021</t>
        </is>
      </c>
      <c r="B310" s="1" t="n">
        <v>44508</v>
      </c>
      <c r="C310" s="1" t="n">
        <v>46003</v>
      </c>
      <c r="D310" t="inlineStr">
        <is>
          <t>UPPSALA LÄN</t>
        </is>
      </c>
      <c r="E310" t="inlineStr">
        <is>
          <t>ENKÖPING</t>
        </is>
      </c>
      <c r="G310" t="n">
        <v>3.5</v>
      </c>
      <c r="H310" t="n">
        <v>0</v>
      </c>
      <c r="I310" t="n">
        <v>0</v>
      </c>
      <c r="J310" t="n">
        <v>0</v>
      </c>
      <c r="K310" t="n">
        <v>0</v>
      </c>
      <c r="L310" t="n">
        <v>0</v>
      </c>
      <c r="M310" t="n">
        <v>0</v>
      </c>
      <c r="N310" t="n">
        <v>0</v>
      </c>
      <c r="O310" t="n">
        <v>0</v>
      </c>
      <c r="P310" t="n">
        <v>0</v>
      </c>
      <c r="Q310" t="n">
        <v>0</v>
      </c>
      <c r="R310" s="2" t="inlineStr"/>
    </row>
    <row r="311" ht="15" customHeight="1">
      <c r="A311" t="inlineStr">
        <is>
          <t>A 61106-2022</t>
        </is>
      </c>
      <c r="B311" s="1" t="n">
        <v>44915.4128587963</v>
      </c>
      <c r="C311" s="1" t="n">
        <v>46003</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54776-2024</t>
        </is>
      </c>
      <c r="B312" s="1" t="n">
        <v>45618</v>
      </c>
      <c r="C312" s="1" t="n">
        <v>46003</v>
      </c>
      <c r="D312" t="inlineStr">
        <is>
          <t>UPPSALA LÄN</t>
        </is>
      </c>
      <c r="E312" t="inlineStr">
        <is>
          <t>ENKÖPING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9171-2024</t>
        </is>
      </c>
      <c r="B313" s="1" t="n">
        <v>45358</v>
      </c>
      <c r="C313" s="1" t="n">
        <v>46003</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66517-2020</t>
        </is>
      </c>
      <c r="B314" s="1" t="n">
        <v>44178</v>
      </c>
      <c r="C314" s="1" t="n">
        <v>46003</v>
      </c>
      <c r="D314" t="inlineStr">
        <is>
          <t>UPPSALA LÄN</t>
        </is>
      </c>
      <c r="E314" t="inlineStr">
        <is>
          <t>ENKÖPING</t>
        </is>
      </c>
      <c r="G314" t="n">
        <v>4</v>
      </c>
      <c r="H314" t="n">
        <v>0</v>
      </c>
      <c r="I314" t="n">
        <v>0</v>
      </c>
      <c r="J314" t="n">
        <v>0</v>
      </c>
      <c r="K314" t="n">
        <v>0</v>
      </c>
      <c r="L314" t="n">
        <v>0</v>
      </c>
      <c r="M314" t="n">
        <v>0</v>
      </c>
      <c r="N314" t="n">
        <v>0</v>
      </c>
      <c r="O314" t="n">
        <v>0</v>
      </c>
      <c r="P314" t="n">
        <v>0</v>
      </c>
      <c r="Q314" t="n">
        <v>0</v>
      </c>
      <c r="R314" s="2" t="inlineStr"/>
    </row>
    <row r="315" ht="15" customHeight="1">
      <c r="A315" t="inlineStr">
        <is>
          <t>A 671-2022</t>
        </is>
      </c>
      <c r="B315" s="1" t="n">
        <v>44568</v>
      </c>
      <c r="C315" s="1" t="n">
        <v>46003</v>
      </c>
      <c r="D315" t="inlineStr">
        <is>
          <t>UPPSALA LÄN</t>
        </is>
      </c>
      <c r="E315" t="inlineStr">
        <is>
          <t>ENKÖPING</t>
        </is>
      </c>
      <c r="G315" t="n">
        <v>3.5</v>
      </c>
      <c r="H315" t="n">
        <v>0</v>
      </c>
      <c r="I315" t="n">
        <v>0</v>
      </c>
      <c r="J315" t="n">
        <v>0</v>
      </c>
      <c r="K315" t="n">
        <v>0</v>
      </c>
      <c r="L315" t="n">
        <v>0</v>
      </c>
      <c r="M315" t="n">
        <v>0</v>
      </c>
      <c r="N315" t="n">
        <v>0</v>
      </c>
      <c r="O315" t="n">
        <v>0</v>
      </c>
      <c r="P315" t="n">
        <v>0</v>
      </c>
      <c r="Q315" t="n">
        <v>0</v>
      </c>
      <c r="R315" s="2" t="inlineStr"/>
    </row>
    <row r="316" ht="15" customHeight="1">
      <c r="A316" t="inlineStr">
        <is>
          <t>A 11005-2023</t>
        </is>
      </c>
      <c r="B316" s="1" t="n">
        <v>44991</v>
      </c>
      <c r="C316" s="1" t="n">
        <v>46003</v>
      </c>
      <c r="D316" t="inlineStr">
        <is>
          <t>UPPSALA LÄN</t>
        </is>
      </c>
      <c r="E316" t="inlineStr">
        <is>
          <t>ENKÖPING</t>
        </is>
      </c>
      <c r="G316" t="n">
        <v>1.1</v>
      </c>
      <c r="H316" t="n">
        <v>0</v>
      </c>
      <c r="I316" t="n">
        <v>0</v>
      </c>
      <c r="J316" t="n">
        <v>0</v>
      </c>
      <c r="K316" t="n">
        <v>0</v>
      </c>
      <c r="L316" t="n">
        <v>0</v>
      </c>
      <c r="M316" t="n">
        <v>0</v>
      </c>
      <c r="N316" t="n">
        <v>0</v>
      </c>
      <c r="O316" t="n">
        <v>0</v>
      </c>
      <c r="P316" t="n">
        <v>0</v>
      </c>
      <c r="Q316" t="n">
        <v>0</v>
      </c>
      <c r="R316" s="2" t="inlineStr"/>
    </row>
    <row r="317" ht="15" customHeight="1">
      <c r="A317" t="inlineStr">
        <is>
          <t>A 6356-2022</t>
        </is>
      </c>
      <c r="B317" s="1" t="n">
        <v>44600</v>
      </c>
      <c r="C317" s="1" t="n">
        <v>46003</v>
      </c>
      <c r="D317" t="inlineStr">
        <is>
          <t>UPPSALA LÄN</t>
        </is>
      </c>
      <c r="E317" t="inlineStr">
        <is>
          <t>ENKÖPING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22150-2025</t>
        </is>
      </c>
      <c r="B318" s="1" t="n">
        <v>45785.56398148148</v>
      </c>
      <c r="C318" s="1" t="n">
        <v>46003</v>
      </c>
      <c r="D318" t="inlineStr">
        <is>
          <t>UPPSALA LÄN</t>
        </is>
      </c>
      <c r="E318" t="inlineStr">
        <is>
          <t>ENKÖPING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57147-2021</t>
        </is>
      </c>
      <c r="B319" s="1" t="n">
        <v>44482</v>
      </c>
      <c r="C319" s="1" t="n">
        <v>46003</v>
      </c>
      <c r="D319" t="inlineStr">
        <is>
          <t>UPPSALA LÄN</t>
        </is>
      </c>
      <c r="E319" t="inlineStr">
        <is>
          <t>ENKÖPING</t>
        </is>
      </c>
      <c r="G319" t="n">
        <v>5.7</v>
      </c>
      <c r="H319" t="n">
        <v>0</v>
      </c>
      <c r="I319" t="n">
        <v>0</v>
      </c>
      <c r="J319" t="n">
        <v>0</v>
      </c>
      <c r="K319" t="n">
        <v>0</v>
      </c>
      <c r="L319" t="n">
        <v>0</v>
      </c>
      <c r="M319" t="n">
        <v>0</v>
      </c>
      <c r="N319" t="n">
        <v>0</v>
      </c>
      <c r="O319" t="n">
        <v>0</v>
      </c>
      <c r="P319" t="n">
        <v>0</v>
      </c>
      <c r="Q319" t="n">
        <v>0</v>
      </c>
      <c r="R319" s="2" t="inlineStr"/>
    </row>
    <row r="320" ht="15" customHeight="1">
      <c r="A320" t="inlineStr">
        <is>
          <t>A 39746-2025</t>
        </is>
      </c>
      <c r="B320" s="1" t="n">
        <v>45891</v>
      </c>
      <c r="C320" s="1" t="n">
        <v>46003</v>
      </c>
      <c r="D320" t="inlineStr">
        <is>
          <t>UPPSALA LÄN</t>
        </is>
      </c>
      <c r="E320" t="inlineStr">
        <is>
          <t>ENKÖPING</t>
        </is>
      </c>
      <c r="G320" t="n">
        <v>7.4</v>
      </c>
      <c r="H320" t="n">
        <v>0</v>
      </c>
      <c r="I320" t="n">
        <v>0</v>
      </c>
      <c r="J320" t="n">
        <v>0</v>
      </c>
      <c r="K320" t="n">
        <v>0</v>
      </c>
      <c r="L320" t="n">
        <v>0</v>
      </c>
      <c r="M320" t="n">
        <v>0</v>
      </c>
      <c r="N320" t="n">
        <v>0</v>
      </c>
      <c r="O320" t="n">
        <v>0</v>
      </c>
      <c r="P320" t="n">
        <v>0</v>
      </c>
      <c r="Q320" t="n">
        <v>0</v>
      </c>
      <c r="R320" s="2" t="inlineStr"/>
    </row>
    <row r="321" ht="15" customHeight="1">
      <c r="A321" t="inlineStr">
        <is>
          <t>A 29918-2023</t>
        </is>
      </c>
      <c r="B321" s="1" t="n">
        <v>45099</v>
      </c>
      <c r="C321" s="1" t="n">
        <v>46003</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47909-2024</t>
        </is>
      </c>
      <c r="B322" s="1" t="n">
        <v>45589.31866898148</v>
      </c>
      <c r="C322" s="1" t="n">
        <v>46003</v>
      </c>
      <c r="D322" t="inlineStr">
        <is>
          <t>UPPSALA LÄN</t>
        </is>
      </c>
      <c r="E322" t="inlineStr">
        <is>
          <t>ENKÖPING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58384-2022</t>
        </is>
      </c>
      <c r="B323" s="1" t="n">
        <v>44901</v>
      </c>
      <c r="C323" s="1" t="n">
        <v>46003</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46003</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15893-2024</t>
        </is>
      </c>
      <c r="B325" s="1" t="n">
        <v>45405</v>
      </c>
      <c r="C325" s="1" t="n">
        <v>46003</v>
      </c>
      <c r="D325" t="inlineStr">
        <is>
          <t>UPPSALA LÄN</t>
        </is>
      </c>
      <c r="E325" t="inlineStr">
        <is>
          <t>ENKÖPING</t>
        </is>
      </c>
      <c r="G325" t="n">
        <v>1.9</v>
      </c>
      <c r="H325" t="n">
        <v>0</v>
      </c>
      <c r="I325" t="n">
        <v>0</v>
      </c>
      <c r="J325" t="n">
        <v>0</v>
      </c>
      <c r="K325" t="n">
        <v>0</v>
      </c>
      <c r="L325" t="n">
        <v>0</v>
      </c>
      <c r="M325" t="n">
        <v>0</v>
      </c>
      <c r="N325" t="n">
        <v>0</v>
      </c>
      <c r="O325" t="n">
        <v>0</v>
      </c>
      <c r="P325" t="n">
        <v>0</v>
      </c>
      <c r="Q325" t="n">
        <v>0</v>
      </c>
      <c r="R325" s="2" t="inlineStr"/>
    </row>
    <row r="326" ht="15" customHeight="1">
      <c r="A326" t="inlineStr">
        <is>
          <t>A 33343-2024</t>
        </is>
      </c>
      <c r="B326" s="1" t="n">
        <v>45519</v>
      </c>
      <c r="C326" s="1" t="n">
        <v>46003</v>
      </c>
      <c r="D326" t="inlineStr">
        <is>
          <t>UPPSALA LÄN</t>
        </is>
      </c>
      <c r="E326" t="inlineStr">
        <is>
          <t>ENKÖPING</t>
        </is>
      </c>
      <c r="G326" t="n">
        <v>2</v>
      </c>
      <c r="H326" t="n">
        <v>0</v>
      </c>
      <c r="I326" t="n">
        <v>0</v>
      </c>
      <c r="J326" t="n">
        <v>0</v>
      </c>
      <c r="K326" t="n">
        <v>0</v>
      </c>
      <c r="L326" t="n">
        <v>0</v>
      </c>
      <c r="M326" t="n">
        <v>0</v>
      </c>
      <c r="N326" t="n">
        <v>0</v>
      </c>
      <c r="O326" t="n">
        <v>0</v>
      </c>
      <c r="P326" t="n">
        <v>0</v>
      </c>
      <c r="Q326" t="n">
        <v>0</v>
      </c>
      <c r="R326" s="2" t="inlineStr"/>
    </row>
    <row r="327" ht="15" customHeight="1">
      <c r="A327" t="inlineStr">
        <is>
          <t>A 6157-2021</t>
        </is>
      </c>
      <c r="B327" s="1" t="n">
        <v>44232</v>
      </c>
      <c r="C327" s="1" t="n">
        <v>46003</v>
      </c>
      <c r="D327" t="inlineStr">
        <is>
          <t>UPPSALA LÄN</t>
        </is>
      </c>
      <c r="E327" t="inlineStr">
        <is>
          <t>ENKÖPING</t>
        </is>
      </c>
      <c r="G327" t="n">
        <v>3.9</v>
      </c>
      <c r="H327" t="n">
        <v>0</v>
      </c>
      <c r="I327" t="n">
        <v>0</v>
      </c>
      <c r="J327" t="n">
        <v>0</v>
      </c>
      <c r="K327" t="n">
        <v>0</v>
      </c>
      <c r="L327" t="n">
        <v>0</v>
      </c>
      <c r="M327" t="n">
        <v>0</v>
      </c>
      <c r="N327" t="n">
        <v>0</v>
      </c>
      <c r="O327" t="n">
        <v>0</v>
      </c>
      <c r="P327" t="n">
        <v>0</v>
      </c>
      <c r="Q327" t="n">
        <v>0</v>
      </c>
      <c r="R327" s="2" t="inlineStr"/>
    </row>
    <row r="328" ht="15" customHeight="1">
      <c r="A328" t="inlineStr">
        <is>
          <t>A 52005-2024</t>
        </is>
      </c>
      <c r="B328" s="1" t="n">
        <v>45607.7627662037</v>
      </c>
      <c r="C328" s="1" t="n">
        <v>46003</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22156-2025</t>
        </is>
      </c>
      <c r="B329" s="1" t="n">
        <v>45785.57512731481</v>
      </c>
      <c r="C329" s="1" t="n">
        <v>46003</v>
      </c>
      <c r="D329" t="inlineStr">
        <is>
          <t>UPPSALA LÄN</t>
        </is>
      </c>
      <c r="E329" t="inlineStr">
        <is>
          <t>ENKÖPING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57142-2021</t>
        </is>
      </c>
      <c r="B330" s="1" t="n">
        <v>44482</v>
      </c>
      <c r="C330" s="1" t="n">
        <v>46003</v>
      </c>
      <c r="D330" t="inlineStr">
        <is>
          <t>UPPSALA LÄN</t>
        </is>
      </c>
      <c r="E330" t="inlineStr">
        <is>
          <t>ENKÖPING</t>
        </is>
      </c>
      <c r="G330" t="n">
        <v>0.7</v>
      </c>
      <c r="H330" t="n">
        <v>0</v>
      </c>
      <c r="I330" t="n">
        <v>0</v>
      </c>
      <c r="J330" t="n">
        <v>0</v>
      </c>
      <c r="K330" t="n">
        <v>0</v>
      </c>
      <c r="L330" t="n">
        <v>0</v>
      </c>
      <c r="M330" t="n">
        <v>0</v>
      </c>
      <c r="N330" t="n">
        <v>0</v>
      </c>
      <c r="O330" t="n">
        <v>0</v>
      </c>
      <c r="P330" t="n">
        <v>0</v>
      </c>
      <c r="Q330" t="n">
        <v>0</v>
      </c>
      <c r="R330" s="2" t="inlineStr"/>
    </row>
    <row r="331" ht="15" customHeight="1">
      <c r="A331" t="inlineStr">
        <is>
          <t>A 57153-2021</t>
        </is>
      </c>
      <c r="B331" s="1" t="n">
        <v>44482</v>
      </c>
      <c r="C331" s="1" t="n">
        <v>46003</v>
      </c>
      <c r="D331" t="inlineStr">
        <is>
          <t>UPPSALA LÄN</t>
        </is>
      </c>
      <c r="E331" t="inlineStr">
        <is>
          <t>ENKÖPING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5188-2022</t>
        </is>
      </c>
      <c r="B332" s="1" t="n">
        <v>44594.4471412037</v>
      </c>
      <c r="C332" s="1" t="n">
        <v>46003</v>
      </c>
      <c r="D332" t="inlineStr">
        <is>
          <t>UPPSALA LÄN</t>
        </is>
      </c>
      <c r="E332" t="inlineStr">
        <is>
          <t>ENKÖPING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19014-2025</t>
        </is>
      </c>
      <c r="B333" s="1" t="n">
        <v>45764.59631944444</v>
      </c>
      <c r="C333" s="1" t="n">
        <v>46003</v>
      </c>
      <c r="D333" t="inlineStr">
        <is>
          <t>UPPSALA LÄN</t>
        </is>
      </c>
      <c r="E333" t="inlineStr">
        <is>
          <t>ENKÖPING</t>
        </is>
      </c>
      <c r="G333" t="n">
        <v>0.2</v>
      </c>
      <c r="H333" t="n">
        <v>0</v>
      </c>
      <c r="I333" t="n">
        <v>0</v>
      </c>
      <c r="J333" t="n">
        <v>0</v>
      </c>
      <c r="K333" t="n">
        <v>0</v>
      </c>
      <c r="L333" t="n">
        <v>0</v>
      </c>
      <c r="M333" t="n">
        <v>0</v>
      </c>
      <c r="N333" t="n">
        <v>0</v>
      </c>
      <c r="O333" t="n">
        <v>0</v>
      </c>
      <c r="P333" t="n">
        <v>0</v>
      </c>
      <c r="Q333" t="n">
        <v>0</v>
      </c>
      <c r="R333" s="2" t="inlineStr"/>
    </row>
    <row r="334" ht="15" customHeight="1">
      <c r="A334" t="inlineStr">
        <is>
          <t>A 43691-2024</t>
        </is>
      </c>
      <c r="B334" s="1" t="n">
        <v>45569</v>
      </c>
      <c r="C334" s="1" t="n">
        <v>46003</v>
      </c>
      <c r="D334" t="inlineStr">
        <is>
          <t>UPPSALA LÄN</t>
        </is>
      </c>
      <c r="E334" t="inlineStr">
        <is>
          <t>ENKÖPING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30087-2024</t>
        </is>
      </c>
      <c r="B335" s="1" t="n">
        <v>45489.39447916667</v>
      </c>
      <c r="C335" s="1" t="n">
        <v>46003</v>
      </c>
      <c r="D335" t="inlineStr">
        <is>
          <t>UPPSALA LÄN</t>
        </is>
      </c>
      <c r="E335" t="inlineStr">
        <is>
          <t>ENKÖPING</t>
        </is>
      </c>
      <c r="G335" t="n">
        <v>1.4</v>
      </c>
      <c r="H335" t="n">
        <v>0</v>
      </c>
      <c r="I335" t="n">
        <v>0</v>
      </c>
      <c r="J335" t="n">
        <v>0</v>
      </c>
      <c r="K335" t="n">
        <v>0</v>
      </c>
      <c r="L335" t="n">
        <v>0</v>
      </c>
      <c r="M335" t="n">
        <v>0</v>
      </c>
      <c r="N335" t="n">
        <v>0</v>
      </c>
      <c r="O335" t="n">
        <v>0</v>
      </c>
      <c r="P335" t="n">
        <v>0</v>
      </c>
      <c r="Q335" t="n">
        <v>0</v>
      </c>
      <c r="R335" s="2" t="inlineStr"/>
    </row>
    <row r="336" ht="15" customHeight="1">
      <c r="A336" t="inlineStr">
        <is>
          <t>A 19376-2024</t>
        </is>
      </c>
      <c r="B336" s="1" t="n">
        <v>45429</v>
      </c>
      <c r="C336" s="1" t="n">
        <v>46003</v>
      </c>
      <c r="D336" t="inlineStr">
        <is>
          <t>UPPSALA LÄN</t>
        </is>
      </c>
      <c r="E336" t="inlineStr">
        <is>
          <t>ENKÖPING</t>
        </is>
      </c>
      <c r="G336" t="n">
        <v>1.6</v>
      </c>
      <c r="H336" t="n">
        <v>0</v>
      </c>
      <c r="I336" t="n">
        <v>0</v>
      </c>
      <c r="J336" t="n">
        <v>0</v>
      </c>
      <c r="K336" t="n">
        <v>0</v>
      </c>
      <c r="L336" t="n">
        <v>0</v>
      </c>
      <c r="M336" t="n">
        <v>0</v>
      </c>
      <c r="N336" t="n">
        <v>0</v>
      </c>
      <c r="O336" t="n">
        <v>0</v>
      </c>
      <c r="P336" t="n">
        <v>0</v>
      </c>
      <c r="Q336" t="n">
        <v>0</v>
      </c>
      <c r="R336" s="2" t="inlineStr"/>
    </row>
    <row r="337" ht="15" customHeight="1">
      <c r="A337" t="inlineStr">
        <is>
          <t>A 53586-2024</t>
        </is>
      </c>
      <c r="B337" s="1" t="n">
        <v>45614</v>
      </c>
      <c r="C337" s="1" t="n">
        <v>46003</v>
      </c>
      <c r="D337" t="inlineStr">
        <is>
          <t>UPPSALA LÄN</t>
        </is>
      </c>
      <c r="E337" t="inlineStr">
        <is>
          <t>ENKÖPING</t>
        </is>
      </c>
      <c r="G337" t="n">
        <v>6.6</v>
      </c>
      <c r="H337" t="n">
        <v>0</v>
      </c>
      <c r="I337" t="n">
        <v>0</v>
      </c>
      <c r="J337" t="n">
        <v>0</v>
      </c>
      <c r="K337" t="n">
        <v>0</v>
      </c>
      <c r="L337" t="n">
        <v>0</v>
      </c>
      <c r="M337" t="n">
        <v>0</v>
      </c>
      <c r="N337" t="n">
        <v>0</v>
      </c>
      <c r="O337" t="n">
        <v>0</v>
      </c>
      <c r="P337" t="n">
        <v>0</v>
      </c>
      <c r="Q337" t="n">
        <v>0</v>
      </c>
      <c r="R337" s="2" t="inlineStr"/>
    </row>
    <row r="338" ht="15" customHeight="1">
      <c r="A338" t="inlineStr">
        <is>
          <t>A 41618-2025</t>
        </is>
      </c>
      <c r="B338" s="1" t="n">
        <v>45901.70085648148</v>
      </c>
      <c r="C338" s="1" t="n">
        <v>46003</v>
      </c>
      <c r="D338" t="inlineStr">
        <is>
          <t>UPPSALA LÄN</t>
        </is>
      </c>
      <c r="E338" t="inlineStr">
        <is>
          <t>ENKÖPING</t>
        </is>
      </c>
      <c r="F338" t="inlineStr">
        <is>
          <t>Allmännings- och besparingsskogar</t>
        </is>
      </c>
      <c r="G338" t="n">
        <v>5.3</v>
      </c>
      <c r="H338" t="n">
        <v>0</v>
      </c>
      <c r="I338" t="n">
        <v>0</v>
      </c>
      <c r="J338" t="n">
        <v>0</v>
      </c>
      <c r="K338" t="n">
        <v>0</v>
      </c>
      <c r="L338" t="n">
        <v>0</v>
      </c>
      <c r="M338" t="n">
        <v>0</v>
      </c>
      <c r="N338" t="n">
        <v>0</v>
      </c>
      <c r="O338" t="n">
        <v>0</v>
      </c>
      <c r="P338" t="n">
        <v>0</v>
      </c>
      <c r="Q338" t="n">
        <v>0</v>
      </c>
      <c r="R338" s="2" t="inlineStr"/>
    </row>
    <row r="339" ht="15" customHeight="1">
      <c r="A339" t="inlineStr">
        <is>
          <t>A 33670-2024</t>
        </is>
      </c>
      <c r="B339" s="1" t="n">
        <v>45520</v>
      </c>
      <c r="C339" s="1" t="n">
        <v>46003</v>
      </c>
      <c r="D339" t="inlineStr">
        <is>
          <t>UPPSALA LÄN</t>
        </is>
      </c>
      <c r="E339" t="inlineStr">
        <is>
          <t>ENKÖPING</t>
        </is>
      </c>
      <c r="G339" t="n">
        <v>1.9</v>
      </c>
      <c r="H339" t="n">
        <v>0</v>
      </c>
      <c r="I339" t="n">
        <v>0</v>
      </c>
      <c r="J339" t="n">
        <v>0</v>
      </c>
      <c r="K339" t="n">
        <v>0</v>
      </c>
      <c r="L339" t="n">
        <v>0</v>
      </c>
      <c r="M339" t="n">
        <v>0</v>
      </c>
      <c r="N339" t="n">
        <v>0</v>
      </c>
      <c r="O339" t="n">
        <v>0</v>
      </c>
      <c r="P339" t="n">
        <v>0</v>
      </c>
      <c r="Q339" t="n">
        <v>0</v>
      </c>
      <c r="R339" s="2" t="inlineStr"/>
    </row>
    <row r="340" ht="15" customHeight="1">
      <c r="A340" t="inlineStr">
        <is>
          <t>A 51034-2024</t>
        </is>
      </c>
      <c r="B340" s="1" t="n">
        <v>45603.4262037037</v>
      </c>
      <c r="C340" s="1" t="n">
        <v>46003</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51036-2024</t>
        </is>
      </c>
      <c r="B341" s="1" t="n">
        <v>45603.42839120371</v>
      </c>
      <c r="C341" s="1" t="n">
        <v>46003</v>
      </c>
      <c r="D341" t="inlineStr">
        <is>
          <t>UPPSALA LÄN</t>
        </is>
      </c>
      <c r="E341" t="inlineStr">
        <is>
          <t>ENKÖPING</t>
        </is>
      </c>
      <c r="G341" t="n">
        <v>2.6</v>
      </c>
      <c r="H341" t="n">
        <v>0</v>
      </c>
      <c r="I341" t="n">
        <v>0</v>
      </c>
      <c r="J341" t="n">
        <v>0</v>
      </c>
      <c r="K341" t="n">
        <v>0</v>
      </c>
      <c r="L341" t="n">
        <v>0</v>
      </c>
      <c r="M341" t="n">
        <v>0</v>
      </c>
      <c r="N341" t="n">
        <v>0</v>
      </c>
      <c r="O341" t="n">
        <v>0</v>
      </c>
      <c r="P341" t="n">
        <v>0</v>
      </c>
      <c r="Q341" t="n">
        <v>0</v>
      </c>
      <c r="R341" s="2" t="inlineStr"/>
    </row>
    <row r="342" ht="15" customHeight="1">
      <c r="A342" t="inlineStr">
        <is>
          <t>A 43492-2023</t>
        </is>
      </c>
      <c r="B342" s="1" t="n">
        <v>45181</v>
      </c>
      <c r="C342" s="1" t="n">
        <v>46003</v>
      </c>
      <c r="D342" t="inlineStr">
        <is>
          <t>UPPSALA LÄN</t>
        </is>
      </c>
      <c r="E342" t="inlineStr">
        <is>
          <t>ENKÖPING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22677-2025</t>
        </is>
      </c>
      <c r="B343" s="1" t="n">
        <v>45789.49515046296</v>
      </c>
      <c r="C343" s="1" t="n">
        <v>46003</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22679-2025</t>
        </is>
      </c>
      <c r="B344" s="1" t="n">
        <v>45789.49747685185</v>
      </c>
      <c r="C344" s="1" t="n">
        <v>46003</v>
      </c>
      <c r="D344" t="inlineStr">
        <is>
          <t>UPPSALA LÄN</t>
        </is>
      </c>
      <c r="E344" t="inlineStr">
        <is>
          <t>ENKÖPING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22729-2025</t>
        </is>
      </c>
      <c r="B345" s="1" t="n">
        <v>45789.57790509259</v>
      </c>
      <c r="C345" s="1" t="n">
        <v>46003</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41765-2025</t>
        </is>
      </c>
      <c r="B346" s="1" t="n">
        <v>45902</v>
      </c>
      <c r="C346" s="1" t="n">
        <v>46003</v>
      </c>
      <c r="D346" t="inlineStr">
        <is>
          <t>UPPSALA LÄN</t>
        </is>
      </c>
      <c r="E346" t="inlineStr">
        <is>
          <t>ENKÖPING</t>
        </is>
      </c>
      <c r="G346" t="n">
        <v>2.7</v>
      </c>
      <c r="H346" t="n">
        <v>0</v>
      </c>
      <c r="I346" t="n">
        <v>0</v>
      </c>
      <c r="J346" t="n">
        <v>0</v>
      </c>
      <c r="K346" t="n">
        <v>0</v>
      </c>
      <c r="L346" t="n">
        <v>0</v>
      </c>
      <c r="M346" t="n">
        <v>0</v>
      </c>
      <c r="N346" t="n">
        <v>0</v>
      </c>
      <c r="O346" t="n">
        <v>0</v>
      </c>
      <c r="P346" t="n">
        <v>0</v>
      </c>
      <c r="Q346" t="n">
        <v>0</v>
      </c>
      <c r="R346" s="2" t="inlineStr"/>
    </row>
    <row r="347" ht="15" customHeight="1">
      <c r="A347" t="inlineStr">
        <is>
          <t>A 41616-2025</t>
        </is>
      </c>
      <c r="B347" s="1" t="n">
        <v>45901.69684027778</v>
      </c>
      <c r="C347" s="1" t="n">
        <v>46003</v>
      </c>
      <c r="D347" t="inlineStr">
        <is>
          <t>UPPSALA LÄN</t>
        </is>
      </c>
      <c r="E347" t="inlineStr">
        <is>
          <t>ENKÖPING</t>
        </is>
      </c>
      <c r="F347" t="inlineStr">
        <is>
          <t>Allmännings- och besparingsskogar</t>
        </is>
      </c>
      <c r="G347" t="n">
        <v>17.3</v>
      </c>
      <c r="H347" t="n">
        <v>0</v>
      </c>
      <c r="I347" t="n">
        <v>0</v>
      </c>
      <c r="J347" t="n">
        <v>0</v>
      </c>
      <c r="K347" t="n">
        <v>0</v>
      </c>
      <c r="L347" t="n">
        <v>0</v>
      </c>
      <c r="M347" t="n">
        <v>0</v>
      </c>
      <c r="N347" t="n">
        <v>0</v>
      </c>
      <c r="O347" t="n">
        <v>0</v>
      </c>
      <c r="P347" t="n">
        <v>0</v>
      </c>
      <c r="Q347" t="n">
        <v>0</v>
      </c>
      <c r="R347" s="2" t="inlineStr"/>
    </row>
    <row r="348" ht="15" customHeight="1">
      <c r="A348" t="inlineStr">
        <is>
          <t>A 22786-2025</t>
        </is>
      </c>
      <c r="B348" s="1" t="n">
        <v>45789.64643518518</v>
      </c>
      <c r="C348" s="1" t="n">
        <v>46003</v>
      </c>
      <c r="D348" t="inlineStr">
        <is>
          <t>UPPSALA LÄN</t>
        </is>
      </c>
      <c r="E348" t="inlineStr">
        <is>
          <t>ENKÖPING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19147-2024</t>
        </is>
      </c>
      <c r="B349" s="1" t="n">
        <v>45428</v>
      </c>
      <c r="C349" s="1" t="n">
        <v>46003</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1536-2024</t>
        </is>
      </c>
      <c r="B350" s="1" t="n">
        <v>45306</v>
      </c>
      <c r="C350" s="1" t="n">
        <v>46003</v>
      </c>
      <c r="D350" t="inlineStr">
        <is>
          <t>UPPSALA LÄN</t>
        </is>
      </c>
      <c r="E350" t="inlineStr">
        <is>
          <t>ENKÖPING</t>
        </is>
      </c>
      <c r="F350" t="inlineStr">
        <is>
          <t>Kyrkan</t>
        </is>
      </c>
      <c r="G350" t="n">
        <v>5.6</v>
      </c>
      <c r="H350" t="n">
        <v>0</v>
      </c>
      <c r="I350" t="n">
        <v>0</v>
      </c>
      <c r="J350" t="n">
        <v>0</v>
      </c>
      <c r="K350" t="n">
        <v>0</v>
      </c>
      <c r="L350" t="n">
        <v>0</v>
      </c>
      <c r="M350" t="n">
        <v>0</v>
      </c>
      <c r="N350" t="n">
        <v>0</v>
      </c>
      <c r="O350" t="n">
        <v>0</v>
      </c>
      <c r="P350" t="n">
        <v>0</v>
      </c>
      <c r="Q350" t="n">
        <v>0</v>
      </c>
      <c r="R350" s="2" t="inlineStr"/>
    </row>
    <row r="351" ht="15" customHeight="1">
      <c r="A351" t="inlineStr">
        <is>
          <t>A 22795-2025</t>
        </is>
      </c>
      <c r="B351" s="1" t="n">
        <v>45789.65944444444</v>
      </c>
      <c r="C351" s="1" t="n">
        <v>46003</v>
      </c>
      <c r="D351" t="inlineStr">
        <is>
          <t>UPPSALA LÄN</t>
        </is>
      </c>
      <c r="E351" t="inlineStr">
        <is>
          <t>ENKÖPING</t>
        </is>
      </c>
      <c r="G351" t="n">
        <v>10.4</v>
      </c>
      <c r="H351" t="n">
        <v>0</v>
      </c>
      <c r="I351" t="n">
        <v>0</v>
      </c>
      <c r="J351" t="n">
        <v>0</v>
      </c>
      <c r="K351" t="n">
        <v>0</v>
      </c>
      <c r="L351" t="n">
        <v>0</v>
      </c>
      <c r="M351" t="n">
        <v>0</v>
      </c>
      <c r="N351" t="n">
        <v>0</v>
      </c>
      <c r="O351" t="n">
        <v>0</v>
      </c>
      <c r="P351" t="n">
        <v>0</v>
      </c>
      <c r="Q351" t="n">
        <v>0</v>
      </c>
      <c r="R351" s="2" t="inlineStr"/>
    </row>
    <row r="352" ht="15" customHeight="1">
      <c r="A352" t="inlineStr">
        <is>
          <t>A 41637-2025</t>
        </is>
      </c>
      <c r="B352" s="1" t="n">
        <v>45901</v>
      </c>
      <c r="C352" s="1" t="n">
        <v>46003</v>
      </c>
      <c r="D352" t="inlineStr">
        <is>
          <t>UPPSALA LÄN</t>
        </is>
      </c>
      <c r="E352" t="inlineStr">
        <is>
          <t>ENKÖPING</t>
        </is>
      </c>
      <c r="F352" t="inlineStr">
        <is>
          <t>Allmännings- och besparingsskogar</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67982-2021</t>
        </is>
      </c>
      <c r="B353" s="1" t="n">
        <v>44525</v>
      </c>
      <c r="C353" s="1" t="n">
        <v>46003</v>
      </c>
      <c r="D353" t="inlineStr">
        <is>
          <t>UPPSALA LÄN</t>
        </is>
      </c>
      <c r="E353" t="inlineStr">
        <is>
          <t>ENKÖPING</t>
        </is>
      </c>
      <c r="G353" t="n">
        <v>1.7</v>
      </c>
      <c r="H353" t="n">
        <v>0</v>
      </c>
      <c r="I353" t="n">
        <v>0</v>
      </c>
      <c r="J353" t="n">
        <v>0</v>
      </c>
      <c r="K353" t="n">
        <v>0</v>
      </c>
      <c r="L353" t="n">
        <v>0</v>
      </c>
      <c r="M353" t="n">
        <v>0</v>
      </c>
      <c r="N353" t="n">
        <v>0</v>
      </c>
      <c r="O353" t="n">
        <v>0</v>
      </c>
      <c r="P353" t="n">
        <v>0</v>
      </c>
      <c r="Q353" t="n">
        <v>0</v>
      </c>
      <c r="R353" s="2" t="inlineStr"/>
    </row>
    <row r="354" ht="15" customHeight="1">
      <c r="A354" t="inlineStr">
        <is>
          <t>A 2974-2025</t>
        </is>
      </c>
      <c r="B354" s="1" t="n">
        <v>45678.47168981482</v>
      </c>
      <c r="C354" s="1" t="n">
        <v>46003</v>
      </c>
      <c r="D354" t="inlineStr">
        <is>
          <t>UPPSALA LÄN</t>
        </is>
      </c>
      <c r="E354" t="inlineStr">
        <is>
          <t>ENKÖPING</t>
        </is>
      </c>
      <c r="G354" t="n">
        <v>1.6</v>
      </c>
      <c r="H354" t="n">
        <v>0</v>
      </c>
      <c r="I354" t="n">
        <v>0</v>
      </c>
      <c r="J354" t="n">
        <v>0</v>
      </c>
      <c r="K354" t="n">
        <v>0</v>
      </c>
      <c r="L354" t="n">
        <v>0</v>
      </c>
      <c r="M354" t="n">
        <v>0</v>
      </c>
      <c r="N354" t="n">
        <v>0</v>
      </c>
      <c r="O354" t="n">
        <v>0</v>
      </c>
      <c r="P354" t="n">
        <v>0</v>
      </c>
      <c r="Q354" t="n">
        <v>0</v>
      </c>
      <c r="R354" s="2" t="inlineStr"/>
    </row>
    <row r="355" ht="15" customHeight="1">
      <c r="A355" t="inlineStr">
        <is>
          <t>A 16916-2023</t>
        </is>
      </c>
      <c r="B355" s="1" t="n">
        <v>45033.58347222222</v>
      </c>
      <c r="C355" s="1" t="n">
        <v>46003</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22802-2025</t>
        </is>
      </c>
      <c r="B356" s="1" t="n">
        <v>45789.6686574074</v>
      </c>
      <c r="C356" s="1" t="n">
        <v>46003</v>
      </c>
      <c r="D356" t="inlineStr">
        <is>
          <t>UPPSALA LÄN</t>
        </is>
      </c>
      <c r="E356" t="inlineStr">
        <is>
          <t>ENKÖPING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47516-2022</t>
        </is>
      </c>
      <c r="B357" s="1" t="n">
        <v>44853.68895833333</v>
      </c>
      <c r="C357" s="1" t="n">
        <v>46003</v>
      </c>
      <c r="D357" t="inlineStr">
        <is>
          <t>UPPSALA LÄN</t>
        </is>
      </c>
      <c r="E357" t="inlineStr">
        <is>
          <t>ENKÖPING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57835-2024</t>
        </is>
      </c>
      <c r="B358" s="1" t="n">
        <v>45631.39947916667</v>
      </c>
      <c r="C358" s="1" t="n">
        <v>46003</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16920-2023</t>
        </is>
      </c>
      <c r="B359" s="1" t="n">
        <v>45033.59030092593</v>
      </c>
      <c r="C359" s="1" t="n">
        <v>46003</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21612-2023</t>
        </is>
      </c>
      <c r="B360" s="1" t="n">
        <v>45063</v>
      </c>
      <c r="C360" s="1" t="n">
        <v>46003</v>
      </c>
      <c r="D360" t="inlineStr">
        <is>
          <t>UPPSALA LÄN</t>
        </is>
      </c>
      <c r="E360" t="inlineStr">
        <is>
          <t>ENKÖPING</t>
        </is>
      </c>
      <c r="F360" t="inlineStr">
        <is>
          <t>Allmännings- och besparingsskogar</t>
        </is>
      </c>
      <c r="G360" t="n">
        <v>1</v>
      </c>
      <c r="H360" t="n">
        <v>0</v>
      </c>
      <c r="I360" t="n">
        <v>0</v>
      </c>
      <c r="J360" t="n">
        <v>0</v>
      </c>
      <c r="K360" t="n">
        <v>0</v>
      </c>
      <c r="L360" t="n">
        <v>0</v>
      </c>
      <c r="M360" t="n">
        <v>0</v>
      </c>
      <c r="N360" t="n">
        <v>0</v>
      </c>
      <c r="O360" t="n">
        <v>0</v>
      </c>
      <c r="P360" t="n">
        <v>0</v>
      </c>
      <c r="Q360" t="n">
        <v>0</v>
      </c>
      <c r="R360" s="2" t="inlineStr"/>
    </row>
    <row r="361" ht="15" customHeight="1">
      <c r="A361" t="inlineStr">
        <is>
          <t>A 39624-2023</t>
        </is>
      </c>
      <c r="B361" s="1" t="n">
        <v>45164</v>
      </c>
      <c r="C361" s="1" t="n">
        <v>46003</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42029-2025</t>
        </is>
      </c>
      <c r="B362" s="1" t="n">
        <v>45903</v>
      </c>
      <c r="C362" s="1" t="n">
        <v>46003</v>
      </c>
      <c r="D362" t="inlineStr">
        <is>
          <t>UPPSALA LÄN</t>
        </is>
      </c>
      <c r="E362" t="inlineStr">
        <is>
          <t>ENKÖPING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5892-2023</t>
        </is>
      </c>
      <c r="B363" s="1" t="n">
        <v>44963.64883101852</v>
      </c>
      <c r="C363" s="1" t="n">
        <v>46003</v>
      </c>
      <c r="D363" t="inlineStr">
        <is>
          <t>UPPSALA LÄN</t>
        </is>
      </c>
      <c r="E363" t="inlineStr">
        <is>
          <t>ENKÖPING</t>
        </is>
      </c>
      <c r="G363" t="n">
        <v>5.5</v>
      </c>
      <c r="H363" t="n">
        <v>0</v>
      </c>
      <c r="I363" t="n">
        <v>0</v>
      </c>
      <c r="J363" t="n">
        <v>0</v>
      </c>
      <c r="K363" t="n">
        <v>0</v>
      </c>
      <c r="L363" t="n">
        <v>0</v>
      </c>
      <c r="M363" t="n">
        <v>0</v>
      </c>
      <c r="N363" t="n">
        <v>0</v>
      </c>
      <c r="O363" t="n">
        <v>0</v>
      </c>
      <c r="P363" t="n">
        <v>0</v>
      </c>
      <c r="Q363" t="n">
        <v>0</v>
      </c>
      <c r="R363" s="2" t="inlineStr"/>
    </row>
    <row r="364" ht="15" customHeight="1">
      <c r="A364" t="inlineStr">
        <is>
          <t>A 52388-2024</t>
        </is>
      </c>
      <c r="B364" s="1" t="n">
        <v>45609.42939814815</v>
      </c>
      <c r="C364" s="1" t="n">
        <v>46003</v>
      </c>
      <c r="D364" t="inlineStr">
        <is>
          <t>UPPSALA LÄN</t>
        </is>
      </c>
      <c r="E364" t="inlineStr">
        <is>
          <t>ENKÖPING</t>
        </is>
      </c>
      <c r="G364" t="n">
        <v>1.8</v>
      </c>
      <c r="H364" t="n">
        <v>0</v>
      </c>
      <c r="I364" t="n">
        <v>0</v>
      </c>
      <c r="J364" t="n">
        <v>0</v>
      </c>
      <c r="K364" t="n">
        <v>0</v>
      </c>
      <c r="L364" t="n">
        <v>0</v>
      </c>
      <c r="M364" t="n">
        <v>0</v>
      </c>
      <c r="N364" t="n">
        <v>0</v>
      </c>
      <c r="O364" t="n">
        <v>0</v>
      </c>
      <c r="P364" t="n">
        <v>0</v>
      </c>
      <c r="Q364" t="n">
        <v>0</v>
      </c>
      <c r="R364" s="2" t="inlineStr"/>
    </row>
    <row r="365" ht="15" customHeight="1">
      <c r="A365" t="inlineStr">
        <is>
          <t>A 39858-2024</t>
        </is>
      </c>
      <c r="B365" s="1" t="n">
        <v>45553</v>
      </c>
      <c r="C365" s="1" t="n">
        <v>46003</v>
      </c>
      <c r="D365" t="inlineStr">
        <is>
          <t>UPPSALA LÄN</t>
        </is>
      </c>
      <c r="E365" t="inlineStr">
        <is>
          <t>ENKÖPING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12434-2021</t>
        </is>
      </c>
      <c r="B366" s="1" t="n">
        <v>44267</v>
      </c>
      <c r="C366" s="1" t="n">
        <v>46003</v>
      </c>
      <c r="D366" t="inlineStr">
        <is>
          <t>UPPSALA LÄN</t>
        </is>
      </c>
      <c r="E366" t="inlineStr">
        <is>
          <t>ENKÖPING</t>
        </is>
      </c>
      <c r="G366" t="n">
        <v>5.3</v>
      </c>
      <c r="H366" t="n">
        <v>0</v>
      </c>
      <c r="I366" t="n">
        <v>0</v>
      </c>
      <c r="J366" t="n">
        <v>0</v>
      </c>
      <c r="K366" t="n">
        <v>0</v>
      </c>
      <c r="L366" t="n">
        <v>0</v>
      </c>
      <c r="M366" t="n">
        <v>0</v>
      </c>
      <c r="N366" t="n">
        <v>0</v>
      </c>
      <c r="O366" t="n">
        <v>0</v>
      </c>
      <c r="P366" t="n">
        <v>0</v>
      </c>
      <c r="Q366" t="n">
        <v>0</v>
      </c>
      <c r="R366" s="2" t="inlineStr"/>
    </row>
    <row r="367" ht="15" customHeight="1">
      <c r="A367" t="inlineStr">
        <is>
          <t>A 42756-2025</t>
        </is>
      </c>
      <c r="B367" s="1" t="n">
        <v>45908</v>
      </c>
      <c r="C367" s="1" t="n">
        <v>46003</v>
      </c>
      <c r="D367" t="inlineStr">
        <is>
          <t>UPPSALA LÄN</t>
        </is>
      </c>
      <c r="E367" t="inlineStr">
        <is>
          <t>ENKÖPING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22680-2025</t>
        </is>
      </c>
      <c r="B368" s="1" t="n">
        <v>45789.5005787037</v>
      </c>
      <c r="C368" s="1" t="n">
        <v>46003</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6981-2025</t>
        </is>
      </c>
      <c r="B369" s="1" t="n">
        <v>45701</v>
      </c>
      <c r="C369" s="1" t="n">
        <v>46003</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1992-2022</t>
        </is>
      </c>
      <c r="B370" s="1" t="n">
        <v>44575.56153935185</v>
      </c>
      <c r="C370" s="1" t="n">
        <v>46003</v>
      </c>
      <c r="D370" t="inlineStr">
        <is>
          <t>UPPSALA LÄN</t>
        </is>
      </c>
      <c r="E370" t="inlineStr">
        <is>
          <t>ENKÖPING</t>
        </is>
      </c>
      <c r="G370" t="n">
        <v>2.8</v>
      </c>
      <c r="H370" t="n">
        <v>0</v>
      </c>
      <c r="I370" t="n">
        <v>0</v>
      </c>
      <c r="J370" t="n">
        <v>0</v>
      </c>
      <c r="K370" t="n">
        <v>0</v>
      </c>
      <c r="L370" t="n">
        <v>0</v>
      </c>
      <c r="M370" t="n">
        <v>0</v>
      </c>
      <c r="N370" t="n">
        <v>0</v>
      </c>
      <c r="O370" t="n">
        <v>0</v>
      </c>
      <c r="P370" t="n">
        <v>0</v>
      </c>
      <c r="Q370" t="n">
        <v>0</v>
      </c>
      <c r="R370" s="2" t="inlineStr"/>
    </row>
    <row r="371" ht="15" customHeight="1">
      <c r="A371" t="inlineStr">
        <is>
          <t>A 6626-2023</t>
        </is>
      </c>
      <c r="B371" s="1" t="n">
        <v>44966.55946759259</v>
      </c>
      <c r="C371" s="1" t="n">
        <v>46003</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48843-2023</t>
        </is>
      </c>
      <c r="B372" s="1" t="n">
        <v>45209</v>
      </c>
      <c r="C372" s="1" t="n">
        <v>46003</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22770-2025</t>
        </is>
      </c>
      <c r="B373" s="1" t="n">
        <v>45789.63454861111</v>
      </c>
      <c r="C373" s="1" t="n">
        <v>46003</v>
      </c>
      <c r="D373" t="inlineStr">
        <is>
          <t>UPPSALA LÄN</t>
        </is>
      </c>
      <c r="E373" t="inlineStr">
        <is>
          <t>ENKÖPING</t>
        </is>
      </c>
      <c r="G373" t="n">
        <v>4.5</v>
      </c>
      <c r="H373" t="n">
        <v>0</v>
      </c>
      <c r="I373" t="n">
        <v>0</v>
      </c>
      <c r="J373" t="n">
        <v>0</v>
      </c>
      <c r="K373" t="n">
        <v>0</v>
      </c>
      <c r="L373" t="n">
        <v>0</v>
      </c>
      <c r="M373" t="n">
        <v>0</v>
      </c>
      <c r="N373" t="n">
        <v>0</v>
      </c>
      <c r="O373" t="n">
        <v>0</v>
      </c>
      <c r="P373" t="n">
        <v>0</v>
      </c>
      <c r="Q373" t="n">
        <v>0</v>
      </c>
      <c r="R373" s="2" t="inlineStr"/>
    </row>
    <row r="374" ht="15" customHeight="1">
      <c r="A374" t="inlineStr">
        <is>
          <t>A 57940-2022</t>
        </is>
      </c>
      <c r="B374" s="1" t="n">
        <v>44900</v>
      </c>
      <c r="C374" s="1" t="n">
        <v>46003</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9957-2023</t>
        </is>
      </c>
      <c r="B375" s="1" t="n">
        <v>44978</v>
      </c>
      <c r="C375" s="1" t="n">
        <v>46003</v>
      </c>
      <c r="D375" t="inlineStr">
        <is>
          <t>UPPSALA LÄN</t>
        </is>
      </c>
      <c r="E375" t="inlineStr">
        <is>
          <t>ENKÖPING</t>
        </is>
      </c>
      <c r="G375" t="n">
        <v>5.9</v>
      </c>
      <c r="H375" t="n">
        <v>0</v>
      </c>
      <c r="I375" t="n">
        <v>0</v>
      </c>
      <c r="J375" t="n">
        <v>0</v>
      </c>
      <c r="K375" t="n">
        <v>0</v>
      </c>
      <c r="L375" t="n">
        <v>0</v>
      </c>
      <c r="M375" t="n">
        <v>0</v>
      </c>
      <c r="N375" t="n">
        <v>0</v>
      </c>
      <c r="O375" t="n">
        <v>0</v>
      </c>
      <c r="P375" t="n">
        <v>0</v>
      </c>
      <c r="Q375" t="n">
        <v>0</v>
      </c>
      <c r="R375" s="2" t="inlineStr"/>
    </row>
    <row r="376" ht="15" customHeight="1">
      <c r="A376" t="inlineStr">
        <is>
          <t>A 35079-2024</t>
        </is>
      </c>
      <c r="B376" s="1" t="n">
        <v>45527.66770833333</v>
      </c>
      <c r="C376" s="1" t="n">
        <v>46003</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22725-2025</t>
        </is>
      </c>
      <c r="B377" s="1" t="n">
        <v>45789.57371527778</v>
      </c>
      <c r="C377" s="1" t="n">
        <v>46003</v>
      </c>
      <c r="D377" t="inlineStr">
        <is>
          <t>UPPSALA LÄN</t>
        </is>
      </c>
      <c r="E377" t="inlineStr">
        <is>
          <t>ENKÖPING</t>
        </is>
      </c>
      <c r="G377" t="n">
        <v>4.8</v>
      </c>
      <c r="H377" t="n">
        <v>0</v>
      </c>
      <c r="I377" t="n">
        <v>0</v>
      </c>
      <c r="J377" t="n">
        <v>0</v>
      </c>
      <c r="K377" t="n">
        <v>0</v>
      </c>
      <c r="L377" t="n">
        <v>0</v>
      </c>
      <c r="M377" t="n">
        <v>0</v>
      </c>
      <c r="N377" t="n">
        <v>0</v>
      </c>
      <c r="O377" t="n">
        <v>0</v>
      </c>
      <c r="P377" t="n">
        <v>0</v>
      </c>
      <c r="Q377" t="n">
        <v>0</v>
      </c>
      <c r="R377" s="2" t="inlineStr"/>
    </row>
    <row r="378" ht="15" customHeight="1">
      <c r="A378" t="inlineStr">
        <is>
          <t>A 53595-2023</t>
        </is>
      </c>
      <c r="B378" s="1" t="n">
        <v>45223</v>
      </c>
      <c r="C378" s="1" t="n">
        <v>46003</v>
      </c>
      <c r="D378" t="inlineStr">
        <is>
          <t>UPPSALA LÄN</t>
        </is>
      </c>
      <c r="E378" t="inlineStr">
        <is>
          <t>ENKÖPING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22981-2025</t>
        </is>
      </c>
      <c r="B379" s="1" t="n">
        <v>45790.56964120371</v>
      </c>
      <c r="C379" s="1" t="n">
        <v>46003</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41764-2025</t>
        </is>
      </c>
      <c r="B380" s="1" t="n">
        <v>45902</v>
      </c>
      <c r="C380" s="1" t="n">
        <v>46003</v>
      </c>
      <c r="D380" t="inlineStr">
        <is>
          <t>UPPSALA LÄN</t>
        </is>
      </c>
      <c r="E380" t="inlineStr">
        <is>
          <t>ENKÖPING</t>
        </is>
      </c>
      <c r="G380" t="n">
        <v>2.7</v>
      </c>
      <c r="H380" t="n">
        <v>0</v>
      </c>
      <c r="I380" t="n">
        <v>0</v>
      </c>
      <c r="J380" t="n">
        <v>0</v>
      </c>
      <c r="K380" t="n">
        <v>0</v>
      </c>
      <c r="L380" t="n">
        <v>0</v>
      </c>
      <c r="M380" t="n">
        <v>0</v>
      </c>
      <c r="N380" t="n">
        <v>0</v>
      </c>
      <c r="O380" t="n">
        <v>0</v>
      </c>
      <c r="P380" t="n">
        <v>0</v>
      </c>
      <c r="Q380" t="n">
        <v>0</v>
      </c>
      <c r="R380" s="2" t="inlineStr"/>
    </row>
    <row r="381" ht="15" customHeight="1">
      <c r="A381" t="inlineStr">
        <is>
          <t>A 51042-2024</t>
        </is>
      </c>
      <c r="B381" s="1" t="n">
        <v>45603.4342824074</v>
      </c>
      <c r="C381" s="1" t="n">
        <v>46003</v>
      </c>
      <c r="D381" t="inlineStr">
        <is>
          <t>UPPSALA LÄN</t>
        </is>
      </c>
      <c r="E381" t="inlineStr">
        <is>
          <t>ENKÖPING</t>
        </is>
      </c>
      <c r="G381" t="n">
        <v>4.6</v>
      </c>
      <c r="H381" t="n">
        <v>0</v>
      </c>
      <c r="I381" t="n">
        <v>0</v>
      </c>
      <c r="J381" t="n">
        <v>0</v>
      </c>
      <c r="K381" t="n">
        <v>0</v>
      </c>
      <c r="L381" t="n">
        <v>0</v>
      </c>
      <c r="M381" t="n">
        <v>0</v>
      </c>
      <c r="N381" t="n">
        <v>0</v>
      </c>
      <c r="O381" t="n">
        <v>0</v>
      </c>
      <c r="P381" t="n">
        <v>0</v>
      </c>
      <c r="Q381" t="n">
        <v>0</v>
      </c>
      <c r="R381" s="2" t="inlineStr"/>
    </row>
    <row r="382" ht="15" customHeight="1">
      <c r="A382" t="inlineStr">
        <is>
          <t>A 22632-2025</t>
        </is>
      </c>
      <c r="B382" s="1" t="n">
        <v>45789.44361111111</v>
      </c>
      <c r="C382" s="1" t="n">
        <v>46003</v>
      </c>
      <c r="D382" t="inlineStr">
        <is>
          <t>UPPSALA LÄN</t>
        </is>
      </c>
      <c r="E382" t="inlineStr">
        <is>
          <t>ENKÖPING</t>
        </is>
      </c>
      <c r="G382" t="n">
        <v>2.1</v>
      </c>
      <c r="H382" t="n">
        <v>0</v>
      </c>
      <c r="I382" t="n">
        <v>0</v>
      </c>
      <c r="J382" t="n">
        <v>0</v>
      </c>
      <c r="K382" t="n">
        <v>0</v>
      </c>
      <c r="L382" t="n">
        <v>0</v>
      </c>
      <c r="M382" t="n">
        <v>0</v>
      </c>
      <c r="N382" t="n">
        <v>0</v>
      </c>
      <c r="O382" t="n">
        <v>0</v>
      </c>
      <c r="P382" t="n">
        <v>0</v>
      </c>
      <c r="Q382" t="n">
        <v>0</v>
      </c>
      <c r="R382" s="2" t="inlineStr"/>
    </row>
    <row r="383" ht="15" customHeight="1">
      <c r="A383" t="inlineStr">
        <is>
          <t>A 51037-2024</t>
        </is>
      </c>
      <c r="B383" s="1" t="n">
        <v>45603.43005787037</v>
      </c>
      <c r="C383" s="1" t="n">
        <v>46003</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68123-2021</t>
        </is>
      </c>
      <c r="B384" s="1" t="n">
        <v>44526.39126157408</v>
      </c>
      <c r="C384" s="1" t="n">
        <v>46003</v>
      </c>
      <c r="D384" t="inlineStr">
        <is>
          <t>UPPSALA LÄN</t>
        </is>
      </c>
      <c r="E384" t="inlineStr">
        <is>
          <t>ENKÖPING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22793-2025</t>
        </is>
      </c>
      <c r="B385" s="1" t="n">
        <v>45789.65693287037</v>
      </c>
      <c r="C385" s="1" t="n">
        <v>46003</v>
      </c>
      <c r="D385" t="inlineStr">
        <is>
          <t>UPPSALA LÄN</t>
        </is>
      </c>
      <c r="E385" t="inlineStr">
        <is>
          <t>ENKÖPING</t>
        </is>
      </c>
      <c r="G385" t="n">
        <v>3.2</v>
      </c>
      <c r="H385" t="n">
        <v>0</v>
      </c>
      <c r="I385" t="n">
        <v>0</v>
      </c>
      <c r="J385" t="n">
        <v>0</v>
      </c>
      <c r="K385" t="n">
        <v>0</v>
      </c>
      <c r="L385" t="n">
        <v>0</v>
      </c>
      <c r="M385" t="n">
        <v>0</v>
      </c>
      <c r="N385" t="n">
        <v>0</v>
      </c>
      <c r="O385" t="n">
        <v>0</v>
      </c>
      <c r="P385" t="n">
        <v>0</v>
      </c>
      <c r="Q385" t="n">
        <v>0</v>
      </c>
      <c r="R385" s="2" t="inlineStr"/>
    </row>
    <row r="386" ht="15" customHeight="1">
      <c r="A386" t="inlineStr">
        <is>
          <t>A 8152-2022</t>
        </is>
      </c>
      <c r="B386" s="1" t="n">
        <v>44609</v>
      </c>
      <c r="C386" s="1" t="n">
        <v>46003</v>
      </c>
      <c r="D386" t="inlineStr">
        <is>
          <t>UPPSALA LÄN</t>
        </is>
      </c>
      <c r="E386" t="inlineStr">
        <is>
          <t>ENKÖPING</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60533-2021</t>
        </is>
      </c>
      <c r="B387" s="1" t="n">
        <v>44496</v>
      </c>
      <c r="C387" s="1" t="n">
        <v>46003</v>
      </c>
      <c r="D387" t="inlineStr">
        <is>
          <t>UPPSALA LÄN</t>
        </is>
      </c>
      <c r="E387" t="inlineStr">
        <is>
          <t>ENKÖPING</t>
        </is>
      </c>
      <c r="G387" t="n">
        <v>2.2</v>
      </c>
      <c r="H387" t="n">
        <v>0</v>
      </c>
      <c r="I387" t="n">
        <v>0</v>
      </c>
      <c r="J387" t="n">
        <v>0</v>
      </c>
      <c r="K387" t="n">
        <v>0</v>
      </c>
      <c r="L387" t="n">
        <v>0</v>
      </c>
      <c r="M387" t="n">
        <v>0</v>
      </c>
      <c r="N387" t="n">
        <v>0</v>
      </c>
      <c r="O387" t="n">
        <v>0</v>
      </c>
      <c r="P387" t="n">
        <v>0</v>
      </c>
      <c r="Q387" t="n">
        <v>0</v>
      </c>
      <c r="R387" s="2" t="inlineStr"/>
    </row>
    <row r="388" ht="15" customHeight="1">
      <c r="A388" t="inlineStr">
        <is>
          <t>A 15757-2023</t>
        </is>
      </c>
      <c r="B388" s="1" t="n">
        <v>45021</v>
      </c>
      <c r="C388" s="1" t="n">
        <v>46003</v>
      </c>
      <c r="D388" t="inlineStr">
        <is>
          <t>UPPSALA LÄN</t>
        </is>
      </c>
      <c r="E388" t="inlineStr">
        <is>
          <t>ENKÖPING</t>
        </is>
      </c>
      <c r="G388" t="n">
        <v>3</v>
      </c>
      <c r="H388" t="n">
        <v>0</v>
      </c>
      <c r="I388" t="n">
        <v>0</v>
      </c>
      <c r="J388" t="n">
        <v>0</v>
      </c>
      <c r="K388" t="n">
        <v>0</v>
      </c>
      <c r="L388" t="n">
        <v>0</v>
      </c>
      <c r="M388" t="n">
        <v>0</v>
      </c>
      <c r="N388" t="n">
        <v>0</v>
      </c>
      <c r="O388" t="n">
        <v>0</v>
      </c>
      <c r="P388" t="n">
        <v>0</v>
      </c>
      <c r="Q388" t="n">
        <v>0</v>
      </c>
      <c r="R388" s="2" t="inlineStr"/>
    </row>
    <row r="389" ht="15" customHeight="1">
      <c r="A389" t="inlineStr">
        <is>
          <t>A 22800-2025</t>
        </is>
      </c>
      <c r="B389" s="1" t="n">
        <v>45789.6669212963</v>
      </c>
      <c r="C389" s="1" t="n">
        <v>46003</v>
      </c>
      <c r="D389" t="inlineStr">
        <is>
          <t>UPPSALA LÄN</t>
        </is>
      </c>
      <c r="E389" t="inlineStr">
        <is>
          <t>ENKÖPING</t>
        </is>
      </c>
      <c r="G389" t="n">
        <v>2</v>
      </c>
      <c r="H389" t="n">
        <v>0</v>
      </c>
      <c r="I389" t="n">
        <v>0</v>
      </c>
      <c r="J389" t="n">
        <v>0</v>
      </c>
      <c r="K389" t="n">
        <v>0</v>
      </c>
      <c r="L389" t="n">
        <v>0</v>
      </c>
      <c r="M389" t="n">
        <v>0</v>
      </c>
      <c r="N389" t="n">
        <v>0</v>
      </c>
      <c r="O389" t="n">
        <v>0</v>
      </c>
      <c r="P389" t="n">
        <v>0</v>
      </c>
      <c r="Q389" t="n">
        <v>0</v>
      </c>
      <c r="R389" s="2" t="inlineStr"/>
    </row>
    <row r="390" ht="15" customHeight="1">
      <c r="A390" t="inlineStr">
        <is>
          <t>A 51027-2024</t>
        </is>
      </c>
      <c r="B390" s="1" t="n">
        <v>45603</v>
      </c>
      <c r="C390" s="1" t="n">
        <v>46003</v>
      </c>
      <c r="D390" t="inlineStr">
        <is>
          <t>UPPSALA LÄN</t>
        </is>
      </c>
      <c r="E390" t="inlineStr">
        <is>
          <t>ENKÖPING</t>
        </is>
      </c>
      <c r="G390" t="n">
        <v>3.5</v>
      </c>
      <c r="H390" t="n">
        <v>0</v>
      </c>
      <c r="I390" t="n">
        <v>0</v>
      </c>
      <c r="J390" t="n">
        <v>0</v>
      </c>
      <c r="K390" t="n">
        <v>0</v>
      </c>
      <c r="L390" t="n">
        <v>0</v>
      </c>
      <c r="M390" t="n">
        <v>0</v>
      </c>
      <c r="N390" t="n">
        <v>0</v>
      </c>
      <c r="O390" t="n">
        <v>0</v>
      </c>
      <c r="P390" t="n">
        <v>0</v>
      </c>
      <c r="Q390" t="n">
        <v>0</v>
      </c>
      <c r="R390" s="2" t="inlineStr"/>
    </row>
    <row r="391" ht="15" customHeight="1">
      <c r="A391" t="inlineStr">
        <is>
          <t>A 43230-2023</t>
        </is>
      </c>
      <c r="B391" s="1" t="n">
        <v>45183</v>
      </c>
      <c r="C391" s="1" t="n">
        <v>46003</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56886-2023</t>
        </is>
      </c>
      <c r="B392" s="1" t="n">
        <v>45239</v>
      </c>
      <c r="C392" s="1" t="n">
        <v>46003</v>
      </c>
      <c r="D392" t="inlineStr">
        <is>
          <t>UPPSALA LÄN</t>
        </is>
      </c>
      <c r="E392" t="inlineStr">
        <is>
          <t>ENKÖPING</t>
        </is>
      </c>
      <c r="G392" t="n">
        <v>2</v>
      </c>
      <c r="H392" t="n">
        <v>0</v>
      </c>
      <c r="I392" t="n">
        <v>0</v>
      </c>
      <c r="J392" t="n">
        <v>0</v>
      </c>
      <c r="K392" t="n">
        <v>0</v>
      </c>
      <c r="L392" t="n">
        <v>0</v>
      </c>
      <c r="M392" t="n">
        <v>0</v>
      </c>
      <c r="N392" t="n">
        <v>0</v>
      </c>
      <c r="O392" t="n">
        <v>0</v>
      </c>
      <c r="P392" t="n">
        <v>0</v>
      </c>
      <c r="Q392" t="n">
        <v>0</v>
      </c>
      <c r="R392" s="2" t="inlineStr"/>
    </row>
    <row r="393" ht="15" customHeight="1">
      <c r="A393" t="inlineStr">
        <is>
          <t>A 17657-2025</t>
        </is>
      </c>
      <c r="B393" s="1" t="n">
        <v>45758.35006944444</v>
      </c>
      <c r="C393" s="1" t="n">
        <v>46003</v>
      </c>
      <c r="D393" t="inlineStr">
        <is>
          <t>UPPSALA LÄN</t>
        </is>
      </c>
      <c r="E393" t="inlineStr">
        <is>
          <t>ENKÖPING</t>
        </is>
      </c>
      <c r="G393" t="n">
        <v>3</v>
      </c>
      <c r="H393" t="n">
        <v>0</v>
      </c>
      <c r="I393" t="n">
        <v>0</v>
      </c>
      <c r="J393" t="n">
        <v>0</v>
      </c>
      <c r="K393" t="n">
        <v>0</v>
      </c>
      <c r="L393" t="n">
        <v>0</v>
      </c>
      <c r="M393" t="n">
        <v>0</v>
      </c>
      <c r="N393" t="n">
        <v>0</v>
      </c>
      <c r="O393" t="n">
        <v>0</v>
      </c>
      <c r="P393" t="n">
        <v>0</v>
      </c>
      <c r="Q393" t="n">
        <v>0</v>
      </c>
      <c r="R393" s="2" t="inlineStr"/>
    </row>
    <row r="394" ht="15" customHeight="1">
      <c r="A394" t="inlineStr">
        <is>
          <t>A 51011-2024</t>
        </is>
      </c>
      <c r="B394" s="1" t="n">
        <v>45603.39427083333</v>
      </c>
      <c r="C394" s="1" t="n">
        <v>46003</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44419-2025</t>
        </is>
      </c>
      <c r="B395" s="1" t="n">
        <v>45916.54671296296</v>
      </c>
      <c r="C395" s="1" t="n">
        <v>46003</v>
      </c>
      <c r="D395" t="inlineStr">
        <is>
          <t>UPPSALA LÄN</t>
        </is>
      </c>
      <c r="E395" t="inlineStr">
        <is>
          <t>ENKÖPING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43999-2025</t>
        </is>
      </c>
      <c r="B396" s="1" t="n">
        <v>45915.45158564814</v>
      </c>
      <c r="C396" s="1" t="n">
        <v>46003</v>
      </c>
      <c r="D396" t="inlineStr">
        <is>
          <t>UPPSALA LÄN</t>
        </is>
      </c>
      <c r="E396" t="inlineStr">
        <is>
          <t>ENKÖPING</t>
        </is>
      </c>
      <c r="G396" t="n">
        <v>4.1</v>
      </c>
      <c r="H396" t="n">
        <v>0</v>
      </c>
      <c r="I396" t="n">
        <v>0</v>
      </c>
      <c r="J396" t="n">
        <v>0</v>
      </c>
      <c r="K396" t="n">
        <v>0</v>
      </c>
      <c r="L396" t="n">
        <v>0</v>
      </c>
      <c r="M396" t="n">
        <v>0</v>
      </c>
      <c r="N396" t="n">
        <v>0</v>
      </c>
      <c r="O396" t="n">
        <v>0</v>
      </c>
      <c r="P396" t="n">
        <v>0</v>
      </c>
      <c r="Q396" t="n">
        <v>0</v>
      </c>
      <c r="R396" s="2" t="inlineStr"/>
    </row>
    <row r="397" ht="15" customHeight="1">
      <c r="A397" t="inlineStr">
        <is>
          <t>A 32477-2025</t>
        </is>
      </c>
      <c r="B397" s="1" t="n">
        <v>45838.43098379629</v>
      </c>
      <c r="C397" s="1" t="n">
        <v>46003</v>
      </c>
      <c r="D397" t="inlineStr">
        <is>
          <t>UPPSALA LÄN</t>
        </is>
      </c>
      <c r="E397" t="inlineStr">
        <is>
          <t>ENKÖPING</t>
        </is>
      </c>
      <c r="G397" t="n">
        <v>2.7</v>
      </c>
      <c r="H397" t="n">
        <v>0</v>
      </c>
      <c r="I397" t="n">
        <v>0</v>
      </c>
      <c r="J397" t="n">
        <v>0</v>
      </c>
      <c r="K397" t="n">
        <v>0</v>
      </c>
      <c r="L397" t="n">
        <v>0</v>
      </c>
      <c r="M397" t="n">
        <v>0</v>
      </c>
      <c r="N397" t="n">
        <v>0</v>
      </c>
      <c r="O397" t="n">
        <v>0</v>
      </c>
      <c r="P397" t="n">
        <v>0</v>
      </c>
      <c r="Q397" t="n">
        <v>0</v>
      </c>
      <c r="R397" s="2" t="inlineStr"/>
    </row>
    <row r="398" ht="15" customHeight="1">
      <c r="A398" t="inlineStr">
        <is>
          <t>A 12102-2024</t>
        </is>
      </c>
      <c r="B398" s="1" t="n">
        <v>45377</v>
      </c>
      <c r="C398" s="1" t="n">
        <v>46003</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58961-2024</t>
        </is>
      </c>
      <c r="B399" s="1" t="n">
        <v>45636.585</v>
      </c>
      <c r="C399" s="1" t="n">
        <v>46003</v>
      </c>
      <c r="D399" t="inlineStr">
        <is>
          <t>UPPSALA LÄN</t>
        </is>
      </c>
      <c r="E399" t="inlineStr">
        <is>
          <t>ENKÖPING</t>
        </is>
      </c>
      <c r="G399" t="n">
        <v>4</v>
      </c>
      <c r="H399" t="n">
        <v>0</v>
      </c>
      <c r="I399" t="n">
        <v>0</v>
      </c>
      <c r="J399" t="n">
        <v>0</v>
      </c>
      <c r="K399" t="n">
        <v>0</v>
      </c>
      <c r="L399" t="n">
        <v>0</v>
      </c>
      <c r="M399" t="n">
        <v>0</v>
      </c>
      <c r="N399" t="n">
        <v>0</v>
      </c>
      <c r="O399" t="n">
        <v>0</v>
      </c>
      <c r="P399" t="n">
        <v>0</v>
      </c>
      <c r="Q399" t="n">
        <v>0</v>
      </c>
      <c r="R399" s="2" t="inlineStr"/>
    </row>
    <row r="400" ht="15" customHeight="1">
      <c r="A400" t="inlineStr">
        <is>
          <t>A 45283-2022</t>
        </is>
      </c>
      <c r="B400" s="1" t="n">
        <v>44844</v>
      </c>
      <c r="C400" s="1" t="n">
        <v>46003</v>
      </c>
      <c r="D400" t="inlineStr">
        <is>
          <t>UPPSALA LÄN</t>
        </is>
      </c>
      <c r="E400" t="inlineStr">
        <is>
          <t>ENKÖPING</t>
        </is>
      </c>
      <c r="G400" t="n">
        <v>5.9</v>
      </c>
      <c r="H400" t="n">
        <v>0</v>
      </c>
      <c r="I400" t="n">
        <v>0</v>
      </c>
      <c r="J400" t="n">
        <v>0</v>
      </c>
      <c r="K400" t="n">
        <v>0</v>
      </c>
      <c r="L400" t="n">
        <v>0</v>
      </c>
      <c r="M400" t="n">
        <v>0</v>
      </c>
      <c r="N400" t="n">
        <v>0</v>
      </c>
      <c r="O400" t="n">
        <v>0</v>
      </c>
      <c r="P400" t="n">
        <v>0</v>
      </c>
      <c r="Q400" t="n">
        <v>0</v>
      </c>
      <c r="R400" s="2" t="inlineStr"/>
    </row>
    <row r="401" ht="15" customHeight="1">
      <c r="A401" t="inlineStr">
        <is>
          <t>A 845-2025</t>
        </is>
      </c>
      <c r="B401" s="1" t="n">
        <v>45665</v>
      </c>
      <c r="C401" s="1" t="n">
        <v>46003</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849-2025</t>
        </is>
      </c>
      <c r="B402" s="1" t="n">
        <v>45665</v>
      </c>
      <c r="C402" s="1" t="n">
        <v>46003</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58147-2024</t>
        </is>
      </c>
      <c r="B403" s="1" t="n">
        <v>45632.4334375</v>
      </c>
      <c r="C403" s="1" t="n">
        <v>46003</v>
      </c>
      <c r="D403" t="inlineStr">
        <is>
          <t>UPPSALA LÄN</t>
        </is>
      </c>
      <c r="E403" t="inlineStr">
        <is>
          <t>ENKÖPING</t>
        </is>
      </c>
      <c r="G403" t="n">
        <v>3</v>
      </c>
      <c r="H403" t="n">
        <v>0</v>
      </c>
      <c r="I403" t="n">
        <v>0</v>
      </c>
      <c r="J403" t="n">
        <v>0</v>
      </c>
      <c r="K403" t="n">
        <v>0</v>
      </c>
      <c r="L403" t="n">
        <v>0</v>
      </c>
      <c r="M403" t="n">
        <v>0</v>
      </c>
      <c r="N403" t="n">
        <v>0</v>
      </c>
      <c r="O403" t="n">
        <v>0</v>
      </c>
      <c r="P403" t="n">
        <v>0</v>
      </c>
      <c r="Q403" t="n">
        <v>0</v>
      </c>
      <c r="R403" s="2" t="inlineStr"/>
    </row>
    <row r="404" ht="15" customHeight="1">
      <c r="A404" t="inlineStr">
        <is>
          <t>A 54263-2025</t>
        </is>
      </c>
      <c r="B404" s="1" t="n">
        <v>45964.66271990741</v>
      </c>
      <c r="C404" s="1" t="n">
        <v>46003</v>
      </c>
      <c r="D404" t="inlineStr">
        <is>
          <t>UPPSALA LÄN</t>
        </is>
      </c>
      <c r="E404" t="inlineStr">
        <is>
          <t>ENKÖPING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17729-2023</t>
        </is>
      </c>
      <c r="B405" s="1" t="n">
        <v>45037</v>
      </c>
      <c r="C405" s="1" t="n">
        <v>46003</v>
      </c>
      <c r="D405" t="inlineStr">
        <is>
          <t>UPPSALA LÄN</t>
        </is>
      </c>
      <c r="E405" t="inlineStr">
        <is>
          <t>ENKÖPING</t>
        </is>
      </c>
      <c r="G405" t="n">
        <v>10.2</v>
      </c>
      <c r="H405" t="n">
        <v>0</v>
      </c>
      <c r="I405" t="n">
        <v>0</v>
      </c>
      <c r="J405" t="n">
        <v>0</v>
      </c>
      <c r="K405" t="n">
        <v>0</v>
      </c>
      <c r="L405" t="n">
        <v>0</v>
      </c>
      <c r="M405" t="n">
        <v>0</v>
      </c>
      <c r="N405" t="n">
        <v>0</v>
      </c>
      <c r="O405" t="n">
        <v>0</v>
      </c>
      <c r="P405" t="n">
        <v>0</v>
      </c>
      <c r="Q405" t="n">
        <v>0</v>
      </c>
      <c r="R405" s="2" t="inlineStr"/>
    </row>
    <row r="406" ht="15" customHeight="1">
      <c r="A406" t="inlineStr">
        <is>
          <t>A 18302-2025</t>
        </is>
      </c>
      <c r="B406" s="1" t="n">
        <v>45762</v>
      </c>
      <c r="C406" s="1" t="n">
        <v>46003</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54758-2025</t>
        </is>
      </c>
      <c r="B407" s="1" t="n">
        <v>45966.59737268519</v>
      </c>
      <c r="C407" s="1" t="n">
        <v>46003</v>
      </c>
      <c r="D407" t="inlineStr">
        <is>
          <t>UPPSALA LÄN</t>
        </is>
      </c>
      <c r="E407" t="inlineStr">
        <is>
          <t>ENKÖPING</t>
        </is>
      </c>
      <c r="G407" t="n">
        <v>3.3</v>
      </c>
      <c r="H407" t="n">
        <v>0</v>
      </c>
      <c r="I407" t="n">
        <v>0</v>
      </c>
      <c r="J407" t="n">
        <v>0</v>
      </c>
      <c r="K407" t="n">
        <v>0</v>
      </c>
      <c r="L407" t="n">
        <v>0</v>
      </c>
      <c r="M407" t="n">
        <v>0</v>
      </c>
      <c r="N407" t="n">
        <v>0</v>
      </c>
      <c r="O407" t="n">
        <v>0</v>
      </c>
      <c r="P407" t="n">
        <v>0</v>
      </c>
      <c r="Q407" t="n">
        <v>0</v>
      </c>
      <c r="R407" s="2" t="inlineStr"/>
    </row>
    <row r="408" ht="15" customHeight="1">
      <c r="A408" t="inlineStr">
        <is>
          <t>A 34735-2023</t>
        </is>
      </c>
      <c r="B408" s="1" t="n">
        <v>45139</v>
      </c>
      <c r="C408" s="1" t="n">
        <v>46003</v>
      </c>
      <c r="D408" t="inlineStr">
        <is>
          <t>UPPSALA LÄN</t>
        </is>
      </c>
      <c r="E408" t="inlineStr">
        <is>
          <t>ENKÖPING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5749-2025</t>
        </is>
      </c>
      <c r="B409" s="1" t="n">
        <v>45694</v>
      </c>
      <c r="C409" s="1" t="n">
        <v>46003</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54541-2025</t>
        </is>
      </c>
      <c r="B410" s="1" t="n">
        <v>45965.64733796296</v>
      </c>
      <c r="C410" s="1" t="n">
        <v>46003</v>
      </c>
      <c r="D410" t="inlineStr">
        <is>
          <t>UPPSALA LÄN</t>
        </is>
      </c>
      <c r="E410" t="inlineStr">
        <is>
          <t>ENKÖPING</t>
        </is>
      </c>
      <c r="G410" t="n">
        <v>3.1</v>
      </c>
      <c r="H410" t="n">
        <v>0</v>
      </c>
      <c r="I410" t="n">
        <v>0</v>
      </c>
      <c r="J410" t="n">
        <v>0</v>
      </c>
      <c r="K410" t="n">
        <v>0</v>
      </c>
      <c r="L410" t="n">
        <v>0</v>
      </c>
      <c r="M410" t="n">
        <v>0</v>
      </c>
      <c r="N410" t="n">
        <v>0</v>
      </c>
      <c r="O410" t="n">
        <v>0</v>
      </c>
      <c r="P410" t="n">
        <v>0</v>
      </c>
      <c r="Q410" t="n">
        <v>0</v>
      </c>
      <c r="R410" s="2" t="inlineStr"/>
    </row>
    <row r="411" ht="15" customHeight="1">
      <c r="A411" t="inlineStr">
        <is>
          <t>A 30514-2021</t>
        </is>
      </c>
      <c r="B411" s="1" t="n">
        <v>44364</v>
      </c>
      <c r="C411" s="1" t="n">
        <v>46003</v>
      </c>
      <c r="D411" t="inlineStr">
        <is>
          <t>UPPSALA LÄN</t>
        </is>
      </c>
      <c r="E411" t="inlineStr">
        <is>
          <t>ENKÖPING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8020-2022</t>
        </is>
      </c>
      <c r="B412" s="1" t="n">
        <v>44609</v>
      </c>
      <c r="C412" s="1" t="n">
        <v>46003</v>
      </c>
      <c r="D412" t="inlineStr">
        <is>
          <t>UPPSALA LÄN</t>
        </is>
      </c>
      <c r="E412" t="inlineStr">
        <is>
          <t>ENKÖPING</t>
        </is>
      </c>
      <c r="G412" t="n">
        <v>6</v>
      </c>
      <c r="H412" t="n">
        <v>0</v>
      </c>
      <c r="I412" t="n">
        <v>0</v>
      </c>
      <c r="J412" t="n">
        <v>0</v>
      </c>
      <c r="K412" t="n">
        <v>0</v>
      </c>
      <c r="L412" t="n">
        <v>0</v>
      </c>
      <c r="M412" t="n">
        <v>0</v>
      </c>
      <c r="N412" t="n">
        <v>0</v>
      </c>
      <c r="O412" t="n">
        <v>0</v>
      </c>
      <c r="P412" t="n">
        <v>0</v>
      </c>
      <c r="Q412" t="n">
        <v>0</v>
      </c>
      <c r="R412" s="2" t="inlineStr"/>
    </row>
    <row r="413" ht="15" customHeight="1">
      <c r="A413" t="inlineStr">
        <is>
          <t>A 34805-2024</t>
        </is>
      </c>
      <c r="B413" s="1" t="n">
        <v>45526</v>
      </c>
      <c r="C413" s="1" t="n">
        <v>46003</v>
      </c>
      <c r="D413" t="inlineStr">
        <is>
          <t>UPPSALA LÄN</t>
        </is>
      </c>
      <c r="E413" t="inlineStr">
        <is>
          <t>ENKÖPING</t>
        </is>
      </c>
      <c r="G413" t="n">
        <v>3.6</v>
      </c>
      <c r="H413" t="n">
        <v>0</v>
      </c>
      <c r="I413" t="n">
        <v>0</v>
      </c>
      <c r="J413" t="n">
        <v>0</v>
      </c>
      <c r="K413" t="n">
        <v>0</v>
      </c>
      <c r="L413" t="n">
        <v>0</v>
      </c>
      <c r="M413" t="n">
        <v>0</v>
      </c>
      <c r="N413" t="n">
        <v>0</v>
      </c>
      <c r="O413" t="n">
        <v>0</v>
      </c>
      <c r="P413" t="n">
        <v>0</v>
      </c>
      <c r="Q413" t="n">
        <v>0</v>
      </c>
      <c r="R413" s="2" t="inlineStr"/>
    </row>
    <row r="414" ht="15" customHeight="1">
      <c r="A414" t="inlineStr">
        <is>
          <t>A 314-2025</t>
        </is>
      </c>
      <c r="B414" s="1" t="n">
        <v>45656</v>
      </c>
      <c r="C414" s="1" t="n">
        <v>46003</v>
      </c>
      <c r="D414" t="inlineStr">
        <is>
          <t>UPPSALA LÄN</t>
        </is>
      </c>
      <c r="E414" t="inlineStr">
        <is>
          <t>ENKÖPING</t>
        </is>
      </c>
      <c r="G414" t="n">
        <v>9</v>
      </c>
      <c r="H414" t="n">
        <v>0</v>
      </c>
      <c r="I414" t="n">
        <v>0</v>
      </c>
      <c r="J414" t="n">
        <v>0</v>
      </c>
      <c r="K414" t="n">
        <v>0</v>
      </c>
      <c r="L414" t="n">
        <v>0</v>
      </c>
      <c r="M414" t="n">
        <v>0</v>
      </c>
      <c r="N414" t="n">
        <v>0</v>
      </c>
      <c r="O414" t="n">
        <v>0</v>
      </c>
      <c r="P414" t="n">
        <v>0</v>
      </c>
      <c r="Q414" t="n">
        <v>0</v>
      </c>
      <c r="R414" s="2" t="inlineStr"/>
    </row>
    <row r="415" ht="15" customHeight="1">
      <c r="A415" t="inlineStr">
        <is>
          <t>A 54844-2025</t>
        </is>
      </c>
      <c r="B415" s="1" t="n">
        <v>45966.69570601852</v>
      </c>
      <c r="C415" s="1" t="n">
        <v>46003</v>
      </c>
      <c r="D415" t="inlineStr">
        <is>
          <t>UPPSALA LÄN</t>
        </is>
      </c>
      <c r="E415" t="inlineStr">
        <is>
          <t>ENKÖPING</t>
        </is>
      </c>
      <c r="G415" t="n">
        <v>5.5</v>
      </c>
      <c r="H415" t="n">
        <v>0</v>
      </c>
      <c r="I415" t="n">
        <v>0</v>
      </c>
      <c r="J415" t="n">
        <v>0</v>
      </c>
      <c r="K415" t="n">
        <v>0</v>
      </c>
      <c r="L415" t="n">
        <v>0</v>
      </c>
      <c r="M415" t="n">
        <v>0</v>
      </c>
      <c r="N415" t="n">
        <v>0</v>
      </c>
      <c r="O415" t="n">
        <v>0</v>
      </c>
      <c r="P415" t="n">
        <v>0</v>
      </c>
      <c r="Q415" t="n">
        <v>0</v>
      </c>
      <c r="R415" s="2" t="inlineStr"/>
    </row>
    <row r="416" ht="15" customHeight="1">
      <c r="A416" t="inlineStr">
        <is>
          <t>A 45755-2025</t>
        </is>
      </c>
      <c r="B416" s="1" t="n">
        <v>45923.50240740741</v>
      </c>
      <c r="C416" s="1" t="n">
        <v>46003</v>
      </c>
      <c r="D416" t="inlineStr">
        <is>
          <t>UPPSALA LÄN</t>
        </is>
      </c>
      <c r="E416" t="inlineStr">
        <is>
          <t>ENKÖPING</t>
        </is>
      </c>
      <c r="G416" t="n">
        <v>2.2</v>
      </c>
      <c r="H416" t="n">
        <v>0</v>
      </c>
      <c r="I416" t="n">
        <v>0</v>
      </c>
      <c r="J416" t="n">
        <v>0</v>
      </c>
      <c r="K416" t="n">
        <v>0</v>
      </c>
      <c r="L416" t="n">
        <v>0</v>
      </c>
      <c r="M416" t="n">
        <v>0</v>
      </c>
      <c r="N416" t="n">
        <v>0</v>
      </c>
      <c r="O416" t="n">
        <v>0</v>
      </c>
      <c r="P416" t="n">
        <v>0</v>
      </c>
      <c r="Q416" t="n">
        <v>0</v>
      </c>
      <c r="R416" s="2" t="inlineStr"/>
    </row>
    <row r="417" ht="15" customHeight="1">
      <c r="A417" t="inlineStr">
        <is>
          <t>A 10831-2024</t>
        </is>
      </c>
      <c r="B417" s="1" t="n">
        <v>45369</v>
      </c>
      <c r="C417" s="1" t="n">
        <v>46003</v>
      </c>
      <c r="D417" t="inlineStr">
        <is>
          <t>UPPSALA LÄN</t>
        </is>
      </c>
      <c r="E417" t="inlineStr">
        <is>
          <t>ENKÖPING</t>
        </is>
      </c>
      <c r="G417" t="n">
        <v>2.9</v>
      </c>
      <c r="H417" t="n">
        <v>0</v>
      </c>
      <c r="I417" t="n">
        <v>0</v>
      </c>
      <c r="J417" t="n">
        <v>0</v>
      </c>
      <c r="K417" t="n">
        <v>0</v>
      </c>
      <c r="L417" t="n">
        <v>0</v>
      </c>
      <c r="M417" t="n">
        <v>0</v>
      </c>
      <c r="N417" t="n">
        <v>0</v>
      </c>
      <c r="O417" t="n">
        <v>0</v>
      </c>
      <c r="P417" t="n">
        <v>0</v>
      </c>
      <c r="Q417" t="n">
        <v>0</v>
      </c>
      <c r="R417" s="2" t="inlineStr"/>
    </row>
    <row r="418" ht="15" customHeight="1">
      <c r="A418" t="inlineStr">
        <is>
          <t>A 5712-2025</t>
        </is>
      </c>
      <c r="B418" s="1" t="n">
        <v>45694</v>
      </c>
      <c r="C418" s="1" t="n">
        <v>46003</v>
      </c>
      <c r="D418" t="inlineStr">
        <is>
          <t>UPPSALA LÄN</t>
        </is>
      </c>
      <c r="E418" t="inlineStr">
        <is>
          <t>ENKÖPING</t>
        </is>
      </c>
      <c r="G418" t="n">
        <v>5.1</v>
      </c>
      <c r="H418" t="n">
        <v>0</v>
      </c>
      <c r="I418" t="n">
        <v>0</v>
      </c>
      <c r="J418" t="n">
        <v>0</v>
      </c>
      <c r="K418" t="n">
        <v>0</v>
      </c>
      <c r="L418" t="n">
        <v>0</v>
      </c>
      <c r="M418" t="n">
        <v>0</v>
      </c>
      <c r="N418" t="n">
        <v>0</v>
      </c>
      <c r="O418" t="n">
        <v>0</v>
      </c>
      <c r="P418" t="n">
        <v>0</v>
      </c>
      <c r="Q418" t="n">
        <v>0</v>
      </c>
      <c r="R418" s="2" t="inlineStr"/>
    </row>
    <row r="419" ht="15" customHeight="1">
      <c r="A419" t="inlineStr">
        <is>
          <t>A 45956-2024</t>
        </is>
      </c>
      <c r="B419" s="1" t="n">
        <v>45580</v>
      </c>
      <c r="C419" s="1" t="n">
        <v>46003</v>
      </c>
      <c r="D419" t="inlineStr">
        <is>
          <t>UPPSALA LÄN</t>
        </is>
      </c>
      <c r="E419" t="inlineStr">
        <is>
          <t>ENKÖPING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46590-2025</t>
        </is>
      </c>
      <c r="B420" s="1" t="n">
        <v>45926.39542824074</v>
      </c>
      <c r="C420" s="1" t="n">
        <v>46003</v>
      </c>
      <c r="D420" t="inlineStr">
        <is>
          <t>UPPSALA LÄN</t>
        </is>
      </c>
      <c r="E420" t="inlineStr">
        <is>
          <t>ENKÖPING</t>
        </is>
      </c>
      <c r="G420" t="n">
        <v>2.7</v>
      </c>
      <c r="H420" t="n">
        <v>0</v>
      </c>
      <c r="I420" t="n">
        <v>0</v>
      </c>
      <c r="J420" t="n">
        <v>0</v>
      </c>
      <c r="K420" t="n">
        <v>0</v>
      </c>
      <c r="L420" t="n">
        <v>0</v>
      </c>
      <c r="M420" t="n">
        <v>0</v>
      </c>
      <c r="N420" t="n">
        <v>0</v>
      </c>
      <c r="O420" t="n">
        <v>0</v>
      </c>
      <c r="P420" t="n">
        <v>0</v>
      </c>
      <c r="Q420" t="n">
        <v>0</v>
      </c>
      <c r="R420" s="2" t="inlineStr"/>
    </row>
    <row r="421" ht="15" customHeight="1">
      <c r="A421" t="inlineStr">
        <is>
          <t>A 11627-2025</t>
        </is>
      </c>
      <c r="B421" s="1" t="n">
        <v>45727</v>
      </c>
      <c r="C421" s="1" t="n">
        <v>46003</v>
      </c>
      <c r="D421" t="inlineStr">
        <is>
          <t>UPPSALA LÄN</t>
        </is>
      </c>
      <c r="E421" t="inlineStr">
        <is>
          <t>ENKÖPING</t>
        </is>
      </c>
      <c r="G421" t="n">
        <v>5.5</v>
      </c>
      <c r="H421" t="n">
        <v>0</v>
      </c>
      <c r="I421" t="n">
        <v>0</v>
      </c>
      <c r="J421" t="n">
        <v>0</v>
      </c>
      <c r="K421" t="n">
        <v>0</v>
      </c>
      <c r="L421" t="n">
        <v>0</v>
      </c>
      <c r="M421" t="n">
        <v>0</v>
      </c>
      <c r="N421" t="n">
        <v>0</v>
      </c>
      <c r="O421" t="n">
        <v>0</v>
      </c>
      <c r="P421" t="n">
        <v>0</v>
      </c>
      <c r="Q421" t="n">
        <v>0</v>
      </c>
      <c r="R421" s="2" t="inlineStr"/>
    </row>
    <row r="422" ht="15" customHeight="1">
      <c r="A422" t="inlineStr">
        <is>
          <t>A 74090-2021</t>
        </is>
      </c>
      <c r="B422" s="1" t="n">
        <v>44557</v>
      </c>
      <c r="C422" s="1" t="n">
        <v>46003</v>
      </c>
      <c r="D422" t="inlineStr">
        <is>
          <t>UPPSALA LÄN</t>
        </is>
      </c>
      <c r="E422" t="inlineStr">
        <is>
          <t>ENKÖPING</t>
        </is>
      </c>
      <c r="G422" t="n">
        <v>2.1</v>
      </c>
      <c r="H422" t="n">
        <v>0</v>
      </c>
      <c r="I422" t="n">
        <v>0</v>
      </c>
      <c r="J422" t="n">
        <v>0</v>
      </c>
      <c r="K422" t="n">
        <v>0</v>
      </c>
      <c r="L422" t="n">
        <v>0</v>
      </c>
      <c r="M422" t="n">
        <v>0</v>
      </c>
      <c r="N422" t="n">
        <v>0</v>
      </c>
      <c r="O422" t="n">
        <v>0</v>
      </c>
      <c r="P422" t="n">
        <v>0</v>
      </c>
      <c r="Q422" t="n">
        <v>0</v>
      </c>
      <c r="R422" s="2" t="inlineStr"/>
    </row>
    <row r="423" ht="15" customHeight="1">
      <c r="A423" t="inlineStr">
        <is>
          <t>A 34989-2025</t>
        </is>
      </c>
      <c r="B423" s="1" t="n">
        <v>45849</v>
      </c>
      <c r="C423" s="1" t="n">
        <v>46003</v>
      </c>
      <c r="D423" t="inlineStr">
        <is>
          <t>UPPSALA LÄN</t>
        </is>
      </c>
      <c r="E423" t="inlineStr">
        <is>
          <t>ENKÖPING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34990-2025</t>
        </is>
      </c>
      <c r="B424" s="1" t="n">
        <v>45849.78916666667</v>
      </c>
      <c r="C424" s="1" t="n">
        <v>46003</v>
      </c>
      <c r="D424" t="inlineStr">
        <is>
          <t>UPPSALA LÄN</t>
        </is>
      </c>
      <c r="E424" t="inlineStr">
        <is>
          <t>ENKÖPING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55567-2025</t>
        </is>
      </c>
      <c r="B425" s="1" t="n">
        <v>45971.65589120371</v>
      </c>
      <c r="C425" s="1" t="n">
        <v>46003</v>
      </c>
      <c r="D425" t="inlineStr">
        <is>
          <t>UPPSALA LÄN</t>
        </is>
      </c>
      <c r="E425" t="inlineStr">
        <is>
          <t>ENKÖPING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47441-2025</t>
        </is>
      </c>
      <c r="B426" s="1" t="n">
        <v>45930.63986111111</v>
      </c>
      <c r="C426" s="1" t="n">
        <v>46003</v>
      </c>
      <c r="D426" t="inlineStr">
        <is>
          <t>UPPSALA LÄN</t>
        </is>
      </c>
      <c r="E426" t="inlineStr">
        <is>
          <t>ENKÖPING</t>
        </is>
      </c>
      <c r="F426" t="inlineStr">
        <is>
          <t>Allmännings- och besparingsskogar</t>
        </is>
      </c>
      <c r="G426" t="n">
        <v>11.5</v>
      </c>
      <c r="H426" t="n">
        <v>0</v>
      </c>
      <c r="I426" t="n">
        <v>0</v>
      </c>
      <c r="J426" t="n">
        <v>0</v>
      </c>
      <c r="K426" t="n">
        <v>0</v>
      </c>
      <c r="L426" t="n">
        <v>0</v>
      </c>
      <c r="M426" t="n">
        <v>0</v>
      </c>
      <c r="N426" t="n">
        <v>0</v>
      </c>
      <c r="O426" t="n">
        <v>0</v>
      </c>
      <c r="P426" t="n">
        <v>0</v>
      </c>
      <c r="Q426" t="n">
        <v>0</v>
      </c>
      <c r="R426" s="2" t="inlineStr"/>
    </row>
    <row r="427" ht="15" customHeight="1">
      <c r="A427" t="inlineStr">
        <is>
          <t>A 58092-2024</t>
        </is>
      </c>
      <c r="B427" s="1" t="n">
        <v>45632</v>
      </c>
      <c r="C427" s="1" t="n">
        <v>46003</v>
      </c>
      <c r="D427" t="inlineStr">
        <is>
          <t>UPPSALA LÄN</t>
        </is>
      </c>
      <c r="E427" t="inlineStr">
        <is>
          <t>ENKÖPING</t>
        </is>
      </c>
      <c r="G427" t="n">
        <v>4.8</v>
      </c>
      <c r="H427" t="n">
        <v>0</v>
      </c>
      <c r="I427" t="n">
        <v>0</v>
      </c>
      <c r="J427" t="n">
        <v>0</v>
      </c>
      <c r="K427" t="n">
        <v>0</v>
      </c>
      <c r="L427" t="n">
        <v>0</v>
      </c>
      <c r="M427" t="n">
        <v>0</v>
      </c>
      <c r="N427" t="n">
        <v>0</v>
      </c>
      <c r="O427" t="n">
        <v>0</v>
      </c>
      <c r="P427" t="n">
        <v>0</v>
      </c>
      <c r="Q427" t="n">
        <v>0</v>
      </c>
      <c r="R427" s="2" t="inlineStr"/>
    </row>
    <row r="428" ht="15" customHeight="1">
      <c r="A428" t="inlineStr">
        <is>
          <t>A 46940-2025</t>
        </is>
      </c>
      <c r="B428" s="1" t="n">
        <v>45929.45483796296</v>
      </c>
      <c r="C428" s="1" t="n">
        <v>46003</v>
      </c>
      <c r="D428" t="inlineStr">
        <is>
          <t>UPPSALA LÄN</t>
        </is>
      </c>
      <c r="E428" t="inlineStr">
        <is>
          <t>ENKÖPING</t>
        </is>
      </c>
      <c r="G428" t="n">
        <v>5.3</v>
      </c>
      <c r="H428" t="n">
        <v>0</v>
      </c>
      <c r="I428" t="n">
        <v>0</v>
      </c>
      <c r="J428" t="n">
        <v>0</v>
      </c>
      <c r="K428" t="n">
        <v>0</v>
      </c>
      <c r="L428" t="n">
        <v>0</v>
      </c>
      <c r="M428" t="n">
        <v>0</v>
      </c>
      <c r="N428" t="n">
        <v>0</v>
      </c>
      <c r="O428" t="n">
        <v>0</v>
      </c>
      <c r="P428" t="n">
        <v>0</v>
      </c>
      <c r="Q428" t="n">
        <v>0</v>
      </c>
      <c r="R428" s="2" t="inlineStr"/>
    </row>
    <row r="429" ht="15" customHeight="1">
      <c r="A429" t="inlineStr">
        <is>
          <t>A 24411-2024</t>
        </is>
      </c>
      <c r="B429" s="1" t="n">
        <v>45457</v>
      </c>
      <c r="C429" s="1" t="n">
        <v>46003</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25988-2025</t>
        </is>
      </c>
      <c r="B430" s="1" t="n">
        <v>45804.64814814815</v>
      </c>
      <c r="C430" s="1" t="n">
        <v>46003</v>
      </c>
      <c r="D430" t="inlineStr">
        <is>
          <t>UPPSALA LÄN</t>
        </is>
      </c>
      <c r="E430" t="inlineStr">
        <is>
          <t>ENKÖPING</t>
        </is>
      </c>
      <c r="G430" t="n">
        <v>4.7</v>
      </c>
      <c r="H430" t="n">
        <v>0</v>
      </c>
      <c r="I430" t="n">
        <v>0</v>
      </c>
      <c r="J430" t="n">
        <v>0</v>
      </c>
      <c r="K430" t="n">
        <v>0</v>
      </c>
      <c r="L430" t="n">
        <v>0</v>
      </c>
      <c r="M430" t="n">
        <v>0</v>
      </c>
      <c r="N430" t="n">
        <v>0</v>
      </c>
      <c r="O430" t="n">
        <v>0</v>
      </c>
      <c r="P430" t="n">
        <v>0</v>
      </c>
      <c r="Q430" t="n">
        <v>0</v>
      </c>
      <c r="R430" s="2" t="inlineStr"/>
    </row>
    <row r="431" ht="15" customHeight="1">
      <c r="A431" t="inlineStr">
        <is>
          <t>A 26024-2025</t>
        </is>
      </c>
      <c r="B431" s="1" t="n">
        <v>45804.6831712963</v>
      </c>
      <c r="C431" s="1" t="n">
        <v>46003</v>
      </c>
      <c r="D431" t="inlineStr">
        <is>
          <t>UPPSALA LÄN</t>
        </is>
      </c>
      <c r="E431" t="inlineStr">
        <is>
          <t>ENKÖPING</t>
        </is>
      </c>
      <c r="G431" t="n">
        <v>0.8</v>
      </c>
      <c r="H431" t="n">
        <v>0</v>
      </c>
      <c r="I431" t="n">
        <v>0</v>
      </c>
      <c r="J431" t="n">
        <v>0</v>
      </c>
      <c r="K431" t="n">
        <v>0</v>
      </c>
      <c r="L431" t="n">
        <v>0</v>
      </c>
      <c r="M431" t="n">
        <v>0</v>
      </c>
      <c r="N431" t="n">
        <v>0</v>
      </c>
      <c r="O431" t="n">
        <v>0</v>
      </c>
      <c r="P431" t="n">
        <v>0</v>
      </c>
      <c r="Q431" t="n">
        <v>0</v>
      </c>
      <c r="R431" s="2" t="inlineStr"/>
    </row>
    <row r="432" ht="15" customHeight="1">
      <c r="A432" t="inlineStr">
        <is>
          <t>A 26042-2025</t>
        </is>
      </c>
      <c r="B432" s="1" t="n">
        <v>45804.70018518518</v>
      </c>
      <c r="C432" s="1" t="n">
        <v>46003</v>
      </c>
      <c r="D432" t="inlineStr">
        <is>
          <t>UPPSALA LÄN</t>
        </is>
      </c>
      <c r="E432" t="inlineStr">
        <is>
          <t>ENKÖPING</t>
        </is>
      </c>
      <c r="G432" t="n">
        <v>1.2</v>
      </c>
      <c r="H432" t="n">
        <v>0</v>
      </c>
      <c r="I432" t="n">
        <v>0</v>
      </c>
      <c r="J432" t="n">
        <v>0</v>
      </c>
      <c r="K432" t="n">
        <v>0</v>
      </c>
      <c r="L432" t="n">
        <v>0</v>
      </c>
      <c r="M432" t="n">
        <v>0</v>
      </c>
      <c r="N432" t="n">
        <v>0</v>
      </c>
      <c r="O432" t="n">
        <v>0</v>
      </c>
      <c r="P432" t="n">
        <v>0</v>
      </c>
      <c r="Q432" t="n">
        <v>0</v>
      </c>
      <c r="R432" s="2" t="inlineStr"/>
    </row>
    <row r="433" ht="15" customHeight="1">
      <c r="A433" t="inlineStr">
        <is>
          <t>A 25990-2025</t>
        </is>
      </c>
      <c r="B433" s="1" t="n">
        <v>45804.65229166667</v>
      </c>
      <c r="C433" s="1" t="n">
        <v>46003</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26030-2025</t>
        </is>
      </c>
      <c r="B434" s="1" t="n">
        <v>45804.68815972222</v>
      </c>
      <c r="C434" s="1" t="n">
        <v>46003</v>
      </c>
      <c r="D434" t="inlineStr">
        <is>
          <t>UPPSALA LÄN</t>
        </is>
      </c>
      <c r="E434" t="inlineStr">
        <is>
          <t>ENKÖPING</t>
        </is>
      </c>
      <c r="G434" t="n">
        <v>0.3</v>
      </c>
      <c r="H434" t="n">
        <v>0</v>
      </c>
      <c r="I434" t="n">
        <v>0</v>
      </c>
      <c r="J434" t="n">
        <v>0</v>
      </c>
      <c r="K434" t="n">
        <v>0</v>
      </c>
      <c r="L434" t="n">
        <v>0</v>
      </c>
      <c r="M434" t="n">
        <v>0</v>
      </c>
      <c r="N434" t="n">
        <v>0</v>
      </c>
      <c r="O434" t="n">
        <v>0</v>
      </c>
      <c r="P434" t="n">
        <v>0</v>
      </c>
      <c r="Q434" t="n">
        <v>0</v>
      </c>
      <c r="R434" s="2" t="inlineStr"/>
    </row>
    <row r="435" ht="15" customHeight="1">
      <c r="A435" t="inlineStr">
        <is>
          <t>A 26026-2025</t>
        </is>
      </c>
      <c r="B435" s="1" t="n">
        <v>45804.68510416667</v>
      </c>
      <c r="C435" s="1" t="n">
        <v>46003</v>
      </c>
      <c r="D435" t="inlineStr">
        <is>
          <t>UPPSALA LÄN</t>
        </is>
      </c>
      <c r="E435" t="inlineStr">
        <is>
          <t>ENKÖPING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26047-2025</t>
        </is>
      </c>
      <c r="B436" s="1" t="n">
        <v>45804.70835648148</v>
      </c>
      <c r="C436" s="1" t="n">
        <v>46003</v>
      </c>
      <c r="D436" t="inlineStr">
        <is>
          <t>UPPSALA LÄN</t>
        </is>
      </c>
      <c r="E436" t="inlineStr">
        <is>
          <t>ENKÖPING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25847-2025</t>
        </is>
      </c>
      <c r="B437" s="1" t="n">
        <v>45804</v>
      </c>
      <c r="C437" s="1" t="n">
        <v>46003</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26005-2025</t>
        </is>
      </c>
      <c r="B438" s="1" t="n">
        <v>45804.67055555555</v>
      </c>
      <c r="C438" s="1" t="n">
        <v>46003</v>
      </c>
      <c r="D438" t="inlineStr">
        <is>
          <t>UPPSALA LÄN</t>
        </is>
      </c>
      <c r="E438" t="inlineStr">
        <is>
          <t>ENKÖPING</t>
        </is>
      </c>
      <c r="G438" t="n">
        <v>0.3</v>
      </c>
      <c r="H438" t="n">
        <v>0</v>
      </c>
      <c r="I438" t="n">
        <v>0</v>
      </c>
      <c r="J438" t="n">
        <v>0</v>
      </c>
      <c r="K438" t="n">
        <v>0</v>
      </c>
      <c r="L438" t="n">
        <v>0</v>
      </c>
      <c r="M438" t="n">
        <v>0</v>
      </c>
      <c r="N438" t="n">
        <v>0</v>
      </c>
      <c r="O438" t="n">
        <v>0</v>
      </c>
      <c r="P438" t="n">
        <v>0</v>
      </c>
      <c r="Q438" t="n">
        <v>0</v>
      </c>
      <c r="R438" s="2" t="inlineStr"/>
    </row>
    <row r="439" ht="15" customHeight="1">
      <c r="A439" t="inlineStr">
        <is>
          <t>A 26031-2025</t>
        </is>
      </c>
      <c r="B439" s="1" t="n">
        <v>45804.69050925926</v>
      </c>
      <c r="C439" s="1" t="n">
        <v>46003</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26041-2025</t>
        </is>
      </c>
      <c r="B440" s="1" t="n">
        <v>45804.69883101852</v>
      </c>
      <c r="C440" s="1" t="n">
        <v>46003</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26022-2025</t>
        </is>
      </c>
      <c r="B441" s="1" t="n">
        <v>45804.68006944445</v>
      </c>
      <c r="C441" s="1" t="n">
        <v>46003</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35067-2024</t>
        </is>
      </c>
      <c r="B442" s="1" t="n">
        <v>45527.66153935185</v>
      </c>
      <c r="C442" s="1" t="n">
        <v>46003</v>
      </c>
      <c r="D442" t="inlineStr">
        <is>
          <t>UPPSALA LÄN</t>
        </is>
      </c>
      <c r="E442" t="inlineStr">
        <is>
          <t>ENKÖPING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56625-2025</t>
        </is>
      </c>
      <c r="B443" s="1" t="n">
        <v>45975.60608796297</v>
      </c>
      <c r="C443" s="1" t="n">
        <v>46003</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48423-2025</t>
        </is>
      </c>
      <c r="B444" s="1" t="n">
        <v>45934.68024305555</v>
      </c>
      <c r="C444" s="1" t="n">
        <v>46003</v>
      </c>
      <c r="D444" t="inlineStr">
        <is>
          <t>UPPSALA LÄN</t>
        </is>
      </c>
      <c r="E444" t="inlineStr">
        <is>
          <t>ENKÖPING</t>
        </is>
      </c>
      <c r="G444" t="n">
        <v>4.3</v>
      </c>
      <c r="H444" t="n">
        <v>0</v>
      </c>
      <c r="I444" t="n">
        <v>0</v>
      </c>
      <c r="J444" t="n">
        <v>0</v>
      </c>
      <c r="K444" t="n">
        <v>0</v>
      </c>
      <c r="L444" t="n">
        <v>0</v>
      </c>
      <c r="M444" t="n">
        <v>0</v>
      </c>
      <c r="N444" t="n">
        <v>0</v>
      </c>
      <c r="O444" t="n">
        <v>0</v>
      </c>
      <c r="P444" t="n">
        <v>0</v>
      </c>
      <c r="Q444" t="n">
        <v>0</v>
      </c>
      <c r="R444" s="2" t="inlineStr"/>
    </row>
    <row r="445" ht="15" customHeight="1">
      <c r="A445" t="inlineStr">
        <is>
          <t>A 48424-2025</t>
        </is>
      </c>
      <c r="B445" s="1" t="n">
        <v>45934.69131944444</v>
      </c>
      <c r="C445" s="1" t="n">
        <v>46003</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27829-2025</t>
        </is>
      </c>
      <c r="B446" s="1" t="n">
        <v>45817</v>
      </c>
      <c r="C446" s="1" t="n">
        <v>46003</v>
      </c>
      <c r="D446" t="inlineStr">
        <is>
          <t>UPPSALA LÄN</t>
        </is>
      </c>
      <c r="E446" t="inlineStr">
        <is>
          <t>ENKÖPING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48678-2025</t>
        </is>
      </c>
      <c r="B447" s="1" t="n">
        <v>45936.59168981481</v>
      </c>
      <c r="C447" s="1" t="n">
        <v>46003</v>
      </c>
      <c r="D447" t="inlineStr">
        <is>
          <t>UPPSALA LÄN</t>
        </is>
      </c>
      <c r="E447" t="inlineStr">
        <is>
          <t>ENKÖPING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57294-2025</t>
        </is>
      </c>
      <c r="B448" s="1" t="n">
        <v>45979</v>
      </c>
      <c r="C448" s="1" t="n">
        <v>46003</v>
      </c>
      <c r="D448" t="inlineStr">
        <is>
          <t>UPPSALA LÄN</t>
        </is>
      </c>
      <c r="E448" t="inlineStr">
        <is>
          <t>ENKÖPING</t>
        </is>
      </c>
      <c r="G448" t="n">
        <v>6.2</v>
      </c>
      <c r="H448" t="n">
        <v>0</v>
      </c>
      <c r="I448" t="n">
        <v>0</v>
      </c>
      <c r="J448" t="n">
        <v>0</v>
      </c>
      <c r="K448" t="n">
        <v>0</v>
      </c>
      <c r="L448" t="n">
        <v>0</v>
      </c>
      <c r="M448" t="n">
        <v>0</v>
      </c>
      <c r="N448" t="n">
        <v>0</v>
      </c>
      <c r="O448" t="n">
        <v>0</v>
      </c>
      <c r="P448" t="n">
        <v>0</v>
      </c>
      <c r="Q448" t="n">
        <v>0</v>
      </c>
      <c r="R448" s="2" t="inlineStr"/>
    </row>
    <row r="449" ht="15" customHeight="1">
      <c r="A449" t="inlineStr">
        <is>
          <t>A 28855-2025</t>
        </is>
      </c>
      <c r="B449" s="1" t="n">
        <v>45820.58274305556</v>
      </c>
      <c r="C449" s="1" t="n">
        <v>46003</v>
      </c>
      <c r="D449" t="inlineStr">
        <is>
          <t>UPPSALA LÄN</t>
        </is>
      </c>
      <c r="E449" t="inlineStr">
        <is>
          <t>ENKÖPING</t>
        </is>
      </c>
      <c r="G449" t="n">
        <v>2.4</v>
      </c>
      <c r="H449" t="n">
        <v>0</v>
      </c>
      <c r="I449" t="n">
        <v>0</v>
      </c>
      <c r="J449" t="n">
        <v>0</v>
      </c>
      <c r="K449" t="n">
        <v>0</v>
      </c>
      <c r="L449" t="n">
        <v>0</v>
      </c>
      <c r="M449" t="n">
        <v>0</v>
      </c>
      <c r="N449" t="n">
        <v>0</v>
      </c>
      <c r="O449" t="n">
        <v>0</v>
      </c>
      <c r="P449" t="n">
        <v>0</v>
      </c>
      <c r="Q449" t="n">
        <v>0</v>
      </c>
      <c r="R449" s="2" t="inlineStr"/>
    </row>
    <row r="450" ht="15" customHeight="1">
      <c r="A450" t="inlineStr">
        <is>
          <t>A 49068-2025</t>
        </is>
      </c>
      <c r="B450" s="1" t="n">
        <v>45937.64766203704</v>
      </c>
      <c r="C450" s="1" t="n">
        <v>46003</v>
      </c>
      <c r="D450" t="inlineStr">
        <is>
          <t>UPPSALA LÄN</t>
        </is>
      </c>
      <c r="E450" t="inlineStr">
        <is>
          <t>ENKÖPING</t>
        </is>
      </c>
      <c r="G450" t="n">
        <v>1.8</v>
      </c>
      <c r="H450" t="n">
        <v>0</v>
      </c>
      <c r="I450" t="n">
        <v>0</v>
      </c>
      <c r="J450" t="n">
        <v>0</v>
      </c>
      <c r="K450" t="n">
        <v>0</v>
      </c>
      <c r="L450" t="n">
        <v>0</v>
      </c>
      <c r="M450" t="n">
        <v>0</v>
      </c>
      <c r="N450" t="n">
        <v>0</v>
      </c>
      <c r="O450" t="n">
        <v>0</v>
      </c>
      <c r="P450" t="n">
        <v>0</v>
      </c>
      <c r="Q450" t="n">
        <v>0</v>
      </c>
      <c r="R450" s="2" t="inlineStr"/>
    </row>
    <row r="451" ht="15" customHeight="1">
      <c r="A451" t="inlineStr">
        <is>
          <t>A 28758-2025</t>
        </is>
      </c>
      <c r="B451" s="1" t="n">
        <v>45820.41212962963</v>
      </c>
      <c r="C451" s="1" t="n">
        <v>46003</v>
      </c>
      <c r="D451" t="inlineStr">
        <is>
          <t>UPPSALA LÄN</t>
        </is>
      </c>
      <c r="E451" t="inlineStr">
        <is>
          <t>ENKÖPING</t>
        </is>
      </c>
      <c r="G451" t="n">
        <v>2.4</v>
      </c>
      <c r="H451" t="n">
        <v>0</v>
      </c>
      <c r="I451" t="n">
        <v>0</v>
      </c>
      <c r="J451" t="n">
        <v>0</v>
      </c>
      <c r="K451" t="n">
        <v>0</v>
      </c>
      <c r="L451" t="n">
        <v>0</v>
      </c>
      <c r="M451" t="n">
        <v>0</v>
      </c>
      <c r="N451" t="n">
        <v>0</v>
      </c>
      <c r="O451" t="n">
        <v>0</v>
      </c>
      <c r="P451" t="n">
        <v>0</v>
      </c>
      <c r="Q451" t="n">
        <v>0</v>
      </c>
      <c r="R451" s="2" t="inlineStr"/>
    </row>
    <row r="452" ht="15" customHeight="1">
      <c r="A452" t="inlineStr">
        <is>
          <t>A 39009-2024</t>
        </is>
      </c>
      <c r="B452" s="1" t="n">
        <v>45548</v>
      </c>
      <c r="C452" s="1" t="n">
        <v>46003</v>
      </c>
      <c r="D452" t="inlineStr">
        <is>
          <t>UPPSALA LÄN</t>
        </is>
      </c>
      <c r="E452" t="inlineStr">
        <is>
          <t>ENKÖPING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8537-2025</t>
        </is>
      </c>
      <c r="B453" s="1" t="n">
        <v>45709</v>
      </c>
      <c r="C453" s="1" t="n">
        <v>46003</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28862-2025</t>
        </is>
      </c>
      <c r="B454" s="1" t="n">
        <v>45820.59189814814</v>
      </c>
      <c r="C454" s="1" t="n">
        <v>46003</v>
      </c>
      <c r="D454" t="inlineStr">
        <is>
          <t>UPPSALA LÄN</t>
        </is>
      </c>
      <c r="E454" t="inlineStr">
        <is>
          <t>ENKÖPING</t>
        </is>
      </c>
      <c r="G454" t="n">
        <v>2.2</v>
      </c>
      <c r="H454" t="n">
        <v>0</v>
      </c>
      <c r="I454" t="n">
        <v>0</v>
      </c>
      <c r="J454" t="n">
        <v>0</v>
      </c>
      <c r="K454" t="n">
        <v>0</v>
      </c>
      <c r="L454" t="n">
        <v>0</v>
      </c>
      <c r="M454" t="n">
        <v>0</v>
      </c>
      <c r="N454" t="n">
        <v>0</v>
      </c>
      <c r="O454" t="n">
        <v>0</v>
      </c>
      <c r="P454" t="n">
        <v>0</v>
      </c>
      <c r="Q454" t="n">
        <v>0</v>
      </c>
      <c r="R454" s="2" t="inlineStr"/>
    </row>
    <row r="455" ht="15" customHeight="1">
      <c r="A455" t="inlineStr">
        <is>
          <t>A 39439-2025</t>
        </is>
      </c>
      <c r="B455" s="1" t="n">
        <v>45889</v>
      </c>
      <c r="C455" s="1" t="n">
        <v>46003</v>
      </c>
      <c r="D455" t="inlineStr">
        <is>
          <t>UPPSALA LÄN</t>
        </is>
      </c>
      <c r="E455" t="inlineStr">
        <is>
          <t>ENKÖPING</t>
        </is>
      </c>
      <c r="G455" t="n">
        <v>0.4</v>
      </c>
      <c r="H455" t="n">
        <v>0</v>
      </c>
      <c r="I455" t="n">
        <v>0</v>
      </c>
      <c r="J455" t="n">
        <v>0</v>
      </c>
      <c r="K455" t="n">
        <v>0</v>
      </c>
      <c r="L455" t="n">
        <v>0</v>
      </c>
      <c r="M455" t="n">
        <v>0</v>
      </c>
      <c r="N455" t="n">
        <v>0</v>
      </c>
      <c r="O455" t="n">
        <v>0</v>
      </c>
      <c r="P455" t="n">
        <v>0</v>
      </c>
      <c r="Q455" t="n">
        <v>0</v>
      </c>
      <c r="R455" s="2" t="inlineStr"/>
    </row>
    <row r="456" ht="15" customHeight="1">
      <c r="A456" t="inlineStr">
        <is>
          <t>A 29093-2025</t>
        </is>
      </c>
      <c r="B456" s="1" t="n">
        <v>45821.55743055556</v>
      </c>
      <c r="C456" s="1" t="n">
        <v>46003</v>
      </c>
      <c r="D456" t="inlineStr">
        <is>
          <t>UPPSALA LÄN</t>
        </is>
      </c>
      <c r="E456" t="inlineStr">
        <is>
          <t>ENKÖPING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29477-2025</t>
        </is>
      </c>
      <c r="B457" s="1" t="n">
        <v>45824.71537037037</v>
      </c>
      <c r="C457" s="1" t="n">
        <v>46003</v>
      </c>
      <c r="D457" t="inlineStr">
        <is>
          <t>UPPSALA LÄN</t>
        </is>
      </c>
      <c r="E457" t="inlineStr">
        <is>
          <t>ENKÖPING</t>
        </is>
      </c>
      <c r="G457" t="n">
        <v>13.4</v>
      </c>
      <c r="H457" t="n">
        <v>0</v>
      </c>
      <c r="I457" t="n">
        <v>0</v>
      </c>
      <c r="J457" t="n">
        <v>0</v>
      </c>
      <c r="K457" t="n">
        <v>0</v>
      </c>
      <c r="L457" t="n">
        <v>0</v>
      </c>
      <c r="M457" t="n">
        <v>0</v>
      </c>
      <c r="N457" t="n">
        <v>0</v>
      </c>
      <c r="O457" t="n">
        <v>0</v>
      </c>
      <c r="P457" t="n">
        <v>0</v>
      </c>
      <c r="Q457" t="n">
        <v>0</v>
      </c>
      <c r="R457" s="2" t="inlineStr"/>
    </row>
    <row r="458" ht="15" customHeight="1">
      <c r="A458" t="inlineStr">
        <is>
          <t>A 43103-2025</t>
        </is>
      </c>
      <c r="B458" s="1" t="n">
        <v>45909</v>
      </c>
      <c r="C458" s="1" t="n">
        <v>46003</v>
      </c>
      <c r="D458" t="inlineStr">
        <is>
          <t>UPPSALA LÄN</t>
        </is>
      </c>
      <c r="E458" t="inlineStr">
        <is>
          <t>ENKÖPING</t>
        </is>
      </c>
      <c r="G458" t="n">
        <v>2.3</v>
      </c>
      <c r="H458" t="n">
        <v>0</v>
      </c>
      <c r="I458" t="n">
        <v>0</v>
      </c>
      <c r="J458" t="n">
        <v>0</v>
      </c>
      <c r="K458" t="n">
        <v>0</v>
      </c>
      <c r="L458" t="n">
        <v>0</v>
      </c>
      <c r="M458" t="n">
        <v>0</v>
      </c>
      <c r="N458" t="n">
        <v>0</v>
      </c>
      <c r="O458" t="n">
        <v>0</v>
      </c>
      <c r="P458" t="n">
        <v>0</v>
      </c>
      <c r="Q458" t="n">
        <v>0</v>
      </c>
      <c r="R458" s="2" t="inlineStr"/>
    </row>
    <row r="459" ht="15" customHeight="1">
      <c r="A459" t="inlineStr">
        <is>
          <t>A 49073-2025</t>
        </is>
      </c>
      <c r="B459" s="1" t="n">
        <v>45937.65512731481</v>
      </c>
      <c r="C459" s="1" t="n">
        <v>46003</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30837-2025</t>
        </is>
      </c>
      <c r="B460" s="1" t="n">
        <v>45831.7063425926</v>
      </c>
      <c r="C460" s="1" t="n">
        <v>46003</v>
      </c>
      <c r="D460" t="inlineStr">
        <is>
          <t>UPPSALA LÄN</t>
        </is>
      </c>
      <c r="E460" t="inlineStr">
        <is>
          <t>ENKÖPING</t>
        </is>
      </c>
      <c r="G460" t="n">
        <v>3.8</v>
      </c>
      <c r="H460" t="n">
        <v>0</v>
      </c>
      <c r="I460" t="n">
        <v>0</v>
      </c>
      <c r="J460" t="n">
        <v>0</v>
      </c>
      <c r="K460" t="n">
        <v>0</v>
      </c>
      <c r="L460" t="n">
        <v>0</v>
      </c>
      <c r="M460" t="n">
        <v>0</v>
      </c>
      <c r="N460" t="n">
        <v>0</v>
      </c>
      <c r="O460" t="n">
        <v>0</v>
      </c>
      <c r="P460" t="n">
        <v>0</v>
      </c>
      <c r="Q460" t="n">
        <v>0</v>
      </c>
      <c r="R460" s="2" t="inlineStr"/>
    </row>
    <row r="461" ht="15" customHeight="1">
      <c r="A461" t="inlineStr">
        <is>
          <t>A 32031-2025</t>
        </is>
      </c>
      <c r="B461" s="1" t="n">
        <v>45835.41712962963</v>
      </c>
      <c r="C461" s="1" t="n">
        <v>46003</v>
      </c>
      <c r="D461" t="inlineStr">
        <is>
          <t>UPPSALA LÄN</t>
        </is>
      </c>
      <c r="E461" t="inlineStr">
        <is>
          <t>ENKÖPING</t>
        </is>
      </c>
      <c r="G461" t="n">
        <v>2.7</v>
      </c>
      <c r="H461" t="n">
        <v>0</v>
      </c>
      <c r="I461" t="n">
        <v>0</v>
      </c>
      <c r="J461" t="n">
        <v>0</v>
      </c>
      <c r="K461" t="n">
        <v>0</v>
      </c>
      <c r="L461" t="n">
        <v>0</v>
      </c>
      <c r="M461" t="n">
        <v>0</v>
      </c>
      <c r="N461" t="n">
        <v>0</v>
      </c>
      <c r="O461" t="n">
        <v>0</v>
      </c>
      <c r="P461" t="n">
        <v>0</v>
      </c>
      <c r="Q461" t="n">
        <v>0</v>
      </c>
      <c r="R461" s="2" t="inlineStr"/>
    </row>
    <row r="462" ht="15" customHeight="1">
      <c r="A462" t="inlineStr">
        <is>
          <t>A 32111-2025</t>
        </is>
      </c>
      <c r="B462" s="1" t="n">
        <v>45835</v>
      </c>
      <c r="C462" s="1" t="n">
        <v>46003</v>
      </c>
      <c r="D462" t="inlineStr">
        <is>
          <t>UPPSALA LÄN</t>
        </is>
      </c>
      <c r="E462" t="inlineStr">
        <is>
          <t>ENKÖPING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58025-2025</t>
        </is>
      </c>
      <c r="B463" s="1" t="n">
        <v>45982</v>
      </c>
      <c r="C463" s="1" t="n">
        <v>46003</v>
      </c>
      <c r="D463" t="inlineStr">
        <is>
          <t>UPPSALA LÄN</t>
        </is>
      </c>
      <c r="E463" t="inlineStr">
        <is>
          <t>ENKÖPING</t>
        </is>
      </c>
      <c r="G463" t="n">
        <v>3.2</v>
      </c>
      <c r="H463" t="n">
        <v>0</v>
      </c>
      <c r="I463" t="n">
        <v>0</v>
      </c>
      <c r="J463" t="n">
        <v>0</v>
      </c>
      <c r="K463" t="n">
        <v>0</v>
      </c>
      <c r="L463" t="n">
        <v>0</v>
      </c>
      <c r="M463" t="n">
        <v>0</v>
      </c>
      <c r="N463" t="n">
        <v>0</v>
      </c>
      <c r="O463" t="n">
        <v>0</v>
      </c>
      <c r="P463" t="n">
        <v>0</v>
      </c>
      <c r="Q463" t="n">
        <v>0</v>
      </c>
      <c r="R463" s="2" t="inlineStr"/>
    </row>
    <row r="464" ht="15" customHeight="1">
      <c r="A464" t="inlineStr">
        <is>
          <t>A 51162-2025</t>
        </is>
      </c>
      <c r="B464" s="1" t="n">
        <v>45947.58820601852</v>
      </c>
      <c r="C464" s="1" t="n">
        <v>46003</v>
      </c>
      <c r="D464" t="inlineStr">
        <is>
          <t>UPPSALA LÄN</t>
        </is>
      </c>
      <c r="E464" t="inlineStr">
        <is>
          <t>ENKÖPING</t>
        </is>
      </c>
      <c r="G464" t="n">
        <v>3.4</v>
      </c>
      <c r="H464" t="n">
        <v>0</v>
      </c>
      <c r="I464" t="n">
        <v>0</v>
      </c>
      <c r="J464" t="n">
        <v>0</v>
      </c>
      <c r="K464" t="n">
        <v>0</v>
      </c>
      <c r="L464" t="n">
        <v>0</v>
      </c>
      <c r="M464" t="n">
        <v>0</v>
      </c>
      <c r="N464" t="n">
        <v>0</v>
      </c>
      <c r="O464" t="n">
        <v>0</v>
      </c>
      <c r="P464" t="n">
        <v>0</v>
      </c>
      <c r="Q464" t="n">
        <v>0</v>
      </c>
      <c r="R464" s="2" t="inlineStr"/>
    </row>
    <row r="465" ht="15" customHeight="1">
      <c r="A465" t="inlineStr">
        <is>
          <t>A 51133-2025</t>
        </is>
      </c>
      <c r="B465" s="1" t="n">
        <v>45947.55598379629</v>
      </c>
      <c r="C465" s="1" t="n">
        <v>46003</v>
      </c>
      <c r="D465" t="inlineStr">
        <is>
          <t>UPPSALA LÄN</t>
        </is>
      </c>
      <c r="E465" t="inlineStr">
        <is>
          <t>ENKÖPING</t>
        </is>
      </c>
      <c r="G465" t="n">
        <v>2.4</v>
      </c>
      <c r="H465" t="n">
        <v>0</v>
      </c>
      <c r="I465" t="n">
        <v>0</v>
      </c>
      <c r="J465" t="n">
        <v>0</v>
      </c>
      <c r="K465" t="n">
        <v>0</v>
      </c>
      <c r="L465" t="n">
        <v>0</v>
      </c>
      <c r="M465" t="n">
        <v>0</v>
      </c>
      <c r="N465" t="n">
        <v>0</v>
      </c>
      <c r="O465" t="n">
        <v>0</v>
      </c>
      <c r="P465" t="n">
        <v>0</v>
      </c>
      <c r="Q465" t="n">
        <v>0</v>
      </c>
      <c r="R465" s="2" t="inlineStr"/>
    </row>
    <row r="466" ht="15" customHeight="1">
      <c r="A466" t="inlineStr">
        <is>
          <t>A 15740-2025</t>
        </is>
      </c>
      <c r="B466" s="1" t="n">
        <v>45748</v>
      </c>
      <c r="C466" s="1" t="n">
        <v>46003</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57848-2024</t>
        </is>
      </c>
      <c r="B467" s="1" t="n">
        <v>45631.40947916666</v>
      </c>
      <c r="C467" s="1" t="n">
        <v>46003</v>
      </c>
      <c r="D467" t="inlineStr">
        <is>
          <t>UPPSALA LÄN</t>
        </is>
      </c>
      <c r="E467" t="inlineStr">
        <is>
          <t>ENKÖPING</t>
        </is>
      </c>
      <c r="G467" t="n">
        <v>1.2</v>
      </c>
      <c r="H467" t="n">
        <v>0</v>
      </c>
      <c r="I467" t="n">
        <v>0</v>
      </c>
      <c r="J467" t="n">
        <v>0</v>
      </c>
      <c r="K467" t="n">
        <v>0</v>
      </c>
      <c r="L467" t="n">
        <v>0</v>
      </c>
      <c r="M467" t="n">
        <v>0</v>
      </c>
      <c r="N467" t="n">
        <v>0</v>
      </c>
      <c r="O467" t="n">
        <v>0</v>
      </c>
      <c r="P467" t="n">
        <v>0</v>
      </c>
      <c r="Q467" t="n">
        <v>0</v>
      </c>
      <c r="R467" s="2" t="inlineStr"/>
    </row>
    <row r="468" ht="15" customHeight="1">
      <c r="A468" t="inlineStr">
        <is>
          <t>A 59668-2025</t>
        </is>
      </c>
      <c r="B468" s="1" t="n">
        <v>45992.45567129629</v>
      </c>
      <c r="C468" s="1" t="n">
        <v>46003</v>
      </c>
      <c r="D468" t="inlineStr">
        <is>
          <t>UPPSALA LÄN</t>
        </is>
      </c>
      <c r="E468" t="inlineStr">
        <is>
          <t>ENKÖPING</t>
        </is>
      </c>
      <c r="G468" t="n">
        <v>3.3</v>
      </c>
      <c r="H468" t="n">
        <v>0</v>
      </c>
      <c r="I468" t="n">
        <v>0</v>
      </c>
      <c r="J468" t="n">
        <v>0</v>
      </c>
      <c r="K468" t="n">
        <v>0</v>
      </c>
      <c r="L468" t="n">
        <v>0</v>
      </c>
      <c r="M468" t="n">
        <v>0</v>
      </c>
      <c r="N468" t="n">
        <v>0</v>
      </c>
      <c r="O468" t="n">
        <v>0</v>
      </c>
      <c r="P468" t="n">
        <v>0</v>
      </c>
      <c r="Q468" t="n">
        <v>0</v>
      </c>
      <c r="R468" s="2" t="inlineStr"/>
    </row>
    <row r="469" ht="15" customHeight="1">
      <c r="A469" t="inlineStr">
        <is>
          <t>A 59379-2025</t>
        </is>
      </c>
      <c r="B469" s="1" t="n">
        <v>45989.4540162037</v>
      </c>
      <c r="C469" s="1" t="n">
        <v>46003</v>
      </c>
      <c r="D469" t="inlineStr">
        <is>
          <t>UPPSALA LÄN</t>
        </is>
      </c>
      <c r="E469" t="inlineStr">
        <is>
          <t>ENKÖPING</t>
        </is>
      </c>
      <c r="G469" t="n">
        <v>10.8</v>
      </c>
      <c r="H469" t="n">
        <v>0</v>
      </c>
      <c r="I469" t="n">
        <v>0</v>
      </c>
      <c r="J469" t="n">
        <v>0</v>
      </c>
      <c r="K469" t="n">
        <v>0</v>
      </c>
      <c r="L469" t="n">
        <v>0</v>
      </c>
      <c r="M469" t="n">
        <v>0</v>
      </c>
      <c r="N469" t="n">
        <v>0</v>
      </c>
      <c r="O469" t="n">
        <v>0</v>
      </c>
      <c r="P469" t="n">
        <v>0</v>
      </c>
      <c r="Q469" t="n">
        <v>0</v>
      </c>
      <c r="R469" s="2" t="inlineStr"/>
    </row>
    <row r="470" ht="15" customHeight="1">
      <c r="A470" t="inlineStr">
        <is>
          <t>A 18994-2025</t>
        </is>
      </c>
      <c r="B470" s="1" t="n">
        <v>45764.57350694444</v>
      </c>
      <c r="C470" s="1" t="n">
        <v>46003</v>
      </c>
      <c r="D470" t="inlineStr">
        <is>
          <t>UPPSALA LÄN</t>
        </is>
      </c>
      <c r="E470" t="inlineStr">
        <is>
          <t>ENKÖPING</t>
        </is>
      </c>
      <c r="G470" t="n">
        <v>3.8</v>
      </c>
      <c r="H470" t="n">
        <v>0</v>
      </c>
      <c r="I470" t="n">
        <v>0</v>
      </c>
      <c r="J470" t="n">
        <v>0</v>
      </c>
      <c r="K470" t="n">
        <v>0</v>
      </c>
      <c r="L470" t="n">
        <v>0</v>
      </c>
      <c r="M470" t="n">
        <v>0</v>
      </c>
      <c r="N470" t="n">
        <v>0</v>
      </c>
      <c r="O470" t="n">
        <v>0</v>
      </c>
      <c r="P470" t="n">
        <v>0</v>
      </c>
      <c r="Q470" t="n">
        <v>0</v>
      </c>
      <c r="R470" s="2" t="inlineStr"/>
    </row>
    <row r="471" ht="15" customHeight="1">
      <c r="A471" t="inlineStr">
        <is>
          <t>A 49601-2024</t>
        </is>
      </c>
      <c r="B471" s="1" t="n">
        <v>45596.56288194445</v>
      </c>
      <c r="C471" s="1" t="n">
        <v>46003</v>
      </c>
      <c r="D471" t="inlineStr">
        <is>
          <t>UPPSALA LÄN</t>
        </is>
      </c>
      <c r="E471" t="inlineStr">
        <is>
          <t>ENKÖPING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59964-2025</t>
        </is>
      </c>
      <c r="B472" s="1" t="n">
        <v>45993.48043981481</v>
      </c>
      <c r="C472" s="1" t="n">
        <v>46003</v>
      </c>
      <c r="D472" t="inlineStr">
        <is>
          <t>UPPSALA LÄN</t>
        </is>
      </c>
      <c r="E472" t="inlineStr">
        <is>
          <t>ENKÖPING</t>
        </is>
      </c>
      <c r="G472" t="n">
        <v>2.1</v>
      </c>
      <c r="H472" t="n">
        <v>0</v>
      </c>
      <c r="I472" t="n">
        <v>0</v>
      </c>
      <c r="J472" t="n">
        <v>0</v>
      </c>
      <c r="K472" t="n">
        <v>0</v>
      </c>
      <c r="L472" t="n">
        <v>0</v>
      </c>
      <c r="M472" t="n">
        <v>0</v>
      </c>
      <c r="N472" t="n">
        <v>0</v>
      </c>
      <c r="O472" t="n">
        <v>0</v>
      </c>
      <c r="P472" t="n">
        <v>0</v>
      </c>
      <c r="Q472" t="n">
        <v>0</v>
      </c>
      <c r="R472" s="2" t="inlineStr"/>
    </row>
    <row r="473" ht="15" customHeight="1">
      <c r="A473" t="inlineStr">
        <is>
          <t>A 60175-2025</t>
        </is>
      </c>
      <c r="B473" s="1" t="n">
        <v>45994.45378472222</v>
      </c>
      <c r="C473" s="1" t="n">
        <v>46003</v>
      </c>
      <c r="D473" t="inlineStr">
        <is>
          <t>UPPSALA LÄN</t>
        </is>
      </c>
      <c r="E473" t="inlineStr">
        <is>
          <t>ENKÖPING</t>
        </is>
      </c>
      <c r="G473" t="n">
        <v>2.4</v>
      </c>
      <c r="H473" t="n">
        <v>0</v>
      </c>
      <c r="I473" t="n">
        <v>0</v>
      </c>
      <c r="J473" t="n">
        <v>0</v>
      </c>
      <c r="K473" t="n">
        <v>0</v>
      </c>
      <c r="L473" t="n">
        <v>0</v>
      </c>
      <c r="M473" t="n">
        <v>0</v>
      </c>
      <c r="N473" t="n">
        <v>0</v>
      </c>
      <c r="O473" t="n">
        <v>0</v>
      </c>
      <c r="P473" t="n">
        <v>0</v>
      </c>
      <c r="Q473" t="n">
        <v>0</v>
      </c>
      <c r="R473" s="2" t="inlineStr"/>
    </row>
    <row r="474" ht="15" customHeight="1">
      <c r="A474" t="inlineStr">
        <is>
          <t>A 60340-2025</t>
        </is>
      </c>
      <c r="B474" s="1" t="n">
        <v>45994.83415509259</v>
      </c>
      <c r="C474" s="1" t="n">
        <v>46003</v>
      </c>
      <c r="D474" t="inlineStr">
        <is>
          <t>UPPSALA LÄN</t>
        </is>
      </c>
      <c r="E474" t="inlineStr">
        <is>
          <t>ENKÖPING</t>
        </is>
      </c>
      <c r="G474" t="n">
        <v>5.6</v>
      </c>
      <c r="H474" t="n">
        <v>0</v>
      </c>
      <c r="I474" t="n">
        <v>0</v>
      </c>
      <c r="J474" t="n">
        <v>0</v>
      </c>
      <c r="K474" t="n">
        <v>0</v>
      </c>
      <c r="L474" t="n">
        <v>0</v>
      </c>
      <c r="M474" t="n">
        <v>0</v>
      </c>
      <c r="N474" t="n">
        <v>0</v>
      </c>
      <c r="O474" t="n">
        <v>0</v>
      </c>
      <c r="P474" t="n">
        <v>0</v>
      </c>
      <c r="Q474" t="n">
        <v>0</v>
      </c>
      <c r="R474" s="2" t="inlineStr"/>
    </row>
    <row r="475" ht="15" customHeight="1">
      <c r="A475" t="inlineStr">
        <is>
          <t>A 26017-2025</t>
        </is>
      </c>
      <c r="B475" s="1" t="n">
        <v>45804</v>
      </c>
      <c r="C475" s="1" t="n">
        <v>46003</v>
      </c>
      <c r="D475" t="inlineStr">
        <is>
          <t>UPPSALA LÄN</t>
        </is>
      </c>
      <c r="E475" t="inlineStr">
        <is>
          <t>ENKÖPING</t>
        </is>
      </c>
      <c r="G475" t="n">
        <v>0.4</v>
      </c>
      <c r="H475" t="n">
        <v>0</v>
      </c>
      <c r="I475" t="n">
        <v>0</v>
      </c>
      <c r="J475" t="n">
        <v>0</v>
      </c>
      <c r="K475" t="n">
        <v>0</v>
      </c>
      <c r="L475" t="n">
        <v>0</v>
      </c>
      <c r="M475" t="n">
        <v>0</v>
      </c>
      <c r="N475" t="n">
        <v>0</v>
      </c>
      <c r="O475" t="n">
        <v>0</v>
      </c>
      <c r="P475" t="n">
        <v>0</v>
      </c>
      <c r="Q475" t="n">
        <v>0</v>
      </c>
      <c r="R475" s="2" t="inlineStr"/>
    </row>
    <row r="476" ht="15" customHeight="1">
      <c r="A476" t="inlineStr">
        <is>
          <t>A 17844-2025</t>
        </is>
      </c>
      <c r="B476" s="1" t="n">
        <v>45758.59920138889</v>
      </c>
      <c r="C476" s="1" t="n">
        <v>46003</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60174-2025</t>
        </is>
      </c>
      <c r="B477" s="1" t="n">
        <v>45994.45039351852</v>
      </c>
      <c r="C477" s="1" t="n">
        <v>46003</v>
      </c>
      <c r="D477" t="inlineStr">
        <is>
          <t>UPPSALA LÄN</t>
        </is>
      </c>
      <c r="E477" t="inlineStr">
        <is>
          <t>ENKÖPING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27837-2025</t>
        </is>
      </c>
      <c r="B478" s="1" t="n">
        <v>45817.37207175926</v>
      </c>
      <c r="C478" s="1" t="n">
        <v>46003</v>
      </c>
      <c r="D478" t="inlineStr">
        <is>
          <t>UPPSALA LÄN</t>
        </is>
      </c>
      <c r="E478" t="inlineStr">
        <is>
          <t>ENKÖPING</t>
        </is>
      </c>
      <c r="G478" t="n">
        <v>7.3</v>
      </c>
      <c r="H478" t="n">
        <v>0</v>
      </c>
      <c r="I478" t="n">
        <v>0</v>
      </c>
      <c r="J478" t="n">
        <v>0</v>
      </c>
      <c r="K478" t="n">
        <v>0</v>
      </c>
      <c r="L478" t="n">
        <v>0</v>
      </c>
      <c r="M478" t="n">
        <v>0</v>
      </c>
      <c r="N478" t="n">
        <v>0</v>
      </c>
      <c r="O478" t="n">
        <v>0</v>
      </c>
      <c r="P478" t="n">
        <v>0</v>
      </c>
      <c r="Q478" t="n">
        <v>0</v>
      </c>
      <c r="R478" s="2" t="inlineStr"/>
    </row>
    <row r="479" ht="15" customHeight="1">
      <c r="A479" t="inlineStr">
        <is>
          <t>A 29513-2025</t>
        </is>
      </c>
      <c r="B479" s="1" t="n">
        <v>45825</v>
      </c>
      <c r="C479" s="1" t="n">
        <v>46003</v>
      </c>
      <c r="D479" t="inlineStr">
        <is>
          <t>UPPSALA LÄN</t>
        </is>
      </c>
      <c r="E479" t="inlineStr">
        <is>
          <t>ENKÖPING</t>
        </is>
      </c>
      <c r="G479" t="n">
        <v>2.6</v>
      </c>
      <c r="H479" t="n">
        <v>0</v>
      </c>
      <c r="I479" t="n">
        <v>0</v>
      </c>
      <c r="J479" t="n">
        <v>0</v>
      </c>
      <c r="K479" t="n">
        <v>0</v>
      </c>
      <c r="L479" t="n">
        <v>0</v>
      </c>
      <c r="M479" t="n">
        <v>0</v>
      </c>
      <c r="N479" t="n">
        <v>0</v>
      </c>
      <c r="O479" t="n">
        <v>0</v>
      </c>
      <c r="P479" t="n">
        <v>0</v>
      </c>
      <c r="Q479" t="n">
        <v>0</v>
      </c>
      <c r="R479" s="2" t="inlineStr"/>
    </row>
    <row r="480" ht="15" customHeight="1">
      <c r="A480" t="inlineStr">
        <is>
          <t>A 21501-2025</t>
        </is>
      </c>
      <c r="B480" s="1" t="n">
        <v>45782</v>
      </c>
      <c r="C480" s="1" t="n">
        <v>46003</v>
      </c>
      <c r="D480" t="inlineStr">
        <is>
          <t>UPPSALA LÄN</t>
        </is>
      </c>
      <c r="E480" t="inlineStr">
        <is>
          <t>ENKÖPING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34987-2025</t>
        </is>
      </c>
      <c r="B481" s="1" t="n">
        <v>45849</v>
      </c>
      <c r="C481" s="1" t="n">
        <v>46003</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34988-2025</t>
        </is>
      </c>
      <c r="B482" s="1" t="n">
        <v>45849</v>
      </c>
      <c r="C482" s="1" t="n">
        <v>46003</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36350-2025</t>
        </is>
      </c>
      <c r="B483" s="1" t="n">
        <v>45868</v>
      </c>
      <c r="C483" s="1" t="n">
        <v>46003</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25989-2025</t>
        </is>
      </c>
      <c r="B484" s="1" t="n">
        <v>45804.65050925926</v>
      </c>
      <c r="C484" s="1" t="n">
        <v>46003</v>
      </c>
      <c r="D484" t="inlineStr">
        <is>
          <t>UPPSALA LÄN</t>
        </is>
      </c>
      <c r="E484" t="inlineStr">
        <is>
          <t>ENKÖPING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36599-2025</t>
        </is>
      </c>
      <c r="B485" s="1" t="n">
        <v>45870.51723379629</v>
      </c>
      <c r="C485" s="1" t="n">
        <v>46003</v>
      </c>
      <c r="D485" t="inlineStr">
        <is>
          <t>UPPSALA LÄN</t>
        </is>
      </c>
      <c r="E485" t="inlineStr">
        <is>
          <t>ENKÖPING</t>
        </is>
      </c>
      <c r="G485" t="n">
        <v>5.9</v>
      </c>
      <c r="H485" t="n">
        <v>0</v>
      </c>
      <c r="I485" t="n">
        <v>0</v>
      </c>
      <c r="J485" t="n">
        <v>0</v>
      </c>
      <c r="K485" t="n">
        <v>0</v>
      </c>
      <c r="L485" t="n">
        <v>0</v>
      </c>
      <c r="M485" t="n">
        <v>0</v>
      </c>
      <c r="N485" t="n">
        <v>0</v>
      </c>
      <c r="O485" t="n">
        <v>0</v>
      </c>
      <c r="P485" t="n">
        <v>0</v>
      </c>
      <c r="Q485" t="n">
        <v>0</v>
      </c>
      <c r="R485" s="2" t="inlineStr"/>
    </row>
    <row r="486" ht="15" customHeight="1">
      <c r="A486" t="inlineStr">
        <is>
          <t>A 26011-2025</t>
        </is>
      </c>
      <c r="B486" s="1" t="n">
        <v>45804.67412037037</v>
      </c>
      <c r="C486" s="1" t="n">
        <v>46003</v>
      </c>
      <c r="D486" t="inlineStr">
        <is>
          <t>UPPSALA LÄN</t>
        </is>
      </c>
      <c r="E486" t="inlineStr">
        <is>
          <t>ENKÖPING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36492-2025</t>
        </is>
      </c>
      <c r="B487" s="1" t="n">
        <v>45869</v>
      </c>
      <c r="C487" s="1" t="n">
        <v>46003</v>
      </c>
      <c r="D487" t="inlineStr">
        <is>
          <t>UPPSALA LÄN</t>
        </is>
      </c>
      <c r="E487" t="inlineStr">
        <is>
          <t>ENKÖPING</t>
        </is>
      </c>
      <c r="G487" t="n">
        <v>6.3</v>
      </c>
      <c r="H487" t="n">
        <v>0</v>
      </c>
      <c r="I487" t="n">
        <v>0</v>
      </c>
      <c r="J487" t="n">
        <v>0</v>
      </c>
      <c r="K487" t="n">
        <v>0</v>
      </c>
      <c r="L487" t="n">
        <v>0</v>
      </c>
      <c r="M487" t="n">
        <v>0</v>
      </c>
      <c r="N487" t="n">
        <v>0</v>
      </c>
      <c r="O487" t="n">
        <v>0</v>
      </c>
      <c r="P487" t="n">
        <v>0</v>
      </c>
      <c r="Q487" t="n">
        <v>0</v>
      </c>
      <c r="R487" s="2" t="inlineStr"/>
    </row>
    <row r="488" ht="15" customHeight="1">
      <c r="A488" t="inlineStr">
        <is>
          <t>A 2850-2025</t>
        </is>
      </c>
      <c r="B488" s="1" t="n">
        <v>45677</v>
      </c>
      <c r="C488" s="1" t="n">
        <v>46003</v>
      </c>
      <c r="D488" t="inlineStr">
        <is>
          <t>UPPSALA LÄN</t>
        </is>
      </c>
      <c r="E488" t="inlineStr">
        <is>
          <t>ENKÖPING</t>
        </is>
      </c>
      <c r="G488" t="n">
        <v>0.3</v>
      </c>
      <c r="H488" t="n">
        <v>0</v>
      </c>
      <c r="I488" t="n">
        <v>0</v>
      </c>
      <c r="J488" t="n">
        <v>0</v>
      </c>
      <c r="K488" t="n">
        <v>0</v>
      </c>
      <c r="L488" t="n">
        <v>0</v>
      </c>
      <c r="M488" t="n">
        <v>0</v>
      </c>
      <c r="N488" t="n">
        <v>0</v>
      </c>
      <c r="O488" t="n">
        <v>0</v>
      </c>
      <c r="P488" t="n">
        <v>0</v>
      </c>
      <c r="Q488" t="n">
        <v>0</v>
      </c>
      <c r="R488" s="2" t="inlineStr"/>
    </row>
    <row r="489" ht="15" customHeight="1">
      <c r="A489" t="inlineStr">
        <is>
          <t>A 37319-2025</t>
        </is>
      </c>
      <c r="B489" s="1" t="n">
        <v>45876</v>
      </c>
      <c r="C489" s="1" t="n">
        <v>46003</v>
      </c>
      <c r="D489" t="inlineStr">
        <is>
          <t>UPPSALA LÄN</t>
        </is>
      </c>
      <c r="E489" t="inlineStr">
        <is>
          <t>ENKÖPING</t>
        </is>
      </c>
      <c r="G489" t="n">
        <v>9.5</v>
      </c>
      <c r="H489" t="n">
        <v>0</v>
      </c>
      <c r="I489" t="n">
        <v>0</v>
      </c>
      <c r="J489" t="n">
        <v>0</v>
      </c>
      <c r="K489" t="n">
        <v>0</v>
      </c>
      <c r="L489" t="n">
        <v>0</v>
      </c>
      <c r="M489" t="n">
        <v>0</v>
      </c>
      <c r="N489" t="n">
        <v>0</v>
      </c>
      <c r="O489" t="n">
        <v>0</v>
      </c>
      <c r="P489" t="n">
        <v>0</v>
      </c>
      <c r="Q489" t="n">
        <v>0</v>
      </c>
      <c r="R489" s="2" t="inlineStr"/>
    </row>
    <row r="490" ht="15" customHeight="1">
      <c r="A490" t="inlineStr">
        <is>
          <t>A 37296-2025</t>
        </is>
      </c>
      <c r="B490" s="1" t="n">
        <v>45876</v>
      </c>
      <c r="C490" s="1" t="n">
        <v>46003</v>
      </c>
      <c r="D490" t="inlineStr">
        <is>
          <t>UPPSALA LÄN</t>
        </is>
      </c>
      <c r="E490" t="inlineStr">
        <is>
          <t>ENKÖPING</t>
        </is>
      </c>
      <c r="G490" t="n">
        <v>9.5</v>
      </c>
      <c r="H490" t="n">
        <v>0</v>
      </c>
      <c r="I490" t="n">
        <v>0</v>
      </c>
      <c r="J490" t="n">
        <v>0</v>
      </c>
      <c r="K490" t="n">
        <v>0</v>
      </c>
      <c r="L490" t="n">
        <v>0</v>
      </c>
      <c r="M490" t="n">
        <v>0</v>
      </c>
      <c r="N490" t="n">
        <v>0</v>
      </c>
      <c r="O490" t="n">
        <v>0</v>
      </c>
      <c r="P490" t="n">
        <v>0</v>
      </c>
      <c r="Q490" t="n">
        <v>0</v>
      </c>
      <c r="R490" s="2" t="inlineStr"/>
    </row>
    <row r="491" ht="15" customHeight="1">
      <c r="A491" t="inlineStr">
        <is>
          <t>A 60947-2025</t>
        </is>
      </c>
      <c r="B491" s="1" t="n">
        <v>45999</v>
      </c>
      <c r="C491" s="1" t="n">
        <v>46003</v>
      </c>
      <c r="D491" t="inlineStr">
        <is>
          <t>UPPSALA LÄN</t>
        </is>
      </c>
      <c r="E491" t="inlineStr">
        <is>
          <t>ENKÖPING</t>
        </is>
      </c>
      <c r="G491" t="n">
        <v>4</v>
      </c>
      <c r="H491" t="n">
        <v>0</v>
      </c>
      <c r="I491" t="n">
        <v>0</v>
      </c>
      <c r="J491" t="n">
        <v>0</v>
      </c>
      <c r="K491" t="n">
        <v>0</v>
      </c>
      <c r="L491" t="n">
        <v>0</v>
      </c>
      <c r="M491" t="n">
        <v>0</v>
      </c>
      <c r="N491" t="n">
        <v>0</v>
      </c>
      <c r="O491" t="n">
        <v>0</v>
      </c>
      <c r="P491" t="n">
        <v>0</v>
      </c>
      <c r="Q491" t="n">
        <v>0</v>
      </c>
      <c r="R491" s="2" t="inlineStr"/>
    </row>
    <row r="492" ht="15" customHeight="1">
      <c r="A492" t="inlineStr">
        <is>
          <t>A 57188-2025</t>
        </is>
      </c>
      <c r="B492" s="1" t="n">
        <v>45979</v>
      </c>
      <c r="C492" s="1" t="n">
        <v>46003</v>
      </c>
      <c r="D492" t="inlineStr">
        <is>
          <t>UPPSALA LÄN</t>
        </is>
      </c>
      <c r="E492" t="inlineStr">
        <is>
          <t>ENKÖPING</t>
        </is>
      </c>
      <c r="G492" t="n">
        <v>1.7</v>
      </c>
      <c r="H492" t="n">
        <v>0</v>
      </c>
      <c r="I492" t="n">
        <v>0</v>
      </c>
      <c r="J492" t="n">
        <v>0</v>
      </c>
      <c r="K492" t="n">
        <v>0</v>
      </c>
      <c r="L492" t="n">
        <v>0</v>
      </c>
      <c r="M492" t="n">
        <v>0</v>
      </c>
      <c r="N492" t="n">
        <v>0</v>
      </c>
      <c r="O492" t="n">
        <v>0</v>
      </c>
      <c r="P492" t="n">
        <v>0</v>
      </c>
      <c r="Q492" t="n">
        <v>0</v>
      </c>
      <c r="R492" s="2" t="inlineStr"/>
    </row>
    <row r="493" ht="15" customHeight="1">
      <c r="A493" t="inlineStr">
        <is>
          <t>A 61778-2025</t>
        </is>
      </c>
      <c r="B493" s="1" t="n">
        <v>46002.66555555556</v>
      </c>
      <c r="C493" s="1" t="n">
        <v>46003</v>
      </c>
      <c r="D493" t="inlineStr">
        <is>
          <t>UPPSALA LÄN</t>
        </is>
      </c>
      <c r="E493" t="inlineStr">
        <is>
          <t>ENKÖPING</t>
        </is>
      </c>
      <c r="G493" t="n">
        <v>3.2</v>
      </c>
      <c r="H493" t="n">
        <v>0</v>
      </c>
      <c r="I493" t="n">
        <v>0</v>
      </c>
      <c r="J493" t="n">
        <v>0</v>
      </c>
      <c r="K493" t="n">
        <v>0</v>
      </c>
      <c r="L493" t="n">
        <v>0</v>
      </c>
      <c r="M493" t="n">
        <v>0</v>
      </c>
      <c r="N493" t="n">
        <v>0</v>
      </c>
      <c r="O493" t="n">
        <v>0</v>
      </c>
      <c r="P493" t="n">
        <v>0</v>
      </c>
      <c r="Q493" t="n">
        <v>0</v>
      </c>
      <c r="R493" s="2" t="inlineStr"/>
    </row>
    <row r="494" ht="15" customHeight="1">
      <c r="A494" t="inlineStr">
        <is>
          <t>A 37498-2025</t>
        </is>
      </c>
      <c r="B494" s="1" t="n">
        <v>45877</v>
      </c>
      <c r="C494" s="1" t="n">
        <v>46003</v>
      </c>
      <c r="D494" t="inlineStr">
        <is>
          <t>UPPSALA LÄN</t>
        </is>
      </c>
      <c r="E494" t="inlineStr">
        <is>
          <t>ENKÖPING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61437-2025</t>
        </is>
      </c>
      <c r="B495" s="1" t="n">
        <v>46001.5659375</v>
      </c>
      <c r="C495" s="1" t="n">
        <v>46003</v>
      </c>
      <c r="D495" t="inlineStr">
        <is>
          <t>UPPSALA LÄN</t>
        </is>
      </c>
      <c r="E495" t="inlineStr">
        <is>
          <t>ENKÖPING</t>
        </is>
      </c>
      <c r="G495" t="n">
        <v>1</v>
      </c>
      <c r="H495" t="n">
        <v>0</v>
      </c>
      <c r="I495" t="n">
        <v>0</v>
      </c>
      <c r="J495" t="n">
        <v>0</v>
      </c>
      <c r="K495" t="n">
        <v>0</v>
      </c>
      <c r="L495" t="n">
        <v>0</v>
      </c>
      <c r="M495" t="n">
        <v>0</v>
      </c>
      <c r="N495" t="n">
        <v>0</v>
      </c>
      <c r="O495" t="n">
        <v>0</v>
      </c>
      <c r="P495" t="n">
        <v>0</v>
      </c>
      <c r="Q495" t="n">
        <v>0</v>
      </c>
      <c r="R495" s="2" t="inlineStr"/>
    </row>
    <row r="496" ht="15" customHeight="1">
      <c r="A496" t="inlineStr">
        <is>
          <t>A 49622-2024</t>
        </is>
      </c>
      <c r="B496" s="1" t="n">
        <v>45596.58372685185</v>
      </c>
      <c r="C496" s="1" t="n">
        <v>46003</v>
      </c>
      <c r="D496" t="inlineStr">
        <is>
          <t>UPPSALA LÄN</t>
        </is>
      </c>
      <c r="E496" t="inlineStr">
        <is>
          <t>ENKÖPING</t>
        </is>
      </c>
      <c r="G496" t="n">
        <v>1.3</v>
      </c>
      <c r="H496" t="n">
        <v>0</v>
      </c>
      <c r="I496" t="n">
        <v>0</v>
      </c>
      <c r="J496" t="n">
        <v>0</v>
      </c>
      <c r="K496" t="n">
        <v>0</v>
      </c>
      <c r="L496" t="n">
        <v>0</v>
      </c>
      <c r="M496" t="n">
        <v>0</v>
      </c>
      <c r="N496" t="n">
        <v>0</v>
      </c>
      <c r="O496" t="n">
        <v>0</v>
      </c>
      <c r="P496" t="n">
        <v>0</v>
      </c>
      <c r="Q496" t="n">
        <v>0</v>
      </c>
      <c r="R496" s="2" t="inlineStr"/>
    </row>
    <row r="497" ht="15" customHeight="1">
      <c r="A497" t="inlineStr">
        <is>
          <t>A 60934-2025</t>
        </is>
      </c>
      <c r="B497" s="1" t="n">
        <v>45999</v>
      </c>
      <c r="C497" s="1" t="n">
        <v>46003</v>
      </c>
      <c r="D497" t="inlineStr">
        <is>
          <t>UPPSALA LÄN</t>
        </is>
      </c>
      <c r="E497" t="inlineStr">
        <is>
          <t>ENKÖPING</t>
        </is>
      </c>
      <c r="G497" t="n">
        <v>2.5</v>
      </c>
      <c r="H497" t="n">
        <v>0</v>
      </c>
      <c r="I497" t="n">
        <v>0</v>
      </c>
      <c r="J497" t="n">
        <v>0</v>
      </c>
      <c r="K497" t="n">
        <v>0</v>
      </c>
      <c r="L497" t="n">
        <v>0</v>
      </c>
      <c r="M497" t="n">
        <v>0</v>
      </c>
      <c r="N497" t="n">
        <v>0</v>
      </c>
      <c r="O497" t="n">
        <v>0</v>
      </c>
      <c r="P497" t="n">
        <v>0</v>
      </c>
      <c r="Q497" t="n">
        <v>0</v>
      </c>
      <c r="R497" s="2" t="inlineStr"/>
    </row>
    <row r="498">
      <c r="A498" t="inlineStr">
        <is>
          <t>A 61811-2025</t>
        </is>
      </c>
      <c r="B498" s="1" t="n">
        <v>46002.90059027778</v>
      </c>
      <c r="C498" s="1" t="n">
        <v>46003</v>
      </c>
      <c r="D498" t="inlineStr">
        <is>
          <t>UPPSALA LÄN</t>
        </is>
      </c>
      <c r="E498" t="inlineStr">
        <is>
          <t>ENKÖPING</t>
        </is>
      </c>
      <c r="F498" t="inlineStr">
        <is>
          <t>Allmännings- och besparingsskogar</t>
        </is>
      </c>
      <c r="G498" t="n">
        <v>4.7</v>
      </c>
      <c r="H498" t="n">
        <v>0</v>
      </c>
      <c r="I498" t="n">
        <v>0</v>
      </c>
      <c r="J498" t="n">
        <v>0</v>
      </c>
      <c r="K498" t="n">
        <v>0</v>
      </c>
      <c r="L498" t="n">
        <v>0</v>
      </c>
      <c r="M498" t="n">
        <v>0</v>
      </c>
      <c r="N498" t="n">
        <v>0</v>
      </c>
      <c r="O498" t="n">
        <v>0</v>
      </c>
      <c r="P498" t="n">
        <v>0</v>
      </c>
      <c r="Q498" t="n">
        <v>0</v>
      </c>
      <c r="R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2025-12-12T10:29:59Z</dcterms:created>
  <dcterms:modified xmlns:dcterms="http://purl.org/dc/terms/" xmlns:xsi="http://www.w3.org/2001/XMLSchema-instance" xsi:type="dcterms:W3CDTF">2025-12-12T10:30:00Z</dcterms:modified>
</cp:coreProperties>
</file>