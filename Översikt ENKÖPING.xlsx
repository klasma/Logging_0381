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45735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45735</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45735</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45735</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45735</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45735</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45735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45735</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45735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45735</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45735</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45735</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45735</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45735</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45735</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45735</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45735</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45735</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45735</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45735</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45735</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45735</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45735</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45735</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45735</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45735</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45735</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45735</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45735</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45735</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45735</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45735</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45735</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45735</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45735</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45735</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45735</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45735</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45735</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45735</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45735</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45735</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45735</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45735</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45735</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45735</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45735</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45735</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45735</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45735</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45735</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45735</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45735</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45735</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45735</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45735</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45735</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11018-2025</t>
        </is>
      </c>
      <c r="B59" s="1" t="n">
        <v>45723</v>
      </c>
      <c r="C59" s="1" t="n">
        <v>45735</v>
      </c>
      <c r="D59" t="inlineStr">
        <is>
          <t>UPPSALA LÄN</t>
        </is>
      </c>
      <c r="E59" t="inlineStr">
        <is>
          <t>ENKÖPING</t>
        </is>
      </c>
      <c r="G59" t="n">
        <v>1.6</v>
      </c>
      <c r="H59" t="n">
        <v>0</v>
      </c>
      <c r="I59" t="n">
        <v>0</v>
      </c>
      <c r="J59" t="n">
        <v>0</v>
      </c>
      <c r="K59" t="n">
        <v>0</v>
      </c>
      <c r="L59" t="n">
        <v>1</v>
      </c>
      <c r="M59" t="n">
        <v>0</v>
      </c>
      <c r="N59" t="n">
        <v>0</v>
      </c>
      <c r="O59" t="n">
        <v>1</v>
      </c>
      <c r="P59" t="n">
        <v>1</v>
      </c>
      <c r="Q59" t="n">
        <v>1</v>
      </c>
      <c r="R59" s="2" t="inlineStr">
        <is>
          <t>Ask</t>
        </is>
      </c>
      <c r="S59">
        <f>HYPERLINK("https://klasma.github.io/Logging_0381/artfynd/A 11018-2025 artfynd.xlsx", "A 11018-2025")</f>
        <v/>
      </c>
      <c r="T59">
        <f>HYPERLINK("https://klasma.github.io/Logging_0381/kartor/A 11018-2025 karta.png", "A 11018-2025")</f>
        <v/>
      </c>
      <c r="V59">
        <f>HYPERLINK("https://klasma.github.io/Logging_0381/klagomål/A 11018-2025 FSC-klagomål.docx", "A 11018-2025")</f>
        <v/>
      </c>
      <c r="W59">
        <f>HYPERLINK("https://klasma.github.io/Logging_0381/klagomålsmail/A 11018-2025 FSC-klagomål mail.docx", "A 11018-2025")</f>
        <v/>
      </c>
      <c r="X59">
        <f>HYPERLINK("https://klasma.github.io/Logging_0381/tillsyn/A 11018-2025 tillsynsbegäran.docx", "A 11018-2025")</f>
        <v/>
      </c>
      <c r="Y59">
        <f>HYPERLINK("https://klasma.github.io/Logging_0381/tillsynsmail/A 11018-2025 tillsynsbegäran mail.docx", "A 11018-2025")</f>
        <v/>
      </c>
    </row>
    <row r="60" ht="15" customHeight="1">
      <c r="A60" t="inlineStr">
        <is>
          <t>A 11015-2025</t>
        </is>
      </c>
      <c r="B60" s="1" t="n">
        <v>45723</v>
      </c>
      <c r="C60" s="1" t="n">
        <v>45735</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HYPERLINK("https://klasma.github.io/Logging_0381/artfynd/A 11015-2025 artfynd.xlsx", "A 11015-2025")</f>
        <v/>
      </c>
      <c r="T60">
        <f>HYPERLINK("https://klasma.github.io/Logging_0381/kartor/A 11015-2025 karta.png", "A 11015-2025")</f>
        <v/>
      </c>
      <c r="V60">
        <f>HYPERLINK("https://klasma.github.io/Logging_0381/klagomål/A 11015-2025 FSC-klagomål.docx", "A 11015-2025")</f>
        <v/>
      </c>
      <c r="W60">
        <f>HYPERLINK("https://klasma.github.io/Logging_0381/klagomålsmail/A 11015-2025 FSC-klagomål mail.docx", "A 11015-2025")</f>
        <v/>
      </c>
      <c r="X60">
        <f>HYPERLINK("https://klasma.github.io/Logging_0381/tillsyn/A 11015-2025 tillsynsbegäran.docx", "A 11015-2025")</f>
        <v/>
      </c>
      <c r="Y60">
        <f>HYPERLINK("https://klasma.github.io/Logging_0381/tillsynsmail/A 11015-2025 tillsynsbegäran mail.docx", "A 11015-2025")</f>
        <v/>
      </c>
    </row>
    <row r="61" ht="15" customHeight="1">
      <c r="A61" t="inlineStr">
        <is>
          <t>A 18148-2019</t>
        </is>
      </c>
      <c r="B61" s="1" t="n">
        <v>43558</v>
      </c>
      <c r="C61" s="1" t="n">
        <v>45735</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45735</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45735</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45735</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45735</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45735</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45735</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45735</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45735</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45735</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45735</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45735</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45735</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45735</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45735</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45735</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45735</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45735</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45735</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45735</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45735</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45735</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45735</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45735</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45735</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45735</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45735</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45735</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45735</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45735</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45735</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45735</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45735</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45735</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45735</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45735</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45735</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45735</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45735</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45735</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45735</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45735</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45735</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45735</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45735</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45735</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45735</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45735</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45735</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45735</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45735</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45735</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45735</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45735</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45735</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45735</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45735</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45735</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45735</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45735</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45735</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45735</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45735</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45735</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45735</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45735</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45735</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45735</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45735</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45735</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45735</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45735</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45735</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45735</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45735</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45735</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45735</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45735</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45735</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45735</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45735</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45735</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45735</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45735</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45735</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45735</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45735</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45735</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45735</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45735</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45735</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45735</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45735</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45735</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45735</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45735</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45735</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45735</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45735</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45735</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45735</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45735</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45735</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45735</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45735</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45735</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45735</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45735</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45735</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45735</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45735</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45735</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45735</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45735</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45735</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45735</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45735</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45735</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45735</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45735</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45735</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45735</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45735</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45735</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45735</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45735</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45735</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45735</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45735</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45735</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45735</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45735</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45735</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45735</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45735</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45735</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45735</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45735</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45735</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45735</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45735</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45735</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45735</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45735</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45735</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45735</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45735</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45735</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45735</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45735</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45735</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45735</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45735</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45735</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45735</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45735</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45735</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45735</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45735</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45735</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45735</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45735</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45735</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45735</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45735</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45735</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45735</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45735</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45735</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45735</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45735</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45735</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45735</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45735</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45735</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45735</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45735</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45735</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45735</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45735</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45735</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45735</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45735</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45735</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45735</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45735</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45735</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45735</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45735</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45735</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45735</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45735</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45735</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45735</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45735</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45735</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45735</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45735</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45735</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45735</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45735</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45735</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45735</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45735</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45735</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45735</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45735</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45735</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45735</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45735</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45735</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45735</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45735</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45735</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45735</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45735</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45735</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45735</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45735</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45735</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45735</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45735</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45735</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45735</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45735</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45735</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45735</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45735</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45735</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45735</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45735</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45735</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45735</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45735</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45735</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45735</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45735</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45735</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45735</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45735</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45735</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45735</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45735</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45735</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45735</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45735</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45735</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45735</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45735</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45735</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45735</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45735</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45735</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45735</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45735</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45735</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45735</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45735</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45735</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45735</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45735</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45735</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45735</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45735</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45735</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45735</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45735</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45735</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45735</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45735</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45735</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45735</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45735</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45735</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45735</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45735</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45735</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45735</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45735</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45735</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45735</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45735</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45735</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45735</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45735</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45735</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45735</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45735</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45735</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45735</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45735</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45735</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45735</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45735</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45735</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45735</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45735</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45735</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45735</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45735</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45735</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45735</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45735</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45735</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45735</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45735</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45735</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45735</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45735</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45735</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45735</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45735</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45735</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45735</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45735</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45735</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45735</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45735</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45735</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45735</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45735</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45735</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45735</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45735</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45735</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45735</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45735</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45735</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45735</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45735</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45735</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45735</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45735</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45735</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45735</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45735</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45735</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45735</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45735</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45735</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45735</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45735</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45735</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45735</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45735</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45735</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45735</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45735</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45735</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45735</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45735</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45735</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45735</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45735</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45735</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45735</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45735</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45735</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45735</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45735</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45735</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45735</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45735</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45735</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45735</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45735</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45735</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45735</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45735</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45735</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45735</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45735</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45735</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45735</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45735</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45735</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45735</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45735</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45735</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45735</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45735</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45735</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45735</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45735</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45735</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45735</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45735</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45735</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45735</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45735</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45735</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45735</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45735</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45735</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45735</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45735</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45735</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45735</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45735</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45735</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45735</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45735</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45735</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45735</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45735</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45735</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45735</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45735</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45735</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45735</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45735</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45735</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45735</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45735</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45735</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45735</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45735</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45735</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45735</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45735</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45735</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45735</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45735</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45735</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45735</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45735</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45735</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45735</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45735</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45735</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45735</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45735</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45735</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45735</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45735</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45735</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45735</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45735</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45735</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45735</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45735</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45735</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45735</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45735</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45735</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45735</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45735</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45735</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45735</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45735</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45735</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45735</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45735</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45735</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45735</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45735</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45735</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45735</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45735</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45735</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45735</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45735</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45735</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45735</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45735</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45735</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45735</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45735</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45735</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45735</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45735</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45735</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45735</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45735</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45735</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45735</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45735</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45735</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45735</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45735</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45735</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45735</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45735</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45735</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45735</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45735</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45735</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45735</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45735</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45735</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45735</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45735</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45735</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45735</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45735</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45735</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45735</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45735</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45735</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45735</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45735</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45735</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45735</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45735</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45735</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45735</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45735</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45735</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45735</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45735</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45735</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45735</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45735</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45735</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45735</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45735</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45735</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45735</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45735</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45735</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45735</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45735</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45735</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45735</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45735</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45735</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45735</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45735</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45735</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45735</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45735</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45735</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45735</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45735</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45735</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45735</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45735</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45735</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45735</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45735</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45735</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45735</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45735</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45735</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45735</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45735</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45735</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45735</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45735</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45735</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45735</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45735</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45735</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45735</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45735</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45735</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45735</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45735</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45735</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45735</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45735</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45735</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45735</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45735</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45735</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45735</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45735</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45735</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45735</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45735</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45735</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45735</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45735</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45735</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45735</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45735</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45735</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45735</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45735</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45735</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45735</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45735</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45735</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45735</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45735</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45735</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45735</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45735</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45735</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45735</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45735</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45735</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45735</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45735</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45735</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45735</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45735</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45735</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45735</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45735</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45735</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45735</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45735</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45735</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45735</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45735</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45735</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45735</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45735</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45735</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45735</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45735</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45735</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45735</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45735</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45735</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45735</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45735</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45735</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45735</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45735</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45735</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45735</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45735</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45735</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45735</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45735</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45735</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45735</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45735</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45735</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45735</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45735</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45735</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45735</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45735</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45735</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45735</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45735</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45735</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45735</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45735</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45735</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45735</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45735</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45735</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45735</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45735</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45735</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45735</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45735</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45735</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45735</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45735</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45735</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45735</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45735</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45735</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45735</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45735</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45735</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45735</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45735</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45735</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45735</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45735</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45735</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45735</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45735</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45735</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45735</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45735</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45735</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45735</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45735</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45735</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45735</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45735</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45735</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45735</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45735</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45735</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45735</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45735</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45735</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45735</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45735</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45735</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45735</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45735</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45735</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45735</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45735</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45735</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45735</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45735</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45735</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45735</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45735</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45735</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45735</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45735</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45735</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45735</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45735</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45735</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45735</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45735</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45735</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45735</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45735</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45735</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45735</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45735</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45735</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45735</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45735</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45735</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45735</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45735</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45735</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45735</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45735</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45735</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45735</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45735</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45735</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45735</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45735</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45735</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45735</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45735</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45735</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45735</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45735</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45735</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45735</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45735</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45735</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45735</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45735</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45735</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45735</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45735</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45735</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45735</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45735</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45735</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45735</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45735</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45735</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45735</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45735</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45735</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45735</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45735</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45735</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45735</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45735</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45735</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45735</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45735</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45735</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45735</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45735</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45735</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45735</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45735</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45735</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45735</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45735</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45735</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45735</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45735</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45735</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45735</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45735</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45735</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45735</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45735</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45735</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45735</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45735</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45735</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45735</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45735</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45735</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45735</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45735</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45735</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45735</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45735</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45735</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45735</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45735</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45735</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45735</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45735</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45735</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45735</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45735</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45735</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45735</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45735</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45735</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45735</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45735</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45735</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45735</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45735</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45735</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45735</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45735</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45735</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45735</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45735</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45735</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45735</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45735</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45735</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45735</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45735</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45735</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45735</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45735</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45735</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45735</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45735</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45735</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45735</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45735</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45735</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45735</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45735</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45735</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45735</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45735</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45735</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45735</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45735</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45735</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45735</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45735</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45735</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45735</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45735</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45735</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45735</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45735</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45735</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45735</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45735</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45735</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45735</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45735</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45735</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45735</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45735</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9490-2025</t>
        </is>
      </c>
      <c r="B919" s="1" t="n">
        <v>45715</v>
      </c>
      <c r="C919" s="1" t="n">
        <v>45735</v>
      </c>
      <c r="D919" t="inlineStr">
        <is>
          <t>UPPSALA LÄN</t>
        </is>
      </c>
      <c r="E919" t="inlineStr">
        <is>
          <t>ENKÖPING</t>
        </is>
      </c>
      <c r="G919" t="n">
        <v>3.6</v>
      </c>
      <c r="H919" t="n">
        <v>0</v>
      </c>
      <c r="I919" t="n">
        <v>0</v>
      </c>
      <c r="J919" t="n">
        <v>0</v>
      </c>
      <c r="K919" t="n">
        <v>0</v>
      </c>
      <c r="L919" t="n">
        <v>0</v>
      </c>
      <c r="M919" t="n">
        <v>0</v>
      </c>
      <c r="N919" t="n">
        <v>0</v>
      </c>
      <c r="O919" t="n">
        <v>0</v>
      </c>
      <c r="P919" t="n">
        <v>0</v>
      </c>
      <c r="Q919" t="n">
        <v>0</v>
      </c>
      <c r="R919" s="2" t="inlineStr"/>
    </row>
    <row r="920" ht="15" customHeight="1">
      <c r="A920" t="inlineStr">
        <is>
          <t>A 9487-2025</t>
        </is>
      </c>
      <c r="B920" s="1" t="n">
        <v>45715</v>
      </c>
      <c r="C920" s="1" t="n">
        <v>45735</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9493-2025</t>
        </is>
      </c>
      <c r="B921" s="1" t="n">
        <v>45715</v>
      </c>
      <c r="C921" s="1" t="n">
        <v>45735</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9658-2025</t>
        </is>
      </c>
      <c r="B922" s="1" t="n">
        <v>45716</v>
      </c>
      <c r="C922" s="1" t="n">
        <v>45735</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9662-2025</t>
        </is>
      </c>
      <c r="B923" s="1" t="n">
        <v>45716</v>
      </c>
      <c r="C923" s="1" t="n">
        <v>45735</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9656-2025</t>
        </is>
      </c>
      <c r="B924" s="1" t="n">
        <v>45716</v>
      </c>
      <c r="C924" s="1" t="n">
        <v>45735</v>
      </c>
      <c r="D924" t="inlineStr">
        <is>
          <t>UPPSALA LÄN</t>
        </is>
      </c>
      <c r="E924" t="inlineStr">
        <is>
          <t>ENKÖPING</t>
        </is>
      </c>
      <c r="G924" t="n">
        <v>3.6</v>
      </c>
      <c r="H924" t="n">
        <v>0</v>
      </c>
      <c r="I924" t="n">
        <v>0</v>
      </c>
      <c r="J924" t="n">
        <v>0</v>
      </c>
      <c r="K924" t="n">
        <v>0</v>
      </c>
      <c r="L924" t="n">
        <v>0</v>
      </c>
      <c r="M924" t="n">
        <v>0</v>
      </c>
      <c r="N924" t="n">
        <v>0</v>
      </c>
      <c r="O924" t="n">
        <v>0</v>
      </c>
      <c r="P924" t="n">
        <v>0</v>
      </c>
      <c r="Q924" t="n">
        <v>0</v>
      </c>
      <c r="R924" s="2" t="inlineStr"/>
    </row>
    <row r="925" ht="15" customHeight="1">
      <c r="A925" t="inlineStr">
        <is>
          <t>A 9660-2025</t>
        </is>
      </c>
      <c r="B925" s="1" t="n">
        <v>45716</v>
      </c>
      <c r="C925" s="1" t="n">
        <v>45735</v>
      </c>
      <c r="D925" t="inlineStr">
        <is>
          <t>UPPSALA LÄN</t>
        </is>
      </c>
      <c r="E925" t="inlineStr">
        <is>
          <t>ENKÖPING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45735</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10409-2025</t>
        </is>
      </c>
      <c r="B927" s="1" t="n">
        <v>45720</v>
      </c>
      <c r="C927" s="1" t="n">
        <v>45735</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10468-2025</t>
        </is>
      </c>
      <c r="B928" s="1" t="n">
        <v>45720</v>
      </c>
      <c r="C928" s="1" t="n">
        <v>45735</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45735</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45735</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11627-2025</t>
        </is>
      </c>
      <c r="B931" s="1" t="n">
        <v>45727</v>
      </c>
      <c r="C931" s="1" t="n">
        <v>45735</v>
      </c>
      <c r="D931" t="inlineStr">
        <is>
          <t>UPPSALA LÄN</t>
        </is>
      </c>
      <c r="E931" t="inlineStr">
        <is>
          <t>ENKÖPING</t>
        </is>
      </c>
      <c r="G931" t="n">
        <v>5.5</v>
      </c>
      <c r="H931" t="n">
        <v>0</v>
      </c>
      <c r="I931" t="n">
        <v>0</v>
      </c>
      <c r="J931" t="n">
        <v>0</v>
      </c>
      <c r="K931" t="n">
        <v>0</v>
      </c>
      <c r="L931" t="n">
        <v>0</v>
      </c>
      <c r="M931" t="n">
        <v>0</v>
      </c>
      <c r="N931" t="n">
        <v>0</v>
      </c>
      <c r="O931" t="n">
        <v>0</v>
      </c>
      <c r="P931" t="n">
        <v>0</v>
      </c>
      <c r="Q931" t="n">
        <v>0</v>
      </c>
      <c r="R931" s="2" t="inlineStr"/>
    </row>
    <row r="932" ht="15" customHeight="1">
      <c r="A932" t="inlineStr">
        <is>
          <t>A 11604-2025</t>
        </is>
      </c>
      <c r="B932" s="1" t="n">
        <v>45727</v>
      </c>
      <c r="C932" s="1" t="n">
        <v>45735</v>
      </c>
      <c r="D932" t="inlineStr">
        <is>
          <t>UPPSALA LÄN</t>
        </is>
      </c>
      <c r="E932" t="inlineStr">
        <is>
          <t>ENKÖPING</t>
        </is>
      </c>
      <c r="G932" t="n">
        <v>3.3</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45735</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45735</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12878-2025</t>
        </is>
      </c>
      <c r="B935" s="1" t="n">
        <v>45733</v>
      </c>
      <c r="C935" s="1" t="n">
        <v>45735</v>
      </c>
      <c r="D935" t="inlineStr">
        <is>
          <t>UPPSALA LÄN</t>
        </is>
      </c>
      <c r="E935" t="inlineStr">
        <is>
          <t>ENKÖPING</t>
        </is>
      </c>
      <c r="G935" t="n">
        <v>0.6</v>
      </c>
      <c r="H935" t="n">
        <v>0</v>
      </c>
      <c r="I935" t="n">
        <v>0</v>
      </c>
      <c r="J935" t="n">
        <v>0</v>
      </c>
      <c r="K935" t="n">
        <v>0</v>
      </c>
      <c r="L935" t="n">
        <v>0</v>
      </c>
      <c r="M935" t="n">
        <v>0</v>
      </c>
      <c r="N935" t="n">
        <v>0</v>
      </c>
      <c r="O935" t="n">
        <v>0</v>
      </c>
      <c r="P935" t="n">
        <v>0</v>
      </c>
      <c r="Q935" t="n">
        <v>0</v>
      </c>
      <c r="R935" s="2" t="inlineStr"/>
    </row>
    <row r="936">
      <c r="A936" t="inlineStr">
        <is>
          <t>A 12754-2025</t>
        </is>
      </c>
      <c r="B936" s="1" t="n">
        <v>45733</v>
      </c>
      <c r="C936" s="1" t="n">
        <v>45735</v>
      </c>
      <c r="D936" t="inlineStr">
        <is>
          <t>UPPSALA LÄN</t>
        </is>
      </c>
      <c r="E936" t="inlineStr">
        <is>
          <t>ENKÖPING</t>
        </is>
      </c>
      <c r="G936" t="n">
        <v>0.7</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2025-03-19T17:27:12Z</dcterms:created>
  <dcterms:modified xmlns:dcterms="http://purl.org/dc/terms/" xmlns:xsi="http://www.w3.org/2001/XMLSchema-instance" xsi:type="dcterms:W3CDTF">2025-03-19T17:27:12Z</dcterms:modified>
</cp:coreProperties>
</file>