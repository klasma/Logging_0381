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45973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45973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45973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45973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45973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45973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45973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45973</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45973</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45973</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45973</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45973</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45973</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45973</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45973</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50105-2023</t>
        </is>
      </c>
      <c r="B17" s="1" t="n">
        <v>45215</v>
      </c>
      <c r="C17" s="1" t="n">
        <v>45973</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45973</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27073-2025</t>
        </is>
      </c>
      <c r="B19" s="1" t="n">
        <v>45811.64190972222</v>
      </c>
      <c r="C19" s="1" t="n">
        <v>45973</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45973</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45973</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45973</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45116-2023</t>
        </is>
      </c>
      <c r="B23" s="1" t="n">
        <v>45191</v>
      </c>
      <c r="C23" s="1" t="n">
        <v>45973</v>
      </c>
      <c r="D23" t="inlineStr">
        <is>
          <t>UPPSALA LÄN</t>
        </is>
      </c>
      <c r="E23" t="inlineStr">
        <is>
          <t>ENKÖPING</t>
        </is>
      </c>
      <c r="G23" t="n">
        <v>2</v>
      </c>
      <c r="H23" t="n">
        <v>0</v>
      </c>
      <c r="I23" t="n">
        <v>1</v>
      </c>
      <c r="J23" t="n">
        <v>0</v>
      </c>
      <c r="K23" t="n">
        <v>0</v>
      </c>
      <c r="L23" t="n">
        <v>0</v>
      </c>
      <c r="M23" t="n">
        <v>0</v>
      </c>
      <c r="N23" t="n">
        <v>0</v>
      </c>
      <c r="O23" t="n">
        <v>0</v>
      </c>
      <c r="P23" t="n">
        <v>0</v>
      </c>
      <c r="Q23" t="n">
        <v>1</v>
      </c>
      <c r="R23" s="2" t="inlineStr">
        <is>
          <t>Rävticka</t>
        </is>
      </c>
      <c r="S23">
        <f>HYPERLINK("https://klasma.github.io/Logging_0381/artfynd/A 45116-2023 artfynd.xlsx", "A 45116-2023")</f>
        <v/>
      </c>
      <c r="T23">
        <f>HYPERLINK("https://klasma.github.io/Logging_0381/kartor/A 45116-2023 karta.png", "A 45116-2023")</f>
        <v/>
      </c>
      <c r="V23">
        <f>HYPERLINK("https://klasma.github.io/Logging_0381/klagomål/A 45116-2023 FSC-klagomål.docx", "A 45116-2023")</f>
        <v/>
      </c>
      <c r="W23">
        <f>HYPERLINK("https://klasma.github.io/Logging_0381/klagomålsmail/A 45116-2023 FSC-klagomål mail.docx", "A 45116-2023")</f>
        <v/>
      </c>
      <c r="X23">
        <f>HYPERLINK("https://klasma.github.io/Logging_0381/tillsyn/A 45116-2023 tillsynsbegäran.docx", "A 45116-2023")</f>
        <v/>
      </c>
      <c r="Y23">
        <f>HYPERLINK("https://klasma.github.io/Logging_0381/tillsynsmail/A 45116-2023 tillsynsbegäran mail.docx", "A 45116-2023")</f>
        <v/>
      </c>
    </row>
    <row r="24" ht="15" customHeight="1">
      <c r="A24" t="inlineStr">
        <is>
          <t>A 23961-2022</t>
        </is>
      </c>
      <c r="B24" s="1" t="n">
        <v>44722</v>
      </c>
      <c r="C24" s="1" t="n">
        <v>45973</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45973</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45973</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1524-2023</t>
        </is>
      </c>
      <c r="B27" s="1" t="n">
        <v>44935</v>
      </c>
      <c r="C27" s="1" t="n">
        <v>45973</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52439-2025</t>
        </is>
      </c>
      <c r="B28" s="1" t="n">
        <v>45954.40697916667</v>
      </c>
      <c r="C28" s="1" t="n">
        <v>45973</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29510-2025</t>
        </is>
      </c>
      <c r="B29" s="1" t="n">
        <v>45825</v>
      </c>
      <c r="C29" s="1" t="n">
        <v>45973</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26347-2025</t>
        </is>
      </c>
      <c r="B30" s="1" t="n">
        <v>45805.7403125</v>
      </c>
      <c r="C30" s="1" t="n">
        <v>45973</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45973</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33339-2024</t>
        </is>
      </c>
      <c r="B32" s="1" t="n">
        <v>45519</v>
      </c>
      <c r="C32" s="1" t="n">
        <v>45973</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46749-2024</t>
        </is>
      </c>
      <c r="B33" s="1" t="n">
        <v>45583.48347222222</v>
      </c>
      <c r="C33" s="1" t="n">
        <v>45973</v>
      </c>
      <c r="D33" t="inlineStr">
        <is>
          <t>UPPSALA LÄN</t>
        </is>
      </c>
      <c r="E33" t="inlineStr">
        <is>
          <t>ENKÖPING</t>
        </is>
      </c>
      <c r="G33" t="n">
        <v>8.5</v>
      </c>
      <c r="H33" t="n">
        <v>0</v>
      </c>
      <c r="I33" t="n">
        <v>0</v>
      </c>
      <c r="J33" t="n">
        <v>1</v>
      </c>
      <c r="K33" t="n">
        <v>0</v>
      </c>
      <c r="L33" t="n">
        <v>0</v>
      </c>
      <c r="M33" t="n">
        <v>0</v>
      </c>
      <c r="N33" t="n">
        <v>0</v>
      </c>
      <c r="O33" t="n">
        <v>1</v>
      </c>
      <c r="P33" t="n">
        <v>0</v>
      </c>
      <c r="Q33" t="n">
        <v>1</v>
      </c>
      <c r="R33" s="2" t="inlineStr">
        <is>
          <t>Leptoporus erubescens</t>
        </is>
      </c>
      <c r="S33">
        <f>HYPERLINK("https://klasma.github.io/Logging_0381/artfynd/A 46749-2024 artfynd.xlsx", "A 46749-2024")</f>
        <v/>
      </c>
      <c r="T33">
        <f>HYPERLINK("https://klasma.github.io/Logging_0381/kartor/A 46749-2024 karta.png", "A 46749-2024")</f>
        <v/>
      </c>
      <c r="V33">
        <f>HYPERLINK("https://klasma.github.io/Logging_0381/klagomål/A 46749-2024 FSC-klagomål.docx", "A 46749-2024")</f>
        <v/>
      </c>
      <c r="W33">
        <f>HYPERLINK("https://klasma.github.io/Logging_0381/klagomålsmail/A 46749-2024 FSC-klagomål mail.docx", "A 46749-2024")</f>
        <v/>
      </c>
      <c r="X33">
        <f>HYPERLINK("https://klasma.github.io/Logging_0381/tillsyn/A 46749-2024 tillsynsbegäran.docx", "A 46749-2024")</f>
        <v/>
      </c>
      <c r="Y33">
        <f>HYPERLINK("https://klasma.github.io/Logging_0381/tillsynsmail/A 46749-2024 tillsynsbegäran mail.docx", "A 46749-2024")</f>
        <v/>
      </c>
    </row>
    <row r="34" ht="15" customHeight="1">
      <c r="A34" t="inlineStr">
        <is>
          <t>A 16683-2021</t>
        </is>
      </c>
      <c r="B34" s="1" t="n">
        <v>44294.58495370371</v>
      </c>
      <c r="C34" s="1" t="n">
        <v>45973</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45973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45973</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45973</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45973</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45973</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45973</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45973</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45973</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45973</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45973</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45973</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54433-2021</t>
        </is>
      </c>
      <c r="B46" s="1" t="n">
        <v>44473</v>
      </c>
      <c r="C46" s="1" t="n">
        <v>45973</v>
      </c>
      <c r="D46" t="inlineStr">
        <is>
          <t>UPPSALA LÄN</t>
        </is>
      </c>
      <c r="E46" t="inlineStr">
        <is>
          <t>ENKÖPING</t>
        </is>
      </c>
      <c r="G46" t="n">
        <v>1</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45973</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37570-2021</t>
        </is>
      </c>
      <c r="B48" s="1" t="n">
        <v>44399</v>
      </c>
      <c r="C48" s="1" t="n">
        <v>45973</v>
      </c>
      <c r="D48" t="inlineStr">
        <is>
          <t>UPPSALA LÄN</t>
        </is>
      </c>
      <c r="E48" t="inlineStr">
        <is>
          <t>ENKÖPING</t>
        </is>
      </c>
      <c r="G48" t="n">
        <v>0.4</v>
      </c>
      <c r="H48" t="n">
        <v>0</v>
      </c>
      <c r="I48" t="n">
        <v>0</v>
      </c>
      <c r="J48" t="n">
        <v>0</v>
      </c>
      <c r="K48" t="n">
        <v>0</v>
      </c>
      <c r="L48" t="n">
        <v>0</v>
      </c>
      <c r="M48" t="n">
        <v>0</v>
      </c>
      <c r="N48" t="n">
        <v>0</v>
      </c>
      <c r="O48" t="n">
        <v>0</v>
      </c>
      <c r="P48" t="n">
        <v>0</v>
      </c>
      <c r="Q48" t="n">
        <v>0</v>
      </c>
      <c r="R48" s="2" t="inlineStr"/>
    </row>
    <row r="49" ht="15" customHeight="1">
      <c r="A49" t="inlineStr">
        <is>
          <t>A 37571-2021</t>
        </is>
      </c>
      <c r="B49" s="1" t="n">
        <v>44399.58929398148</v>
      </c>
      <c r="C49" s="1" t="n">
        <v>45973</v>
      </c>
      <c r="D49" t="inlineStr">
        <is>
          <t>UPPSALA LÄN</t>
        </is>
      </c>
      <c r="E49" t="inlineStr">
        <is>
          <t>ENKÖPING</t>
        </is>
      </c>
      <c r="G49" t="n">
        <v>4.6</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45973</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45973</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45973</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45973</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45973</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45973</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45973</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45973</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45973</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45973</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45973</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45973</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45973</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45973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45973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45973</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45973</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45973</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45973</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45973</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45973</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45973</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45973</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45973</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45973</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45973</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45973</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45973</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45973</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45973</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45973</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45973</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45973</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11688-2021</t>
        </is>
      </c>
      <c r="B83" s="1" t="n">
        <v>44264</v>
      </c>
      <c r="C83" s="1" t="n">
        <v>45973</v>
      </c>
      <c r="D83" t="inlineStr">
        <is>
          <t>UPPSALA LÄN</t>
        </is>
      </c>
      <c r="E83" t="inlineStr">
        <is>
          <t>ENKÖPING</t>
        </is>
      </c>
      <c r="G83" t="n">
        <v>4.7</v>
      </c>
      <c r="H83" t="n">
        <v>0</v>
      </c>
      <c r="I83" t="n">
        <v>0</v>
      </c>
      <c r="J83" t="n">
        <v>0</v>
      </c>
      <c r="K83" t="n">
        <v>0</v>
      </c>
      <c r="L83" t="n">
        <v>0</v>
      </c>
      <c r="M83" t="n">
        <v>0</v>
      </c>
      <c r="N83" t="n">
        <v>0</v>
      </c>
      <c r="O83" t="n">
        <v>0</v>
      </c>
      <c r="P83" t="n">
        <v>0</v>
      </c>
      <c r="Q83" t="n">
        <v>0</v>
      </c>
      <c r="R83" s="2" t="inlineStr"/>
    </row>
    <row r="84" ht="15" customHeight="1">
      <c r="A84" t="inlineStr">
        <is>
          <t>A 12538-2021</t>
        </is>
      </c>
      <c r="B84" s="1" t="n">
        <v>44269</v>
      </c>
      <c r="C84" s="1" t="n">
        <v>45973</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1979-2022</t>
        </is>
      </c>
      <c r="B85" s="1" t="n">
        <v>44575</v>
      </c>
      <c r="C85" s="1" t="n">
        <v>45973</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45973</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45973</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28795-2021</t>
        </is>
      </c>
      <c r="B88" s="1" t="n">
        <v>44357</v>
      </c>
      <c r="C88" s="1" t="n">
        <v>45973</v>
      </c>
      <c r="D88" t="inlineStr">
        <is>
          <t>UPPSALA LÄN</t>
        </is>
      </c>
      <c r="E88" t="inlineStr">
        <is>
          <t>ENKÖPING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31013-2022</t>
        </is>
      </c>
      <c r="B89" s="1" t="n">
        <v>44768</v>
      </c>
      <c r="C89" s="1" t="n">
        <v>45973</v>
      </c>
      <c r="D89" t="inlineStr">
        <is>
          <t>UPPSALA LÄN</t>
        </is>
      </c>
      <c r="E89" t="inlineStr">
        <is>
          <t>ENKÖPING</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68107-2021</t>
        </is>
      </c>
      <c r="B90" s="1" t="n">
        <v>44526</v>
      </c>
      <c r="C90" s="1" t="n">
        <v>45973</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42029-2021</t>
        </is>
      </c>
      <c r="B91" s="1" t="n">
        <v>44426</v>
      </c>
      <c r="C91" s="1" t="n">
        <v>45973</v>
      </c>
      <c r="D91" t="inlineStr">
        <is>
          <t>UPPSALA LÄN</t>
        </is>
      </c>
      <c r="E91" t="inlineStr">
        <is>
          <t>ENKÖPING</t>
        </is>
      </c>
      <c r="G91" t="n">
        <v>5.3</v>
      </c>
      <c r="H91" t="n">
        <v>0</v>
      </c>
      <c r="I91" t="n">
        <v>0</v>
      </c>
      <c r="J91" t="n">
        <v>0</v>
      </c>
      <c r="K91" t="n">
        <v>0</v>
      </c>
      <c r="L91" t="n">
        <v>0</v>
      </c>
      <c r="M91" t="n">
        <v>0</v>
      </c>
      <c r="N91" t="n">
        <v>0</v>
      </c>
      <c r="O91" t="n">
        <v>0</v>
      </c>
      <c r="P91" t="n">
        <v>0</v>
      </c>
      <c r="Q91" t="n">
        <v>0</v>
      </c>
      <c r="R91" s="2" t="inlineStr"/>
    </row>
    <row r="92" ht="15" customHeight="1">
      <c r="A92" t="inlineStr">
        <is>
          <t>A 42021-2021</t>
        </is>
      </c>
      <c r="B92" s="1" t="n">
        <v>44426</v>
      </c>
      <c r="C92" s="1" t="n">
        <v>45973</v>
      </c>
      <c r="D92" t="inlineStr">
        <is>
          <t>UPPSALA LÄN</t>
        </is>
      </c>
      <c r="E92" t="inlineStr">
        <is>
          <t>ENKÖPING</t>
        </is>
      </c>
      <c r="G92" t="n">
        <v>2.2</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45973</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49375-2021</t>
        </is>
      </c>
      <c r="B94" s="1" t="n">
        <v>44454</v>
      </c>
      <c r="C94" s="1" t="n">
        <v>45973</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1971-2022</t>
        </is>
      </c>
      <c r="B95" s="1" t="n">
        <v>44575</v>
      </c>
      <c r="C95" s="1" t="n">
        <v>45973</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17467-2022</t>
        </is>
      </c>
      <c r="B96" s="1" t="n">
        <v>44679</v>
      </c>
      <c r="C96" s="1" t="n">
        <v>45973</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45973</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57055-2021</t>
        </is>
      </c>
      <c r="B98" s="1" t="n">
        <v>44482.55201388889</v>
      </c>
      <c r="C98" s="1" t="n">
        <v>45973</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15924-2022</t>
        </is>
      </c>
      <c r="B99" s="1" t="n">
        <v>44664</v>
      </c>
      <c r="C99" s="1" t="n">
        <v>45973</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15943-2022</t>
        </is>
      </c>
      <c r="B100" s="1" t="n">
        <v>44664.66428240741</v>
      </c>
      <c r="C100" s="1" t="n">
        <v>45973</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45973</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60874-2021</t>
        </is>
      </c>
      <c r="B102" s="1" t="n">
        <v>44497</v>
      </c>
      <c r="C102" s="1" t="n">
        <v>45973</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45973</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45973</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57043-2021</t>
        </is>
      </c>
      <c r="B105" s="1" t="n">
        <v>44482.53399305556</v>
      </c>
      <c r="C105" s="1" t="n">
        <v>45973</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45973</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45973</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24883-2022</t>
        </is>
      </c>
      <c r="B108" s="1" t="n">
        <v>44728</v>
      </c>
      <c r="C108" s="1" t="n">
        <v>45973</v>
      </c>
      <c r="D108" t="inlineStr">
        <is>
          <t>UPPSALA LÄN</t>
        </is>
      </c>
      <c r="E108" t="inlineStr">
        <is>
          <t>ENKÖPING</t>
        </is>
      </c>
      <c r="G108" t="n">
        <v>2.5</v>
      </c>
      <c r="H108" t="n">
        <v>0</v>
      </c>
      <c r="I108" t="n">
        <v>0</v>
      </c>
      <c r="J108" t="n">
        <v>0</v>
      </c>
      <c r="K108" t="n">
        <v>0</v>
      </c>
      <c r="L108" t="n">
        <v>0</v>
      </c>
      <c r="M108" t="n">
        <v>0</v>
      </c>
      <c r="N108" t="n">
        <v>0</v>
      </c>
      <c r="O108" t="n">
        <v>0</v>
      </c>
      <c r="P108" t="n">
        <v>0</v>
      </c>
      <c r="Q108" t="n">
        <v>0</v>
      </c>
      <c r="R108" s="2" t="inlineStr"/>
    </row>
    <row r="109" ht="15" customHeight="1">
      <c r="A109" t="inlineStr">
        <is>
          <t>A 19630-2021</t>
        </is>
      </c>
      <c r="B109" s="1" t="n">
        <v>44312.61876157407</v>
      </c>
      <c r="C109" s="1" t="n">
        <v>45973</v>
      </c>
      <c r="D109" t="inlineStr">
        <is>
          <t>UPPSALA LÄN</t>
        </is>
      </c>
      <c r="E109" t="inlineStr">
        <is>
          <t>ENKÖPING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15021-2022</t>
        </is>
      </c>
      <c r="B110" s="1" t="n">
        <v>44657</v>
      </c>
      <c r="C110" s="1" t="n">
        <v>45973</v>
      </c>
      <c r="D110" t="inlineStr">
        <is>
          <t>UPPSALA LÄN</t>
        </is>
      </c>
      <c r="E110" t="inlineStr">
        <is>
          <t>ENKÖPING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1651-2024</t>
        </is>
      </c>
      <c r="B111" s="1" t="n">
        <v>45306.73770833333</v>
      </c>
      <c r="C111" s="1" t="n">
        <v>45973</v>
      </c>
      <c r="D111" t="inlineStr">
        <is>
          <t>UPPSALA LÄN</t>
        </is>
      </c>
      <c r="E111" t="inlineStr">
        <is>
          <t>ENKÖPING</t>
        </is>
      </c>
      <c r="G111" t="n">
        <v>10.2</v>
      </c>
      <c r="H111" t="n">
        <v>0</v>
      </c>
      <c r="I111" t="n">
        <v>0</v>
      </c>
      <c r="J111" t="n">
        <v>0</v>
      </c>
      <c r="K111" t="n">
        <v>0</v>
      </c>
      <c r="L111" t="n">
        <v>0</v>
      </c>
      <c r="M111" t="n">
        <v>0</v>
      </c>
      <c r="N111" t="n">
        <v>0</v>
      </c>
      <c r="O111" t="n">
        <v>0</v>
      </c>
      <c r="P111" t="n">
        <v>0</v>
      </c>
      <c r="Q111" t="n">
        <v>0</v>
      </c>
      <c r="R111" s="2" t="inlineStr"/>
    </row>
    <row r="112" ht="15" customHeight="1">
      <c r="A112" t="inlineStr">
        <is>
          <t>A 68127-2021</t>
        </is>
      </c>
      <c r="B112" s="1" t="n">
        <v>44526.39513888889</v>
      </c>
      <c r="C112" s="1" t="n">
        <v>45973</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60289-2022</t>
        </is>
      </c>
      <c r="B113" s="1" t="n">
        <v>44910.53026620371</v>
      </c>
      <c r="C113" s="1" t="n">
        <v>45973</v>
      </c>
      <c r="D113" t="inlineStr">
        <is>
          <t>UPPSALA LÄN</t>
        </is>
      </c>
      <c r="E113" t="inlineStr">
        <is>
          <t>ENKÖPING</t>
        </is>
      </c>
      <c r="G113" t="n">
        <v>3.2</v>
      </c>
      <c r="H113" t="n">
        <v>0</v>
      </c>
      <c r="I113" t="n">
        <v>0</v>
      </c>
      <c r="J113" t="n">
        <v>0</v>
      </c>
      <c r="K113" t="n">
        <v>0</v>
      </c>
      <c r="L113" t="n">
        <v>0</v>
      </c>
      <c r="M113" t="n">
        <v>0</v>
      </c>
      <c r="N113" t="n">
        <v>0</v>
      </c>
      <c r="O113" t="n">
        <v>0</v>
      </c>
      <c r="P113" t="n">
        <v>0</v>
      </c>
      <c r="Q113" t="n">
        <v>0</v>
      </c>
      <c r="R113" s="2" t="inlineStr"/>
    </row>
    <row r="114" ht="15" customHeight="1">
      <c r="A114" t="inlineStr">
        <is>
          <t>A 33670-2024</t>
        </is>
      </c>
      <c r="B114" s="1" t="n">
        <v>45520</v>
      </c>
      <c r="C114" s="1" t="n">
        <v>45973</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29983-2021</t>
        </is>
      </c>
      <c r="B115" s="1" t="n">
        <v>44363</v>
      </c>
      <c r="C115" s="1" t="n">
        <v>45973</v>
      </c>
      <c r="D115" t="inlineStr">
        <is>
          <t>UPPSALA LÄN</t>
        </is>
      </c>
      <c r="E115" t="inlineStr">
        <is>
          <t>ENKÖPING</t>
        </is>
      </c>
      <c r="F115" t="inlineStr">
        <is>
          <t>Kommuner</t>
        </is>
      </c>
      <c r="G115" t="n">
        <v>3.1</v>
      </c>
      <c r="H115" t="n">
        <v>0</v>
      </c>
      <c r="I115" t="n">
        <v>0</v>
      </c>
      <c r="J115" t="n">
        <v>0</v>
      </c>
      <c r="K115" t="n">
        <v>0</v>
      </c>
      <c r="L115" t="n">
        <v>0</v>
      </c>
      <c r="M115" t="n">
        <v>0</v>
      </c>
      <c r="N115" t="n">
        <v>0</v>
      </c>
      <c r="O115" t="n">
        <v>0</v>
      </c>
      <c r="P115" t="n">
        <v>0</v>
      </c>
      <c r="Q115" t="n">
        <v>0</v>
      </c>
      <c r="R115" s="2" t="inlineStr"/>
    </row>
    <row r="116" ht="15" customHeight="1">
      <c r="A116" t="inlineStr">
        <is>
          <t>A 12878-2025</t>
        </is>
      </c>
      <c r="B116" s="1" t="n">
        <v>45733.68571759259</v>
      </c>
      <c r="C116" s="1" t="n">
        <v>45973</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19147-2024</t>
        </is>
      </c>
      <c r="B117" s="1" t="n">
        <v>45428</v>
      </c>
      <c r="C117" s="1" t="n">
        <v>45973</v>
      </c>
      <c r="D117" t="inlineStr">
        <is>
          <t>UPPSALA LÄN</t>
        </is>
      </c>
      <c r="E117" t="inlineStr">
        <is>
          <t>ENKÖPING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67982-2021</t>
        </is>
      </c>
      <c r="B118" s="1" t="n">
        <v>44525</v>
      </c>
      <c r="C118" s="1" t="n">
        <v>45973</v>
      </c>
      <c r="D118" t="inlineStr">
        <is>
          <t>UPPSALA LÄN</t>
        </is>
      </c>
      <c r="E118" t="inlineStr">
        <is>
          <t>ENKÖPING</t>
        </is>
      </c>
      <c r="G118" t="n">
        <v>1.7</v>
      </c>
      <c r="H118" t="n">
        <v>0</v>
      </c>
      <c r="I118" t="n">
        <v>0</v>
      </c>
      <c r="J118" t="n">
        <v>0</v>
      </c>
      <c r="K118" t="n">
        <v>0</v>
      </c>
      <c r="L118" t="n">
        <v>0</v>
      </c>
      <c r="M118" t="n">
        <v>0</v>
      </c>
      <c r="N118" t="n">
        <v>0</v>
      </c>
      <c r="O118" t="n">
        <v>0</v>
      </c>
      <c r="P118" t="n">
        <v>0</v>
      </c>
      <c r="Q118" t="n">
        <v>0</v>
      </c>
      <c r="R118" s="2" t="inlineStr"/>
    </row>
    <row r="119" ht="15" customHeight="1">
      <c r="A119" t="inlineStr">
        <is>
          <t>A 31965-2021</t>
        </is>
      </c>
      <c r="B119" s="1" t="n">
        <v>44370.56901620371</v>
      </c>
      <c r="C119" s="1" t="n">
        <v>45973</v>
      </c>
      <c r="D119" t="inlineStr">
        <is>
          <t>UPPSALA LÄN</t>
        </is>
      </c>
      <c r="E119" t="inlineStr">
        <is>
          <t>ENKÖPING</t>
        </is>
      </c>
      <c r="G119" t="n">
        <v>0.9</v>
      </c>
      <c r="H119" t="n">
        <v>0</v>
      </c>
      <c r="I119" t="n">
        <v>0</v>
      </c>
      <c r="J119" t="n">
        <v>0</v>
      </c>
      <c r="K119" t="n">
        <v>0</v>
      </c>
      <c r="L119" t="n">
        <v>0</v>
      </c>
      <c r="M119" t="n">
        <v>0</v>
      </c>
      <c r="N119" t="n">
        <v>0</v>
      </c>
      <c r="O119" t="n">
        <v>0</v>
      </c>
      <c r="P119" t="n">
        <v>0</v>
      </c>
      <c r="Q119" t="n">
        <v>0</v>
      </c>
      <c r="R119" s="2" t="inlineStr"/>
    </row>
    <row r="120" ht="15" customHeight="1">
      <c r="A120" t="inlineStr">
        <is>
          <t>A 31242-2024</t>
        </is>
      </c>
      <c r="B120" s="1" t="n">
        <v>45503</v>
      </c>
      <c r="C120" s="1" t="n">
        <v>45973</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10468-2025</t>
        </is>
      </c>
      <c r="B121" s="1" t="n">
        <v>45720</v>
      </c>
      <c r="C121" s="1" t="n">
        <v>45973</v>
      </c>
      <c r="D121" t="inlineStr">
        <is>
          <t>UPPSALA LÄN</t>
        </is>
      </c>
      <c r="E121" t="inlineStr">
        <is>
          <t>ENKÖPING</t>
        </is>
      </c>
      <c r="G121" t="n">
        <v>1.6</v>
      </c>
      <c r="H121" t="n">
        <v>0</v>
      </c>
      <c r="I121" t="n">
        <v>0</v>
      </c>
      <c r="J121" t="n">
        <v>0</v>
      </c>
      <c r="K121" t="n">
        <v>0</v>
      </c>
      <c r="L121" t="n">
        <v>0</v>
      </c>
      <c r="M121" t="n">
        <v>0</v>
      </c>
      <c r="N121" t="n">
        <v>0</v>
      </c>
      <c r="O121" t="n">
        <v>0</v>
      </c>
      <c r="P121" t="n">
        <v>0</v>
      </c>
      <c r="Q121" t="n">
        <v>0</v>
      </c>
      <c r="R121" s="2" t="inlineStr"/>
    </row>
    <row r="122" ht="15" customHeight="1">
      <c r="A122" t="inlineStr">
        <is>
          <t>A 2162-2023</t>
        </is>
      </c>
      <c r="B122" s="1" t="n">
        <v>44941</v>
      </c>
      <c r="C122" s="1" t="n">
        <v>45973</v>
      </c>
      <c r="D122" t="inlineStr">
        <is>
          <t>UPPSALA LÄN</t>
        </is>
      </c>
      <c r="E122" t="inlineStr">
        <is>
          <t>ENKÖPING</t>
        </is>
      </c>
      <c r="G122" t="n">
        <v>2.4</v>
      </c>
      <c r="H122" t="n">
        <v>0</v>
      </c>
      <c r="I122" t="n">
        <v>0</v>
      </c>
      <c r="J122" t="n">
        <v>0</v>
      </c>
      <c r="K122" t="n">
        <v>0</v>
      </c>
      <c r="L122" t="n">
        <v>0</v>
      </c>
      <c r="M122" t="n">
        <v>0</v>
      </c>
      <c r="N122" t="n">
        <v>0</v>
      </c>
      <c r="O122" t="n">
        <v>0</v>
      </c>
      <c r="P122" t="n">
        <v>0</v>
      </c>
      <c r="Q122" t="n">
        <v>0</v>
      </c>
      <c r="R122" s="2" t="inlineStr"/>
    </row>
    <row r="123" ht="15" customHeight="1">
      <c r="A123" t="inlineStr">
        <is>
          <t>A 43488-2023</t>
        </is>
      </c>
      <c r="B123" s="1" t="n">
        <v>45181</v>
      </c>
      <c r="C123" s="1" t="n">
        <v>45973</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57835-2024</t>
        </is>
      </c>
      <c r="B124" s="1" t="n">
        <v>45631.39947916667</v>
      </c>
      <c r="C124" s="1" t="n">
        <v>45973</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56163-2021</t>
        </is>
      </c>
      <c r="B125" s="1" t="n">
        <v>44477</v>
      </c>
      <c r="C125" s="1" t="n">
        <v>45973</v>
      </c>
      <c r="D125" t="inlineStr">
        <is>
          <t>UPPSALA LÄN</t>
        </is>
      </c>
      <c r="E125" t="inlineStr">
        <is>
          <t>ENKÖPING</t>
        </is>
      </c>
      <c r="F125" t="inlineStr">
        <is>
          <t>Allmännings- och besparingsskogar</t>
        </is>
      </c>
      <c r="G125" t="n">
        <v>0.6</v>
      </c>
      <c r="H125" t="n">
        <v>0</v>
      </c>
      <c r="I125" t="n">
        <v>0</v>
      </c>
      <c r="J125" t="n">
        <v>0</v>
      </c>
      <c r="K125" t="n">
        <v>0</v>
      </c>
      <c r="L125" t="n">
        <v>0</v>
      </c>
      <c r="M125" t="n">
        <v>0</v>
      </c>
      <c r="N125" t="n">
        <v>0</v>
      </c>
      <c r="O125" t="n">
        <v>0</v>
      </c>
      <c r="P125" t="n">
        <v>0</v>
      </c>
      <c r="Q125" t="n">
        <v>0</v>
      </c>
      <c r="R125" s="2" t="inlineStr"/>
    </row>
    <row r="126" ht="15" customHeight="1">
      <c r="A126" t="inlineStr">
        <is>
          <t>A 21612-2023</t>
        </is>
      </c>
      <c r="B126" s="1" t="n">
        <v>45063</v>
      </c>
      <c r="C126" s="1" t="n">
        <v>45973</v>
      </c>
      <c r="D126" t="inlineStr">
        <is>
          <t>UPPSALA LÄN</t>
        </is>
      </c>
      <c r="E126" t="inlineStr">
        <is>
          <t>ENKÖPING</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12755-2025</t>
        </is>
      </c>
      <c r="B127" s="1" t="n">
        <v>45733.56541666666</v>
      </c>
      <c r="C127" s="1" t="n">
        <v>45973</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39624-2023</t>
        </is>
      </c>
      <c r="B128" s="1" t="n">
        <v>45164</v>
      </c>
      <c r="C128" s="1" t="n">
        <v>45973</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28318-2024</t>
        </is>
      </c>
      <c r="B129" s="1" t="n">
        <v>45477</v>
      </c>
      <c r="C129" s="1" t="n">
        <v>45973</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5892-2023</t>
        </is>
      </c>
      <c r="B130" s="1" t="n">
        <v>44963.64883101852</v>
      </c>
      <c r="C130" s="1" t="n">
        <v>45973</v>
      </c>
      <c r="D130" t="inlineStr">
        <is>
          <t>UPPSALA LÄN</t>
        </is>
      </c>
      <c r="E130" t="inlineStr">
        <is>
          <t>ENKÖPING</t>
        </is>
      </c>
      <c r="G130" t="n">
        <v>5.5</v>
      </c>
      <c r="H130" t="n">
        <v>0</v>
      </c>
      <c r="I130" t="n">
        <v>0</v>
      </c>
      <c r="J130" t="n">
        <v>0</v>
      </c>
      <c r="K130" t="n">
        <v>0</v>
      </c>
      <c r="L130" t="n">
        <v>0</v>
      </c>
      <c r="M130" t="n">
        <v>0</v>
      </c>
      <c r="N130" t="n">
        <v>0</v>
      </c>
      <c r="O130" t="n">
        <v>0</v>
      </c>
      <c r="P130" t="n">
        <v>0</v>
      </c>
      <c r="Q130" t="n">
        <v>0</v>
      </c>
      <c r="R130" s="2" t="inlineStr"/>
    </row>
    <row r="131" ht="15" customHeight="1">
      <c r="A131" t="inlineStr">
        <is>
          <t>A 4044-2024</t>
        </is>
      </c>
      <c r="B131" s="1" t="n">
        <v>45323.45954861111</v>
      </c>
      <c r="C131" s="1" t="n">
        <v>45973</v>
      </c>
      <c r="D131" t="inlineStr">
        <is>
          <t>UPPSALA LÄN</t>
        </is>
      </c>
      <c r="E131" t="inlineStr">
        <is>
          <t>ENKÖPING</t>
        </is>
      </c>
      <c r="G131" t="n">
        <v>2.1</v>
      </c>
      <c r="H131" t="n">
        <v>0</v>
      </c>
      <c r="I131" t="n">
        <v>0</v>
      </c>
      <c r="J131" t="n">
        <v>0</v>
      </c>
      <c r="K131" t="n">
        <v>0</v>
      </c>
      <c r="L131" t="n">
        <v>0</v>
      </c>
      <c r="M131" t="n">
        <v>0</v>
      </c>
      <c r="N131" t="n">
        <v>0</v>
      </c>
      <c r="O131" t="n">
        <v>0</v>
      </c>
      <c r="P131" t="n">
        <v>0</v>
      </c>
      <c r="Q131" t="n">
        <v>0</v>
      </c>
      <c r="R131" s="2" t="inlineStr"/>
    </row>
    <row r="132" ht="15" customHeight="1">
      <c r="A132" t="inlineStr">
        <is>
          <t>A 5211-2024</t>
        </is>
      </c>
      <c r="B132" s="1" t="n">
        <v>45330</v>
      </c>
      <c r="C132" s="1" t="n">
        <v>45973</v>
      </c>
      <c r="D132" t="inlineStr">
        <is>
          <t>UPPSALA LÄN</t>
        </is>
      </c>
      <c r="E132" t="inlineStr">
        <is>
          <t>ENKÖPING</t>
        </is>
      </c>
      <c r="G132" t="n">
        <v>0.8</v>
      </c>
      <c r="H132" t="n">
        <v>0</v>
      </c>
      <c r="I132" t="n">
        <v>0</v>
      </c>
      <c r="J132" t="n">
        <v>0</v>
      </c>
      <c r="K132" t="n">
        <v>0</v>
      </c>
      <c r="L132" t="n">
        <v>0</v>
      </c>
      <c r="M132" t="n">
        <v>0</v>
      </c>
      <c r="N132" t="n">
        <v>0</v>
      </c>
      <c r="O132" t="n">
        <v>0</v>
      </c>
      <c r="P132" t="n">
        <v>0</v>
      </c>
      <c r="Q132" t="n">
        <v>0</v>
      </c>
      <c r="R132" s="2" t="inlineStr"/>
    </row>
    <row r="133" ht="15" customHeight="1">
      <c r="A133" t="inlineStr">
        <is>
          <t>A 39858-2024</t>
        </is>
      </c>
      <c r="B133" s="1" t="n">
        <v>45553</v>
      </c>
      <c r="C133" s="1" t="n">
        <v>45973</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46103-2023</t>
        </is>
      </c>
      <c r="B134" s="1" t="n">
        <v>45190</v>
      </c>
      <c r="C134" s="1" t="n">
        <v>45973</v>
      </c>
      <c r="D134" t="inlineStr">
        <is>
          <t>UPPSALA LÄN</t>
        </is>
      </c>
      <c r="E134" t="inlineStr">
        <is>
          <t>ENKÖPING</t>
        </is>
      </c>
      <c r="G134" t="n">
        <v>4.6</v>
      </c>
      <c r="H134" t="n">
        <v>0</v>
      </c>
      <c r="I134" t="n">
        <v>0</v>
      </c>
      <c r="J134" t="n">
        <v>0</v>
      </c>
      <c r="K134" t="n">
        <v>0</v>
      </c>
      <c r="L134" t="n">
        <v>0</v>
      </c>
      <c r="M134" t="n">
        <v>0</v>
      </c>
      <c r="N134" t="n">
        <v>0</v>
      </c>
      <c r="O134" t="n">
        <v>0</v>
      </c>
      <c r="P134" t="n">
        <v>0</v>
      </c>
      <c r="Q134" t="n">
        <v>0</v>
      </c>
      <c r="R134" s="2" t="inlineStr"/>
    </row>
    <row r="135" ht="15" customHeight="1">
      <c r="A135" t="inlineStr">
        <is>
          <t>A 14402-2023</t>
        </is>
      </c>
      <c r="B135" s="1" t="n">
        <v>45012</v>
      </c>
      <c r="C135" s="1" t="n">
        <v>45973</v>
      </c>
      <c r="D135" t="inlineStr">
        <is>
          <t>UPPSALA LÄN</t>
        </is>
      </c>
      <c r="E135" t="inlineStr">
        <is>
          <t>ENKÖPING</t>
        </is>
      </c>
      <c r="G135" t="n">
        <v>9.5</v>
      </c>
      <c r="H135" t="n">
        <v>0</v>
      </c>
      <c r="I135" t="n">
        <v>0</v>
      </c>
      <c r="J135" t="n">
        <v>0</v>
      </c>
      <c r="K135" t="n">
        <v>0</v>
      </c>
      <c r="L135" t="n">
        <v>0</v>
      </c>
      <c r="M135" t="n">
        <v>0</v>
      </c>
      <c r="N135" t="n">
        <v>0</v>
      </c>
      <c r="O135" t="n">
        <v>0</v>
      </c>
      <c r="P135" t="n">
        <v>0</v>
      </c>
      <c r="Q135" t="n">
        <v>0</v>
      </c>
      <c r="R135" s="2" t="inlineStr"/>
    </row>
    <row r="136" ht="15" customHeight="1">
      <c r="A136" t="inlineStr">
        <is>
          <t>A 39115-2024</t>
        </is>
      </c>
      <c r="B136" s="1" t="n">
        <v>45548</v>
      </c>
      <c r="C136" s="1" t="n">
        <v>45973</v>
      </c>
      <c r="D136" t="inlineStr">
        <is>
          <t>UPPSALA LÄN</t>
        </is>
      </c>
      <c r="E136" t="inlineStr">
        <is>
          <t>ENKÖPING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12020-2024</t>
        </is>
      </c>
      <c r="B137" s="1" t="n">
        <v>45377</v>
      </c>
      <c r="C137" s="1" t="n">
        <v>45973</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9957-2023</t>
        </is>
      </c>
      <c r="B138" s="1" t="n">
        <v>44978</v>
      </c>
      <c r="C138" s="1" t="n">
        <v>45973</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52889-2022</t>
        </is>
      </c>
      <c r="B139" s="1" t="n">
        <v>44875</v>
      </c>
      <c r="C139" s="1" t="n">
        <v>45973</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25333-2023</t>
        </is>
      </c>
      <c r="B140" s="1" t="n">
        <v>45083</v>
      </c>
      <c r="C140" s="1" t="n">
        <v>45973</v>
      </c>
      <c r="D140" t="inlineStr">
        <is>
          <t>UPPSALA LÄN</t>
        </is>
      </c>
      <c r="E140" t="inlineStr">
        <is>
          <t>ENKÖPING</t>
        </is>
      </c>
      <c r="G140" t="n">
        <v>2.7</v>
      </c>
      <c r="H140" t="n">
        <v>0</v>
      </c>
      <c r="I140" t="n">
        <v>0</v>
      </c>
      <c r="J140" t="n">
        <v>0</v>
      </c>
      <c r="K140" t="n">
        <v>0</v>
      </c>
      <c r="L140" t="n">
        <v>0</v>
      </c>
      <c r="M140" t="n">
        <v>0</v>
      </c>
      <c r="N140" t="n">
        <v>0</v>
      </c>
      <c r="O140" t="n">
        <v>0</v>
      </c>
      <c r="P140" t="n">
        <v>0</v>
      </c>
      <c r="Q140" t="n">
        <v>0</v>
      </c>
      <c r="R140" s="2" t="inlineStr"/>
    </row>
    <row r="141" ht="15" customHeight="1">
      <c r="A141" t="inlineStr">
        <is>
          <t>A 69344-2021</t>
        </is>
      </c>
      <c r="B141" s="1" t="n">
        <v>44531</v>
      </c>
      <c r="C141" s="1" t="n">
        <v>45973</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50747-2022</t>
        </is>
      </c>
      <c r="B142" s="1" t="n">
        <v>44867.40162037037</v>
      </c>
      <c r="C142" s="1" t="n">
        <v>45973</v>
      </c>
      <c r="D142" t="inlineStr">
        <is>
          <t>UPPSALA LÄN</t>
        </is>
      </c>
      <c r="E142" t="inlineStr">
        <is>
          <t>ENKÖPING</t>
        </is>
      </c>
      <c r="G142" t="n">
        <v>1.5</v>
      </c>
      <c r="H142" t="n">
        <v>0</v>
      </c>
      <c r="I142" t="n">
        <v>0</v>
      </c>
      <c r="J142" t="n">
        <v>0</v>
      </c>
      <c r="K142" t="n">
        <v>0</v>
      </c>
      <c r="L142" t="n">
        <v>0</v>
      </c>
      <c r="M142" t="n">
        <v>0</v>
      </c>
      <c r="N142" t="n">
        <v>0</v>
      </c>
      <c r="O142" t="n">
        <v>0</v>
      </c>
      <c r="P142" t="n">
        <v>0</v>
      </c>
      <c r="Q142" t="n">
        <v>0</v>
      </c>
      <c r="R142" s="2" t="inlineStr"/>
    </row>
    <row r="143" ht="15" customHeight="1">
      <c r="A143" t="inlineStr">
        <is>
          <t>A 57152-2021</t>
        </is>
      </c>
      <c r="B143" s="1" t="n">
        <v>44482</v>
      </c>
      <c r="C143" s="1" t="n">
        <v>45973</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8152-2022</t>
        </is>
      </c>
      <c r="B144" s="1" t="n">
        <v>44609</v>
      </c>
      <c r="C144" s="1" t="n">
        <v>45973</v>
      </c>
      <c r="D144" t="inlineStr">
        <is>
          <t>UPPSALA LÄN</t>
        </is>
      </c>
      <c r="E144" t="inlineStr">
        <is>
          <t>ENKÖPING</t>
        </is>
      </c>
      <c r="F144" t="inlineStr">
        <is>
          <t>Kyrkan</t>
        </is>
      </c>
      <c r="G144" t="n">
        <v>1.3</v>
      </c>
      <c r="H144" t="n">
        <v>0</v>
      </c>
      <c r="I144" t="n">
        <v>0</v>
      </c>
      <c r="J144" t="n">
        <v>0</v>
      </c>
      <c r="K144" t="n">
        <v>0</v>
      </c>
      <c r="L144" t="n">
        <v>0</v>
      </c>
      <c r="M144" t="n">
        <v>0</v>
      </c>
      <c r="N144" t="n">
        <v>0</v>
      </c>
      <c r="O144" t="n">
        <v>0</v>
      </c>
      <c r="P144" t="n">
        <v>0</v>
      </c>
      <c r="Q144" t="n">
        <v>0</v>
      </c>
      <c r="R144" s="2" t="inlineStr"/>
    </row>
    <row r="145" ht="15" customHeight="1">
      <c r="A145" t="inlineStr">
        <is>
          <t>A 30437-2022</t>
        </is>
      </c>
      <c r="B145" s="1" t="n">
        <v>44761</v>
      </c>
      <c r="C145" s="1" t="n">
        <v>45973</v>
      </c>
      <c r="D145" t="inlineStr">
        <is>
          <t>UPPSALA LÄN</t>
        </is>
      </c>
      <c r="E145" t="inlineStr">
        <is>
          <t>ENKÖPING</t>
        </is>
      </c>
      <c r="G145" t="n">
        <v>3.4</v>
      </c>
      <c r="H145" t="n">
        <v>0</v>
      </c>
      <c r="I145" t="n">
        <v>0</v>
      </c>
      <c r="J145" t="n">
        <v>0</v>
      </c>
      <c r="K145" t="n">
        <v>0</v>
      </c>
      <c r="L145" t="n">
        <v>0</v>
      </c>
      <c r="M145" t="n">
        <v>0</v>
      </c>
      <c r="N145" t="n">
        <v>0</v>
      </c>
      <c r="O145" t="n">
        <v>0</v>
      </c>
      <c r="P145" t="n">
        <v>0</v>
      </c>
      <c r="Q145" t="n">
        <v>0</v>
      </c>
      <c r="R145" s="2" t="inlineStr"/>
    </row>
    <row r="146" ht="15" customHeight="1">
      <c r="A146" t="inlineStr">
        <is>
          <t>A 34124-2021</t>
        </is>
      </c>
      <c r="B146" s="1" t="n">
        <v>44379</v>
      </c>
      <c r="C146" s="1" t="n">
        <v>45973</v>
      </c>
      <c r="D146" t="inlineStr">
        <is>
          <t>UPPSALA LÄN</t>
        </is>
      </c>
      <c r="E146" t="inlineStr">
        <is>
          <t>ENKÖPING</t>
        </is>
      </c>
      <c r="G146" t="n">
        <v>2.2</v>
      </c>
      <c r="H146" t="n">
        <v>0</v>
      </c>
      <c r="I146" t="n">
        <v>0</v>
      </c>
      <c r="J146" t="n">
        <v>0</v>
      </c>
      <c r="K146" t="n">
        <v>0</v>
      </c>
      <c r="L146" t="n">
        <v>0</v>
      </c>
      <c r="M146" t="n">
        <v>0</v>
      </c>
      <c r="N146" t="n">
        <v>0</v>
      </c>
      <c r="O146" t="n">
        <v>0</v>
      </c>
      <c r="P146" t="n">
        <v>0</v>
      </c>
      <c r="Q146" t="n">
        <v>0</v>
      </c>
      <c r="R146" s="2" t="inlineStr"/>
    </row>
    <row r="147" ht="15" customHeight="1">
      <c r="A147" t="inlineStr">
        <is>
          <t>A 43697-2024</t>
        </is>
      </c>
      <c r="B147" s="1" t="n">
        <v>45569</v>
      </c>
      <c r="C147" s="1" t="n">
        <v>45973</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12572-2021</t>
        </is>
      </c>
      <c r="B148" s="1" t="n">
        <v>44270.36438657407</v>
      </c>
      <c r="C148" s="1" t="n">
        <v>45973</v>
      </c>
      <c r="D148" t="inlineStr">
        <is>
          <t>UPPSALA LÄN</t>
        </is>
      </c>
      <c r="E148" t="inlineStr">
        <is>
          <t>ENKÖPING</t>
        </is>
      </c>
      <c r="G148" t="n">
        <v>3.3</v>
      </c>
      <c r="H148" t="n">
        <v>0</v>
      </c>
      <c r="I148" t="n">
        <v>0</v>
      </c>
      <c r="J148" t="n">
        <v>0</v>
      </c>
      <c r="K148" t="n">
        <v>0</v>
      </c>
      <c r="L148" t="n">
        <v>0</v>
      </c>
      <c r="M148" t="n">
        <v>0</v>
      </c>
      <c r="N148" t="n">
        <v>0</v>
      </c>
      <c r="O148" t="n">
        <v>0</v>
      </c>
      <c r="P148" t="n">
        <v>0</v>
      </c>
      <c r="Q148" t="n">
        <v>0</v>
      </c>
      <c r="R148" s="2" t="inlineStr"/>
    </row>
    <row r="149" ht="15" customHeight="1">
      <c r="A149" t="inlineStr">
        <is>
          <t>A 27983-2024</t>
        </is>
      </c>
      <c r="B149" s="1" t="n">
        <v>45476</v>
      </c>
      <c r="C149" s="1" t="n">
        <v>45973</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17657-2025</t>
        </is>
      </c>
      <c r="B150" s="1" t="n">
        <v>45758.35006944444</v>
      </c>
      <c r="C150" s="1" t="n">
        <v>45973</v>
      </c>
      <c r="D150" t="inlineStr">
        <is>
          <t>UPPSALA LÄN</t>
        </is>
      </c>
      <c r="E150" t="inlineStr">
        <is>
          <t>ENKÖPING</t>
        </is>
      </c>
      <c r="G150" t="n">
        <v>3</v>
      </c>
      <c r="H150" t="n">
        <v>0</v>
      </c>
      <c r="I150" t="n">
        <v>0</v>
      </c>
      <c r="J150" t="n">
        <v>0</v>
      </c>
      <c r="K150" t="n">
        <v>0</v>
      </c>
      <c r="L150" t="n">
        <v>0</v>
      </c>
      <c r="M150" t="n">
        <v>0</v>
      </c>
      <c r="N150" t="n">
        <v>0</v>
      </c>
      <c r="O150" t="n">
        <v>0</v>
      </c>
      <c r="P150" t="n">
        <v>0</v>
      </c>
      <c r="Q150" t="n">
        <v>0</v>
      </c>
      <c r="R150" s="2" t="inlineStr"/>
    </row>
    <row r="151" ht="15" customHeight="1">
      <c r="A151" t="inlineStr">
        <is>
          <t>A 51010-2024</t>
        </is>
      </c>
      <c r="B151" s="1" t="n">
        <v>45603.39285879629</v>
      </c>
      <c r="C151" s="1" t="n">
        <v>45973</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20112-2024</t>
        </is>
      </c>
      <c r="B152" s="1" t="n">
        <v>45434</v>
      </c>
      <c r="C152" s="1" t="n">
        <v>45973</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22912-2024</t>
        </is>
      </c>
      <c r="B153" s="1" t="n">
        <v>45448.73118055556</v>
      </c>
      <c r="C153" s="1" t="n">
        <v>45973</v>
      </c>
      <c r="D153" t="inlineStr">
        <is>
          <t>UPPSALA LÄN</t>
        </is>
      </c>
      <c r="E153" t="inlineStr">
        <is>
          <t>ENKÖPING</t>
        </is>
      </c>
      <c r="G153" t="n">
        <v>2.8</v>
      </c>
      <c r="H153" t="n">
        <v>0</v>
      </c>
      <c r="I153" t="n">
        <v>0</v>
      </c>
      <c r="J153" t="n">
        <v>0</v>
      </c>
      <c r="K153" t="n">
        <v>0</v>
      </c>
      <c r="L153" t="n">
        <v>0</v>
      </c>
      <c r="M153" t="n">
        <v>0</v>
      </c>
      <c r="N153" t="n">
        <v>0</v>
      </c>
      <c r="O153" t="n">
        <v>0</v>
      </c>
      <c r="P153" t="n">
        <v>0</v>
      </c>
      <c r="Q153" t="n">
        <v>0</v>
      </c>
      <c r="R153" s="2" t="inlineStr"/>
    </row>
    <row r="154" ht="15" customHeight="1">
      <c r="A154" t="inlineStr">
        <is>
          <t>A 47681-2024</t>
        </is>
      </c>
      <c r="B154" s="1" t="n">
        <v>45588</v>
      </c>
      <c r="C154" s="1" t="n">
        <v>45973</v>
      </c>
      <c r="D154" t="inlineStr">
        <is>
          <t>UPPSALA LÄN</t>
        </is>
      </c>
      <c r="E154" t="inlineStr">
        <is>
          <t>ENKÖPING</t>
        </is>
      </c>
      <c r="G154" t="n">
        <v>4.2</v>
      </c>
      <c r="H154" t="n">
        <v>0</v>
      </c>
      <c r="I154" t="n">
        <v>0</v>
      </c>
      <c r="J154" t="n">
        <v>0</v>
      </c>
      <c r="K154" t="n">
        <v>0</v>
      </c>
      <c r="L154" t="n">
        <v>0</v>
      </c>
      <c r="M154" t="n">
        <v>0</v>
      </c>
      <c r="N154" t="n">
        <v>0</v>
      </c>
      <c r="O154" t="n">
        <v>0</v>
      </c>
      <c r="P154" t="n">
        <v>0</v>
      </c>
      <c r="Q154" t="n">
        <v>0</v>
      </c>
      <c r="R154" s="2" t="inlineStr"/>
    </row>
    <row r="155" ht="15" customHeight="1">
      <c r="A155" t="inlineStr">
        <is>
          <t>A 12754-2025</t>
        </is>
      </c>
      <c r="B155" s="1" t="n">
        <v>45733.56331018519</v>
      </c>
      <c r="C155" s="1" t="n">
        <v>45973</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54588-2024</t>
        </is>
      </c>
      <c r="B156" s="1" t="n">
        <v>45617</v>
      </c>
      <c r="C156" s="1" t="n">
        <v>45973</v>
      </c>
      <c r="D156" t="inlineStr">
        <is>
          <t>UPPSALA LÄN</t>
        </is>
      </c>
      <c r="E156" t="inlineStr">
        <is>
          <t>ENKÖPING</t>
        </is>
      </c>
      <c r="G156" t="n">
        <v>3.7</v>
      </c>
      <c r="H156" t="n">
        <v>0</v>
      </c>
      <c r="I156" t="n">
        <v>0</v>
      </c>
      <c r="J156" t="n">
        <v>0</v>
      </c>
      <c r="K156" t="n">
        <v>0</v>
      </c>
      <c r="L156" t="n">
        <v>0</v>
      </c>
      <c r="M156" t="n">
        <v>0</v>
      </c>
      <c r="N156" t="n">
        <v>0</v>
      </c>
      <c r="O156" t="n">
        <v>0</v>
      </c>
      <c r="P156" t="n">
        <v>0</v>
      </c>
      <c r="Q156" t="n">
        <v>0</v>
      </c>
      <c r="R156" s="2" t="inlineStr"/>
    </row>
    <row r="157" ht="15" customHeight="1">
      <c r="A157" t="inlineStr">
        <is>
          <t>A 56713-2024</t>
        </is>
      </c>
      <c r="B157" s="1" t="n">
        <v>45628</v>
      </c>
      <c r="C157" s="1" t="n">
        <v>45973</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15939-2022</t>
        </is>
      </c>
      <c r="B158" s="1" t="n">
        <v>44664</v>
      </c>
      <c r="C158" s="1" t="n">
        <v>45973</v>
      </c>
      <c r="D158" t="inlineStr">
        <is>
          <t>UPPSALA LÄN</t>
        </is>
      </c>
      <c r="E158" t="inlineStr">
        <is>
          <t>ENKÖPING</t>
        </is>
      </c>
      <c r="G158" t="n">
        <v>2</v>
      </c>
      <c r="H158" t="n">
        <v>0</v>
      </c>
      <c r="I158" t="n">
        <v>0</v>
      </c>
      <c r="J158" t="n">
        <v>0</v>
      </c>
      <c r="K158" t="n">
        <v>0</v>
      </c>
      <c r="L158" t="n">
        <v>0</v>
      </c>
      <c r="M158" t="n">
        <v>0</v>
      </c>
      <c r="N158" t="n">
        <v>0</v>
      </c>
      <c r="O158" t="n">
        <v>0</v>
      </c>
      <c r="P158" t="n">
        <v>0</v>
      </c>
      <c r="Q158" t="n">
        <v>0</v>
      </c>
      <c r="R158" s="2" t="inlineStr"/>
    </row>
    <row r="159" ht="15" customHeight="1">
      <c r="A159" t="inlineStr">
        <is>
          <t>A 9667-2024</t>
        </is>
      </c>
      <c r="B159" s="1" t="n">
        <v>45362.45130787037</v>
      </c>
      <c r="C159" s="1" t="n">
        <v>45973</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51524-2022</t>
        </is>
      </c>
      <c r="B160" s="1" t="n">
        <v>44869</v>
      </c>
      <c r="C160" s="1" t="n">
        <v>45973</v>
      </c>
      <c r="D160" t="inlineStr">
        <is>
          <t>UPPSALA LÄN</t>
        </is>
      </c>
      <c r="E160" t="inlineStr">
        <is>
          <t>ENKÖPING</t>
        </is>
      </c>
      <c r="G160" t="n">
        <v>6.6</v>
      </c>
      <c r="H160" t="n">
        <v>0</v>
      </c>
      <c r="I160" t="n">
        <v>0</v>
      </c>
      <c r="J160" t="n">
        <v>0</v>
      </c>
      <c r="K160" t="n">
        <v>0</v>
      </c>
      <c r="L160" t="n">
        <v>0</v>
      </c>
      <c r="M160" t="n">
        <v>0</v>
      </c>
      <c r="N160" t="n">
        <v>0</v>
      </c>
      <c r="O160" t="n">
        <v>0</v>
      </c>
      <c r="P160" t="n">
        <v>0</v>
      </c>
      <c r="Q160" t="n">
        <v>0</v>
      </c>
      <c r="R160" s="2" t="inlineStr"/>
    </row>
    <row r="161" ht="15" customHeight="1">
      <c r="A161" t="inlineStr">
        <is>
          <t>A 50394-2024</t>
        </is>
      </c>
      <c r="B161" s="1" t="n">
        <v>45600</v>
      </c>
      <c r="C161" s="1" t="n">
        <v>45973</v>
      </c>
      <c r="D161" t="inlineStr">
        <is>
          <t>UPPSALA LÄN</t>
        </is>
      </c>
      <c r="E161" t="inlineStr">
        <is>
          <t>ENKÖPING</t>
        </is>
      </c>
      <c r="G161" t="n">
        <v>1.2</v>
      </c>
      <c r="H161" t="n">
        <v>0</v>
      </c>
      <c r="I161" t="n">
        <v>0</v>
      </c>
      <c r="J161" t="n">
        <v>0</v>
      </c>
      <c r="K161" t="n">
        <v>0</v>
      </c>
      <c r="L161" t="n">
        <v>0</v>
      </c>
      <c r="M161" t="n">
        <v>0</v>
      </c>
      <c r="N161" t="n">
        <v>0</v>
      </c>
      <c r="O161" t="n">
        <v>0</v>
      </c>
      <c r="P161" t="n">
        <v>0</v>
      </c>
      <c r="Q161" t="n">
        <v>0</v>
      </c>
      <c r="R161" s="2" t="inlineStr"/>
    </row>
    <row r="162" ht="15" customHeight="1">
      <c r="A162" t="inlineStr">
        <is>
          <t>A 8137-2025</t>
        </is>
      </c>
      <c r="B162" s="1" t="n">
        <v>45707.8561574074</v>
      </c>
      <c r="C162" s="1" t="n">
        <v>45973</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7868-2024</t>
        </is>
      </c>
      <c r="B163" s="1" t="n">
        <v>45350.33020833333</v>
      </c>
      <c r="C163" s="1" t="n">
        <v>45973</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51008-2024</t>
        </is>
      </c>
      <c r="B164" s="1" t="n">
        <v>45603.39041666667</v>
      </c>
      <c r="C164" s="1" t="n">
        <v>45973</v>
      </c>
      <c r="D164" t="inlineStr">
        <is>
          <t>UPPSALA LÄN</t>
        </is>
      </c>
      <c r="E164" t="inlineStr">
        <is>
          <t>ENKÖPING</t>
        </is>
      </c>
      <c r="G164" t="n">
        <v>2.4</v>
      </c>
      <c r="H164" t="n">
        <v>0</v>
      </c>
      <c r="I164" t="n">
        <v>0</v>
      </c>
      <c r="J164" t="n">
        <v>0</v>
      </c>
      <c r="K164" t="n">
        <v>0</v>
      </c>
      <c r="L164" t="n">
        <v>0</v>
      </c>
      <c r="M164" t="n">
        <v>0</v>
      </c>
      <c r="N164" t="n">
        <v>0</v>
      </c>
      <c r="O164" t="n">
        <v>0</v>
      </c>
      <c r="P164" t="n">
        <v>0</v>
      </c>
      <c r="Q164" t="n">
        <v>0</v>
      </c>
      <c r="R164" s="2" t="inlineStr"/>
    </row>
    <row r="165" ht="15" customHeight="1">
      <c r="A165" t="inlineStr">
        <is>
          <t>A 51932-2022</t>
        </is>
      </c>
      <c r="B165" s="1" t="n">
        <v>44872</v>
      </c>
      <c r="C165" s="1" t="n">
        <v>45973</v>
      </c>
      <c r="D165" t="inlineStr">
        <is>
          <t>UPPSALA LÄN</t>
        </is>
      </c>
      <c r="E165" t="inlineStr">
        <is>
          <t>ENKÖPING</t>
        </is>
      </c>
      <c r="G165" t="n">
        <v>5.5</v>
      </c>
      <c r="H165" t="n">
        <v>0</v>
      </c>
      <c r="I165" t="n">
        <v>0</v>
      </c>
      <c r="J165" t="n">
        <v>0</v>
      </c>
      <c r="K165" t="n">
        <v>0</v>
      </c>
      <c r="L165" t="n">
        <v>0</v>
      </c>
      <c r="M165" t="n">
        <v>0</v>
      </c>
      <c r="N165" t="n">
        <v>0</v>
      </c>
      <c r="O165" t="n">
        <v>0</v>
      </c>
      <c r="P165" t="n">
        <v>0</v>
      </c>
      <c r="Q165" t="n">
        <v>0</v>
      </c>
      <c r="R165" s="2" t="inlineStr"/>
    </row>
    <row r="166" ht="15" customHeight="1">
      <c r="A166" t="inlineStr">
        <is>
          <t>A 72840-2021</t>
        </is>
      </c>
      <c r="B166" s="1" t="n">
        <v>44547</v>
      </c>
      <c r="C166" s="1" t="n">
        <v>45973</v>
      </c>
      <c r="D166" t="inlineStr">
        <is>
          <t>UPPSALA LÄN</t>
        </is>
      </c>
      <c r="E166" t="inlineStr">
        <is>
          <t>ENKÖPING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35052-2024</t>
        </is>
      </c>
      <c r="B167" s="1" t="n">
        <v>45527.6516087963</v>
      </c>
      <c r="C167" s="1" t="n">
        <v>45973</v>
      </c>
      <c r="D167" t="inlineStr">
        <is>
          <t>UPPSALA LÄN</t>
        </is>
      </c>
      <c r="E167" t="inlineStr">
        <is>
          <t>ENKÖPING</t>
        </is>
      </c>
      <c r="G167" t="n">
        <v>1.5</v>
      </c>
      <c r="H167" t="n">
        <v>0</v>
      </c>
      <c r="I167" t="n">
        <v>0</v>
      </c>
      <c r="J167" t="n">
        <v>0</v>
      </c>
      <c r="K167" t="n">
        <v>0</v>
      </c>
      <c r="L167" t="n">
        <v>0</v>
      </c>
      <c r="M167" t="n">
        <v>0</v>
      </c>
      <c r="N167" t="n">
        <v>0</v>
      </c>
      <c r="O167" t="n">
        <v>0</v>
      </c>
      <c r="P167" t="n">
        <v>0</v>
      </c>
      <c r="Q167" t="n">
        <v>0</v>
      </c>
      <c r="R167" s="2" t="inlineStr"/>
    </row>
    <row r="168" ht="15" customHeight="1">
      <c r="A168" t="inlineStr">
        <is>
          <t>A 12958-2024</t>
        </is>
      </c>
      <c r="B168" s="1" t="n">
        <v>45385</v>
      </c>
      <c r="C168" s="1" t="n">
        <v>45973</v>
      </c>
      <c r="D168" t="inlineStr">
        <is>
          <t>UPPSALA LÄN</t>
        </is>
      </c>
      <c r="E168" t="inlineStr">
        <is>
          <t>ENKÖPING</t>
        </is>
      </c>
      <c r="G168" t="n">
        <v>2.1</v>
      </c>
      <c r="H168" t="n">
        <v>0</v>
      </c>
      <c r="I168" t="n">
        <v>0</v>
      </c>
      <c r="J168" t="n">
        <v>0</v>
      </c>
      <c r="K168" t="n">
        <v>0</v>
      </c>
      <c r="L168" t="n">
        <v>0</v>
      </c>
      <c r="M168" t="n">
        <v>0</v>
      </c>
      <c r="N168" t="n">
        <v>0</v>
      </c>
      <c r="O168" t="n">
        <v>0</v>
      </c>
      <c r="P168" t="n">
        <v>0</v>
      </c>
      <c r="Q168" t="n">
        <v>0</v>
      </c>
      <c r="R168" s="2" t="inlineStr"/>
    </row>
    <row r="169" ht="15" customHeight="1">
      <c r="A169" t="inlineStr">
        <is>
          <t>A 37870-2023</t>
        </is>
      </c>
      <c r="B169" s="1" t="n">
        <v>45160.41996527778</v>
      </c>
      <c r="C169" s="1" t="n">
        <v>45973</v>
      </c>
      <c r="D169" t="inlineStr">
        <is>
          <t>UPPSALA LÄN</t>
        </is>
      </c>
      <c r="E169" t="inlineStr">
        <is>
          <t>ENKÖPING</t>
        </is>
      </c>
      <c r="G169" t="n">
        <v>3.5</v>
      </c>
      <c r="H169" t="n">
        <v>0</v>
      </c>
      <c r="I169" t="n">
        <v>0</v>
      </c>
      <c r="J169" t="n">
        <v>0</v>
      </c>
      <c r="K169" t="n">
        <v>0</v>
      </c>
      <c r="L169" t="n">
        <v>0</v>
      </c>
      <c r="M169" t="n">
        <v>0</v>
      </c>
      <c r="N169" t="n">
        <v>0</v>
      </c>
      <c r="O169" t="n">
        <v>0</v>
      </c>
      <c r="P169" t="n">
        <v>0</v>
      </c>
      <c r="Q169" t="n">
        <v>0</v>
      </c>
      <c r="R169" s="2" t="inlineStr"/>
    </row>
    <row r="170" ht="15" customHeight="1">
      <c r="A170" t="inlineStr">
        <is>
          <t>A 7090-2022</t>
        </is>
      </c>
      <c r="B170" s="1" t="n">
        <v>44603.59520833333</v>
      </c>
      <c r="C170" s="1" t="n">
        <v>45973</v>
      </c>
      <c r="D170" t="inlineStr">
        <is>
          <t>UPPSALA LÄN</t>
        </is>
      </c>
      <c r="E170" t="inlineStr">
        <is>
          <t>ENKÖPING</t>
        </is>
      </c>
      <c r="G170" t="n">
        <v>2.8</v>
      </c>
      <c r="H170" t="n">
        <v>0</v>
      </c>
      <c r="I170" t="n">
        <v>0</v>
      </c>
      <c r="J170" t="n">
        <v>0</v>
      </c>
      <c r="K170" t="n">
        <v>0</v>
      </c>
      <c r="L170" t="n">
        <v>0</v>
      </c>
      <c r="M170" t="n">
        <v>0</v>
      </c>
      <c r="N170" t="n">
        <v>0</v>
      </c>
      <c r="O170" t="n">
        <v>0</v>
      </c>
      <c r="P170" t="n">
        <v>0</v>
      </c>
      <c r="Q170" t="n">
        <v>0</v>
      </c>
      <c r="R170" s="2" t="inlineStr"/>
    </row>
    <row r="171" ht="15" customHeight="1">
      <c r="A171" t="inlineStr">
        <is>
          <t>A 49063-2024</t>
        </is>
      </c>
      <c r="B171" s="1" t="n">
        <v>45594.59869212963</v>
      </c>
      <c r="C171" s="1" t="n">
        <v>45973</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14083-2025</t>
        </is>
      </c>
      <c r="B172" s="1" t="n">
        <v>45740</v>
      </c>
      <c r="C172" s="1" t="n">
        <v>45973</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19298-2023</t>
        </is>
      </c>
      <c r="B173" s="1" t="n">
        <v>45048</v>
      </c>
      <c r="C173" s="1" t="n">
        <v>45973</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43506-2023</t>
        </is>
      </c>
      <c r="B174" s="1" t="n">
        <v>45181</v>
      </c>
      <c r="C174" s="1" t="n">
        <v>45973</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40812-2022</t>
        </is>
      </c>
      <c r="B175" s="1" t="n">
        <v>44824.68791666667</v>
      </c>
      <c r="C175" s="1" t="n">
        <v>45973</v>
      </c>
      <c r="D175" t="inlineStr">
        <is>
          <t>UPPSALA LÄN</t>
        </is>
      </c>
      <c r="E175" t="inlineStr">
        <is>
          <t>ENKÖPING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24291-2024</t>
        </is>
      </c>
      <c r="B176" s="1" t="n">
        <v>45457.4584837963</v>
      </c>
      <c r="C176" s="1" t="n">
        <v>45973</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14004-2023</t>
        </is>
      </c>
      <c r="B177" s="1" t="n">
        <v>45008</v>
      </c>
      <c r="C177" s="1" t="n">
        <v>45973</v>
      </c>
      <c r="D177" t="inlineStr">
        <is>
          <t>UPPSALA LÄN</t>
        </is>
      </c>
      <c r="E177" t="inlineStr">
        <is>
          <t>ENKÖPING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51012-2024</t>
        </is>
      </c>
      <c r="B178" s="1" t="n">
        <v>45603.39686342593</v>
      </c>
      <c r="C178" s="1" t="n">
        <v>45973</v>
      </c>
      <c r="D178" t="inlineStr">
        <is>
          <t>UPPSALA LÄN</t>
        </is>
      </c>
      <c r="E178" t="inlineStr">
        <is>
          <t>ENKÖPING</t>
        </is>
      </c>
      <c r="G178" t="n">
        <v>2.7</v>
      </c>
      <c r="H178" t="n">
        <v>0</v>
      </c>
      <c r="I178" t="n">
        <v>0</v>
      </c>
      <c r="J178" t="n">
        <v>0</v>
      </c>
      <c r="K178" t="n">
        <v>0</v>
      </c>
      <c r="L178" t="n">
        <v>0</v>
      </c>
      <c r="M178" t="n">
        <v>0</v>
      </c>
      <c r="N178" t="n">
        <v>0</v>
      </c>
      <c r="O178" t="n">
        <v>0</v>
      </c>
      <c r="P178" t="n">
        <v>0</v>
      </c>
      <c r="Q178" t="n">
        <v>0</v>
      </c>
      <c r="R178" s="2" t="inlineStr"/>
    </row>
    <row r="179" ht="15" customHeight="1">
      <c r="A179" t="inlineStr">
        <is>
          <t>A 15409-2025</t>
        </is>
      </c>
      <c r="B179" s="1" t="n">
        <v>45747</v>
      </c>
      <c r="C179" s="1" t="n">
        <v>45973</v>
      </c>
      <c r="D179" t="inlineStr">
        <is>
          <t>UPPSALA LÄN</t>
        </is>
      </c>
      <c r="E179" t="inlineStr">
        <is>
          <t>ENKÖPING</t>
        </is>
      </c>
      <c r="G179" t="n">
        <v>2.5</v>
      </c>
      <c r="H179" t="n">
        <v>0</v>
      </c>
      <c r="I179" t="n">
        <v>0</v>
      </c>
      <c r="J179" t="n">
        <v>0</v>
      </c>
      <c r="K179" t="n">
        <v>0</v>
      </c>
      <c r="L179" t="n">
        <v>0</v>
      </c>
      <c r="M179" t="n">
        <v>0</v>
      </c>
      <c r="N179" t="n">
        <v>0</v>
      </c>
      <c r="O179" t="n">
        <v>0</v>
      </c>
      <c r="P179" t="n">
        <v>0</v>
      </c>
      <c r="Q179" t="n">
        <v>0</v>
      </c>
      <c r="R179" s="2" t="inlineStr"/>
    </row>
    <row r="180" ht="15" customHeight="1">
      <c r="A180" t="inlineStr">
        <is>
          <t>A 44232-2022</t>
        </is>
      </c>
      <c r="B180" s="1" t="n">
        <v>44839</v>
      </c>
      <c r="C180" s="1" t="n">
        <v>45973</v>
      </c>
      <c r="D180" t="inlineStr">
        <is>
          <t>UPPSALA LÄN</t>
        </is>
      </c>
      <c r="E180" t="inlineStr">
        <is>
          <t>ENKÖPING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47428-2023</t>
        </is>
      </c>
      <c r="B181" s="1" t="n">
        <v>45202.66664351852</v>
      </c>
      <c r="C181" s="1" t="n">
        <v>45973</v>
      </c>
      <c r="D181" t="inlineStr">
        <is>
          <t>UPPSALA LÄN</t>
        </is>
      </c>
      <c r="E181" t="inlineStr">
        <is>
          <t>ENKÖPING</t>
        </is>
      </c>
      <c r="G181" t="n">
        <v>3</v>
      </c>
      <c r="H181" t="n">
        <v>0</v>
      </c>
      <c r="I181" t="n">
        <v>0</v>
      </c>
      <c r="J181" t="n">
        <v>0</v>
      </c>
      <c r="K181" t="n">
        <v>0</v>
      </c>
      <c r="L181" t="n">
        <v>0</v>
      </c>
      <c r="M181" t="n">
        <v>0</v>
      </c>
      <c r="N181" t="n">
        <v>0</v>
      </c>
      <c r="O181" t="n">
        <v>0</v>
      </c>
      <c r="P181" t="n">
        <v>0</v>
      </c>
      <c r="Q181" t="n">
        <v>0</v>
      </c>
      <c r="R181" s="2" t="inlineStr"/>
    </row>
    <row r="182" ht="15" customHeight="1">
      <c r="A182" t="inlineStr">
        <is>
          <t>A 41828-2024</t>
        </is>
      </c>
      <c r="B182" s="1" t="n">
        <v>45561</v>
      </c>
      <c r="C182" s="1" t="n">
        <v>45973</v>
      </c>
      <c r="D182" t="inlineStr">
        <is>
          <t>UPPSALA LÄN</t>
        </is>
      </c>
      <c r="E182" t="inlineStr">
        <is>
          <t>ENKÖPING</t>
        </is>
      </c>
      <c r="G182" t="n">
        <v>2.5</v>
      </c>
      <c r="H182" t="n">
        <v>0</v>
      </c>
      <c r="I182" t="n">
        <v>0</v>
      </c>
      <c r="J182" t="n">
        <v>0</v>
      </c>
      <c r="K182" t="n">
        <v>0</v>
      </c>
      <c r="L182" t="n">
        <v>0</v>
      </c>
      <c r="M182" t="n">
        <v>0</v>
      </c>
      <c r="N182" t="n">
        <v>0</v>
      </c>
      <c r="O182" t="n">
        <v>0</v>
      </c>
      <c r="P182" t="n">
        <v>0</v>
      </c>
      <c r="Q182" t="n">
        <v>0</v>
      </c>
      <c r="R182" s="2" t="inlineStr"/>
    </row>
    <row r="183" ht="15" customHeight="1">
      <c r="A183" t="inlineStr">
        <is>
          <t>A 14518-2025</t>
        </is>
      </c>
      <c r="B183" s="1" t="n">
        <v>45741</v>
      </c>
      <c r="C183" s="1" t="n">
        <v>45973</v>
      </c>
      <c r="D183" t="inlineStr">
        <is>
          <t>UPPSALA LÄN</t>
        </is>
      </c>
      <c r="E183" t="inlineStr">
        <is>
          <t>ENKÖPING</t>
        </is>
      </c>
      <c r="G183" t="n">
        <v>2</v>
      </c>
      <c r="H183" t="n">
        <v>0</v>
      </c>
      <c r="I183" t="n">
        <v>0</v>
      </c>
      <c r="J183" t="n">
        <v>0</v>
      </c>
      <c r="K183" t="n">
        <v>0</v>
      </c>
      <c r="L183" t="n">
        <v>0</v>
      </c>
      <c r="M183" t="n">
        <v>0</v>
      </c>
      <c r="N183" t="n">
        <v>0</v>
      </c>
      <c r="O183" t="n">
        <v>0</v>
      </c>
      <c r="P183" t="n">
        <v>0</v>
      </c>
      <c r="Q183" t="n">
        <v>0</v>
      </c>
      <c r="R183" s="2" t="inlineStr"/>
    </row>
    <row r="184" ht="15" customHeight="1">
      <c r="A184" t="inlineStr">
        <is>
          <t>A 45362-2022</t>
        </is>
      </c>
      <c r="B184" s="1" t="n">
        <v>44844.62366898148</v>
      </c>
      <c r="C184" s="1" t="n">
        <v>45973</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56526-2022</t>
        </is>
      </c>
      <c r="B185" s="1" t="n">
        <v>44893</v>
      </c>
      <c r="C185" s="1" t="n">
        <v>45973</v>
      </c>
      <c r="D185" t="inlineStr">
        <is>
          <t>UPPSALA LÄN</t>
        </is>
      </c>
      <c r="E185" t="inlineStr">
        <is>
          <t>ENKÖPING</t>
        </is>
      </c>
      <c r="G185" t="n">
        <v>3.8</v>
      </c>
      <c r="H185" t="n">
        <v>0</v>
      </c>
      <c r="I185" t="n">
        <v>0</v>
      </c>
      <c r="J185" t="n">
        <v>0</v>
      </c>
      <c r="K185" t="n">
        <v>0</v>
      </c>
      <c r="L185" t="n">
        <v>0</v>
      </c>
      <c r="M185" t="n">
        <v>0</v>
      </c>
      <c r="N185" t="n">
        <v>0</v>
      </c>
      <c r="O185" t="n">
        <v>0</v>
      </c>
      <c r="P185" t="n">
        <v>0</v>
      </c>
      <c r="Q185" t="n">
        <v>0</v>
      </c>
      <c r="R185" s="2" t="inlineStr"/>
    </row>
    <row r="186" ht="15" customHeight="1">
      <c r="A186" t="inlineStr">
        <is>
          <t>A 10465-2022</t>
        </is>
      </c>
      <c r="B186" s="1" t="n">
        <v>44623</v>
      </c>
      <c r="C186" s="1" t="n">
        <v>45973</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60350-2022</t>
        </is>
      </c>
      <c r="B187" s="1" t="n">
        <v>44910</v>
      </c>
      <c r="C187" s="1" t="n">
        <v>45973</v>
      </c>
      <c r="D187" t="inlineStr">
        <is>
          <t>UPPSALA LÄN</t>
        </is>
      </c>
      <c r="E187" t="inlineStr">
        <is>
          <t>ENKÖPING</t>
        </is>
      </c>
      <c r="F187" t="inlineStr">
        <is>
          <t>Allmännings- och besparingsskogar</t>
        </is>
      </c>
      <c r="G187" t="n">
        <v>3.5</v>
      </c>
      <c r="H187" t="n">
        <v>0</v>
      </c>
      <c r="I187" t="n">
        <v>0</v>
      </c>
      <c r="J187" t="n">
        <v>0</v>
      </c>
      <c r="K187" t="n">
        <v>0</v>
      </c>
      <c r="L187" t="n">
        <v>0</v>
      </c>
      <c r="M187" t="n">
        <v>0</v>
      </c>
      <c r="N187" t="n">
        <v>0</v>
      </c>
      <c r="O187" t="n">
        <v>0</v>
      </c>
      <c r="P187" t="n">
        <v>0</v>
      </c>
      <c r="Q187" t="n">
        <v>0</v>
      </c>
      <c r="R187" s="2" t="inlineStr"/>
    </row>
    <row r="188" ht="15" customHeight="1">
      <c r="A188" t="inlineStr">
        <is>
          <t>A 28518-2024</t>
        </is>
      </c>
      <c r="B188" s="1" t="n">
        <v>45477</v>
      </c>
      <c r="C188" s="1" t="n">
        <v>45973</v>
      </c>
      <c r="D188" t="inlineStr">
        <is>
          <t>UPPSALA LÄN</t>
        </is>
      </c>
      <c r="E188" t="inlineStr">
        <is>
          <t>ENKÖPING</t>
        </is>
      </c>
      <c r="G188" t="n">
        <v>3.4</v>
      </c>
      <c r="H188" t="n">
        <v>0</v>
      </c>
      <c r="I188" t="n">
        <v>0</v>
      </c>
      <c r="J188" t="n">
        <v>0</v>
      </c>
      <c r="K188" t="n">
        <v>0</v>
      </c>
      <c r="L188" t="n">
        <v>0</v>
      </c>
      <c r="M188" t="n">
        <v>0</v>
      </c>
      <c r="N188" t="n">
        <v>0</v>
      </c>
      <c r="O188" t="n">
        <v>0</v>
      </c>
      <c r="P188" t="n">
        <v>0</v>
      </c>
      <c r="Q188" t="n">
        <v>0</v>
      </c>
      <c r="R188" s="2" t="inlineStr"/>
    </row>
    <row r="189" ht="15" customHeight="1">
      <c r="A189" t="inlineStr">
        <is>
          <t>A 34617-2022</t>
        </is>
      </c>
      <c r="B189" s="1" t="n">
        <v>44795</v>
      </c>
      <c r="C189" s="1" t="n">
        <v>45973</v>
      </c>
      <c r="D189" t="inlineStr">
        <is>
          <t>UPPSALA LÄN</t>
        </is>
      </c>
      <c r="E189" t="inlineStr">
        <is>
          <t>ENKÖPING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40202-2024</t>
        </is>
      </c>
      <c r="B190" s="1" t="n">
        <v>45554</v>
      </c>
      <c r="C190" s="1" t="n">
        <v>45973</v>
      </c>
      <c r="D190" t="inlineStr">
        <is>
          <t>UPPSALA LÄN</t>
        </is>
      </c>
      <c r="E190" t="inlineStr">
        <is>
          <t>ENKÖPING</t>
        </is>
      </c>
      <c r="G190" t="n">
        <v>6.2</v>
      </c>
      <c r="H190" t="n">
        <v>0</v>
      </c>
      <c r="I190" t="n">
        <v>0</v>
      </c>
      <c r="J190" t="n">
        <v>0</v>
      </c>
      <c r="K190" t="n">
        <v>0</v>
      </c>
      <c r="L190" t="n">
        <v>0</v>
      </c>
      <c r="M190" t="n">
        <v>0</v>
      </c>
      <c r="N190" t="n">
        <v>0</v>
      </c>
      <c r="O190" t="n">
        <v>0</v>
      </c>
      <c r="P190" t="n">
        <v>0</v>
      </c>
      <c r="Q190" t="n">
        <v>0</v>
      </c>
      <c r="R190" s="2" t="inlineStr"/>
    </row>
    <row r="191" ht="15" customHeight="1">
      <c r="A191" t="inlineStr">
        <is>
          <t>A 40223-2024</t>
        </is>
      </c>
      <c r="B191" s="1" t="n">
        <v>45554</v>
      </c>
      <c r="C191" s="1" t="n">
        <v>45973</v>
      </c>
      <c r="D191" t="inlineStr">
        <is>
          <t>UPPSALA LÄN</t>
        </is>
      </c>
      <c r="E191" t="inlineStr">
        <is>
          <t>ENKÖPING</t>
        </is>
      </c>
      <c r="G191" t="n">
        <v>1.9</v>
      </c>
      <c r="H191" t="n">
        <v>0</v>
      </c>
      <c r="I191" t="n">
        <v>0</v>
      </c>
      <c r="J191" t="n">
        <v>0</v>
      </c>
      <c r="K191" t="n">
        <v>0</v>
      </c>
      <c r="L191" t="n">
        <v>0</v>
      </c>
      <c r="M191" t="n">
        <v>0</v>
      </c>
      <c r="N191" t="n">
        <v>0</v>
      </c>
      <c r="O191" t="n">
        <v>0</v>
      </c>
      <c r="P191" t="n">
        <v>0</v>
      </c>
      <c r="Q191" t="n">
        <v>0</v>
      </c>
      <c r="R191" s="2" t="inlineStr"/>
    </row>
    <row r="192" ht="15" customHeight="1">
      <c r="A192" t="inlineStr">
        <is>
          <t>A 69879-2021</t>
        </is>
      </c>
      <c r="B192" s="1" t="n">
        <v>44532</v>
      </c>
      <c r="C192" s="1" t="n">
        <v>45973</v>
      </c>
      <c r="D192" t="inlineStr">
        <is>
          <t>UPPSALA LÄN</t>
        </is>
      </c>
      <c r="E192" t="inlineStr">
        <is>
          <t>ENKÖPING</t>
        </is>
      </c>
      <c r="G192" t="n">
        <v>4.2</v>
      </c>
      <c r="H192" t="n">
        <v>0</v>
      </c>
      <c r="I192" t="n">
        <v>0</v>
      </c>
      <c r="J192" t="n">
        <v>0</v>
      </c>
      <c r="K192" t="n">
        <v>0</v>
      </c>
      <c r="L192" t="n">
        <v>0</v>
      </c>
      <c r="M192" t="n">
        <v>0</v>
      </c>
      <c r="N192" t="n">
        <v>0</v>
      </c>
      <c r="O192" t="n">
        <v>0</v>
      </c>
      <c r="P192" t="n">
        <v>0</v>
      </c>
      <c r="Q192" t="n">
        <v>0</v>
      </c>
      <c r="R192" s="2" t="inlineStr"/>
    </row>
    <row r="193" ht="15" customHeight="1">
      <c r="A193" t="inlineStr">
        <is>
          <t>A 30098-2024</t>
        </is>
      </c>
      <c r="B193" s="1" t="n">
        <v>45489.41609953704</v>
      </c>
      <c r="C193" s="1" t="n">
        <v>45973</v>
      </c>
      <c r="D193" t="inlineStr">
        <is>
          <t>UPPSALA LÄN</t>
        </is>
      </c>
      <c r="E193" t="inlineStr">
        <is>
          <t>ENKÖPING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19013-2025</t>
        </is>
      </c>
      <c r="B194" s="1" t="n">
        <v>45764.59533564815</v>
      </c>
      <c r="C194" s="1" t="n">
        <v>45973</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57335-2024</t>
        </is>
      </c>
      <c r="B195" s="1" t="n">
        <v>45629.63302083333</v>
      </c>
      <c r="C195" s="1" t="n">
        <v>45973</v>
      </c>
      <c r="D195" t="inlineStr">
        <is>
          <t>UPPSALA LÄN</t>
        </is>
      </c>
      <c r="E195" t="inlineStr">
        <is>
          <t>ENKÖPING</t>
        </is>
      </c>
      <c r="G195" t="n">
        <v>2.1</v>
      </c>
      <c r="H195" t="n">
        <v>0</v>
      </c>
      <c r="I195" t="n">
        <v>0</v>
      </c>
      <c r="J195" t="n">
        <v>0</v>
      </c>
      <c r="K195" t="n">
        <v>0</v>
      </c>
      <c r="L195" t="n">
        <v>0</v>
      </c>
      <c r="M195" t="n">
        <v>0</v>
      </c>
      <c r="N195" t="n">
        <v>0</v>
      </c>
      <c r="O195" t="n">
        <v>0</v>
      </c>
      <c r="P195" t="n">
        <v>0</v>
      </c>
      <c r="Q195" t="n">
        <v>0</v>
      </c>
      <c r="R195" s="2" t="inlineStr"/>
    </row>
    <row r="196" ht="15" customHeight="1">
      <c r="A196" t="inlineStr">
        <is>
          <t>A 23301-2024</t>
        </is>
      </c>
      <c r="B196" s="1" t="n">
        <v>45453.4396412037</v>
      </c>
      <c r="C196" s="1" t="n">
        <v>45973</v>
      </c>
      <c r="D196" t="inlineStr">
        <is>
          <t>UPPSALA LÄN</t>
        </is>
      </c>
      <c r="E196" t="inlineStr">
        <is>
          <t>ENKÖPING</t>
        </is>
      </c>
      <c r="G196" t="n">
        <v>4.3</v>
      </c>
      <c r="H196" t="n">
        <v>0</v>
      </c>
      <c r="I196" t="n">
        <v>0</v>
      </c>
      <c r="J196" t="n">
        <v>0</v>
      </c>
      <c r="K196" t="n">
        <v>0</v>
      </c>
      <c r="L196" t="n">
        <v>0</v>
      </c>
      <c r="M196" t="n">
        <v>0</v>
      </c>
      <c r="N196" t="n">
        <v>0</v>
      </c>
      <c r="O196" t="n">
        <v>0</v>
      </c>
      <c r="P196" t="n">
        <v>0</v>
      </c>
      <c r="Q196" t="n">
        <v>0</v>
      </c>
      <c r="R196" s="2" t="inlineStr"/>
    </row>
    <row r="197" ht="15" customHeight="1">
      <c r="A197" t="inlineStr">
        <is>
          <t>A 5013-2025</t>
        </is>
      </c>
      <c r="B197" s="1" t="n">
        <v>45691</v>
      </c>
      <c r="C197" s="1" t="n">
        <v>45973</v>
      </c>
      <c r="D197" t="inlineStr">
        <is>
          <t>UPPSALA LÄN</t>
        </is>
      </c>
      <c r="E197" t="inlineStr">
        <is>
          <t>ENKÖPING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2833-2025</t>
        </is>
      </c>
      <c r="B198" s="1" t="n">
        <v>45677.63206018518</v>
      </c>
      <c r="C198" s="1" t="n">
        <v>45973</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11503-2024</t>
        </is>
      </c>
      <c r="B199" s="1" t="n">
        <v>45372.68020833333</v>
      </c>
      <c r="C199" s="1" t="n">
        <v>45973</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56176-2021</t>
        </is>
      </c>
      <c r="B200" s="1" t="n">
        <v>44477</v>
      </c>
      <c r="C200" s="1" t="n">
        <v>45973</v>
      </c>
      <c r="D200" t="inlineStr">
        <is>
          <t>UPPSALA LÄN</t>
        </is>
      </c>
      <c r="E200" t="inlineStr">
        <is>
          <t>ENKÖPING</t>
        </is>
      </c>
      <c r="G200" t="n">
        <v>2.9</v>
      </c>
      <c r="H200" t="n">
        <v>0</v>
      </c>
      <c r="I200" t="n">
        <v>0</v>
      </c>
      <c r="J200" t="n">
        <v>0</v>
      </c>
      <c r="K200" t="n">
        <v>0</v>
      </c>
      <c r="L200" t="n">
        <v>0</v>
      </c>
      <c r="M200" t="n">
        <v>0</v>
      </c>
      <c r="N200" t="n">
        <v>0</v>
      </c>
      <c r="O200" t="n">
        <v>0</v>
      </c>
      <c r="P200" t="n">
        <v>0</v>
      </c>
      <c r="Q200" t="n">
        <v>0</v>
      </c>
      <c r="R200" s="2" t="inlineStr"/>
    </row>
    <row r="201" ht="15" customHeight="1">
      <c r="A201" t="inlineStr">
        <is>
          <t>A 54776-2024</t>
        </is>
      </c>
      <c r="B201" s="1" t="n">
        <v>45618</v>
      </c>
      <c r="C201" s="1" t="n">
        <v>45973</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2164-2023</t>
        </is>
      </c>
      <c r="B202" s="1" t="n">
        <v>44941</v>
      </c>
      <c r="C202" s="1" t="n">
        <v>45973</v>
      </c>
      <c r="D202" t="inlineStr">
        <is>
          <t>UPPSALA LÄN</t>
        </is>
      </c>
      <c r="E202" t="inlineStr">
        <is>
          <t>ENKÖPING</t>
        </is>
      </c>
      <c r="G202" t="n">
        <v>2.5</v>
      </c>
      <c r="H202" t="n">
        <v>0</v>
      </c>
      <c r="I202" t="n">
        <v>0</v>
      </c>
      <c r="J202" t="n">
        <v>0</v>
      </c>
      <c r="K202" t="n">
        <v>0</v>
      </c>
      <c r="L202" t="n">
        <v>0</v>
      </c>
      <c r="M202" t="n">
        <v>0</v>
      </c>
      <c r="N202" t="n">
        <v>0</v>
      </c>
      <c r="O202" t="n">
        <v>0</v>
      </c>
      <c r="P202" t="n">
        <v>0</v>
      </c>
      <c r="Q202" t="n">
        <v>0</v>
      </c>
      <c r="R202" s="2" t="inlineStr"/>
    </row>
    <row r="203" ht="15" customHeight="1">
      <c r="A203" t="inlineStr">
        <is>
          <t>A 33619-2022</t>
        </is>
      </c>
      <c r="B203" s="1" t="n">
        <v>44789</v>
      </c>
      <c r="C203" s="1" t="n">
        <v>45973</v>
      </c>
      <c r="D203" t="inlineStr">
        <is>
          <t>UPPSALA LÄN</t>
        </is>
      </c>
      <c r="E203" t="inlineStr">
        <is>
          <t>ENKÖPING</t>
        </is>
      </c>
      <c r="F203" t="inlineStr">
        <is>
          <t>Allmännings- och besparingsskogar</t>
        </is>
      </c>
      <c r="G203" t="n">
        <v>4.5</v>
      </c>
      <c r="H203" t="n">
        <v>0</v>
      </c>
      <c r="I203" t="n">
        <v>0</v>
      </c>
      <c r="J203" t="n">
        <v>0</v>
      </c>
      <c r="K203" t="n">
        <v>0</v>
      </c>
      <c r="L203" t="n">
        <v>0</v>
      </c>
      <c r="M203" t="n">
        <v>0</v>
      </c>
      <c r="N203" t="n">
        <v>0</v>
      </c>
      <c r="O203" t="n">
        <v>0</v>
      </c>
      <c r="P203" t="n">
        <v>0</v>
      </c>
      <c r="Q203" t="n">
        <v>0</v>
      </c>
      <c r="R203" s="2" t="inlineStr"/>
    </row>
    <row r="204" ht="15" customHeight="1">
      <c r="A204" t="inlineStr">
        <is>
          <t>A 22150-2025</t>
        </is>
      </c>
      <c r="B204" s="1" t="n">
        <v>45785.56398148148</v>
      </c>
      <c r="C204" s="1" t="n">
        <v>45973</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31604-2023</t>
        </is>
      </c>
      <c r="B205" s="1" t="n">
        <v>45117.50368055556</v>
      </c>
      <c r="C205" s="1" t="n">
        <v>45973</v>
      </c>
      <c r="D205" t="inlineStr">
        <is>
          <t>UPPSALA LÄN</t>
        </is>
      </c>
      <c r="E205" t="inlineStr">
        <is>
          <t>ENKÖPING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33955-2024</t>
        </is>
      </c>
      <c r="B206" s="1" t="n">
        <v>45523.46952546296</v>
      </c>
      <c r="C206" s="1" t="n">
        <v>45973</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6172-2023</t>
        </is>
      </c>
      <c r="B207" s="1" t="n">
        <v>44964.68663194445</v>
      </c>
      <c r="C207" s="1" t="n">
        <v>45973</v>
      </c>
      <c r="D207" t="inlineStr">
        <is>
          <t>UPPSALA LÄN</t>
        </is>
      </c>
      <c r="E207" t="inlineStr">
        <is>
          <t>ENKÖPING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10409-2025</t>
        </is>
      </c>
      <c r="B208" s="1" t="n">
        <v>45720.631875</v>
      </c>
      <c r="C208" s="1" t="n">
        <v>45973</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59602-2024</t>
        </is>
      </c>
      <c r="B209" s="1" t="n">
        <v>45638</v>
      </c>
      <c r="C209" s="1" t="n">
        <v>45973</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14243-2025</t>
        </is>
      </c>
      <c r="B210" s="1" t="n">
        <v>45740.61288194444</v>
      </c>
      <c r="C210" s="1" t="n">
        <v>45973</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19488-2022</t>
        </is>
      </c>
      <c r="B211" s="1" t="n">
        <v>44693</v>
      </c>
      <c r="C211" s="1" t="n">
        <v>45973</v>
      </c>
      <c r="D211" t="inlineStr">
        <is>
          <t>UPPSALA LÄN</t>
        </is>
      </c>
      <c r="E211" t="inlineStr">
        <is>
          <t>ENKÖPING</t>
        </is>
      </c>
      <c r="G211" t="n">
        <v>7.8</v>
      </c>
      <c r="H211" t="n">
        <v>0</v>
      </c>
      <c r="I211" t="n">
        <v>0</v>
      </c>
      <c r="J211" t="n">
        <v>0</v>
      </c>
      <c r="K211" t="n">
        <v>0</v>
      </c>
      <c r="L211" t="n">
        <v>0</v>
      </c>
      <c r="M211" t="n">
        <v>0</v>
      </c>
      <c r="N211" t="n">
        <v>0</v>
      </c>
      <c r="O211" t="n">
        <v>0</v>
      </c>
      <c r="P211" t="n">
        <v>0</v>
      </c>
      <c r="Q211" t="n">
        <v>0</v>
      </c>
      <c r="R211" s="2" t="inlineStr"/>
    </row>
    <row r="212" ht="15" customHeight="1">
      <c r="A212" t="inlineStr">
        <is>
          <t>A 22156-2025</t>
        </is>
      </c>
      <c r="B212" s="1" t="n">
        <v>45785.57512731481</v>
      </c>
      <c r="C212" s="1" t="n">
        <v>45973</v>
      </c>
      <c r="D212" t="inlineStr">
        <is>
          <t>UPPSALA LÄN</t>
        </is>
      </c>
      <c r="E212" t="inlineStr">
        <is>
          <t>ENKÖPING</t>
        </is>
      </c>
      <c r="G212" t="n">
        <v>0.9</v>
      </c>
      <c r="H212" t="n">
        <v>0</v>
      </c>
      <c r="I212" t="n">
        <v>0</v>
      </c>
      <c r="J212" t="n">
        <v>0</v>
      </c>
      <c r="K212" t="n">
        <v>0</v>
      </c>
      <c r="L212" t="n">
        <v>0</v>
      </c>
      <c r="M212" t="n">
        <v>0</v>
      </c>
      <c r="N212" t="n">
        <v>0</v>
      </c>
      <c r="O212" t="n">
        <v>0</v>
      </c>
      <c r="P212" t="n">
        <v>0</v>
      </c>
      <c r="Q212" t="n">
        <v>0</v>
      </c>
      <c r="R212" s="2" t="inlineStr"/>
    </row>
    <row r="213" ht="15" customHeight="1">
      <c r="A213" t="inlineStr">
        <is>
          <t>A 69344-2021</t>
        </is>
      </c>
      <c r="B213" s="1" t="n">
        <v>44531</v>
      </c>
      <c r="C213" s="1" t="n">
        <v>45973</v>
      </c>
      <c r="D213" t="inlineStr">
        <is>
          <t>UPPSALA LÄN</t>
        </is>
      </c>
      <c r="E213" t="inlineStr">
        <is>
          <t>ENKÖPING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30087-2024</t>
        </is>
      </c>
      <c r="B214" s="1" t="n">
        <v>45489.39447916667</v>
      </c>
      <c r="C214" s="1" t="n">
        <v>45973</v>
      </c>
      <c r="D214" t="inlineStr">
        <is>
          <t>UPPSALA LÄN</t>
        </is>
      </c>
      <c r="E214" t="inlineStr">
        <is>
          <t>ENKÖPING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69567-2020</t>
        </is>
      </c>
      <c r="B215" s="1" t="n">
        <v>44194</v>
      </c>
      <c r="C215" s="1" t="n">
        <v>45973</v>
      </c>
      <c r="D215" t="inlineStr">
        <is>
          <t>UPPSALA LÄN</t>
        </is>
      </c>
      <c r="E215" t="inlineStr">
        <is>
          <t>ENKÖPING</t>
        </is>
      </c>
      <c r="G215" t="n">
        <v>1.6</v>
      </c>
      <c r="H215" t="n">
        <v>0</v>
      </c>
      <c r="I215" t="n">
        <v>0</v>
      </c>
      <c r="J215" t="n">
        <v>0</v>
      </c>
      <c r="K215" t="n">
        <v>0</v>
      </c>
      <c r="L215" t="n">
        <v>0</v>
      </c>
      <c r="M215" t="n">
        <v>0</v>
      </c>
      <c r="N215" t="n">
        <v>0</v>
      </c>
      <c r="O215" t="n">
        <v>0</v>
      </c>
      <c r="P215" t="n">
        <v>0</v>
      </c>
      <c r="Q215" t="n">
        <v>0</v>
      </c>
      <c r="R215" s="2" t="inlineStr"/>
    </row>
    <row r="216" ht="15" customHeight="1">
      <c r="A216" t="inlineStr">
        <is>
          <t>A 22677-2025</t>
        </is>
      </c>
      <c r="B216" s="1" t="n">
        <v>45789.49515046296</v>
      </c>
      <c r="C216" s="1" t="n">
        <v>45973</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22679-2025</t>
        </is>
      </c>
      <c r="B217" s="1" t="n">
        <v>45789.49747685185</v>
      </c>
      <c r="C217" s="1" t="n">
        <v>45973</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22729-2025</t>
        </is>
      </c>
      <c r="B218" s="1" t="n">
        <v>45789.57790509259</v>
      </c>
      <c r="C218" s="1" t="n">
        <v>45973</v>
      </c>
      <c r="D218" t="inlineStr">
        <is>
          <t>UPPSALA LÄN</t>
        </is>
      </c>
      <c r="E218" t="inlineStr">
        <is>
          <t>ENKÖPING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41826-2024</t>
        </is>
      </c>
      <c r="B219" s="1" t="n">
        <v>45561</v>
      </c>
      <c r="C219" s="1" t="n">
        <v>45973</v>
      </c>
      <c r="D219" t="inlineStr">
        <is>
          <t>UPPSALA LÄN</t>
        </is>
      </c>
      <c r="E219" t="inlineStr">
        <is>
          <t>ENKÖPING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22786-2025</t>
        </is>
      </c>
      <c r="B220" s="1" t="n">
        <v>45789.64643518518</v>
      </c>
      <c r="C220" s="1" t="n">
        <v>45973</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22795-2025</t>
        </is>
      </c>
      <c r="B221" s="1" t="n">
        <v>45789.65944444444</v>
      </c>
      <c r="C221" s="1" t="n">
        <v>45973</v>
      </c>
      <c r="D221" t="inlineStr">
        <is>
          <t>UPPSALA LÄN</t>
        </is>
      </c>
      <c r="E221" t="inlineStr">
        <is>
          <t>ENKÖPING</t>
        </is>
      </c>
      <c r="G221" t="n">
        <v>10.4</v>
      </c>
      <c r="H221" t="n">
        <v>0</v>
      </c>
      <c r="I221" t="n">
        <v>0</v>
      </c>
      <c r="J221" t="n">
        <v>0</v>
      </c>
      <c r="K221" t="n">
        <v>0</v>
      </c>
      <c r="L221" t="n">
        <v>0</v>
      </c>
      <c r="M221" t="n">
        <v>0</v>
      </c>
      <c r="N221" t="n">
        <v>0</v>
      </c>
      <c r="O221" t="n">
        <v>0</v>
      </c>
      <c r="P221" t="n">
        <v>0</v>
      </c>
      <c r="Q221" t="n">
        <v>0</v>
      </c>
      <c r="R221" s="2" t="inlineStr"/>
    </row>
    <row r="222" ht="15" customHeight="1">
      <c r="A222" t="inlineStr">
        <is>
          <t>A 16916-2022</t>
        </is>
      </c>
      <c r="B222" s="1" t="n">
        <v>44676</v>
      </c>
      <c r="C222" s="1" t="n">
        <v>45973</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22802-2025</t>
        </is>
      </c>
      <c r="B223" s="1" t="n">
        <v>45789.6686574074</v>
      </c>
      <c r="C223" s="1" t="n">
        <v>45973</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21686-2022</t>
        </is>
      </c>
      <c r="B224" s="1" t="n">
        <v>44707</v>
      </c>
      <c r="C224" s="1" t="n">
        <v>45973</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29479-2022</t>
        </is>
      </c>
      <c r="B225" s="1" t="n">
        <v>44753.57265046296</v>
      </c>
      <c r="C225" s="1" t="n">
        <v>45973</v>
      </c>
      <c r="D225" t="inlineStr">
        <is>
          <t>UPPSALA LÄN</t>
        </is>
      </c>
      <c r="E225" t="inlineStr">
        <is>
          <t>ENKÖPING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44115-2024</t>
        </is>
      </c>
      <c r="B226" s="1" t="n">
        <v>45572</v>
      </c>
      <c r="C226" s="1" t="n">
        <v>45973</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22680-2025</t>
        </is>
      </c>
      <c r="B227" s="1" t="n">
        <v>45789.5005787037</v>
      </c>
      <c r="C227" s="1" t="n">
        <v>45973</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6981-2025</t>
        </is>
      </c>
      <c r="B228" s="1" t="n">
        <v>45701</v>
      </c>
      <c r="C228" s="1" t="n">
        <v>45973</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22770-2025</t>
        </is>
      </c>
      <c r="B229" s="1" t="n">
        <v>45789.63454861111</v>
      </c>
      <c r="C229" s="1" t="n">
        <v>45973</v>
      </c>
      <c r="D229" t="inlineStr">
        <is>
          <t>UPPSALA LÄN</t>
        </is>
      </c>
      <c r="E229" t="inlineStr">
        <is>
          <t>ENKÖPING</t>
        </is>
      </c>
      <c r="G229" t="n">
        <v>4.5</v>
      </c>
      <c r="H229" t="n">
        <v>0</v>
      </c>
      <c r="I229" t="n">
        <v>0</v>
      </c>
      <c r="J229" t="n">
        <v>0</v>
      </c>
      <c r="K229" t="n">
        <v>0</v>
      </c>
      <c r="L229" t="n">
        <v>0</v>
      </c>
      <c r="M229" t="n">
        <v>0</v>
      </c>
      <c r="N229" t="n">
        <v>0</v>
      </c>
      <c r="O229" t="n">
        <v>0</v>
      </c>
      <c r="P229" t="n">
        <v>0</v>
      </c>
      <c r="Q229" t="n">
        <v>0</v>
      </c>
      <c r="R229" s="2" t="inlineStr"/>
    </row>
    <row r="230" ht="15" customHeight="1">
      <c r="A230" t="inlineStr">
        <is>
          <t>A 22725-2025</t>
        </is>
      </c>
      <c r="B230" s="1" t="n">
        <v>45789.57371527778</v>
      </c>
      <c r="C230" s="1" t="n">
        <v>45973</v>
      </c>
      <c r="D230" t="inlineStr">
        <is>
          <t>UPPSALA LÄN</t>
        </is>
      </c>
      <c r="E230" t="inlineStr">
        <is>
          <t>ENKÖPING</t>
        </is>
      </c>
      <c r="G230" t="n">
        <v>4.8</v>
      </c>
      <c r="H230" t="n">
        <v>0</v>
      </c>
      <c r="I230" t="n">
        <v>0</v>
      </c>
      <c r="J230" t="n">
        <v>0</v>
      </c>
      <c r="K230" t="n">
        <v>0</v>
      </c>
      <c r="L230" t="n">
        <v>0</v>
      </c>
      <c r="M230" t="n">
        <v>0</v>
      </c>
      <c r="N230" t="n">
        <v>0</v>
      </c>
      <c r="O230" t="n">
        <v>0</v>
      </c>
      <c r="P230" t="n">
        <v>0</v>
      </c>
      <c r="Q230" t="n">
        <v>0</v>
      </c>
      <c r="R230" s="2" t="inlineStr"/>
    </row>
    <row r="231" ht="15" customHeight="1">
      <c r="A231" t="inlineStr">
        <is>
          <t>A 49525-2021</t>
        </is>
      </c>
      <c r="B231" s="1" t="n">
        <v>44455</v>
      </c>
      <c r="C231" s="1" t="n">
        <v>45973</v>
      </c>
      <c r="D231" t="inlineStr">
        <is>
          <t>UPPSALA LÄN</t>
        </is>
      </c>
      <c r="E231" t="inlineStr">
        <is>
          <t>ENKÖPING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6298-2021</t>
        </is>
      </c>
      <c r="B232" s="1" t="n">
        <v>44235</v>
      </c>
      <c r="C232" s="1" t="n">
        <v>45973</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22981-2025</t>
        </is>
      </c>
      <c r="B233" s="1" t="n">
        <v>45790.56964120371</v>
      </c>
      <c r="C233" s="1" t="n">
        <v>45973</v>
      </c>
      <c r="D233" t="inlineStr">
        <is>
          <t>UPPSALA LÄN</t>
        </is>
      </c>
      <c r="E233" t="inlineStr">
        <is>
          <t>ENKÖPING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68123-2021</t>
        </is>
      </c>
      <c r="B234" s="1" t="n">
        <v>44526.39126157408</v>
      </c>
      <c r="C234" s="1" t="n">
        <v>45973</v>
      </c>
      <c r="D234" t="inlineStr">
        <is>
          <t>UPPSALA LÄN</t>
        </is>
      </c>
      <c r="E234" t="inlineStr">
        <is>
          <t>ENKÖPING</t>
        </is>
      </c>
      <c r="G234" t="n">
        <v>0.9</v>
      </c>
      <c r="H234" t="n">
        <v>0</v>
      </c>
      <c r="I234" t="n">
        <v>0</v>
      </c>
      <c r="J234" t="n">
        <v>0</v>
      </c>
      <c r="K234" t="n">
        <v>0</v>
      </c>
      <c r="L234" t="n">
        <v>0</v>
      </c>
      <c r="M234" t="n">
        <v>0</v>
      </c>
      <c r="N234" t="n">
        <v>0</v>
      </c>
      <c r="O234" t="n">
        <v>0</v>
      </c>
      <c r="P234" t="n">
        <v>0</v>
      </c>
      <c r="Q234" t="n">
        <v>0</v>
      </c>
      <c r="R234" s="2" t="inlineStr"/>
    </row>
    <row r="235" ht="15" customHeight="1">
      <c r="A235" t="inlineStr">
        <is>
          <t>A 22793-2025</t>
        </is>
      </c>
      <c r="B235" s="1" t="n">
        <v>45789.65693287037</v>
      </c>
      <c r="C235" s="1" t="n">
        <v>45973</v>
      </c>
      <c r="D235" t="inlineStr">
        <is>
          <t>UPPSALA LÄN</t>
        </is>
      </c>
      <c r="E235" t="inlineStr">
        <is>
          <t>ENKÖPING</t>
        </is>
      </c>
      <c r="G235" t="n">
        <v>3.2</v>
      </c>
      <c r="H235" t="n">
        <v>0</v>
      </c>
      <c r="I235" t="n">
        <v>0</v>
      </c>
      <c r="J235" t="n">
        <v>0</v>
      </c>
      <c r="K235" t="n">
        <v>0</v>
      </c>
      <c r="L235" t="n">
        <v>0</v>
      </c>
      <c r="M235" t="n">
        <v>0</v>
      </c>
      <c r="N235" t="n">
        <v>0</v>
      </c>
      <c r="O235" t="n">
        <v>0</v>
      </c>
      <c r="P235" t="n">
        <v>0</v>
      </c>
      <c r="Q235" t="n">
        <v>0</v>
      </c>
      <c r="R235" s="2" t="inlineStr"/>
    </row>
    <row r="236" ht="15" customHeight="1">
      <c r="A236" t="inlineStr">
        <is>
          <t>A 22800-2025</t>
        </is>
      </c>
      <c r="B236" s="1" t="n">
        <v>45789.6669212963</v>
      </c>
      <c r="C236" s="1" t="n">
        <v>45973</v>
      </c>
      <c r="D236" t="inlineStr">
        <is>
          <t>UPPSALA LÄN</t>
        </is>
      </c>
      <c r="E236" t="inlineStr">
        <is>
          <t>ENKÖPING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30634-2022</t>
        </is>
      </c>
      <c r="B237" s="1" t="n">
        <v>44763.45711805556</v>
      </c>
      <c r="C237" s="1" t="n">
        <v>45973</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38941-2025</t>
        </is>
      </c>
      <c r="B238" s="1" t="n">
        <v>45887</v>
      </c>
      <c r="C238" s="1" t="n">
        <v>45973</v>
      </c>
      <c r="D238" t="inlineStr">
        <is>
          <t>UPPSALA LÄN</t>
        </is>
      </c>
      <c r="E238" t="inlineStr">
        <is>
          <t>ENKÖPING</t>
        </is>
      </c>
      <c r="F238" t="inlineStr">
        <is>
          <t>Övriga statliga verk och myndigheter</t>
        </is>
      </c>
      <c r="G238" t="n">
        <v>0.6</v>
      </c>
      <c r="H238" t="n">
        <v>0</v>
      </c>
      <c r="I238" t="n">
        <v>0</v>
      </c>
      <c r="J238" t="n">
        <v>0</v>
      </c>
      <c r="K238" t="n">
        <v>0</v>
      </c>
      <c r="L238" t="n">
        <v>0</v>
      </c>
      <c r="M238" t="n">
        <v>0</v>
      </c>
      <c r="N238" t="n">
        <v>0</v>
      </c>
      <c r="O238" t="n">
        <v>0</v>
      </c>
      <c r="P238" t="n">
        <v>0</v>
      </c>
      <c r="Q238" t="n">
        <v>0</v>
      </c>
      <c r="R238" s="2" t="inlineStr"/>
    </row>
    <row r="239" ht="15" customHeight="1">
      <c r="A239" t="inlineStr">
        <is>
          <t>A 17729-2023</t>
        </is>
      </c>
      <c r="B239" s="1" t="n">
        <v>45037</v>
      </c>
      <c r="C239" s="1" t="n">
        <v>45973</v>
      </c>
      <c r="D239" t="inlineStr">
        <is>
          <t>UPPSALA LÄN</t>
        </is>
      </c>
      <c r="E239" t="inlineStr">
        <is>
          <t>ENKÖPING</t>
        </is>
      </c>
      <c r="G239" t="n">
        <v>10.2</v>
      </c>
      <c r="H239" t="n">
        <v>0</v>
      </c>
      <c r="I239" t="n">
        <v>0</v>
      </c>
      <c r="J239" t="n">
        <v>0</v>
      </c>
      <c r="K239" t="n">
        <v>0</v>
      </c>
      <c r="L239" t="n">
        <v>0</v>
      </c>
      <c r="M239" t="n">
        <v>0</v>
      </c>
      <c r="N239" t="n">
        <v>0</v>
      </c>
      <c r="O239" t="n">
        <v>0</v>
      </c>
      <c r="P239" t="n">
        <v>0</v>
      </c>
      <c r="Q239" t="n">
        <v>0</v>
      </c>
      <c r="R239" s="2" t="inlineStr"/>
    </row>
    <row r="240" ht="15" customHeight="1">
      <c r="A240" t="inlineStr">
        <is>
          <t>A 3300-2025</t>
        </is>
      </c>
      <c r="B240" s="1" t="n">
        <v>45679</v>
      </c>
      <c r="C240" s="1" t="n">
        <v>45973</v>
      </c>
      <c r="D240" t="inlineStr">
        <is>
          <t>UPPSALA LÄN</t>
        </is>
      </c>
      <c r="E240" t="inlineStr">
        <is>
          <t>ENKÖPING</t>
        </is>
      </c>
      <c r="G240" t="n">
        <v>8.9</v>
      </c>
      <c r="H240" t="n">
        <v>0</v>
      </c>
      <c r="I240" t="n">
        <v>0</v>
      </c>
      <c r="J240" t="n">
        <v>0</v>
      </c>
      <c r="K240" t="n">
        <v>0</v>
      </c>
      <c r="L240" t="n">
        <v>0</v>
      </c>
      <c r="M240" t="n">
        <v>0</v>
      </c>
      <c r="N240" t="n">
        <v>0</v>
      </c>
      <c r="O240" t="n">
        <v>0</v>
      </c>
      <c r="P240" t="n">
        <v>0</v>
      </c>
      <c r="Q240" t="n">
        <v>0</v>
      </c>
      <c r="R240" s="2" t="inlineStr"/>
    </row>
    <row r="241" ht="15" customHeight="1">
      <c r="A241" t="inlineStr">
        <is>
          <t>A 5749-2025</t>
        </is>
      </c>
      <c r="B241" s="1" t="n">
        <v>45694</v>
      </c>
      <c r="C241" s="1" t="n">
        <v>45973</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8020-2022</t>
        </is>
      </c>
      <c r="B242" s="1" t="n">
        <v>44609</v>
      </c>
      <c r="C242" s="1" t="n">
        <v>45973</v>
      </c>
      <c r="D242" t="inlineStr">
        <is>
          <t>UPPSALA LÄN</t>
        </is>
      </c>
      <c r="E242" t="inlineStr">
        <is>
          <t>ENKÖPING</t>
        </is>
      </c>
      <c r="G242" t="n">
        <v>6</v>
      </c>
      <c r="H242" t="n">
        <v>0</v>
      </c>
      <c r="I242" t="n">
        <v>0</v>
      </c>
      <c r="J242" t="n">
        <v>0</v>
      </c>
      <c r="K242" t="n">
        <v>0</v>
      </c>
      <c r="L242" t="n">
        <v>0</v>
      </c>
      <c r="M242" t="n">
        <v>0</v>
      </c>
      <c r="N242" t="n">
        <v>0</v>
      </c>
      <c r="O242" t="n">
        <v>0</v>
      </c>
      <c r="P242" t="n">
        <v>0</v>
      </c>
      <c r="Q242" t="n">
        <v>0</v>
      </c>
      <c r="R242" s="2" t="inlineStr"/>
    </row>
    <row r="243" ht="15" customHeight="1">
      <c r="A243" t="inlineStr">
        <is>
          <t>A 34805-2024</t>
        </is>
      </c>
      <c r="B243" s="1" t="n">
        <v>45526</v>
      </c>
      <c r="C243" s="1" t="n">
        <v>45973</v>
      </c>
      <c r="D243" t="inlineStr">
        <is>
          <t>UPPSALA LÄN</t>
        </is>
      </c>
      <c r="E243" t="inlineStr">
        <is>
          <t>ENKÖPING</t>
        </is>
      </c>
      <c r="G243" t="n">
        <v>3.6</v>
      </c>
      <c r="H243" t="n">
        <v>0</v>
      </c>
      <c r="I243" t="n">
        <v>0</v>
      </c>
      <c r="J243" t="n">
        <v>0</v>
      </c>
      <c r="K243" t="n">
        <v>0</v>
      </c>
      <c r="L243" t="n">
        <v>0</v>
      </c>
      <c r="M243" t="n">
        <v>0</v>
      </c>
      <c r="N243" t="n">
        <v>0</v>
      </c>
      <c r="O243" t="n">
        <v>0</v>
      </c>
      <c r="P243" t="n">
        <v>0</v>
      </c>
      <c r="Q243" t="n">
        <v>0</v>
      </c>
      <c r="R243" s="2" t="inlineStr"/>
    </row>
    <row r="244" ht="15" customHeight="1">
      <c r="A244" t="inlineStr">
        <is>
          <t>A 59441-2020</t>
        </is>
      </c>
      <c r="B244" s="1" t="n">
        <v>44148</v>
      </c>
      <c r="C244" s="1" t="n">
        <v>45973</v>
      </c>
      <c r="D244" t="inlineStr">
        <is>
          <t>UPPSALA LÄN</t>
        </is>
      </c>
      <c r="E244" t="inlineStr">
        <is>
          <t>ENKÖPING</t>
        </is>
      </c>
      <c r="G244" t="n">
        <v>4.8</v>
      </c>
      <c r="H244" t="n">
        <v>0</v>
      </c>
      <c r="I244" t="n">
        <v>0</v>
      </c>
      <c r="J244" t="n">
        <v>0</v>
      </c>
      <c r="K244" t="n">
        <v>0</v>
      </c>
      <c r="L244" t="n">
        <v>0</v>
      </c>
      <c r="M244" t="n">
        <v>0</v>
      </c>
      <c r="N244" t="n">
        <v>0</v>
      </c>
      <c r="O244" t="n">
        <v>0</v>
      </c>
      <c r="P244" t="n">
        <v>0</v>
      </c>
      <c r="Q244" t="n">
        <v>0</v>
      </c>
      <c r="R244" s="2" t="inlineStr"/>
    </row>
    <row r="245" ht="15" customHeight="1">
      <c r="A245" t="inlineStr">
        <is>
          <t>A 314-2025</t>
        </is>
      </c>
      <c r="B245" s="1" t="n">
        <v>45656</v>
      </c>
      <c r="C245" s="1" t="n">
        <v>45973</v>
      </c>
      <c r="D245" t="inlineStr">
        <is>
          <t>UPPSALA LÄN</t>
        </is>
      </c>
      <c r="E245" t="inlineStr">
        <is>
          <t>ENKÖPING</t>
        </is>
      </c>
      <c r="G245" t="n">
        <v>9</v>
      </c>
      <c r="H245" t="n">
        <v>0</v>
      </c>
      <c r="I245" t="n">
        <v>0</v>
      </c>
      <c r="J245" t="n">
        <v>0</v>
      </c>
      <c r="K245" t="n">
        <v>0</v>
      </c>
      <c r="L245" t="n">
        <v>0</v>
      </c>
      <c r="M245" t="n">
        <v>0</v>
      </c>
      <c r="N245" t="n">
        <v>0</v>
      </c>
      <c r="O245" t="n">
        <v>0</v>
      </c>
      <c r="P245" t="n">
        <v>0</v>
      </c>
      <c r="Q245" t="n">
        <v>0</v>
      </c>
      <c r="R245" s="2" t="inlineStr"/>
    </row>
    <row r="246" ht="15" customHeight="1">
      <c r="A246" t="inlineStr">
        <is>
          <t>A 39439-2025</t>
        </is>
      </c>
      <c r="B246" s="1" t="n">
        <v>45889</v>
      </c>
      <c r="C246" s="1" t="n">
        <v>45973</v>
      </c>
      <c r="D246" t="inlineStr">
        <is>
          <t>UPPSALA LÄN</t>
        </is>
      </c>
      <c r="E246" t="inlineStr">
        <is>
          <t>ENKÖPING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10831-2024</t>
        </is>
      </c>
      <c r="B247" s="1" t="n">
        <v>45369</v>
      </c>
      <c r="C247" s="1" t="n">
        <v>45973</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57328-2024</t>
        </is>
      </c>
      <c r="B248" s="1" t="n">
        <v>45629.62798611111</v>
      </c>
      <c r="C248" s="1" t="n">
        <v>45973</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5712-2025</t>
        </is>
      </c>
      <c r="B249" s="1" t="n">
        <v>45694</v>
      </c>
      <c r="C249" s="1" t="n">
        <v>45973</v>
      </c>
      <c r="D249" t="inlineStr">
        <is>
          <t>UPPSALA LÄN</t>
        </is>
      </c>
      <c r="E249" t="inlineStr">
        <is>
          <t>ENKÖPING</t>
        </is>
      </c>
      <c r="G249" t="n">
        <v>5.1</v>
      </c>
      <c r="H249" t="n">
        <v>0</v>
      </c>
      <c r="I249" t="n">
        <v>0</v>
      </c>
      <c r="J249" t="n">
        <v>0</v>
      </c>
      <c r="K249" t="n">
        <v>0</v>
      </c>
      <c r="L249" t="n">
        <v>0</v>
      </c>
      <c r="M249" t="n">
        <v>0</v>
      </c>
      <c r="N249" t="n">
        <v>0</v>
      </c>
      <c r="O249" t="n">
        <v>0</v>
      </c>
      <c r="P249" t="n">
        <v>0</v>
      </c>
      <c r="Q249" t="n">
        <v>0</v>
      </c>
      <c r="R249" s="2" t="inlineStr"/>
    </row>
    <row r="250" ht="15" customHeight="1">
      <c r="A250" t="inlineStr">
        <is>
          <t>A 51120-2023</t>
        </is>
      </c>
      <c r="B250" s="1" t="n">
        <v>45219.3088425926</v>
      </c>
      <c r="C250" s="1" t="n">
        <v>45973</v>
      </c>
      <c r="D250" t="inlineStr">
        <is>
          <t>UPPSALA LÄN</t>
        </is>
      </c>
      <c r="E250" t="inlineStr">
        <is>
          <t>ENKÖPING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45956-2024</t>
        </is>
      </c>
      <c r="B251" s="1" t="n">
        <v>45580</v>
      </c>
      <c r="C251" s="1" t="n">
        <v>45973</v>
      </c>
      <c r="D251" t="inlineStr">
        <is>
          <t>UPPSALA LÄN</t>
        </is>
      </c>
      <c r="E251" t="inlineStr">
        <is>
          <t>ENKÖPING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26319-2022</t>
        </is>
      </c>
      <c r="B252" s="1" t="n">
        <v>44735</v>
      </c>
      <c r="C252" s="1" t="n">
        <v>45973</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54357-2023</t>
        </is>
      </c>
      <c r="B253" s="1" t="n">
        <v>45225</v>
      </c>
      <c r="C253" s="1" t="n">
        <v>45973</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4203-2021</t>
        </is>
      </c>
      <c r="B254" s="1" t="n">
        <v>44223</v>
      </c>
      <c r="C254" s="1" t="n">
        <v>45973</v>
      </c>
      <c r="D254" t="inlineStr">
        <is>
          <t>UPPSALA LÄN</t>
        </is>
      </c>
      <c r="E254" t="inlineStr">
        <is>
          <t>ENKÖPING</t>
        </is>
      </c>
      <c r="G254" t="n">
        <v>11.6</v>
      </c>
      <c r="H254" t="n">
        <v>0</v>
      </c>
      <c r="I254" t="n">
        <v>0</v>
      </c>
      <c r="J254" t="n">
        <v>0</v>
      </c>
      <c r="K254" t="n">
        <v>0</v>
      </c>
      <c r="L254" t="n">
        <v>0</v>
      </c>
      <c r="M254" t="n">
        <v>0</v>
      </c>
      <c r="N254" t="n">
        <v>0</v>
      </c>
      <c r="O254" t="n">
        <v>0</v>
      </c>
      <c r="P254" t="n">
        <v>0</v>
      </c>
      <c r="Q254" t="n">
        <v>0</v>
      </c>
      <c r="R254" s="2" t="inlineStr"/>
    </row>
    <row r="255" ht="15" customHeight="1">
      <c r="A255" t="inlineStr">
        <is>
          <t>A 11627-2025</t>
        </is>
      </c>
      <c r="B255" s="1" t="n">
        <v>45727</v>
      </c>
      <c r="C255" s="1" t="n">
        <v>45973</v>
      </c>
      <c r="D255" t="inlineStr">
        <is>
          <t>UPPSALA LÄN</t>
        </is>
      </c>
      <c r="E255" t="inlineStr">
        <is>
          <t>ENKÖPING</t>
        </is>
      </c>
      <c r="G255" t="n">
        <v>5.5</v>
      </c>
      <c r="H255" t="n">
        <v>0</v>
      </c>
      <c r="I255" t="n">
        <v>0</v>
      </c>
      <c r="J255" t="n">
        <v>0</v>
      </c>
      <c r="K255" t="n">
        <v>0</v>
      </c>
      <c r="L255" t="n">
        <v>0</v>
      </c>
      <c r="M255" t="n">
        <v>0</v>
      </c>
      <c r="N255" t="n">
        <v>0</v>
      </c>
      <c r="O255" t="n">
        <v>0</v>
      </c>
      <c r="P255" t="n">
        <v>0</v>
      </c>
      <c r="Q255" t="n">
        <v>0</v>
      </c>
      <c r="R255" s="2" t="inlineStr"/>
    </row>
    <row r="256" ht="15" customHeight="1">
      <c r="A256" t="inlineStr">
        <is>
          <t>A 74090-2021</t>
        </is>
      </c>
      <c r="B256" s="1" t="n">
        <v>44557</v>
      </c>
      <c r="C256" s="1" t="n">
        <v>45973</v>
      </c>
      <c r="D256" t="inlineStr">
        <is>
          <t>UPPSALA LÄN</t>
        </is>
      </c>
      <c r="E256" t="inlineStr">
        <is>
          <t>ENKÖPING</t>
        </is>
      </c>
      <c r="G256" t="n">
        <v>2.1</v>
      </c>
      <c r="H256" t="n">
        <v>0</v>
      </c>
      <c r="I256" t="n">
        <v>0</v>
      </c>
      <c r="J256" t="n">
        <v>0</v>
      </c>
      <c r="K256" t="n">
        <v>0</v>
      </c>
      <c r="L256" t="n">
        <v>0</v>
      </c>
      <c r="M256" t="n">
        <v>0</v>
      </c>
      <c r="N256" t="n">
        <v>0</v>
      </c>
      <c r="O256" t="n">
        <v>0</v>
      </c>
      <c r="P256" t="n">
        <v>0</v>
      </c>
      <c r="Q256" t="n">
        <v>0</v>
      </c>
      <c r="R256" s="2" t="inlineStr"/>
    </row>
    <row r="257" ht="15" customHeight="1">
      <c r="A257" t="inlineStr">
        <is>
          <t>A 13816-2021</t>
        </is>
      </c>
      <c r="B257" s="1" t="n">
        <v>44276</v>
      </c>
      <c r="C257" s="1" t="n">
        <v>45973</v>
      </c>
      <c r="D257" t="inlineStr">
        <is>
          <t>UPPSALA LÄN</t>
        </is>
      </c>
      <c r="E257" t="inlineStr">
        <is>
          <t>ENKÖPING</t>
        </is>
      </c>
      <c r="G257" t="n">
        <v>0.4</v>
      </c>
      <c r="H257" t="n">
        <v>0</v>
      </c>
      <c r="I257" t="n">
        <v>0</v>
      </c>
      <c r="J257" t="n">
        <v>0</v>
      </c>
      <c r="K257" t="n">
        <v>0</v>
      </c>
      <c r="L257" t="n">
        <v>0</v>
      </c>
      <c r="M257" t="n">
        <v>0</v>
      </c>
      <c r="N257" t="n">
        <v>0</v>
      </c>
      <c r="O257" t="n">
        <v>0</v>
      </c>
      <c r="P257" t="n">
        <v>0</v>
      </c>
      <c r="Q257" t="n">
        <v>0</v>
      </c>
      <c r="R257" s="2" t="inlineStr"/>
    </row>
    <row r="258" ht="15" customHeight="1">
      <c r="A258" t="inlineStr">
        <is>
          <t>A 56837-2024</t>
        </is>
      </c>
      <c r="B258" s="1" t="n">
        <v>45628</v>
      </c>
      <c r="C258" s="1" t="n">
        <v>45973</v>
      </c>
      <c r="D258" t="inlineStr">
        <is>
          <t>UPPSALA LÄN</t>
        </is>
      </c>
      <c r="E258" t="inlineStr">
        <is>
          <t>ENKÖPING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63402-2023</t>
        </is>
      </c>
      <c r="B259" s="1" t="n">
        <v>45274.50646990741</v>
      </c>
      <c r="C259" s="1" t="n">
        <v>45973</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53208-2023</t>
        </is>
      </c>
      <c r="B260" s="1" t="n">
        <v>45226</v>
      </c>
      <c r="C260" s="1" t="n">
        <v>45973</v>
      </c>
      <c r="D260" t="inlineStr">
        <is>
          <t>UPPSALA LÄN</t>
        </is>
      </c>
      <c r="E260" t="inlineStr">
        <is>
          <t>ENKÖPING</t>
        </is>
      </c>
      <c r="G260" t="n">
        <v>4.3</v>
      </c>
      <c r="H260" t="n">
        <v>0</v>
      </c>
      <c r="I260" t="n">
        <v>0</v>
      </c>
      <c r="J260" t="n">
        <v>0</v>
      </c>
      <c r="K260" t="n">
        <v>0</v>
      </c>
      <c r="L260" t="n">
        <v>0</v>
      </c>
      <c r="M260" t="n">
        <v>0</v>
      </c>
      <c r="N260" t="n">
        <v>0</v>
      </c>
      <c r="O260" t="n">
        <v>0</v>
      </c>
      <c r="P260" t="n">
        <v>0</v>
      </c>
      <c r="Q260" t="n">
        <v>0</v>
      </c>
      <c r="R260" s="2" t="inlineStr"/>
    </row>
    <row r="261" ht="15" customHeight="1">
      <c r="A261" t="inlineStr">
        <is>
          <t>A 48424-2025</t>
        </is>
      </c>
      <c r="B261" s="1" t="n">
        <v>45934.69131944444</v>
      </c>
      <c r="C261" s="1" t="n">
        <v>45973</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55876-2024</t>
        </is>
      </c>
      <c r="B262" s="1" t="n">
        <v>45623.5546412037</v>
      </c>
      <c r="C262" s="1" t="n">
        <v>45973</v>
      </c>
      <c r="D262" t="inlineStr">
        <is>
          <t>UPPSALA LÄN</t>
        </is>
      </c>
      <c r="E262" t="inlineStr">
        <is>
          <t>ENKÖPING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39746-2025</t>
        </is>
      </c>
      <c r="B263" s="1" t="n">
        <v>45891</v>
      </c>
      <c r="C263" s="1" t="n">
        <v>45973</v>
      </c>
      <c r="D263" t="inlineStr">
        <is>
          <t>UPPSALA LÄN</t>
        </is>
      </c>
      <c r="E263" t="inlineStr">
        <is>
          <t>ENKÖPING</t>
        </is>
      </c>
      <c r="G263" t="n">
        <v>7.4</v>
      </c>
      <c r="H263" t="n">
        <v>0</v>
      </c>
      <c r="I263" t="n">
        <v>0</v>
      </c>
      <c r="J263" t="n">
        <v>0</v>
      </c>
      <c r="K263" t="n">
        <v>0</v>
      </c>
      <c r="L263" t="n">
        <v>0</v>
      </c>
      <c r="M263" t="n">
        <v>0</v>
      </c>
      <c r="N263" t="n">
        <v>0</v>
      </c>
      <c r="O263" t="n">
        <v>0</v>
      </c>
      <c r="P263" t="n">
        <v>0</v>
      </c>
      <c r="Q263" t="n">
        <v>0</v>
      </c>
      <c r="R263" s="2" t="inlineStr"/>
    </row>
    <row r="264" ht="15" customHeight="1">
      <c r="A264" t="inlineStr">
        <is>
          <t>A 48423-2025</t>
        </is>
      </c>
      <c r="B264" s="1" t="n">
        <v>45934.68024305555</v>
      </c>
      <c r="C264" s="1" t="n">
        <v>45973</v>
      </c>
      <c r="D264" t="inlineStr">
        <is>
          <t>UPPSALA LÄN</t>
        </is>
      </c>
      <c r="E264" t="inlineStr">
        <is>
          <t>ENKÖPING</t>
        </is>
      </c>
      <c r="G264" t="n">
        <v>4.3</v>
      </c>
      <c r="H264" t="n">
        <v>0</v>
      </c>
      <c r="I264" t="n">
        <v>0</v>
      </c>
      <c r="J264" t="n">
        <v>0</v>
      </c>
      <c r="K264" t="n">
        <v>0</v>
      </c>
      <c r="L264" t="n">
        <v>0</v>
      </c>
      <c r="M264" t="n">
        <v>0</v>
      </c>
      <c r="N264" t="n">
        <v>0</v>
      </c>
      <c r="O264" t="n">
        <v>0</v>
      </c>
      <c r="P264" t="n">
        <v>0</v>
      </c>
      <c r="Q264" t="n">
        <v>0</v>
      </c>
      <c r="R264" s="2" t="inlineStr"/>
    </row>
    <row r="265" ht="15" customHeight="1">
      <c r="A265" t="inlineStr">
        <is>
          <t>A 48678-2025</t>
        </is>
      </c>
      <c r="B265" s="1" t="n">
        <v>45936.59168981481</v>
      </c>
      <c r="C265" s="1" t="n">
        <v>45973</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25334-2023</t>
        </is>
      </c>
      <c r="B266" s="1" t="n">
        <v>45083</v>
      </c>
      <c r="C266" s="1" t="n">
        <v>45973</v>
      </c>
      <c r="D266" t="inlineStr">
        <is>
          <t>UPPSALA LÄN</t>
        </is>
      </c>
      <c r="E266" t="inlineStr">
        <is>
          <t>ENKÖPING</t>
        </is>
      </c>
      <c r="G266" t="n">
        <v>0.2</v>
      </c>
      <c r="H266" t="n">
        <v>0</v>
      </c>
      <c r="I266" t="n">
        <v>0</v>
      </c>
      <c r="J266" t="n">
        <v>0</v>
      </c>
      <c r="K266" t="n">
        <v>0</v>
      </c>
      <c r="L266" t="n">
        <v>0</v>
      </c>
      <c r="M266" t="n">
        <v>0</v>
      </c>
      <c r="N266" t="n">
        <v>0</v>
      </c>
      <c r="O266" t="n">
        <v>0</v>
      </c>
      <c r="P266" t="n">
        <v>0</v>
      </c>
      <c r="Q266" t="n">
        <v>0</v>
      </c>
      <c r="R266" s="2" t="inlineStr"/>
    </row>
    <row r="267" ht="15" customHeight="1">
      <c r="A267" t="inlineStr">
        <is>
          <t>A 33349-2024</t>
        </is>
      </c>
      <c r="B267" s="1" t="n">
        <v>45519</v>
      </c>
      <c r="C267" s="1" t="n">
        <v>45973</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18259-2025</t>
        </is>
      </c>
      <c r="B268" s="1" t="n">
        <v>45762</v>
      </c>
      <c r="C268" s="1" t="n">
        <v>45973</v>
      </c>
      <c r="D268" t="inlineStr">
        <is>
          <t>UPPSALA LÄN</t>
        </is>
      </c>
      <c r="E268" t="inlineStr">
        <is>
          <t>ENKÖPING</t>
        </is>
      </c>
      <c r="G268" t="n">
        <v>1.6</v>
      </c>
      <c r="H268" t="n">
        <v>0</v>
      </c>
      <c r="I268" t="n">
        <v>0</v>
      </c>
      <c r="J268" t="n">
        <v>0</v>
      </c>
      <c r="K268" t="n">
        <v>0</v>
      </c>
      <c r="L268" t="n">
        <v>0</v>
      </c>
      <c r="M268" t="n">
        <v>0</v>
      </c>
      <c r="N268" t="n">
        <v>0</v>
      </c>
      <c r="O268" t="n">
        <v>0</v>
      </c>
      <c r="P268" t="n">
        <v>0</v>
      </c>
      <c r="Q268" t="n">
        <v>0</v>
      </c>
      <c r="R268" s="2" t="inlineStr"/>
    </row>
    <row r="269" ht="15" customHeight="1">
      <c r="A269" t="inlineStr">
        <is>
          <t>A 49068-2025</t>
        </is>
      </c>
      <c r="B269" s="1" t="n">
        <v>45937.64766203704</v>
      </c>
      <c r="C269" s="1" t="n">
        <v>45973</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62158-2023</t>
        </is>
      </c>
      <c r="B270" s="1" t="n">
        <v>45267</v>
      </c>
      <c r="C270" s="1" t="n">
        <v>45973</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53587-2024</t>
        </is>
      </c>
      <c r="B271" s="1" t="n">
        <v>45614.66953703704</v>
      </c>
      <c r="C271" s="1" t="n">
        <v>45973</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60874-2023</t>
        </is>
      </c>
      <c r="B272" s="1" t="n">
        <v>45261.06280092592</v>
      </c>
      <c r="C272" s="1" t="n">
        <v>45973</v>
      </c>
      <c r="D272" t="inlineStr">
        <is>
          <t>UPPSALA LÄN</t>
        </is>
      </c>
      <c r="E272" t="inlineStr">
        <is>
          <t>ENKÖPING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49073-2025</t>
        </is>
      </c>
      <c r="B273" s="1" t="n">
        <v>45937.65512731481</v>
      </c>
      <c r="C273" s="1" t="n">
        <v>45973</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18583-2021</t>
        </is>
      </c>
      <c r="B274" s="1" t="n">
        <v>44306</v>
      </c>
      <c r="C274" s="1" t="n">
        <v>45973</v>
      </c>
      <c r="D274" t="inlineStr">
        <is>
          <t>UPPSALA LÄN</t>
        </is>
      </c>
      <c r="E274" t="inlineStr">
        <is>
          <t>ENKÖPING</t>
        </is>
      </c>
      <c r="G274" t="n">
        <v>0.4</v>
      </c>
      <c r="H274" t="n">
        <v>0</v>
      </c>
      <c r="I274" t="n">
        <v>0</v>
      </c>
      <c r="J274" t="n">
        <v>0</v>
      </c>
      <c r="K274" t="n">
        <v>0</v>
      </c>
      <c r="L274" t="n">
        <v>0</v>
      </c>
      <c r="M274" t="n">
        <v>0</v>
      </c>
      <c r="N274" t="n">
        <v>0</v>
      </c>
      <c r="O274" t="n">
        <v>0</v>
      </c>
      <c r="P274" t="n">
        <v>0</v>
      </c>
      <c r="Q274" t="n">
        <v>0</v>
      </c>
      <c r="R274" s="2" t="inlineStr"/>
    </row>
    <row r="275" ht="15" customHeight="1">
      <c r="A275" t="inlineStr">
        <is>
          <t>A 3550-2023</t>
        </is>
      </c>
      <c r="B275" s="1" t="n">
        <v>44950</v>
      </c>
      <c r="C275" s="1" t="n">
        <v>45973</v>
      </c>
      <c r="D275" t="inlineStr">
        <is>
          <t>UPPSALA LÄN</t>
        </is>
      </c>
      <c r="E275" t="inlineStr">
        <is>
          <t>ENKÖPING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60125-2024</t>
        </is>
      </c>
      <c r="B276" s="1" t="n">
        <v>45642</v>
      </c>
      <c r="C276" s="1" t="n">
        <v>45973</v>
      </c>
      <c r="D276" t="inlineStr">
        <is>
          <t>UPPSALA LÄN</t>
        </is>
      </c>
      <c r="E276" t="inlineStr">
        <is>
          <t>ENKÖPING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1695-2025</t>
        </is>
      </c>
      <c r="B277" s="1" t="n">
        <v>45670</v>
      </c>
      <c r="C277" s="1" t="n">
        <v>45973</v>
      </c>
      <c r="D277" t="inlineStr">
        <is>
          <t>UPPSALA LÄN</t>
        </is>
      </c>
      <c r="E277" t="inlineStr">
        <is>
          <t>ENKÖPING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26292-2022</t>
        </is>
      </c>
      <c r="B278" s="1" t="n">
        <v>44735</v>
      </c>
      <c r="C278" s="1" t="n">
        <v>45973</v>
      </c>
      <c r="D278" t="inlineStr">
        <is>
          <t>UPPSALA LÄN</t>
        </is>
      </c>
      <c r="E278" t="inlineStr">
        <is>
          <t>ENKÖPING</t>
        </is>
      </c>
      <c r="F278" t="inlineStr">
        <is>
          <t>Kyrkan</t>
        </is>
      </c>
      <c r="G278" t="n">
        <v>4.6</v>
      </c>
      <c r="H278" t="n">
        <v>0</v>
      </c>
      <c r="I278" t="n">
        <v>0</v>
      </c>
      <c r="J278" t="n">
        <v>0</v>
      </c>
      <c r="K278" t="n">
        <v>0</v>
      </c>
      <c r="L278" t="n">
        <v>0</v>
      </c>
      <c r="M278" t="n">
        <v>0</v>
      </c>
      <c r="N278" t="n">
        <v>0</v>
      </c>
      <c r="O278" t="n">
        <v>0</v>
      </c>
      <c r="P278" t="n">
        <v>0</v>
      </c>
      <c r="Q278" t="n">
        <v>0</v>
      </c>
      <c r="R278" s="2" t="inlineStr"/>
    </row>
    <row r="279" ht="15" customHeight="1">
      <c r="A279" t="inlineStr">
        <is>
          <t>A 59027-2024</t>
        </is>
      </c>
      <c r="B279" s="1" t="n">
        <v>45636.68755787037</v>
      </c>
      <c r="C279" s="1" t="n">
        <v>45973</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61207-2023</t>
        </is>
      </c>
      <c r="B280" s="1" t="n">
        <v>45264.39444444444</v>
      </c>
      <c r="C280" s="1" t="n">
        <v>45973</v>
      </c>
      <c r="D280" t="inlineStr">
        <is>
          <t>UPPSALA LÄN</t>
        </is>
      </c>
      <c r="E280" t="inlineStr">
        <is>
          <t>ENKÖPING</t>
        </is>
      </c>
      <c r="G280" t="n">
        <v>10.8</v>
      </c>
      <c r="H280" t="n">
        <v>0</v>
      </c>
      <c r="I280" t="n">
        <v>0</v>
      </c>
      <c r="J280" t="n">
        <v>0</v>
      </c>
      <c r="K280" t="n">
        <v>0</v>
      </c>
      <c r="L280" t="n">
        <v>0</v>
      </c>
      <c r="M280" t="n">
        <v>0</v>
      </c>
      <c r="N280" t="n">
        <v>0</v>
      </c>
      <c r="O280" t="n">
        <v>0</v>
      </c>
      <c r="P280" t="n">
        <v>0</v>
      </c>
      <c r="Q280" t="n">
        <v>0</v>
      </c>
      <c r="R280" s="2" t="inlineStr"/>
    </row>
    <row r="281" ht="15" customHeight="1">
      <c r="A281" t="inlineStr">
        <is>
          <t>A 42564-2024</t>
        </is>
      </c>
      <c r="B281" s="1" t="n">
        <v>45565.63358796296</v>
      </c>
      <c r="C281" s="1" t="n">
        <v>45973</v>
      </c>
      <c r="D281" t="inlineStr">
        <is>
          <t>UPPSALA LÄN</t>
        </is>
      </c>
      <c r="E281" t="inlineStr">
        <is>
          <t>ENKÖPING</t>
        </is>
      </c>
      <c r="G281" t="n">
        <v>1.7</v>
      </c>
      <c r="H281" t="n">
        <v>0</v>
      </c>
      <c r="I281" t="n">
        <v>0</v>
      </c>
      <c r="J281" t="n">
        <v>0</v>
      </c>
      <c r="K281" t="n">
        <v>0</v>
      </c>
      <c r="L281" t="n">
        <v>0</v>
      </c>
      <c r="M281" t="n">
        <v>0</v>
      </c>
      <c r="N281" t="n">
        <v>0</v>
      </c>
      <c r="O281" t="n">
        <v>0</v>
      </c>
      <c r="P281" t="n">
        <v>0</v>
      </c>
      <c r="Q281" t="n">
        <v>0</v>
      </c>
      <c r="R281" s="2" t="inlineStr"/>
    </row>
    <row r="282" ht="15" customHeight="1">
      <c r="A282" t="inlineStr">
        <is>
          <t>A 3235-2025</t>
        </is>
      </c>
      <c r="B282" s="1" t="n">
        <v>45679</v>
      </c>
      <c r="C282" s="1" t="n">
        <v>45973</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15711-2025</t>
        </is>
      </c>
      <c r="B283" s="1" t="n">
        <v>45748</v>
      </c>
      <c r="C283" s="1" t="n">
        <v>45973</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41618-2025</t>
        </is>
      </c>
      <c r="B284" s="1" t="n">
        <v>45901.70085648148</v>
      </c>
      <c r="C284" s="1" t="n">
        <v>45973</v>
      </c>
      <c r="D284" t="inlineStr">
        <is>
          <t>UPPSALA LÄN</t>
        </is>
      </c>
      <c r="E284" t="inlineStr">
        <is>
          <t>ENKÖPING</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6959-2025</t>
        </is>
      </c>
      <c r="B285" s="1" t="n">
        <v>45701.49315972222</v>
      </c>
      <c r="C285" s="1" t="n">
        <v>45973</v>
      </c>
      <c r="D285" t="inlineStr">
        <is>
          <t>UPPSALA LÄN</t>
        </is>
      </c>
      <c r="E285" t="inlineStr">
        <is>
          <t>ENKÖPING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67765-2020</t>
        </is>
      </c>
      <c r="B286" s="1" t="n">
        <v>44182</v>
      </c>
      <c r="C286" s="1" t="n">
        <v>45973</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840-2025</t>
        </is>
      </c>
      <c r="B287" s="1" t="n">
        <v>45665</v>
      </c>
      <c r="C287" s="1" t="n">
        <v>45973</v>
      </c>
      <c r="D287" t="inlineStr">
        <is>
          <t>UPPSALA LÄN</t>
        </is>
      </c>
      <c r="E287" t="inlineStr">
        <is>
          <t>ENKÖPING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17165-2025</t>
        </is>
      </c>
      <c r="B288" s="1" t="n">
        <v>45756</v>
      </c>
      <c r="C288" s="1" t="n">
        <v>45973</v>
      </c>
      <c r="D288" t="inlineStr">
        <is>
          <t>UPPSALA LÄN</t>
        </is>
      </c>
      <c r="E288" t="inlineStr">
        <is>
          <t>ENKÖPING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10458-2022</t>
        </is>
      </c>
      <c r="B289" s="1" t="n">
        <v>44623.56711805556</v>
      </c>
      <c r="C289" s="1" t="n">
        <v>45973</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45142-2023</t>
        </is>
      </c>
      <c r="B290" s="1" t="n">
        <v>45191.4702662037</v>
      </c>
      <c r="C290" s="1" t="n">
        <v>45973</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57998-2024</t>
        </is>
      </c>
      <c r="B291" s="1" t="n">
        <v>45631</v>
      </c>
      <c r="C291" s="1" t="n">
        <v>45973</v>
      </c>
      <c r="D291" t="inlineStr">
        <is>
          <t>UPPSALA LÄN</t>
        </is>
      </c>
      <c r="E291" t="inlineStr">
        <is>
          <t>ENKÖPING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41765-2025</t>
        </is>
      </c>
      <c r="B292" s="1" t="n">
        <v>45902</v>
      </c>
      <c r="C292" s="1" t="n">
        <v>45973</v>
      </c>
      <c r="D292" t="inlineStr">
        <is>
          <t>UPPSALA LÄN</t>
        </is>
      </c>
      <c r="E292" t="inlineStr">
        <is>
          <t>ENKÖPING</t>
        </is>
      </c>
      <c r="G292" t="n">
        <v>2.7</v>
      </c>
      <c r="H292" t="n">
        <v>0</v>
      </c>
      <c r="I292" t="n">
        <v>0</v>
      </c>
      <c r="J292" t="n">
        <v>0</v>
      </c>
      <c r="K292" t="n">
        <v>0</v>
      </c>
      <c r="L292" t="n">
        <v>0</v>
      </c>
      <c r="M292" t="n">
        <v>0</v>
      </c>
      <c r="N292" t="n">
        <v>0</v>
      </c>
      <c r="O292" t="n">
        <v>0</v>
      </c>
      <c r="P292" t="n">
        <v>0</v>
      </c>
      <c r="Q292" t="n">
        <v>0</v>
      </c>
      <c r="R292" s="2" t="inlineStr"/>
    </row>
    <row r="293" ht="15" customHeight="1">
      <c r="A293" t="inlineStr">
        <is>
          <t>A 41616-2025</t>
        </is>
      </c>
      <c r="B293" s="1" t="n">
        <v>45901.69684027778</v>
      </c>
      <c r="C293" s="1" t="n">
        <v>45973</v>
      </c>
      <c r="D293" t="inlineStr">
        <is>
          <t>UPPSALA LÄN</t>
        </is>
      </c>
      <c r="E293" t="inlineStr">
        <is>
          <t>ENKÖPING</t>
        </is>
      </c>
      <c r="F293" t="inlineStr">
        <is>
          <t>Allmännings- och besparingsskogar</t>
        </is>
      </c>
      <c r="G293" t="n">
        <v>17.3</v>
      </c>
      <c r="H293" t="n">
        <v>0</v>
      </c>
      <c r="I293" t="n">
        <v>0</v>
      </c>
      <c r="J293" t="n">
        <v>0</v>
      </c>
      <c r="K293" t="n">
        <v>0</v>
      </c>
      <c r="L293" t="n">
        <v>0</v>
      </c>
      <c r="M293" t="n">
        <v>0</v>
      </c>
      <c r="N293" t="n">
        <v>0</v>
      </c>
      <c r="O293" t="n">
        <v>0</v>
      </c>
      <c r="P293" t="n">
        <v>0</v>
      </c>
      <c r="Q293" t="n">
        <v>0</v>
      </c>
      <c r="R293" s="2" t="inlineStr"/>
    </row>
    <row r="294" ht="15" customHeight="1">
      <c r="A294" t="inlineStr">
        <is>
          <t>A 14332-2024</t>
        </is>
      </c>
      <c r="B294" s="1" t="n">
        <v>45393</v>
      </c>
      <c r="C294" s="1" t="n">
        <v>45973</v>
      </c>
      <c r="D294" t="inlineStr">
        <is>
          <t>UPPSALA LÄN</t>
        </is>
      </c>
      <c r="E294" t="inlineStr">
        <is>
          <t>ENKÖPING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18831-2023</t>
        </is>
      </c>
      <c r="B295" s="1" t="n">
        <v>45044.40798611111</v>
      </c>
      <c r="C295" s="1" t="n">
        <v>45973</v>
      </c>
      <c r="D295" t="inlineStr">
        <is>
          <t>UPPSALA LÄN</t>
        </is>
      </c>
      <c r="E295" t="inlineStr">
        <is>
          <t>ENKÖPING</t>
        </is>
      </c>
      <c r="G295" t="n">
        <v>4.3</v>
      </c>
      <c r="H295" t="n">
        <v>0</v>
      </c>
      <c r="I295" t="n">
        <v>0</v>
      </c>
      <c r="J295" t="n">
        <v>0</v>
      </c>
      <c r="K295" t="n">
        <v>0</v>
      </c>
      <c r="L295" t="n">
        <v>0</v>
      </c>
      <c r="M295" t="n">
        <v>0</v>
      </c>
      <c r="N295" t="n">
        <v>0</v>
      </c>
      <c r="O295" t="n">
        <v>0</v>
      </c>
      <c r="P295" t="n">
        <v>0</v>
      </c>
      <c r="Q295" t="n">
        <v>0</v>
      </c>
      <c r="R295" s="2" t="inlineStr"/>
    </row>
    <row r="296" ht="15" customHeight="1">
      <c r="A296" t="inlineStr">
        <is>
          <t>A 52299-2023</t>
        </is>
      </c>
      <c r="B296" s="1" t="n">
        <v>45224.61636574074</v>
      </c>
      <c r="C296" s="1" t="n">
        <v>45973</v>
      </c>
      <c r="D296" t="inlineStr">
        <is>
          <t>UPPSALA LÄN</t>
        </is>
      </c>
      <c r="E296" t="inlineStr">
        <is>
          <t>ENKÖPING</t>
        </is>
      </c>
      <c r="G296" t="n">
        <v>2.2</v>
      </c>
      <c r="H296" t="n">
        <v>0</v>
      </c>
      <c r="I296" t="n">
        <v>0</v>
      </c>
      <c r="J296" t="n">
        <v>0</v>
      </c>
      <c r="K296" t="n">
        <v>0</v>
      </c>
      <c r="L296" t="n">
        <v>0</v>
      </c>
      <c r="M296" t="n">
        <v>0</v>
      </c>
      <c r="N296" t="n">
        <v>0</v>
      </c>
      <c r="O296" t="n">
        <v>0</v>
      </c>
      <c r="P296" t="n">
        <v>0</v>
      </c>
      <c r="Q296" t="n">
        <v>0</v>
      </c>
      <c r="R296" s="2" t="inlineStr"/>
    </row>
    <row r="297" ht="15" customHeight="1">
      <c r="A297" t="inlineStr">
        <is>
          <t>A 25598-2021</t>
        </is>
      </c>
      <c r="B297" s="1" t="n">
        <v>44343.4558912037</v>
      </c>
      <c r="C297" s="1" t="n">
        <v>45973</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41637-2025</t>
        </is>
      </c>
      <c r="B298" s="1" t="n">
        <v>45901</v>
      </c>
      <c r="C298" s="1" t="n">
        <v>45973</v>
      </c>
      <c r="D298" t="inlineStr">
        <is>
          <t>UPPSALA LÄN</t>
        </is>
      </c>
      <c r="E298" t="inlineStr">
        <is>
          <t>ENKÖPING</t>
        </is>
      </c>
      <c r="F298" t="inlineStr">
        <is>
          <t>Allmännings- och besparingsskogar</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32081-2024</t>
        </is>
      </c>
      <c r="B299" s="1" t="n">
        <v>45511.34605324074</v>
      </c>
      <c r="C299" s="1" t="n">
        <v>45973</v>
      </c>
      <c r="D299" t="inlineStr">
        <is>
          <t>UPPSALA LÄN</t>
        </is>
      </c>
      <c r="E299" t="inlineStr">
        <is>
          <t>ENKÖPING</t>
        </is>
      </c>
      <c r="G299" t="n">
        <v>5.4</v>
      </c>
      <c r="H299" t="n">
        <v>0</v>
      </c>
      <c r="I299" t="n">
        <v>0</v>
      </c>
      <c r="J299" t="n">
        <v>0</v>
      </c>
      <c r="K299" t="n">
        <v>0</v>
      </c>
      <c r="L299" t="n">
        <v>0</v>
      </c>
      <c r="M299" t="n">
        <v>0</v>
      </c>
      <c r="N299" t="n">
        <v>0</v>
      </c>
      <c r="O299" t="n">
        <v>0</v>
      </c>
      <c r="P299" t="n">
        <v>0</v>
      </c>
      <c r="Q299" t="n">
        <v>0</v>
      </c>
      <c r="R299" s="2" t="inlineStr"/>
    </row>
    <row r="300" ht="15" customHeight="1">
      <c r="A300" t="inlineStr">
        <is>
          <t>A 20184-2023</t>
        </is>
      </c>
      <c r="B300" s="1" t="n">
        <v>45055.5670949074</v>
      </c>
      <c r="C300" s="1" t="n">
        <v>45973</v>
      </c>
      <c r="D300" t="inlineStr">
        <is>
          <t>UPPSALA LÄN</t>
        </is>
      </c>
      <c r="E300" t="inlineStr">
        <is>
          <t>ENKÖPING</t>
        </is>
      </c>
      <c r="G300" t="n">
        <v>3.2</v>
      </c>
      <c r="H300" t="n">
        <v>0</v>
      </c>
      <c r="I300" t="n">
        <v>0</v>
      </c>
      <c r="J300" t="n">
        <v>0</v>
      </c>
      <c r="K300" t="n">
        <v>0</v>
      </c>
      <c r="L300" t="n">
        <v>0</v>
      </c>
      <c r="M300" t="n">
        <v>0</v>
      </c>
      <c r="N300" t="n">
        <v>0</v>
      </c>
      <c r="O300" t="n">
        <v>0</v>
      </c>
      <c r="P300" t="n">
        <v>0</v>
      </c>
      <c r="Q300" t="n">
        <v>0</v>
      </c>
      <c r="R300" s="2" t="inlineStr"/>
    </row>
    <row r="301" ht="15" customHeight="1">
      <c r="A301" t="inlineStr">
        <is>
          <t>A 47516-2022</t>
        </is>
      </c>
      <c r="B301" s="1" t="n">
        <v>44853.68895833333</v>
      </c>
      <c r="C301" s="1" t="n">
        <v>45973</v>
      </c>
      <c r="D301" t="inlineStr">
        <is>
          <t>UPPSALA LÄN</t>
        </is>
      </c>
      <c r="E301" t="inlineStr">
        <is>
          <t>ENKÖPING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61952-2021</t>
        </is>
      </c>
      <c r="B302" s="1" t="n">
        <v>44502</v>
      </c>
      <c r="C302" s="1" t="n">
        <v>45973</v>
      </c>
      <c r="D302" t="inlineStr">
        <is>
          <t>UPPSALA LÄN</t>
        </is>
      </c>
      <c r="E302" t="inlineStr">
        <is>
          <t>ENKÖPING</t>
        </is>
      </c>
      <c r="G302" t="n">
        <v>2.3</v>
      </c>
      <c r="H302" t="n">
        <v>0</v>
      </c>
      <c r="I302" t="n">
        <v>0</v>
      </c>
      <c r="J302" t="n">
        <v>0</v>
      </c>
      <c r="K302" t="n">
        <v>0</v>
      </c>
      <c r="L302" t="n">
        <v>0</v>
      </c>
      <c r="M302" t="n">
        <v>0</v>
      </c>
      <c r="N302" t="n">
        <v>0</v>
      </c>
      <c r="O302" t="n">
        <v>0</v>
      </c>
      <c r="P302" t="n">
        <v>0</v>
      </c>
      <c r="Q302" t="n">
        <v>0</v>
      </c>
      <c r="R302" s="2" t="inlineStr"/>
    </row>
    <row r="303" ht="15" customHeight="1">
      <c r="A303" t="inlineStr">
        <is>
          <t>A 33581-2023</t>
        </is>
      </c>
      <c r="B303" s="1" t="n">
        <v>45131</v>
      </c>
      <c r="C303" s="1" t="n">
        <v>45973</v>
      </c>
      <c r="D303" t="inlineStr">
        <is>
          <t>UPPSALA LÄN</t>
        </is>
      </c>
      <c r="E303" t="inlineStr">
        <is>
          <t>ENKÖPING</t>
        </is>
      </c>
      <c r="G303" t="n">
        <v>3.5</v>
      </c>
      <c r="H303" t="n">
        <v>0</v>
      </c>
      <c r="I303" t="n">
        <v>0</v>
      </c>
      <c r="J303" t="n">
        <v>0</v>
      </c>
      <c r="K303" t="n">
        <v>0</v>
      </c>
      <c r="L303" t="n">
        <v>0</v>
      </c>
      <c r="M303" t="n">
        <v>0</v>
      </c>
      <c r="N303" t="n">
        <v>0</v>
      </c>
      <c r="O303" t="n">
        <v>0</v>
      </c>
      <c r="P303" t="n">
        <v>0</v>
      </c>
      <c r="Q303" t="n">
        <v>0</v>
      </c>
      <c r="R303" s="2" t="inlineStr"/>
    </row>
    <row r="304" ht="15" customHeight="1">
      <c r="A304" t="inlineStr">
        <is>
          <t>A 42029-2025</t>
        </is>
      </c>
      <c r="B304" s="1" t="n">
        <v>45903</v>
      </c>
      <c r="C304" s="1" t="n">
        <v>45973</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37115-2024</t>
        </is>
      </c>
      <c r="B305" s="1" t="n">
        <v>45539</v>
      </c>
      <c r="C305" s="1" t="n">
        <v>45973</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59602-2022</t>
        </is>
      </c>
      <c r="B306" s="1" t="n">
        <v>44907.72241898148</v>
      </c>
      <c r="C306" s="1" t="n">
        <v>45973</v>
      </c>
      <c r="D306" t="inlineStr">
        <is>
          <t>UPPSALA LÄN</t>
        </is>
      </c>
      <c r="E306" t="inlineStr">
        <is>
          <t>ENKÖPING</t>
        </is>
      </c>
      <c r="G306" t="n">
        <v>14.2</v>
      </c>
      <c r="H306" t="n">
        <v>0</v>
      </c>
      <c r="I306" t="n">
        <v>0</v>
      </c>
      <c r="J306" t="n">
        <v>0</v>
      </c>
      <c r="K306" t="n">
        <v>0</v>
      </c>
      <c r="L306" t="n">
        <v>0</v>
      </c>
      <c r="M306" t="n">
        <v>0</v>
      </c>
      <c r="N306" t="n">
        <v>0</v>
      </c>
      <c r="O306" t="n">
        <v>0</v>
      </c>
      <c r="P306" t="n">
        <v>0</v>
      </c>
      <c r="Q306" t="n">
        <v>0</v>
      </c>
      <c r="R306" s="2" t="inlineStr"/>
    </row>
    <row r="307" ht="15" customHeight="1">
      <c r="A307" t="inlineStr">
        <is>
          <t>A 42589-2022</t>
        </is>
      </c>
      <c r="B307" s="1" t="n">
        <v>44831</v>
      </c>
      <c r="C307" s="1" t="n">
        <v>45973</v>
      </c>
      <c r="D307" t="inlineStr">
        <is>
          <t>UPPSALA LÄN</t>
        </is>
      </c>
      <c r="E307" t="inlineStr">
        <is>
          <t>ENKÖPING</t>
        </is>
      </c>
      <c r="G307" t="n">
        <v>20</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44386.42</v>
      </c>
      <c r="C308" s="1" t="n">
        <v>45973</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58092-2024</t>
        </is>
      </c>
      <c r="B309" s="1" t="n">
        <v>45632</v>
      </c>
      <c r="C309" s="1" t="n">
        <v>45973</v>
      </c>
      <c r="D309" t="inlineStr">
        <is>
          <t>UPPSALA LÄN</t>
        </is>
      </c>
      <c r="E309" t="inlineStr">
        <is>
          <t>ENKÖPING</t>
        </is>
      </c>
      <c r="G309" t="n">
        <v>4.8</v>
      </c>
      <c r="H309" t="n">
        <v>0</v>
      </c>
      <c r="I309" t="n">
        <v>0</v>
      </c>
      <c r="J309" t="n">
        <v>0</v>
      </c>
      <c r="K309" t="n">
        <v>0</v>
      </c>
      <c r="L309" t="n">
        <v>0</v>
      </c>
      <c r="M309" t="n">
        <v>0</v>
      </c>
      <c r="N309" t="n">
        <v>0</v>
      </c>
      <c r="O309" t="n">
        <v>0</v>
      </c>
      <c r="P309" t="n">
        <v>0</v>
      </c>
      <c r="Q309" t="n">
        <v>0</v>
      </c>
      <c r="R309" s="2" t="inlineStr"/>
    </row>
    <row r="310" ht="15" customHeight="1">
      <c r="A310" t="inlineStr">
        <is>
          <t>A 2968-2025</t>
        </is>
      </c>
      <c r="B310" s="1" t="n">
        <v>45678</v>
      </c>
      <c r="C310" s="1" t="n">
        <v>45973</v>
      </c>
      <c r="D310" t="inlineStr">
        <is>
          <t>UPPSALA LÄN</t>
        </is>
      </c>
      <c r="E310" t="inlineStr">
        <is>
          <t>ENKÖPING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42756-2025</t>
        </is>
      </c>
      <c r="B311" s="1" t="n">
        <v>45908</v>
      </c>
      <c r="C311" s="1" t="n">
        <v>45973</v>
      </c>
      <c r="D311" t="inlineStr">
        <is>
          <t>UPPSALA LÄN</t>
        </is>
      </c>
      <c r="E311" t="inlineStr">
        <is>
          <t>ENKÖPING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51133-2025</t>
        </is>
      </c>
      <c r="B312" s="1" t="n">
        <v>45947.55598379629</v>
      </c>
      <c r="C312" s="1" t="n">
        <v>45973</v>
      </c>
      <c r="D312" t="inlineStr">
        <is>
          <t>UPPSALA LÄN</t>
        </is>
      </c>
      <c r="E312" t="inlineStr">
        <is>
          <t>ENKÖPING</t>
        </is>
      </c>
      <c r="G312" t="n">
        <v>2.4</v>
      </c>
      <c r="H312" t="n">
        <v>0</v>
      </c>
      <c r="I312" t="n">
        <v>0</v>
      </c>
      <c r="J312" t="n">
        <v>0</v>
      </c>
      <c r="K312" t="n">
        <v>0</v>
      </c>
      <c r="L312" t="n">
        <v>0</v>
      </c>
      <c r="M312" t="n">
        <v>0</v>
      </c>
      <c r="N312" t="n">
        <v>0</v>
      </c>
      <c r="O312" t="n">
        <v>0</v>
      </c>
      <c r="P312" t="n">
        <v>0</v>
      </c>
      <c r="Q312" t="n">
        <v>0</v>
      </c>
      <c r="R312" s="2" t="inlineStr"/>
    </row>
    <row r="313" ht="15" customHeight="1">
      <c r="A313" t="inlineStr">
        <is>
          <t>A 6147-2021</t>
        </is>
      </c>
      <c r="B313" s="1" t="n">
        <v>44232</v>
      </c>
      <c r="C313" s="1" t="n">
        <v>45973</v>
      </c>
      <c r="D313" t="inlineStr">
        <is>
          <t>UPPSALA LÄN</t>
        </is>
      </c>
      <c r="E313" t="inlineStr">
        <is>
          <t>ENKÖPING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1960-2022</t>
        </is>
      </c>
      <c r="B314" s="1" t="n">
        <v>44575</v>
      </c>
      <c r="C314" s="1" t="n">
        <v>45973</v>
      </c>
      <c r="D314" t="inlineStr">
        <is>
          <t>UPPSALA LÄN</t>
        </is>
      </c>
      <c r="E314" t="inlineStr">
        <is>
          <t>ENKÖPING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9487-2025</t>
        </is>
      </c>
      <c r="B315" s="1" t="n">
        <v>45715.49331018519</v>
      </c>
      <c r="C315" s="1" t="n">
        <v>45973</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18028-2023</t>
        </is>
      </c>
      <c r="B316" s="1" t="n">
        <v>45040</v>
      </c>
      <c r="C316" s="1" t="n">
        <v>45973</v>
      </c>
      <c r="D316" t="inlineStr">
        <is>
          <t>UPPSALA LÄN</t>
        </is>
      </c>
      <c r="E316" t="inlineStr">
        <is>
          <t>ENKÖPING</t>
        </is>
      </c>
      <c r="G316" t="n">
        <v>1.1</v>
      </c>
      <c r="H316" t="n">
        <v>0</v>
      </c>
      <c r="I316" t="n">
        <v>0</v>
      </c>
      <c r="J316" t="n">
        <v>0</v>
      </c>
      <c r="K316" t="n">
        <v>0</v>
      </c>
      <c r="L316" t="n">
        <v>0</v>
      </c>
      <c r="M316" t="n">
        <v>0</v>
      </c>
      <c r="N316" t="n">
        <v>0</v>
      </c>
      <c r="O316" t="n">
        <v>0</v>
      </c>
      <c r="P316" t="n">
        <v>0</v>
      </c>
      <c r="Q316" t="n">
        <v>0</v>
      </c>
      <c r="R316" s="2" t="inlineStr"/>
    </row>
    <row r="317" ht="15" customHeight="1">
      <c r="A317" t="inlineStr">
        <is>
          <t>A 16176-2025</t>
        </is>
      </c>
      <c r="B317" s="1" t="n">
        <v>45750</v>
      </c>
      <c r="C317" s="1" t="n">
        <v>45973</v>
      </c>
      <c r="D317" t="inlineStr">
        <is>
          <t>UPPSALA LÄN</t>
        </is>
      </c>
      <c r="E317" t="inlineStr">
        <is>
          <t>ENKÖPING</t>
        </is>
      </c>
      <c r="G317" t="n">
        <v>3.9</v>
      </c>
      <c r="H317" t="n">
        <v>0</v>
      </c>
      <c r="I317" t="n">
        <v>0</v>
      </c>
      <c r="J317" t="n">
        <v>0</v>
      </c>
      <c r="K317" t="n">
        <v>0</v>
      </c>
      <c r="L317" t="n">
        <v>0</v>
      </c>
      <c r="M317" t="n">
        <v>0</v>
      </c>
      <c r="N317" t="n">
        <v>0</v>
      </c>
      <c r="O317" t="n">
        <v>0</v>
      </c>
      <c r="P317" t="n">
        <v>0</v>
      </c>
      <c r="Q317" t="n">
        <v>0</v>
      </c>
      <c r="R317" s="2" t="inlineStr"/>
    </row>
    <row r="318" ht="15" customHeight="1">
      <c r="A318" t="inlineStr">
        <is>
          <t>A 37035-2023</t>
        </is>
      </c>
      <c r="B318" s="1" t="n">
        <v>45155</v>
      </c>
      <c r="C318" s="1" t="n">
        <v>45973</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49568-2022</t>
        </is>
      </c>
      <c r="B319" s="1" t="n">
        <v>44862.32791666667</v>
      </c>
      <c r="C319" s="1" t="n">
        <v>45973</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46186-2023</t>
        </is>
      </c>
      <c r="B320" s="1" t="n">
        <v>45196</v>
      </c>
      <c r="C320" s="1" t="n">
        <v>45973</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42459-2024</t>
        </is>
      </c>
      <c r="B321" s="1" t="n">
        <v>45565</v>
      </c>
      <c r="C321" s="1" t="n">
        <v>45973</v>
      </c>
      <c r="D321" t="inlineStr">
        <is>
          <t>UPPSALA LÄN</t>
        </is>
      </c>
      <c r="E321" t="inlineStr">
        <is>
          <t>ENKÖPING</t>
        </is>
      </c>
      <c r="G321" t="n">
        <v>3.6</v>
      </c>
      <c r="H321" t="n">
        <v>0</v>
      </c>
      <c r="I321" t="n">
        <v>0</v>
      </c>
      <c r="J321" t="n">
        <v>0</v>
      </c>
      <c r="K321" t="n">
        <v>0</v>
      </c>
      <c r="L321" t="n">
        <v>0</v>
      </c>
      <c r="M321" t="n">
        <v>0</v>
      </c>
      <c r="N321" t="n">
        <v>0</v>
      </c>
      <c r="O321" t="n">
        <v>0</v>
      </c>
      <c r="P321" t="n">
        <v>0</v>
      </c>
      <c r="Q321" t="n">
        <v>0</v>
      </c>
      <c r="R321" s="2" t="inlineStr"/>
    </row>
    <row r="322" ht="15" customHeight="1">
      <c r="A322" t="inlineStr">
        <is>
          <t>A 15162-2025</t>
        </is>
      </c>
      <c r="B322" s="1" t="n">
        <v>45744</v>
      </c>
      <c r="C322" s="1" t="n">
        <v>45973</v>
      </c>
      <c r="D322" t="inlineStr">
        <is>
          <t>UPPSALA LÄN</t>
        </is>
      </c>
      <c r="E322" t="inlineStr">
        <is>
          <t>ENKÖPING</t>
        </is>
      </c>
      <c r="G322" t="n">
        <v>4.2</v>
      </c>
      <c r="H322" t="n">
        <v>0</v>
      </c>
      <c r="I322" t="n">
        <v>0</v>
      </c>
      <c r="J322" t="n">
        <v>0</v>
      </c>
      <c r="K322" t="n">
        <v>0</v>
      </c>
      <c r="L322" t="n">
        <v>0</v>
      </c>
      <c r="M322" t="n">
        <v>0</v>
      </c>
      <c r="N322" t="n">
        <v>0</v>
      </c>
      <c r="O322" t="n">
        <v>0</v>
      </c>
      <c r="P322" t="n">
        <v>0</v>
      </c>
      <c r="Q322" t="n">
        <v>0</v>
      </c>
      <c r="R322" s="2" t="inlineStr"/>
    </row>
    <row r="323" ht="15" customHeight="1">
      <c r="A323" t="inlineStr">
        <is>
          <t>A 51162-2025</t>
        </is>
      </c>
      <c r="B323" s="1" t="n">
        <v>45947.58820601852</v>
      </c>
      <c r="C323" s="1" t="n">
        <v>45973</v>
      </c>
      <c r="D323" t="inlineStr">
        <is>
          <t>UPPSALA LÄN</t>
        </is>
      </c>
      <c r="E323" t="inlineStr">
        <is>
          <t>ENKÖPING</t>
        </is>
      </c>
      <c r="G323" t="n">
        <v>3.4</v>
      </c>
      <c r="H323" t="n">
        <v>0</v>
      </c>
      <c r="I323" t="n">
        <v>0</v>
      </c>
      <c r="J323" t="n">
        <v>0</v>
      </c>
      <c r="K323" t="n">
        <v>0</v>
      </c>
      <c r="L323" t="n">
        <v>0</v>
      </c>
      <c r="M323" t="n">
        <v>0</v>
      </c>
      <c r="N323" t="n">
        <v>0</v>
      </c>
      <c r="O323" t="n">
        <v>0</v>
      </c>
      <c r="P323" t="n">
        <v>0</v>
      </c>
      <c r="Q323" t="n">
        <v>0</v>
      </c>
      <c r="R323" s="2" t="inlineStr"/>
    </row>
    <row r="324" ht="15" customHeight="1">
      <c r="A324" t="inlineStr">
        <is>
          <t>A 24411-2024</t>
        </is>
      </c>
      <c r="B324" s="1" t="n">
        <v>45457</v>
      </c>
      <c r="C324" s="1" t="n">
        <v>45973</v>
      </c>
      <c r="D324" t="inlineStr">
        <is>
          <t>UPPSALA LÄN</t>
        </is>
      </c>
      <c r="E324" t="inlineStr">
        <is>
          <t>ENKÖPING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48864-2022</t>
        </is>
      </c>
      <c r="B325" s="1" t="n">
        <v>44859</v>
      </c>
      <c r="C325" s="1" t="n">
        <v>45973</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31622-2022</t>
        </is>
      </c>
      <c r="B326" s="1" t="n">
        <v>44775</v>
      </c>
      <c r="C326" s="1" t="n">
        <v>45973</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25988-2025</t>
        </is>
      </c>
      <c r="B327" s="1" t="n">
        <v>45804.64814814815</v>
      </c>
      <c r="C327" s="1" t="n">
        <v>45973</v>
      </c>
      <c r="D327" t="inlineStr">
        <is>
          <t>UPPSALA LÄN</t>
        </is>
      </c>
      <c r="E327" t="inlineStr">
        <is>
          <t>ENKÖPING</t>
        </is>
      </c>
      <c r="G327" t="n">
        <v>4.7</v>
      </c>
      <c r="H327" t="n">
        <v>0</v>
      </c>
      <c r="I327" t="n">
        <v>0</v>
      </c>
      <c r="J327" t="n">
        <v>0</v>
      </c>
      <c r="K327" t="n">
        <v>0</v>
      </c>
      <c r="L327" t="n">
        <v>0</v>
      </c>
      <c r="M327" t="n">
        <v>0</v>
      </c>
      <c r="N327" t="n">
        <v>0</v>
      </c>
      <c r="O327" t="n">
        <v>0</v>
      </c>
      <c r="P327" t="n">
        <v>0</v>
      </c>
      <c r="Q327" t="n">
        <v>0</v>
      </c>
      <c r="R327" s="2" t="inlineStr"/>
    </row>
    <row r="328" ht="15" customHeight="1">
      <c r="A328" t="inlineStr">
        <is>
          <t>A 18299-2025</t>
        </is>
      </c>
      <c r="B328" s="1" t="n">
        <v>45762</v>
      </c>
      <c r="C328" s="1" t="n">
        <v>45973</v>
      </c>
      <c r="D328" t="inlineStr">
        <is>
          <t>UPPSALA LÄN</t>
        </is>
      </c>
      <c r="E328" t="inlineStr">
        <is>
          <t>ENKÖPING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26017-2025</t>
        </is>
      </c>
      <c r="B329" s="1" t="n">
        <v>45804</v>
      </c>
      <c r="C329" s="1" t="n">
        <v>45973</v>
      </c>
      <c r="D329" t="inlineStr">
        <is>
          <t>UPPSALA LÄN</t>
        </is>
      </c>
      <c r="E329" t="inlineStr">
        <is>
          <t>ENKÖPING</t>
        </is>
      </c>
      <c r="G329" t="n">
        <v>0.4</v>
      </c>
      <c r="H329" t="n">
        <v>0</v>
      </c>
      <c r="I329" t="n">
        <v>0</v>
      </c>
      <c r="J329" t="n">
        <v>0</v>
      </c>
      <c r="K329" t="n">
        <v>0</v>
      </c>
      <c r="L329" t="n">
        <v>0</v>
      </c>
      <c r="M329" t="n">
        <v>0</v>
      </c>
      <c r="N329" t="n">
        <v>0</v>
      </c>
      <c r="O329" t="n">
        <v>0</v>
      </c>
      <c r="P329" t="n">
        <v>0</v>
      </c>
      <c r="Q329" t="n">
        <v>0</v>
      </c>
      <c r="R329" s="2" t="inlineStr"/>
    </row>
    <row r="330" ht="15" customHeight="1">
      <c r="A330" t="inlineStr">
        <is>
          <t>A 26024-2025</t>
        </is>
      </c>
      <c r="B330" s="1" t="n">
        <v>45804.6831712963</v>
      </c>
      <c r="C330" s="1" t="n">
        <v>45973</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26042-2025</t>
        </is>
      </c>
      <c r="B331" s="1" t="n">
        <v>45804.70018518518</v>
      </c>
      <c r="C331" s="1" t="n">
        <v>45973</v>
      </c>
      <c r="D331" t="inlineStr">
        <is>
          <t>UPPSALA LÄN</t>
        </is>
      </c>
      <c r="E331" t="inlineStr">
        <is>
          <t>ENKÖPING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25990-2025</t>
        </is>
      </c>
      <c r="B332" s="1" t="n">
        <v>45804.65229166667</v>
      </c>
      <c r="C332" s="1" t="n">
        <v>45973</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6242-2025</t>
        </is>
      </c>
      <c r="B333" s="1" t="n">
        <v>45697</v>
      </c>
      <c r="C333" s="1" t="n">
        <v>45973</v>
      </c>
      <c r="D333" t="inlineStr">
        <is>
          <t>UPPSALA LÄN</t>
        </is>
      </c>
      <c r="E333" t="inlineStr">
        <is>
          <t>ENKÖPING</t>
        </is>
      </c>
      <c r="G333" t="n">
        <v>17.9</v>
      </c>
      <c r="H333" t="n">
        <v>0</v>
      </c>
      <c r="I333" t="n">
        <v>0</v>
      </c>
      <c r="J333" t="n">
        <v>0</v>
      </c>
      <c r="K333" t="n">
        <v>0</v>
      </c>
      <c r="L333" t="n">
        <v>0</v>
      </c>
      <c r="M333" t="n">
        <v>0</v>
      </c>
      <c r="N333" t="n">
        <v>0</v>
      </c>
      <c r="O333" t="n">
        <v>0</v>
      </c>
      <c r="P333" t="n">
        <v>0</v>
      </c>
      <c r="Q333" t="n">
        <v>0</v>
      </c>
      <c r="R333" s="2" t="inlineStr"/>
    </row>
    <row r="334" ht="15" customHeight="1">
      <c r="A334" t="inlineStr">
        <is>
          <t>A 6144-2024</t>
        </is>
      </c>
      <c r="B334" s="1" t="n">
        <v>45337.4684837963</v>
      </c>
      <c r="C334" s="1" t="n">
        <v>45973</v>
      </c>
      <c r="D334" t="inlineStr">
        <is>
          <t>UPPSALA LÄN</t>
        </is>
      </c>
      <c r="E334" t="inlineStr">
        <is>
          <t>ENKÖPING</t>
        </is>
      </c>
      <c r="G334" t="n">
        <v>13.8</v>
      </c>
      <c r="H334" t="n">
        <v>0</v>
      </c>
      <c r="I334" t="n">
        <v>0</v>
      </c>
      <c r="J334" t="n">
        <v>0</v>
      </c>
      <c r="K334" t="n">
        <v>0</v>
      </c>
      <c r="L334" t="n">
        <v>0</v>
      </c>
      <c r="M334" t="n">
        <v>0</v>
      </c>
      <c r="N334" t="n">
        <v>0</v>
      </c>
      <c r="O334" t="n">
        <v>0</v>
      </c>
      <c r="P334" t="n">
        <v>0</v>
      </c>
      <c r="Q334" t="n">
        <v>0</v>
      </c>
      <c r="R334" s="2" t="inlineStr"/>
    </row>
    <row r="335" ht="15" customHeight="1">
      <c r="A335" t="inlineStr">
        <is>
          <t>A 67984-2021</t>
        </is>
      </c>
      <c r="B335" s="1" t="n">
        <v>44525.70237268518</v>
      </c>
      <c r="C335" s="1" t="n">
        <v>45973</v>
      </c>
      <c r="D335" t="inlineStr">
        <is>
          <t>UPPSALA LÄN</t>
        </is>
      </c>
      <c r="E335" t="inlineStr">
        <is>
          <t>ENKÖPING</t>
        </is>
      </c>
      <c r="G335" t="n">
        <v>1.4</v>
      </c>
      <c r="H335" t="n">
        <v>0</v>
      </c>
      <c r="I335" t="n">
        <v>0</v>
      </c>
      <c r="J335" t="n">
        <v>0</v>
      </c>
      <c r="K335" t="n">
        <v>0</v>
      </c>
      <c r="L335" t="n">
        <v>0</v>
      </c>
      <c r="M335" t="n">
        <v>0</v>
      </c>
      <c r="N335" t="n">
        <v>0</v>
      </c>
      <c r="O335" t="n">
        <v>0</v>
      </c>
      <c r="P335" t="n">
        <v>0</v>
      </c>
      <c r="Q335" t="n">
        <v>0</v>
      </c>
      <c r="R335" s="2" t="inlineStr"/>
    </row>
    <row r="336" ht="15" customHeight="1">
      <c r="A336" t="inlineStr">
        <is>
          <t>A 43103-2025</t>
        </is>
      </c>
      <c r="B336" s="1" t="n">
        <v>45909</v>
      </c>
      <c r="C336" s="1" t="n">
        <v>45973</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18592-2021</t>
        </is>
      </c>
      <c r="B337" s="1" t="n">
        <v>44306</v>
      </c>
      <c r="C337" s="1" t="n">
        <v>45973</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66517-2020</t>
        </is>
      </c>
      <c r="B338" s="1" t="n">
        <v>44178</v>
      </c>
      <c r="C338" s="1" t="n">
        <v>45973</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11918-2025</t>
        </is>
      </c>
      <c r="B339" s="1" t="n">
        <v>45728.49331018519</v>
      </c>
      <c r="C339" s="1" t="n">
        <v>45973</v>
      </c>
      <c r="D339" t="inlineStr">
        <is>
          <t>UPPSALA LÄN</t>
        </is>
      </c>
      <c r="E339" t="inlineStr">
        <is>
          <t>ENKÖPING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6356-2022</t>
        </is>
      </c>
      <c r="B340" s="1" t="n">
        <v>44600</v>
      </c>
      <c r="C340" s="1" t="n">
        <v>45973</v>
      </c>
      <c r="D340" t="inlineStr">
        <is>
          <t>UPPSALA LÄN</t>
        </is>
      </c>
      <c r="E340" t="inlineStr">
        <is>
          <t>ENKÖPING</t>
        </is>
      </c>
      <c r="G340" t="n">
        <v>1.2</v>
      </c>
      <c r="H340" t="n">
        <v>0</v>
      </c>
      <c r="I340" t="n">
        <v>0</v>
      </c>
      <c r="J340" t="n">
        <v>0</v>
      </c>
      <c r="K340" t="n">
        <v>0</v>
      </c>
      <c r="L340" t="n">
        <v>0</v>
      </c>
      <c r="M340" t="n">
        <v>0</v>
      </c>
      <c r="N340" t="n">
        <v>0</v>
      </c>
      <c r="O340" t="n">
        <v>0</v>
      </c>
      <c r="P340" t="n">
        <v>0</v>
      </c>
      <c r="Q340" t="n">
        <v>0</v>
      </c>
      <c r="R340" s="2" t="inlineStr"/>
    </row>
    <row r="341" ht="15" customHeight="1">
      <c r="A341" t="inlineStr">
        <is>
          <t>A 41764-2025</t>
        </is>
      </c>
      <c r="B341" s="1" t="n">
        <v>45902</v>
      </c>
      <c r="C341" s="1" t="n">
        <v>45973</v>
      </c>
      <c r="D341" t="inlineStr">
        <is>
          <t>UPPSALA LÄN</t>
        </is>
      </c>
      <c r="E341" t="inlineStr">
        <is>
          <t>ENKÖPING</t>
        </is>
      </c>
      <c r="G341" t="n">
        <v>2.7</v>
      </c>
      <c r="H341" t="n">
        <v>0</v>
      </c>
      <c r="I341" t="n">
        <v>0</v>
      </c>
      <c r="J341" t="n">
        <v>0</v>
      </c>
      <c r="K341" t="n">
        <v>0</v>
      </c>
      <c r="L341" t="n">
        <v>0</v>
      </c>
      <c r="M341" t="n">
        <v>0</v>
      </c>
      <c r="N341" t="n">
        <v>0</v>
      </c>
      <c r="O341" t="n">
        <v>0</v>
      </c>
      <c r="P341" t="n">
        <v>0</v>
      </c>
      <c r="Q341" t="n">
        <v>0</v>
      </c>
      <c r="R341" s="2" t="inlineStr"/>
    </row>
    <row r="342" ht="15" customHeight="1">
      <c r="A342" t="inlineStr">
        <is>
          <t>A 26030-2025</t>
        </is>
      </c>
      <c r="B342" s="1" t="n">
        <v>45804.68815972222</v>
      </c>
      <c r="C342" s="1" t="n">
        <v>45973</v>
      </c>
      <c r="D342" t="inlineStr">
        <is>
          <t>UPPSALA LÄN</t>
        </is>
      </c>
      <c r="E342" t="inlineStr">
        <is>
          <t>ENKÖPING</t>
        </is>
      </c>
      <c r="G342" t="n">
        <v>0.3</v>
      </c>
      <c r="H342" t="n">
        <v>0</v>
      </c>
      <c r="I342" t="n">
        <v>0</v>
      </c>
      <c r="J342" t="n">
        <v>0</v>
      </c>
      <c r="K342" t="n">
        <v>0</v>
      </c>
      <c r="L342" t="n">
        <v>0</v>
      </c>
      <c r="M342" t="n">
        <v>0</v>
      </c>
      <c r="N342" t="n">
        <v>0</v>
      </c>
      <c r="O342" t="n">
        <v>0</v>
      </c>
      <c r="P342" t="n">
        <v>0</v>
      </c>
      <c r="Q342" t="n">
        <v>0</v>
      </c>
      <c r="R342" s="2" t="inlineStr"/>
    </row>
    <row r="343" ht="15" customHeight="1">
      <c r="A343" t="inlineStr">
        <is>
          <t>A 51042-2024</t>
        </is>
      </c>
      <c r="B343" s="1" t="n">
        <v>45603.4342824074</v>
      </c>
      <c r="C343" s="1" t="n">
        <v>45973</v>
      </c>
      <c r="D343" t="inlineStr">
        <is>
          <t>UPPSALA LÄN</t>
        </is>
      </c>
      <c r="E343" t="inlineStr">
        <is>
          <t>ENKÖPING</t>
        </is>
      </c>
      <c r="G343" t="n">
        <v>4.6</v>
      </c>
      <c r="H343" t="n">
        <v>0</v>
      </c>
      <c r="I343" t="n">
        <v>0</v>
      </c>
      <c r="J343" t="n">
        <v>0</v>
      </c>
      <c r="K343" t="n">
        <v>0</v>
      </c>
      <c r="L343" t="n">
        <v>0</v>
      </c>
      <c r="M343" t="n">
        <v>0</v>
      </c>
      <c r="N343" t="n">
        <v>0</v>
      </c>
      <c r="O343" t="n">
        <v>0</v>
      </c>
      <c r="P343" t="n">
        <v>0</v>
      </c>
      <c r="Q343" t="n">
        <v>0</v>
      </c>
      <c r="R343" s="2" t="inlineStr"/>
    </row>
    <row r="344" ht="15" customHeight="1">
      <c r="A344" t="inlineStr">
        <is>
          <t>A 57147-2021</t>
        </is>
      </c>
      <c r="B344" s="1" t="n">
        <v>44482</v>
      </c>
      <c r="C344" s="1" t="n">
        <v>45973</v>
      </c>
      <c r="D344" t="inlineStr">
        <is>
          <t>UPPSALA LÄN</t>
        </is>
      </c>
      <c r="E344" t="inlineStr">
        <is>
          <t>ENKÖPING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22632-2025</t>
        </is>
      </c>
      <c r="B345" s="1" t="n">
        <v>45789.44361111111</v>
      </c>
      <c r="C345" s="1" t="n">
        <v>45973</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61711-2020</t>
        </is>
      </c>
      <c r="B346" s="1" t="n">
        <v>44158</v>
      </c>
      <c r="C346" s="1" t="n">
        <v>45973</v>
      </c>
      <c r="D346" t="inlineStr">
        <is>
          <t>UPPSALA LÄN</t>
        </is>
      </c>
      <c r="E346" t="inlineStr">
        <is>
          <t>ENKÖPING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51037-2024</t>
        </is>
      </c>
      <c r="B347" s="1" t="n">
        <v>45603.43005787037</v>
      </c>
      <c r="C347" s="1" t="n">
        <v>45973</v>
      </c>
      <c r="D347" t="inlineStr">
        <is>
          <t>UPPSALA LÄN</t>
        </is>
      </c>
      <c r="E347" t="inlineStr">
        <is>
          <t>ENKÖPING</t>
        </is>
      </c>
      <c r="G347" t="n">
        <v>5.7</v>
      </c>
      <c r="H347" t="n">
        <v>0</v>
      </c>
      <c r="I347" t="n">
        <v>0</v>
      </c>
      <c r="J347" t="n">
        <v>0</v>
      </c>
      <c r="K347" t="n">
        <v>0</v>
      </c>
      <c r="L347" t="n">
        <v>0</v>
      </c>
      <c r="M347" t="n">
        <v>0</v>
      </c>
      <c r="N347" t="n">
        <v>0</v>
      </c>
      <c r="O347" t="n">
        <v>0</v>
      </c>
      <c r="P347" t="n">
        <v>0</v>
      </c>
      <c r="Q347" t="n">
        <v>0</v>
      </c>
      <c r="R347" s="2" t="inlineStr"/>
    </row>
    <row r="348" ht="15" customHeight="1">
      <c r="A348" t="inlineStr">
        <is>
          <t>A 26026-2025</t>
        </is>
      </c>
      <c r="B348" s="1" t="n">
        <v>45804.68510416667</v>
      </c>
      <c r="C348" s="1" t="n">
        <v>45973</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26047-2025</t>
        </is>
      </c>
      <c r="B349" s="1" t="n">
        <v>45804.70835648148</v>
      </c>
      <c r="C349" s="1" t="n">
        <v>45973</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43896-2022</t>
        </is>
      </c>
      <c r="B350" s="1" t="n">
        <v>44838</v>
      </c>
      <c r="C350" s="1" t="n">
        <v>45973</v>
      </c>
      <c r="D350" t="inlineStr">
        <is>
          <t>UPPSALA LÄN</t>
        </is>
      </c>
      <c r="E350" t="inlineStr">
        <is>
          <t>ENKÖPING</t>
        </is>
      </c>
      <c r="G350" t="n">
        <v>5.3</v>
      </c>
      <c r="H350" t="n">
        <v>0</v>
      </c>
      <c r="I350" t="n">
        <v>0</v>
      </c>
      <c r="J350" t="n">
        <v>0</v>
      </c>
      <c r="K350" t="n">
        <v>0</v>
      </c>
      <c r="L350" t="n">
        <v>0</v>
      </c>
      <c r="M350" t="n">
        <v>0</v>
      </c>
      <c r="N350" t="n">
        <v>0</v>
      </c>
      <c r="O350" t="n">
        <v>0</v>
      </c>
      <c r="P350" t="n">
        <v>0</v>
      </c>
      <c r="Q350" t="n">
        <v>0</v>
      </c>
      <c r="R350" s="2" t="inlineStr"/>
    </row>
    <row r="351" ht="15" customHeight="1">
      <c r="A351" t="inlineStr">
        <is>
          <t>A 47909-2024</t>
        </is>
      </c>
      <c r="B351" s="1" t="n">
        <v>45589.31866898148</v>
      </c>
      <c r="C351" s="1" t="n">
        <v>45973</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20440-2025</t>
        </is>
      </c>
      <c r="B352" s="1" t="n">
        <v>45775</v>
      </c>
      <c r="C352" s="1" t="n">
        <v>45973</v>
      </c>
      <c r="D352" t="inlineStr">
        <is>
          <t>UPPSALA LÄN</t>
        </is>
      </c>
      <c r="E352" t="inlineStr">
        <is>
          <t>ENKÖPING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6157-2021</t>
        </is>
      </c>
      <c r="B353" s="1" t="n">
        <v>44232</v>
      </c>
      <c r="C353" s="1" t="n">
        <v>45973</v>
      </c>
      <c r="D353" t="inlineStr">
        <is>
          <t>UPPSALA LÄN</t>
        </is>
      </c>
      <c r="E353" t="inlineStr">
        <is>
          <t>ENKÖPING</t>
        </is>
      </c>
      <c r="G353" t="n">
        <v>3.9</v>
      </c>
      <c r="H353" t="n">
        <v>0</v>
      </c>
      <c r="I353" t="n">
        <v>0</v>
      </c>
      <c r="J353" t="n">
        <v>0</v>
      </c>
      <c r="K353" t="n">
        <v>0</v>
      </c>
      <c r="L353" t="n">
        <v>0</v>
      </c>
      <c r="M353" t="n">
        <v>0</v>
      </c>
      <c r="N353" t="n">
        <v>0</v>
      </c>
      <c r="O353" t="n">
        <v>0</v>
      </c>
      <c r="P353" t="n">
        <v>0</v>
      </c>
      <c r="Q353" t="n">
        <v>0</v>
      </c>
      <c r="R353" s="2" t="inlineStr"/>
    </row>
    <row r="354" ht="15" customHeight="1">
      <c r="A354" t="inlineStr">
        <is>
          <t>A 52005-2024</t>
        </is>
      </c>
      <c r="B354" s="1" t="n">
        <v>45607.7627662037</v>
      </c>
      <c r="C354" s="1" t="n">
        <v>45973</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51027-2024</t>
        </is>
      </c>
      <c r="B355" s="1" t="n">
        <v>45603</v>
      </c>
      <c r="C355" s="1" t="n">
        <v>45973</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41737-2022</t>
        </is>
      </c>
      <c r="B356" s="1" t="n">
        <v>44827.63826388889</v>
      </c>
      <c r="C356" s="1" t="n">
        <v>45973</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54595-2021</t>
        </is>
      </c>
      <c r="B357" s="1" t="n">
        <v>44473.58824074074</v>
      </c>
      <c r="C357" s="1" t="n">
        <v>45973</v>
      </c>
      <c r="D357" t="inlineStr">
        <is>
          <t>UPPSALA LÄN</t>
        </is>
      </c>
      <c r="E357" t="inlineStr">
        <is>
          <t>ENKÖPING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22094-2023</t>
        </is>
      </c>
      <c r="B358" s="1" t="n">
        <v>45069</v>
      </c>
      <c r="C358" s="1" t="n">
        <v>45973</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44419-2025</t>
        </is>
      </c>
      <c r="B359" s="1" t="n">
        <v>45916.54671296296</v>
      </c>
      <c r="C359" s="1" t="n">
        <v>45973</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43999-2025</t>
        </is>
      </c>
      <c r="B360" s="1" t="n">
        <v>45915.45158564814</v>
      </c>
      <c r="C360" s="1" t="n">
        <v>45973</v>
      </c>
      <c r="D360" t="inlineStr">
        <is>
          <t>UPPSALA LÄN</t>
        </is>
      </c>
      <c r="E360" t="inlineStr">
        <is>
          <t>ENKÖPING</t>
        </is>
      </c>
      <c r="G360" t="n">
        <v>4.1</v>
      </c>
      <c r="H360" t="n">
        <v>0</v>
      </c>
      <c r="I360" t="n">
        <v>0</v>
      </c>
      <c r="J360" t="n">
        <v>0</v>
      </c>
      <c r="K360" t="n">
        <v>0</v>
      </c>
      <c r="L360" t="n">
        <v>0</v>
      </c>
      <c r="M360" t="n">
        <v>0</v>
      </c>
      <c r="N360" t="n">
        <v>0</v>
      </c>
      <c r="O360" t="n">
        <v>0</v>
      </c>
      <c r="P360" t="n">
        <v>0</v>
      </c>
      <c r="Q360" t="n">
        <v>0</v>
      </c>
      <c r="R360" s="2" t="inlineStr"/>
    </row>
    <row r="361" ht="15" customHeight="1">
      <c r="A361" t="inlineStr">
        <is>
          <t>A 25847-2025</t>
        </is>
      </c>
      <c r="B361" s="1" t="n">
        <v>45804</v>
      </c>
      <c r="C361" s="1" t="n">
        <v>45973</v>
      </c>
      <c r="D361" t="inlineStr">
        <is>
          <t>UPPSALA LÄN</t>
        </is>
      </c>
      <c r="E361" t="inlineStr">
        <is>
          <t>ENKÖPING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26005-2025</t>
        </is>
      </c>
      <c r="B362" s="1" t="n">
        <v>45804.67055555555</v>
      </c>
      <c r="C362" s="1" t="n">
        <v>45973</v>
      </c>
      <c r="D362" t="inlineStr">
        <is>
          <t>UPPSALA LÄN</t>
        </is>
      </c>
      <c r="E362" t="inlineStr">
        <is>
          <t>ENKÖPING</t>
        </is>
      </c>
      <c r="G362" t="n">
        <v>0.3</v>
      </c>
      <c r="H362" t="n">
        <v>0</v>
      </c>
      <c r="I362" t="n">
        <v>0</v>
      </c>
      <c r="J362" t="n">
        <v>0</v>
      </c>
      <c r="K362" t="n">
        <v>0</v>
      </c>
      <c r="L362" t="n">
        <v>0</v>
      </c>
      <c r="M362" t="n">
        <v>0</v>
      </c>
      <c r="N362" t="n">
        <v>0</v>
      </c>
      <c r="O362" t="n">
        <v>0</v>
      </c>
      <c r="P362" t="n">
        <v>0</v>
      </c>
      <c r="Q362" t="n">
        <v>0</v>
      </c>
      <c r="R362" s="2" t="inlineStr"/>
    </row>
    <row r="363" ht="15" customHeight="1">
      <c r="A363" t="inlineStr">
        <is>
          <t>A 35647-2021</t>
        </is>
      </c>
      <c r="B363" s="1" t="n">
        <v>44386</v>
      </c>
      <c r="C363" s="1" t="n">
        <v>45973</v>
      </c>
      <c r="D363" t="inlineStr">
        <is>
          <t>UPPSALA LÄN</t>
        </is>
      </c>
      <c r="E363" t="inlineStr">
        <is>
          <t>ENKÖPING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53586-2024</t>
        </is>
      </c>
      <c r="B364" s="1" t="n">
        <v>45614</v>
      </c>
      <c r="C364" s="1" t="n">
        <v>45973</v>
      </c>
      <c r="D364" t="inlineStr">
        <is>
          <t>UPPSALA LÄN</t>
        </is>
      </c>
      <c r="E364" t="inlineStr">
        <is>
          <t>ENKÖPING</t>
        </is>
      </c>
      <c r="G364" t="n">
        <v>6.6</v>
      </c>
      <c r="H364" t="n">
        <v>0</v>
      </c>
      <c r="I364" t="n">
        <v>0</v>
      </c>
      <c r="J364" t="n">
        <v>0</v>
      </c>
      <c r="K364" t="n">
        <v>0</v>
      </c>
      <c r="L364" t="n">
        <v>0</v>
      </c>
      <c r="M364" t="n">
        <v>0</v>
      </c>
      <c r="N364" t="n">
        <v>0</v>
      </c>
      <c r="O364" t="n">
        <v>0</v>
      </c>
      <c r="P364" t="n">
        <v>0</v>
      </c>
      <c r="Q364" t="n">
        <v>0</v>
      </c>
      <c r="R364" s="2" t="inlineStr"/>
    </row>
    <row r="365" ht="15" customHeight="1">
      <c r="A365" t="inlineStr">
        <is>
          <t>A 32477-2025</t>
        </is>
      </c>
      <c r="B365" s="1" t="n">
        <v>45838.43098379629</v>
      </c>
      <c r="C365" s="1" t="n">
        <v>45973</v>
      </c>
      <c r="D365" t="inlineStr">
        <is>
          <t>UPPSALA LÄN</t>
        </is>
      </c>
      <c r="E365" t="inlineStr">
        <is>
          <t>ENKÖPING</t>
        </is>
      </c>
      <c r="G365" t="n">
        <v>2.7</v>
      </c>
      <c r="H365" t="n">
        <v>0</v>
      </c>
      <c r="I365" t="n">
        <v>0</v>
      </c>
      <c r="J365" t="n">
        <v>0</v>
      </c>
      <c r="K365" t="n">
        <v>0</v>
      </c>
      <c r="L365" t="n">
        <v>0</v>
      </c>
      <c r="M365" t="n">
        <v>0</v>
      </c>
      <c r="N365" t="n">
        <v>0</v>
      </c>
      <c r="O365" t="n">
        <v>0</v>
      </c>
      <c r="P365" t="n">
        <v>0</v>
      </c>
      <c r="Q365" t="n">
        <v>0</v>
      </c>
      <c r="R365" s="2" t="inlineStr"/>
    </row>
    <row r="366" ht="15" customHeight="1">
      <c r="A366" t="inlineStr">
        <is>
          <t>A 26031-2025</t>
        </is>
      </c>
      <c r="B366" s="1" t="n">
        <v>45804.69050925926</v>
      </c>
      <c r="C366" s="1" t="n">
        <v>45973</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26041-2025</t>
        </is>
      </c>
      <c r="B367" s="1" t="n">
        <v>45804.69883101852</v>
      </c>
      <c r="C367" s="1" t="n">
        <v>45973</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51034-2024</t>
        </is>
      </c>
      <c r="B368" s="1" t="n">
        <v>45603.4262037037</v>
      </c>
      <c r="C368" s="1" t="n">
        <v>45973</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51036-2024</t>
        </is>
      </c>
      <c r="B369" s="1" t="n">
        <v>45603.42839120371</v>
      </c>
      <c r="C369" s="1" t="n">
        <v>45973</v>
      </c>
      <c r="D369" t="inlineStr">
        <is>
          <t>UPPSALA LÄN</t>
        </is>
      </c>
      <c r="E369" t="inlineStr">
        <is>
          <t>ENKÖPING</t>
        </is>
      </c>
      <c r="G369" t="n">
        <v>2.6</v>
      </c>
      <c r="H369" t="n">
        <v>0</v>
      </c>
      <c r="I369" t="n">
        <v>0</v>
      </c>
      <c r="J369" t="n">
        <v>0</v>
      </c>
      <c r="K369" t="n">
        <v>0</v>
      </c>
      <c r="L369" t="n">
        <v>0</v>
      </c>
      <c r="M369" t="n">
        <v>0</v>
      </c>
      <c r="N369" t="n">
        <v>0</v>
      </c>
      <c r="O369" t="n">
        <v>0</v>
      </c>
      <c r="P369" t="n">
        <v>0</v>
      </c>
      <c r="Q369" t="n">
        <v>0</v>
      </c>
      <c r="R369" s="2" t="inlineStr"/>
    </row>
    <row r="370" ht="15" customHeight="1">
      <c r="A370" t="inlineStr">
        <is>
          <t>A 43492-2023</t>
        </is>
      </c>
      <c r="B370" s="1" t="n">
        <v>45181</v>
      </c>
      <c r="C370" s="1" t="n">
        <v>45973</v>
      </c>
      <c r="D370" t="inlineStr">
        <is>
          <t>UPPSALA LÄN</t>
        </is>
      </c>
      <c r="E370" t="inlineStr">
        <is>
          <t>ENKÖPING</t>
        </is>
      </c>
      <c r="G370" t="n">
        <v>1.6</v>
      </c>
      <c r="H370" t="n">
        <v>0</v>
      </c>
      <c r="I370" t="n">
        <v>0</v>
      </c>
      <c r="J370" t="n">
        <v>0</v>
      </c>
      <c r="K370" t="n">
        <v>0</v>
      </c>
      <c r="L370" t="n">
        <v>0</v>
      </c>
      <c r="M370" t="n">
        <v>0</v>
      </c>
      <c r="N370" t="n">
        <v>0</v>
      </c>
      <c r="O370" t="n">
        <v>0</v>
      </c>
      <c r="P370" t="n">
        <v>0</v>
      </c>
      <c r="Q370" t="n">
        <v>0</v>
      </c>
      <c r="R370" s="2" t="inlineStr"/>
    </row>
    <row r="371" ht="15" customHeight="1">
      <c r="A371" t="inlineStr">
        <is>
          <t>A 24962-2023</t>
        </is>
      </c>
      <c r="B371" s="1" t="n">
        <v>45085.60123842592</v>
      </c>
      <c r="C371" s="1" t="n">
        <v>45973</v>
      </c>
      <c r="D371" t="inlineStr">
        <is>
          <t>UPPSALA LÄN</t>
        </is>
      </c>
      <c r="E371" t="inlineStr">
        <is>
          <t>ENKÖPING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44131-2023</t>
        </is>
      </c>
      <c r="B372" s="1" t="n">
        <v>45188</v>
      </c>
      <c r="C372" s="1" t="n">
        <v>45973</v>
      </c>
      <c r="D372" t="inlineStr">
        <is>
          <t>UPPSALA LÄN</t>
        </is>
      </c>
      <c r="E372" t="inlineStr">
        <is>
          <t>ENKÖPING</t>
        </is>
      </c>
      <c r="G372" t="n">
        <v>0.3</v>
      </c>
      <c r="H372" t="n">
        <v>0</v>
      </c>
      <c r="I372" t="n">
        <v>0</v>
      </c>
      <c r="J372" t="n">
        <v>0</v>
      </c>
      <c r="K372" t="n">
        <v>0</v>
      </c>
      <c r="L372" t="n">
        <v>0</v>
      </c>
      <c r="M372" t="n">
        <v>0</v>
      </c>
      <c r="N372" t="n">
        <v>0</v>
      </c>
      <c r="O372" t="n">
        <v>0</v>
      </c>
      <c r="P372" t="n">
        <v>0</v>
      </c>
      <c r="Q372" t="n">
        <v>0</v>
      </c>
      <c r="R372" s="2" t="inlineStr"/>
    </row>
    <row r="373" ht="15" customHeight="1">
      <c r="A373" t="inlineStr">
        <is>
          <t>A 26022-2025</t>
        </is>
      </c>
      <c r="B373" s="1" t="n">
        <v>45804.68006944445</v>
      </c>
      <c r="C373" s="1" t="n">
        <v>45973</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29482-2022</t>
        </is>
      </c>
      <c r="B374" s="1" t="n">
        <v>44753.57703703704</v>
      </c>
      <c r="C374" s="1" t="n">
        <v>45973</v>
      </c>
      <c r="D374" t="inlineStr">
        <is>
          <t>UPPSALA LÄN</t>
        </is>
      </c>
      <c r="E374" t="inlineStr">
        <is>
          <t>ENKÖPING</t>
        </is>
      </c>
      <c r="G374" t="n">
        <v>1</v>
      </c>
      <c r="H374" t="n">
        <v>0</v>
      </c>
      <c r="I374" t="n">
        <v>0</v>
      </c>
      <c r="J374" t="n">
        <v>0</v>
      </c>
      <c r="K374" t="n">
        <v>0</v>
      </c>
      <c r="L374" t="n">
        <v>0</v>
      </c>
      <c r="M374" t="n">
        <v>0</v>
      </c>
      <c r="N374" t="n">
        <v>0</v>
      </c>
      <c r="O374" t="n">
        <v>0</v>
      </c>
      <c r="P374" t="n">
        <v>0</v>
      </c>
      <c r="Q374" t="n">
        <v>0</v>
      </c>
      <c r="R374" s="2" t="inlineStr"/>
    </row>
    <row r="375" ht="15" customHeight="1">
      <c r="A375" t="inlineStr">
        <is>
          <t>A 29483-2022</t>
        </is>
      </c>
      <c r="B375" s="1" t="n">
        <v>44753.57829861111</v>
      </c>
      <c r="C375" s="1" t="n">
        <v>45973</v>
      </c>
      <c r="D375" t="inlineStr">
        <is>
          <t>UPPSALA LÄN</t>
        </is>
      </c>
      <c r="E375" t="inlineStr">
        <is>
          <t>ENKÖPING</t>
        </is>
      </c>
      <c r="G375" t="n">
        <v>3.6</v>
      </c>
      <c r="H375" t="n">
        <v>0</v>
      </c>
      <c r="I375" t="n">
        <v>0</v>
      </c>
      <c r="J375" t="n">
        <v>0</v>
      </c>
      <c r="K375" t="n">
        <v>0</v>
      </c>
      <c r="L375" t="n">
        <v>0</v>
      </c>
      <c r="M375" t="n">
        <v>0</v>
      </c>
      <c r="N375" t="n">
        <v>0</v>
      </c>
      <c r="O375" t="n">
        <v>0</v>
      </c>
      <c r="P375" t="n">
        <v>0</v>
      </c>
      <c r="Q375" t="n">
        <v>0</v>
      </c>
      <c r="R375" s="2" t="inlineStr"/>
    </row>
    <row r="376" ht="15" customHeight="1">
      <c r="A376" t="inlineStr">
        <is>
          <t>A 37170-2021</t>
        </is>
      </c>
      <c r="B376" s="1" t="n">
        <v>44395</v>
      </c>
      <c r="C376" s="1" t="n">
        <v>45973</v>
      </c>
      <c r="D376" t="inlineStr">
        <is>
          <t>UPPSALA LÄN</t>
        </is>
      </c>
      <c r="E376" t="inlineStr">
        <is>
          <t>ENKÖPING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1536-2024</t>
        </is>
      </c>
      <c r="B377" s="1" t="n">
        <v>45306</v>
      </c>
      <c r="C377" s="1" t="n">
        <v>45973</v>
      </c>
      <c r="D377" t="inlineStr">
        <is>
          <t>UPPSALA LÄN</t>
        </is>
      </c>
      <c r="E377" t="inlineStr">
        <is>
          <t>ENKÖPING</t>
        </is>
      </c>
      <c r="F377" t="inlineStr">
        <is>
          <t>Kyrkan</t>
        </is>
      </c>
      <c r="G377" t="n">
        <v>5.6</v>
      </c>
      <c r="H377" t="n">
        <v>0</v>
      </c>
      <c r="I377" t="n">
        <v>0</v>
      </c>
      <c r="J377" t="n">
        <v>0</v>
      </c>
      <c r="K377" t="n">
        <v>0</v>
      </c>
      <c r="L377" t="n">
        <v>0</v>
      </c>
      <c r="M377" t="n">
        <v>0</v>
      </c>
      <c r="N377" t="n">
        <v>0</v>
      </c>
      <c r="O377" t="n">
        <v>0</v>
      </c>
      <c r="P377" t="n">
        <v>0</v>
      </c>
      <c r="Q377" t="n">
        <v>0</v>
      </c>
      <c r="R377" s="2" t="inlineStr"/>
    </row>
    <row r="378" ht="15" customHeight="1">
      <c r="A378" t="inlineStr">
        <is>
          <t>A 2974-2025</t>
        </is>
      </c>
      <c r="B378" s="1" t="n">
        <v>45678.47168981482</v>
      </c>
      <c r="C378" s="1" t="n">
        <v>45973</v>
      </c>
      <c r="D378" t="inlineStr">
        <is>
          <t>UPPSALA LÄN</t>
        </is>
      </c>
      <c r="E378" t="inlineStr">
        <is>
          <t>ENKÖPING</t>
        </is>
      </c>
      <c r="G378" t="n">
        <v>1.6</v>
      </c>
      <c r="H378" t="n">
        <v>0</v>
      </c>
      <c r="I378" t="n">
        <v>0</v>
      </c>
      <c r="J378" t="n">
        <v>0</v>
      </c>
      <c r="K378" t="n">
        <v>0</v>
      </c>
      <c r="L378" t="n">
        <v>0</v>
      </c>
      <c r="M378" t="n">
        <v>0</v>
      </c>
      <c r="N378" t="n">
        <v>0</v>
      </c>
      <c r="O378" t="n">
        <v>0</v>
      </c>
      <c r="P378" t="n">
        <v>0</v>
      </c>
      <c r="Q378" t="n">
        <v>0</v>
      </c>
      <c r="R378" s="2" t="inlineStr"/>
    </row>
    <row r="379" ht="15" customHeight="1">
      <c r="A379" t="inlineStr">
        <is>
          <t>A 16916-2023</t>
        </is>
      </c>
      <c r="B379" s="1" t="n">
        <v>45033.58347222222</v>
      </c>
      <c r="C379" s="1" t="n">
        <v>45973</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26011-2025</t>
        </is>
      </c>
      <c r="B380" s="1" t="n">
        <v>45804.67412037037</v>
      </c>
      <c r="C380" s="1" t="n">
        <v>45973</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16920-2023</t>
        </is>
      </c>
      <c r="B381" s="1" t="n">
        <v>45033.59030092593</v>
      </c>
      <c r="C381" s="1" t="n">
        <v>45973</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53496-2022</t>
        </is>
      </c>
      <c r="B382" s="1" t="n">
        <v>44879.57217592592</v>
      </c>
      <c r="C382" s="1" t="n">
        <v>45973</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7870-2024</t>
        </is>
      </c>
      <c r="B383" s="1" t="n">
        <v>45350.33349537037</v>
      </c>
      <c r="C383" s="1" t="n">
        <v>45973</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28243-2023</t>
        </is>
      </c>
      <c r="B384" s="1" t="n">
        <v>45099.58885416666</v>
      </c>
      <c r="C384" s="1" t="n">
        <v>45973</v>
      </c>
      <c r="D384" t="inlineStr">
        <is>
          <t>UPPSALA LÄN</t>
        </is>
      </c>
      <c r="E384" t="inlineStr">
        <is>
          <t>ENKÖPING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35067-2024</t>
        </is>
      </c>
      <c r="B385" s="1" t="n">
        <v>45527.66153935185</v>
      </c>
      <c r="C385" s="1" t="n">
        <v>45973</v>
      </c>
      <c r="D385" t="inlineStr">
        <is>
          <t>UPPSALA LÄN</t>
        </is>
      </c>
      <c r="E385" t="inlineStr">
        <is>
          <t>ENKÖPING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52388-2024</t>
        </is>
      </c>
      <c r="B386" s="1" t="n">
        <v>45609.42939814815</v>
      </c>
      <c r="C386" s="1" t="n">
        <v>45973</v>
      </c>
      <c r="D386" t="inlineStr">
        <is>
          <t>UPPSALA LÄN</t>
        </is>
      </c>
      <c r="E386" t="inlineStr">
        <is>
          <t>ENKÖPING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10829-2024</t>
        </is>
      </c>
      <c r="B387" s="1" t="n">
        <v>45369</v>
      </c>
      <c r="C387" s="1" t="n">
        <v>45973</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12434-2021</t>
        </is>
      </c>
      <c r="B388" s="1" t="n">
        <v>44267</v>
      </c>
      <c r="C388" s="1" t="n">
        <v>45973</v>
      </c>
      <c r="D388" t="inlineStr">
        <is>
          <t>UPPSALA LÄN</t>
        </is>
      </c>
      <c r="E388" t="inlineStr">
        <is>
          <t>ENKÖPING</t>
        </is>
      </c>
      <c r="G388" t="n">
        <v>5.3</v>
      </c>
      <c r="H388" t="n">
        <v>0</v>
      </c>
      <c r="I388" t="n">
        <v>0</v>
      </c>
      <c r="J388" t="n">
        <v>0</v>
      </c>
      <c r="K388" t="n">
        <v>0</v>
      </c>
      <c r="L388" t="n">
        <v>0</v>
      </c>
      <c r="M388" t="n">
        <v>0</v>
      </c>
      <c r="N388" t="n">
        <v>0</v>
      </c>
      <c r="O388" t="n">
        <v>0</v>
      </c>
      <c r="P388" t="n">
        <v>0</v>
      </c>
      <c r="Q388" t="n">
        <v>0</v>
      </c>
      <c r="R388" s="2" t="inlineStr"/>
    </row>
    <row r="389" ht="15" customHeight="1">
      <c r="A389" t="inlineStr">
        <is>
          <t>A 2161-2023</t>
        </is>
      </c>
      <c r="B389" s="1" t="n">
        <v>44941</v>
      </c>
      <c r="C389" s="1" t="n">
        <v>45973</v>
      </c>
      <c r="D389" t="inlineStr">
        <is>
          <t>UPPSALA LÄN</t>
        </is>
      </c>
      <c r="E389" t="inlineStr">
        <is>
          <t>ENKÖPING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2165-2023</t>
        </is>
      </c>
      <c r="B390" s="1" t="n">
        <v>44941</v>
      </c>
      <c r="C390" s="1" t="n">
        <v>45973</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8306-2021</t>
        </is>
      </c>
      <c r="B391" s="1" t="n">
        <v>44244</v>
      </c>
      <c r="C391" s="1" t="n">
        <v>45973</v>
      </c>
      <c r="D391" t="inlineStr">
        <is>
          <t>UPPSALA LÄN</t>
        </is>
      </c>
      <c r="E391" t="inlineStr">
        <is>
          <t>ENKÖPING</t>
        </is>
      </c>
      <c r="G391" t="n">
        <v>14.9</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44575.56153935185</v>
      </c>
      <c r="C392" s="1" t="n">
        <v>45973</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6626-2023</t>
        </is>
      </c>
      <c r="B393" s="1" t="n">
        <v>44966.55946759259</v>
      </c>
      <c r="C393" s="1" t="n">
        <v>45973</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48843-2023</t>
        </is>
      </c>
      <c r="B394" s="1" t="n">
        <v>45209</v>
      </c>
      <c r="C394" s="1" t="n">
        <v>45973</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57940-2022</t>
        </is>
      </c>
      <c r="B395" s="1" t="n">
        <v>44900</v>
      </c>
      <c r="C395" s="1" t="n">
        <v>45973</v>
      </c>
      <c r="D395" t="inlineStr">
        <is>
          <t>UPPSALA LÄN</t>
        </is>
      </c>
      <c r="E395" t="inlineStr">
        <is>
          <t>ENKÖPING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35079-2024</t>
        </is>
      </c>
      <c r="B396" s="1" t="n">
        <v>45527.66770833333</v>
      </c>
      <c r="C396" s="1" t="n">
        <v>45973</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53595-2023</t>
        </is>
      </c>
      <c r="B397" s="1" t="n">
        <v>45223</v>
      </c>
      <c r="C397" s="1" t="n">
        <v>45973</v>
      </c>
      <c r="D397" t="inlineStr">
        <is>
          <t>UPPSALA LÄN</t>
        </is>
      </c>
      <c r="E397" t="inlineStr">
        <is>
          <t>ENKÖPING</t>
        </is>
      </c>
      <c r="G397" t="n">
        <v>2.6</v>
      </c>
      <c r="H397" t="n">
        <v>0</v>
      </c>
      <c r="I397" t="n">
        <v>0</v>
      </c>
      <c r="J397" t="n">
        <v>0</v>
      </c>
      <c r="K397" t="n">
        <v>0</v>
      </c>
      <c r="L397" t="n">
        <v>0</v>
      </c>
      <c r="M397" t="n">
        <v>0</v>
      </c>
      <c r="N397" t="n">
        <v>0</v>
      </c>
      <c r="O397" t="n">
        <v>0</v>
      </c>
      <c r="P397" t="n">
        <v>0</v>
      </c>
      <c r="Q397" t="n">
        <v>0</v>
      </c>
      <c r="R397" s="2" t="inlineStr"/>
    </row>
    <row r="398" ht="15" customHeight="1">
      <c r="A398" t="inlineStr">
        <is>
          <t>A 2850-2025</t>
        </is>
      </c>
      <c r="B398" s="1" t="n">
        <v>45677</v>
      </c>
      <c r="C398" s="1" t="n">
        <v>45973</v>
      </c>
      <c r="D398" t="inlineStr">
        <is>
          <t>UPPSALA LÄN</t>
        </is>
      </c>
      <c r="E398" t="inlineStr">
        <is>
          <t>ENKÖPING</t>
        </is>
      </c>
      <c r="G398" t="n">
        <v>0.3</v>
      </c>
      <c r="H398" t="n">
        <v>0</v>
      </c>
      <c r="I398" t="n">
        <v>0</v>
      </c>
      <c r="J398" t="n">
        <v>0</v>
      </c>
      <c r="K398" t="n">
        <v>0</v>
      </c>
      <c r="L398" t="n">
        <v>0</v>
      </c>
      <c r="M398" t="n">
        <v>0</v>
      </c>
      <c r="N398" t="n">
        <v>0</v>
      </c>
      <c r="O398" t="n">
        <v>0</v>
      </c>
      <c r="P398" t="n">
        <v>0</v>
      </c>
      <c r="Q398" t="n">
        <v>0</v>
      </c>
      <c r="R398" s="2" t="inlineStr"/>
    </row>
    <row r="399" ht="15" customHeight="1">
      <c r="A399" t="inlineStr">
        <is>
          <t>A 13853-2023</t>
        </is>
      </c>
      <c r="B399" s="1" t="n">
        <v>45007</v>
      </c>
      <c r="C399" s="1" t="n">
        <v>45973</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60533-2021</t>
        </is>
      </c>
      <c r="B400" s="1" t="n">
        <v>44496</v>
      </c>
      <c r="C400" s="1" t="n">
        <v>45973</v>
      </c>
      <c r="D400" t="inlineStr">
        <is>
          <t>UPPSALA LÄN</t>
        </is>
      </c>
      <c r="E400" t="inlineStr">
        <is>
          <t>ENKÖPING</t>
        </is>
      </c>
      <c r="G400" t="n">
        <v>2.2</v>
      </c>
      <c r="H400" t="n">
        <v>0</v>
      </c>
      <c r="I400" t="n">
        <v>0</v>
      </c>
      <c r="J400" t="n">
        <v>0</v>
      </c>
      <c r="K400" t="n">
        <v>0</v>
      </c>
      <c r="L400" t="n">
        <v>0</v>
      </c>
      <c r="M400" t="n">
        <v>0</v>
      </c>
      <c r="N400" t="n">
        <v>0</v>
      </c>
      <c r="O400" t="n">
        <v>0</v>
      </c>
      <c r="P400" t="n">
        <v>0</v>
      </c>
      <c r="Q400" t="n">
        <v>0</v>
      </c>
      <c r="R400" s="2" t="inlineStr"/>
    </row>
    <row r="401" ht="15" customHeight="1">
      <c r="A401" t="inlineStr">
        <is>
          <t>A 15757-2023</t>
        </is>
      </c>
      <c r="B401" s="1" t="n">
        <v>45021</v>
      </c>
      <c r="C401" s="1" t="n">
        <v>45973</v>
      </c>
      <c r="D401" t="inlineStr">
        <is>
          <t>UPPSALA LÄN</t>
        </is>
      </c>
      <c r="E401" t="inlineStr">
        <is>
          <t>ENKÖPING</t>
        </is>
      </c>
      <c r="G401" t="n">
        <v>3</v>
      </c>
      <c r="H401" t="n">
        <v>0</v>
      </c>
      <c r="I401" t="n">
        <v>0</v>
      </c>
      <c r="J401" t="n">
        <v>0</v>
      </c>
      <c r="K401" t="n">
        <v>0</v>
      </c>
      <c r="L401" t="n">
        <v>0</v>
      </c>
      <c r="M401" t="n">
        <v>0</v>
      </c>
      <c r="N401" t="n">
        <v>0</v>
      </c>
      <c r="O401" t="n">
        <v>0</v>
      </c>
      <c r="P401" t="n">
        <v>0</v>
      </c>
      <c r="Q401" t="n">
        <v>0</v>
      </c>
      <c r="R401" s="2" t="inlineStr"/>
    </row>
    <row r="402" ht="15" customHeight="1">
      <c r="A402" t="inlineStr">
        <is>
          <t>A 43230-2023</t>
        </is>
      </c>
      <c r="B402" s="1" t="n">
        <v>45183</v>
      </c>
      <c r="C402" s="1" t="n">
        <v>45973</v>
      </c>
      <c r="D402" t="inlineStr">
        <is>
          <t>UPPSALA LÄN</t>
        </is>
      </c>
      <c r="E402" t="inlineStr">
        <is>
          <t>ENKÖPING</t>
        </is>
      </c>
      <c r="G402" t="n">
        <v>2.1</v>
      </c>
      <c r="H402" t="n">
        <v>0</v>
      </c>
      <c r="I402" t="n">
        <v>0</v>
      </c>
      <c r="J402" t="n">
        <v>0</v>
      </c>
      <c r="K402" t="n">
        <v>0</v>
      </c>
      <c r="L402" t="n">
        <v>0</v>
      </c>
      <c r="M402" t="n">
        <v>0</v>
      </c>
      <c r="N402" t="n">
        <v>0</v>
      </c>
      <c r="O402" t="n">
        <v>0</v>
      </c>
      <c r="P402" t="n">
        <v>0</v>
      </c>
      <c r="Q402" t="n">
        <v>0</v>
      </c>
      <c r="R402" s="2" t="inlineStr"/>
    </row>
    <row r="403" ht="15" customHeight="1">
      <c r="A403" t="inlineStr">
        <is>
          <t>A 63310-2021</t>
        </is>
      </c>
      <c r="B403" s="1" t="n">
        <v>44508</v>
      </c>
      <c r="C403" s="1" t="n">
        <v>45973</v>
      </c>
      <c r="D403" t="inlineStr">
        <is>
          <t>UPPSALA LÄN</t>
        </is>
      </c>
      <c r="E403" t="inlineStr">
        <is>
          <t>ENKÖPING</t>
        </is>
      </c>
      <c r="G403" t="n">
        <v>3.5</v>
      </c>
      <c r="H403" t="n">
        <v>0</v>
      </c>
      <c r="I403" t="n">
        <v>0</v>
      </c>
      <c r="J403" t="n">
        <v>0</v>
      </c>
      <c r="K403" t="n">
        <v>0</v>
      </c>
      <c r="L403" t="n">
        <v>0</v>
      </c>
      <c r="M403" t="n">
        <v>0</v>
      </c>
      <c r="N403" t="n">
        <v>0</v>
      </c>
      <c r="O403" t="n">
        <v>0</v>
      </c>
      <c r="P403" t="n">
        <v>0</v>
      </c>
      <c r="Q403" t="n">
        <v>0</v>
      </c>
      <c r="R403" s="2" t="inlineStr"/>
    </row>
    <row r="404" ht="15" customHeight="1">
      <c r="A404" t="inlineStr">
        <is>
          <t>A 56886-2023</t>
        </is>
      </c>
      <c r="B404" s="1" t="n">
        <v>45239</v>
      </c>
      <c r="C404" s="1" t="n">
        <v>45973</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54263-2025</t>
        </is>
      </c>
      <c r="B405" s="1" t="n">
        <v>45964.66271990741</v>
      </c>
      <c r="C405" s="1" t="n">
        <v>45973</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51011-2024</t>
        </is>
      </c>
      <c r="B406" s="1" t="n">
        <v>45603.39427083333</v>
      </c>
      <c r="C406" s="1" t="n">
        <v>45973</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61106-2022</t>
        </is>
      </c>
      <c r="B407" s="1" t="n">
        <v>44915.4128587963</v>
      </c>
      <c r="C407" s="1" t="n">
        <v>45973</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54758-2025</t>
        </is>
      </c>
      <c r="B408" s="1" t="n">
        <v>45966.59737268519</v>
      </c>
      <c r="C408" s="1" t="n">
        <v>45973</v>
      </c>
      <c r="D408" t="inlineStr">
        <is>
          <t>UPPSALA LÄN</t>
        </is>
      </c>
      <c r="E408" t="inlineStr">
        <is>
          <t>ENKÖPING</t>
        </is>
      </c>
      <c r="G408" t="n">
        <v>3.3</v>
      </c>
      <c r="H408" t="n">
        <v>0</v>
      </c>
      <c r="I408" t="n">
        <v>0</v>
      </c>
      <c r="J408" t="n">
        <v>0</v>
      </c>
      <c r="K408" t="n">
        <v>0</v>
      </c>
      <c r="L408" t="n">
        <v>0</v>
      </c>
      <c r="M408" t="n">
        <v>0</v>
      </c>
      <c r="N408" t="n">
        <v>0</v>
      </c>
      <c r="O408" t="n">
        <v>0</v>
      </c>
      <c r="P408" t="n">
        <v>0</v>
      </c>
      <c r="Q408" t="n">
        <v>0</v>
      </c>
      <c r="R408" s="2" t="inlineStr"/>
    </row>
    <row r="409" ht="15" customHeight="1">
      <c r="A409" t="inlineStr">
        <is>
          <t>A 9171-2024</t>
        </is>
      </c>
      <c r="B409" s="1" t="n">
        <v>45358</v>
      </c>
      <c r="C409" s="1" t="n">
        <v>45973</v>
      </c>
      <c r="D409" t="inlineStr">
        <is>
          <t>UPPSALA LÄN</t>
        </is>
      </c>
      <c r="E409" t="inlineStr">
        <is>
          <t>ENKÖPING</t>
        </is>
      </c>
      <c r="G409" t="n">
        <v>1.8</v>
      </c>
      <c r="H409" t="n">
        <v>0</v>
      </c>
      <c r="I409" t="n">
        <v>0</v>
      </c>
      <c r="J409" t="n">
        <v>0</v>
      </c>
      <c r="K409" t="n">
        <v>0</v>
      </c>
      <c r="L409" t="n">
        <v>0</v>
      </c>
      <c r="M409" t="n">
        <v>0</v>
      </c>
      <c r="N409" t="n">
        <v>0</v>
      </c>
      <c r="O409" t="n">
        <v>0</v>
      </c>
      <c r="P409" t="n">
        <v>0</v>
      </c>
      <c r="Q409" t="n">
        <v>0</v>
      </c>
      <c r="R409" s="2" t="inlineStr"/>
    </row>
    <row r="410" ht="15" customHeight="1">
      <c r="A410" t="inlineStr">
        <is>
          <t>A 54541-2025</t>
        </is>
      </c>
      <c r="B410" s="1" t="n">
        <v>45965.64733796296</v>
      </c>
      <c r="C410" s="1" t="n">
        <v>45973</v>
      </c>
      <c r="D410" t="inlineStr">
        <is>
          <t>UPPSALA LÄN</t>
        </is>
      </c>
      <c r="E410" t="inlineStr">
        <is>
          <t>ENKÖPING</t>
        </is>
      </c>
      <c r="G410" t="n">
        <v>3.1</v>
      </c>
      <c r="H410" t="n">
        <v>0</v>
      </c>
      <c r="I410" t="n">
        <v>0</v>
      </c>
      <c r="J410" t="n">
        <v>0</v>
      </c>
      <c r="K410" t="n">
        <v>0</v>
      </c>
      <c r="L410" t="n">
        <v>0</v>
      </c>
      <c r="M410" t="n">
        <v>0</v>
      </c>
      <c r="N410" t="n">
        <v>0</v>
      </c>
      <c r="O410" t="n">
        <v>0</v>
      </c>
      <c r="P410" t="n">
        <v>0</v>
      </c>
      <c r="Q410" t="n">
        <v>0</v>
      </c>
      <c r="R410" s="2" t="inlineStr"/>
    </row>
    <row r="411" ht="15" customHeight="1">
      <c r="A411" t="inlineStr">
        <is>
          <t>A 671-2022</t>
        </is>
      </c>
      <c r="B411" s="1" t="n">
        <v>44568</v>
      </c>
      <c r="C411" s="1" t="n">
        <v>45973</v>
      </c>
      <c r="D411" t="inlineStr">
        <is>
          <t>UPPSALA LÄN</t>
        </is>
      </c>
      <c r="E411" t="inlineStr">
        <is>
          <t>ENKÖPING</t>
        </is>
      </c>
      <c r="G411" t="n">
        <v>3.5</v>
      </c>
      <c r="H411" t="n">
        <v>0</v>
      </c>
      <c r="I411" t="n">
        <v>0</v>
      </c>
      <c r="J411" t="n">
        <v>0</v>
      </c>
      <c r="K411" t="n">
        <v>0</v>
      </c>
      <c r="L411" t="n">
        <v>0</v>
      </c>
      <c r="M411" t="n">
        <v>0</v>
      </c>
      <c r="N411" t="n">
        <v>0</v>
      </c>
      <c r="O411" t="n">
        <v>0</v>
      </c>
      <c r="P411" t="n">
        <v>0</v>
      </c>
      <c r="Q411" t="n">
        <v>0</v>
      </c>
      <c r="R411" s="2" t="inlineStr"/>
    </row>
    <row r="412" ht="15" customHeight="1">
      <c r="A412" t="inlineStr">
        <is>
          <t>A 11005-2023</t>
        </is>
      </c>
      <c r="B412" s="1" t="n">
        <v>44991</v>
      </c>
      <c r="C412" s="1" t="n">
        <v>45973</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12102-2024</t>
        </is>
      </c>
      <c r="B413" s="1" t="n">
        <v>45377</v>
      </c>
      <c r="C413" s="1" t="n">
        <v>45973</v>
      </c>
      <c r="D413" t="inlineStr">
        <is>
          <t>UPPSALA LÄN</t>
        </is>
      </c>
      <c r="E413" t="inlineStr">
        <is>
          <t>ENKÖPING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29918-2023</t>
        </is>
      </c>
      <c r="B414" s="1" t="n">
        <v>45099</v>
      </c>
      <c r="C414" s="1" t="n">
        <v>45973</v>
      </c>
      <c r="D414" t="inlineStr">
        <is>
          <t>UPPSALA LÄN</t>
        </is>
      </c>
      <c r="E414" t="inlineStr">
        <is>
          <t>ENKÖPING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58961-2024</t>
        </is>
      </c>
      <c r="B415" s="1" t="n">
        <v>45636.585</v>
      </c>
      <c r="C415" s="1" t="n">
        <v>45973</v>
      </c>
      <c r="D415" t="inlineStr">
        <is>
          <t>UPPSALA LÄN</t>
        </is>
      </c>
      <c r="E415" t="inlineStr">
        <is>
          <t>ENKÖPING</t>
        </is>
      </c>
      <c r="G415" t="n">
        <v>4</v>
      </c>
      <c r="H415" t="n">
        <v>0</v>
      </c>
      <c r="I415" t="n">
        <v>0</v>
      </c>
      <c r="J415" t="n">
        <v>0</v>
      </c>
      <c r="K415" t="n">
        <v>0</v>
      </c>
      <c r="L415" t="n">
        <v>0</v>
      </c>
      <c r="M415" t="n">
        <v>0</v>
      </c>
      <c r="N415" t="n">
        <v>0</v>
      </c>
      <c r="O415" t="n">
        <v>0</v>
      </c>
      <c r="P415" t="n">
        <v>0</v>
      </c>
      <c r="Q415" t="n">
        <v>0</v>
      </c>
      <c r="R415" s="2" t="inlineStr"/>
    </row>
    <row r="416" ht="15" customHeight="1">
      <c r="A416" t="inlineStr">
        <is>
          <t>A 45283-2022</t>
        </is>
      </c>
      <c r="B416" s="1" t="n">
        <v>44844</v>
      </c>
      <c r="C416" s="1" t="n">
        <v>45973</v>
      </c>
      <c r="D416" t="inlineStr">
        <is>
          <t>UPPSALA LÄN</t>
        </is>
      </c>
      <c r="E416" t="inlineStr">
        <is>
          <t>ENKÖPING</t>
        </is>
      </c>
      <c r="G416" t="n">
        <v>5.9</v>
      </c>
      <c r="H416" t="n">
        <v>0</v>
      </c>
      <c r="I416" t="n">
        <v>0</v>
      </c>
      <c r="J416" t="n">
        <v>0</v>
      </c>
      <c r="K416" t="n">
        <v>0</v>
      </c>
      <c r="L416" t="n">
        <v>0</v>
      </c>
      <c r="M416" t="n">
        <v>0</v>
      </c>
      <c r="N416" t="n">
        <v>0</v>
      </c>
      <c r="O416" t="n">
        <v>0</v>
      </c>
      <c r="P416" t="n">
        <v>0</v>
      </c>
      <c r="Q416" t="n">
        <v>0</v>
      </c>
      <c r="R416" s="2" t="inlineStr"/>
    </row>
    <row r="417" ht="15" customHeight="1">
      <c r="A417" t="inlineStr">
        <is>
          <t>A 845-2025</t>
        </is>
      </c>
      <c r="B417" s="1" t="n">
        <v>45665</v>
      </c>
      <c r="C417" s="1" t="n">
        <v>45973</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849-2025</t>
        </is>
      </c>
      <c r="B418" s="1" t="n">
        <v>45665</v>
      </c>
      <c r="C418" s="1" t="n">
        <v>45973</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58384-2022</t>
        </is>
      </c>
      <c r="B419" s="1" t="n">
        <v>44901</v>
      </c>
      <c r="C419" s="1" t="n">
        <v>45973</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43016-2021</t>
        </is>
      </c>
      <c r="B420" s="1" t="n">
        <v>44431</v>
      </c>
      <c r="C420" s="1" t="n">
        <v>45973</v>
      </c>
      <c r="D420" t="inlineStr">
        <is>
          <t>UPPSALA LÄN</t>
        </is>
      </c>
      <c r="E420" t="inlineStr">
        <is>
          <t>ENKÖPING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15893-2024</t>
        </is>
      </c>
      <c r="B421" s="1" t="n">
        <v>45405</v>
      </c>
      <c r="C421" s="1" t="n">
        <v>45973</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33343-2024</t>
        </is>
      </c>
      <c r="B422" s="1" t="n">
        <v>45519</v>
      </c>
      <c r="C422" s="1" t="n">
        <v>45973</v>
      </c>
      <c r="D422" t="inlineStr">
        <is>
          <t>UPPSALA LÄN</t>
        </is>
      </c>
      <c r="E422" t="inlineStr">
        <is>
          <t>ENKÖPING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54844-2025</t>
        </is>
      </c>
      <c r="B423" s="1" t="n">
        <v>45966.69570601852</v>
      </c>
      <c r="C423" s="1" t="n">
        <v>45973</v>
      </c>
      <c r="D423" t="inlineStr">
        <is>
          <t>UPPSALA LÄN</t>
        </is>
      </c>
      <c r="E423" t="inlineStr">
        <is>
          <t>ENKÖPING</t>
        </is>
      </c>
      <c r="G423" t="n">
        <v>5.5</v>
      </c>
      <c r="H423" t="n">
        <v>0</v>
      </c>
      <c r="I423" t="n">
        <v>0</v>
      </c>
      <c r="J423" t="n">
        <v>0</v>
      </c>
      <c r="K423" t="n">
        <v>0</v>
      </c>
      <c r="L423" t="n">
        <v>0</v>
      </c>
      <c r="M423" t="n">
        <v>0</v>
      </c>
      <c r="N423" t="n">
        <v>0</v>
      </c>
      <c r="O423" t="n">
        <v>0</v>
      </c>
      <c r="P423" t="n">
        <v>0</v>
      </c>
      <c r="Q423" t="n">
        <v>0</v>
      </c>
      <c r="R423" s="2" t="inlineStr"/>
    </row>
    <row r="424" ht="15" customHeight="1">
      <c r="A424" t="inlineStr">
        <is>
          <t>A 45755-2025</t>
        </is>
      </c>
      <c r="B424" s="1" t="n">
        <v>45923.50240740741</v>
      </c>
      <c r="C424" s="1" t="n">
        <v>45973</v>
      </c>
      <c r="D424" t="inlineStr">
        <is>
          <t>UPPSALA LÄN</t>
        </is>
      </c>
      <c r="E424" t="inlineStr">
        <is>
          <t>ENKÖPING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57142-2021</t>
        </is>
      </c>
      <c r="B425" s="1" t="n">
        <v>44482</v>
      </c>
      <c r="C425" s="1" t="n">
        <v>45973</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57153-2021</t>
        </is>
      </c>
      <c r="B426" s="1" t="n">
        <v>44482</v>
      </c>
      <c r="C426" s="1" t="n">
        <v>45973</v>
      </c>
      <c r="D426" t="inlineStr">
        <is>
          <t>UPPSALA LÄN</t>
        </is>
      </c>
      <c r="E426" t="inlineStr">
        <is>
          <t>ENKÖPING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5188-2022</t>
        </is>
      </c>
      <c r="B427" s="1" t="n">
        <v>44594.4471412037</v>
      </c>
      <c r="C427" s="1" t="n">
        <v>45973</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19014-2025</t>
        </is>
      </c>
      <c r="B428" s="1" t="n">
        <v>45764.59631944444</v>
      </c>
      <c r="C428" s="1" t="n">
        <v>45973</v>
      </c>
      <c r="D428" t="inlineStr">
        <is>
          <t>UPPSALA LÄN</t>
        </is>
      </c>
      <c r="E428" t="inlineStr">
        <is>
          <t>ENKÖPING</t>
        </is>
      </c>
      <c r="G428" t="n">
        <v>0.2</v>
      </c>
      <c r="H428" t="n">
        <v>0</v>
      </c>
      <c r="I428" t="n">
        <v>0</v>
      </c>
      <c r="J428" t="n">
        <v>0</v>
      </c>
      <c r="K428" t="n">
        <v>0</v>
      </c>
      <c r="L428" t="n">
        <v>0</v>
      </c>
      <c r="M428" t="n">
        <v>0</v>
      </c>
      <c r="N428" t="n">
        <v>0</v>
      </c>
      <c r="O428" t="n">
        <v>0</v>
      </c>
      <c r="P428" t="n">
        <v>0</v>
      </c>
      <c r="Q428" t="n">
        <v>0</v>
      </c>
      <c r="R428" s="2" t="inlineStr"/>
    </row>
    <row r="429" ht="15" customHeight="1">
      <c r="A429" t="inlineStr">
        <is>
          <t>A 46590-2025</t>
        </is>
      </c>
      <c r="B429" s="1" t="n">
        <v>45926.39542824074</v>
      </c>
      <c r="C429" s="1" t="n">
        <v>45973</v>
      </c>
      <c r="D429" t="inlineStr">
        <is>
          <t>UPPSALA LÄN</t>
        </is>
      </c>
      <c r="E429" t="inlineStr">
        <is>
          <t>ENKÖPING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43691-2024</t>
        </is>
      </c>
      <c r="B430" s="1" t="n">
        <v>45569</v>
      </c>
      <c r="C430" s="1" t="n">
        <v>45973</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58147-2024</t>
        </is>
      </c>
      <c r="B431" s="1" t="n">
        <v>45632.4334375</v>
      </c>
      <c r="C431" s="1" t="n">
        <v>45973</v>
      </c>
      <c r="D431" t="inlineStr">
        <is>
          <t>UPPSALA LÄN</t>
        </is>
      </c>
      <c r="E431" t="inlineStr">
        <is>
          <t>ENKÖPING</t>
        </is>
      </c>
      <c r="G431" t="n">
        <v>3</v>
      </c>
      <c r="H431" t="n">
        <v>0</v>
      </c>
      <c r="I431" t="n">
        <v>0</v>
      </c>
      <c r="J431" t="n">
        <v>0</v>
      </c>
      <c r="K431" t="n">
        <v>0</v>
      </c>
      <c r="L431" t="n">
        <v>0</v>
      </c>
      <c r="M431" t="n">
        <v>0</v>
      </c>
      <c r="N431" t="n">
        <v>0</v>
      </c>
      <c r="O431" t="n">
        <v>0</v>
      </c>
      <c r="P431" t="n">
        <v>0</v>
      </c>
      <c r="Q431" t="n">
        <v>0</v>
      </c>
      <c r="R431" s="2" t="inlineStr"/>
    </row>
    <row r="432" ht="15" customHeight="1">
      <c r="A432" t="inlineStr">
        <is>
          <t>A 19376-2024</t>
        </is>
      </c>
      <c r="B432" s="1" t="n">
        <v>45429</v>
      </c>
      <c r="C432" s="1" t="n">
        <v>45973</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34989-2025</t>
        </is>
      </c>
      <c r="B433" s="1" t="n">
        <v>45849</v>
      </c>
      <c r="C433" s="1" t="n">
        <v>45973</v>
      </c>
      <c r="D433" t="inlineStr">
        <is>
          <t>UPPSALA LÄN</t>
        </is>
      </c>
      <c r="E433" t="inlineStr">
        <is>
          <t>ENKÖPING</t>
        </is>
      </c>
      <c r="G433" t="n">
        <v>2.4</v>
      </c>
      <c r="H433" t="n">
        <v>0</v>
      </c>
      <c r="I433" t="n">
        <v>0</v>
      </c>
      <c r="J433" t="n">
        <v>0</v>
      </c>
      <c r="K433" t="n">
        <v>0</v>
      </c>
      <c r="L433" t="n">
        <v>0</v>
      </c>
      <c r="M433" t="n">
        <v>0</v>
      </c>
      <c r="N433" t="n">
        <v>0</v>
      </c>
      <c r="O433" t="n">
        <v>0</v>
      </c>
      <c r="P433" t="n">
        <v>0</v>
      </c>
      <c r="Q433" t="n">
        <v>0</v>
      </c>
      <c r="R433" s="2" t="inlineStr"/>
    </row>
    <row r="434" ht="15" customHeight="1">
      <c r="A434" t="inlineStr">
        <is>
          <t>A 34990-2025</t>
        </is>
      </c>
      <c r="B434" s="1" t="n">
        <v>45849.78916666667</v>
      </c>
      <c r="C434" s="1" t="n">
        <v>45973</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27829-2025</t>
        </is>
      </c>
      <c r="B435" s="1" t="n">
        <v>45817</v>
      </c>
      <c r="C435" s="1" t="n">
        <v>45973</v>
      </c>
      <c r="D435" t="inlineStr">
        <is>
          <t>UPPSALA LÄN</t>
        </is>
      </c>
      <c r="E435" t="inlineStr">
        <is>
          <t>ENKÖPING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18302-2025</t>
        </is>
      </c>
      <c r="B436" s="1" t="n">
        <v>45762</v>
      </c>
      <c r="C436" s="1" t="n">
        <v>45973</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34735-2023</t>
        </is>
      </c>
      <c r="B437" s="1" t="n">
        <v>45139</v>
      </c>
      <c r="C437" s="1" t="n">
        <v>45973</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30514-2021</t>
        </is>
      </c>
      <c r="B438" s="1" t="n">
        <v>44364</v>
      </c>
      <c r="C438" s="1" t="n">
        <v>45973</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55567-2025</t>
        </is>
      </c>
      <c r="B439" s="1" t="n">
        <v>45971.65589120371</v>
      </c>
      <c r="C439" s="1" t="n">
        <v>45973</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47441-2025</t>
        </is>
      </c>
      <c r="B440" s="1" t="n">
        <v>45930.63986111111</v>
      </c>
      <c r="C440" s="1" t="n">
        <v>45973</v>
      </c>
      <c r="D440" t="inlineStr">
        <is>
          <t>UPPSALA LÄN</t>
        </is>
      </c>
      <c r="E440" t="inlineStr">
        <is>
          <t>ENKÖPING</t>
        </is>
      </c>
      <c r="F440" t="inlineStr">
        <is>
          <t>Allmännings- och besparingsskogar</t>
        </is>
      </c>
      <c r="G440" t="n">
        <v>11.5</v>
      </c>
      <c r="H440" t="n">
        <v>0</v>
      </c>
      <c r="I440" t="n">
        <v>0</v>
      </c>
      <c r="J440" t="n">
        <v>0</v>
      </c>
      <c r="K440" t="n">
        <v>0</v>
      </c>
      <c r="L440" t="n">
        <v>0</v>
      </c>
      <c r="M440" t="n">
        <v>0</v>
      </c>
      <c r="N440" t="n">
        <v>0</v>
      </c>
      <c r="O440" t="n">
        <v>0</v>
      </c>
      <c r="P440" t="n">
        <v>0</v>
      </c>
      <c r="Q440" t="n">
        <v>0</v>
      </c>
      <c r="R440" s="2" t="inlineStr"/>
    </row>
    <row r="441" ht="15" customHeight="1">
      <c r="A441" t="inlineStr">
        <is>
          <t>A 46940-2025</t>
        </is>
      </c>
      <c r="B441" s="1" t="n">
        <v>45929.45483796296</v>
      </c>
      <c r="C441" s="1" t="n">
        <v>45973</v>
      </c>
      <c r="D441" t="inlineStr">
        <is>
          <t>UPPSALA LÄN</t>
        </is>
      </c>
      <c r="E441" t="inlineStr">
        <is>
          <t>ENKÖPING</t>
        </is>
      </c>
      <c r="G441" t="n">
        <v>5.3</v>
      </c>
      <c r="H441" t="n">
        <v>0</v>
      </c>
      <c r="I441" t="n">
        <v>0</v>
      </c>
      <c r="J441" t="n">
        <v>0</v>
      </c>
      <c r="K441" t="n">
        <v>0</v>
      </c>
      <c r="L441" t="n">
        <v>0</v>
      </c>
      <c r="M441" t="n">
        <v>0</v>
      </c>
      <c r="N441" t="n">
        <v>0</v>
      </c>
      <c r="O441" t="n">
        <v>0</v>
      </c>
      <c r="P441" t="n">
        <v>0</v>
      </c>
      <c r="Q441" t="n">
        <v>0</v>
      </c>
      <c r="R441" s="2" t="inlineStr"/>
    </row>
    <row r="442" ht="15" customHeight="1">
      <c r="A442" t="inlineStr">
        <is>
          <t>A 57209-2024</t>
        </is>
      </c>
      <c r="B442" s="1" t="n">
        <v>45629.49311342592</v>
      </c>
      <c r="C442" s="1" t="n">
        <v>45973</v>
      </c>
      <c r="D442" t="inlineStr">
        <is>
          <t>UPPSALA LÄN</t>
        </is>
      </c>
      <c r="E442" t="inlineStr">
        <is>
          <t>ENKÖPING</t>
        </is>
      </c>
      <c r="G442" t="n">
        <v>3.2</v>
      </c>
      <c r="H442" t="n">
        <v>0</v>
      </c>
      <c r="I442" t="n">
        <v>0</v>
      </c>
      <c r="J442" t="n">
        <v>0</v>
      </c>
      <c r="K442" t="n">
        <v>0</v>
      </c>
      <c r="L442" t="n">
        <v>0</v>
      </c>
      <c r="M442" t="n">
        <v>0</v>
      </c>
      <c r="N442" t="n">
        <v>0</v>
      </c>
      <c r="O442" t="n">
        <v>0</v>
      </c>
      <c r="P442" t="n">
        <v>0</v>
      </c>
      <c r="Q442" t="n">
        <v>0</v>
      </c>
      <c r="R442" s="2" t="inlineStr"/>
    </row>
    <row r="443" ht="15" customHeight="1">
      <c r="A443" t="inlineStr">
        <is>
          <t>A 28855-2025</t>
        </is>
      </c>
      <c r="B443" s="1" t="n">
        <v>45820.58274305556</v>
      </c>
      <c r="C443" s="1" t="n">
        <v>45973</v>
      </c>
      <c r="D443" t="inlineStr">
        <is>
          <t>UPPSALA LÄN</t>
        </is>
      </c>
      <c r="E443" t="inlineStr">
        <is>
          <t>ENKÖPING</t>
        </is>
      </c>
      <c r="G443" t="n">
        <v>2.4</v>
      </c>
      <c r="H443" t="n">
        <v>0</v>
      </c>
      <c r="I443" t="n">
        <v>0</v>
      </c>
      <c r="J443" t="n">
        <v>0</v>
      </c>
      <c r="K443" t="n">
        <v>0</v>
      </c>
      <c r="L443" t="n">
        <v>0</v>
      </c>
      <c r="M443" t="n">
        <v>0</v>
      </c>
      <c r="N443" t="n">
        <v>0</v>
      </c>
      <c r="O443" t="n">
        <v>0</v>
      </c>
      <c r="P443" t="n">
        <v>0</v>
      </c>
      <c r="Q443" t="n">
        <v>0</v>
      </c>
      <c r="R443" s="2" t="inlineStr"/>
    </row>
    <row r="444" ht="15" customHeight="1">
      <c r="A444" t="inlineStr">
        <is>
          <t>A 13110-2023</t>
        </is>
      </c>
      <c r="B444" s="1" t="n">
        <v>45001</v>
      </c>
      <c r="C444" s="1" t="n">
        <v>45973</v>
      </c>
      <c r="D444" t="inlineStr">
        <is>
          <t>UPPSALA LÄN</t>
        </is>
      </c>
      <c r="E444" t="inlineStr">
        <is>
          <t>ENKÖPING</t>
        </is>
      </c>
      <c r="G444" t="n">
        <v>2.5</v>
      </c>
      <c r="H444" t="n">
        <v>0</v>
      </c>
      <c r="I444" t="n">
        <v>0</v>
      </c>
      <c r="J444" t="n">
        <v>0</v>
      </c>
      <c r="K444" t="n">
        <v>0</v>
      </c>
      <c r="L444" t="n">
        <v>0</v>
      </c>
      <c r="M444" t="n">
        <v>0</v>
      </c>
      <c r="N444" t="n">
        <v>0</v>
      </c>
      <c r="O444" t="n">
        <v>0</v>
      </c>
      <c r="P444" t="n">
        <v>0</v>
      </c>
      <c r="Q444" t="n">
        <v>0</v>
      </c>
      <c r="R444" s="2" t="inlineStr"/>
    </row>
    <row r="445" ht="15" customHeight="1">
      <c r="A445" t="inlineStr">
        <is>
          <t>A 49627-2024</t>
        </is>
      </c>
      <c r="B445" s="1" t="n">
        <v>45596.59140046296</v>
      </c>
      <c r="C445" s="1" t="n">
        <v>45973</v>
      </c>
      <c r="D445" t="inlineStr">
        <is>
          <t>UPPSALA LÄN</t>
        </is>
      </c>
      <c r="E445" t="inlineStr">
        <is>
          <t>ENKÖPING</t>
        </is>
      </c>
      <c r="G445" t="n">
        <v>0.4</v>
      </c>
      <c r="H445" t="n">
        <v>0</v>
      </c>
      <c r="I445" t="n">
        <v>0</v>
      </c>
      <c r="J445" t="n">
        <v>0</v>
      </c>
      <c r="K445" t="n">
        <v>0</v>
      </c>
      <c r="L445" t="n">
        <v>0</v>
      </c>
      <c r="M445" t="n">
        <v>0</v>
      </c>
      <c r="N445" t="n">
        <v>0</v>
      </c>
      <c r="O445" t="n">
        <v>0</v>
      </c>
      <c r="P445" t="n">
        <v>0</v>
      </c>
      <c r="Q445" t="n">
        <v>0</v>
      </c>
      <c r="R445" s="2" t="inlineStr"/>
    </row>
    <row r="446" ht="15" customHeight="1">
      <c r="A446" t="inlineStr">
        <is>
          <t>A 9231-2023</t>
        </is>
      </c>
      <c r="B446" s="1" t="n">
        <v>44980</v>
      </c>
      <c r="C446" s="1" t="n">
        <v>45973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27538-2023</t>
        </is>
      </c>
      <c r="B447" s="1" t="n">
        <v>45097</v>
      </c>
      <c r="C447" s="1" t="n">
        <v>45973</v>
      </c>
      <c r="D447" t="inlineStr">
        <is>
          <t>UPPSALA LÄN</t>
        </is>
      </c>
      <c r="E447" t="inlineStr">
        <is>
          <t>ENKÖPING</t>
        </is>
      </c>
      <c r="G447" t="n">
        <v>5.8</v>
      </c>
      <c r="H447" t="n">
        <v>0</v>
      </c>
      <c r="I447" t="n">
        <v>0</v>
      </c>
      <c r="J447" t="n">
        <v>0</v>
      </c>
      <c r="K447" t="n">
        <v>0</v>
      </c>
      <c r="L447" t="n">
        <v>0</v>
      </c>
      <c r="M447" t="n">
        <v>0</v>
      </c>
      <c r="N447" t="n">
        <v>0</v>
      </c>
      <c r="O447" t="n">
        <v>0</v>
      </c>
      <c r="P447" t="n">
        <v>0</v>
      </c>
      <c r="Q447" t="n">
        <v>0</v>
      </c>
      <c r="R447" s="2" t="inlineStr"/>
    </row>
    <row r="448" ht="15" customHeight="1">
      <c r="A448" t="inlineStr">
        <is>
          <t>A 28758-2025</t>
        </is>
      </c>
      <c r="B448" s="1" t="n">
        <v>45820.41212962963</v>
      </c>
      <c r="C448" s="1" t="n">
        <v>45973</v>
      </c>
      <c r="D448" t="inlineStr">
        <is>
          <t>UPPSALA LÄN</t>
        </is>
      </c>
      <c r="E448" t="inlineStr">
        <is>
          <t>ENKÖPING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18821-2023</t>
        </is>
      </c>
      <c r="B449" s="1" t="n">
        <v>45044.3782175926</v>
      </c>
      <c r="C449" s="1" t="n">
        <v>45973</v>
      </c>
      <c r="D449" t="inlineStr">
        <is>
          <t>UPPSALA LÄN</t>
        </is>
      </c>
      <c r="E449" t="inlineStr">
        <is>
          <t>ENKÖPING</t>
        </is>
      </c>
      <c r="G449" t="n">
        <v>6</v>
      </c>
      <c r="H449" t="n">
        <v>0</v>
      </c>
      <c r="I449" t="n">
        <v>0</v>
      </c>
      <c r="J449" t="n">
        <v>0</v>
      </c>
      <c r="K449" t="n">
        <v>0</v>
      </c>
      <c r="L449" t="n">
        <v>0</v>
      </c>
      <c r="M449" t="n">
        <v>0</v>
      </c>
      <c r="N449" t="n">
        <v>0</v>
      </c>
      <c r="O449" t="n">
        <v>0</v>
      </c>
      <c r="P449" t="n">
        <v>0</v>
      </c>
      <c r="Q449" t="n">
        <v>0</v>
      </c>
      <c r="R449" s="2" t="inlineStr"/>
    </row>
    <row r="450" ht="15" customHeight="1">
      <c r="A450" t="inlineStr">
        <is>
          <t>A 39009-2024</t>
        </is>
      </c>
      <c r="B450" s="1" t="n">
        <v>45548</v>
      </c>
      <c r="C450" s="1" t="n">
        <v>45973</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8537-2025</t>
        </is>
      </c>
      <c r="B451" s="1" t="n">
        <v>45709</v>
      </c>
      <c r="C451" s="1" t="n">
        <v>45973</v>
      </c>
      <c r="D451" t="inlineStr">
        <is>
          <t>UPPSALA LÄN</t>
        </is>
      </c>
      <c r="E451" t="inlineStr">
        <is>
          <t>ENKÖPING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52380-2024</t>
        </is>
      </c>
      <c r="B452" s="1" t="n">
        <v>45609</v>
      </c>
      <c r="C452" s="1" t="n">
        <v>45973</v>
      </c>
      <c r="D452" t="inlineStr">
        <is>
          <t>UPPSALA LÄN</t>
        </is>
      </c>
      <c r="E452" t="inlineStr">
        <is>
          <t>ENKÖPING</t>
        </is>
      </c>
      <c r="G452" t="n">
        <v>1.8</v>
      </c>
      <c r="H452" t="n">
        <v>0</v>
      </c>
      <c r="I452" t="n">
        <v>0</v>
      </c>
      <c r="J452" t="n">
        <v>0</v>
      </c>
      <c r="K452" t="n">
        <v>0</v>
      </c>
      <c r="L452" t="n">
        <v>0</v>
      </c>
      <c r="M452" t="n">
        <v>0</v>
      </c>
      <c r="N452" t="n">
        <v>0</v>
      </c>
      <c r="O452" t="n">
        <v>0</v>
      </c>
      <c r="P452" t="n">
        <v>0</v>
      </c>
      <c r="Q452" t="n">
        <v>0</v>
      </c>
      <c r="R452" s="2" t="inlineStr"/>
    </row>
    <row r="453" ht="15" customHeight="1">
      <c r="A453" t="inlineStr">
        <is>
          <t>A 28862-2025</t>
        </is>
      </c>
      <c r="B453" s="1" t="n">
        <v>45820.59189814814</v>
      </c>
      <c r="C453" s="1" t="n">
        <v>45973</v>
      </c>
      <c r="D453" t="inlineStr">
        <is>
          <t>UPPSALA LÄN</t>
        </is>
      </c>
      <c r="E453" t="inlineStr">
        <is>
          <t>ENKÖPING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9041-2023</t>
        </is>
      </c>
      <c r="B454" s="1" t="n">
        <v>44979</v>
      </c>
      <c r="C454" s="1" t="n">
        <v>45973</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27786-2023</t>
        </is>
      </c>
      <c r="B455" s="1" t="n">
        <v>45098</v>
      </c>
      <c r="C455" s="1" t="n">
        <v>45973</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15942-2022</t>
        </is>
      </c>
      <c r="B456" s="1" t="n">
        <v>44664</v>
      </c>
      <c r="C456" s="1" t="n">
        <v>45973</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29093-2025</t>
        </is>
      </c>
      <c r="B457" s="1" t="n">
        <v>45821.55743055556</v>
      </c>
      <c r="C457" s="1" t="n">
        <v>45973</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29477-2025</t>
        </is>
      </c>
      <c r="B458" s="1" t="n">
        <v>45824.71537037037</v>
      </c>
      <c r="C458" s="1" t="n">
        <v>45973</v>
      </c>
      <c r="D458" t="inlineStr">
        <is>
          <t>UPPSALA LÄN</t>
        </is>
      </c>
      <c r="E458" t="inlineStr">
        <is>
          <t>ENKÖPING</t>
        </is>
      </c>
      <c r="G458" t="n">
        <v>13.4</v>
      </c>
      <c r="H458" t="n">
        <v>0</v>
      </c>
      <c r="I458" t="n">
        <v>0</v>
      </c>
      <c r="J458" t="n">
        <v>0</v>
      </c>
      <c r="K458" t="n">
        <v>0</v>
      </c>
      <c r="L458" t="n">
        <v>0</v>
      </c>
      <c r="M458" t="n">
        <v>0</v>
      </c>
      <c r="N458" t="n">
        <v>0</v>
      </c>
      <c r="O458" t="n">
        <v>0</v>
      </c>
      <c r="P458" t="n">
        <v>0</v>
      </c>
      <c r="Q458" t="n">
        <v>0</v>
      </c>
      <c r="R458" s="2" t="inlineStr"/>
    </row>
    <row r="459" ht="15" customHeight="1">
      <c r="A459" t="inlineStr">
        <is>
          <t>A 50006-2023</t>
        </is>
      </c>
      <c r="B459" s="1" t="n">
        <v>45215</v>
      </c>
      <c r="C459" s="1" t="n">
        <v>45973</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53607-2023</t>
        </is>
      </c>
      <c r="B460" s="1" t="n">
        <v>45230</v>
      </c>
      <c r="C460" s="1" t="n">
        <v>45973</v>
      </c>
      <c r="D460" t="inlineStr">
        <is>
          <t>UPPSALA LÄN</t>
        </is>
      </c>
      <c r="E460" t="inlineStr">
        <is>
          <t>ENKÖPING</t>
        </is>
      </c>
      <c r="F460" t="inlineStr">
        <is>
          <t>Allmännings- och besparingsskogar</t>
        </is>
      </c>
      <c r="G460" t="n">
        <v>6.3</v>
      </c>
      <c r="H460" t="n">
        <v>0</v>
      </c>
      <c r="I460" t="n">
        <v>0</v>
      </c>
      <c r="J460" t="n">
        <v>0</v>
      </c>
      <c r="K460" t="n">
        <v>0</v>
      </c>
      <c r="L460" t="n">
        <v>0</v>
      </c>
      <c r="M460" t="n">
        <v>0</v>
      </c>
      <c r="N460" t="n">
        <v>0</v>
      </c>
      <c r="O460" t="n">
        <v>0</v>
      </c>
      <c r="P460" t="n">
        <v>0</v>
      </c>
      <c r="Q460" t="n">
        <v>0</v>
      </c>
      <c r="R460" s="2" t="inlineStr"/>
    </row>
    <row r="461" ht="15" customHeight="1">
      <c r="A461" t="inlineStr">
        <is>
          <t>A 59497-2022</t>
        </is>
      </c>
      <c r="B461" s="1" t="n">
        <v>44907.48258101852</v>
      </c>
      <c r="C461" s="1" t="n">
        <v>45973</v>
      </c>
      <c r="D461" t="inlineStr">
        <is>
          <t>UPPSALA LÄN</t>
        </is>
      </c>
      <c r="E461" t="inlineStr">
        <is>
          <t>ENKÖPING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49614-2024</t>
        </is>
      </c>
      <c r="B462" s="1" t="n">
        <v>45596.57716435185</v>
      </c>
      <c r="C462" s="1" t="n">
        <v>45973</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49632-2024</t>
        </is>
      </c>
      <c r="B463" s="1" t="n">
        <v>45596</v>
      </c>
      <c r="C463" s="1" t="n">
        <v>45973</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30837-2025</t>
        </is>
      </c>
      <c r="B464" s="1" t="n">
        <v>45831.7063425926</v>
      </c>
      <c r="C464" s="1" t="n">
        <v>45973</v>
      </c>
      <c r="D464" t="inlineStr">
        <is>
          <t>UPPSALA LÄN</t>
        </is>
      </c>
      <c r="E464" t="inlineStr">
        <is>
          <t>ENKÖPING</t>
        </is>
      </c>
      <c r="G464" t="n">
        <v>3.8</v>
      </c>
      <c r="H464" t="n">
        <v>0</v>
      </c>
      <c r="I464" t="n">
        <v>0</v>
      </c>
      <c r="J464" t="n">
        <v>0</v>
      </c>
      <c r="K464" t="n">
        <v>0</v>
      </c>
      <c r="L464" t="n">
        <v>0</v>
      </c>
      <c r="M464" t="n">
        <v>0</v>
      </c>
      <c r="N464" t="n">
        <v>0</v>
      </c>
      <c r="O464" t="n">
        <v>0</v>
      </c>
      <c r="P464" t="n">
        <v>0</v>
      </c>
      <c r="Q464" t="n">
        <v>0</v>
      </c>
      <c r="R464" s="2" t="inlineStr"/>
    </row>
    <row r="465" ht="15" customHeight="1">
      <c r="A465" t="inlineStr">
        <is>
          <t>A 51030-2024</t>
        </is>
      </c>
      <c r="B465" s="1" t="n">
        <v>45603</v>
      </c>
      <c r="C465" s="1" t="n">
        <v>45973</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15405-2025</t>
        </is>
      </c>
      <c r="B466" s="1" t="n">
        <v>45747.44670138889</v>
      </c>
      <c r="C466" s="1" t="n">
        <v>45973</v>
      </c>
      <c r="D466" t="inlineStr">
        <is>
          <t>UPPSALA LÄN</t>
        </is>
      </c>
      <c r="E466" t="inlineStr">
        <is>
          <t>ENKÖPING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32031-2025</t>
        </is>
      </c>
      <c r="B467" s="1" t="n">
        <v>45835.41712962963</v>
      </c>
      <c r="C467" s="1" t="n">
        <v>45973</v>
      </c>
      <c r="D467" t="inlineStr">
        <is>
          <t>UPPSALA LÄN</t>
        </is>
      </c>
      <c r="E467" t="inlineStr">
        <is>
          <t>ENKÖPING</t>
        </is>
      </c>
      <c r="G467" t="n">
        <v>2.7</v>
      </c>
      <c r="H467" t="n">
        <v>0</v>
      </c>
      <c r="I467" t="n">
        <v>0</v>
      </c>
      <c r="J467" t="n">
        <v>0</v>
      </c>
      <c r="K467" t="n">
        <v>0</v>
      </c>
      <c r="L467" t="n">
        <v>0</v>
      </c>
      <c r="M467" t="n">
        <v>0</v>
      </c>
      <c r="N467" t="n">
        <v>0</v>
      </c>
      <c r="O467" t="n">
        <v>0</v>
      </c>
      <c r="P467" t="n">
        <v>0</v>
      </c>
      <c r="Q467" t="n">
        <v>0</v>
      </c>
      <c r="R467" s="2" t="inlineStr"/>
    </row>
    <row r="468" ht="15" customHeight="1">
      <c r="A468" t="inlineStr">
        <is>
          <t>A 32111-2025</t>
        </is>
      </c>
      <c r="B468" s="1" t="n">
        <v>45835</v>
      </c>
      <c r="C468" s="1" t="n">
        <v>45973</v>
      </c>
      <c r="D468" t="inlineStr">
        <is>
          <t>UPPSALA LÄN</t>
        </is>
      </c>
      <c r="E468" t="inlineStr">
        <is>
          <t>ENKÖPING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15740-2025</t>
        </is>
      </c>
      <c r="B469" s="1" t="n">
        <v>45748</v>
      </c>
      <c r="C469" s="1" t="n">
        <v>45973</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57848-2024</t>
        </is>
      </c>
      <c r="B470" s="1" t="n">
        <v>45631.40947916666</v>
      </c>
      <c r="C470" s="1" t="n">
        <v>45973</v>
      </c>
      <c r="D470" t="inlineStr">
        <is>
          <t>UPPSALA LÄN</t>
        </is>
      </c>
      <c r="E470" t="inlineStr">
        <is>
          <t>ENKÖPING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18994-2025</t>
        </is>
      </c>
      <c r="B471" s="1" t="n">
        <v>45764.57350694444</v>
      </c>
      <c r="C471" s="1" t="n">
        <v>45973</v>
      </c>
      <c r="D471" t="inlineStr">
        <is>
          <t>UPPSALA LÄN</t>
        </is>
      </c>
      <c r="E471" t="inlineStr">
        <is>
          <t>ENKÖPING</t>
        </is>
      </c>
      <c r="G471" t="n">
        <v>3.8</v>
      </c>
      <c r="H471" t="n">
        <v>0</v>
      </c>
      <c r="I471" t="n">
        <v>0</v>
      </c>
      <c r="J471" t="n">
        <v>0</v>
      </c>
      <c r="K471" t="n">
        <v>0</v>
      </c>
      <c r="L471" t="n">
        <v>0</v>
      </c>
      <c r="M471" t="n">
        <v>0</v>
      </c>
      <c r="N471" t="n">
        <v>0</v>
      </c>
      <c r="O471" t="n">
        <v>0</v>
      </c>
      <c r="P471" t="n">
        <v>0</v>
      </c>
      <c r="Q471" t="n">
        <v>0</v>
      </c>
      <c r="R471" s="2" t="inlineStr"/>
    </row>
    <row r="472" ht="15" customHeight="1">
      <c r="A472" t="inlineStr">
        <is>
          <t>A 49601-2024</t>
        </is>
      </c>
      <c r="B472" s="1" t="n">
        <v>45596.56288194445</v>
      </c>
      <c r="C472" s="1" t="n">
        <v>45973</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17844-2025</t>
        </is>
      </c>
      <c r="B473" s="1" t="n">
        <v>45758.59920138889</v>
      </c>
      <c r="C473" s="1" t="n">
        <v>45973</v>
      </c>
      <c r="D473" t="inlineStr">
        <is>
          <t>UPPSALA LÄN</t>
        </is>
      </c>
      <c r="E473" t="inlineStr">
        <is>
          <t>ENKÖPING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27837-2025</t>
        </is>
      </c>
      <c r="B474" s="1" t="n">
        <v>45817.37207175926</v>
      </c>
      <c r="C474" s="1" t="n">
        <v>45973</v>
      </c>
      <c r="D474" t="inlineStr">
        <is>
          <t>UPPSALA LÄN</t>
        </is>
      </c>
      <c r="E474" t="inlineStr">
        <is>
          <t>ENKÖPING</t>
        </is>
      </c>
      <c r="G474" t="n">
        <v>7.3</v>
      </c>
      <c r="H474" t="n">
        <v>0</v>
      </c>
      <c r="I474" t="n">
        <v>0</v>
      </c>
      <c r="J474" t="n">
        <v>0</v>
      </c>
      <c r="K474" t="n">
        <v>0</v>
      </c>
      <c r="L474" t="n">
        <v>0</v>
      </c>
      <c r="M474" t="n">
        <v>0</v>
      </c>
      <c r="N474" t="n">
        <v>0</v>
      </c>
      <c r="O474" t="n">
        <v>0</v>
      </c>
      <c r="P474" t="n">
        <v>0</v>
      </c>
      <c r="Q474" t="n">
        <v>0</v>
      </c>
      <c r="R474" s="2" t="inlineStr"/>
    </row>
    <row r="475" ht="15" customHeight="1">
      <c r="A475" t="inlineStr">
        <is>
          <t>A 29513-2025</t>
        </is>
      </c>
      <c r="B475" s="1" t="n">
        <v>45825</v>
      </c>
      <c r="C475" s="1" t="n">
        <v>45973</v>
      </c>
      <c r="D475" t="inlineStr">
        <is>
          <t>UPPSALA LÄN</t>
        </is>
      </c>
      <c r="E475" t="inlineStr">
        <is>
          <t>ENKÖPING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21501-2025</t>
        </is>
      </c>
      <c r="B476" s="1" t="n">
        <v>45782</v>
      </c>
      <c r="C476" s="1" t="n">
        <v>45973</v>
      </c>
      <c r="D476" t="inlineStr">
        <is>
          <t>UPPSALA LÄN</t>
        </is>
      </c>
      <c r="E476" t="inlineStr">
        <is>
          <t>ENKÖPING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34987-2025</t>
        </is>
      </c>
      <c r="B477" s="1" t="n">
        <v>45849</v>
      </c>
      <c r="C477" s="1" t="n">
        <v>45973</v>
      </c>
      <c r="D477" t="inlineStr">
        <is>
          <t>UPPSALA LÄN</t>
        </is>
      </c>
      <c r="E477" t="inlineStr">
        <is>
          <t>ENKÖPING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34988-2025</t>
        </is>
      </c>
      <c r="B478" s="1" t="n">
        <v>45849</v>
      </c>
      <c r="C478" s="1" t="n">
        <v>45973</v>
      </c>
      <c r="D478" t="inlineStr">
        <is>
          <t>UPPSALA LÄN</t>
        </is>
      </c>
      <c r="E478" t="inlineStr">
        <is>
          <t>ENKÖPING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36350-2025</t>
        </is>
      </c>
      <c r="B479" s="1" t="n">
        <v>45868</v>
      </c>
      <c r="C479" s="1" t="n">
        <v>45973</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25989-2025</t>
        </is>
      </c>
      <c r="B480" s="1" t="n">
        <v>45804.65050925926</v>
      </c>
      <c r="C480" s="1" t="n">
        <v>45973</v>
      </c>
      <c r="D480" t="inlineStr">
        <is>
          <t>UPPSALA LÄN</t>
        </is>
      </c>
      <c r="E480" t="inlineStr">
        <is>
          <t>ENKÖPING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36599-2025</t>
        </is>
      </c>
      <c r="B481" s="1" t="n">
        <v>45870.51723379629</v>
      </c>
      <c r="C481" s="1" t="n">
        <v>45973</v>
      </c>
      <c r="D481" t="inlineStr">
        <is>
          <t>UPPSALA LÄN</t>
        </is>
      </c>
      <c r="E481" t="inlineStr">
        <is>
          <t>ENKÖPING</t>
        </is>
      </c>
      <c r="G481" t="n">
        <v>5.9</v>
      </c>
      <c r="H481" t="n">
        <v>0</v>
      </c>
      <c r="I481" t="n">
        <v>0</v>
      </c>
      <c r="J481" t="n">
        <v>0</v>
      </c>
      <c r="K481" t="n">
        <v>0</v>
      </c>
      <c r="L481" t="n">
        <v>0</v>
      </c>
      <c r="M481" t="n">
        <v>0</v>
      </c>
      <c r="N481" t="n">
        <v>0</v>
      </c>
      <c r="O481" t="n">
        <v>0</v>
      </c>
      <c r="P481" t="n">
        <v>0</v>
      </c>
      <c r="Q481" t="n">
        <v>0</v>
      </c>
      <c r="R481" s="2" t="inlineStr"/>
    </row>
    <row r="482" ht="15" customHeight="1">
      <c r="A482" t="inlineStr">
        <is>
          <t>A 36492-2025</t>
        </is>
      </c>
      <c r="B482" s="1" t="n">
        <v>45869</v>
      </c>
      <c r="C482" s="1" t="n">
        <v>45973</v>
      </c>
      <c r="D482" t="inlineStr">
        <is>
          <t>UPPSALA LÄN</t>
        </is>
      </c>
      <c r="E482" t="inlineStr">
        <is>
          <t>ENKÖPING</t>
        </is>
      </c>
      <c r="G482" t="n">
        <v>6.3</v>
      </c>
      <c r="H482" t="n">
        <v>0</v>
      </c>
      <c r="I482" t="n">
        <v>0</v>
      </c>
      <c r="J482" t="n">
        <v>0</v>
      </c>
      <c r="K482" t="n">
        <v>0</v>
      </c>
      <c r="L482" t="n">
        <v>0</v>
      </c>
      <c r="M482" t="n">
        <v>0</v>
      </c>
      <c r="N482" t="n">
        <v>0</v>
      </c>
      <c r="O482" t="n">
        <v>0</v>
      </c>
      <c r="P482" t="n">
        <v>0</v>
      </c>
      <c r="Q482" t="n">
        <v>0</v>
      </c>
      <c r="R482" s="2" t="inlineStr"/>
    </row>
    <row r="483" ht="15" customHeight="1">
      <c r="A483" t="inlineStr">
        <is>
          <t>A 37319-2025</t>
        </is>
      </c>
      <c r="B483" s="1" t="n">
        <v>45876</v>
      </c>
      <c r="C483" s="1" t="n">
        <v>45973</v>
      </c>
      <c r="D483" t="inlineStr">
        <is>
          <t>UPPSALA LÄN</t>
        </is>
      </c>
      <c r="E483" t="inlineStr">
        <is>
          <t>ENKÖPING</t>
        </is>
      </c>
      <c r="G483" t="n">
        <v>9.5</v>
      </c>
      <c r="H483" t="n">
        <v>0</v>
      </c>
      <c r="I483" t="n">
        <v>0</v>
      </c>
      <c r="J483" t="n">
        <v>0</v>
      </c>
      <c r="K483" t="n">
        <v>0</v>
      </c>
      <c r="L483" t="n">
        <v>0</v>
      </c>
      <c r="M483" t="n">
        <v>0</v>
      </c>
      <c r="N483" t="n">
        <v>0</v>
      </c>
      <c r="O483" t="n">
        <v>0</v>
      </c>
      <c r="P483" t="n">
        <v>0</v>
      </c>
      <c r="Q483" t="n">
        <v>0</v>
      </c>
      <c r="R483" s="2" t="inlineStr"/>
    </row>
    <row r="484" ht="15" customHeight="1">
      <c r="A484" t="inlineStr">
        <is>
          <t>A 37296-2025</t>
        </is>
      </c>
      <c r="B484" s="1" t="n">
        <v>45876</v>
      </c>
      <c r="C484" s="1" t="n">
        <v>45973</v>
      </c>
      <c r="D484" t="inlineStr">
        <is>
          <t>UPPSALA LÄN</t>
        </is>
      </c>
      <c r="E484" t="inlineStr">
        <is>
          <t>ENKÖPING</t>
        </is>
      </c>
      <c r="G484" t="n">
        <v>9.5</v>
      </c>
      <c r="H484" t="n">
        <v>0</v>
      </c>
      <c r="I484" t="n">
        <v>0</v>
      </c>
      <c r="J484" t="n">
        <v>0</v>
      </c>
      <c r="K484" t="n">
        <v>0</v>
      </c>
      <c r="L484" t="n">
        <v>0</v>
      </c>
      <c r="M484" t="n">
        <v>0</v>
      </c>
      <c r="N484" t="n">
        <v>0</v>
      </c>
      <c r="O484" t="n">
        <v>0</v>
      </c>
      <c r="P484" t="n">
        <v>0</v>
      </c>
      <c r="Q484" t="n">
        <v>0</v>
      </c>
      <c r="R484" s="2" t="inlineStr"/>
    </row>
    <row r="485" ht="15" customHeight="1">
      <c r="A485" t="inlineStr">
        <is>
          <t>A 37498-2025</t>
        </is>
      </c>
      <c r="B485" s="1" t="n">
        <v>45877</v>
      </c>
      <c r="C485" s="1" t="n">
        <v>45973</v>
      </c>
      <c r="D485" t="inlineStr">
        <is>
          <t>UPPSALA LÄN</t>
        </is>
      </c>
      <c r="E485" t="inlineStr">
        <is>
          <t>ENKÖPING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49622-2024</t>
        </is>
      </c>
      <c r="B486" s="1" t="n">
        <v>45596.58372685185</v>
      </c>
      <c r="C486" s="1" t="n">
        <v>45973</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c r="A487" t="inlineStr">
        <is>
          <t>A 21017-2023</t>
        </is>
      </c>
      <c r="B487" s="1" t="n">
        <v>45061</v>
      </c>
      <c r="C487" s="1" t="n">
        <v>45973</v>
      </c>
      <c r="D487" t="inlineStr">
        <is>
          <t>UPPSALA LÄN</t>
        </is>
      </c>
      <c r="E487" t="inlineStr">
        <is>
          <t>ENKÖPING</t>
        </is>
      </c>
      <c r="G487" t="n">
        <v>4.8</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2025-11-12T10:10:46Z</dcterms:created>
  <dcterms:modified xmlns:dcterms="http://purl.org/dc/terms/" xmlns:xsi="http://www.w3.org/2001/XMLSchema-instance" xsi:type="dcterms:W3CDTF">2025-11-12T10:10:46Z</dcterms:modified>
</cp:coreProperties>
</file>