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46127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46127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46127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46127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46127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46127</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46127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31552-2023</t>
        </is>
      </c>
      <c r="B9" s="1" t="n">
        <v>45104</v>
      </c>
      <c r="C9" s="1" t="n">
        <v>46127</v>
      </c>
      <c r="D9" t="inlineStr">
        <is>
          <t>UPPSALA LÄN</t>
        </is>
      </c>
      <c r="E9" t="inlineStr">
        <is>
          <t>ENKÖPING</t>
        </is>
      </c>
      <c r="G9" t="n">
        <v>2.6</v>
      </c>
      <c r="H9" t="n">
        <v>2</v>
      </c>
      <c r="I9" t="n">
        <v>2</v>
      </c>
      <c r="J9" t="n">
        <v>1</v>
      </c>
      <c r="K9" t="n">
        <v>1</v>
      </c>
      <c r="L9" t="n">
        <v>0</v>
      </c>
      <c r="M9" t="n">
        <v>0</v>
      </c>
      <c r="N9" t="n">
        <v>0</v>
      </c>
      <c r="O9" t="n">
        <v>2</v>
      </c>
      <c r="P9" t="n">
        <v>1</v>
      </c>
      <c r="Q9" t="n">
        <v>4</v>
      </c>
      <c r="R9" s="2" t="inlineStr">
        <is>
          <t>Bombmurkla
Fyrflikig jordstjärna
Grön sköldmossa
Grönpyrola</t>
        </is>
      </c>
      <c r="S9">
        <f>HYPERLINK("https://klasma.github.io/Logging_0381/artfynd/A 31552-2023 artfynd.xlsx", "A 31552-2023")</f>
        <v/>
      </c>
      <c r="T9">
        <f>HYPERLINK("https://klasma.github.io/Logging_0381/kartor/A 31552-2023 karta.png", "A 31552-2023")</f>
        <v/>
      </c>
      <c r="V9">
        <f>HYPERLINK("https://klasma.github.io/Logging_0381/klagomål/A 31552-2023 FSC-klagomål.docx", "A 31552-2023")</f>
        <v/>
      </c>
      <c r="W9">
        <f>HYPERLINK("https://klasma.github.io/Logging_0381/klagomålsmail/A 31552-2023 FSC-klagomål mail.docx", "A 31552-2023")</f>
        <v/>
      </c>
      <c r="X9">
        <f>HYPERLINK("https://klasma.github.io/Logging_0381/tillsyn/A 31552-2023 tillsynsbegäran.docx", "A 31552-2023")</f>
        <v/>
      </c>
      <c r="Y9">
        <f>HYPERLINK("https://klasma.github.io/Logging_0381/tillsynsmail/A 31552-2023 tillsynsbegäran mail.docx", "A 31552-2023")</f>
        <v/>
      </c>
    </row>
    <row r="10" ht="15" customHeight="1">
      <c r="A10" t="inlineStr">
        <is>
          <t>A 73903-2021</t>
        </is>
      </c>
      <c r="B10" s="1" t="n">
        <v>44552</v>
      </c>
      <c r="C10" s="1" t="n">
        <v>46127</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46127</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46127</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46127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46127</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46127</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46127</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9147-2026</t>
        </is>
      </c>
      <c r="B17" s="1" t="n">
        <v>46070.30649305556</v>
      </c>
      <c r="C17" s="1" t="n">
        <v>46127</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425-2024</t>
        </is>
      </c>
      <c r="B18" s="1" t="n">
        <v>45296</v>
      </c>
      <c r="C18" s="1" t="n">
        <v>46127</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46127</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46127</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46127</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46127</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46127</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26347-2025</t>
        </is>
      </c>
      <c r="B24" s="1" t="n">
        <v>45805.7403125</v>
      </c>
      <c r="C24" s="1" t="n">
        <v>46127</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46127</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29510-2025</t>
        </is>
      </c>
      <c r="B26" s="1" t="n">
        <v>45825</v>
      </c>
      <c r="C26" s="1" t="n">
        <v>46127</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1524-2023</t>
        </is>
      </c>
      <c r="B27" s="1" t="n">
        <v>44935</v>
      </c>
      <c r="C27" s="1" t="n">
        <v>46127</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52439-2025</t>
        </is>
      </c>
      <c r="B28" s="1" t="n">
        <v>45954.40697916667</v>
      </c>
      <c r="C28" s="1" t="n">
        <v>46127</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4166-2026</t>
        </is>
      </c>
      <c r="B29" s="1" t="n">
        <v>46044.66402777778</v>
      </c>
      <c r="C29" s="1" t="n">
        <v>46127</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28900-2024</t>
        </is>
      </c>
      <c r="B30" s="1" t="n">
        <v>45480</v>
      </c>
      <c r="C30" s="1" t="n">
        <v>46127</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46749-2024</t>
        </is>
      </c>
      <c r="B31" s="1" t="n">
        <v>45583.48347222222</v>
      </c>
      <c r="C31" s="1" t="n">
        <v>46127</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Tallkötticka</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45116-2023</t>
        </is>
      </c>
      <c r="B32" s="1" t="n">
        <v>45191</v>
      </c>
      <c r="C32" s="1" t="n">
        <v>46127</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23961-2022</t>
        </is>
      </c>
      <c r="B33" s="1" t="n">
        <v>44722</v>
      </c>
      <c r="C33" s="1" t="n">
        <v>46127</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Blåsippa</t>
        </is>
      </c>
      <c r="S33">
        <f>HYPERLINK("https://klasma.github.io/Logging_0381/artfynd/A 23961-2022 artfynd.xlsx", "A 23961-2022")</f>
        <v/>
      </c>
      <c r="T33">
        <f>HYPERLINK("https://klasma.github.io/Logging_0381/kartor/A 23961-2022 karta.png", "A 23961-2022")</f>
        <v/>
      </c>
      <c r="V33">
        <f>HYPERLINK("https://klasma.github.io/Logging_0381/klagomål/A 23961-2022 FSC-klagomål.docx", "A 23961-2022")</f>
        <v/>
      </c>
      <c r="W33">
        <f>HYPERLINK("https://klasma.github.io/Logging_0381/klagomålsmail/A 23961-2022 FSC-klagomål mail.docx", "A 23961-2022")</f>
        <v/>
      </c>
      <c r="X33">
        <f>HYPERLINK("https://klasma.github.io/Logging_0381/tillsyn/A 23961-2022 tillsynsbegäran.docx", "A 23961-2022")</f>
        <v/>
      </c>
      <c r="Y33">
        <f>HYPERLINK("https://klasma.github.io/Logging_0381/tillsynsmail/A 23961-2022 tillsynsbegäran mail.docx", "A 23961-2022")</f>
        <v/>
      </c>
    </row>
    <row r="34" ht="15" customHeight="1">
      <c r="A34" t="inlineStr">
        <is>
          <t>A 33339-2024</t>
        </is>
      </c>
      <c r="B34" s="1" t="n">
        <v>45519</v>
      </c>
      <c r="C34" s="1" t="n">
        <v>46127</v>
      </c>
      <c r="D34" t="inlineStr">
        <is>
          <t>UPPSALA LÄN</t>
        </is>
      </c>
      <c r="E34" t="inlineStr">
        <is>
          <t>ENKÖPING</t>
        </is>
      </c>
      <c r="G34" t="n">
        <v>2.3</v>
      </c>
      <c r="H34" t="n">
        <v>0</v>
      </c>
      <c r="I34" t="n">
        <v>0</v>
      </c>
      <c r="J34" t="n">
        <v>1</v>
      </c>
      <c r="K34" t="n">
        <v>0</v>
      </c>
      <c r="L34" t="n">
        <v>0</v>
      </c>
      <c r="M34" t="n">
        <v>0</v>
      </c>
      <c r="N34" t="n">
        <v>0</v>
      </c>
      <c r="O34" t="n">
        <v>1</v>
      </c>
      <c r="P34" t="n">
        <v>0</v>
      </c>
      <c r="Q34" t="n">
        <v>1</v>
      </c>
      <c r="R34" s="2" t="inlineStr">
        <is>
          <t>Ullticka</t>
        </is>
      </c>
      <c r="S34">
        <f>HYPERLINK("https://klasma.github.io/Logging_0381/artfynd/A 33339-2024 artfynd.xlsx", "A 33339-2024")</f>
        <v/>
      </c>
      <c r="T34">
        <f>HYPERLINK("https://klasma.github.io/Logging_0381/kartor/A 33339-2024 karta.png", "A 33339-2024")</f>
        <v/>
      </c>
      <c r="V34">
        <f>HYPERLINK("https://klasma.github.io/Logging_0381/klagomål/A 33339-2024 FSC-klagomål.docx", "A 33339-2024")</f>
        <v/>
      </c>
      <c r="W34">
        <f>HYPERLINK("https://klasma.github.io/Logging_0381/klagomålsmail/A 33339-2024 FSC-klagomål mail.docx", "A 33339-2024")</f>
        <v/>
      </c>
      <c r="X34">
        <f>HYPERLINK("https://klasma.github.io/Logging_0381/tillsyn/A 33339-2024 tillsynsbegäran.docx", "A 33339-2024")</f>
        <v/>
      </c>
      <c r="Y34">
        <f>HYPERLINK("https://klasma.github.io/Logging_0381/tillsynsmail/A 33339-2024 tillsynsbegäran mail.docx", "A 33339-2024")</f>
        <v/>
      </c>
    </row>
    <row r="35" ht="15" customHeight="1">
      <c r="A35" t="inlineStr">
        <is>
          <t>A 55582-2021</t>
        </is>
      </c>
      <c r="B35" s="1" t="n">
        <v>44475</v>
      </c>
      <c r="C35" s="1" t="n">
        <v>46127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46127</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46127</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46127</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22058-2021</t>
        </is>
      </c>
      <c r="B39" s="1" t="n">
        <v>44323</v>
      </c>
      <c r="C39" s="1" t="n">
        <v>46127</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46127</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46127</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46127</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24399-2021</t>
        </is>
      </c>
      <c r="B43" s="1" t="n">
        <v>44337</v>
      </c>
      <c r="C43" s="1" t="n">
        <v>46127</v>
      </c>
      <c r="D43" t="inlineStr">
        <is>
          <t>UPPSALA LÄN</t>
        </is>
      </c>
      <c r="E43" t="inlineStr">
        <is>
          <t>ENKÖPING</t>
        </is>
      </c>
      <c r="G43" t="n">
        <v>4</v>
      </c>
      <c r="H43" t="n">
        <v>0</v>
      </c>
      <c r="I43" t="n">
        <v>0</v>
      </c>
      <c r="J43" t="n">
        <v>0</v>
      </c>
      <c r="K43" t="n">
        <v>0</v>
      </c>
      <c r="L43" t="n">
        <v>0</v>
      </c>
      <c r="M43" t="n">
        <v>0</v>
      </c>
      <c r="N43" t="n">
        <v>0</v>
      </c>
      <c r="O43" t="n">
        <v>0</v>
      </c>
      <c r="P43" t="n">
        <v>0</v>
      </c>
      <c r="Q43" t="n">
        <v>0</v>
      </c>
      <c r="R43" s="2" t="inlineStr"/>
    </row>
    <row r="44" ht="15" customHeight="1">
      <c r="A44" t="inlineStr">
        <is>
          <t>A 32748-2021</t>
        </is>
      </c>
      <c r="B44" s="1" t="n">
        <v>44375.53055555555</v>
      </c>
      <c r="C44" s="1" t="n">
        <v>46127</v>
      </c>
      <c r="D44" t="inlineStr">
        <is>
          <t>UPPSALA LÄN</t>
        </is>
      </c>
      <c r="E44" t="inlineStr">
        <is>
          <t>ENKÖPING</t>
        </is>
      </c>
      <c r="G44" t="n">
        <v>1.1</v>
      </c>
      <c r="H44" t="n">
        <v>0</v>
      </c>
      <c r="I44" t="n">
        <v>0</v>
      </c>
      <c r="J44" t="n">
        <v>0</v>
      </c>
      <c r="K44" t="n">
        <v>0</v>
      </c>
      <c r="L44" t="n">
        <v>0</v>
      </c>
      <c r="M44" t="n">
        <v>0</v>
      </c>
      <c r="N44" t="n">
        <v>0</v>
      </c>
      <c r="O44" t="n">
        <v>0</v>
      </c>
      <c r="P44" t="n">
        <v>0</v>
      </c>
      <c r="Q44" t="n">
        <v>0</v>
      </c>
      <c r="R44" s="2" t="inlineStr"/>
    </row>
    <row r="45" ht="15" customHeight="1">
      <c r="A45" t="inlineStr">
        <is>
          <t>A 54433-2021</t>
        </is>
      </c>
      <c r="B45" s="1" t="n">
        <v>44473</v>
      </c>
      <c r="C45" s="1" t="n">
        <v>46127</v>
      </c>
      <c r="D45" t="inlineStr">
        <is>
          <t>UPPSALA LÄN</t>
        </is>
      </c>
      <c r="E45" t="inlineStr">
        <is>
          <t>ENKÖPING</t>
        </is>
      </c>
      <c r="G45" t="n">
        <v>1</v>
      </c>
      <c r="H45" t="n">
        <v>0</v>
      </c>
      <c r="I45" t="n">
        <v>0</v>
      </c>
      <c r="J45" t="n">
        <v>0</v>
      </c>
      <c r="K45" t="n">
        <v>0</v>
      </c>
      <c r="L45" t="n">
        <v>0</v>
      </c>
      <c r="M45" t="n">
        <v>0</v>
      </c>
      <c r="N45" t="n">
        <v>0</v>
      </c>
      <c r="O45" t="n">
        <v>0</v>
      </c>
      <c r="P45" t="n">
        <v>0</v>
      </c>
      <c r="Q45" t="n">
        <v>0</v>
      </c>
      <c r="R45" s="2" t="inlineStr"/>
    </row>
    <row r="46" ht="15" customHeight="1">
      <c r="A46" t="inlineStr">
        <is>
          <t>A 10202-2022</t>
        </is>
      </c>
      <c r="B46" s="1" t="n">
        <v>44622</v>
      </c>
      <c r="C46" s="1" t="n">
        <v>46127</v>
      </c>
      <c r="D46" t="inlineStr">
        <is>
          <t>UPPSALA LÄN</t>
        </is>
      </c>
      <c r="E46" t="inlineStr">
        <is>
          <t>ENKÖPING</t>
        </is>
      </c>
      <c r="G46" t="n">
        <v>5.6</v>
      </c>
      <c r="H46" t="n">
        <v>0</v>
      </c>
      <c r="I46" t="n">
        <v>0</v>
      </c>
      <c r="J46" t="n">
        <v>0</v>
      </c>
      <c r="K46" t="n">
        <v>0</v>
      </c>
      <c r="L46" t="n">
        <v>0</v>
      </c>
      <c r="M46" t="n">
        <v>0</v>
      </c>
      <c r="N46" t="n">
        <v>0</v>
      </c>
      <c r="O46" t="n">
        <v>0</v>
      </c>
      <c r="P46" t="n">
        <v>0</v>
      </c>
      <c r="Q46" t="n">
        <v>0</v>
      </c>
      <c r="R46" s="2" t="inlineStr"/>
    </row>
    <row r="47" ht="15" customHeight="1">
      <c r="A47" t="inlineStr">
        <is>
          <t>A 10207-2022</t>
        </is>
      </c>
      <c r="B47" s="1" t="n">
        <v>44622</v>
      </c>
      <c r="C47" s="1" t="n">
        <v>46127</v>
      </c>
      <c r="D47" t="inlineStr">
        <is>
          <t>UPPSALA LÄN</t>
        </is>
      </c>
      <c r="E47" t="inlineStr">
        <is>
          <t>ENKÖPING</t>
        </is>
      </c>
      <c r="G47" t="n">
        <v>4.9</v>
      </c>
      <c r="H47" t="n">
        <v>0</v>
      </c>
      <c r="I47" t="n">
        <v>0</v>
      </c>
      <c r="J47" t="n">
        <v>0</v>
      </c>
      <c r="K47" t="n">
        <v>0</v>
      </c>
      <c r="L47" t="n">
        <v>0</v>
      </c>
      <c r="M47" t="n">
        <v>0</v>
      </c>
      <c r="N47" t="n">
        <v>0</v>
      </c>
      <c r="O47" t="n">
        <v>0</v>
      </c>
      <c r="P47" t="n">
        <v>0</v>
      </c>
      <c r="Q47" t="n">
        <v>0</v>
      </c>
      <c r="R47" s="2" t="inlineStr"/>
    </row>
    <row r="48" ht="15" customHeight="1">
      <c r="A48" t="inlineStr">
        <is>
          <t>A 17704-2022</t>
        </is>
      </c>
      <c r="B48" s="1" t="n">
        <v>44680.61315972222</v>
      </c>
      <c r="C48" s="1" t="n">
        <v>46127</v>
      </c>
      <c r="D48" t="inlineStr">
        <is>
          <t>UPPSALA LÄN</t>
        </is>
      </c>
      <c r="E48" t="inlineStr">
        <is>
          <t>ENKÖPING</t>
        </is>
      </c>
      <c r="G48" t="n">
        <v>0.8</v>
      </c>
      <c r="H48" t="n">
        <v>0</v>
      </c>
      <c r="I48" t="n">
        <v>0</v>
      </c>
      <c r="J48" t="n">
        <v>0</v>
      </c>
      <c r="K48" t="n">
        <v>0</v>
      </c>
      <c r="L48" t="n">
        <v>0</v>
      </c>
      <c r="M48" t="n">
        <v>0</v>
      </c>
      <c r="N48" t="n">
        <v>0</v>
      </c>
      <c r="O48" t="n">
        <v>0</v>
      </c>
      <c r="P48" t="n">
        <v>0</v>
      </c>
      <c r="Q48" t="n">
        <v>0</v>
      </c>
      <c r="R48" s="2" t="inlineStr"/>
    </row>
    <row r="49" ht="15" customHeight="1">
      <c r="A49" t="inlineStr">
        <is>
          <t>A 46749-2022</t>
        </is>
      </c>
      <c r="B49" s="1" t="n">
        <v>44851</v>
      </c>
      <c r="C49" s="1" t="n">
        <v>46127</v>
      </c>
      <c r="D49" t="inlineStr">
        <is>
          <t>UPPSALA LÄN</t>
        </is>
      </c>
      <c r="E49" t="inlineStr">
        <is>
          <t>ENKÖPING</t>
        </is>
      </c>
      <c r="G49" t="n">
        <v>6.6</v>
      </c>
      <c r="H49" t="n">
        <v>0</v>
      </c>
      <c r="I49" t="n">
        <v>0</v>
      </c>
      <c r="J49" t="n">
        <v>0</v>
      </c>
      <c r="K49" t="n">
        <v>0</v>
      </c>
      <c r="L49" t="n">
        <v>0</v>
      </c>
      <c r="M49" t="n">
        <v>0</v>
      </c>
      <c r="N49" t="n">
        <v>0</v>
      </c>
      <c r="O49" t="n">
        <v>0</v>
      </c>
      <c r="P49" t="n">
        <v>0</v>
      </c>
      <c r="Q49" t="n">
        <v>0</v>
      </c>
      <c r="R49" s="2" t="inlineStr"/>
    </row>
    <row r="50" ht="15" customHeight="1">
      <c r="A50" t="inlineStr">
        <is>
          <t>A 18785-2022</t>
        </is>
      </c>
      <c r="B50" s="1" t="n">
        <v>44687</v>
      </c>
      <c r="C50" s="1" t="n">
        <v>46127</v>
      </c>
      <c r="D50" t="inlineStr">
        <is>
          <t>UPPSALA LÄN</t>
        </is>
      </c>
      <c r="E50" t="inlineStr">
        <is>
          <t>ENKÖPING</t>
        </is>
      </c>
      <c r="G50" t="n">
        <v>3.4</v>
      </c>
      <c r="H50" t="n">
        <v>0</v>
      </c>
      <c r="I50" t="n">
        <v>0</v>
      </c>
      <c r="J50" t="n">
        <v>0</v>
      </c>
      <c r="K50" t="n">
        <v>0</v>
      </c>
      <c r="L50" t="n">
        <v>0</v>
      </c>
      <c r="M50" t="n">
        <v>0</v>
      </c>
      <c r="N50" t="n">
        <v>0</v>
      </c>
      <c r="O50" t="n">
        <v>0</v>
      </c>
      <c r="P50" t="n">
        <v>0</v>
      </c>
      <c r="Q50" t="n">
        <v>0</v>
      </c>
      <c r="R50" s="2" t="inlineStr"/>
    </row>
    <row r="51" ht="15" customHeight="1">
      <c r="A51" t="inlineStr">
        <is>
          <t>A 39922-2022</t>
        </is>
      </c>
      <c r="B51" s="1" t="n">
        <v>44819</v>
      </c>
      <c r="C51" s="1" t="n">
        <v>46127</v>
      </c>
      <c r="D51" t="inlineStr">
        <is>
          <t>UPPSALA LÄN</t>
        </is>
      </c>
      <c r="E51" t="inlineStr">
        <is>
          <t>ENKÖPING</t>
        </is>
      </c>
      <c r="G51" t="n">
        <v>1.7</v>
      </c>
      <c r="H51" t="n">
        <v>0</v>
      </c>
      <c r="I51" t="n">
        <v>0</v>
      </c>
      <c r="J51" t="n">
        <v>0</v>
      </c>
      <c r="K51" t="n">
        <v>0</v>
      </c>
      <c r="L51" t="n">
        <v>0</v>
      </c>
      <c r="M51" t="n">
        <v>0</v>
      </c>
      <c r="N51" t="n">
        <v>0</v>
      </c>
      <c r="O51" t="n">
        <v>0</v>
      </c>
      <c r="P51" t="n">
        <v>0</v>
      </c>
      <c r="Q51" t="n">
        <v>0</v>
      </c>
      <c r="R51" s="2" t="inlineStr"/>
    </row>
    <row r="52" ht="15" customHeight="1">
      <c r="A52" t="inlineStr">
        <is>
          <t>A 41736-2022</t>
        </is>
      </c>
      <c r="B52" s="1" t="n">
        <v>44827</v>
      </c>
      <c r="C52" s="1" t="n">
        <v>46127</v>
      </c>
      <c r="D52" t="inlineStr">
        <is>
          <t>UPPSALA LÄN</t>
        </is>
      </c>
      <c r="E52" t="inlineStr">
        <is>
          <t>ENKÖPING</t>
        </is>
      </c>
      <c r="G52" t="n">
        <v>0.9</v>
      </c>
      <c r="H52" t="n">
        <v>0</v>
      </c>
      <c r="I52" t="n">
        <v>0</v>
      </c>
      <c r="J52" t="n">
        <v>0</v>
      </c>
      <c r="K52" t="n">
        <v>0</v>
      </c>
      <c r="L52" t="n">
        <v>0</v>
      </c>
      <c r="M52" t="n">
        <v>0</v>
      </c>
      <c r="N52" t="n">
        <v>0</v>
      </c>
      <c r="O52" t="n">
        <v>0</v>
      </c>
      <c r="P52" t="n">
        <v>0</v>
      </c>
      <c r="Q52" t="n">
        <v>0</v>
      </c>
      <c r="R52" s="2" t="inlineStr"/>
    </row>
    <row r="53" ht="15" customHeight="1">
      <c r="A53" t="inlineStr">
        <is>
          <t>A 3861-2022</t>
        </is>
      </c>
      <c r="B53" s="1" t="n">
        <v>44587</v>
      </c>
      <c r="C53" s="1" t="n">
        <v>46127</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498-2022</t>
        </is>
      </c>
      <c r="B54" s="1" t="n">
        <v>44566</v>
      </c>
      <c r="C54" s="1" t="n">
        <v>46127</v>
      </c>
      <c r="D54" t="inlineStr">
        <is>
          <t>UPPSALA LÄN</t>
        </is>
      </c>
      <c r="E54" t="inlineStr">
        <is>
          <t>ENKÖPING</t>
        </is>
      </c>
      <c r="F54" t="inlineStr">
        <is>
          <t>Övriga statliga verk och myndigheter</t>
        </is>
      </c>
      <c r="G54" t="n">
        <v>11.1</v>
      </c>
      <c r="H54" t="n">
        <v>0</v>
      </c>
      <c r="I54" t="n">
        <v>0</v>
      </c>
      <c r="J54" t="n">
        <v>0</v>
      </c>
      <c r="K54" t="n">
        <v>0</v>
      </c>
      <c r="L54" t="n">
        <v>0</v>
      </c>
      <c r="M54" t="n">
        <v>0</v>
      </c>
      <c r="N54" t="n">
        <v>0</v>
      </c>
      <c r="O54" t="n">
        <v>0</v>
      </c>
      <c r="P54" t="n">
        <v>0</v>
      </c>
      <c r="Q54" t="n">
        <v>0</v>
      </c>
      <c r="R54" s="2" t="inlineStr"/>
    </row>
    <row r="55" ht="15" customHeight="1">
      <c r="A55" t="inlineStr">
        <is>
          <t>A 16967-2022</t>
        </is>
      </c>
      <c r="B55" s="1" t="n">
        <v>44676</v>
      </c>
      <c r="C55" s="1" t="n">
        <v>46127</v>
      </c>
      <c r="D55" t="inlineStr">
        <is>
          <t>UPPSALA LÄN</t>
        </is>
      </c>
      <c r="E55" t="inlineStr">
        <is>
          <t>ENKÖPING</t>
        </is>
      </c>
      <c r="G55" t="n">
        <v>0.6</v>
      </c>
      <c r="H55" t="n">
        <v>0</v>
      </c>
      <c r="I55" t="n">
        <v>0</v>
      </c>
      <c r="J55" t="n">
        <v>0</v>
      </c>
      <c r="K55" t="n">
        <v>0</v>
      </c>
      <c r="L55" t="n">
        <v>0</v>
      </c>
      <c r="M55" t="n">
        <v>0</v>
      </c>
      <c r="N55" t="n">
        <v>0</v>
      </c>
      <c r="O55" t="n">
        <v>0</v>
      </c>
      <c r="P55" t="n">
        <v>0</v>
      </c>
      <c r="Q55" t="n">
        <v>0</v>
      </c>
      <c r="R55" s="2" t="inlineStr"/>
    </row>
    <row r="56" ht="15" customHeight="1">
      <c r="A56" t="inlineStr">
        <is>
          <t>A 1965-2022</t>
        </is>
      </c>
      <c r="B56" s="1" t="n">
        <v>44575</v>
      </c>
      <c r="C56" s="1" t="n">
        <v>46127</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48230-2022</t>
        </is>
      </c>
      <c r="B57" s="1" t="n">
        <v>44858.45100694444</v>
      </c>
      <c r="C57" s="1" t="n">
        <v>46127</v>
      </c>
      <c r="D57" t="inlineStr">
        <is>
          <t>UPPSALA LÄN</t>
        </is>
      </c>
      <c r="E57" t="inlineStr">
        <is>
          <t>ENKÖPING</t>
        </is>
      </c>
      <c r="G57" t="n">
        <v>0.5</v>
      </c>
      <c r="H57" t="n">
        <v>0</v>
      </c>
      <c r="I57" t="n">
        <v>0</v>
      </c>
      <c r="J57" t="n">
        <v>0</v>
      </c>
      <c r="K57" t="n">
        <v>0</v>
      </c>
      <c r="L57" t="n">
        <v>0</v>
      </c>
      <c r="M57" t="n">
        <v>0</v>
      </c>
      <c r="N57" t="n">
        <v>0</v>
      </c>
      <c r="O57" t="n">
        <v>0</v>
      </c>
      <c r="P57" t="n">
        <v>0</v>
      </c>
      <c r="Q57" t="n">
        <v>0</v>
      </c>
      <c r="R57" s="2" t="inlineStr"/>
    </row>
    <row r="58" ht="15" customHeight="1">
      <c r="A58" t="inlineStr">
        <is>
          <t>A 14531-2022</t>
        </is>
      </c>
      <c r="B58" s="1" t="n">
        <v>44655</v>
      </c>
      <c r="C58" s="1" t="n">
        <v>46127</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48233-2022</t>
        </is>
      </c>
      <c r="B59" s="1" t="n">
        <v>44858.45300925926</v>
      </c>
      <c r="C59" s="1" t="n">
        <v>46127</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29435-2022</t>
        </is>
      </c>
      <c r="B60" s="1" t="n">
        <v>44753.49215277778</v>
      </c>
      <c r="C60" s="1" t="n">
        <v>46127</v>
      </c>
      <c r="D60" t="inlineStr">
        <is>
          <t>UPPSALA LÄN</t>
        </is>
      </c>
      <c r="E60" t="inlineStr">
        <is>
          <t>ENKÖPING</t>
        </is>
      </c>
      <c r="G60" t="n">
        <v>0.7</v>
      </c>
      <c r="H60" t="n">
        <v>0</v>
      </c>
      <c r="I60" t="n">
        <v>0</v>
      </c>
      <c r="J60" t="n">
        <v>0</v>
      </c>
      <c r="K60" t="n">
        <v>0</v>
      </c>
      <c r="L60" t="n">
        <v>0</v>
      </c>
      <c r="M60" t="n">
        <v>0</v>
      </c>
      <c r="N60" t="n">
        <v>0</v>
      </c>
      <c r="O60" t="n">
        <v>0</v>
      </c>
      <c r="P60" t="n">
        <v>0</v>
      </c>
      <c r="Q60" t="n">
        <v>0</v>
      </c>
      <c r="R60" s="2" t="inlineStr"/>
    </row>
    <row r="61" ht="15" customHeight="1">
      <c r="A61" t="inlineStr">
        <is>
          <t>A 39473-2021</t>
        </is>
      </c>
      <c r="B61" s="1" t="n">
        <v>44414</v>
      </c>
      <c r="C61" s="1" t="n">
        <v>46127</v>
      </c>
      <c r="D61" t="inlineStr">
        <is>
          <t>UPPSALA LÄN</t>
        </is>
      </c>
      <c r="E61" t="inlineStr">
        <is>
          <t>ENKÖPING</t>
        </is>
      </c>
      <c r="G61" t="n">
        <v>3.2</v>
      </c>
      <c r="H61" t="n">
        <v>0</v>
      </c>
      <c r="I61" t="n">
        <v>0</v>
      </c>
      <c r="J61" t="n">
        <v>0</v>
      </c>
      <c r="K61" t="n">
        <v>0</v>
      </c>
      <c r="L61" t="n">
        <v>0</v>
      </c>
      <c r="M61" t="n">
        <v>0</v>
      </c>
      <c r="N61" t="n">
        <v>0</v>
      </c>
      <c r="O61" t="n">
        <v>0</v>
      </c>
      <c r="P61" t="n">
        <v>0</v>
      </c>
      <c r="Q61" t="n">
        <v>0</v>
      </c>
      <c r="R61" s="2" t="inlineStr"/>
    </row>
    <row r="62" ht="15" customHeight="1">
      <c r="A62" t="inlineStr">
        <is>
          <t>A 38005-2022</t>
        </is>
      </c>
      <c r="B62" s="1" t="n">
        <v>44810</v>
      </c>
      <c r="C62" s="1" t="n">
        <v>46127</v>
      </c>
      <c r="D62" t="inlineStr">
        <is>
          <t>UPPSALA LÄN</t>
        </is>
      </c>
      <c r="E62" t="inlineStr">
        <is>
          <t>ENKÖPING</t>
        </is>
      </c>
      <c r="G62" t="n">
        <v>1.5</v>
      </c>
      <c r="H62" t="n">
        <v>0</v>
      </c>
      <c r="I62" t="n">
        <v>0</v>
      </c>
      <c r="J62" t="n">
        <v>0</v>
      </c>
      <c r="K62" t="n">
        <v>0</v>
      </c>
      <c r="L62" t="n">
        <v>0</v>
      </c>
      <c r="M62" t="n">
        <v>0</v>
      </c>
      <c r="N62" t="n">
        <v>0</v>
      </c>
      <c r="O62" t="n">
        <v>0</v>
      </c>
      <c r="P62" t="n">
        <v>0</v>
      </c>
      <c r="Q62" t="n">
        <v>0</v>
      </c>
      <c r="R62" s="2" t="inlineStr"/>
    </row>
    <row r="63" ht="15" customHeight="1">
      <c r="A63" t="inlineStr">
        <is>
          <t>A 29425-2022</t>
        </is>
      </c>
      <c r="B63" s="1" t="n">
        <v>44753.47837962963</v>
      </c>
      <c r="C63" s="1" t="n">
        <v>46127</v>
      </c>
      <c r="D63" t="inlineStr">
        <is>
          <t>UPPSALA LÄN</t>
        </is>
      </c>
      <c r="E63" t="inlineStr">
        <is>
          <t>ENKÖPING</t>
        </is>
      </c>
      <c r="G63" t="n">
        <v>2.5</v>
      </c>
      <c r="H63" t="n">
        <v>0</v>
      </c>
      <c r="I63" t="n">
        <v>0</v>
      </c>
      <c r="J63" t="n">
        <v>0</v>
      </c>
      <c r="K63" t="n">
        <v>0</v>
      </c>
      <c r="L63" t="n">
        <v>0</v>
      </c>
      <c r="M63" t="n">
        <v>0</v>
      </c>
      <c r="N63" t="n">
        <v>0</v>
      </c>
      <c r="O63" t="n">
        <v>0</v>
      </c>
      <c r="P63" t="n">
        <v>0</v>
      </c>
      <c r="Q63" t="n">
        <v>0</v>
      </c>
      <c r="R63" s="2" t="inlineStr"/>
    </row>
    <row r="64" ht="15" customHeight="1">
      <c r="A64" t="inlineStr">
        <is>
          <t>A 52896-2022</t>
        </is>
      </c>
      <c r="B64" s="1" t="n">
        <v>44875.5665625</v>
      </c>
      <c r="C64" s="1" t="n">
        <v>46127</v>
      </c>
      <c r="D64" t="inlineStr">
        <is>
          <t>UPPSALA LÄN</t>
        </is>
      </c>
      <c r="E64" t="inlineStr">
        <is>
          <t>ENKÖPING</t>
        </is>
      </c>
      <c r="G64" t="n">
        <v>0.8</v>
      </c>
      <c r="H64" t="n">
        <v>0</v>
      </c>
      <c r="I64" t="n">
        <v>0</v>
      </c>
      <c r="J64" t="n">
        <v>0</v>
      </c>
      <c r="K64" t="n">
        <v>0</v>
      </c>
      <c r="L64" t="n">
        <v>0</v>
      </c>
      <c r="M64" t="n">
        <v>0</v>
      </c>
      <c r="N64" t="n">
        <v>0</v>
      </c>
      <c r="O64" t="n">
        <v>0</v>
      </c>
      <c r="P64" t="n">
        <v>0</v>
      </c>
      <c r="Q64" t="n">
        <v>0</v>
      </c>
      <c r="R64" s="2" t="inlineStr"/>
    </row>
    <row r="65" ht="15" customHeight="1">
      <c r="A65" t="inlineStr">
        <is>
          <t>A 2680-2022</t>
        </is>
      </c>
      <c r="B65" s="1" t="n">
        <v>44580</v>
      </c>
      <c r="C65" s="1" t="n">
        <v>46127</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52014-2021</t>
        </is>
      </c>
      <c r="B66" s="1" t="n">
        <v>44463.3425462963</v>
      </c>
      <c r="C66" s="1" t="n">
        <v>46127</v>
      </c>
      <c r="D66" t="inlineStr">
        <is>
          <t>UPPSALA LÄN</t>
        </is>
      </c>
      <c r="E66" t="inlineStr">
        <is>
          <t>ENKÖPING</t>
        </is>
      </c>
      <c r="G66" t="n">
        <v>5.8</v>
      </c>
      <c r="H66" t="n">
        <v>0</v>
      </c>
      <c r="I66" t="n">
        <v>0</v>
      </c>
      <c r="J66" t="n">
        <v>0</v>
      </c>
      <c r="K66" t="n">
        <v>0</v>
      </c>
      <c r="L66" t="n">
        <v>0</v>
      </c>
      <c r="M66" t="n">
        <v>0</v>
      </c>
      <c r="N66" t="n">
        <v>0</v>
      </c>
      <c r="O66" t="n">
        <v>0</v>
      </c>
      <c r="P66" t="n">
        <v>0</v>
      </c>
      <c r="Q66" t="n">
        <v>0</v>
      </c>
      <c r="R66" s="2" t="inlineStr"/>
    </row>
    <row r="67" ht="15" customHeight="1">
      <c r="A67" t="inlineStr">
        <is>
          <t>A 37410-2022</t>
        </is>
      </c>
      <c r="B67" s="1" t="n">
        <v>44809</v>
      </c>
      <c r="C67" s="1" t="n">
        <v>46127</v>
      </c>
      <c r="D67" t="inlineStr">
        <is>
          <t>UPPSALA LÄN</t>
        </is>
      </c>
      <c r="E67" t="inlineStr">
        <is>
          <t>ENKÖPING</t>
        </is>
      </c>
      <c r="G67" t="n">
        <v>3.6</v>
      </c>
      <c r="H67" t="n">
        <v>0</v>
      </c>
      <c r="I67" t="n">
        <v>0</v>
      </c>
      <c r="J67" t="n">
        <v>0</v>
      </c>
      <c r="K67" t="n">
        <v>0</v>
      </c>
      <c r="L67" t="n">
        <v>0</v>
      </c>
      <c r="M67" t="n">
        <v>0</v>
      </c>
      <c r="N67" t="n">
        <v>0</v>
      </c>
      <c r="O67" t="n">
        <v>0</v>
      </c>
      <c r="P67" t="n">
        <v>0</v>
      </c>
      <c r="Q67" t="n">
        <v>0</v>
      </c>
      <c r="R67" s="2" t="inlineStr"/>
    </row>
    <row r="68" ht="15" customHeight="1">
      <c r="A68" t="inlineStr">
        <is>
          <t>A 1979-2022</t>
        </is>
      </c>
      <c r="B68" s="1" t="n">
        <v>44575</v>
      </c>
      <c r="C68" s="1" t="n">
        <v>46127</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40773-2022</t>
        </is>
      </c>
      <c r="B69" s="1" t="n">
        <v>44824.61237268519</v>
      </c>
      <c r="C69" s="1" t="n">
        <v>46127</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28795-2021</t>
        </is>
      </c>
      <c r="B70" s="1" t="n">
        <v>44357</v>
      </c>
      <c r="C70" s="1" t="n">
        <v>46127</v>
      </c>
      <c r="D70" t="inlineStr">
        <is>
          <t>UPPSALA LÄN</t>
        </is>
      </c>
      <c r="E70" t="inlineStr">
        <is>
          <t>ENKÖPING</t>
        </is>
      </c>
      <c r="F70" t="inlineStr">
        <is>
          <t>Allmännings- och besparingsskogar</t>
        </is>
      </c>
      <c r="G70" t="n">
        <v>2.8</v>
      </c>
      <c r="H70" t="n">
        <v>0</v>
      </c>
      <c r="I70" t="n">
        <v>0</v>
      </c>
      <c r="J70" t="n">
        <v>0</v>
      </c>
      <c r="K70" t="n">
        <v>0</v>
      </c>
      <c r="L70" t="n">
        <v>0</v>
      </c>
      <c r="M70" t="n">
        <v>0</v>
      </c>
      <c r="N70" t="n">
        <v>0</v>
      </c>
      <c r="O70" t="n">
        <v>0</v>
      </c>
      <c r="P70" t="n">
        <v>0</v>
      </c>
      <c r="Q70" t="n">
        <v>0</v>
      </c>
      <c r="R70" s="2" t="inlineStr"/>
    </row>
    <row r="71" ht="15" customHeight="1">
      <c r="A71" t="inlineStr">
        <is>
          <t>A 68107-2021</t>
        </is>
      </c>
      <c r="B71" s="1" t="n">
        <v>44526</v>
      </c>
      <c r="C71" s="1" t="n">
        <v>46127</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69791-2021</t>
        </is>
      </c>
      <c r="B72" s="1" t="n">
        <v>44532</v>
      </c>
      <c r="C72" s="1" t="n">
        <v>46127</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49375-2021</t>
        </is>
      </c>
      <c r="B73" s="1" t="n">
        <v>44454</v>
      </c>
      <c r="C73" s="1" t="n">
        <v>46127</v>
      </c>
      <c r="D73" t="inlineStr">
        <is>
          <t>UPPSALA LÄN</t>
        </is>
      </c>
      <c r="E73" t="inlineStr">
        <is>
          <t>ENKÖPING</t>
        </is>
      </c>
      <c r="G73" t="n">
        <v>0.7</v>
      </c>
      <c r="H73" t="n">
        <v>0</v>
      </c>
      <c r="I73" t="n">
        <v>0</v>
      </c>
      <c r="J73" t="n">
        <v>0</v>
      </c>
      <c r="K73" t="n">
        <v>0</v>
      </c>
      <c r="L73" t="n">
        <v>0</v>
      </c>
      <c r="M73" t="n">
        <v>0</v>
      </c>
      <c r="N73" t="n">
        <v>0</v>
      </c>
      <c r="O73" t="n">
        <v>0</v>
      </c>
      <c r="P73" t="n">
        <v>0</v>
      </c>
      <c r="Q73" t="n">
        <v>0</v>
      </c>
      <c r="R73" s="2" t="inlineStr"/>
    </row>
    <row r="74" ht="15" customHeight="1">
      <c r="A74" t="inlineStr">
        <is>
          <t>A 57055-2021</t>
        </is>
      </c>
      <c r="B74" s="1" t="n">
        <v>44482.55201388889</v>
      </c>
      <c r="C74" s="1" t="n">
        <v>46127</v>
      </c>
      <c r="D74" t="inlineStr">
        <is>
          <t>UPPSALA LÄN</t>
        </is>
      </c>
      <c r="E74" t="inlineStr">
        <is>
          <t>ENKÖPING</t>
        </is>
      </c>
      <c r="G74" t="n">
        <v>3.3</v>
      </c>
      <c r="H74" t="n">
        <v>0</v>
      </c>
      <c r="I74" t="n">
        <v>0</v>
      </c>
      <c r="J74" t="n">
        <v>0</v>
      </c>
      <c r="K74" t="n">
        <v>0</v>
      </c>
      <c r="L74" t="n">
        <v>0</v>
      </c>
      <c r="M74" t="n">
        <v>0</v>
      </c>
      <c r="N74" t="n">
        <v>0</v>
      </c>
      <c r="O74" t="n">
        <v>0</v>
      </c>
      <c r="P74" t="n">
        <v>0</v>
      </c>
      <c r="Q74" t="n">
        <v>0</v>
      </c>
      <c r="R74" s="2" t="inlineStr"/>
    </row>
    <row r="75" ht="15" customHeight="1">
      <c r="A75" t="inlineStr">
        <is>
          <t>A 60874-2021</t>
        </is>
      </c>
      <c r="B75" s="1" t="n">
        <v>44497</v>
      </c>
      <c r="C75" s="1" t="n">
        <v>46127</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15021-2022</t>
        </is>
      </c>
      <c r="B76" s="1" t="n">
        <v>44657</v>
      </c>
      <c r="C76" s="1" t="n">
        <v>46127</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31013-2022</t>
        </is>
      </c>
      <c r="B77" s="1" t="n">
        <v>44768</v>
      </c>
      <c r="C77" s="1" t="n">
        <v>46127</v>
      </c>
      <c r="D77" t="inlineStr">
        <is>
          <t>UPPSALA LÄN</t>
        </is>
      </c>
      <c r="E77" t="inlineStr">
        <is>
          <t>ENKÖPING</t>
        </is>
      </c>
      <c r="F77" t="inlineStr">
        <is>
          <t>Allmännings- och besparingsskogar</t>
        </is>
      </c>
      <c r="G77" t="n">
        <v>0.5</v>
      </c>
      <c r="H77" t="n">
        <v>0</v>
      </c>
      <c r="I77" t="n">
        <v>0</v>
      </c>
      <c r="J77" t="n">
        <v>0</v>
      </c>
      <c r="K77" t="n">
        <v>0</v>
      </c>
      <c r="L77" t="n">
        <v>0</v>
      </c>
      <c r="M77" t="n">
        <v>0</v>
      </c>
      <c r="N77" t="n">
        <v>0</v>
      </c>
      <c r="O77" t="n">
        <v>0</v>
      </c>
      <c r="P77" t="n">
        <v>0</v>
      </c>
      <c r="Q77" t="n">
        <v>0</v>
      </c>
      <c r="R77" s="2" t="inlineStr"/>
    </row>
    <row r="78" ht="15" customHeight="1">
      <c r="A78" t="inlineStr">
        <is>
          <t>A 42029-2021</t>
        </is>
      </c>
      <c r="B78" s="1" t="n">
        <v>44426</v>
      </c>
      <c r="C78" s="1" t="n">
        <v>46127</v>
      </c>
      <c r="D78" t="inlineStr">
        <is>
          <t>UPPSALA LÄN</t>
        </is>
      </c>
      <c r="E78" t="inlineStr">
        <is>
          <t>ENKÖPING</t>
        </is>
      </c>
      <c r="G78" t="n">
        <v>5.3</v>
      </c>
      <c r="H78" t="n">
        <v>0</v>
      </c>
      <c r="I78" t="n">
        <v>0</v>
      </c>
      <c r="J78" t="n">
        <v>0</v>
      </c>
      <c r="K78" t="n">
        <v>0</v>
      </c>
      <c r="L78" t="n">
        <v>0</v>
      </c>
      <c r="M78" t="n">
        <v>0</v>
      </c>
      <c r="N78" t="n">
        <v>0</v>
      </c>
      <c r="O78" t="n">
        <v>0</v>
      </c>
      <c r="P78" t="n">
        <v>0</v>
      </c>
      <c r="Q78" t="n">
        <v>0</v>
      </c>
      <c r="R78" s="2" t="inlineStr"/>
    </row>
    <row r="79" ht="15" customHeight="1">
      <c r="A79" t="inlineStr">
        <is>
          <t>A 1971-2022</t>
        </is>
      </c>
      <c r="B79" s="1" t="n">
        <v>44575</v>
      </c>
      <c r="C79" s="1" t="n">
        <v>46127</v>
      </c>
      <c r="D79" t="inlineStr">
        <is>
          <t>UPPSALA LÄN</t>
        </is>
      </c>
      <c r="E79" t="inlineStr">
        <is>
          <t>ENKÖPING</t>
        </is>
      </c>
      <c r="G79" t="n">
        <v>1.4</v>
      </c>
      <c r="H79" t="n">
        <v>0</v>
      </c>
      <c r="I79" t="n">
        <v>0</v>
      </c>
      <c r="J79" t="n">
        <v>0</v>
      </c>
      <c r="K79" t="n">
        <v>0</v>
      </c>
      <c r="L79" t="n">
        <v>0</v>
      </c>
      <c r="M79" t="n">
        <v>0</v>
      </c>
      <c r="N79" t="n">
        <v>0</v>
      </c>
      <c r="O79" t="n">
        <v>0</v>
      </c>
      <c r="P79" t="n">
        <v>0</v>
      </c>
      <c r="Q79" t="n">
        <v>0</v>
      </c>
      <c r="R79" s="2" t="inlineStr"/>
    </row>
    <row r="80" ht="15" customHeight="1">
      <c r="A80" t="inlineStr">
        <is>
          <t>A 20067-2021</t>
        </is>
      </c>
      <c r="B80" s="1" t="n">
        <v>44314</v>
      </c>
      <c r="C80" s="1" t="n">
        <v>46127</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15924-2022</t>
        </is>
      </c>
      <c r="B81" s="1" t="n">
        <v>44664</v>
      </c>
      <c r="C81" s="1" t="n">
        <v>46127</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15943-2022</t>
        </is>
      </c>
      <c r="B82" s="1" t="n">
        <v>44664.66428240741</v>
      </c>
      <c r="C82" s="1" t="n">
        <v>46127</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47106-2021</t>
        </is>
      </c>
      <c r="B83" s="1" t="n">
        <v>44446</v>
      </c>
      <c r="C83" s="1" t="n">
        <v>46127</v>
      </c>
      <c r="D83" t="inlineStr">
        <is>
          <t>UPPSALA LÄN</t>
        </is>
      </c>
      <c r="E83" t="inlineStr">
        <is>
          <t>ENKÖPING</t>
        </is>
      </c>
      <c r="G83" t="n">
        <v>7.6</v>
      </c>
      <c r="H83" t="n">
        <v>0</v>
      </c>
      <c r="I83" t="n">
        <v>0</v>
      </c>
      <c r="J83" t="n">
        <v>0</v>
      </c>
      <c r="K83" t="n">
        <v>0</v>
      </c>
      <c r="L83" t="n">
        <v>0</v>
      </c>
      <c r="M83" t="n">
        <v>0</v>
      </c>
      <c r="N83" t="n">
        <v>0</v>
      </c>
      <c r="O83" t="n">
        <v>0</v>
      </c>
      <c r="P83" t="n">
        <v>0</v>
      </c>
      <c r="Q83" t="n">
        <v>0</v>
      </c>
      <c r="R83" s="2" t="inlineStr"/>
    </row>
    <row r="84" ht="15" customHeight="1">
      <c r="A84" t="inlineStr">
        <is>
          <t>A 19731-2022</t>
        </is>
      </c>
      <c r="B84" s="1" t="n">
        <v>44694</v>
      </c>
      <c r="C84" s="1" t="n">
        <v>46127</v>
      </c>
      <c r="D84" t="inlineStr">
        <is>
          <t>UPPSALA LÄN</t>
        </is>
      </c>
      <c r="E84" t="inlineStr">
        <is>
          <t>ENKÖPING</t>
        </is>
      </c>
      <c r="G84" t="n">
        <v>0.7</v>
      </c>
      <c r="H84" t="n">
        <v>0</v>
      </c>
      <c r="I84" t="n">
        <v>0</v>
      </c>
      <c r="J84" t="n">
        <v>0</v>
      </c>
      <c r="K84" t="n">
        <v>0</v>
      </c>
      <c r="L84" t="n">
        <v>0</v>
      </c>
      <c r="M84" t="n">
        <v>0</v>
      </c>
      <c r="N84" t="n">
        <v>0</v>
      </c>
      <c r="O84" t="n">
        <v>0</v>
      </c>
      <c r="P84" t="n">
        <v>0</v>
      </c>
      <c r="Q84" t="n">
        <v>0</v>
      </c>
      <c r="R84" s="2" t="inlineStr"/>
    </row>
    <row r="85" ht="15" customHeight="1">
      <c r="A85" t="inlineStr">
        <is>
          <t>A 57043-2021</t>
        </is>
      </c>
      <c r="B85" s="1" t="n">
        <v>44482.53399305556</v>
      </c>
      <c r="C85" s="1" t="n">
        <v>46127</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24883-2022</t>
        </is>
      </c>
      <c r="B86" s="1" t="n">
        <v>44728</v>
      </c>
      <c r="C86" s="1" t="n">
        <v>46127</v>
      </c>
      <c r="D86" t="inlineStr">
        <is>
          <t>UPPSALA LÄN</t>
        </is>
      </c>
      <c r="E86" t="inlineStr">
        <is>
          <t>ENKÖPING</t>
        </is>
      </c>
      <c r="G86" t="n">
        <v>2.5</v>
      </c>
      <c r="H86" t="n">
        <v>0</v>
      </c>
      <c r="I86" t="n">
        <v>0</v>
      </c>
      <c r="J86" t="n">
        <v>0</v>
      </c>
      <c r="K86" t="n">
        <v>0</v>
      </c>
      <c r="L86" t="n">
        <v>0</v>
      </c>
      <c r="M86" t="n">
        <v>0</v>
      </c>
      <c r="N86" t="n">
        <v>0</v>
      </c>
      <c r="O86" t="n">
        <v>0</v>
      </c>
      <c r="P86" t="n">
        <v>0</v>
      </c>
      <c r="Q86" t="n">
        <v>0</v>
      </c>
      <c r="R86" s="2" t="inlineStr"/>
    </row>
    <row r="87" ht="15" customHeight="1">
      <c r="A87" t="inlineStr">
        <is>
          <t>A 19630-2021</t>
        </is>
      </c>
      <c r="B87" s="1" t="n">
        <v>44312.61876157407</v>
      </c>
      <c r="C87" s="1" t="n">
        <v>46127</v>
      </c>
      <c r="D87" t="inlineStr">
        <is>
          <t>UPPSALA LÄN</t>
        </is>
      </c>
      <c r="E87" t="inlineStr">
        <is>
          <t>ENKÖPING</t>
        </is>
      </c>
      <c r="G87" t="n">
        <v>2.7</v>
      </c>
      <c r="H87" t="n">
        <v>0</v>
      </c>
      <c r="I87" t="n">
        <v>0</v>
      </c>
      <c r="J87" t="n">
        <v>0</v>
      </c>
      <c r="K87" t="n">
        <v>0</v>
      </c>
      <c r="L87" t="n">
        <v>0</v>
      </c>
      <c r="M87" t="n">
        <v>0</v>
      </c>
      <c r="N87" t="n">
        <v>0</v>
      </c>
      <c r="O87" t="n">
        <v>0</v>
      </c>
      <c r="P87" t="n">
        <v>0</v>
      </c>
      <c r="Q87" t="n">
        <v>0</v>
      </c>
      <c r="R87" s="2" t="inlineStr"/>
    </row>
    <row r="88" ht="15" customHeight="1">
      <c r="A88" t="inlineStr">
        <is>
          <t>A 68127-2021</t>
        </is>
      </c>
      <c r="B88" s="1" t="n">
        <v>44526.39513888889</v>
      </c>
      <c r="C88" s="1" t="n">
        <v>46127</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42021-2021</t>
        </is>
      </c>
      <c r="B89" s="1" t="n">
        <v>44426</v>
      </c>
      <c r="C89" s="1" t="n">
        <v>46127</v>
      </c>
      <c r="D89" t="inlineStr">
        <is>
          <t>UPPSALA LÄN</t>
        </is>
      </c>
      <c r="E89" t="inlineStr">
        <is>
          <t>ENKÖPING</t>
        </is>
      </c>
      <c r="G89" t="n">
        <v>2.2</v>
      </c>
      <c r="H89" t="n">
        <v>0</v>
      </c>
      <c r="I89" t="n">
        <v>0</v>
      </c>
      <c r="J89" t="n">
        <v>0</v>
      </c>
      <c r="K89" t="n">
        <v>0</v>
      </c>
      <c r="L89" t="n">
        <v>0</v>
      </c>
      <c r="M89" t="n">
        <v>0</v>
      </c>
      <c r="N89" t="n">
        <v>0</v>
      </c>
      <c r="O89" t="n">
        <v>0</v>
      </c>
      <c r="P89" t="n">
        <v>0</v>
      </c>
      <c r="Q89" t="n">
        <v>0</v>
      </c>
      <c r="R89" s="2" t="inlineStr"/>
    </row>
    <row r="90" ht="15" customHeight="1">
      <c r="A90" t="inlineStr">
        <is>
          <t>A 17467-2022</t>
        </is>
      </c>
      <c r="B90" s="1" t="n">
        <v>44679</v>
      </c>
      <c r="C90" s="1" t="n">
        <v>46127</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59121-2021</t>
        </is>
      </c>
      <c r="B91" s="1" t="n">
        <v>44490</v>
      </c>
      <c r="C91" s="1" t="n">
        <v>46127</v>
      </c>
      <c r="D91" t="inlineStr">
        <is>
          <t>UPPSALA LÄN</t>
        </is>
      </c>
      <c r="E91" t="inlineStr">
        <is>
          <t>ENKÖPING</t>
        </is>
      </c>
      <c r="G91" t="n">
        <v>2.4</v>
      </c>
      <c r="H91" t="n">
        <v>0</v>
      </c>
      <c r="I91" t="n">
        <v>0</v>
      </c>
      <c r="J91" t="n">
        <v>0</v>
      </c>
      <c r="K91" t="n">
        <v>0</v>
      </c>
      <c r="L91" t="n">
        <v>0</v>
      </c>
      <c r="M91" t="n">
        <v>0</v>
      </c>
      <c r="N91" t="n">
        <v>0</v>
      </c>
      <c r="O91" t="n">
        <v>0</v>
      </c>
      <c r="P91" t="n">
        <v>0</v>
      </c>
      <c r="Q91" t="n">
        <v>0</v>
      </c>
      <c r="R91" s="2" t="inlineStr"/>
    </row>
    <row r="92" ht="15" customHeight="1">
      <c r="A92" t="inlineStr">
        <is>
          <t>A 57078-2021</t>
        </is>
      </c>
      <c r="B92" s="1" t="n">
        <v>44482.57855324074</v>
      </c>
      <c r="C92" s="1" t="n">
        <v>46127</v>
      </c>
      <c r="D92" t="inlineStr">
        <is>
          <t>UPPSALA LÄN</t>
        </is>
      </c>
      <c r="E92" t="inlineStr">
        <is>
          <t>ENKÖPING</t>
        </is>
      </c>
      <c r="G92" t="n">
        <v>3</v>
      </c>
      <c r="H92" t="n">
        <v>0</v>
      </c>
      <c r="I92" t="n">
        <v>0</v>
      </c>
      <c r="J92" t="n">
        <v>0</v>
      </c>
      <c r="K92" t="n">
        <v>0</v>
      </c>
      <c r="L92" t="n">
        <v>0</v>
      </c>
      <c r="M92" t="n">
        <v>0</v>
      </c>
      <c r="N92" t="n">
        <v>0</v>
      </c>
      <c r="O92" t="n">
        <v>0</v>
      </c>
      <c r="P92" t="n">
        <v>0</v>
      </c>
      <c r="Q92" t="n">
        <v>0</v>
      </c>
      <c r="R92" s="2" t="inlineStr"/>
    </row>
    <row r="93" ht="15" customHeight="1">
      <c r="A93" t="inlineStr">
        <is>
          <t>A 24815-2022</t>
        </is>
      </c>
      <c r="B93" s="1" t="n">
        <v>44728</v>
      </c>
      <c r="C93" s="1" t="n">
        <v>46127</v>
      </c>
      <c r="D93" t="inlineStr">
        <is>
          <t>UPPSALA LÄN</t>
        </is>
      </c>
      <c r="E93" t="inlineStr">
        <is>
          <t>ENKÖPING</t>
        </is>
      </c>
      <c r="G93" t="n">
        <v>1.8</v>
      </c>
      <c r="H93" t="n">
        <v>0</v>
      </c>
      <c r="I93" t="n">
        <v>0</v>
      </c>
      <c r="J93" t="n">
        <v>0</v>
      </c>
      <c r="K93" t="n">
        <v>0</v>
      </c>
      <c r="L93" t="n">
        <v>0</v>
      </c>
      <c r="M93" t="n">
        <v>0</v>
      </c>
      <c r="N93" t="n">
        <v>0</v>
      </c>
      <c r="O93" t="n">
        <v>0</v>
      </c>
      <c r="P93" t="n">
        <v>0</v>
      </c>
      <c r="Q93" t="n">
        <v>0</v>
      </c>
      <c r="R93" s="2" t="inlineStr"/>
    </row>
    <row r="94" ht="15" customHeight="1">
      <c r="A94" t="inlineStr">
        <is>
          <t>A 29983-2021</t>
        </is>
      </c>
      <c r="B94" s="1" t="n">
        <v>44363</v>
      </c>
      <c r="C94" s="1" t="n">
        <v>46127</v>
      </c>
      <c r="D94" t="inlineStr">
        <is>
          <t>UPPSALA LÄN</t>
        </is>
      </c>
      <c r="E94" t="inlineStr">
        <is>
          <t>ENKÖPING</t>
        </is>
      </c>
      <c r="F94" t="inlineStr">
        <is>
          <t>Kommuner</t>
        </is>
      </c>
      <c r="G94" t="n">
        <v>3.1</v>
      </c>
      <c r="H94" t="n">
        <v>0</v>
      </c>
      <c r="I94" t="n">
        <v>0</v>
      </c>
      <c r="J94" t="n">
        <v>0</v>
      </c>
      <c r="K94" t="n">
        <v>0</v>
      </c>
      <c r="L94" t="n">
        <v>0</v>
      </c>
      <c r="M94" t="n">
        <v>0</v>
      </c>
      <c r="N94" t="n">
        <v>0</v>
      </c>
      <c r="O94" t="n">
        <v>0</v>
      </c>
      <c r="P94" t="n">
        <v>0</v>
      </c>
      <c r="Q94" t="n">
        <v>0</v>
      </c>
      <c r="R94" s="2" t="inlineStr"/>
    </row>
    <row r="95" ht="15" customHeight="1">
      <c r="A95" t="inlineStr">
        <is>
          <t>A 49063-2024</t>
        </is>
      </c>
      <c r="B95" s="1" t="n">
        <v>45594.59869212963</v>
      </c>
      <c r="C95" s="1" t="n">
        <v>46127</v>
      </c>
      <c r="D95" t="inlineStr">
        <is>
          <t>UPPSALA LÄN</t>
        </is>
      </c>
      <c r="E95" t="inlineStr">
        <is>
          <t>ENKÖPING</t>
        </is>
      </c>
      <c r="G95" t="n">
        <v>1.5</v>
      </c>
      <c r="H95" t="n">
        <v>0</v>
      </c>
      <c r="I95" t="n">
        <v>0</v>
      </c>
      <c r="J95" t="n">
        <v>0</v>
      </c>
      <c r="K95" t="n">
        <v>0</v>
      </c>
      <c r="L95" t="n">
        <v>0</v>
      </c>
      <c r="M95" t="n">
        <v>0</v>
      </c>
      <c r="N95" t="n">
        <v>0</v>
      </c>
      <c r="O95" t="n">
        <v>0</v>
      </c>
      <c r="P95" t="n">
        <v>0</v>
      </c>
      <c r="Q95" t="n">
        <v>0</v>
      </c>
      <c r="R95" s="2" t="inlineStr"/>
    </row>
    <row r="96" ht="15" customHeight="1">
      <c r="A96" t="inlineStr">
        <is>
          <t>A 13853-2023</t>
        </is>
      </c>
      <c r="B96" s="1" t="n">
        <v>45007</v>
      </c>
      <c r="C96" s="1" t="n">
        <v>46127</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17657-2025</t>
        </is>
      </c>
      <c r="B97" s="1" t="n">
        <v>45758.35006944444</v>
      </c>
      <c r="C97" s="1" t="n">
        <v>46127</v>
      </c>
      <c r="D97" t="inlineStr">
        <is>
          <t>UPPSALA LÄN</t>
        </is>
      </c>
      <c r="E97" t="inlineStr">
        <is>
          <t>ENKÖPING</t>
        </is>
      </c>
      <c r="G97" t="n">
        <v>3</v>
      </c>
      <c r="H97" t="n">
        <v>0</v>
      </c>
      <c r="I97" t="n">
        <v>0</v>
      </c>
      <c r="J97" t="n">
        <v>0</v>
      </c>
      <c r="K97" t="n">
        <v>0</v>
      </c>
      <c r="L97" t="n">
        <v>0</v>
      </c>
      <c r="M97" t="n">
        <v>0</v>
      </c>
      <c r="N97" t="n">
        <v>0</v>
      </c>
      <c r="O97" t="n">
        <v>0</v>
      </c>
      <c r="P97" t="n">
        <v>0</v>
      </c>
      <c r="Q97" t="n">
        <v>0</v>
      </c>
      <c r="R97" s="2" t="inlineStr"/>
    </row>
    <row r="98" ht="15" customHeight="1">
      <c r="A98" t="inlineStr">
        <is>
          <t>A 49568-2022</t>
        </is>
      </c>
      <c r="B98" s="1" t="n">
        <v>44862.32791666667</v>
      </c>
      <c r="C98" s="1" t="n">
        <v>46127</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47681-2024</t>
        </is>
      </c>
      <c r="B99" s="1" t="n">
        <v>45588</v>
      </c>
      <c r="C99" s="1" t="n">
        <v>46127</v>
      </c>
      <c r="D99" t="inlineStr">
        <is>
          <t>UPPSALA LÄN</t>
        </is>
      </c>
      <c r="E99" t="inlineStr">
        <is>
          <t>ENKÖPING</t>
        </is>
      </c>
      <c r="G99" t="n">
        <v>4.2</v>
      </c>
      <c r="H99" t="n">
        <v>0</v>
      </c>
      <c r="I99" t="n">
        <v>0</v>
      </c>
      <c r="J99" t="n">
        <v>0</v>
      </c>
      <c r="K99" t="n">
        <v>0</v>
      </c>
      <c r="L99" t="n">
        <v>0</v>
      </c>
      <c r="M99" t="n">
        <v>0</v>
      </c>
      <c r="N99" t="n">
        <v>0</v>
      </c>
      <c r="O99" t="n">
        <v>0</v>
      </c>
      <c r="P99" t="n">
        <v>0</v>
      </c>
      <c r="Q99" t="n">
        <v>0</v>
      </c>
      <c r="R99" s="2" t="inlineStr"/>
    </row>
    <row r="100" ht="15" customHeight="1">
      <c r="A100" t="inlineStr">
        <is>
          <t>A 53496-2022</t>
        </is>
      </c>
      <c r="B100" s="1" t="n">
        <v>44879.57217592592</v>
      </c>
      <c r="C100" s="1" t="n">
        <v>46127</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27786-2023</t>
        </is>
      </c>
      <c r="B101" s="1" t="n">
        <v>45098</v>
      </c>
      <c r="C101" s="1" t="n">
        <v>46127</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15942-2022</t>
        </is>
      </c>
      <c r="B102" s="1" t="n">
        <v>44664</v>
      </c>
      <c r="C102" s="1" t="n">
        <v>46127</v>
      </c>
      <c r="D102" t="inlineStr">
        <is>
          <t>UPPSALA LÄN</t>
        </is>
      </c>
      <c r="E102" t="inlineStr">
        <is>
          <t>ENKÖPING</t>
        </is>
      </c>
      <c r="G102" t="n">
        <v>6.6</v>
      </c>
      <c r="H102" t="n">
        <v>0</v>
      </c>
      <c r="I102" t="n">
        <v>0</v>
      </c>
      <c r="J102" t="n">
        <v>0</v>
      </c>
      <c r="K102" t="n">
        <v>0</v>
      </c>
      <c r="L102" t="n">
        <v>0</v>
      </c>
      <c r="M102" t="n">
        <v>0</v>
      </c>
      <c r="N102" t="n">
        <v>0</v>
      </c>
      <c r="O102" t="n">
        <v>0</v>
      </c>
      <c r="P102" t="n">
        <v>0</v>
      </c>
      <c r="Q102" t="n">
        <v>0</v>
      </c>
      <c r="R102" s="2" t="inlineStr"/>
    </row>
    <row r="103" ht="15" customHeight="1">
      <c r="A103" t="inlineStr">
        <is>
          <t>A 2974-2025</t>
        </is>
      </c>
      <c r="B103" s="1" t="n">
        <v>45678.47168981482</v>
      </c>
      <c r="C103" s="1" t="n">
        <v>46127</v>
      </c>
      <c r="D103" t="inlineStr">
        <is>
          <t>UPPSALA LÄN</t>
        </is>
      </c>
      <c r="E103" t="inlineStr">
        <is>
          <t>ENKÖPING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48864-2022</t>
        </is>
      </c>
      <c r="B104" s="1" t="n">
        <v>44859</v>
      </c>
      <c r="C104" s="1" t="n">
        <v>46127</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5211-2024</t>
        </is>
      </c>
      <c r="B105" s="1" t="n">
        <v>45330</v>
      </c>
      <c r="C105" s="1" t="n">
        <v>46127</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10468-2025</t>
        </is>
      </c>
      <c r="B106" s="1" t="n">
        <v>45720</v>
      </c>
      <c r="C106" s="1" t="n">
        <v>46127</v>
      </c>
      <c r="D106" t="inlineStr">
        <is>
          <t>UPPSALA LÄN</t>
        </is>
      </c>
      <c r="E106" t="inlineStr">
        <is>
          <t>ENKÖPING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10409-2025</t>
        </is>
      </c>
      <c r="B107" s="1" t="n">
        <v>45720.631875</v>
      </c>
      <c r="C107" s="1" t="n">
        <v>46127</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6242-2025</t>
        </is>
      </c>
      <c r="B108" s="1" t="n">
        <v>45697</v>
      </c>
      <c r="C108" s="1" t="n">
        <v>46127</v>
      </c>
      <c r="D108" t="inlineStr">
        <is>
          <t>UPPSALA LÄN</t>
        </is>
      </c>
      <c r="E108" t="inlineStr">
        <is>
          <t>ENKÖPING</t>
        </is>
      </c>
      <c r="G108" t="n">
        <v>17.9</v>
      </c>
      <c r="H108" t="n">
        <v>0</v>
      </c>
      <c r="I108" t="n">
        <v>0</v>
      </c>
      <c r="J108" t="n">
        <v>0</v>
      </c>
      <c r="K108" t="n">
        <v>0</v>
      </c>
      <c r="L108" t="n">
        <v>0</v>
      </c>
      <c r="M108" t="n">
        <v>0</v>
      </c>
      <c r="N108" t="n">
        <v>0</v>
      </c>
      <c r="O108" t="n">
        <v>0</v>
      </c>
      <c r="P108" t="n">
        <v>0</v>
      </c>
      <c r="Q108" t="n">
        <v>0</v>
      </c>
      <c r="R108" s="2" t="inlineStr"/>
    </row>
    <row r="109" ht="15" customHeight="1">
      <c r="A109" t="inlineStr">
        <is>
          <t>A 42459-2024</t>
        </is>
      </c>
      <c r="B109" s="1" t="n">
        <v>45565</v>
      </c>
      <c r="C109" s="1" t="n">
        <v>46127</v>
      </c>
      <c r="D109" t="inlineStr">
        <is>
          <t>UPPSALA LÄN</t>
        </is>
      </c>
      <c r="E109" t="inlineStr">
        <is>
          <t>ENKÖPING</t>
        </is>
      </c>
      <c r="G109" t="n">
        <v>3.6</v>
      </c>
      <c r="H109" t="n">
        <v>0</v>
      </c>
      <c r="I109" t="n">
        <v>0</v>
      </c>
      <c r="J109" t="n">
        <v>0</v>
      </c>
      <c r="K109" t="n">
        <v>0</v>
      </c>
      <c r="L109" t="n">
        <v>0</v>
      </c>
      <c r="M109" t="n">
        <v>0</v>
      </c>
      <c r="N109" t="n">
        <v>0</v>
      </c>
      <c r="O109" t="n">
        <v>0</v>
      </c>
      <c r="P109" t="n">
        <v>0</v>
      </c>
      <c r="Q109" t="n">
        <v>0</v>
      </c>
      <c r="R109" s="2" t="inlineStr"/>
    </row>
    <row r="110" ht="15" customHeight="1">
      <c r="A110" t="inlineStr">
        <is>
          <t>A 18299-2025</t>
        </is>
      </c>
      <c r="B110" s="1" t="n">
        <v>45762</v>
      </c>
      <c r="C110" s="1" t="n">
        <v>46127</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22156-2025</t>
        </is>
      </c>
      <c r="B111" s="1" t="n">
        <v>45785.57512731481</v>
      </c>
      <c r="C111" s="1" t="n">
        <v>46127</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22150-2025</t>
        </is>
      </c>
      <c r="B112" s="1" t="n">
        <v>45785.56398148148</v>
      </c>
      <c r="C112" s="1" t="n">
        <v>46127</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21686-2022</t>
        </is>
      </c>
      <c r="B113" s="1" t="n">
        <v>44707</v>
      </c>
      <c r="C113" s="1" t="n">
        <v>46127</v>
      </c>
      <c r="D113" t="inlineStr">
        <is>
          <t>UPPSALA LÄN</t>
        </is>
      </c>
      <c r="E113" t="inlineStr">
        <is>
          <t>ENKÖPING</t>
        </is>
      </c>
      <c r="G113" t="n">
        <v>2.2</v>
      </c>
      <c r="H113" t="n">
        <v>0</v>
      </c>
      <c r="I113" t="n">
        <v>0</v>
      </c>
      <c r="J113" t="n">
        <v>0</v>
      </c>
      <c r="K113" t="n">
        <v>0</v>
      </c>
      <c r="L113" t="n">
        <v>0</v>
      </c>
      <c r="M113" t="n">
        <v>0</v>
      </c>
      <c r="N113" t="n">
        <v>0</v>
      </c>
      <c r="O113" t="n">
        <v>0</v>
      </c>
      <c r="P113" t="n">
        <v>0</v>
      </c>
      <c r="Q113" t="n">
        <v>0</v>
      </c>
      <c r="R113" s="2" t="inlineStr"/>
    </row>
    <row r="114" ht="15" customHeight="1">
      <c r="A114" t="inlineStr">
        <is>
          <t>A 18831-2023</t>
        </is>
      </c>
      <c r="B114" s="1" t="n">
        <v>45044.40798611111</v>
      </c>
      <c r="C114" s="1" t="n">
        <v>46127</v>
      </c>
      <c r="D114" t="inlineStr">
        <is>
          <t>UPPSALA LÄN</t>
        </is>
      </c>
      <c r="E114" t="inlineStr">
        <is>
          <t>ENKÖPING</t>
        </is>
      </c>
      <c r="G114" t="n">
        <v>4.3</v>
      </c>
      <c r="H114" t="n">
        <v>0</v>
      </c>
      <c r="I114" t="n">
        <v>0</v>
      </c>
      <c r="J114" t="n">
        <v>0</v>
      </c>
      <c r="K114" t="n">
        <v>0</v>
      </c>
      <c r="L114" t="n">
        <v>0</v>
      </c>
      <c r="M114" t="n">
        <v>0</v>
      </c>
      <c r="N114" t="n">
        <v>0</v>
      </c>
      <c r="O114" t="n">
        <v>0</v>
      </c>
      <c r="P114" t="n">
        <v>0</v>
      </c>
      <c r="Q114" t="n">
        <v>0</v>
      </c>
      <c r="R114" s="2" t="inlineStr"/>
    </row>
    <row r="115" ht="15" customHeight="1">
      <c r="A115" t="inlineStr">
        <is>
          <t>A 30087-2024</t>
        </is>
      </c>
      <c r="B115" s="1" t="n">
        <v>45489.39447916667</v>
      </c>
      <c r="C115" s="1" t="n">
        <v>46127</v>
      </c>
      <c r="D115" t="inlineStr">
        <is>
          <t>UPPSALA LÄN</t>
        </is>
      </c>
      <c r="E115" t="inlineStr">
        <is>
          <t>ENKÖPING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54776-2024</t>
        </is>
      </c>
      <c r="B116" s="1" t="n">
        <v>45618</v>
      </c>
      <c r="C116" s="1" t="n">
        <v>46127</v>
      </c>
      <c r="D116" t="inlineStr">
        <is>
          <t>UPPSALA LÄN</t>
        </is>
      </c>
      <c r="E116" t="inlineStr">
        <is>
          <t>ENKÖPING</t>
        </is>
      </c>
      <c r="G116" t="n">
        <v>1.8</v>
      </c>
      <c r="H116" t="n">
        <v>0</v>
      </c>
      <c r="I116" t="n">
        <v>0</v>
      </c>
      <c r="J116" t="n">
        <v>0</v>
      </c>
      <c r="K116" t="n">
        <v>0</v>
      </c>
      <c r="L116" t="n">
        <v>0</v>
      </c>
      <c r="M116" t="n">
        <v>0</v>
      </c>
      <c r="N116" t="n">
        <v>0</v>
      </c>
      <c r="O116" t="n">
        <v>0</v>
      </c>
      <c r="P116" t="n">
        <v>0</v>
      </c>
      <c r="Q116" t="n">
        <v>0</v>
      </c>
      <c r="R116" s="2" t="inlineStr"/>
    </row>
    <row r="117" ht="15" customHeight="1">
      <c r="A117" t="inlineStr">
        <is>
          <t>A 22729-2025</t>
        </is>
      </c>
      <c r="B117" s="1" t="n">
        <v>45789.57790509259</v>
      </c>
      <c r="C117" s="1" t="n">
        <v>46127</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14518-2025</t>
        </is>
      </c>
      <c r="B118" s="1" t="n">
        <v>45741</v>
      </c>
      <c r="C118" s="1" t="n">
        <v>46127</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22677-2025</t>
        </is>
      </c>
      <c r="B119" s="1" t="n">
        <v>45789.49515046296</v>
      </c>
      <c r="C119" s="1" t="n">
        <v>46127</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22679-2025</t>
        </is>
      </c>
      <c r="B120" s="1" t="n">
        <v>45789.49747685185</v>
      </c>
      <c r="C120" s="1" t="n">
        <v>46127</v>
      </c>
      <c r="D120" t="inlineStr">
        <is>
          <t>UPPSALA LÄN</t>
        </is>
      </c>
      <c r="E120" t="inlineStr">
        <is>
          <t>ENKÖPING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6172-2023</t>
        </is>
      </c>
      <c r="B121" s="1" t="n">
        <v>44964.68663194445</v>
      </c>
      <c r="C121" s="1" t="n">
        <v>46127</v>
      </c>
      <c r="D121" t="inlineStr">
        <is>
          <t>UPPSALA LÄN</t>
        </is>
      </c>
      <c r="E121" t="inlineStr">
        <is>
          <t>ENKÖPING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22770-2025</t>
        </is>
      </c>
      <c r="B122" s="1" t="n">
        <v>45789.63454861111</v>
      </c>
      <c r="C122" s="1" t="n">
        <v>46127</v>
      </c>
      <c r="D122" t="inlineStr">
        <is>
          <t>UPPSALA LÄN</t>
        </is>
      </c>
      <c r="E122" t="inlineStr">
        <is>
          <t>ENKÖPING</t>
        </is>
      </c>
      <c r="G122" t="n">
        <v>4.5</v>
      </c>
      <c r="H122" t="n">
        <v>0</v>
      </c>
      <c r="I122" t="n">
        <v>0</v>
      </c>
      <c r="J122" t="n">
        <v>0</v>
      </c>
      <c r="K122" t="n">
        <v>0</v>
      </c>
      <c r="L122" t="n">
        <v>0</v>
      </c>
      <c r="M122" t="n">
        <v>0</v>
      </c>
      <c r="N122" t="n">
        <v>0</v>
      </c>
      <c r="O122" t="n">
        <v>0</v>
      </c>
      <c r="P122" t="n">
        <v>0</v>
      </c>
      <c r="Q122" t="n">
        <v>0</v>
      </c>
      <c r="R122" s="2" t="inlineStr"/>
    </row>
    <row r="123" ht="15" customHeight="1">
      <c r="A123" t="inlineStr">
        <is>
          <t>A 22800-2025</t>
        </is>
      </c>
      <c r="B123" s="1" t="n">
        <v>45789.6669212963</v>
      </c>
      <c r="C123" s="1" t="n">
        <v>46127</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14402-2023</t>
        </is>
      </c>
      <c r="B124" s="1" t="n">
        <v>45012</v>
      </c>
      <c r="C124" s="1" t="n">
        <v>46127</v>
      </c>
      <c r="D124" t="inlineStr">
        <is>
          <t>UPPSALA LÄN</t>
        </is>
      </c>
      <c r="E124" t="inlineStr">
        <is>
          <t>ENKÖPING</t>
        </is>
      </c>
      <c r="G124" t="n">
        <v>9.5</v>
      </c>
      <c r="H124" t="n">
        <v>0</v>
      </c>
      <c r="I124" t="n">
        <v>0</v>
      </c>
      <c r="J124" t="n">
        <v>0</v>
      </c>
      <c r="K124" t="n">
        <v>0</v>
      </c>
      <c r="L124" t="n">
        <v>0</v>
      </c>
      <c r="M124" t="n">
        <v>0</v>
      </c>
      <c r="N124" t="n">
        <v>0</v>
      </c>
      <c r="O124" t="n">
        <v>0</v>
      </c>
      <c r="P124" t="n">
        <v>0</v>
      </c>
      <c r="Q124" t="n">
        <v>0</v>
      </c>
      <c r="R124" s="2" t="inlineStr"/>
    </row>
    <row r="125" ht="15" customHeight="1">
      <c r="A125" t="inlineStr">
        <is>
          <t>A 6981-2025</t>
        </is>
      </c>
      <c r="B125" s="1" t="n">
        <v>45701</v>
      </c>
      <c r="C125" s="1" t="n">
        <v>46127</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22786-2025</t>
        </is>
      </c>
      <c r="B126" s="1" t="n">
        <v>45789.64643518518</v>
      </c>
      <c r="C126" s="1" t="n">
        <v>46127</v>
      </c>
      <c r="D126" t="inlineStr">
        <is>
          <t>UPPSALA LÄN</t>
        </is>
      </c>
      <c r="E126" t="inlineStr">
        <is>
          <t>ENKÖPING</t>
        </is>
      </c>
      <c r="G126" t="n">
        <v>0.9</v>
      </c>
      <c r="H126" t="n">
        <v>0</v>
      </c>
      <c r="I126" t="n">
        <v>0</v>
      </c>
      <c r="J126" t="n">
        <v>0</v>
      </c>
      <c r="K126" t="n">
        <v>0</v>
      </c>
      <c r="L126" t="n">
        <v>0</v>
      </c>
      <c r="M126" t="n">
        <v>0</v>
      </c>
      <c r="N126" t="n">
        <v>0</v>
      </c>
      <c r="O126" t="n">
        <v>0</v>
      </c>
      <c r="P126" t="n">
        <v>0</v>
      </c>
      <c r="Q126" t="n">
        <v>0</v>
      </c>
      <c r="R126" s="2" t="inlineStr"/>
    </row>
    <row r="127" ht="15" customHeight="1">
      <c r="A127" t="inlineStr">
        <is>
          <t>A 50747-2022</t>
        </is>
      </c>
      <c r="B127" s="1" t="n">
        <v>44867.40162037037</v>
      </c>
      <c r="C127" s="1" t="n">
        <v>46127</v>
      </c>
      <c r="D127" t="inlineStr">
        <is>
          <t>UPPSALA LÄN</t>
        </is>
      </c>
      <c r="E127" t="inlineStr">
        <is>
          <t>ENKÖPING</t>
        </is>
      </c>
      <c r="G127" t="n">
        <v>1.5</v>
      </c>
      <c r="H127" t="n">
        <v>0</v>
      </c>
      <c r="I127" t="n">
        <v>0</v>
      </c>
      <c r="J127" t="n">
        <v>0</v>
      </c>
      <c r="K127" t="n">
        <v>0</v>
      </c>
      <c r="L127" t="n">
        <v>0</v>
      </c>
      <c r="M127" t="n">
        <v>0</v>
      </c>
      <c r="N127" t="n">
        <v>0</v>
      </c>
      <c r="O127" t="n">
        <v>0</v>
      </c>
      <c r="P127" t="n">
        <v>0</v>
      </c>
      <c r="Q127" t="n">
        <v>0</v>
      </c>
      <c r="R127" s="2" t="inlineStr"/>
    </row>
    <row r="128" ht="15" customHeight="1">
      <c r="A128" t="inlineStr">
        <is>
          <t>A 68123-2021</t>
        </is>
      </c>
      <c r="B128" s="1" t="n">
        <v>44526.39126157408</v>
      </c>
      <c r="C128" s="1" t="n">
        <v>46127</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22680-2025</t>
        </is>
      </c>
      <c r="B129" s="1" t="n">
        <v>45789.5005787037</v>
      </c>
      <c r="C129" s="1" t="n">
        <v>46127</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27983-2024</t>
        </is>
      </c>
      <c r="B130" s="1" t="n">
        <v>45476</v>
      </c>
      <c r="C130" s="1" t="n">
        <v>46127</v>
      </c>
      <c r="D130" t="inlineStr">
        <is>
          <t>UPPSALA LÄN</t>
        </is>
      </c>
      <c r="E130" t="inlineStr">
        <is>
          <t>ENKÖPING</t>
        </is>
      </c>
      <c r="G130" t="n">
        <v>3.2</v>
      </c>
      <c r="H130" t="n">
        <v>0</v>
      </c>
      <c r="I130" t="n">
        <v>0</v>
      </c>
      <c r="J130" t="n">
        <v>0</v>
      </c>
      <c r="K130" t="n">
        <v>0</v>
      </c>
      <c r="L130" t="n">
        <v>0</v>
      </c>
      <c r="M130" t="n">
        <v>0</v>
      </c>
      <c r="N130" t="n">
        <v>0</v>
      </c>
      <c r="O130" t="n">
        <v>0</v>
      </c>
      <c r="P130" t="n">
        <v>0</v>
      </c>
      <c r="Q130" t="n">
        <v>0</v>
      </c>
      <c r="R130" s="2" t="inlineStr"/>
    </row>
    <row r="131" ht="15" customHeight="1">
      <c r="A131" t="inlineStr">
        <is>
          <t>A 22802-2025</t>
        </is>
      </c>
      <c r="B131" s="1" t="n">
        <v>45789.6686574074</v>
      </c>
      <c r="C131" s="1" t="n">
        <v>46127</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22793-2025</t>
        </is>
      </c>
      <c r="B132" s="1" t="n">
        <v>45789.65693287037</v>
      </c>
      <c r="C132" s="1" t="n">
        <v>46127</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22795-2025</t>
        </is>
      </c>
      <c r="B133" s="1" t="n">
        <v>45789.65944444444</v>
      </c>
      <c r="C133" s="1" t="n">
        <v>46127</v>
      </c>
      <c r="D133" t="inlineStr">
        <is>
          <t>UPPSALA LÄN</t>
        </is>
      </c>
      <c r="E133" t="inlineStr">
        <is>
          <t>ENKÖPING</t>
        </is>
      </c>
      <c r="G133" t="n">
        <v>10.4</v>
      </c>
      <c r="H133" t="n">
        <v>0</v>
      </c>
      <c r="I133" t="n">
        <v>0</v>
      </c>
      <c r="J133" t="n">
        <v>0</v>
      </c>
      <c r="K133" t="n">
        <v>0</v>
      </c>
      <c r="L133" t="n">
        <v>0</v>
      </c>
      <c r="M133" t="n">
        <v>0</v>
      </c>
      <c r="N133" t="n">
        <v>0</v>
      </c>
      <c r="O133" t="n">
        <v>0</v>
      </c>
      <c r="P133" t="n">
        <v>0</v>
      </c>
      <c r="Q133" t="n">
        <v>0</v>
      </c>
      <c r="R133" s="2" t="inlineStr"/>
    </row>
    <row r="134" ht="15" customHeight="1">
      <c r="A134" t="inlineStr">
        <is>
          <t>A 22725-2025</t>
        </is>
      </c>
      <c r="B134" s="1" t="n">
        <v>45789.57371527778</v>
      </c>
      <c r="C134" s="1" t="n">
        <v>46127</v>
      </c>
      <c r="D134" t="inlineStr">
        <is>
          <t>UPPSALA LÄN</t>
        </is>
      </c>
      <c r="E134" t="inlineStr">
        <is>
          <t>ENKÖPING</t>
        </is>
      </c>
      <c r="G134" t="n">
        <v>4.8</v>
      </c>
      <c r="H134" t="n">
        <v>0</v>
      </c>
      <c r="I134" t="n">
        <v>0</v>
      </c>
      <c r="J134" t="n">
        <v>0</v>
      </c>
      <c r="K134" t="n">
        <v>0</v>
      </c>
      <c r="L134" t="n">
        <v>0</v>
      </c>
      <c r="M134" t="n">
        <v>0</v>
      </c>
      <c r="N134" t="n">
        <v>0</v>
      </c>
      <c r="O134" t="n">
        <v>0</v>
      </c>
      <c r="P134" t="n">
        <v>0</v>
      </c>
      <c r="Q134" t="n">
        <v>0</v>
      </c>
      <c r="R134" s="2" t="inlineStr"/>
    </row>
    <row r="135" ht="15" customHeight="1">
      <c r="A135" t="inlineStr">
        <is>
          <t>A 19298-2023</t>
        </is>
      </c>
      <c r="B135" s="1" t="n">
        <v>45048</v>
      </c>
      <c r="C135" s="1" t="n">
        <v>46127</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15939-2022</t>
        </is>
      </c>
      <c r="B136" s="1" t="n">
        <v>44664</v>
      </c>
      <c r="C136" s="1" t="n">
        <v>46127</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57153-2021</t>
        </is>
      </c>
      <c r="B137" s="1" t="n">
        <v>44482</v>
      </c>
      <c r="C137" s="1" t="n">
        <v>46127</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43697-2024</t>
        </is>
      </c>
      <c r="B138" s="1" t="n">
        <v>45569</v>
      </c>
      <c r="C138" s="1" t="n">
        <v>46127</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56176-2021</t>
        </is>
      </c>
      <c r="B139" s="1" t="n">
        <v>44477</v>
      </c>
      <c r="C139" s="1" t="n">
        <v>46127</v>
      </c>
      <c r="D139" t="inlineStr">
        <is>
          <t>UPPSALA LÄN</t>
        </is>
      </c>
      <c r="E139" t="inlineStr">
        <is>
          <t>ENKÖPING</t>
        </is>
      </c>
      <c r="G139" t="n">
        <v>2.9</v>
      </c>
      <c r="H139" t="n">
        <v>0</v>
      </c>
      <c r="I139" t="n">
        <v>0</v>
      </c>
      <c r="J139" t="n">
        <v>0</v>
      </c>
      <c r="K139" t="n">
        <v>0</v>
      </c>
      <c r="L139" t="n">
        <v>0</v>
      </c>
      <c r="M139" t="n">
        <v>0</v>
      </c>
      <c r="N139" t="n">
        <v>0</v>
      </c>
      <c r="O139" t="n">
        <v>0</v>
      </c>
      <c r="P139" t="n">
        <v>0</v>
      </c>
      <c r="Q139" t="n">
        <v>0</v>
      </c>
      <c r="R139" s="2" t="inlineStr"/>
    </row>
    <row r="140" ht="15" customHeight="1">
      <c r="A140" t="inlineStr">
        <is>
          <t>A 45283-2022</t>
        </is>
      </c>
      <c r="B140" s="1" t="n">
        <v>44844</v>
      </c>
      <c r="C140" s="1" t="n">
        <v>46127</v>
      </c>
      <c r="D140" t="inlineStr">
        <is>
          <t>UPPSALA LÄN</t>
        </is>
      </c>
      <c r="E140" t="inlineStr">
        <is>
          <t>ENKÖPING</t>
        </is>
      </c>
      <c r="G140" t="n">
        <v>5.9</v>
      </c>
      <c r="H140" t="n">
        <v>0</v>
      </c>
      <c r="I140" t="n">
        <v>0</v>
      </c>
      <c r="J140" t="n">
        <v>0</v>
      </c>
      <c r="K140" t="n">
        <v>0</v>
      </c>
      <c r="L140" t="n">
        <v>0</v>
      </c>
      <c r="M140" t="n">
        <v>0</v>
      </c>
      <c r="N140" t="n">
        <v>0</v>
      </c>
      <c r="O140" t="n">
        <v>0</v>
      </c>
      <c r="P140" t="n">
        <v>0</v>
      </c>
      <c r="Q140" t="n">
        <v>0</v>
      </c>
      <c r="R140" s="2" t="inlineStr"/>
    </row>
    <row r="141" ht="15" customHeight="1">
      <c r="A141" t="inlineStr">
        <is>
          <t>A 22981-2025</t>
        </is>
      </c>
      <c r="B141" s="1" t="n">
        <v>45790.56964120371</v>
      </c>
      <c r="C141" s="1" t="n">
        <v>46127</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41826-2024</t>
        </is>
      </c>
      <c r="B142" s="1" t="n">
        <v>45561</v>
      </c>
      <c r="C142" s="1" t="n">
        <v>46127</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42589-2022</t>
        </is>
      </c>
      <c r="B143" s="1" t="n">
        <v>44831</v>
      </c>
      <c r="C143" s="1" t="n">
        <v>46127</v>
      </c>
      <c r="D143" t="inlineStr">
        <is>
          <t>UPPSALA LÄN</t>
        </is>
      </c>
      <c r="E143" t="inlineStr">
        <is>
          <t>ENKÖPING</t>
        </is>
      </c>
      <c r="G143" t="n">
        <v>20</v>
      </c>
      <c r="H143" t="n">
        <v>0</v>
      </c>
      <c r="I143" t="n">
        <v>0</v>
      </c>
      <c r="J143" t="n">
        <v>0</v>
      </c>
      <c r="K143" t="n">
        <v>0</v>
      </c>
      <c r="L143" t="n">
        <v>0</v>
      </c>
      <c r="M143" t="n">
        <v>0</v>
      </c>
      <c r="N143" t="n">
        <v>0</v>
      </c>
      <c r="O143" t="n">
        <v>0</v>
      </c>
      <c r="P143" t="n">
        <v>0</v>
      </c>
      <c r="Q143" t="n">
        <v>0</v>
      </c>
      <c r="R143" s="2" t="inlineStr"/>
    </row>
    <row r="144" ht="15" customHeight="1">
      <c r="A144" t="inlineStr">
        <is>
          <t>A 45956-2024</t>
        </is>
      </c>
      <c r="B144" s="1" t="n">
        <v>45580</v>
      </c>
      <c r="C144" s="1" t="n">
        <v>46127</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69344-2021</t>
        </is>
      </c>
      <c r="B145" s="1" t="n">
        <v>44531</v>
      </c>
      <c r="C145" s="1" t="n">
        <v>46127</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10831-2024</t>
        </is>
      </c>
      <c r="B146" s="1" t="n">
        <v>45369</v>
      </c>
      <c r="C146" s="1" t="n">
        <v>46127</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840-2025</t>
        </is>
      </c>
      <c r="B147" s="1" t="n">
        <v>45665</v>
      </c>
      <c r="C147" s="1" t="n">
        <v>46127</v>
      </c>
      <c r="D147" t="inlineStr">
        <is>
          <t>UPPSALA LÄN</t>
        </is>
      </c>
      <c r="E147" t="inlineStr">
        <is>
          <t>ENKÖPING</t>
        </is>
      </c>
      <c r="G147" t="n">
        <v>0.9</v>
      </c>
      <c r="H147" t="n">
        <v>0</v>
      </c>
      <c r="I147" t="n">
        <v>0</v>
      </c>
      <c r="J147" t="n">
        <v>0</v>
      </c>
      <c r="K147" t="n">
        <v>0</v>
      </c>
      <c r="L147" t="n">
        <v>0</v>
      </c>
      <c r="M147" t="n">
        <v>0</v>
      </c>
      <c r="N147" t="n">
        <v>0</v>
      </c>
      <c r="O147" t="n">
        <v>0</v>
      </c>
      <c r="P147" t="n">
        <v>0</v>
      </c>
      <c r="Q147" t="n">
        <v>0</v>
      </c>
      <c r="R147" s="2" t="inlineStr"/>
    </row>
    <row r="148" ht="15" customHeight="1">
      <c r="A148" t="inlineStr">
        <is>
          <t>A 8020-2022</t>
        </is>
      </c>
      <c r="B148" s="1" t="n">
        <v>44609</v>
      </c>
      <c r="C148" s="1" t="n">
        <v>46127</v>
      </c>
      <c r="D148" t="inlineStr">
        <is>
          <t>UPPSALA LÄN</t>
        </is>
      </c>
      <c r="E148" t="inlineStr">
        <is>
          <t>ENKÖPING</t>
        </is>
      </c>
      <c r="G148" t="n">
        <v>6</v>
      </c>
      <c r="H148" t="n">
        <v>0</v>
      </c>
      <c r="I148" t="n">
        <v>0</v>
      </c>
      <c r="J148" t="n">
        <v>0</v>
      </c>
      <c r="K148" t="n">
        <v>0</v>
      </c>
      <c r="L148" t="n">
        <v>0</v>
      </c>
      <c r="M148" t="n">
        <v>0</v>
      </c>
      <c r="N148" t="n">
        <v>0</v>
      </c>
      <c r="O148" t="n">
        <v>0</v>
      </c>
      <c r="P148" t="n">
        <v>0</v>
      </c>
      <c r="Q148" t="n">
        <v>0</v>
      </c>
      <c r="R148" s="2" t="inlineStr"/>
    </row>
    <row r="149" ht="15" customHeight="1">
      <c r="A149" t="inlineStr">
        <is>
          <t>A 74090-2021</t>
        </is>
      </c>
      <c r="B149" s="1" t="n">
        <v>44557</v>
      </c>
      <c r="C149" s="1" t="n">
        <v>46127</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37115-2024</t>
        </is>
      </c>
      <c r="B150" s="1" t="n">
        <v>45539</v>
      </c>
      <c r="C150" s="1" t="n">
        <v>46127</v>
      </c>
      <c r="D150" t="inlineStr">
        <is>
          <t>UPPSALA LÄN</t>
        </is>
      </c>
      <c r="E150" t="inlineStr">
        <is>
          <t>ENKÖPING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34805-2024</t>
        </is>
      </c>
      <c r="B151" s="1" t="n">
        <v>45526</v>
      </c>
      <c r="C151" s="1" t="n">
        <v>46127</v>
      </c>
      <c r="D151" t="inlineStr">
        <is>
          <t>UPPSALA LÄN</t>
        </is>
      </c>
      <c r="E151" t="inlineStr">
        <is>
          <t>ENKÖPING</t>
        </is>
      </c>
      <c r="G151" t="n">
        <v>3.6</v>
      </c>
      <c r="H151" t="n">
        <v>0</v>
      </c>
      <c r="I151" t="n">
        <v>0</v>
      </c>
      <c r="J151" t="n">
        <v>0</v>
      </c>
      <c r="K151" t="n">
        <v>0</v>
      </c>
      <c r="L151" t="n">
        <v>0</v>
      </c>
      <c r="M151" t="n">
        <v>0</v>
      </c>
      <c r="N151" t="n">
        <v>0</v>
      </c>
      <c r="O151" t="n">
        <v>0</v>
      </c>
      <c r="P151" t="n">
        <v>0</v>
      </c>
      <c r="Q151" t="n">
        <v>0</v>
      </c>
      <c r="R151" s="2" t="inlineStr"/>
    </row>
    <row r="152" ht="15" customHeight="1">
      <c r="A152" t="inlineStr">
        <is>
          <t>A 17729-2023</t>
        </is>
      </c>
      <c r="B152" s="1" t="n">
        <v>45037</v>
      </c>
      <c r="C152" s="1" t="n">
        <v>46127</v>
      </c>
      <c r="D152" t="inlineStr">
        <is>
          <t>UPPSALA LÄN</t>
        </is>
      </c>
      <c r="E152" t="inlineStr">
        <is>
          <t>ENKÖPING</t>
        </is>
      </c>
      <c r="G152" t="n">
        <v>10.2</v>
      </c>
      <c r="H152" t="n">
        <v>0</v>
      </c>
      <c r="I152" t="n">
        <v>0</v>
      </c>
      <c r="J152" t="n">
        <v>0</v>
      </c>
      <c r="K152" t="n">
        <v>0</v>
      </c>
      <c r="L152" t="n">
        <v>0</v>
      </c>
      <c r="M152" t="n">
        <v>0</v>
      </c>
      <c r="N152" t="n">
        <v>0</v>
      </c>
      <c r="O152" t="n">
        <v>0</v>
      </c>
      <c r="P152" t="n">
        <v>0</v>
      </c>
      <c r="Q152" t="n">
        <v>0</v>
      </c>
      <c r="R152" s="2" t="inlineStr"/>
    </row>
    <row r="153" ht="15" customHeight="1">
      <c r="A153" t="inlineStr">
        <is>
          <t>A 5712-2025</t>
        </is>
      </c>
      <c r="B153" s="1" t="n">
        <v>45694</v>
      </c>
      <c r="C153" s="1" t="n">
        <v>46127</v>
      </c>
      <c r="D153" t="inlineStr">
        <is>
          <t>UPPSALA LÄN</t>
        </is>
      </c>
      <c r="E153" t="inlineStr">
        <is>
          <t>ENKÖPING</t>
        </is>
      </c>
      <c r="G153" t="n">
        <v>5.1</v>
      </c>
      <c r="H153" t="n">
        <v>0</v>
      </c>
      <c r="I153" t="n">
        <v>0</v>
      </c>
      <c r="J153" t="n">
        <v>0</v>
      </c>
      <c r="K153" t="n">
        <v>0</v>
      </c>
      <c r="L153" t="n">
        <v>0</v>
      </c>
      <c r="M153" t="n">
        <v>0</v>
      </c>
      <c r="N153" t="n">
        <v>0</v>
      </c>
      <c r="O153" t="n">
        <v>0</v>
      </c>
      <c r="P153" t="n">
        <v>0</v>
      </c>
      <c r="Q153" t="n">
        <v>0</v>
      </c>
      <c r="R153" s="2" t="inlineStr"/>
    </row>
    <row r="154" ht="15" customHeight="1">
      <c r="A154" t="inlineStr">
        <is>
          <t>A 5749-2025</t>
        </is>
      </c>
      <c r="B154" s="1" t="n">
        <v>45694</v>
      </c>
      <c r="C154" s="1" t="n">
        <v>46127</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45142-2023</t>
        </is>
      </c>
      <c r="B155" s="1" t="n">
        <v>45191.4702662037</v>
      </c>
      <c r="C155" s="1" t="n">
        <v>46127</v>
      </c>
      <c r="D155" t="inlineStr">
        <is>
          <t>UPPSALA LÄN</t>
        </is>
      </c>
      <c r="E155" t="inlineStr">
        <is>
          <t>ENKÖPING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11918-2025</t>
        </is>
      </c>
      <c r="B156" s="1" t="n">
        <v>45728.49331018519</v>
      </c>
      <c r="C156" s="1" t="n">
        <v>46127</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314-2025</t>
        </is>
      </c>
      <c r="B157" s="1" t="n">
        <v>45656</v>
      </c>
      <c r="C157" s="1" t="n">
        <v>46127</v>
      </c>
      <c r="D157" t="inlineStr">
        <is>
          <t>UPPSALA LÄN</t>
        </is>
      </c>
      <c r="E157" t="inlineStr">
        <is>
          <t>ENKÖPING</t>
        </is>
      </c>
      <c r="G157" t="n">
        <v>9</v>
      </c>
      <c r="H157" t="n">
        <v>0</v>
      </c>
      <c r="I157" t="n">
        <v>0</v>
      </c>
      <c r="J157" t="n">
        <v>0</v>
      </c>
      <c r="K157" t="n">
        <v>0</v>
      </c>
      <c r="L157" t="n">
        <v>0</v>
      </c>
      <c r="M157" t="n">
        <v>0</v>
      </c>
      <c r="N157" t="n">
        <v>0</v>
      </c>
      <c r="O157" t="n">
        <v>0</v>
      </c>
      <c r="P157" t="n">
        <v>0</v>
      </c>
      <c r="Q157" t="n">
        <v>0</v>
      </c>
      <c r="R157" s="2" t="inlineStr"/>
    </row>
    <row r="158" ht="15" customHeight="1">
      <c r="A158" t="inlineStr">
        <is>
          <t>A 31242-2024</t>
        </is>
      </c>
      <c r="B158" s="1" t="n">
        <v>45503</v>
      </c>
      <c r="C158" s="1" t="n">
        <v>46127</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11627-2025</t>
        </is>
      </c>
      <c r="B159" s="1" t="n">
        <v>45727</v>
      </c>
      <c r="C159" s="1" t="n">
        <v>46127</v>
      </c>
      <c r="D159" t="inlineStr">
        <is>
          <t>UPPSALA LÄN</t>
        </is>
      </c>
      <c r="E159" t="inlineStr">
        <is>
          <t>ENKÖPING</t>
        </is>
      </c>
      <c r="G159" t="n">
        <v>5.5</v>
      </c>
      <c r="H159" t="n">
        <v>0</v>
      </c>
      <c r="I159" t="n">
        <v>0</v>
      </c>
      <c r="J159" t="n">
        <v>0</v>
      </c>
      <c r="K159" t="n">
        <v>0</v>
      </c>
      <c r="L159" t="n">
        <v>0</v>
      </c>
      <c r="M159" t="n">
        <v>0</v>
      </c>
      <c r="N159" t="n">
        <v>0</v>
      </c>
      <c r="O159" t="n">
        <v>0</v>
      </c>
      <c r="P159" t="n">
        <v>0</v>
      </c>
      <c r="Q159" t="n">
        <v>0</v>
      </c>
      <c r="R159" s="2" t="inlineStr"/>
    </row>
    <row r="160" ht="15" customHeight="1">
      <c r="A160" t="inlineStr">
        <is>
          <t>A 845-2025</t>
        </is>
      </c>
      <c r="B160" s="1" t="n">
        <v>45665</v>
      </c>
      <c r="C160" s="1" t="n">
        <v>46127</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849-2025</t>
        </is>
      </c>
      <c r="B161" s="1" t="n">
        <v>45665</v>
      </c>
      <c r="C161" s="1" t="n">
        <v>46127</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24411-2024</t>
        </is>
      </c>
      <c r="B162" s="1" t="n">
        <v>45457</v>
      </c>
      <c r="C162" s="1" t="n">
        <v>46127</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39746-2025</t>
        </is>
      </c>
      <c r="B163" s="1" t="n">
        <v>45891</v>
      </c>
      <c r="C163" s="1" t="n">
        <v>46127</v>
      </c>
      <c r="D163" t="inlineStr">
        <is>
          <t>UPPSALA LÄN</t>
        </is>
      </c>
      <c r="E163" t="inlineStr">
        <is>
          <t>ENKÖPING</t>
        </is>
      </c>
      <c r="G163" t="n">
        <v>7.4</v>
      </c>
      <c r="H163" t="n">
        <v>0</v>
      </c>
      <c r="I163" t="n">
        <v>0</v>
      </c>
      <c r="J163" t="n">
        <v>0</v>
      </c>
      <c r="K163" t="n">
        <v>0</v>
      </c>
      <c r="L163" t="n">
        <v>0</v>
      </c>
      <c r="M163" t="n">
        <v>0</v>
      </c>
      <c r="N163" t="n">
        <v>0</v>
      </c>
      <c r="O163" t="n">
        <v>0</v>
      </c>
      <c r="P163" t="n">
        <v>0</v>
      </c>
      <c r="Q163" t="n">
        <v>0</v>
      </c>
      <c r="R163" s="2" t="inlineStr"/>
    </row>
    <row r="164" ht="15" customHeight="1">
      <c r="A164" t="inlineStr">
        <is>
          <t>A 62158-2023</t>
        </is>
      </c>
      <c r="B164" s="1" t="n">
        <v>45267</v>
      </c>
      <c r="C164" s="1" t="n">
        <v>46127</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60350-2022</t>
        </is>
      </c>
      <c r="B165" s="1" t="n">
        <v>44910</v>
      </c>
      <c r="C165" s="1" t="n">
        <v>46127</v>
      </c>
      <c r="D165" t="inlineStr">
        <is>
          <t>UPPSALA LÄN</t>
        </is>
      </c>
      <c r="E165" t="inlineStr">
        <is>
          <t>ENKÖPING</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58092-2024</t>
        </is>
      </c>
      <c r="B166" s="1" t="n">
        <v>45632</v>
      </c>
      <c r="C166" s="1" t="n">
        <v>46127</v>
      </c>
      <c r="D166" t="inlineStr">
        <is>
          <t>UPPSALA LÄN</t>
        </is>
      </c>
      <c r="E166" t="inlineStr">
        <is>
          <t>ENKÖPING</t>
        </is>
      </c>
      <c r="G166" t="n">
        <v>4.8</v>
      </c>
      <c r="H166" t="n">
        <v>0</v>
      </c>
      <c r="I166" t="n">
        <v>0</v>
      </c>
      <c r="J166" t="n">
        <v>0</v>
      </c>
      <c r="K166" t="n">
        <v>0</v>
      </c>
      <c r="L166" t="n">
        <v>0</v>
      </c>
      <c r="M166" t="n">
        <v>0</v>
      </c>
      <c r="N166" t="n">
        <v>0</v>
      </c>
      <c r="O166" t="n">
        <v>0</v>
      </c>
      <c r="P166" t="n">
        <v>0</v>
      </c>
      <c r="Q166" t="n">
        <v>0</v>
      </c>
      <c r="R166" s="2" t="inlineStr"/>
    </row>
    <row r="167" ht="15" customHeight="1">
      <c r="A167" t="inlineStr">
        <is>
          <t>A 35647-2021</t>
        </is>
      </c>
      <c r="B167" s="1" t="n">
        <v>44386</v>
      </c>
      <c r="C167" s="1" t="n">
        <v>46127</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26024-2025</t>
        </is>
      </c>
      <c r="B168" s="1" t="n">
        <v>45804.6831712963</v>
      </c>
      <c r="C168" s="1" t="n">
        <v>46127</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26042-2025</t>
        </is>
      </c>
      <c r="B169" s="1" t="n">
        <v>45804.70018518518</v>
      </c>
      <c r="C169" s="1" t="n">
        <v>46127</v>
      </c>
      <c r="D169" t="inlineStr">
        <is>
          <t>UPPSALA LÄN</t>
        </is>
      </c>
      <c r="E169" t="inlineStr">
        <is>
          <t>ENKÖPING</t>
        </is>
      </c>
      <c r="G169" t="n">
        <v>1.2</v>
      </c>
      <c r="H169" t="n">
        <v>0</v>
      </c>
      <c r="I169" t="n">
        <v>0</v>
      </c>
      <c r="J169" t="n">
        <v>0</v>
      </c>
      <c r="K169" t="n">
        <v>0</v>
      </c>
      <c r="L169" t="n">
        <v>0</v>
      </c>
      <c r="M169" t="n">
        <v>0</v>
      </c>
      <c r="N169" t="n">
        <v>0</v>
      </c>
      <c r="O169" t="n">
        <v>0</v>
      </c>
      <c r="P169" t="n">
        <v>0</v>
      </c>
      <c r="Q169" t="n">
        <v>0</v>
      </c>
      <c r="R169" s="2" t="inlineStr"/>
    </row>
    <row r="170" ht="15" customHeight="1">
      <c r="A170" t="inlineStr">
        <is>
          <t>A 26005-2025</t>
        </is>
      </c>
      <c r="B170" s="1" t="n">
        <v>45804.67055555555</v>
      </c>
      <c r="C170" s="1" t="n">
        <v>46127</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26026-2025</t>
        </is>
      </c>
      <c r="B171" s="1" t="n">
        <v>45804.68510416667</v>
      </c>
      <c r="C171" s="1" t="n">
        <v>46127</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26030-2025</t>
        </is>
      </c>
      <c r="B172" s="1" t="n">
        <v>45804.68815972222</v>
      </c>
      <c r="C172" s="1" t="n">
        <v>46127</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26022-2025</t>
        </is>
      </c>
      <c r="B173" s="1" t="n">
        <v>45804.68006944445</v>
      </c>
      <c r="C173" s="1" t="n">
        <v>46127</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41616-2025</t>
        </is>
      </c>
      <c r="B174" s="1" t="n">
        <v>45901.69684027778</v>
      </c>
      <c r="C174" s="1" t="n">
        <v>46127</v>
      </c>
      <c r="D174" t="inlineStr">
        <is>
          <t>UPPSALA LÄN</t>
        </is>
      </c>
      <c r="E174" t="inlineStr">
        <is>
          <t>ENKÖPING</t>
        </is>
      </c>
      <c r="F174" t="inlineStr">
        <is>
          <t>Allmännings- och besparingsskogar</t>
        </is>
      </c>
      <c r="G174" t="n">
        <v>17.3</v>
      </c>
      <c r="H174" t="n">
        <v>0</v>
      </c>
      <c r="I174" t="n">
        <v>0</v>
      </c>
      <c r="J174" t="n">
        <v>0</v>
      </c>
      <c r="K174" t="n">
        <v>0</v>
      </c>
      <c r="L174" t="n">
        <v>0</v>
      </c>
      <c r="M174" t="n">
        <v>0</v>
      </c>
      <c r="N174" t="n">
        <v>0</v>
      </c>
      <c r="O174" t="n">
        <v>0</v>
      </c>
      <c r="P174" t="n">
        <v>0</v>
      </c>
      <c r="Q174" t="n">
        <v>0</v>
      </c>
      <c r="R174" s="2" t="inlineStr"/>
    </row>
    <row r="175" ht="15" customHeight="1">
      <c r="A175" t="inlineStr">
        <is>
          <t>A 25988-2025</t>
        </is>
      </c>
      <c r="B175" s="1" t="n">
        <v>45804.64814814815</v>
      </c>
      <c r="C175" s="1" t="n">
        <v>46127</v>
      </c>
      <c r="D175" t="inlineStr">
        <is>
          <t>UPPSALA LÄN</t>
        </is>
      </c>
      <c r="E175" t="inlineStr">
        <is>
          <t>ENKÖPING</t>
        </is>
      </c>
      <c r="G175" t="n">
        <v>4.7</v>
      </c>
      <c r="H175" t="n">
        <v>0</v>
      </c>
      <c r="I175" t="n">
        <v>0</v>
      </c>
      <c r="J175" t="n">
        <v>0</v>
      </c>
      <c r="K175" t="n">
        <v>0</v>
      </c>
      <c r="L175" t="n">
        <v>0</v>
      </c>
      <c r="M175" t="n">
        <v>0</v>
      </c>
      <c r="N175" t="n">
        <v>0</v>
      </c>
      <c r="O175" t="n">
        <v>0</v>
      </c>
      <c r="P175" t="n">
        <v>0</v>
      </c>
      <c r="Q175" t="n">
        <v>0</v>
      </c>
      <c r="R175" s="2" t="inlineStr"/>
    </row>
    <row r="176" ht="15" customHeight="1">
      <c r="A176" t="inlineStr">
        <is>
          <t>A 26031-2025</t>
        </is>
      </c>
      <c r="B176" s="1" t="n">
        <v>45804.69050925926</v>
      </c>
      <c r="C176" s="1" t="n">
        <v>46127</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26041-2025</t>
        </is>
      </c>
      <c r="B177" s="1" t="n">
        <v>45804.69883101852</v>
      </c>
      <c r="C177" s="1" t="n">
        <v>46127</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56625-2025</t>
        </is>
      </c>
      <c r="B178" s="1" t="n">
        <v>45975.60608796297</v>
      </c>
      <c r="C178" s="1" t="n">
        <v>46127</v>
      </c>
      <c r="D178" t="inlineStr">
        <is>
          <t>UPPSALA LÄN</t>
        </is>
      </c>
      <c r="E178" t="inlineStr">
        <is>
          <t>ENKÖPING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25847-2025</t>
        </is>
      </c>
      <c r="B179" s="1" t="n">
        <v>45804</v>
      </c>
      <c r="C179" s="1" t="n">
        <v>46127</v>
      </c>
      <c r="D179" t="inlineStr">
        <is>
          <t>UPPSALA LÄN</t>
        </is>
      </c>
      <c r="E179" t="inlineStr">
        <is>
          <t>ENKÖPING</t>
        </is>
      </c>
      <c r="G179" t="n">
        <v>3.6</v>
      </c>
      <c r="H179" t="n">
        <v>0</v>
      </c>
      <c r="I179" t="n">
        <v>0</v>
      </c>
      <c r="J179" t="n">
        <v>0</v>
      </c>
      <c r="K179" t="n">
        <v>0</v>
      </c>
      <c r="L179" t="n">
        <v>0</v>
      </c>
      <c r="M179" t="n">
        <v>0</v>
      </c>
      <c r="N179" t="n">
        <v>0</v>
      </c>
      <c r="O179" t="n">
        <v>0</v>
      </c>
      <c r="P179" t="n">
        <v>0</v>
      </c>
      <c r="Q179" t="n">
        <v>0</v>
      </c>
      <c r="R179" s="2" t="inlineStr"/>
    </row>
    <row r="180" ht="15" customHeight="1">
      <c r="A180" t="inlineStr">
        <is>
          <t>A 41637-2025</t>
        </is>
      </c>
      <c r="B180" s="1" t="n">
        <v>45901</v>
      </c>
      <c r="C180" s="1" t="n">
        <v>46127</v>
      </c>
      <c r="D180" t="inlineStr">
        <is>
          <t>UPPSALA LÄN</t>
        </is>
      </c>
      <c r="E180" t="inlineStr">
        <is>
          <t>ENKÖPING</t>
        </is>
      </c>
      <c r="F180" t="inlineStr">
        <is>
          <t>Allmännings- och besparingsskogar</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41618-2025</t>
        </is>
      </c>
      <c r="B181" s="1" t="n">
        <v>45901.70085648148</v>
      </c>
      <c r="C181" s="1" t="n">
        <v>46127</v>
      </c>
      <c r="D181" t="inlineStr">
        <is>
          <t>UPPSALA LÄN</t>
        </is>
      </c>
      <c r="E181" t="inlineStr">
        <is>
          <t>ENKÖPING</t>
        </is>
      </c>
      <c r="F181" t="inlineStr">
        <is>
          <t>Allmännings- och besparingsskogar</t>
        </is>
      </c>
      <c r="G181" t="n">
        <v>5.3</v>
      </c>
      <c r="H181" t="n">
        <v>0</v>
      </c>
      <c r="I181" t="n">
        <v>0</v>
      </c>
      <c r="J181" t="n">
        <v>0</v>
      </c>
      <c r="K181" t="n">
        <v>0</v>
      </c>
      <c r="L181" t="n">
        <v>0</v>
      </c>
      <c r="M181" t="n">
        <v>0</v>
      </c>
      <c r="N181" t="n">
        <v>0</v>
      </c>
      <c r="O181" t="n">
        <v>0</v>
      </c>
      <c r="P181" t="n">
        <v>0</v>
      </c>
      <c r="Q181" t="n">
        <v>0</v>
      </c>
      <c r="R181" s="2" t="inlineStr"/>
    </row>
    <row r="182" ht="15" customHeight="1">
      <c r="A182" t="inlineStr">
        <is>
          <t>A 26047-2025</t>
        </is>
      </c>
      <c r="B182" s="1" t="n">
        <v>45804.70835648148</v>
      </c>
      <c r="C182" s="1" t="n">
        <v>46127</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10458-2022</t>
        </is>
      </c>
      <c r="B183" s="1" t="n">
        <v>44623.56711805556</v>
      </c>
      <c r="C183" s="1" t="n">
        <v>46127</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42029-2025</t>
        </is>
      </c>
      <c r="B184" s="1" t="n">
        <v>45903</v>
      </c>
      <c r="C184" s="1" t="n">
        <v>46127</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41765-2025</t>
        </is>
      </c>
      <c r="B185" s="1" t="n">
        <v>45902</v>
      </c>
      <c r="C185" s="1" t="n">
        <v>46127</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35067-2024</t>
        </is>
      </c>
      <c r="B186" s="1" t="n">
        <v>45527.66153935185</v>
      </c>
      <c r="C186" s="1" t="n">
        <v>46127</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44115-2024</t>
        </is>
      </c>
      <c r="B187" s="1" t="n">
        <v>45572</v>
      </c>
      <c r="C187" s="1" t="n">
        <v>46127</v>
      </c>
      <c r="D187" t="inlineStr">
        <is>
          <t>UPPSALA LÄN</t>
        </is>
      </c>
      <c r="E187" t="inlineStr">
        <is>
          <t>ENKÖPING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47516-2022</t>
        </is>
      </c>
      <c r="B188" s="1" t="n">
        <v>44853.68895833333</v>
      </c>
      <c r="C188" s="1" t="n">
        <v>46127</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9957-2023</t>
        </is>
      </c>
      <c r="B189" s="1" t="n">
        <v>44978</v>
      </c>
      <c r="C189" s="1" t="n">
        <v>46127</v>
      </c>
      <c r="D189" t="inlineStr">
        <is>
          <t>UPPSALA LÄN</t>
        </is>
      </c>
      <c r="E189" t="inlineStr">
        <is>
          <t>ENKÖPING</t>
        </is>
      </c>
      <c r="G189" t="n">
        <v>5.9</v>
      </c>
      <c r="H189" t="n">
        <v>0</v>
      </c>
      <c r="I189" t="n">
        <v>0</v>
      </c>
      <c r="J189" t="n">
        <v>0</v>
      </c>
      <c r="K189" t="n">
        <v>0</v>
      </c>
      <c r="L189" t="n">
        <v>0</v>
      </c>
      <c r="M189" t="n">
        <v>0</v>
      </c>
      <c r="N189" t="n">
        <v>0</v>
      </c>
      <c r="O189" t="n">
        <v>0</v>
      </c>
      <c r="P189" t="n">
        <v>0</v>
      </c>
      <c r="Q189" t="n">
        <v>0</v>
      </c>
      <c r="R189" s="2" t="inlineStr"/>
    </row>
    <row r="190" ht="15" customHeight="1">
      <c r="A190" t="inlineStr">
        <is>
          <t>A 57294-2025</t>
        </is>
      </c>
      <c r="B190" s="1" t="n">
        <v>45979</v>
      </c>
      <c r="C190" s="1" t="n">
        <v>46127</v>
      </c>
      <c r="D190" t="inlineStr">
        <is>
          <t>UPPSALA LÄN</t>
        </is>
      </c>
      <c r="E190" t="inlineStr">
        <is>
          <t>ENKÖPING</t>
        </is>
      </c>
      <c r="G190" t="n">
        <v>6.2</v>
      </c>
      <c r="H190" t="n">
        <v>0</v>
      </c>
      <c r="I190" t="n">
        <v>0</v>
      </c>
      <c r="J190" t="n">
        <v>0</v>
      </c>
      <c r="K190" t="n">
        <v>0</v>
      </c>
      <c r="L190" t="n">
        <v>0</v>
      </c>
      <c r="M190" t="n">
        <v>0</v>
      </c>
      <c r="N190" t="n">
        <v>0</v>
      </c>
      <c r="O190" t="n">
        <v>0</v>
      </c>
      <c r="P190" t="n">
        <v>0</v>
      </c>
      <c r="Q190" t="n">
        <v>0</v>
      </c>
      <c r="R190" s="2" t="inlineStr"/>
    </row>
    <row r="191" ht="15" customHeight="1">
      <c r="A191" t="inlineStr">
        <is>
          <t>A 41764-2025</t>
        </is>
      </c>
      <c r="B191" s="1" t="n">
        <v>45902</v>
      </c>
      <c r="C191" s="1" t="n">
        <v>46127</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51042-2024</t>
        </is>
      </c>
      <c r="B192" s="1" t="n">
        <v>45603.4342824074</v>
      </c>
      <c r="C192" s="1" t="n">
        <v>46127</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51037-2024</t>
        </is>
      </c>
      <c r="B193" s="1" t="n">
        <v>45603.43005787037</v>
      </c>
      <c r="C193" s="1" t="n">
        <v>46127</v>
      </c>
      <c r="D193" t="inlineStr">
        <is>
          <t>UPPSALA LÄN</t>
        </is>
      </c>
      <c r="E193" t="inlineStr">
        <is>
          <t>ENKÖPING</t>
        </is>
      </c>
      <c r="G193" t="n">
        <v>5.7</v>
      </c>
      <c r="H193" t="n">
        <v>0</v>
      </c>
      <c r="I193" t="n">
        <v>0</v>
      </c>
      <c r="J193" t="n">
        <v>0</v>
      </c>
      <c r="K193" t="n">
        <v>0</v>
      </c>
      <c r="L193" t="n">
        <v>0</v>
      </c>
      <c r="M193" t="n">
        <v>0</v>
      </c>
      <c r="N193" t="n">
        <v>0</v>
      </c>
      <c r="O193" t="n">
        <v>0</v>
      </c>
      <c r="P193" t="n">
        <v>0</v>
      </c>
      <c r="Q193" t="n">
        <v>0</v>
      </c>
      <c r="R193" s="2" t="inlineStr"/>
    </row>
    <row r="194" ht="15" customHeight="1">
      <c r="A194" t="inlineStr">
        <is>
          <t>A 42756-2025</t>
        </is>
      </c>
      <c r="B194" s="1" t="n">
        <v>45908</v>
      </c>
      <c r="C194" s="1" t="n">
        <v>46127</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63402-2023</t>
        </is>
      </c>
      <c r="B195" s="1" t="n">
        <v>45274.50646990741</v>
      </c>
      <c r="C195" s="1" t="n">
        <v>46127</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22632-2025</t>
        </is>
      </c>
      <c r="B196" s="1" t="n">
        <v>45789.44361111111</v>
      </c>
      <c r="C196" s="1" t="n">
        <v>46127</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16916-2023</t>
        </is>
      </c>
      <c r="B197" s="1" t="n">
        <v>45033.58347222222</v>
      </c>
      <c r="C197" s="1" t="n">
        <v>46127</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56886-2023</t>
        </is>
      </c>
      <c r="B198" s="1" t="n">
        <v>45239</v>
      </c>
      <c r="C198" s="1" t="n">
        <v>46127</v>
      </c>
      <c r="D198" t="inlineStr">
        <is>
          <t>UPPSALA LÄN</t>
        </is>
      </c>
      <c r="E198" t="inlineStr">
        <is>
          <t>ENKÖPING</t>
        </is>
      </c>
      <c r="G198" t="n">
        <v>2</v>
      </c>
      <c r="H198" t="n">
        <v>0</v>
      </c>
      <c r="I198" t="n">
        <v>0</v>
      </c>
      <c r="J198" t="n">
        <v>0</v>
      </c>
      <c r="K198" t="n">
        <v>0</v>
      </c>
      <c r="L198" t="n">
        <v>0</v>
      </c>
      <c r="M198" t="n">
        <v>0</v>
      </c>
      <c r="N198" t="n">
        <v>0</v>
      </c>
      <c r="O198" t="n">
        <v>0</v>
      </c>
      <c r="P198" t="n">
        <v>0</v>
      </c>
      <c r="Q198" t="n">
        <v>0</v>
      </c>
      <c r="R198" s="2" t="inlineStr"/>
    </row>
    <row r="199" ht="15" customHeight="1">
      <c r="A199" t="inlineStr">
        <is>
          <t>A 27829-2025</t>
        </is>
      </c>
      <c r="B199" s="1" t="n">
        <v>45817</v>
      </c>
      <c r="C199" s="1" t="n">
        <v>46127</v>
      </c>
      <c r="D199" t="inlineStr">
        <is>
          <t>UPPSALA LÄN</t>
        </is>
      </c>
      <c r="E199" t="inlineStr">
        <is>
          <t>ENKÖPING</t>
        </is>
      </c>
      <c r="G199" t="n">
        <v>2.1</v>
      </c>
      <c r="H199" t="n">
        <v>0</v>
      </c>
      <c r="I199" t="n">
        <v>0</v>
      </c>
      <c r="J199" t="n">
        <v>0</v>
      </c>
      <c r="K199" t="n">
        <v>0</v>
      </c>
      <c r="L199" t="n">
        <v>0</v>
      </c>
      <c r="M199" t="n">
        <v>0</v>
      </c>
      <c r="N199" t="n">
        <v>0</v>
      </c>
      <c r="O199" t="n">
        <v>0</v>
      </c>
      <c r="P199" t="n">
        <v>0</v>
      </c>
      <c r="Q199" t="n">
        <v>0</v>
      </c>
      <c r="R199" s="2" t="inlineStr"/>
    </row>
    <row r="200" ht="15" customHeight="1">
      <c r="A200" t="inlineStr">
        <is>
          <t>A 51027-2024</t>
        </is>
      </c>
      <c r="B200" s="1" t="n">
        <v>45603</v>
      </c>
      <c r="C200" s="1" t="n">
        <v>46127</v>
      </c>
      <c r="D200" t="inlineStr">
        <is>
          <t>UPPSALA LÄN</t>
        </is>
      </c>
      <c r="E200" t="inlineStr">
        <is>
          <t>ENKÖPING</t>
        </is>
      </c>
      <c r="G200" t="n">
        <v>3.5</v>
      </c>
      <c r="H200" t="n">
        <v>0</v>
      </c>
      <c r="I200" t="n">
        <v>0</v>
      </c>
      <c r="J200" t="n">
        <v>0</v>
      </c>
      <c r="K200" t="n">
        <v>0</v>
      </c>
      <c r="L200" t="n">
        <v>0</v>
      </c>
      <c r="M200" t="n">
        <v>0</v>
      </c>
      <c r="N200" t="n">
        <v>0</v>
      </c>
      <c r="O200" t="n">
        <v>0</v>
      </c>
      <c r="P200" t="n">
        <v>0</v>
      </c>
      <c r="Q200" t="n">
        <v>0</v>
      </c>
      <c r="R200" s="2" t="inlineStr"/>
    </row>
    <row r="201" ht="15" customHeight="1">
      <c r="A201" t="inlineStr">
        <is>
          <t>A 39009-2024</t>
        </is>
      </c>
      <c r="B201" s="1" t="n">
        <v>45548</v>
      </c>
      <c r="C201" s="1" t="n">
        <v>46127</v>
      </c>
      <c r="D201" t="inlineStr">
        <is>
          <t>UPPSALA LÄN</t>
        </is>
      </c>
      <c r="E201" t="inlineStr">
        <is>
          <t>ENKÖPING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8537-2025</t>
        </is>
      </c>
      <c r="B202" s="1" t="n">
        <v>45709</v>
      </c>
      <c r="C202" s="1" t="n">
        <v>46127</v>
      </c>
      <c r="D202" t="inlineStr">
        <is>
          <t>UPPSALA LÄN</t>
        </is>
      </c>
      <c r="E202" t="inlineStr">
        <is>
          <t>ENKÖPING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43999-2025</t>
        </is>
      </c>
      <c r="B203" s="1" t="n">
        <v>45915.45158564814</v>
      </c>
      <c r="C203" s="1" t="n">
        <v>46127</v>
      </c>
      <c r="D203" t="inlineStr">
        <is>
          <t>UPPSALA LÄN</t>
        </is>
      </c>
      <c r="E203" t="inlineStr">
        <is>
          <t>ENKÖPING</t>
        </is>
      </c>
      <c r="G203" t="n">
        <v>4.1</v>
      </c>
      <c r="H203" t="n">
        <v>0</v>
      </c>
      <c r="I203" t="n">
        <v>0</v>
      </c>
      <c r="J203" t="n">
        <v>0</v>
      </c>
      <c r="K203" t="n">
        <v>0</v>
      </c>
      <c r="L203" t="n">
        <v>0</v>
      </c>
      <c r="M203" t="n">
        <v>0</v>
      </c>
      <c r="N203" t="n">
        <v>0</v>
      </c>
      <c r="O203" t="n">
        <v>0</v>
      </c>
      <c r="P203" t="n">
        <v>0</v>
      </c>
      <c r="Q203" t="n">
        <v>0</v>
      </c>
      <c r="R203" s="2" t="inlineStr"/>
    </row>
    <row r="204" ht="15" customHeight="1">
      <c r="A204" t="inlineStr">
        <is>
          <t>A 18592-2021</t>
        </is>
      </c>
      <c r="B204" s="1" t="n">
        <v>44306</v>
      </c>
      <c r="C204" s="1" t="n">
        <v>46127</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6356-2022</t>
        </is>
      </c>
      <c r="B205" s="1" t="n">
        <v>44600</v>
      </c>
      <c r="C205" s="1" t="n">
        <v>46127</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44419-2025</t>
        </is>
      </c>
      <c r="B206" s="1" t="n">
        <v>45916.54671296296</v>
      </c>
      <c r="C206" s="1" t="n">
        <v>46127</v>
      </c>
      <c r="D206" t="inlineStr">
        <is>
          <t>UPPSALA LÄN</t>
        </is>
      </c>
      <c r="E206" t="inlineStr">
        <is>
          <t>ENKÖPING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28758-2025</t>
        </is>
      </c>
      <c r="B207" s="1" t="n">
        <v>45820.41212962963</v>
      </c>
      <c r="C207" s="1" t="n">
        <v>46127</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28862-2025</t>
        </is>
      </c>
      <c r="B208" s="1" t="n">
        <v>45820.59189814814</v>
      </c>
      <c r="C208" s="1" t="n">
        <v>46127</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28855-2025</t>
        </is>
      </c>
      <c r="B209" s="1" t="n">
        <v>45820.58274305556</v>
      </c>
      <c r="C209" s="1" t="n">
        <v>46127</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32477-2025</t>
        </is>
      </c>
      <c r="B210" s="1" t="n">
        <v>45838.43098379629</v>
      </c>
      <c r="C210" s="1" t="n">
        <v>46127</v>
      </c>
      <c r="D210" t="inlineStr">
        <is>
          <t>UPPSALA LÄN</t>
        </is>
      </c>
      <c r="E210" t="inlineStr">
        <is>
          <t>ENKÖPING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29093-2025</t>
        </is>
      </c>
      <c r="B211" s="1" t="n">
        <v>45821.55743055556</v>
      </c>
      <c r="C211" s="1" t="n">
        <v>46127</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58025-2025</t>
        </is>
      </c>
      <c r="B212" s="1" t="n">
        <v>45982</v>
      </c>
      <c r="C212" s="1" t="n">
        <v>46127</v>
      </c>
      <c r="D212" t="inlineStr">
        <is>
          <t>UPPSALA LÄN</t>
        </is>
      </c>
      <c r="E212" t="inlineStr">
        <is>
          <t>ENKÖPING</t>
        </is>
      </c>
      <c r="G212" t="n">
        <v>3.2</v>
      </c>
      <c r="H212" t="n">
        <v>0</v>
      </c>
      <c r="I212" t="n">
        <v>0</v>
      </c>
      <c r="J212" t="n">
        <v>0</v>
      </c>
      <c r="K212" t="n">
        <v>0</v>
      </c>
      <c r="L212" t="n">
        <v>0</v>
      </c>
      <c r="M212" t="n">
        <v>0</v>
      </c>
      <c r="N212" t="n">
        <v>0</v>
      </c>
      <c r="O212" t="n">
        <v>0</v>
      </c>
      <c r="P212" t="n">
        <v>0</v>
      </c>
      <c r="Q212" t="n">
        <v>0</v>
      </c>
      <c r="R212" s="2" t="inlineStr"/>
    </row>
    <row r="213" ht="15" customHeight="1">
      <c r="A213" t="inlineStr">
        <is>
          <t>A 45755-2025</t>
        </is>
      </c>
      <c r="B213" s="1" t="n">
        <v>45923.50240740741</v>
      </c>
      <c r="C213" s="1" t="n">
        <v>46127</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34989-2025</t>
        </is>
      </c>
      <c r="B214" s="1" t="n">
        <v>45849</v>
      </c>
      <c r="C214" s="1" t="n">
        <v>46127</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34990-2025</t>
        </is>
      </c>
      <c r="B215" s="1" t="n">
        <v>45849.78916666667</v>
      </c>
      <c r="C215" s="1" t="n">
        <v>46127</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49614-2024</t>
        </is>
      </c>
      <c r="B216" s="1" t="n">
        <v>45596.57716435185</v>
      </c>
      <c r="C216" s="1" t="n">
        <v>46127</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49632-2024</t>
        </is>
      </c>
      <c r="B217" s="1" t="n">
        <v>45596</v>
      </c>
      <c r="C217" s="1" t="n">
        <v>46127</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30837-2025</t>
        </is>
      </c>
      <c r="B218" s="1" t="n">
        <v>45831.7063425926</v>
      </c>
      <c r="C218" s="1" t="n">
        <v>46127</v>
      </c>
      <c r="D218" t="inlineStr">
        <is>
          <t>UPPSALA LÄN</t>
        </is>
      </c>
      <c r="E218" t="inlineStr">
        <is>
          <t>ENKÖPING</t>
        </is>
      </c>
      <c r="G218" t="n">
        <v>3.8</v>
      </c>
      <c r="H218" t="n">
        <v>0</v>
      </c>
      <c r="I218" t="n">
        <v>0</v>
      </c>
      <c r="J218" t="n">
        <v>0</v>
      </c>
      <c r="K218" t="n">
        <v>0</v>
      </c>
      <c r="L218" t="n">
        <v>0</v>
      </c>
      <c r="M218" t="n">
        <v>0</v>
      </c>
      <c r="N218" t="n">
        <v>0</v>
      </c>
      <c r="O218" t="n">
        <v>0</v>
      </c>
      <c r="P218" t="n">
        <v>0</v>
      </c>
      <c r="Q218" t="n">
        <v>0</v>
      </c>
      <c r="R218" s="2" t="inlineStr"/>
    </row>
    <row r="219" ht="15" customHeight="1">
      <c r="A219" t="inlineStr">
        <is>
          <t>A 29479-2022</t>
        </is>
      </c>
      <c r="B219" s="1" t="n">
        <v>44753.57265046296</v>
      </c>
      <c r="C219" s="1" t="n">
        <v>46127</v>
      </c>
      <c r="D219" t="inlineStr">
        <is>
          <t>UPPSALA LÄN</t>
        </is>
      </c>
      <c r="E219" t="inlineStr">
        <is>
          <t>ENKÖPING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57188-2025</t>
        </is>
      </c>
      <c r="B220" s="1" t="n">
        <v>45979</v>
      </c>
      <c r="C220" s="1" t="n">
        <v>46127</v>
      </c>
      <c r="D220" t="inlineStr">
        <is>
          <t>UPPSALA LÄN</t>
        </is>
      </c>
      <c r="E220" t="inlineStr">
        <is>
          <t>ENKÖPING</t>
        </is>
      </c>
      <c r="G220" t="n">
        <v>1.7</v>
      </c>
      <c r="H220" t="n">
        <v>0</v>
      </c>
      <c r="I220" t="n">
        <v>0</v>
      </c>
      <c r="J220" t="n">
        <v>0</v>
      </c>
      <c r="K220" t="n">
        <v>0</v>
      </c>
      <c r="L220" t="n">
        <v>0</v>
      </c>
      <c r="M220" t="n">
        <v>0</v>
      </c>
      <c r="N220" t="n">
        <v>0</v>
      </c>
      <c r="O220" t="n">
        <v>0</v>
      </c>
      <c r="P220" t="n">
        <v>0</v>
      </c>
      <c r="Q220" t="n">
        <v>0</v>
      </c>
      <c r="R220" s="2" t="inlineStr"/>
    </row>
    <row r="221" ht="15" customHeight="1">
      <c r="A221" t="inlineStr">
        <is>
          <t>A 46940-2025</t>
        </is>
      </c>
      <c r="B221" s="1" t="n">
        <v>45929.45483796296</v>
      </c>
      <c r="C221" s="1" t="n">
        <v>46127</v>
      </c>
      <c r="D221" t="inlineStr">
        <is>
          <t>UPPSALA LÄN</t>
        </is>
      </c>
      <c r="E221" t="inlineStr">
        <is>
          <t>ENKÖPING</t>
        </is>
      </c>
      <c r="G221" t="n">
        <v>5.3</v>
      </c>
      <c r="H221" t="n">
        <v>0</v>
      </c>
      <c r="I221" t="n">
        <v>0</v>
      </c>
      <c r="J221" t="n">
        <v>0</v>
      </c>
      <c r="K221" t="n">
        <v>0</v>
      </c>
      <c r="L221" t="n">
        <v>0</v>
      </c>
      <c r="M221" t="n">
        <v>0</v>
      </c>
      <c r="N221" t="n">
        <v>0</v>
      </c>
      <c r="O221" t="n">
        <v>0</v>
      </c>
      <c r="P221" t="n">
        <v>0</v>
      </c>
      <c r="Q221" t="n">
        <v>0</v>
      </c>
      <c r="R221" s="2" t="inlineStr"/>
    </row>
    <row r="222" ht="15" customHeight="1">
      <c r="A222" t="inlineStr">
        <is>
          <t>A 46590-2025</t>
        </is>
      </c>
      <c r="B222" s="1" t="n">
        <v>45926.39542824074</v>
      </c>
      <c r="C222" s="1" t="n">
        <v>46127</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27538-2023</t>
        </is>
      </c>
      <c r="B223" s="1" t="n">
        <v>45097</v>
      </c>
      <c r="C223" s="1" t="n">
        <v>46127</v>
      </c>
      <c r="D223" t="inlineStr">
        <is>
          <t>UPPSALA LÄN</t>
        </is>
      </c>
      <c r="E223" t="inlineStr">
        <is>
          <t>ENKÖPING</t>
        </is>
      </c>
      <c r="G223" t="n">
        <v>5.8</v>
      </c>
      <c r="H223" t="n">
        <v>0</v>
      </c>
      <c r="I223" t="n">
        <v>0</v>
      </c>
      <c r="J223" t="n">
        <v>0</v>
      </c>
      <c r="K223" t="n">
        <v>0</v>
      </c>
      <c r="L223" t="n">
        <v>0</v>
      </c>
      <c r="M223" t="n">
        <v>0</v>
      </c>
      <c r="N223" t="n">
        <v>0</v>
      </c>
      <c r="O223" t="n">
        <v>0</v>
      </c>
      <c r="P223" t="n">
        <v>0</v>
      </c>
      <c r="Q223" t="n">
        <v>0</v>
      </c>
      <c r="R223" s="2" t="inlineStr"/>
    </row>
    <row r="224" ht="15" customHeight="1">
      <c r="A224" t="inlineStr">
        <is>
          <t>A 15409-2025</t>
        </is>
      </c>
      <c r="B224" s="1" t="n">
        <v>45747</v>
      </c>
      <c r="C224" s="1" t="n">
        <v>46127</v>
      </c>
      <c r="D224" t="inlineStr">
        <is>
          <t>UPPSALA LÄN</t>
        </is>
      </c>
      <c r="E224" t="inlineStr">
        <is>
          <t>ENKÖPING</t>
        </is>
      </c>
      <c r="G224" t="n">
        <v>2.5</v>
      </c>
      <c r="H224" t="n">
        <v>0</v>
      </c>
      <c r="I224" t="n">
        <v>0</v>
      </c>
      <c r="J224" t="n">
        <v>0</v>
      </c>
      <c r="K224" t="n">
        <v>0</v>
      </c>
      <c r="L224" t="n">
        <v>0</v>
      </c>
      <c r="M224" t="n">
        <v>0</v>
      </c>
      <c r="N224" t="n">
        <v>0</v>
      </c>
      <c r="O224" t="n">
        <v>0</v>
      </c>
      <c r="P224" t="n">
        <v>0</v>
      </c>
      <c r="Q224" t="n">
        <v>0</v>
      </c>
      <c r="R224" s="2" t="inlineStr"/>
    </row>
    <row r="225" ht="15" customHeight="1">
      <c r="A225" t="inlineStr">
        <is>
          <t>A 60874-2023</t>
        </is>
      </c>
      <c r="B225" s="1" t="n">
        <v>45261.06280092592</v>
      </c>
      <c r="C225" s="1" t="n">
        <v>46127</v>
      </c>
      <c r="D225" t="inlineStr">
        <is>
          <t>UPPSALA LÄN</t>
        </is>
      </c>
      <c r="E225" t="inlineStr">
        <is>
          <t>ENKÖPING</t>
        </is>
      </c>
      <c r="G225" t="n">
        <v>1.5</v>
      </c>
      <c r="H225" t="n">
        <v>0</v>
      </c>
      <c r="I225" t="n">
        <v>0</v>
      </c>
      <c r="J225" t="n">
        <v>0</v>
      </c>
      <c r="K225" t="n">
        <v>0</v>
      </c>
      <c r="L225" t="n">
        <v>0</v>
      </c>
      <c r="M225" t="n">
        <v>0</v>
      </c>
      <c r="N225" t="n">
        <v>0</v>
      </c>
      <c r="O225" t="n">
        <v>0</v>
      </c>
      <c r="P225" t="n">
        <v>0</v>
      </c>
      <c r="Q225" t="n">
        <v>0</v>
      </c>
      <c r="R225" s="2" t="inlineStr"/>
    </row>
    <row r="226" ht="15" customHeight="1">
      <c r="A226" t="inlineStr">
        <is>
          <t>A 32111-2025</t>
        </is>
      </c>
      <c r="B226" s="1" t="n">
        <v>45835</v>
      </c>
      <c r="C226" s="1" t="n">
        <v>46127</v>
      </c>
      <c r="D226" t="inlineStr">
        <is>
          <t>UPPSALA LÄN</t>
        </is>
      </c>
      <c r="E226" t="inlineStr">
        <is>
          <t>ENKÖPING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32031-2025</t>
        </is>
      </c>
      <c r="B227" s="1" t="n">
        <v>45835.41712962963</v>
      </c>
      <c r="C227" s="1" t="n">
        <v>46127</v>
      </c>
      <c r="D227" t="inlineStr">
        <is>
          <t>UPPSALA LÄN</t>
        </is>
      </c>
      <c r="E227" t="inlineStr">
        <is>
          <t>ENKÖPING</t>
        </is>
      </c>
      <c r="G227" t="n">
        <v>2.7</v>
      </c>
      <c r="H227" t="n">
        <v>0</v>
      </c>
      <c r="I227" t="n">
        <v>0</v>
      </c>
      <c r="J227" t="n">
        <v>0</v>
      </c>
      <c r="K227" t="n">
        <v>0</v>
      </c>
      <c r="L227" t="n">
        <v>0</v>
      </c>
      <c r="M227" t="n">
        <v>0</v>
      </c>
      <c r="N227" t="n">
        <v>0</v>
      </c>
      <c r="O227" t="n">
        <v>0</v>
      </c>
      <c r="P227" t="n">
        <v>0</v>
      </c>
      <c r="Q227" t="n">
        <v>0</v>
      </c>
      <c r="R227" s="2" t="inlineStr"/>
    </row>
    <row r="228" ht="15" customHeight="1">
      <c r="A228" t="inlineStr">
        <is>
          <t>A 50394-2024</t>
        </is>
      </c>
      <c r="B228" s="1" t="n">
        <v>45600</v>
      </c>
      <c r="C228" s="1" t="n">
        <v>46127</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51010-2024</t>
        </is>
      </c>
      <c r="B229" s="1" t="n">
        <v>45603.39285879629</v>
      </c>
      <c r="C229" s="1" t="n">
        <v>46127</v>
      </c>
      <c r="D229" t="inlineStr">
        <is>
          <t>UPPSALA LÄN</t>
        </is>
      </c>
      <c r="E229" t="inlineStr">
        <is>
          <t>ENKÖPING</t>
        </is>
      </c>
      <c r="G229" t="n">
        <v>1.7</v>
      </c>
      <c r="H229" t="n">
        <v>0</v>
      </c>
      <c r="I229" t="n">
        <v>0</v>
      </c>
      <c r="J229" t="n">
        <v>0</v>
      </c>
      <c r="K229" t="n">
        <v>0</v>
      </c>
      <c r="L229" t="n">
        <v>0</v>
      </c>
      <c r="M229" t="n">
        <v>0</v>
      </c>
      <c r="N229" t="n">
        <v>0</v>
      </c>
      <c r="O229" t="n">
        <v>0</v>
      </c>
      <c r="P229" t="n">
        <v>0</v>
      </c>
      <c r="Q229" t="n">
        <v>0</v>
      </c>
      <c r="R229" s="2" t="inlineStr"/>
    </row>
    <row r="230" ht="15" customHeight="1">
      <c r="A230" t="inlineStr">
        <is>
          <t>A 47441-2025</t>
        </is>
      </c>
      <c r="B230" s="1" t="n">
        <v>45930.63986111111</v>
      </c>
      <c r="C230" s="1" t="n">
        <v>46127</v>
      </c>
      <c r="D230" t="inlineStr">
        <is>
          <t>UPPSALA LÄN</t>
        </is>
      </c>
      <c r="E230" t="inlineStr">
        <is>
          <t>ENKÖPING</t>
        </is>
      </c>
      <c r="F230" t="inlineStr">
        <is>
          <t>Allmännings- och besparingsskogar</t>
        </is>
      </c>
      <c r="G230" t="n">
        <v>11.5</v>
      </c>
      <c r="H230" t="n">
        <v>0</v>
      </c>
      <c r="I230" t="n">
        <v>0</v>
      </c>
      <c r="J230" t="n">
        <v>0</v>
      </c>
      <c r="K230" t="n">
        <v>0</v>
      </c>
      <c r="L230" t="n">
        <v>0</v>
      </c>
      <c r="M230" t="n">
        <v>0</v>
      </c>
      <c r="N230" t="n">
        <v>0</v>
      </c>
      <c r="O230" t="n">
        <v>0</v>
      </c>
      <c r="P230" t="n">
        <v>0</v>
      </c>
      <c r="Q230" t="n">
        <v>0</v>
      </c>
      <c r="R230" s="2" t="inlineStr"/>
    </row>
    <row r="231" ht="15" customHeight="1">
      <c r="A231" t="inlineStr">
        <is>
          <t>A 43016-2021</t>
        </is>
      </c>
      <c r="B231" s="1" t="n">
        <v>44431</v>
      </c>
      <c r="C231" s="1" t="n">
        <v>46127</v>
      </c>
      <c r="D231" t="inlineStr">
        <is>
          <t>UPPSALA LÄN</t>
        </is>
      </c>
      <c r="E231" t="inlineStr">
        <is>
          <t>ENKÖPING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19147-2024</t>
        </is>
      </c>
      <c r="B232" s="1" t="n">
        <v>45428</v>
      </c>
      <c r="C232" s="1" t="n">
        <v>46127</v>
      </c>
      <c r="D232" t="inlineStr">
        <is>
          <t>UPPSALA LÄN</t>
        </is>
      </c>
      <c r="E232" t="inlineStr">
        <is>
          <t>ENKÖPING</t>
        </is>
      </c>
      <c r="G232" t="n">
        <v>1.9</v>
      </c>
      <c r="H232" t="n">
        <v>0</v>
      </c>
      <c r="I232" t="n">
        <v>0</v>
      </c>
      <c r="J232" t="n">
        <v>0</v>
      </c>
      <c r="K232" t="n">
        <v>0</v>
      </c>
      <c r="L232" t="n">
        <v>0</v>
      </c>
      <c r="M232" t="n">
        <v>0</v>
      </c>
      <c r="N232" t="n">
        <v>0</v>
      </c>
      <c r="O232" t="n">
        <v>0</v>
      </c>
      <c r="P232" t="n">
        <v>0</v>
      </c>
      <c r="Q232" t="n">
        <v>0</v>
      </c>
      <c r="R232" s="2" t="inlineStr"/>
    </row>
    <row r="233" ht="15" customHeight="1">
      <c r="A233" t="inlineStr">
        <is>
          <t>A 15740-2025</t>
        </is>
      </c>
      <c r="B233" s="1" t="n">
        <v>45748</v>
      </c>
      <c r="C233" s="1" t="n">
        <v>46127</v>
      </c>
      <c r="D233" t="inlineStr">
        <is>
          <t>UPPSALA LÄN</t>
        </is>
      </c>
      <c r="E233" t="inlineStr">
        <is>
          <t>ENKÖPING</t>
        </is>
      </c>
      <c r="G233" t="n">
        <v>0.9</v>
      </c>
      <c r="H233" t="n">
        <v>0</v>
      </c>
      <c r="I233" t="n">
        <v>0</v>
      </c>
      <c r="J233" t="n">
        <v>0</v>
      </c>
      <c r="K233" t="n">
        <v>0</v>
      </c>
      <c r="L233" t="n">
        <v>0</v>
      </c>
      <c r="M233" t="n">
        <v>0</v>
      </c>
      <c r="N233" t="n">
        <v>0</v>
      </c>
      <c r="O233" t="n">
        <v>0</v>
      </c>
      <c r="P233" t="n">
        <v>0</v>
      </c>
      <c r="Q233" t="n">
        <v>0</v>
      </c>
      <c r="R233" s="2" t="inlineStr"/>
    </row>
    <row r="234" ht="15" customHeight="1">
      <c r="A234" t="inlineStr">
        <is>
          <t>A 57209-2024</t>
        </is>
      </c>
      <c r="B234" s="1" t="n">
        <v>45629.49311342592</v>
      </c>
      <c r="C234" s="1" t="n">
        <v>46127</v>
      </c>
      <c r="D234" t="inlineStr">
        <is>
          <t>UPPSALA LÄN</t>
        </is>
      </c>
      <c r="E234" t="inlineStr">
        <is>
          <t>ENKÖPING</t>
        </is>
      </c>
      <c r="G234" t="n">
        <v>3.2</v>
      </c>
      <c r="H234" t="n">
        <v>0</v>
      </c>
      <c r="I234" t="n">
        <v>0</v>
      </c>
      <c r="J234" t="n">
        <v>0</v>
      </c>
      <c r="K234" t="n">
        <v>0</v>
      </c>
      <c r="L234" t="n">
        <v>0</v>
      </c>
      <c r="M234" t="n">
        <v>0</v>
      </c>
      <c r="N234" t="n">
        <v>0</v>
      </c>
      <c r="O234" t="n">
        <v>0</v>
      </c>
      <c r="P234" t="n">
        <v>0</v>
      </c>
      <c r="Q234" t="n">
        <v>0</v>
      </c>
      <c r="R234" s="2" t="inlineStr"/>
    </row>
    <row r="235" ht="15" customHeight="1">
      <c r="A235" t="inlineStr">
        <is>
          <t>A 51120-2023</t>
        </is>
      </c>
      <c r="B235" s="1" t="n">
        <v>45219.3088425926</v>
      </c>
      <c r="C235" s="1" t="n">
        <v>46127</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12878-2025</t>
        </is>
      </c>
      <c r="B236" s="1" t="n">
        <v>45733.68571759259</v>
      </c>
      <c r="C236" s="1" t="n">
        <v>46127</v>
      </c>
      <c r="D236" t="inlineStr">
        <is>
          <t>UPPSALA LÄN</t>
        </is>
      </c>
      <c r="E236" t="inlineStr">
        <is>
          <t>ENKÖPING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39439-2025</t>
        </is>
      </c>
      <c r="B237" s="1" t="n">
        <v>45889</v>
      </c>
      <c r="C237" s="1" t="n">
        <v>46127</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48678-2025</t>
        </is>
      </c>
      <c r="B238" s="1" t="n">
        <v>45936.59168981481</v>
      </c>
      <c r="C238" s="1" t="n">
        <v>46127</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48423-2025</t>
        </is>
      </c>
      <c r="B239" s="1" t="n">
        <v>45934.68024305555</v>
      </c>
      <c r="C239" s="1" t="n">
        <v>46127</v>
      </c>
      <c r="D239" t="inlineStr">
        <is>
          <t>UPPSALA LÄN</t>
        </is>
      </c>
      <c r="E239" t="inlineStr">
        <is>
          <t>ENKÖPING</t>
        </is>
      </c>
      <c r="G239" t="n">
        <v>4.3</v>
      </c>
      <c r="H239" t="n">
        <v>0</v>
      </c>
      <c r="I239" t="n">
        <v>0</v>
      </c>
      <c r="J239" t="n">
        <v>0</v>
      </c>
      <c r="K239" t="n">
        <v>0</v>
      </c>
      <c r="L239" t="n">
        <v>0</v>
      </c>
      <c r="M239" t="n">
        <v>0</v>
      </c>
      <c r="N239" t="n">
        <v>0</v>
      </c>
      <c r="O239" t="n">
        <v>0</v>
      </c>
      <c r="P239" t="n">
        <v>0</v>
      </c>
      <c r="Q239" t="n">
        <v>0</v>
      </c>
      <c r="R239" s="2" t="inlineStr"/>
    </row>
    <row r="240" ht="15" customHeight="1">
      <c r="A240" t="inlineStr">
        <is>
          <t>A 48424-2025</t>
        </is>
      </c>
      <c r="B240" s="1" t="n">
        <v>45934.69131944444</v>
      </c>
      <c r="C240" s="1" t="n">
        <v>46127</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49073-2025</t>
        </is>
      </c>
      <c r="B241" s="1" t="n">
        <v>45937.65512731481</v>
      </c>
      <c r="C241" s="1" t="n">
        <v>46127</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18994-2025</t>
        </is>
      </c>
      <c r="B242" s="1" t="n">
        <v>45764.57350694444</v>
      </c>
      <c r="C242" s="1" t="n">
        <v>46127</v>
      </c>
      <c r="D242" t="inlineStr">
        <is>
          <t>UPPSALA LÄN</t>
        </is>
      </c>
      <c r="E242" t="inlineStr">
        <is>
          <t>ENKÖPING</t>
        </is>
      </c>
      <c r="G242" t="n">
        <v>3.8</v>
      </c>
      <c r="H242" t="n">
        <v>0</v>
      </c>
      <c r="I242" t="n">
        <v>0</v>
      </c>
      <c r="J242" t="n">
        <v>0</v>
      </c>
      <c r="K242" t="n">
        <v>0</v>
      </c>
      <c r="L242" t="n">
        <v>0</v>
      </c>
      <c r="M242" t="n">
        <v>0</v>
      </c>
      <c r="N242" t="n">
        <v>0</v>
      </c>
      <c r="O242" t="n">
        <v>0</v>
      </c>
      <c r="P242" t="n">
        <v>0</v>
      </c>
      <c r="Q242" t="n">
        <v>0</v>
      </c>
      <c r="R242" s="2" t="inlineStr"/>
    </row>
    <row r="243" ht="15" customHeight="1">
      <c r="A243" t="inlineStr">
        <is>
          <t>A 43896-2022</t>
        </is>
      </c>
      <c r="B243" s="1" t="n">
        <v>44838</v>
      </c>
      <c r="C243" s="1" t="n">
        <v>46127</v>
      </c>
      <c r="D243" t="inlineStr">
        <is>
          <t>UPPSALA LÄN</t>
        </is>
      </c>
      <c r="E243" t="inlineStr">
        <is>
          <t>ENKÖPING</t>
        </is>
      </c>
      <c r="G243" t="n">
        <v>5.3</v>
      </c>
      <c r="H243" t="n">
        <v>0</v>
      </c>
      <c r="I243" t="n">
        <v>0</v>
      </c>
      <c r="J243" t="n">
        <v>0</v>
      </c>
      <c r="K243" t="n">
        <v>0</v>
      </c>
      <c r="L243" t="n">
        <v>0</v>
      </c>
      <c r="M243" t="n">
        <v>0</v>
      </c>
      <c r="N243" t="n">
        <v>0</v>
      </c>
      <c r="O243" t="n">
        <v>0</v>
      </c>
      <c r="P243" t="n">
        <v>0</v>
      </c>
      <c r="Q243" t="n">
        <v>0</v>
      </c>
      <c r="R243" s="2" t="inlineStr"/>
    </row>
    <row r="244" ht="15" customHeight="1">
      <c r="A244" t="inlineStr">
        <is>
          <t>A 57848-2024</t>
        </is>
      </c>
      <c r="B244" s="1" t="n">
        <v>45631.40947916666</v>
      </c>
      <c r="C244" s="1" t="n">
        <v>46127</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49601-2024</t>
        </is>
      </c>
      <c r="B245" s="1" t="n">
        <v>45596.56288194445</v>
      </c>
      <c r="C245" s="1" t="n">
        <v>46127</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43103-2025</t>
        </is>
      </c>
      <c r="B246" s="1" t="n">
        <v>45909</v>
      </c>
      <c r="C246" s="1" t="n">
        <v>46127</v>
      </c>
      <c r="D246" t="inlineStr">
        <is>
          <t>UPPSALA LÄN</t>
        </is>
      </c>
      <c r="E246" t="inlineStr">
        <is>
          <t>ENKÖPING</t>
        </is>
      </c>
      <c r="G246" t="n">
        <v>2.3</v>
      </c>
      <c r="H246" t="n">
        <v>0</v>
      </c>
      <c r="I246" t="n">
        <v>0</v>
      </c>
      <c r="J246" t="n">
        <v>0</v>
      </c>
      <c r="K246" t="n">
        <v>0</v>
      </c>
      <c r="L246" t="n">
        <v>0</v>
      </c>
      <c r="M246" t="n">
        <v>0</v>
      </c>
      <c r="N246" t="n">
        <v>0</v>
      </c>
      <c r="O246" t="n">
        <v>0</v>
      </c>
      <c r="P246" t="n">
        <v>0</v>
      </c>
      <c r="Q246" t="n">
        <v>0</v>
      </c>
      <c r="R246" s="2" t="inlineStr"/>
    </row>
    <row r="247" ht="15" customHeight="1">
      <c r="A247" t="inlineStr">
        <is>
          <t>A 59668-2025</t>
        </is>
      </c>
      <c r="B247" s="1" t="n">
        <v>45992.45567129629</v>
      </c>
      <c r="C247" s="1" t="n">
        <v>46127</v>
      </c>
      <c r="D247" t="inlineStr">
        <is>
          <t>UPPSALA LÄN</t>
        </is>
      </c>
      <c r="E247" t="inlineStr">
        <is>
          <t>ENKÖPING</t>
        </is>
      </c>
      <c r="G247" t="n">
        <v>3.3</v>
      </c>
      <c r="H247" t="n">
        <v>0</v>
      </c>
      <c r="I247" t="n">
        <v>0</v>
      </c>
      <c r="J247" t="n">
        <v>0</v>
      </c>
      <c r="K247" t="n">
        <v>0</v>
      </c>
      <c r="L247" t="n">
        <v>0</v>
      </c>
      <c r="M247" t="n">
        <v>0</v>
      </c>
      <c r="N247" t="n">
        <v>0</v>
      </c>
      <c r="O247" t="n">
        <v>0</v>
      </c>
      <c r="P247" t="n">
        <v>0</v>
      </c>
      <c r="Q247" t="n">
        <v>0</v>
      </c>
      <c r="R247" s="2" t="inlineStr"/>
    </row>
    <row r="248" ht="15" customHeight="1">
      <c r="A248" t="inlineStr">
        <is>
          <t>A 59964-2025</t>
        </is>
      </c>
      <c r="B248" s="1" t="n">
        <v>45993.48043981481</v>
      </c>
      <c r="C248" s="1" t="n">
        <v>46127</v>
      </c>
      <c r="D248" t="inlineStr">
        <is>
          <t>UPPSALA LÄN</t>
        </is>
      </c>
      <c r="E248" t="inlineStr">
        <is>
          <t>ENKÖPING</t>
        </is>
      </c>
      <c r="G248" t="n">
        <v>2.1</v>
      </c>
      <c r="H248" t="n">
        <v>0</v>
      </c>
      <c r="I248" t="n">
        <v>0</v>
      </c>
      <c r="J248" t="n">
        <v>0</v>
      </c>
      <c r="K248" t="n">
        <v>0</v>
      </c>
      <c r="L248" t="n">
        <v>0</v>
      </c>
      <c r="M248" t="n">
        <v>0</v>
      </c>
      <c r="N248" t="n">
        <v>0</v>
      </c>
      <c r="O248" t="n">
        <v>0</v>
      </c>
      <c r="P248" t="n">
        <v>0</v>
      </c>
      <c r="Q248" t="n">
        <v>0</v>
      </c>
      <c r="R248" s="2" t="inlineStr"/>
    </row>
    <row r="249" ht="15" customHeight="1">
      <c r="A249" t="inlineStr">
        <is>
          <t>A 7090-2022</t>
        </is>
      </c>
      <c r="B249" s="1" t="n">
        <v>44603.59520833333</v>
      </c>
      <c r="C249" s="1" t="n">
        <v>46127</v>
      </c>
      <c r="D249" t="inlineStr">
        <is>
          <t>UPPSALA LÄN</t>
        </is>
      </c>
      <c r="E249" t="inlineStr">
        <is>
          <t>ENKÖPING</t>
        </is>
      </c>
      <c r="G249" t="n">
        <v>2.8</v>
      </c>
      <c r="H249" t="n">
        <v>0</v>
      </c>
      <c r="I249" t="n">
        <v>0</v>
      </c>
      <c r="J249" t="n">
        <v>0</v>
      </c>
      <c r="K249" t="n">
        <v>0</v>
      </c>
      <c r="L249" t="n">
        <v>0</v>
      </c>
      <c r="M249" t="n">
        <v>0</v>
      </c>
      <c r="N249" t="n">
        <v>0</v>
      </c>
      <c r="O249" t="n">
        <v>0</v>
      </c>
      <c r="P249" t="n">
        <v>0</v>
      </c>
      <c r="Q249" t="n">
        <v>0</v>
      </c>
      <c r="R249" s="2" t="inlineStr"/>
    </row>
    <row r="250" ht="15" customHeight="1">
      <c r="A250" t="inlineStr">
        <is>
          <t>A 49068-2025</t>
        </is>
      </c>
      <c r="B250" s="1" t="n">
        <v>45937.64766203704</v>
      </c>
      <c r="C250" s="1" t="n">
        <v>46127</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9487-2025</t>
        </is>
      </c>
      <c r="B251" s="1" t="n">
        <v>45715.49331018519</v>
      </c>
      <c r="C251" s="1" t="n">
        <v>46127</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6144-2024</t>
        </is>
      </c>
      <c r="B252" s="1" t="n">
        <v>45337.4684837963</v>
      </c>
      <c r="C252" s="1" t="n">
        <v>46127</v>
      </c>
      <c r="D252" t="inlineStr">
        <is>
          <t>UPPSALA LÄN</t>
        </is>
      </c>
      <c r="E252" t="inlineStr">
        <is>
          <t>ENKÖPING</t>
        </is>
      </c>
      <c r="G252" t="n">
        <v>13.8</v>
      </c>
      <c r="H252" t="n">
        <v>0</v>
      </c>
      <c r="I252" t="n">
        <v>0</v>
      </c>
      <c r="J252" t="n">
        <v>0</v>
      </c>
      <c r="K252" t="n">
        <v>0</v>
      </c>
      <c r="L252" t="n">
        <v>0</v>
      </c>
      <c r="M252" t="n">
        <v>0</v>
      </c>
      <c r="N252" t="n">
        <v>0</v>
      </c>
      <c r="O252" t="n">
        <v>0</v>
      </c>
      <c r="P252" t="n">
        <v>0</v>
      </c>
      <c r="Q252" t="n">
        <v>0</v>
      </c>
      <c r="R252" s="2" t="inlineStr"/>
    </row>
    <row r="253" ht="15" customHeight="1">
      <c r="A253" t="inlineStr">
        <is>
          <t>A 33955-2024</t>
        </is>
      </c>
      <c r="B253" s="1" t="n">
        <v>45523.46952546296</v>
      </c>
      <c r="C253" s="1" t="n">
        <v>46127</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29513-2025</t>
        </is>
      </c>
      <c r="B254" s="1" t="n">
        <v>45825</v>
      </c>
      <c r="C254" s="1" t="n">
        <v>46127</v>
      </c>
      <c r="D254" t="inlineStr">
        <is>
          <t>UPPSALA LÄN</t>
        </is>
      </c>
      <c r="E254" t="inlineStr">
        <is>
          <t>ENKÖPING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17844-2025</t>
        </is>
      </c>
      <c r="B255" s="1" t="n">
        <v>45758.59920138889</v>
      </c>
      <c r="C255" s="1" t="n">
        <v>46127</v>
      </c>
      <c r="D255" t="inlineStr">
        <is>
          <t>UPPSALA LÄN</t>
        </is>
      </c>
      <c r="E255" t="inlineStr">
        <is>
          <t>ENKÖPING</t>
        </is>
      </c>
      <c r="G255" t="n">
        <v>1.4</v>
      </c>
      <c r="H255" t="n">
        <v>0</v>
      </c>
      <c r="I255" t="n">
        <v>0</v>
      </c>
      <c r="J255" t="n">
        <v>0</v>
      </c>
      <c r="K255" t="n">
        <v>0</v>
      </c>
      <c r="L255" t="n">
        <v>0</v>
      </c>
      <c r="M255" t="n">
        <v>0</v>
      </c>
      <c r="N255" t="n">
        <v>0</v>
      </c>
      <c r="O255" t="n">
        <v>0</v>
      </c>
      <c r="P255" t="n">
        <v>0</v>
      </c>
      <c r="Q255" t="n">
        <v>0</v>
      </c>
      <c r="R255" s="2" t="inlineStr"/>
    </row>
    <row r="256" ht="15" customHeight="1">
      <c r="A256" t="inlineStr">
        <is>
          <t>A 27837-2025</t>
        </is>
      </c>
      <c r="B256" s="1" t="n">
        <v>45817.37207175926</v>
      </c>
      <c r="C256" s="1" t="n">
        <v>46127</v>
      </c>
      <c r="D256" t="inlineStr">
        <is>
          <t>UPPSALA LÄN</t>
        </is>
      </c>
      <c r="E256" t="inlineStr">
        <is>
          <t>ENKÖPING</t>
        </is>
      </c>
      <c r="G256" t="n">
        <v>7.3</v>
      </c>
      <c r="H256" t="n">
        <v>0</v>
      </c>
      <c r="I256" t="n">
        <v>0</v>
      </c>
      <c r="J256" t="n">
        <v>0</v>
      </c>
      <c r="K256" t="n">
        <v>0</v>
      </c>
      <c r="L256" t="n">
        <v>0</v>
      </c>
      <c r="M256" t="n">
        <v>0</v>
      </c>
      <c r="N256" t="n">
        <v>0</v>
      </c>
      <c r="O256" t="n">
        <v>0</v>
      </c>
      <c r="P256" t="n">
        <v>0</v>
      </c>
      <c r="Q256" t="n">
        <v>0</v>
      </c>
      <c r="R256" s="2" t="inlineStr"/>
    </row>
    <row r="257" ht="15" customHeight="1">
      <c r="A257" t="inlineStr">
        <is>
          <t>A 60340-2025</t>
        </is>
      </c>
      <c r="B257" s="1" t="n">
        <v>45994.83415509259</v>
      </c>
      <c r="C257" s="1" t="n">
        <v>46127</v>
      </c>
      <c r="D257" t="inlineStr">
        <is>
          <t>UPPSALA LÄN</t>
        </is>
      </c>
      <c r="E257" t="inlineStr">
        <is>
          <t>ENKÖPING</t>
        </is>
      </c>
      <c r="G257" t="n">
        <v>5.6</v>
      </c>
      <c r="H257" t="n">
        <v>0</v>
      </c>
      <c r="I257" t="n">
        <v>0</v>
      </c>
      <c r="J257" t="n">
        <v>0</v>
      </c>
      <c r="K257" t="n">
        <v>0</v>
      </c>
      <c r="L257" t="n">
        <v>0</v>
      </c>
      <c r="M257" t="n">
        <v>0</v>
      </c>
      <c r="N257" t="n">
        <v>0</v>
      </c>
      <c r="O257" t="n">
        <v>0</v>
      </c>
      <c r="P257" t="n">
        <v>0</v>
      </c>
      <c r="Q257" t="n">
        <v>0</v>
      </c>
      <c r="R257" s="2" t="inlineStr"/>
    </row>
    <row r="258" ht="15" customHeight="1">
      <c r="A258" t="inlineStr">
        <is>
          <t>A 51162-2025</t>
        </is>
      </c>
      <c r="B258" s="1" t="n">
        <v>45947.58820601852</v>
      </c>
      <c r="C258" s="1" t="n">
        <v>46127</v>
      </c>
      <c r="D258" t="inlineStr">
        <is>
          <t>UPPSALA LÄN</t>
        </is>
      </c>
      <c r="E258" t="inlineStr">
        <is>
          <t>ENKÖPING</t>
        </is>
      </c>
      <c r="G258" t="n">
        <v>3.4</v>
      </c>
      <c r="H258" t="n">
        <v>0</v>
      </c>
      <c r="I258" t="n">
        <v>0</v>
      </c>
      <c r="J258" t="n">
        <v>0</v>
      </c>
      <c r="K258" t="n">
        <v>0</v>
      </c>
      <c r="L258" t="n">
        <v>0</v>
      </c>
      <c r="M258" t="n">
        <v>0</v>
      </c>
      <c r="N258" t="n">
        <v>0</v>
      </c>
      <c r="O258" t="n">
        <v>0</v>
      </c>
      <c r="P258" t="n">
        <v>0</v>
      </c>
      <c r="Q258" t="n">
        <v>0</v>
      </c>
      <c r="R258" s="2" t="inlineStr"/>
    </row>
    <row r="259" ht="15" customHeight="1">
      <c r="A259" t="inlineStr">
        <is>
          <t>A 51133-2025</t>
        </is>
      </c>
      <c r="B259" s="1" t="n">
        <v>45947.55598379629</v>
      </c>
      <c r="C259" s="1" t="n">
        <v>46127</v>
      </c>
      <c r="D259" t="inlineStr">
        <is>
          <t>UPPSALA LÄN</t>
        </is>
      </c>
      <c r="E259" t="inlineStr">
        <is>
          <t>ENKÖPING</t>
        </is>
      </c>
      <c r="G259" t="n">
        <v>2.4</v>
      </c>
      <c r="H259" t="n">
        <v>0</v>
      </c>
      <c r="I259" t="n">
        <v>0</v>
      </c>
      <c r="J259" t="n">
        <v>0</v>
      </c>
      <c r="K259" t="n">
        <v>0</v>
      </c>
      <c r="L259" t="n">
        <v>0</v>
      </c>
      <c r="M259" t="n">
        <v>0</v>
      </c>
      <c r="N259" t="n">
        <v>0</v>
      </c>
      <c r="O259" t="n">
        <v>0</v>
      </c>
      <c r="P259" t="n">
        <v>0</v>
      </c>
      <c r="Q259" t="n">
        <v>0</v>
      </c>
      <c r="R259" s="2" t="inlineStr"/>
    </row>
    <row r="260" ht="15" customHeight="1">
      <c r="A260" t="inlineStr">
        <is>
          <t>A 21501-2025</t>
        </is>
      </c>
      <c r="B260" s="1" t="n">
        <v>45782</v>
      </c>
      <c r="C260" s="1" t="n">
        <v>46127</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16920-2023</t>
        </is>
      </c>
      <c r="B261" s="1" t="n">
        <v>45033.59030092593</v>
      </c>
      <c r="C261" s="1" t="n">
        <v>46127</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34988-2025</t>
        </is>
      </c>
      <c r="B262" s="1" t="n">
        <v>45849</v>
      </c>
      <c r="C262" s="1" t="n">
        <v>46127</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34987-2025</t>
        </is>
      </c>
      <c r="B263" s="1" t="n">
        <v>45849</v>
      </c>
      <c r="C263" s="1" t="n">
        <v>46127</v>
      </c>
      <c r="D263" t="inlineStr">
        <is>
          <t>UPPSALA LÄN</t>
        </is>
      </c>
      <c r="E263" t="inlineStr">
        <is>
          <t>ENKÖPING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53586-2024</t>
        </is>
      </c>
      <c r="B264" s="1" t="n">
        <v>45614</v>
      </c>
      <c r="C264" s="1" t="n">
        <v>46127</v>
      </c>
      <c r="D264" t="inlineStr">
        <is>
          <t>UPPSALA LÄN</t>
        </is>
      </c>
      <c r="E264" t="inlineStr">
        <is>
          <t>ENKÖPING</t>
        </is>
      </c>
      <c r="G264" t="n">
        <v>6.6</v>
      </c>
      <c r="H264" t="n">
        <v>0</v>
      </c>
      <c r="I264" t="n">
        <v>0</v>
      </c>
      <c r="J264" t="n">
        <v>0</v>
      </c>
      <c r="K264" t="n">
        <v>0</v>
      </c>
      <c r="L264" t="n">
        <v>0</v>
      </c>
      <c r="M264" t="n">
        <v>0</v>
      </c>
      <c r="N264" t="n">
        <v>0</v>
      </c>
      <c r="O264" t="n">
        <v>0</v>
      </c>
      <c r="P264" t="n">
        <v>0</v>
      </c>
      <c r="Q264" t="n">
        <v>0</v>
      </c>
      <c r="R264" s="2" t="inlineStr"/>
    </row>
    <row r="265" ht="15" customHeight="1">
      <c r="A265" t="inlineStr">
        <is>
          <t>A 26017-2025</t>
        </is>
      </c>
      <c r="B265" s="1" t="n">
        <v>45804</v>
      </c>
      <c r="C265" s="1" t="n">
        <v>46127</v>
      </c>
      <c r="D265" t="inlineStr">
        <is>
          <t>UPPSALA LÄN</t>
        </is>
      </c>
      <c r="E265" t="inlineStr">
        <is>
          <t>ENKÖPING</t>
        </is>
      </c>
      <c r="G265" t="n">
        <v>0.4</v>
      </c>
      <c r="H265" t="n">
        <v>0</v>
      </c>
      <c r="I265" t="n">
        <v>0</v>
      </c>
      <c r="J265" t="n">
        <v>0</v>
      </c>
      <c r="K265" t="n">
        <v>0</v>
      </c>
      <c r="L265" t="n">
        <v>0</v>
      </c>
      <c r="M265" t="n">
        <v>0</v>
      </c>
      <c r="N265" t="n">
        <v>0</v>
      </c>
      <c r="O265" t="n">
        <v>0</v>
      </c>
      <c r="P265" t="n">
        <v>0</v>
      </c>
      <c r="Q265" t="n">
        <v>0</v>
      </c>
      <c r="R265" s="2" t="inlineStr"/>
    </row>
    <row r="266" ht="15" customHeight="1">
      <c r="A266" t="inlineStr">
        <is>
          <t>A 36492-2025</t>
        </is>
      </c>
      <c r="B266" s="1" t="n">
        <v>45869</v>
      </c>
      <c r="C266" s="1" t="n">
        <v>46127</v>
      </c>
      <c r="D266" t="inlineStr">
        <is>
          <t>UPPSALA LÄN</t>
        </is>
      </c>
      <c r="E266" t="inlineStr">
        <is>
          <t>ENKÖPING</t>
        </is>
      </c>
      <c r="G266" t="n">
        <v>6.3</v>
      </c>
      <c r="H266" t="n">
        <v>0</v>
      </c>
      <c r="I266" t="n">
        <v>0</v>
      </c>
      <c r="J266" t="n">
        <v>0</v>
      </c>
      <c r="K266" t="n">
        <v>0</v>
      </c>
      <c r="L266" t="n">
        <v>0</v>
      </c>
      <c r="M266" t="n">
        <v>0</v>
      </c>
      <c r="N266" t="n">
        <v>0</v>
      </c>
      <c r="O266" t="n">
        <v>0</v>
      </c>
      <c r="P266" t="n">
        <v>0</v>
      </c>
      <c r="Q266" t="n">
        <v>0</v>
      </c>
      <c r="R266" s="2" t="inlineStr"/>
    </row>
    <row r="267" ht="15" customHeight="1">
      <c r="A267" t="inlineStr">
        <is>
          <t>A 36350-2025</t>
        </is>
      </c>
      <c r="B267" s="1" t="n">
        <v>45868</v>
      </c>
      <c r="C267" s="1" t="n">
        <v>46127</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43506-2023</t>
        </is>
      </c>
      <c r="B268" s="1" t="n">
        <v>45181</v>
      </c>
      <c r="C268" s="1" t="n">
        <v>46127</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46186-2023</t>
        </is>
      </c>
      <c r="B269" s="1" t="n">
        <v>45196</v>
      </c>
      <c r="C269" s="1" t="n">
        <v>46127</v>
      </c>
      <c r="D269" t="inlineStr">
        <is>
          <t>UPPSALA LÄN</t>
        </is>
      </c>
      <c r="E269" t="inlineStr">
        <is>
          <t>ENKÖPING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54595-2021</t>
        </is>
      </c>
      <c r="B270" s="1" t="n">
        <v>44473.58824074074</v>
      </c>
      <c r="C270" s="1" t="n">
        <v>46127</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54588-2024</t>
        </is>
      </c>
      <c r="B271" s="1" t="n">
        <v>45617</v>
      </c>
      <c r="C271" s="1" t="n">
        <v>46127</v>
      </c>
      <c r="D271" t="inlineStr">
        <is>
          <t>UPPSALA LÄN</t>
        </is>
      </c>
      <c r="E271" t="inlineStr">
        <is>
          <t>ENKÖPING</t>
        </is>
      </c>
      <c r="G271" t="n">
        <v>3.7</v>
      </c>
      <c r="H271" t="n">
        <v>0</v>
      </c>
      <c r="I271" t="n">
        <v>0</v>
      </c>
      <c r="J271" t="n">
        <v>0</v>
      </c>
      <c r="K271" t="n">
        <v>0</v>
      </c>
      <c r="L271" t="n">
        <v>0</v>
      </c>
      <c r="M271" t="n">
        <v>0</v>
      </c>
      <c r="N271" t="n">
        <v>0</v>
      </c>
      <c r="O271" t="n">
        <v>0</v>
      </c>
      <c r="P271" t="n">
        <v>0</v>
      </c>
      <c r="Q271" t="n">
        <v>0</v>
      </c>
      <c r="R271" s="2" t="inlineStr"/>
    </row>
    <row r="272" ht="15" customHeight="1">
      <c r="A272" t="inlineStr">
        <is>
          <t>A 47428-2023</t>
        </is>
      </c>
      <c r="B272" s="1" t="n">
        <v>45202.66664351852</v>
      </c>
      <c r="C272" s="1" t="n">
        <v>46127</v>
      </c>
      <c r="D272" t="inlineStr">
        <is>
          <t>UPPSALA LÄN</t>
        </is>
      </c>
      <c r="E272" t="inlineStr">
        <is>
          <t>ENKÖPING</t>
        </is>
      </c>
      <c r="G272" t="n">
        <v>3</v>
      </c>
      <c r="H272" t="n">
        <v>0</v>
      </c>
      <c r="I272" t="n">
        <v>0</v>
      </c>
      <c r="J272" t="n">
        <v>0</v>
      </c>
      <c r="K272" t="n">
        <v>0</v>
      </c>
      <c r="L272" t="n">
        <v>0</v>
      </c>
      <c r="M272" t="n">
        <v>0</v>
      </c>
      <c r="N272" t="n">
        <v>0</v>
      </c>
      <c r="O272" t="n">
        <v>0</v>
      </c>
      <c r="P272" t="n">
        <v>0</v>
      </c>
      <c r="Q272" t="n">
        <v>0</v>
      </c>
      <c r="R272" s="2" t="inlineStr"/>
    </row>
    <row r="273" ht="15" customHeight="1">
      <c r="A273" t="inlineStr">
        <is>
          <t>A 36599-2025</t>
        </is>
      </c>
      <c r="B273" s="1" t="n">
        <v>45870.51723379629</v>
      </c>
      <c r="C273" s="1" t="n">
        <v>46127</v>
      </c>
      <c r="D273" t="inlineStr">
        <is>
          <t>UPPSALA LÄN</t>
        </is>
      </c>
      <c r="E273" t="inlineStr">
        <is>
          <t>ENKÖPING</t>
        </is>
      </c>
      <c r="G273" t="n">
        <v>5.9</v>
      </c>
      <c r="H273" t="n">
        <v>0</v>
      </c>
      <c r="I273" t="n">
        <v>0</v>
      </c>
      <c r="J273" t="n">
        <v>0</v>
      </c>
      <c r="K273" t="n">
        <v>0</v>
      </c>
      <c r="L273" t="n">
        <v>0</v>
      </c>
      <c r="M273" t="n">
        <v>0</v>
      </c>
      <c r="N273" t="n">
        <v>0</v>
      </c>
      <c r="O273" t="n">
        <v>0</v>
      </c>
      <c r="P273" t="n">
        <v>0</v>
      </c>
      <c r="Q273" t="n">
        <v>0</v>
      </c>
      <c r="R273" s="2" t="inlineStr"/>
    </row>
    <row r="274" ht="15" customHeight="1">
      <c r="A274" t="inlineStr">
        <is>
          <t>A 5892-2023</t>
        </is>
      </c>
      <c r="B274" s="1" t="n">
        <v>44963.64883101852</v>
      </c>
      <c r="C274" s="1" t="n">
        <v>46127</v>
      </c>
      <c r="D274" t="inlineStr">
        <is>
          <t>UPPSALA LÄN</t>
        </is>
      </c>
      <c r="E274" t="inlineStr">
        <is>
          <t>ENKÖPING</t>
        </is>
      </c>
      <c r="G274" t="n">
        <v>5.5</v>
      </c>
      <c r="H274" t="n">
        <v>0</v>
      </c>
      <c r="I274" t="n">
        <v>0</v>
      </c>
      <c r="J274" t="n">
        <v>0</v>
      </c>
      <c r="K274" t="n">
        <v>0</v>
      </c>
      <c r="L274" t="n">
        <v>0</v>
      </c>
      <c r="M274" t="n">
        <v>0</v>
      </c>
      <c r="N274" t="n">
        <v>0</v>
      </c>
      <c r="O274" t="n">
        <v>0</v>
      </c>
      <c r="P274" t="n">
        <v>0</v>
      </c>
      <c r="Q274" t="n">
        <v>0</v>
      </c>
      <c r="R274" s="2" t="inlineStr"/>
    </row>
    <row r="275" ht="15" customHeight="1">
      <c r="A275" t="inlineStr">
        <is>
          <t>A 60174-2025</t>
        </is>
      </c>
      <c r="B275" s="1" t="n">
        <v>45994.45039351852</v>
      </c>
      <c r="C275" s="1" t="n">
        <v>46127</v>
      </c>
      <c r="D275" t="inlineStr">
        <is>
          <t>UPPSALA LÄN</t>
        </is>
      </c>
      <c r="E275" t="inlineStr">
        <is>
          <t>ENKÖPING</t>
        </is>
      </c>
      <c r="G275" t="n">
        <v>2.8</v>
      </c>
      <c r="H275" t="n">
        <v>0</v>
      </c>
      <c r="I275" t="n">
        <v>0</v>
      </c>
      <c r="J275" t="n">
        <v>0</v>
      </c>
      <c r="K275" t="n">
        <v>0</v>
      </c>
      <c r="L275" t="n">
        <v>0</v>
      </c>
      <c r="M275" t="n">
        <v>0</v>
      </c>
      <c r="N275" t="n">
        <v>0</v>
      </c>
      <c r="O275" t="n">
        <v>0</v>
      </c>
      <c r="P275" t="n">
        <v>0</v>
      </c>
      <c r="Q275" t="n">
        <v>0</v>
      </c>
      <c r="R275" s="2" t="inlineStr"/>
    </row>
    <row r="276" ht="15" customHeight="1">
      <c r="A276" t="inlineStr">
        <is>
          <t>A 671-2022</t>
        </is>
      </c>
      <c r="B276" s="1" t="n">
        <v>44568</v>
      </c>
      <c r="C276" s="1" t="n">
        <v>46127</v>
      </c>
      <c r="D276" t="inlineStr">
        <is>
          <t>UPPSALA LÄN</t>
        </is>
      </c>
      <c r="E276" t="inlineStr">
        <is>
          <t>ENKÖPING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26011-2025</t>
        </is>
      </c>
      <c r="B277" s="1" t="n">
        <v>45804.67412037037</v>
      </c>
      <c r="C277" s="1" t="n">
        <v>46127</v>
      </c>
      <c r="D277" t="inlineStr">
        <is>
          <t>UPPSALA LÄN</t>
        </is>
      </c>
      <c r="E277" t="inlineStr">
        <is>
          <t>ENKÖPING</t>
        </is>
      </c>
      <c r="G277" t="n">
        <v>1.3</v>
      </c>
      <c r="H277" t="n">
        <v>0</v>
      </c>
      <c r="I277" t="n">
        <v>0</v>
      </c>
      <c r="J277" t="n">
        <v>0</v>
      </c>
      <c r="K277" t="n">
        <v>0</v>
      </c>
      <c r="L277" t="n">
        <v>0</v>
      </c>
      <c r="M277" t="n">
        <v>0</v>
      </c>
      <c r="N277" t="n">
        <v>0</v>
      </c>
      <c r="O277" t="n">
        <v>0</v>
      </c>
      <c r="P277" t="n">
        <v>0</v>
      </c>
      <c r="Q277" t="n">
        <v>0</v>
      </c>
      <c r="R277" s="2" t="inlineStr"/>
    </row>
    <row r="278" ht="15" customHeight="1">
      <c r="A278" t="inlineStr">
        <is>
          <t>A 37498-2025</t>
        </is>
      </c>
      <c r="B278" s="1" t="n">
        <v>45877</v>
      </c>
      <c r="C278" s="1" t="n">
        <v>46127</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43488-2023</t>
        </is>
      </c>
      <c r="B279" s="1" t="n">
        <v>45181</v>
      </c>
      <c r="C279" s="1" t="n">
        <v>46127</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37296-2025</t>
        </is>
      </c>
      <c r="B280" s="1" t="n">
        <v>45876</v>
      </c>
      <c r="C280" s="1" t="n">
        <v>46127</v>
      </c>
      <c r="D280" t="inlineStr">
        <is>
          <t>UPPSALA LÄN</t>
        </is>
      </c>
      <c r="E280" t="inlineStr">
        <is>
          <t>ENKÖPING</t>
        </is>
      </c>
      <c r="G280" t="n">
        <v>9.5</v>
      </c>
      <c r="H280" t="n">
        <v>0</v>
      </c>
      <c r="I280" t="n">
        <v>0</v>
      </c>
      <c r="J280" t="n">
        <v>0</v>
      </c>
      <c r="K280" t="n">
        <v>0</v>
      </c>
      <c r="L280" t="n">
        <v>0</v>
      </c>
      <c r="M280" t="n">
        <v>0</v>
      </c>
      <c r="N280" t="n">
        <v>0</v>
      </c>
      <c r="O280" t="n">
        <v>0</v>
      </c>
      <c r="P280" t="n">
        <v>0</v>
      </c>
      <c r="Q280" t="n">
        <v>0</v>
      </c>
      <c r="R280" s="2" t="inlineStr"/>
    </row>
    <row r="281" ht="15" customHeight="1">
      <c r="A281" t="inlineStr">
        <is>
          <t>A 37319-2025</t>
        </is>
      </c>
      <c r="B281" s="1" t="n">
        <v>45876</v>
      </c>
      <c r="C281" s="1" t="n">
        <v>46127</v>
      </c>
      <c r="D281" t="inlineStr">
        <is>
          <t>UPPSALA LÄN</t>
        </is>
      </c>
      <c r="E281" t="inlineStr">
        <is>
          <t>ENKÖPING</t>
        </is>
      </c>
      <c r="G281" t="n">
        <v>9.5</v>
      </c>
      <c r="H281" t="n">
        <v>0</v>
      </c>
      <c r="I281" t="n">
        <v>0</v>
      </c>
      <c r="J281" t="n">
        <v>0</v>
      </c>
      <c r="K281" t="n">
        <v>0</v>
      </c>
      <c r="L281" t="n">
        <v>0</v>
      </c>
      <c r="M281" t="n">
        <v>0</v>
      </c>
      <c r="N281" t="n">
        <v>0</v>
      </c>
      <c r="O281" t="n">
        <v>0</v>
      </c>
      <c r="P281" t="n">
        <v>0</v>
      </c>
      <c r="Q281" t="n">
        <v>0</v>
      </c>
      <c r="R281" s="2" t="inlineStr"/>
    </row>
    <row r="282" ht="15" customHeight="1">
      <c r="A282" t="inlineStr">
        <is>
          <t>A 9171-2024</t>
        </is>
      </c>
      <c r="B282" s="1" t="n">
        <v>45358</v>
      </c>
      <c r="C282" s="1" t="n">
        <v>46127</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2850-2025</t>
        </is>
      </c>
      <c r="B283" s="1" t="n">
        <v>45677</v>
      </c>
      <c r="C283" s="1" t="n">
        <v>46127</v>
      </c>
      <c r="D283" t="inlineStr">
        <is>
          <t>UPPSALA LÄN</t>
        </is>
      </c>
      <c r="E283" t="inlineStr">
        <is>
          <t>ENKÖPING</t>
        </is>
      </c>
      <c r="G283" t="n">
        <v>0.3</v>
      </c>
      <c r="H283" t="n">
        <v>0</v>
      </c>
      <c r="I283" t="n">
        <v>0</v>
      </c>
      <c r="J283" t="n">
        <v>0</v>
      </c>
      <c r="K283" t="n">
        <v>0</v>
      </c>
      <c r="L283" t="n">
        <v>0</v>
      </c>
      <c r="M283" t="n">
        <v>0</v>
      </c>
      <c r="N283" t="n">
        <v>0</v>
      </c>
      <c r="O283" t="n">
        <v>0</v>
      </c>
      <c r="P283" t="n">
        <v>0</v>
      </c>
      <c r="Q283" t="n">
        <v>0</v>
      </c>
      <c r="R283" s="2" t="inlineStr"/>
    </row>
    <row r="284" ht="15" customHeight="1">
      <c r="A284" t="inlineStr">
        <is>
          <t>A 49622-2024</t>
        </is>
      </c>
      <c r="B284" s="1" t="n">
        <v>45596.58372685185</v>
      </c>
      <c r="C284" s="1" t="n">
        <v>46127</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43230-2023</t>
        </is>
      </c>
      <c r="B285" s="1" t="n">
        <v>45183</v>
      </c>
      <c r="C285" s="1" t="n">
        <v>46127</v>
      </c>
      <c r="D285" t="inlineStr">
        <is>
          <t>UPPSALA LÄN</t>
        </is>
      </c>
      <c r="E285" t="inlineStr">
        <is>
          <t>ENKÖPING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45362-2022</t>
        </is>
      </c>
      <c r="B286" s="1" t="n">
        <v>44844.62366898148</v>
      </c>
      <c r="C286" s="1" t="n">
        <v>46127</v>
      </c>
      <c r="D286" t="inlineStr">
        <is>
          <t>UPPSALA LÄN</t>
        </is>
      </c>
      <c r="E286" t="inlineStr">
        <is>
          <t>ENKÖPING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72840-2021</t>
        </is>
      </c>
      <c r="B287" s="1" t="n">
        <v>44547</v>
      </c>
      <c r="C287" s="1" t="n">
        <v>46127</v>
      </c>
      <c r="D287" t="inlineStr">
        <is>
          <t>UPPSALA LÄN</t>
        </is>
      </c>
      <c r="E287" t="inlineStr">
        <is>
          <t>ENKÖPING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54541-2025</t>
        </is>
      </c>
      <c r="B288" s="1" t="n">
        <v>45965.64733796296</v>
      </c>
      <c r="C288" s="1" t="n">
        <v>46127</v>
      </c>
      <c r="D288" t="inlineStr">
        <is>
          <t>UPPSALA LÄN</t>
        </is>
      </c>
      <c r="E288" t="inlineStr">
        <is>
          <t>ENKÖPING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54263-2025</t>
        </is>
      </c>
      <c r="B289" s="1" t="n">
        <v>45964.66271990741</v>
      </c>
      <c r="C289" s="1" t="n">
        <v>46127</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60175-2025</t>
        </is>
      </c>
      <c r="B290" s="1" t="n">
        <v>45994.45378472222</v>
      </c>
      <c r="C290" s="1" t="n">
        <v>46127</v>
      </c>
      <c r="D290" t="inlineStr">
        <is>
          <t>UPPSALA LÄN</t>
        </is>
      </c>
      <c r="E290" t="inlineStr">
        <is>
          <t>ENKÖPING</t>
        </is>
      </c>
      <c r="G290" t="n">
        <v>2.4</v>
      </c>
      <c r="H290" t="n">
        <v>0</v>
      </c>
      <c r="I290" t="n">
        <v>0</v>
      </c>
      <c r="J290" t="n">
        <v>0</v>
      </c>
      <c r="K290" t="n">
        <v>0</v>
      </c>
      <c r="L290" t="n">
        <v>0</v>
      </c>
      <c r="M290" t="n">
        <v>0</v>
      </c>
      <c r="N290" t="n">
        <v>0</v>
      </c>
      <c r="O290" t="n">
        <v>0</v>
      </c>
      <c r="P290" t="n">
        <v>0</v>
      </c>
      <c r="Q290" t="n">
        <v>0</v>
      </c>
      <c r="R290" s="2" t="inlineStr"/>
    </row>
    <row r="291" ht="15" customHeight="1">
      <c r="A291" t="inlineStr">
        <is>
          <t>A 60947-2025</t>
        </is>
      </c>
      <c r="B291" s="1" t="n">
        <v>45999</v>
      </c>
      <c r="C291" s="1" t="n">
        <v>46127</v>
      </c>
      <c r="D291" t="inlineStr">
        <is>
          <t>UPPSALA LÄN</t>
        </is>
      </c>
      <c r="E291" t="inlineStr">
        <is>
          <t>ENKÖPING</t>
        </is>
      </c>
      <c r="G291" t="n">
        <v>4</v>
      </c>
      <c r="H291" t="n">
        <v>0</v>
      </c>
      <c r="I291" t="n">
        <v>0</v>
      </c>
      <c r="J291" t="n">
        <v>0</v>
      </c>
      <c r="K291" t="n">
        <v>0</v>
      </c>
      <c r="L291" t="n">
        <v>0</v>
      </c>
      <c r="M291" t="n">
        <v>0</v>
      </c>
      <c r="N291" t="n">
        <v>0</v>
      </c>
      <c r="O291" t="n">
        <v>0</v>
      </c>
      <c r="P291" t="n">
        <v>0</v>
      </c>
      <c r="Q291" t="n">
        <v>0</v>
      </c>
      <c r="R291" s="2" t="inlineStr"/>
    </row>
    <row r="292" ht="15" customHeight="1">
      <c r="A292" t="inlineStr">
        <is>
          <t>A 34617-2022</t>
        </is>
      </c>
      <c r="B292" s="1" t="n">
        <v>44795</v>
      </c>
      <c r="C292" s="1" t="n">
        <v>46127</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1992-2022</t>
        </is>
      </c>
      <c r="B293" s="1" t="n">
        <v>44575.56153935185</v>
      </c>
      <c r="C293" s="1" t="n">
        <v>46127</v>
      </c>
      <c r="D293" t="inlineStr">
        <is>
          <t>UPPSALA LÄN</t>
        </is>
      </c>
      <c r="E293" t="inlineStr">
        <is>
          <t>ENKÖPING</t>
        </is>
      </c>
      <c r="G293" t="n">
        <v>2.8</v>
      </c>
      <c r="H293" t="n">
        <v>0</v>
      </c>
      <c r="I293" t="n">
        <v>0</v>
      </c>
      <c r="J293" t="n">
        <v>0</v>
      </c>
      <c r="K293" t="n">
        <v>0</v>
      </c>
      <c r="L293" t="n">
        <v>0</v>
      </c>
      <c r="M293" t="n">
        <v>0</v>
      </c>
      <c r="N293" t="n">
        <v>0</v>
      </c>
      <c r="O293" t="n">
        <v>0</v>
      </c>
      <c r="P293" t="n">
        <v>0</v>
      </c>
      <c r="Q293" t="n">
        <v>0</v>
      </c>
      <c r="R293" s="2" t="inlineStr"/>
    </row>
    <row r="294" ht="15" customHeight="1">
      <c r="A294" t="inlineStr">
        <is>
          <t>A 18583-2021</t>
        </is>
      </c>
      <c r="B294" s="1" t="n">
        <v>44306</v>
      </c>
      <c r="C294" s="1" t="n">
        <v>46127</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1695-2025</t>
        </is>
      </c>
      <c r="B295" s="1" t="n">
        <v>45670</v>
      </c>
      <c r="C295" s="1" t="n">
        <v>46127</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54844-2025</t>
        </is>
      </c>
      <c r="B296" s="1" t="n">
        <v>45966.69570601852</v>
      </c>
      <c r="C296" s="1" t="n">
        <v>46127</v>
      </c>
      <c r="D296" t="inlineStr">
        <is>
          <t>UPPSALA LÄN</t>
        </is>
      </c>
      <c r="E296" t="inlineStr">
        <is>
          <t>ENKÖPING</t>
        </is>
      </c>
      <c r="G296" t="n">
        <v>5.5</v>
      </c>
      <c r="H296" t="n">
        <v>0</v>
      </c>
      <c r="I296" t="n">
        <v>0</v>
      </c>
      <c r="J296" t="n">
        <v>0</v>
      </c>
      <c r="K296" t="n">
        <v>0</v>
      </c>
      <c r="L296" t="n">
        <v>0</v>
      </c>
      <c r="M296" t="n">
        <v>0</v>
      </c>
      <c r="N296" t="n">
        <v>0</v>
      </c>
      <c r="O296" t="n">
        <v>0</v>
      </c>
      <c r="P296" t="n">
        <v>0</v>
      </c>
      <c r="Q296" t="n">
        <v>0</v>
      </c>
      <c r="R296" s="2" t="inlineStr"/>
    </row>
    <row r="297" ht="15" customHeight="1">
      <c r="A297" t="inlineStr">
        <is>
          <t>A 54758-2025</t>
        </is>
      </c>
      <c r="B297" s="1" t="n">
        <v>45966.59737268519</v>
      </c>
      <c r="C297" s="1" t="n">
        <v>46127</v>
      </c>
      <c r="D297" t="inlineStr">
        <is>
          <t>UPPSALA LÄN</t>
        </is>
      </c>
      <c r="E297" t="inlineStr">
        <is>
          <t>ENKÖPING</t>
        </is>
      </c>
      <c r="G297" t="n">
        <v>3.3</v>
      </c>
      <c r="H297" t="n">
        <v>0</v>
      </c>
      <c r="I297" t="n">
        <v>0</v>
      </c>
      <c r="J297" t="n">
        <v>0</v>
      </c>
      <c r="K297" t="n">
        <v>0</v>
      </c>
      <c r="L297" t="n">
        <v>0</v>
      </c>
      <c r="M297" t="n">
        <v>0</v>
      </c>
      <c r="N297" t="n">
        <v>0</v>
      </c>
      <c r="O297" t="n">
        <v>0</v>
      </c>
      <c r="P297" t="n">
        <v>0</v>
      </c>
      <c r="Q297" t="n">
        <v>0</v>
      </c>
      <c r="R297" s="2" t="inlineStr"/>
    </row>
    <row r="298" ht="15" customHeight="1">
      <c r="A298" t="inlineStr">
        <is>
          <t>A 55567-2025</t>
        </is>
      </c>
      <c r="B298" s="1" t="n">
        <v>45971.65589120371</v>
      </c>
      <c r="C298" s="1" t="n">
        <v>46127</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54357-2023</t>
        </is>
      </c>
      <c r="B299" s="1" t="n">
        <v>45225</v>
      </c>
      <c r="C299" s="1" t="n">
        <v>46127</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24962-2023</t>
        </is>
      </c>
      <c r="B300" s="1" t="n">
        <v>45085.60123842592</v>
      </c>
      <c r="C300" s="1" t="n">
        <v>46127</v>
      </c>
      <c r="D300" t="inlineStr">
        <is>
          <t>UPPSALA LÄN</t>
        </is>
      </c>
      <c r="E300" t="inlineStr">
        <is>
          <t>ENKÖPING</t>
        </is>
      </c>
      <c r="G300" t="n">
        <v>2.8</v>
      </c>
      <c r="H300" t="n">
        <v>0</v>
      </c>
      <c r="I300" t="n">
        <v>0</v>
      </c>
      <c r="J300" t="n">
        <v>0</v>
      </c>
      <c r="K300" t="n">
        <v>0</v>
      </c>
      <c r="L300" t="n">
        <v>0</v>
      </c>
      <c r="M300" t="n">
        <v>0</v>
      </c>
      <c r="N300" t="n">
        <v>0</v>
      </c>
      <c r="O300" t="n">
        <v>0</v>
      </c>
      <c r="P300" t="n">
        <v>0</v>
      </c>
      <c r="Q300" t="n">
        <v>0</v>
      </c>
      <c r="R300" s="2" t="inlineStr"/>
    </row>
    <row r="301" ht="15" customHeight="1">
      <c r="A301" t="inlineStr">
        <is>
          <t>A 60934-2025</t>
        </is>
      </c>
      <c r="B301" s="1" t="n">
        <v>45999</v>
      </c>
      <c r="C301" s="1" t="n">
        <v>46127</v>
      </c>
      <c r="D301" t="inlineStr">
        <is>
          <t>UPPSALA LÄN</t>
        </is>
      </c>
      <c r="E301" t="inlineStr">
        <is>
          <t>ENKÖPING</t>
        </is>
      </c>
      <c r="G301" t="n">
        <v>2.5</v>
      </c>
      <c r="H301" t="n">
        <v>0</v>
      </c>
      <c r="I301" t="n">
        <v>0</v>
      </c>
      <c r="J301" t="n">
        <v>0</v>
      </c>
      <c r="K301" t="n">
        <v>0</v>
      </c>
      <c r="L301" t="n">
        <v>0</v>
      </c>
      <c r="M301" t="n">
        <v>0</v>
      </c>
      <c r="N301" t="n">
        <v>0</v>
      </c>
      <c r="O301" t="n">
        <v>0</v>
      </c>
      <c r="P301" t="n">
        <v>0</v>
      </c>
      <c r="Q301" t="n">
        <v>0</v>
      </c>
      <c r="R301" s="2" t="inlineStr"/>
    </row>
    <row r="302" ht="15" customHeight="1">
      <c r="A302" t="inlineStr">
        <is>
          <t>A 61437-2025</t>
        </is>
      </c>
      <c r="B302" s="1" t="n">
        <v>46001.5659375</v>
      </c>
      <c r="C302" s="1" t="n">
        <v>46127</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21017-2023</t>
        </is>
      </c>
      <c r="B303" s="1" t="n">
        <v>45061</v>
      </c>
      <c r="C303" s="1" t="n">
        <v>46127</v>
      </c>
      <c r="D303" t="inlineStr">
        <is>
          <t>UPPSALA LÄN</t>
        </is>
      </c>
      <c r="E303" t="inlineStr">
        <is>
          <t>ENKÖPING</t>
        </is>
      </c>
      <c r="G303" t="n">
        <v>4.8</v>
      </c>
      <c r="H303" t="n">
        <v>0</v>
      </c>
      <c r="I303" t="n">
        <v>0</v>
      </c>
      <c r="J303" t="n">
        <v>0</v>
      </c>
      <c r="K303" t="n">
        <v>0</v>
      </c>
      <c r="L303" t="n">
        <v>0</v>
      </c>
      <c r="M303" t="n">
        <v>0</v>
      </c>
      <c r="N303" t="n">
        <v>0</v>
      </c>
      <c r="O303" t="n">
        <v>0</v>
      </c>
      <c r="P303" t="n">
        <v>0</v>
      </c>
      <c r="Q303" t="n">
        <v>0</v>
      </c>
      <c r="R303" s="2" t="inlineStr"/>
    </row>
    <row r="304" ht="15" customHeight="1">
      <c r="A304" t="inlineStr">
        <is>
          <t>A 58961-2024</t>
        </is>
      </c>
      <c r="B304" s="1" t="n">
        <v>45636.585</v>
      </c>
      <c r="C304" s="1" t="n">
        <v>46127</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53595-2023</t>
        </is>
      </c>
      <c r="B305" s="1" t="n">
        <v>45223</v>
      </c>
      <c r="C305" s="1" t="n">
        <v>46127</v>
      </c>
      <c r="D305" t="inlineStr">
        <is>
          <t>UPPSALA LÄN</t>
        </is>
      </c>
      <c r="E305" t="inlineStr">
        <is>
          <t>ENKÖPING</t>
        </is>
      </c>
      <c r="G305" t="n">
        <v>2.6</v>
      </c>
      <c r="H305" t="n">
        <v>0</v>
      </c>
      <c r="I305" t="n">
        <v>0</v>
      </c>
      <c r="J305" t="n">
        <v>0</v>
      </c>
      <c r="K305" t="n">
        <v>0</v>
      </c>
      <c r="L305" t="n">
        <v>0</v>
      </c>
      <c r="M305" t="n">
        <v>0</v>
      </c>
      <c r="N305" t="n">
        <v>0</v>
      </c>
      <c r="O305" t="n">
        <v>0</v>
      </c>
      <c r="P305" t="n">
        <v>0</v>
      </c>
      <c r="Q305" t="n">
        <v>0</v>
      </c>
      <c r="R305" s="2" t="inlineStr"/>
    </row>
    <row r="306" ht="15" customHeight="1">
      <c r="A306" t="inlineStr">
        <is>
          <t>A 29477-2025</t>
        </is>
      </c>
      <c r="B306" s="1" t="n">
        <v>45824.71537037037</v>
      </c>
      <c r="C306" s="1" t="n">
        <v>46127</v>
      </c>
      <c r="D306" t="inlineStr">
        <is>
          <t>UPPSALA LÄN</t>
        </is>
      </c>
      <c r="E306" t="inlineStr">
        <is>
          <t>ENKÖPING</t>
        </is>
      </c>
      <c r="G306" t="n">
        <v>13.4</v>
      </c>
      <c r="H306" t="n">
        <v>0</v>
      </c>
      <c r="I306" t="n">
        <v>0</v>
      </c>
      <c r="J306" t="n">
        <v>0</v>
      </c>
      <c r="K306" t="n">
        <v>0</v>
      </c>
      <c r="L306" t="n">
        <v>0</v>
      </c>
      <c r="M306" t="n">
        <v>0</v>
      </c>
      <c r="N306" t="n">
        <v>0</v>
      </c>
      <c r="O306" t="n">
        <v>0</v>
      </c>
      <c r="P306" t="n">
        <v>0</v>
      </c>
      <c r="Q306" t="n">
        <v>0</v>
      </c>
      <c r="R306" s="2" t="inlineStr"/>
    </row>
    <row r="307" ht="15" customHeight="1">
      <c r="A307" t="inlineStr">
        <is>
          <t>A 61778-2025</t>
        </is>
      </c>
      <c r="B307" s="1" t="n">
        <v>46002.66555555556</v>
      </c>
      <c r="C307" s="1" t="n">
        <v>46127</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61811-2025</t>
        </is>
      </c>
      <c r="B308" s="1" t="n">
        <v>46002.90059027778</v>
      </c>
      <c r="C308" s="1" t="n">
        <v>46127</v>
      </c>
      <c r="D308" t="inlineStr">
        <is>
          <t>UPPSALA LÄN</t>
        </is>
      </c>
      <c r="E308" t="inlineStr">
        <is>
          <t>ENKÖPING</t>
        </is>
      </c>
      <c r="F308" t="inlineStr">
        <is>
          <t>Allmännings- och besparingsskogar</t>
        </is>
      </c>
      <c r="G308" t="n">
        <v>4.7</v>
      </c>
      <c r="H308" t="n">
        <v>0</v>
      </c>
      <c r="I308" t="n">
        <v>0</v>
      </c>
      <c r="J308" t="n">
        <v>0</v>
      </c>
      <c r="K308" t="n">
        <v>0</v>
      </c>
      <c r="L308" t="n">
        <v>0</v>
      </c>
      <c r="M308" t="n">
        <v>0</v>
      </c>
      <c r="N308" t="n">
        <v>0</v>
      </c>
      <c r="O308" t="n">
        <v>0</v>
      </c>
      <c r="P308" t="n">
        <v>0</v>
      </c>
      <c r="Q308" t="n">
        <v>0</v>
      </c>
      <c r="R308" s="2" t="inlineStr"/>
    </row>
    <row r="309" ht="15" customHeight="1">
      <c r="A309" t="inlineStr">
        <is>
          <t>A 38941-2025</t>
        </is>
      </c>
      <c r="B309" s="1" t="n">
        <v>45887</v>
      </c>
      <c r="C309" s="1" t="n">
        <v>46127</v>
      </c>
      <c r="D309" t="inlineStr">
        <is>
          <t>UPPSALA LÄN</t>
        </is>
      </c>
      <c r="E309" t="inlineStr">
        <is>
          <t>ENKÖPING</t>
        </is>
      </c>
      <c r="F309" t="inlineStr">
        <is>
          <t>Övriga statliga verk och myndigheter</t>
        </is>
      </c>
      <c r="G309" t="n">
        <v>0.6</v>
      </c>
      <c r="H309" t="n">
        <v>0</v>
      </c>
      <c r="I309" t="n">
        <v>0</v>
      </c>
      <c r="J309" t="n">
        <v>0</v>
      </c>
      <c r="K309" t="n">
        <v>0</v>
      </c>
      <c r="L309" t="n">
        <v>0</v>
      </c>
      <c r="M309" t="n">
        <v>0</v>
      </c>
      <c r="N309" t="n">
        <v>0</v>
      </c>
      <c r="O309" t="n">
        <v>0</v>
      </c>
      <c r="P309" t="n">
        <v>0</v>
      </c>
      <c r="Q309" t="n">
        <v>0</v>
      </c>
      <c r="R309" s="2" t="inlineStr"/>
    </row>
    <row r="310" ht="15" customHeight="1">
      <c r="A310" t="inlineStr">
        <is>
          <t>A 15893-2024</t>
        </is>
      </c>
      <c r="B310" s="1" t="n">
        <v>45405</v>
      </c>
      <c r="C310" s="1" t="n">
        <v>46127</v>
      </c>
      <c r="D310" t="inlineStr">
        <is>
          <t>UPPSALA LÄN</t>
        </is>
      </c>
      <c r="E310" t="inlineStr">
        <is>
          <t>ENKÖPING</t>
        </is>
      </c>
      <c r="G310" t="n">
        <v>1.9</v>
      </c>
      <c r="H310" t="n">
        <v>0</v>
      </c>
      <c r="I310" t="n">
        <v>0</v>
      </c>
      <c r="J310" t="n">
        <v>0</v>
      </c>
      <c r="K310" t="n">
        <v>0</v>
      </c>
      <c r="L310" t="n">
        <v>0</v>
      </c>
      <c r="M310" t="n">
        <v>0</v>
      </c>
      <c r="N310" t="n">
        <v>0</v>
      </c>
      <c r="O310" t="n">
        <v>0</v>
      </c>
      <c r="P310" t="n">
        <v>0</v>
      </c>
      <c r="Q310" t="n">
        <v>0</v>
      </c>
      <c r="R310" s="2" t="inlineStr"/>
    </row>
    <row r="311" ht="15" customHeight="1">
      <c r="A311" t="inlineStr">
        <is>
          <t>A 18028-2023</t>
        </is>
      </c>
      <c r="B311" s="1" t="n">
        <v>45040</v>
      </c>
      <c r="C311" s="1" t="n">
        <v>46127</v>
      </c>
      <c r="D311" t="inlineStr">
        <is>
          <t>UPPSALA LÄN</t>
        </is>
      </c>
      <c r="E311" t="inlineStr">
        <is>
          <t>ENKÖPING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61889-2025</t>
        </is>
      </c>
      <c r="B312" s="1" t="n">
        <v>46003.44765046296</v>
      </c>
      <c r="C312" s="1" t="n">
        <v>46127</v>
      </c>
      <c r="D312" t="inlineStr">
        <is>
          <t>UPPSALA LÄN</t>
        </is>
      </c>
      <c r="E312" t="inlineStr">
        <is>
          <t>ENKÖPING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62599-2025</t>
        </is>
      </c>
      <c r="B313" s="1" t="n">
        <v>46007.91961805556</v>
      </c>
      <c r="C313" s="1" t="n">
        <v>46127</v>
      </c>
      <c r="D313" t="inlineStr">
        <is>
          <t>UPPSALA LÄN</t>
        </is>
      </c>
      <c r="E313" t="inlineStr">
        <is>
          <t>ENKÖPING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62772-2025</t>
        </is>
      </c>
      <c r="B314" s="1" t="n">
        <v>46008.60365740741</v>
      </c>
      <c r="C314" s="1" t="n">
        <v>46127</v>
      </c>
      <c r="D314" t="inlineStr">
        <is>
          <t>UPPSALA LÄN</t>
        </is>
      </c>
      <c r="E314" t="inlineStr">
        <is>
          <t>ENKÖPING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48843-2023</t>
        </is>
      </c>
      <c r="B315" s="1" t="n">
        <v>45209</v>
      </c>
      <c r="C315" s="1" t="n">
        <v>46127</v>
      </c>
      <c r="D315" t="inlineStr">
        <is>
          <t>UPPSALA LÄN</t>
        </is>
      </c>
      <c r="E315" t="inlineStr">
        <is>
          <t>ENKÖPING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33670-2024</t>
        </is>
      </c>
      <c r="B316" s="1" t="n">
        <v>45520</v>
      </c>
      <c r="C316" s="1" t="n">
        <v>46127</v>
      </c>
      <c r="D316" t="inlineStr">
        <is>
          <t>UPPSALA LÄN</t>
        </is>
      </c>
      <c r="E316" t="inlineStr">
        <is>
          <t>ENKÖPING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63128-2025</t>
        </is>
      </c>
      <c r="B317" s="1" t="n">
        <v>46009</v>
      </c>
      <c r="C317" s="1" t="n">
        <v>46127</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62600-2025</t>
        </is>
      </c>
      <c r="B318" s="1" t="n">
        <v>46007.92175925926</v>
      </c>
      <c r="C318" s="1" t="n">
        <v>46127</v>
      </c>
      <c r="D318" t="inlineStr">
        <is>
          <t>UPPSALA LÄN</t>
        </is>
      </c>
      <c r="E318" t="inlineStr">
        <is>
          <t>ENKÖPING</t>
        </is>
      </c>
      <c r="G318" t="n">
        <v>2</v>
      </c>
      <c r="H318" t="n">
        <v>0</v>
      </c>
      <c r="I318" t="n">
        <v>0</v>
      </c>
      <c r="J318" t="n">
        <v>0</v>
      </c>
      <c r="K318" t="n">
        <v>0</v>
      </c>
      <c r="L318" t="n">
        <v>0</v>
      </c>
      <c r="M318" t="n">
        <v>0</v>
      </c>
      <c r="N318" t="n">
        <v>0</v>
      </c>
      <c r="O318" t="n">
        <v>0</v>
      </c>
      <c r="P318" t="n">
        <v>0</v>
      </c>
      <c r="Q318" t="n">
        <v>0</v>
      </c>
      <c r="R318" s="2" t="inlineStr"/>
    </row>
    <row r="319" ht="15" customHeight="1">
      <c r="A319" t="inlineStr">
        <is>
          <t>A 62602-2025</t>
        </is>
      </c>
      <c r="B319" s="1" t="n">
        <v>46007.92581018519</v>
      </c>
      <c r="C319" s="1" t="n">
        <v>46127</v>
      </c>
      <c r="D319" t="inlineStr">
        <is>
          <t>UPPSALA LÄN</t>
        </is>
      </c>
      <c r="E319" t="inlineStr">
        <is>
          <t>ENKÖPING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62601-2025</t>
        </is>
      </c>
      <c r="B320" s="1" t="n">
        <v>46007.92395833333</v>
      </c>
      <c r="C320" s="1" t="n">
        <v>46127</v>
      </c>
      <c r="D320" t="inlineStr">
        <is>
          <t>UPPSALA LÄN</t>
        </is>
      </c>
      <c r="E320" t="inlineStr">
        <is>
          <t>ENKÖPING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19376-2024</t>
        </is>
      </c>
      <c r="B321" s="1" t="n">
        <v>45429</v>
      </c>
      <c r="C321" s="1" t="n">
        <v>46127</v>
      </c>
      <c r="D321" t="inlineStr">
        <is>
          <t>UPPSALA LÄN</t>
        </is>
      </c>
      <c r="E321" t="inlineStr">
        <is>
          <t>ENKÖPING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12020-2024</t>
        </is>
      </c>
      <c r="B322" s="1" t="n">
        <v>45377</v>
      </c>
      <c r="C322" s="1" t="n">
        <v>46127</v>
      </c>
      <c r="D322" t="inlineStr">
        <is>
          <t>UPPSALA LÄN</t>
        </is>
      </c>
      <c r="E322" t="inlineStr">
        <is>
          <t>ENKÖPING</t>
        </is>
      </c>
      <c r="G322" t="n">
        <v>2</v>
      </c>
      <c r="H322" t="n">
        <v>0</v>
      </c>
      <c r="I322" t="n">
        <v>0</v>
      </c>
      <c r="J322" t="n">
        <v>0</v>
      </c>
      <c r="K322" t="n">
        <v>0</v>
      </c>
      <c r="L322" t="n">
        <v>0</v>
      </c>
      <c r="M322" t="n">
        <v>0</v>
      </c>
      <c r="N322" t="n">
        <v>0</v>
      </c>
      <c r="O322" t="n">
        <v>0</v>
      </c>
      <c r="P322" t="n">
        <v>0</v>
      </c>
      <c r="Q322" t="n">
        <v>0</v>
      </c>
      <c r="R322" s="2" t="inlineStr"/>
    </row>
    <row r="323" ht="15" customHeight="1">
      <c r="A323" t="inlineStr">
        <is>
          <t>A 10465-2022</t>
        </is>
      </c>
      <c r="B323" s="1" t="n">
        <v>44623</v>
      </c>
      <c r="C323" s="1" t="n">
        <v>46127</v>
      </c>
      <c r="D323" t="inlineStr">
        <is>
          <t>UPPSALA LÄN</t>
        </is>
      </c>
      <c r="E323" t="inlineStr">
        <is>
          <t>ENKÖPING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14332-2024</t>
        </is>
      </c>
      <c r="B324" s="1" t="n">
        <v>45393</v>
      </c>
      <c r="C324" s="1" t="n">
        <v>46127</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61207-2023</t>
        </is>
      </c>
      <c r="B325" s="1" t="n">
        <v>45264.39444444444</v>
      </c>
      <c r="C325" s="1" t="n">
        <v>46127</v>
      </c>
      <c r="D325" t="inlineStr">
        <is>
          <t>UPPSALA LÄN</t>
        </is>
      </c>
      <c r="E325" t="inlineStr">
        <is>
          <t>ENKÖPING</t>
        </is>
      </c>
      <c r="G325" t="n">
        <v>10.8</v>
      </c>
      <c r="H325" t="n">
        <v>0</v>
      </c>
      <c r="I325" t="n">
        <v>0</v>
      </c>
      <c r="J325" t="n">
        <v>0</v>
      </c>
      <c r="K325" t="n">
        <v>0</v>
      </c>
      <c r="L325" t="n">
        <v>0</v>
      </c>
      <c r="M325" t="n">
        <v>0</v>
      </c>
      <c r="N325" t="n">
        <v>0</v>
      </c>
      <c r="O325" t="n">
        <v>0</v>
      </c>
      <c r="P325" t="n">
        <v>0</v>
      </c>
      <c r="Q325" t="n">
        <v>0</v>
      </c>
      <c r="R325" s="2" t="inlineStr"/>
    </row>
    <row r="326" ht="15" customHeight="1">
      <c r="A326" t="inlineStr">
        <is>
          <t>A 60848-2025</t>
        </is>
      </c>
      <c r="B326" s="1" t="n">
        <v>45999</v>
      </c>
      <c r="C326" s="1" t="n">
        <v>46127</v>
      </c>
      <c r="D326" t="inlineStr">
        <is>
          <t>UPPSALA LÄN</t>
        </is>
      </c>
      <c r="E326" t="inlineStr">
        <is>
          <t>ENKÖPING</t>
        </is>
      </c>
      <c r="G326" t="n">
        <v>2.5</v>
      </c>
      <c r="H326" t="n">
        <v>0</v>
      </c>
      <c r="I326" t="n">
        <v>0</v>
      </c>
      <c r="J326" t="n">
        <v>0</v>
      </c>
      <c r="K326" t="n">
        <v>0</v>
      </c>
      <c r="L326" t="n">
        <v>0</v>
      </c>
      <c r="M326" t="n">
        <v>0</v>
      </c>
      <c r="N326" t="n">
        <v>0</v>
      </c>
      <c r="O326" t="n">
        <v>0</v>
      </c>
      <c r="P326" t="n">
        <v>0</v>
      </c>
      <c r="Q326" t="n">
        <v>0</v>
      </c>
      <c r="R326" s="2" t="inlineStr"/>
    </row>
    <row r="327" ht="15" customHeight="1">
      <c r="A327" t="inlineStr">
        <is>
          <t>A 40812-2022</t>
        </is>
      </c>
      <c r="B327" s="1" t="n">
        <v>44824.68791666667</v>
      </c>
      <c r="C327" s="1" t="n">
        <v>46127</v>
      </c>
      <c r="D327" t="inlineStr">
        <is>
          <t>UPPSALA LÄN</t>
        </is>
      </c>
      <c r="E327" t="inlineStr">
        <is>
          <t>ENKÖPING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192-2026</t>
        </is>
      </c>
      <c r="B328" s="1" t="n">
        <v>46025</v>
      </c>
      <c r="C328" s="1" t="n">
        <v>46127</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43691-2024</t>
        </is>
      </c>
      <c r="B329" s="1" t="n">
        <v>45569</v>
      </c>
      <c r="C329" s="1" t="n">
        <v>46127</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25333-2023</t>
        </is>
      </c>
      <c r="B330" s="1" t="n">
        <v>45083</v>
      </c>
      <c r="C330" s="1" t="n">
        <v>46127</v>
      </c>
      <c r="D330" t="inlineStr">
        <is>
          <t>UPPSALA LÄN</t>
        </is>
      </c>
      <c r="E330" t="inlineStr">
        <is>
          <t>ENKÖPING</t>
        </is>
      </c>
      <c r="G330" t="n">
        <v>2.7</v>
      </c>
      <c r="H330" t="n">
        <v>0</v>
      </c>
      <c r="I330" t="n">
        <v>0</v>
      </c>
      <c r="J330" t="n">
        <v>0</v>
      </c>
      <c r="K330" t="n">
        <v>0</v>
      </c>
      <c r="L330" t="n">
        <v>0</v>
      </c>
      <c r="M330" t="n">
        <v>0</v>
      </c>
      <c r="N330" t="n">
        <v>0</v>
      </c>
      <c r="O330" t="n">
        <v>0</v>
      </c>
      <c r="P330" t="n">
        <v>0</v>
      </c>
      <c r="Q330" t="n">
        <v>0</v>
      </c>
      <c r="R330" s="2" t="inlineStr"/>
    </row>
    <row r="331" ht="15" customHeight="1">
      <c r="A331" t="inlineStr">
        <is>
          <t>A 861-2026</t>
        </is>
      </c>
      <c r="B331" s="1" t="n">
        <v>46030</v>
      </c>
      <c r="C331" s="1" t="n">
        <v>46127</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3300-2025</t>
        </is>
      </c>
      <c r="B332" s="1" t="n">
        <v>45679</v>
      </c>
      <c r="C332" s="1" t="n">
        <v>46127</v>
      </c>
      <c r="D332" t="inlineStr">
        <is>
          <t>UPPSALA LÄN</t>
        </is>
      </c>
      <c r="E332" t="inlineStr">
        <is>
          <t>ENKÖPING</t>
        </is>
      </c>
      <c r="G332" t="n">
        <v>8.9</v>
      </c>
      <c r="H332" t="n">
        <v>0</v>
      </c>
      <c r="I332" t="n">
        <v>0</v>
      </c>
      <c r="J332" t="n">
        <v>0</v>
      </c>
      <c r="K332" t="n">
        <v>0</v>
      </c>
      <c r="L332" t="n">
        <v>0</v>
      </c>
      <c r="M332" t="n">
        <v>0</v>
      </c>
      <c r="N332" t="n">
        <v>0</v>
      </c>
      <c r="O332" t="n">
        <v>0</v>
      </c>
      <c r="P332" t="n">
        <v>0</v>
      </c>
      <c r="Q332" t="n">
        <v>0</v>
      </c>
      <c r="R332" s="2" t="inlineStr"/>
    </row>
    <row r="333" ht="15" customHeight="1">
      <c r="A333" t="inlineStr">
        <is>
          <t>A 12754-2025</t>
        </is>
      </c>
      <c r="B333" s="1" t="n">
        <v>45733.56331018519</v>
      </c>
      <c r="C333" s="1" t="n">
        <v>46127</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16176-2025</t>
        </is>
      </c>
      <c r="B334" s="1" t="n">
        <v>45750</v>
      </c>
      <c r="C334" s="1" t="n">
        <v>46127</v>
      </c>
      <c r="D334" t="inlineStr">
        <is>
          <t>UPPSALA LÄN</t>
        </is>
      </c>
      <c r="E334" t="inlineStr">
        <is>
          <t>ENKÖPING</t>
        </is>
      </c>
      <c r="G334" t="n">
        <v>3.9</v>
      </c>
      <c r="H334" t="n">
        <v>0</v>
      </c>
      <c r="I334" t="n">
        <v>0</v>
      </c>
      <c r="J334" t="n">
        <v>0</v>
      </c>
      <c r="K334" t="n">
        <v>0</v>
      </c>
      <c r="L334" t="n">
        <v>0</v>
      </c>
      <c r="M334" t="n">
        <v>0</v>
      </c>
      <c r="N334" t="n">
        <v>0</v>
      </c>
      <c r="O334" t="n">
        <v>0</v>
      </c>
      <c r="P334" t="n">
        <v>0</v>
      </c>
      <c r="Q334" t="n">
        <v>0</v>
      </c>
      <c r="R334" s="2" t="inlineStr"/>
    </row>
    <row r="335" ht="15" customHeight="1">
      <c r="A335" t="inlineStr">
        <is>
          <t>A 56713-2024</t>
        </is>
      </c>
      <c r="B335" s="1" t="n">
        <v>45628</v>
      </c>
      <c r="C335" s="1" t="n">
        <v>46127</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37870-2023</t>
        </is>
      </c>
      <c r="B336" s="1" t="n">
        <v>45160.41996527778</v>
      </c>
      <c r="C336" s="1" t="n">
        <v>46127</v>
      </c>
      <c r="D336" t="inlineStr">
        <is>
          <t>UPPSALA LÄN</t>
        </is>
      </c>
      <c r="E336" t="inlineStr">
        <is>
          <t>ENKÖPING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22094-2023</t>
        </is>
      </c>
      <c r="B337" s="1" t="n">
        <v>45069</v>
      </c>
      <c r="C337" s="1" t="n">
        <v>46127</v>
      </c>
      <c r="D337" t="inlineStr">
        <is>
          <t>UPPSALA LÄN</t>
        </is>
      </c>
      <c r="E337" t="inlineStr">
        <is>
          <t>ENKÖPING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2258-2026</t>
        </is>
      </c>
      <c r="B338" s="1" t="n">
        <v>46036</v>
      </c>
      <c r="C338" s="1" t="n">
        <v>46127</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2218-2026</t>
        </is>
      </c>
      <c r="B339" s="1" t="n">
        <v>46036.50010416667</v>
      </c>
      <c r="C339" s="1" t="n">
        <v>46127</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15405-2025</t>
        </is>
      </c>
      <c r="B340" s="1" t="n">
        <v>45747.44670138889</v>
      </c>
      <c r="C340" s="1" t="n">
        <v>46127</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35079-2024</t>
        </is>
      </c>
      <c r="B341" s="1" t="n">
        <v>45527.66770833333</v>
      </c>
      <c r="C341" s="1" t="n">
        <v>46127</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33581-2023</t>
        </is>
      </c>
      <c r="B342" s="1" t="n">
        <v>45131</v>
      </c>
      <c r="C342" s="1" t="n">
        <v>46127</v>
      </c>
      <c r="D342" t="inlineStr">
        <is>
          <t>UPPSALA LÄN</t>
        </is>
      </c>
      <c r="E342" t="inlineStr">
        <is>
          <t>ENKÖPING</t>
        </is>
      </c>
      <c r="G342" t="n">
        <v>3.5</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46127</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47909-2024</t>
        </is>
      </c>
      <c r="B344" s="1" t="n">
        <v>45589.31866898148</v>
      </c>
      <c r="C344" s="1" t="n">
        <v>46127</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51932-2022</t>
        </is>
      </c>
      <c r="B345" s="1" t="n">
        <v>44872</v>
      </c>
      <c r="C345" s="1" t="n">
        <v>46127</v>
      </c>
      <c r="D345" t="inlineStr">
        <is>
          <t>UPPSALA LÄN</t>
        </is>
      </c>
      <c r="E345" t="inlineStr">
        <is>
          <t>ENKÖPING</t>
        </is>
      </c>
      <c r="G345" t="n">
        <v>5.5</v>
      </c>
      <c r="H345" t="n">
        <v>0</v>
      </c>
      <c r="I345" t="n">
        <v>0</v>
      </c>
      <c r="J345" t="n">
        <v>0</v>
      </c>
      <c r="K345" t="n">
        <v>0</v>
      </c>
      <c r="L345" t="n">
        <v>0</v>
      </c>
      <c r="M345" t="n">
        <v>0</v>
      </c>
      <c r="N345" t="n">
        <v>0</v>
      </c>
      <c r="O345" t="n">
        <v>0</v>
      </c>
      <c r="P345" t="n">
        <v>0</v>
      </c>
      <c r="Q345" t="n">
        <v>0</v>
      </c>
      <c r="R345" s="2" t="inlineStr"/>
    </row>
    <row r="346" ht="15" customHeight="1">
      <c r="A346" t="inlineStr">
        <is>
          <t>A 59497-2022</t>
        </is>
      </c>
      <c r="B346" s="1" t="n">
        <v>44907.48258101852</v>
      </c>
      <c r="C346" s="1" t="n">
        <v>46127</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9041-2023</t>
        </is>
      </c>
      <c r="B347" s="1" t="n">
        <v>44979</v>
      </c>
      <c r="C347" s="1" t="n">
        <v>46127</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12755-2025</t>
        </is>
      </c>
      <c r="B348" s="1" t="n">
        <v>45733.56541666666</v>
      </c>
      <c r="C348" s="1" t="n">
        <v>46127</v>
      </c>
      <c r="D348" t="inlineStr">
        <is>
          <t>UPPSALA LÄN</t>
        </is>
      </c>
      <c r="E348" t="inlineStr">
        <is>
          <t>ENKÖPING</t>
        </is>
      </c>
      <c r="G348" t="n">
        <v>0.8</v>
      </c>
      <c r="H348" t="n">
        <v>0</v>
      </c>
      <c r="I348" t="n">
        <v>0</v>
      </c>
      <c r="J348" t="n">
        <v>0</v>
      </c>
      <c r="K348" t="n">
        <v>0</v>
      </c>
      <c r="L348" t="n">
        <v>0</v>
      </c>
      <c r="M348" t="n">
        <v>0</v>
      </c>
      <c r="N348" t="n">
        <v>0</v>
      </c>
      <c r="O348" t="n">
        <v>0</v>
      </c>
      <c r="P348" t="n">
        <v>0</v>
      </c>
      <c r="Q348" t="n">
        <v>0</v>
      </c>
      <c r="R348" s="2" t="inlineStr"/>
    </row>
    <row r="349" ht="15" customHeight="1">
      <c r="A349" t="inlineStr">
        <is>
          <t>A 59027-2024</t>
        </is>
      </c>
      <c r="B349" s="1" t="n">
        <v>45636.68755787037</v>
      </c>
      <c r="C349" s="1" t="n">
        <v>46127</v>
      </c>
      <c r="D349" t="inlineStr">
        <is>
          <t>UPPSALA LÄN</t>
        </is>
      </c>
      <c r="E349" t="inlineStr">
        <is>
          <t>ENKÖPING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12411-2026</t>
        </is>
      </c>
      <c r="B350" s="1" t="n">
        <v>46090.42670138889</v>
      </c>
      <c r="C350" s="1" t="n">
        <v>46127</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53587-2024</t>
        </is>
      </c>
      <c r="B351" s="1" t="n">
        <v>45614.66953703704</v>
      </c>
      <c r="C351" s="1" t="n">
        <v>46127</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5104-2026</t>
        </is>
      </c>
      <c r="B352" s="1" t="n">
        <v>46049.56914351852</v>
      </c>
      <c r="C352" s="1" t="n">
        <v>46127</v>
      </c>
      <c r="D352" t="inlineStr">
        <is>
          <t>UPPSALA LÄN</t>
        </is>
      </c>
      <c r="E352" t="inlineStr">
        <is>
          <t>ENKÖPING</t>
        </is>
      </c>
      <c r="G352" t="n">
        <v>2.3</v>
      </c>
      <c r="H352" t="n">
        <v>0</v>
      </c>
      <c r="I352" t="n">
        <v>0</v>
      </c>
      <c r="J352" t="n">
        <v>0</v>
      </c>
      <c r="K352" t="n">
        <v>0</v>
      </c>
      <c r="L352" t="n">
        <v>0</v>
      </c>
      <c r="M352" t="n">
        <v>0</v>
      </c>
      <c r="N352" t="n">
        <v>0</v>
      </c>
      <c r="O352" t="n">
        <v>0</v>
      </c>
      <c r="P352" t="n">
        <v>0</v>
      </c>
      <c r="Q352" t="n">
        <v>0</v>
      </c>
      <c r="R352" s="2" t="inlineStr"/>
    </row>
    <row r="353" ht="15" customHeight="1">
      <c r="A353" t="inlineStr">
        <is>
          <t>A 11503-2024</t>
        </is>
      </c>
      <c r="B353" s="1" t="n">
        <v>45372.68020833333</v>
      </c>
      <c r="C353" s="1" t="n">
        <v>46127</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39115-2024</t>
        </is>
      </c>
      <c r="B354" s="1" t="n">
        <v>45548</v>
      </c>
      <c r="C354" s="1" t="n">
        <v>46127</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25334-2023</t>
        </is>
      </c>
      <c r="B355" s="1" t="n">
        <v>45083</v>
      </c>
      <c r="C355" s="1" t="n">
        <v>46127</v>
      </c>
      <c r="D355" t="inlineStr">
        <is>
          <t>UPPSALA LÄN</t>
        </is>
      </c>
      <c r="E355" t="inlineStr">
        <is>
          <t>ENKÖPING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12996-2026</t>
        </is>
      </c>
      <c r="B356" s="1" t="n">
        <v>46092.68149305556</v>
      </c>
      <c r="C356" s="1" t="n">
        <v>46127</v>
      </c>
      <c r="D356" t="inlineStr">
        <is>
          <t>UPPSALA LÄN</t>
        </is>
      </c>
      <c r="E356" t="inlineStr">
        <is>
          <t>ENKÖPING</t>
        </is>
      </c>
      <c r="G356" t="n">
        <v>2</v>
      </c>
      <c r="H356" t="n">
        <v>0</v>
      </c>
      <c r="I356" t="n">
        <v>0</v>
      </c>
      <c r="J356" t="n">
        <v>0</v>
      </c>
      <c r="K356" t="n">
        <v>0</v>
      </c>
      <c r="L356" t="n">
        <v>0</v>
      </c>
      <c r="M356" t="n">
        <v>0</v>
      </c>
      <c r="N356" t="n">
        <v>0</v>
      </c>
      <c r="O356" t="n">
        <v>0</v>
      </c>
      <c r="P356" t="n">
        <v>0</v>
      </c>
      <c r="Q356" t="n">
        <v>0</v>
      </c>
      <c r="R356" s="2" t="inlineStr"/>
    </row>
    <row r="357" ht="15" customHeight="1">
      <c r="A357" t="inlineStr">
        <is>
          <t>A 56837-2024</t>
        </is>
      </c>
      <c r="B357" s="1" t="n">
        <v>45628</v>
      </c>
      <c r="C357" s="1" t="n">
        <v>46127</v>
      </c>
      <c r="D357" t="inlineStr">
        <is>
          <t>UPPSALA LÄN</t>
        </is>
      </c>
      <c r="E357" t="inlineStr">
        <is>
          <t>ENKÖPING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25990-2025</t>
        </is>
      </c>
      <c r="B358" s="1" t="n">
        <v>45804.65229166667</v>
      </c>
      <c r="C358" s="1" t="n">
        <v>46127</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5569-2026</t>
        </is>
      </c>
      <c r="B359" s="1" t="n">
        <v>46050.89431712963</v>
      </c>
      <c r="C359" s="1" t="n">
        <v>46127</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12997-2026</t>
        </is>
      </c>
      <c r="B360" s="1" t="n">
        <v>46092.6834375</v>
      </c>
      <c r="C360" s="1" t="n">
        <v>46127</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18821-2023</t>
        </is>
      </c>
      <c r="B361" s="1" t="n">
        <v>45044.3782175926</v>
      </c>
      <c r="C361" s="1" t="n">
        <v>46127</v>
      </c>
      <c r="D361" t="inlineStr">
        <is>
          <t>UPPSALA LÄN</t>
        </is>
      </c>
      <c r="E361" t="inlineStr">
        <is>
          <t>ENKÖPING</t>
        </is>
      </c>
      <c r="G361" t="n">
        <v>6</v>
      </c>
      <c r="H361" t="n">
        <v>0</v>
      </c>
      <c r="I361" t="n">
        <v>0</v>
      </c>
      <c r="J361" t="n">
        <v>0</v>
      </c>
      <c r="K361" t="n">
        <v>0</v>
      </c>
      <c r="L361" t="n">
        <v>0</v>
      </c>
      <c r="M361" t="n">
        <v>0</v>
      </c>
      <c r="N361" t="n">
        <v>0</v>
      </c>
      <c r="O361" t="n">
        <v>0</v>
      </c>
      <c r="P361" t="n">
        <v>0</v>
      </c>
      <c r="Q361" t="n">
        <v>0</v>
      </c>
      <c r="R361" s="2" t="inlineStr"/>
    </row>
    <row r="362" ht="15" customHeight="1">
      <c r="A362" t="inlineStr">
        <is>
          <t>A 25989-2025</t>
        </is>
      </c>
      <c r="B362" s="1" t="n">
        <v>45804.65050925926</v>
      </c>
      <c r="C362" s="1" t="n">
        <v>46127</v>
      </c>
      <c r="D362" t="inlineStr">
        <is>
          <t>UPPSALA LÄN</t>
        </is>
      </c>
      <c r="E362" t="inlineStr">
        <is>
          <t>ENKÖPING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5948-2026</t>
        </is>
      </c>
      <c r="B363" s="1" t="n">
        <v>46052</v>
      </c>
      <c r="C363" s="1" t="n">
        <v>46127</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57335-2024</t>
        </is>
      </c>
      <c r="B364" s="1" t="n">
        <v>45629.63302083333</v>
      </c>
      <c r="C364" s="1" t="n">
        <v>46127</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6049-2026</t>
        </is>
      </c>
      <c r="B365" s="1" t="n">
        <v>46052.63005787037</v>
      </c>
      <c r="C365" s="1" t="n">
        <v>46127</v>
      </c>
      <c r="D365" t="inlineStr">
        <is>
          <t>UPPSALA LÄN</t>
        </is>
      </c>
      <c r="E365" t="inlineStr">
        <is>
          <t>ENKÖPING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6031-2026</t>
        </is>
      </c>
      <c r="B366" s="1" t="n">
        <v>46052.61201388889</v>
      </c>
      <c r="C366" s="1" t="n">
        <v>46127</v>
      </c>
      <c r="D366" t="inlineStr">
        <is>
          <t>UPPSALA LÄN</t>
        </is>
      </c>
      <c r="E366" t="inlineStr">
        <is>
          <t>ENKÖPING</t>
        </is>
      </c>
      <c r="G366" t="n">
        <v>4.1</v>
      </c>
      <c r="H366" t="n">
        <v>0</v>
      </c>
      <c r="I366" t="n">
        <v>0</v>
      </c>
      <c r="J366" t="n">
        <v>0</v>
      </c>
      <c r="K366" t="n">
        <v>0</v>
      </c>
      <c r="L366" t="n">
        <v>0</v>
      </c>
      <c r="M366" t="n">
        <v>0</v>
      </c>
      <c r="N366" t="n">
        <v>0</v>
      </c>
      <c r="O366" t="n">
        <v>0</v>
      </c>
      <c r="P366" t="n">
        <v>0</v>
      </c>
      <c r="Q366" t="n">
        <v>0</v>
      </c>
      <c r="R366" s="2" t="inlineStr"/>
    </row>
    <row r="367" ht="15" customHeight="1">
      <c r="A367" t="inlineStr">
        <is>
          <t>A 6044-2026</t>
        </is>
      </c>
      <c r="B367" s="1" t="n">
        <v>46052.62506944445</v>
      </c>
      <c r="C367" s="1" t="n">
        <v>46127</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13590-2026</t>
        </is>
      </c>
      <c r="B368" s="1" t="n">
        <v>46096</v>
      </c>
      <c r="C368" s="1" t="n">
        <v>46127</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57835-2024</t>
        </is>
      </c>
      <c r="B369" s="1" t="n">
        <v>45631.39947916667</v>
      </c>
      <c r="C369" s="1" t="n">
        <v>46127</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53208-2023</t>
        </is>
      </c>
      <c r="B370" s="1" t="n">
        <v>45226</v>
      </c>
      <c r="C370" s="1" t="n">
        <v>46127</v>
      </c>
      <c r="D370" t="inlineStr">
        <is>
          <t>UPPSALA LÄN</t>
        </is>
      </c>
      <c r="E370" t="inlineStr">
        <is>
          <t>ENKÖPING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5953-2026</t>
        </is>
      </c>
      <c r="B371" s="1" t="n">
        <v>46052.49119212963</v>
      </c>
      <c r="C371" s="1" t="n">
        <v>46127</v>
      </c>
      <c r="D371" t="inlineStr">
        <is>
          <t>UPPSALA LÄN</t>
        </is>
      </c>
      <c r="E371" t="inlineStr">
        <is>
          <t>ENKÖPING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6047-2026</t>
        </is>
      </c>
      <c r="B372" s="1" t="n">
        <v>46052.62738425926</v>
      </c>
      <c r="C372" s="1" t="n">
        <v>46127</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6041-2026</t>
        </is>
      </c>
      <c r="B373" s="1" t="n">
        <v>46052.62184027778</v>
      </c>
      <c r="C373" s="1" t="n">
        <v>46127</v>
      </c>
      <c r="D373" t="inlineStr">
        <is>
          <t>UPPSALA LÄN</t>
        </is>
      </c>
      <c r="E373" t="inlineStr">
        <is>
          <t>ENKÖPING</t>
        </is>
      </c>
      <c r="G373" t="n">
        <v>4</v>
      </c>
      <c r="H373" t="n">
        <v>0</v>
      </c>
      <c r="I373" t="n">
        <v>0</v>
      </c>
      <c r="J373" t="n">
        <v>0</v>
      </c>
      <c r="K373" t="n">
        <v>0</v>
      </c>
      <c r="L373" t="n">
        <v>0</v>
      </c>
      <c r="M373" t="n">
        <v>0</v>
      </c>
      <c r="N373" t="n">
        <v>0</v>
      </c>
      <c r="O373" t="n">
        <v>0</v>
      </c>
      <c r="P373" t="n">
        <v>0</v>
      </c>
      <c r="Q373" t="n">
        <v>0</v>
      </c>
      <c r="R373" s="2" t="inlineStr"/>
    </row>
    <row r="374" ht="15" customHeight="1">
      <c r="A374" t="inlineStr">
        <is>
          <t>A 19013-2025</t>
        </is>
      </c>
      <c r="B374" s="1" t="n">
        <v>45764.59533564815</v>
      </c>
      <c r="C374" s="1" t="n">
        <v>46127</v>
      </c>
      <c r="D374" t="inlineStr">
        <is>
          <t>UPPSALA LÄN</t>
        </is>
      </c>
      <c r="E374" t="inlineStr">
        <is>
          <t>ENKÖPING</t>
        </is>
      </c>
      <c r="G374" t="n">
        <v>1</v>
      </c>
      <c r="H374" t="n">
        <v>0</v>
      </c>
      <c r="I374" t="n">
        <v>0</v>
      </c>
      <c r="J374" t="n">
        <v>0</v>
      </c>
      <c r="K374" t="n">
        <v>0</v>
      </c>
      <c r="L374" t="n">
        <v>0</v>
      </c>
      <c r="M374" t="n">
        <v>0</v>
      </c>
      <c r="N374" t="n">
        <v>0</v>
      </c>
      <c r="O374" t="n">
        <v>0</v>
      </c>
      <c r="P374" t="n">
        <v>0</v>
      </c>
      <c r="Q374" t="n">
        <v>0</v>
      </c>
      <c r="R374" s="2" t="inlineStr"/>
    </row>
    <row r="375" ht="15" customHeight="1">
      <c r="A375" t="inlineStr">
        <is>
          <t>A 14296-2026</t>
        </is>
      </c>
      <c r="B375" s="1" t="n">
        <v>46099.7181712963</v>
      </c>
      <c r="C375" s="1" t="n">
        <v>46127</v>
      </c>
      <c r="D375" t="inlineStr">
        <is>
          <t>UPPSALA LÄN</t>
        </is>
      </c>
      <c r="E375" t="inlineStr">
        <is>
          <t>ENKÖPING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7008-2026</t>
        </is>
      </c>
      <c r="B376" s="1" t="n">
        <v>46057.63806712963</v>
      </c>
      <c r="C376" s="1" t="n">
        <v>46127</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2164-2023</t>
        </is>
      </c>
      <c r="B377" s="1" t="n">
        <v>44941</v>
      </c>
      <c r="C377" s="1" t="n">
        <v>46127</v>
      </c>
      <c r="D377" t="inlineStr">
        <is>
          <t>UPPSALA LÄN</t>
        </is>
      </c>
      <c r="E377" t="inlineStr">
        <is>
          <t>ENKÖPING</t>
        </is>
      </c>
      <c r="G377" t="n">
        <v>2.5</v>
      </c>
      <c r="H377" t="n">
        <v>0</v>
      </c>
      <c r="I377" t="n">
        <v>0</v>
      </c>
      <c r="J377" t="n">
        <v>0</v>
      </c>
      <c r="K377" t="n">
        <v>0</v>
      </c>
      <c r="L377" t="n">
        <v>0</v>
      </c>
      <c r="M377" t="n">
        <v>0</v>
      </c>
      <c r="N377" t="n">
        <v>0</v>
      </c>
      <c r="O377" t="n">
        <v>0</v>
      </c>
      <c r="P377" t="n">
        <v>0</v>
      </c>
      <c r="Q377" t="n">
        <v>0</v>
      </c>
      <c r="R377" s="2" t="inlineStr"/>
    </row>
    <row r="378" ht="15" customHeight="1">
      <c r="A378" t="inlineStr">
        <is>
          <t>A 7003-2026</t>
        </is>
      </c>
      <c r="B378" s="1" t="n">
        <v>46057.63243055555</v>
      </c>
      <c r="C378" s="1" t="n">
        <v>46127</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14178-2026</t>
        </is>
      </c>
      <c r="B379" s="1" t="n">
        <v>46099.49608796297</v>
      </c>
      <c r="C379" s="1" t="n">
        <v>46127</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14260-2026</t>
        </is>
      </c>
      <c r="B380" s="1" t="n">
        <v>46099.63395833333</v>
      </c>
      <c r="C380" s="1" t="n">
        <v>46127</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61952-2021</t>
        </is>
      </c>
      <c r="B381" s="1" t="n">
        <v>44502</v>
      </c>
      <c r="C381" s="1" t="n">
        <v>46127</v>
      </c>
      <c r="D381" t="inlineStr">
        <is>
          <t>UPPSALA LÄN</t>
        </is>
      </c>
      <c r="E381" t="inlineStr">
        <is>
          <t>ENKÖPING</t>
        </is>
      </c>
      <c r="G381" t="n">
        <v>2.3</v>
      </c>
      <c r="H381" t="n">
        <v>0</v>
      </c>
      <c r="I381" t="n">
        <v>0</v>
      </c>
      <c r="J381" t="n">
        <v>0</v>
      </c>
      <c r="K381" t="n">
        <v>0</v>
      </c>
      <c r="L381" t="n">
        <v>0</v>
      </c>
      <c r="M381" t="n">
        <v>0</v>
      </c>
      <c r="N381" t="n">
        <v>0</v>
      </c>
      <c r="O381" t="n">
        <v>0</v>
      </c>
      <c r="P381" t="n">
        <v>0</v>
      </c>
      <c r="Q381" t="n">
        <v>0</v>
      </c>
      <c r="R381" s="2" t="inlineStr"/>
    </row>
    <row r="382" ht="15" customHeight="1">
      <c r="A382" t="inlineStr">
        <is>
          <t>A 14083-2025</t>
        </is>
      </c>
      <c r="B382" s="1" t="n">
        <v>45740</v>
      </c>
      <c r="C382" s="1" t="n">
        <v>46127</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14182-2026</t>
        </is>
      </c>
      <c r="B383" s="1" t="n">
        <v>46099.49839120371</v>
      </c>
      <c r="C383" s="1" t="n">
        <v>46127</v>
      </c>
      <c r="D383" t="inlineStr">
        <is>
          <t>UPPSALA LÄN</t>
        </is>
      </c>
      <c r="E383" t="inlineStr">
        <is>
          <t>ENKÖPING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7168-2026</t>
        </is>
      </c>
      <c r="B384" s="1" t="n">
        <v>46058.45831018518</v>
      </c>
      <c r="C384" s="1" t="n">
        <v>46127</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69879-2021</t>
        </is>
      </c>
      <c r="B385" s="1" t="n">
        <v>44532</v>
      </c>
      <c r="C385" s="1" t="n">
        <v>46127</v>
      </c>
      <c r="D385" t="inlineStr">
        <is>
          <t>UPPSALA LÄN</t>
        </is>
      </c>
      <c r="E385" t="inlineStr">
        <is>
          <t>ENKÖPING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7172-2026</t>
        </is>
      </c>
      <c r="B386" s="1" t="n">
        <v>46058.46113425926</v>
      </c>
      <c r="C386" s="1" t="n">
        <v>46127</v>
      </c>
      <c r="D386" t="inlineStr">
        <is>
          <t>UPPSALA LÄN</t>
        </is>
      </c>
      <c r="E386" t="inlineStr">
        <is>
          <t>ENKÖPING</t>
        </is>
      </c>
      <c r="G386" t="n">
        <v>0.9</v>
      </c>
      <c r="H386" t="n">
        <v>0</v>
      </c>
      <c r="I386" t="n">
        <v>0</v>
      </c>
      <c r="J386" t="n">
        <v>0</v>
      </c>
      <c r="K386" t="n">
        <v>0</v>
      </c>
      <c r="L386" t="n">
        <v>0</v>
      </c>
      <c r="M386" t="n">
        <v>0</v>
      </c>
      <c r="N386" t="n">
        <v>0</v>
      </c>
      <c r="O386" t="n">
        <v>0</v>
      </c>
      <c r="P386" t="n">
        <v>0</v>
      </c>
      <c r="Q386" t="n">
        <v>0</v>
      </c>
      <c r="R386" s="2" t="inlineStr"/>
    </row>
    <row r="387" ht="15" customHeight="1">
      <c r="A387" t="inlineStr">
        <is>
          <t>A 14229-2026</t>
        </is>
      </c>
      <c r="B387" s="1" t="n">
        <v>46099</v>
      </c>
      <c r="C387" s="1" t="n">
        <v>46127</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7175-2026</t>
        </is>
      </c>
      <c r="B388" s="1" t="n">
        <v>46058.46399305556</v>
      </c>
      <c r="C388" s="1" t="n">
        <v>46127</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7167-2026</t>
        </is>
      </c>
      <c r="B389" s="1" t="n">
        <v>46058.45677083333</v>
      </c>
      <c r="C389" s="1" t="n">
        <v>46127</v>
      </c>
      <c r="D389" t="inlineStr">
        <is>
          <t>UPPSALA LÄN</t>
        </is>
      </c>
      <c r="E389" t="inlineStr">
        <is>
          <t>ENKÖPING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15757-2023</t>
        </is>
      </c>
      <c r="B390" s="1" t="n">
        <v>45021</v>
      </c>
      <c r="C390" s="1" t="n">
        <v>46127</v>
      </c>
      <c r="D390" t="inlineStr">
        <is>
          <t>UPPSALA LÄN</t>
        </is>
      </c>
      <c r="E390" t="inlineStr">
        <is>
          <t>ENKÖPING</t>
        </is>
      </c>
      <c r="G390" t="n">
        <v>3</v>
      </c>
      <c r="H390" t="n">
        <v>0</v>
      </c>
      <c r="I390" t="n">
        <v>0</v>
      </c>
      <c r="J390" t="n">
        <v>0</v>
      </c>
      <c r="K390" t="n">
        <v>0</v>
      </c>
      <c r="L390" t="n">
        <v>0</v>
      </c>
      <c r="M390" t="n">
        <v>0</v>
      </c>
      <c r="N390" t="n">
        <v>0</v>
      </c>
      <c r="O390" t="n">
        <v>0</v>
      </c>
      <c r="P390" t="n">
        <v>0</v>
      </c>
      <c r="Q390" t="n">
        <v>0</v>
      </c>
      <c r="R390" s="2" t="inlineStr"/>
    </row>
    <row r="391" ht="15" customHeight="1">
      <c r="A391" t="inlineStr">
        <is>
          <t>A 2161-2023</t>
        </is>
      </c>
      <c r="B391" s="1" t="n">
        <v>44941</v>
      </c>
      <c r="C391" s="1" t="n">
        <v>46127</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2165-2023</t>
        </is>
      </c>
      <c r="B392" s="1" t="n">
        <v>44941</v>
      </c>
      <c r="C392" s="1" t="n">
        <v>46127</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20112-2024</t>
        </is>
      </c>
      <c r="B393" s="1" t="n">
        <v>45434</v>
      </c>
      <c r="C393" s="1" t="n">
        <v>46127</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15003-2026</t>
        </is>
      </c>
      <c r="B394" s="1" t="n">
        <v>46104.60931712963</v>
      </c>
      <c r="C394" s="1" t="n">
        <v>46127</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14298-2026</t>
        </is>
      </c>
      <c r="B395" s="1" t="n">
        <v>46099</v>
      </c>
      <c r="C395" s="1" t="n">
        <v>46127</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8309-2026</t>
        </is>
      </c>
      <c r="B396" s="1" t="n">
        <v>46064.59081018518</v>
      </c>
      <c r="C396" s="1" t="n">
        <v>46127</v>
      </c>
      <c r="D396" t="inlineStr">
        <is>
          <t>UPPSALA LÄN</t>
        </is>
      </c>
      <c r="E396" t="inlineStr">
        <is>
          <t>ENKÖPING</t>
        </is>
      </c>
      <c r="G396" t="n">
        <v>1.9</v>
      </c>
      <c r="H396" t="n">
        <v>0</v>
      </c>
      <c r="I396" t="n">
        <v>0</v>
      </c>
      <c r="J396" t="n">
        <v>0</v>
      </c>
      <c r="K396" t="n">
        <v>0</v>
      </c>
      <c r="L396" t="n">
        <v>0</v>
      </c>
      <c r="M396" t="n">
        <v>0</v>
      </c>
      <c r="N396" t="n">
        <v>0</v>
      </c>
      <c r="O396" t="n">
        <v>0</v>
      </c>
      <c r="P396" t="n">
        <v>0</v>
      </c>
      <c r="Q396" t="n">
        <v>0</v>
      </c>
      <c r="R396" s="2" t="inlineStr"/>
    </row>
    <row r="397" ht="15" customHeight="1">
      <c r="A397" t="inlineStr">
        <is>
          <t>A 2162-2023</t>
        </is>
      </c>
      <c r="B397" s="1" t="n">
        <v>44941</v>
      </c>
      <c r="C397" s="1" t="n">
        <v>46127</v>
      </c>
      <c r="D397" t="inlineStr">
        <is>
          <t>UPPSALA LÄN</t>
        </is>
      </c>
      <c r="E397" t="inlineStr">
        <is>
          <t>ENKÖPING</t>
        </is>
      </c>
      <c r="G397" t="n">
        <v>2.4</v>
      </c>
      <c r="H397" t="n">
        <v>0</v>
      </c>
      <c r="I397" t="n">
        <v>0</v>
      </c>
      <c r="J397" t="n">
        <v>0</v>
      </c>
      <c r="K397" t="n">
        <v>0</v>
      </c>
      <c r="L397" t="n">
        <v>0</v>
      </c>
      <c r="M397" t="n">
        <v>0</v>
      </c>
      <c r="N397" t="n">
        <v>0</v>
      </c>
      <c r="O397" t="n">
        <v>0</v>
      </c>
      <c r="P397" t="n">
        <v>0</v>
      </c>
      <c r="Q397" t="n">
        <v>0</v>
      </c>
      <c r="R397" s="2" t="inlineStr"/>
    </row>
    <row r="398" ht="15" customHeight="1">
      <c r="A398" t="inlineStr">
        <is>
          <t>A 32081-2024</t>
        </is>
      </c>
      <c r="B398" s="1" t="n">
        <v>45511.34605324074</v>
      </c>
      <c r="C398" s="1" t="n">
        <v>46127</v>
      </c>
      <c r="D398" t="inlineStr">
        <is>
          <t>UPPSALA LÄN</t>
        </is>
      </c>
      <c r="E398" t="inlineStr">
        <is>
          <t>ENKÖPING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15547-2026</t>
        </is>
      </c>
      <c r="B399" s="1" t="n">
        <v>46106.52613425926</v>
      </c>
      <c r="C399" s="1" t="n">
        <v>46127</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2968-2025</t>
        </is>
      </c>
      <c r="B400" s="1" t="n">
        <v>45678</v>
      </c>
      <c r="C400" s="1" t="n">
        <v>46127</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49525-2021</t>
        </is>
      </c>
      <c r="B401" s="1" t="n">
        <v>44455</v>
      </c>
      <c r="C401" s="1" t="n">
        <v>46127</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6959-2025</t>
        </is>
      </c>
      <c r="B402" s="1" t="n">
        <v>45701.49315972222</v>
      </c>
      <c r="C402" s="1" t="n">
        <v>46127</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30437-2022</t>
        </is>
      </c>
      <c r="B403" s="1" t="n">
        <v>44761</v>
      </c>
      <c r="C403" s="1" t="n">
        <v>46127</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51011-2024</t>
        </is>
      </c>
      <c r="B404" s="1" t="n">
        <v>45603.39427083333</v>
      </c>
      <c r="C404" s="1" t="n">
        <v>46127</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26319-2022</t>
        </is>
      </c>
      <c r="B405" s="1" t="n">
        <v>44735</v>
      </c>
      <c r="C405" s="1" t="n">
        <v>46127</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29918-2023</t>
        </is>
      </c>
      <c r="B406" s="1" t="n">
        <v>45099</v>
      </c>
      <c r="C406" s="1" t="n">
        <v>46127</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9257-2026</t>
        </is>
      </c>
      <c r="B407" s="1" t="n">
        <v>46070.51166666667</v>
      </c>
      <c r="C407" s="1" t="n">
        <v>46127</v>
      </c>
      <c r="D407" t="inlineStr">
        <is>
          <t>UPPSALA LÄN</t>
        </is>
      </c>
      <c r="E407" t="inlineStr">
        <is>
          <t>ENKÖPING</t>
        </is>
      </c>
      <c r="G407" t="n">
        <v>2.6</v>
      </c>
      <c r="H407" t="n">
        <v>0</v>
      </c>
      <c r="I407" t="n">
        <v>0</v>
      </c>
      <c r="J407" t="n">
        <v>0</v>
      </c>
      <c r="K407" t="n">
        <v>0</v>
      </c>
      <c r="L407" t="n">
        <v>0</v>
      </c>
      <c r="M407" t="n">
        <v>0</v>
      </c>
      <c r="N407" t="n">
        <v>0</v>
      </c>
      <c r="O407" t="n">
        <v>0</v>
      </c>
      <c r="P407" t="n">
        <v>0</v>
      </c>
      <c r="Q407" t="n">
        <v>0</v>
      </c>
      <c r="R407" s="2" t="inlineStr"/>
    </row>
    <row r="408" ht="15" customHeight="1">
      <c r="A408" t="inlineStr">
        <is>
          <t>A 9474-2026</t>
        </is>
      </c>
      <c r="B408" s="1" t="n">
        <v>46071.52324074074</v>
      </c>
      <c r="C408" s="1" t="n">
        <v>46127</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24291-2024</t>
        </is>
      </c>
      <c r="B409" s="1" t="n">
        <v>45457.4584837963</v>
      </c>
      <c r="C409" s="1" t="n">
        <v>46127</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9467-2026</t>
        </is>
      </c>
      <c r="B410" s="1" t="n">
        <v>46071.50694444445</v>
      </c>
      <c r="C410" s="1" t="n">
        <v>46127</v>
      </c>
      <c r="D410" t="inlineStr">
        <is>
          <t>UPPSALA LÄN</t>
        </is>
      </c>
      <c r="E410" t="inlineStr">
        <is>
          <t>ENKÖPING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9469-2026</t>
        </is>
      </c>
      <c r="B411" s="1" t="n">
        <v>46071.51248842593</v>
      </c>
      <c r="C411" s="1" t="n">
        <v>46127</v>
      </c>
      <c r="D411" t="inlineStr">
        <is>
          <t>UPPSALA LÄN</t>
        </is>
      </c>
      <c r="E411" t="inlineStr">
        <is>
          <t>ENKÖPING</t>
        </is>
      </c>
      <c r="G411" t="n">
        <v>3</v>
      </c>
      <c r="H411" t="n">
        <v>0</v>
      </c>
      <c r="I411" t="n">
        <v>0</v>
      </c>
      <c r="J411" t="n">
        <v>0</v>
      </c>
      <c r="K411" t="n">
        <v>0</v>
      </c>
      <c r="L411" t="n">
        <v>0</v>
      </c>
      <c r="M411" t="n">
        <v>0</v>
      </c>
      <c r="N411" t="n">
        <v>0</v>
      </c>
      <c r="O411" t="n">
        <v>0</v>
      </c>
      <c r="P411" t="n">
        <v>0</v>
      </c>
      <c r="Q411" t="n">
        <v>0</v>
      </c>
      <c r="R411" s="2" t="inlineStr"/>
    </row>
    <row r="412" ht="15" customHeight="1">
      <c r="A412" t="inlineStr">
        <is>
          <t>A 9148-2026</t>
        </is>
      </c>
      <c r="B412" s="1" t="n">
        <v>46070.30946759259</v>
      </c>
      <c r="C412" s="1" t="n">
        <v>46127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2833-2025</t>
        </is>
      </c>
      <c r="B413" s="1" t="n">
        <v>45677.63206018518</v>
      </c>
      <c r="C413" s="1" t="n">
        <v>46127</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50006-2023</t>
        </is>
      </c>
      <c r="B414" s="1" t="n">
        <v>45215</v>
      </c>
      <c r="C414" s="1" t="n">
        <v>46127</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60125-2024</t>
        </is>
      </c>
      <c r="B415" s="1" t="n">
        <v>45642</v>
      </c>
      <c r="C415" s="1" t="n">
        <v>46127</v>
      </c>
      <c r="D415" t="inlineStr">
        <is>
          <t>UPPSALA LÄN</t>
        </is>
      </c>
      <c r="E415" t="inlineStr">
        <is>
          <t>ENKÖPING</t>
        </is>
      </c>
      <c r="G415" t="n">
        <v>2.1</v>
      </c>
      <c r="H415" t="n">
        <v>0</v>
      </c>
      <c r="I415" t="n">
        <v>0</v>
      </c>
      <c r="J415" t="n">
        <v>0</v>
      </c>
      <c r="K415" t="n">
        <v>0</v>
      </c>
      <c r="L415" t="n">
        <v>0</v>
      </c>
      <c r="M415" t="n">
        <v>0</v>
      </c>
      <c r="N415" t="n">
        <v>0</v>
      </c>
      <c r="O415" t="n">
        <v>0</v>
      </c>
      <c r="P415" t="n">
        <v>0</v>
      </c>
      <c r="Q415" t="n">
        <v>0</v>
      </c>
      <c r="R415" s="2" t="inlineStr"/>
    </row>
    <row r="416" ht="15" customHeight="1">
      <c r="A416" t="inlineStr">
        <is>
          <t>A 17418-2026</t>
        </is>
      </c>
      <c r="B416" s="1" t="n">
        <v>46120.3591087963</v>
      </c>
      <c r="C416" s="1" t="n">
        <v>46127</v>
      </c>
      <c r="D416" t="inlineStr">
        <is>
          <t>UPPSALA LÄN</t>
        </is>
      </c>
      <c r="E416" t="inlineStr">
        <is>
          <t>ENKÖPING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17419-2026</t>
        </is>
      </c>
      <c r="B417" s="1" t="n">
        <v>46120.36064814815</v>
      </c>
      <c r="C417" s="1" t="n">
        <v>46127</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56526-2022</t>
        </is>
      </c>
      <c r="B418" s="1" t="n">
        <v>44893</v>
      </c>
      <c r="C418" s="1" t="n">
        <v>46127</v>
      </c>
      <c r="D418" t="inlineStr">
        <is>
          <t>UPPSALA LÄN</t>
        </is>
      </c>
      <c r="E418" t="inlineStr">
        <is>
          <t>ENKÖPING</t>
        </is>
      </c>
      <c r="G418" t="n">
        <v>3.8</v>
      </c>
      <c r="H418" t="n">
        <v>0</v>
      </c>
      <c r="I418" t="n">
        <v>0</v>
      </c>
      <c r="J418" t="n">
        <v>0</v>
      </c>
      <c r="K418" t="n">
        <v>0</v>
      </c>
      <c r="L418" t="n">
        <v>0</v>
      </c>
      <c r="M418" t="n">
        <v>0</v>
      </c>
      <c r="N418" t="n">
        <v>0</v>
      </c>
      <c r="O418" t="n">
        <v>0</v>
      </c>
      <c r="P418" t="n">
        <v>0</v>
      </c>
      <c r="Q418" t="n">
        <v>0</v>
      </c>
      <c r="R418" s="2" t="inlineStr"/>
    </row>
    <row r="419" ht="15" customHeight="1">
      <c r="A419" t="inlineStr">
        <is>
          <t>A 39858-2024</t>
        </is>
      </c>
      <c r="B419" s="1" t="n">
        <v>45553</v>
      </c>
      <c r="C419" s="1" t="n">
        <v>46127</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60289-2022</t>
        </is>
      </c>
      <c r="B420" s="1" t="n">
        <v>44910.53026620371</v>
      </c>
      <c r="C420" s="1" t="n">
        <v>46127</v>
      </c>
      <c r="D420" t="inlineStr">
        <is>
          <t>UPPSALA LÄN</t>
        </is>
      </c>
      <c r="E420" t="inlineStr">
        <is>
          <t>ENKÖPING</t>
        </is>
      </c>
      <c r="G420" t="n">
        <v>3.2</v>
      </c>
      <c r="H420" t="n">
        <v>0</v>
      </c>
      <c r="I420" t="n">
        <v>0</v>
      </c>
      <c r="J420" t="n">
        <v>0</v>
      </c>
      <c r="K420" t="n">
        <v>0</v>
      </c>
      <c r="L420" t="n">
        <v>0</v>
      </c>
      <c r="M420" t="n">
        <v>0</v>
      </c>
      <c r="N420" t="n">
        <v>0</v>
      </c>
      <c r="O420" t="n">
        <v>0</v>
      </c>
      <c r="P420" t="n">
        <v>0</v>
      </c>
      <c r="Q420" t="n">
        <v>0</v>
      </c>
      <c r="R420" s="2" t="inlineStr"/>
    </row>
    <row r="421" ht="15" customHeight="1">
      <c r="A421" t="inlineStr">
        <is>
          <t>A 13110-2023</t>
        </is>
      </c>
      <c r="B421" s="1" t="n">
        <v>45001</v>
      </c>
      <c r="C421" s="1" t="n">
        <v>46127</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58384-2022</t>
        </is>
      </c>
      <c r="B422" s="1" t="n">
        <v>44901</v>
      </c>
      <c r="C422" s="1" t="n">
        <v>46127</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59602-2022</t>
        </is>
      </c>
      <c r="B423" s="1" t="n">
        <v>44907.72241898148</v>
      </c>
      <c r="C423" s="1" t="n">
        <v>46127</v>
      </c>
      <c r="D423" t="inlineStr">
        <is>
          <t>UPPSALA LÄN</t>
        </is>
      </c>
      <c r="E423" t="inlineStr">
        <is>
          <t>ENKÖPING</t>
        </is>
      </c>
      <c r="G423" t="n">
        <v>14.2</v>
      </c>
      <c r="H423" t="n">
        <v>0</v>
      </c>
      <c r="I423" t="n">
        <v>0</v>
      </c>
      <c r="J423" t="n">
        <v>0</v>
      </c>
      <c r="K423" t="n">
        <v>0</v>
      </c>
      <c r="L423" t="n">
        <v>0</v>
      </c>
      <c r="M423" t="n">
        <v>0</v>
      </c>
      <c r="N423" t="n">
        <v>0</v>
      </c>
      <c r="O423" t="n">
        <v>0</v>
      </c>
      <c r="P423" t="n">
        <v>0</v>
      </c>
      <c r="Q423" t="n">
        <v>0</v>
      </c>
      <c r="R423" s="2" t="inlineStr"/>
    </row>
    <row r="424" ht="15" customHeight="1">
      <c r="A424" t="inlineStr">
        <is>
          <t>A 31965-2021</t>
        </is>
      </c>
      <c r="B424" s="1" t="n">
        <v>44370.56901620371</v>
      </c>
      <c r="C424" s="1" t="n">
        <v>46127</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67984-2021</t>
        </is>
      </c>
      <c r="B425" s="1" t="n">
        <v>44525.70237268518</v>
      </c>
      <c r="C425" s="1" t="n">
        <v>46127</v>
      </c>
      <c r="D425" t="inlineStr">
        <is>
          <t>UPPSALA LÄN</t>
        </is>
      </c>
      <c r="E425" t="inlineStr">
        <is>
          <t>ENKÖPING</t>
        </is>
      </c>
      <c r="G425" t="n">
        <v>1.4</v>
      </c>
      <c r="H425" t="n">
        <v>0</v>
      </c>
      <c r="I425" t="n">
        <v>0</v>
      </c>
      <c r="J425" t="n">
        <v>0</v>
      </c>
      <c r="K425" t="n">
        <v>0</v>
      </c>
      <c r="L425" t="n">
        <v>0</v>
      </c>
      <c r="M425" t="n">
        <v>0</v>
      </c>
      <c r="N425" t="n">
        <v>0</v>
      </c>
      <c r="O425" t="n">
        <v>0</v>
      </c>
      <c r="P425" t="n">
        <v>0</v>
      </c>
      <c r="Q425" t="n">
        <v>0</v>
      </c>
      <c r="R425" s="2" t="inlineStr"/>
    </row>
    <row r="426" ht="15" customHeight="1">
      <c r="A426" t="inlineStr">
        <is>
          <t>A 33619-2022</t>
        </is>
      </c>
      <c r="B426" s="1" t="n">
        <v>44789</v>
      </c>
      <c r="C426" s="1" t="n">
        <v>46127</v>
      </c>
      <c r="D426" t="inlineStr">
        <is>
          <t>UPPSALA LÄN</t>
        </is>
      </c>
      <c r="E426" t="inlineStr">
        <is>
          <t>ENKÖPING</t>
        </is>
      </c>
      <c r="F426" t="inlineStr">
        <is>
          <t>Allmännings- och besparingsskogar</t>
        </is>
      </c>
      <c r="G426" t="n">
        <v>4.5</v>
      </c>
      <c r="H426" t="n">
        <v>0</v>
      </c>
      <c r="I426" t="n">
        <v>0</v>
      </c>
      <c r="J426" t="n">
        <v>0</v>
      </c>
      <c r="K426" t="n">
        <v>0</v>
      </c>
      <c r="L426" t="n">
        <v>0</v>
      </c>
      <c r="M426" t="n">
        <v>0</v>
      </c>
      <c r="N426" t="n">
        <v>0</v>
      </c>
      <c r="O426" t="n">
        <v>0</v>
      </c>
      <c r="P426" t="n">
        <v>0</v>
      </c>
      <c r="Q426" t="n">
        <v>0</v>
      </c>
      <c r="R426" s="2" t="inlineStr"/>
    </row>
    <row r="427" ht="15" customHeight="1">
      <c r="A427" t="inlineStr">
        <is>
          <t>A 10829-2024</t>
        </is>
      </c>
      <c r="B427" s="1" t="n">
        <v>45369</v>
      </c>
      <c r="C427" s="1" t="n">
        <v>46127</v>
      </c>
      <c r="D427" t="inlineStr">
        <is>
          <t>UPPSALA LÄN</t>
        </is>
      </c>
      <c r="E427" t="inlineStr">
        <is>
          <t>ENKÖPING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67982-2021</t>
        </is>
      </c>
      <c r="B428" s="1" t="n">
        <v>44525</v>
      </c>
      <c r="C428" s="1" t="n">
        <v>46127</v>
      </c>
      <c r="D428" t="inlineStr">
        <is>
          <t>UPPSALA LÄN</t>
        </is>
      </c>
      <c r="E428" t="inlineStr">
        <is>
          <t>ENKÖPING</t>
        </is>
      </c>
      <c r="G428" t="n">
        <v>1.7</v>
      </c>
      <c r="H428" t="n">
        <v>0</v>
      </c>
      <c r="I428" t="n">
        <v>0</v>
      </c>
      <c r="J428" t="n">
        <v>0</v>
      </c>
      <c r="K428" t="n">
        <v>0</v>
      </c>
      <c r="L428" t="n">
        <v>0</v>
      </c>
      <c r="M428" t="n">
        <v>0</v>
      </c>
      <c r="N428" t="n">
        <v>0</v>
      </c>
      <c r="O428" t="n">
        <v>0</v>
      </c>
      <c r="P428" t="n">
        <v>0</v>
      </c>
      <c r="Q428" t="n">
        <v>0</v>
      </c>
      <c r="R428" s="2" t="inlineStr"/>
    </row>
    <row r="429" ht="15" customHeight="1">
      <c r="A429" t="inlineStr">
        <is>
          <t>A 51034-2024</t>
        </is>
      </c>
      <c r="B429" s="1" t="n">
        <v>45603.4262037037</v>
      </c>
      <c r="C429" s="1" t="n">
        <v>46127</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51036-2024</t>
        </is>
      </c>
      <c r="B430" s="1" t="n">
        <v>45603.42839120371</v>
      </c>
      <c r="C430" s="1" t="n">
        <v>46127</v>
      </c>
      <c r="D430" t="inlineStr">
        <is>
          <t>UPPSALA LÄN</t>
        </is>
      </c>
      <c r="E430" t="inlineStr">
        <is>
          <t>ENKÖPING</t>
        </is>
      </c>
      <c r="G430" t="n">
        <v>2.6</v>
      </c>
      <c r="H430" t="n">
        <v>0</v>
      </c>
      <c r="I430" t="n">
        <v>0</v>
      </c>
      <c r="J430" t="n">
        <v>0</v>
      </c>
      <c r="K430" t="n">
        <v>0</v>
      </c>
      <c r="L430" t="n">
        <v>0</v>
      </c>
      <c r="M430" t="n">
        <v>0</v>
      </c>
      <c r="N430" t="n">
        <v>0</v>
      </c>
      <c r="O430" t="n">
        <v>0</v>
      </c>
      <c r="P430" t="n">
        <v>0</v>
      </c>
      <c r="Q430" t="n">
        <v>0</v>
      </c>
      <c r="R430" s="2" t="inlineStr"/>
    </row>
    <row r="431" ht="15" customHeight="1">
      <c r="A431" t="inlineStr">
        <is>
          <t>A 55876-2024</t>
        </is>
      </c>
      <c r="B431" s="1" t="n">
        <v>45623.5546412037</v>
      </c>
      <c r="C431" s="1" t="n">
        <v>46127</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11005-2023</t>
        </is>
      </c>
      <c r="B432" s="1" t="n">
        <v>44991</v>
      </c>
      <c r="C432" s="1" t="n">
        <v>46127</v>
      </c>
      <c r="D432" t="inlineStr">
        <is>
          <t>UPPSALA LÄN</t>
        </is>
      </c>
      <c r="E432" t="inlineStr">
        <is>
          <t>ENKÖPING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57142-2021</t>
        </is>
      </c>
      <c r="B433" s="1" t="n">
        <v>44482</v>
      </c>
      <c r="C433" s="1" t="n">
        <v>46127</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57147-2021</t>
        </is>
      </c>
      <c r="B434" s="1" t="n">
        <v>44482</v>
      </c>
      <c r="C434" s="1" t="n">
        <v>46127</v>
      </c>
      <c r="D434" t="inlineStr">
        <is>
          <t>UPPSALA LÄN</t>
        </is>
      </c>
      <c r="E434" t="inlineStr">
        <is>
          <t>ENKÖPING</t>
        </is>
      </c>
      <c r="G434" t="n">
        <v>5.7</v>
      </c>
      <c r="H434" t="n">
        <v>0</v>
      </c>
      <c r="I434" t="n">
        <v>0</v>
      </c>
      <c r="J434" t="n">
        <v>0</v>
      </c>
      <c r="K434" t="n">
        <v>0</v>
      </c>
      <c r="L434" t="n">
        <v>0</v>
      </c>
      <c r="M434" t="n">
        <v>0</v>
      </c>
      <c r="N434" t="n">
        <v>0</v>
      </c>
      <c r="O434" t="n">
        <v>0</v>
      </c>
      <c r="P434" t="n">
        <v>0</v>
      </c>
      <c r="Q434" t="n">
        <v>0</v>
      </c>
      <c r="R434" s="2" t="inlineStr"/>
    </row>
    <row r="435" ht="15" customHeight="1">
      <c r="A435" t="inlineStr">
        <is>
          <t>A 7868-2024</t>
        </is>
      </c>
      <c r="B435" s="1" t="n">
        <v>45350.33020833333</v>
      </c>
      <c r="C435" s="1" t="n">
        <v>46127</v>
      </c>
      <c r="D435" t="inlineStr">
        <is>
          <t>UPPSALA LÄN</t>
        </is>
      </c>
      <c r="E435" t="inlineStr">
        <is>
          <t>ENKÖPING</t>
        </is>
      </c>
      <c r="G435" t="n">
        <v>0.3</v>
      </c>
      <c r="H435" t="n">
        <v>0</v>
      </c>
      <c r="I435" t="n">
        <v>0</v>
      </c>
      <c r="J435" t="n">
        <v>0</v>
      </c>
      <c r="K435" t="n">
        <v>0</v>
      </c>
      <c r="L435" t="n">
        <v>0</v>
      </c>
      <c r="M435" t="n">
        <v>0</v>
      </c>
      <c r="N435" t="n">
        <v>0</v>
      </c>
      <c r="O435" t="n">
        <v>0</v>
      </c>
      <c r="P435" t="n">
        <v>0</v>
      </c>
      <c r="Q435" t="n">
        <v>0</v>
      </c>
      <c r="R435" s="2" t="inlineStr"/>
    </row>
    <row r="436" ht="15" customHeight="1">
      <c r="A436" t="inlineStr">
        <is>
          <t>A 7870-2024</t>
        </is>
      </c>
      <c r="B436" s="1" t="n">
        <v>45350.33349537037</v>
      </c>
      <c r="C436" s="1" t="n">
        <v>46127</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9231-2023</t>
        </is>
      </c>
      <c r="B437" s="1" t="n">
        <v>44980</v>
      </c>
      <c r="C437" s="1" t="n">
        <v>46127</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16916-2022</t>
        </is>
      </c>
      <c r="B438" s="1" t="n">
        <v>44676</v>
      </c>
      <c r="C438" s="1" t="n">
        <v>46127</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30514-2021</t>
        </is>
      </c>
      <c r="B439" s="1" t="n">
        <v>44364</v>
      </c>
      <c r="C439" s="1" t="n">
        <v>46127</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31604-2023</t>
        </is>
      </c>
      <c r="B440" s="1" t="n">
        <v>45117.50368055556</v>
      </c>
      <c r="C440" s="1" t="n">
        <v>46127</v>
      </c>
      <c r="D440" t="inlineStr">
        <is>
          <t>UPPSALA LÄN</t>
        </is>
      </c>
      <c r="E440" t="inlineStr">
        <is>
          <t>ENKÖPING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25598-2021</t>
        </is>
      </c>
      <c r="B441" s="1" t="n">
        <v>44343.4558912037</v>
      </c>
      <c r="C441" s="1" t="n">
        <v>46127</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15162-2025</t>
        </is>
      </c>
      <c r="B442" s="1" t="n">
        <v>45744</v>
      </c>
      <c r="C442" s="1" t="n">
        <v>46127</v>
      </c>
      <c r="D442" t="inlineStr">
        <is>
          <t>UPPSALA LÄN</t>
        </is>
      </c>
      <c r="E442" t="inlineStr">
        <is>
          <t>ENKÖPING</t>
        </is>
      </c>
      <c r="G442" t="n">
        <v>4.2</v>
      </c>
      <c r="H442" t="n">
        <v>0</v>
      </c>
      <c r="I442" t="n">
        <v>0</v>
      </c>
      <c r="J442" t="n">
        <v>0</v>
      </c>
      <c r="K442" t="n">
        <v>0</v>
      </c>
      <c r="L442" t="n">
        <v>0</v>
      </c>
      <c r="M442" t="n">
        <v>0</v>
      </c>
      <c r="N442" t="n">
        <v>0</v>
      </c>
      <c r="O442" t="n">
        <v>0</v>
      </c>
      <c r="P442" t="n">
        <v>0</v>
      </c>
      <c r="Q442" t="n">
        <v>0</v>
      </c>
      <c r="R442" s="2" t="inlineStr"/>
    </row>
    <row r="443" ht="15" customHeight="1">
      <c r="A443" t="inlineStr">
        <is>
          <t>A 52388-2024</t>
        </is>
      </c>
      <c r="B443" s="1" t="n">
        <v>45609.42939814815</v>
      </c>
      <c r="C443" s="1" t="n">
        <v>46127</v>
      </c>
      <c r="D443" t="inlineStr">
        <is>
          <t>UPPSALA LÄN</t>
        </is>
      </c>
      <c r="E443" t="inlineStr">
        <is>
          <t>ENKÖPING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53607-2023</t>
        </is>
      </c>
      <c r="B444" s="1" t="n">
        <v>45230</v>
      </c>
      <c r="C444" s="1" t="n">
        <v>46127</v>
      </c>
      <c r="D444" t="inlineStr">
        <is>
          <t>UPPSALA LÄN</t>
        </is>
      </c>
      <c r="E444" t="inlineStr">
        <is>
          <t>ENKÖPING</t>
        </is>
      </c>
      <c r="F444" t="inlineStr">
        <is>
          <t>Allmännings- och besparingsskogar</t>
        </is>
      </c>
      <c r="G444" t="n">
        <v>6.3</v>
      </c>
      <c r="H444" t="n">
        <v>0</v>
      </c>
      <c r="I444" t="n">
        <v>0</v>
      </c>
      <c r="J444" t="n">
        <v>0</v>
      </c>
      <c r="K444" t="n">
        <v>0</v>
      </c>
      <c r="L444" t="n">
        <v>0</v>
      </c>
      <c r="M444" t="n">
        <v>0</v>
      </c>
      <c r="N444" t="n">
        <v>0</v>
      </c>
      <c r="O444" t="n">
        <v>0</v>
      </c>
      <c r="P444" t="n">
        <v>0</v>
      </c>
      <c r="Q444" t="n">
        <v>0</v>
      </c>
      <c r="R444" s="2" t="inlineStr"/>
    </row>
    <row r="445" ht="15" customHeight="1">
      <c r="A445" t="inlineStr">
        <is>
          <t>A 40202-2024</t>
        </is>
      </c>
      <c r="B445" s="1" t="n">
        <v>45554</v>
      </c>
      <c r="C445" s="1" t="n">
        <v>46127</v>
      </c>
      <c r="D445" t="inlineStr">
        <is>
          <t>UPPSALA LÄN</t>
        </is>
      </c>
      <c r="E445" t="inlineStr">
        <is>
          <t>ENKÖPING</t>
        </is>
      </c>
      <c r="G445" t="n">
        <v>6.2</v>
      </c>
      <c r="H445" t="n">
        <v>0</v>
      </c>
      <c r="I445" t="n">
        <v>0</v>
      </c>
      <c r="J445" t="n">
        <v>0</v>
      </c>
      <c r="K445" t="n">
        <v>0</v>
      </c>
      <c r="L445" t="n">
        <v>0</v>
      </c>
      <c r="M445" t="n">
        <v>0</v>
      </c>
      <c r="N445" t="n">
        <v>0</v>
      </c>
      <c r="O445" t="n">
        <v>0</v>
      </c>
      <c r="P445" t="n">
        <v>0</v>
      </c>
      <c r="Q445" t="n">
        <v>0</v>
      </c>
      <c r="R445" s="2" t="inlineStr"/>
    </row>
    <row r="446" ht="15" customHeight="1">
      <c r="A446" t="inlineStr">
        <is>
          <t>A 57152-2021</t>
        </is>
      </c>
      <c r="B446" s="1" t="n">
        <v>44482</v>
      </c>
      <c r="C446" s="1" t="n">
        <v>46127</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34124-2021</t>
        </is>
      </c>
      <c r="B447" s="1" t="n">
        <v>44379</v>
      </c>
      <c r="C447" s="1" t="n">
        <v>46127</v>
      </c>
      <c r="D447" t="inlineStr">
        <is>
          <t>UPPSALA LÄN</t>
        </is>
      </c>
      <c r="E447" t="inlineStr">
        <is>
          <t>ENKÖPING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28518-2024</t>
        </is>
      </c>
      <c r="B448" s="1" t="n">
        <v>45477</v>
      </c>
      <c r="C448" s="1" t="n">
        <v>46127</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52299-2023</t>
        </is>
      </c>
      <c r="B449" s="1" t="n">
        <v>45224.61636574074</v>
      </c>
      <c r="C449" s="1" t="n">
        <v>46127</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30634-2022</t>
        </is>
      </c>
      <c r="B450" s="1" t="n">
        <v>44763.45711805556</v>
      </c>
      <c r="C450" s="1" t="n">
        <v>46127</v>
      </c>
      <c r="D450" t="inlineStr">
        <is>
          <t>UPPSALA LÄN</t>
        </is>
      </c>
      <c r="E450" t="inlineStr">
        <is>
          <t>ENKÖPING</t>
        </is>
      </c>
      <c r="G450" t="n">
        <v>1.2</v>
      </c>
      <c r="H450" t="n">
        <v>0</v>
      </c>
      <c r="I450" t="n">
        <v>0</v>
      </c>
      <c r="J450" t="n">
        <v>0</v>
      </c>
      <c r="K450" t="n">
        <v>0</v>
      </c>
      <c r="L450" t="n">
        <v>0</v>
      </c>
      <c r="M450" t="n">
        <v>0</v>
      </c>
      <c r="N450" t="n">
        <v>0</v>
      </c>
      <c r="O450" t="n">
        <v>0</v>
      </c>
      <c r="P450" t="n">
        <v>0</v>
      </c>
      <c r="Q450" t="n">
        <v>0</v>
      </c>
      <c r="R450" s="2" t="inlineStr"/>
    </row>
    <row r="451" ht="15" customHeight="1">
      <c r="A451" t="inlineStr">
        <is>
          <t>A 18259-2025</t>
        </is>
      </c>
      <c r="B451" s="1" t="n">
        <v>45762</v>
      </c>
      <c r="C451" s="1" t="n">
        <v>46127</v>
      </c>
      <c r="D451" t="inlineStr">
        <is>
          <t>UPPSALA LÄN</t>
        </is>
      </c>
      <c r="E451" t="inlineStr">
        <is>
          <t>ENKÖPING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14004-2023</t>
        </is>
      </c>
      <c r="B452" s="1" t="n">
        <v>45008</v>
      </c>
      <c r="C452" s="1" t="n">
        <v>46127</v>
      </c>
      <c r="D452" t="inlineStr">
        <is>
          <t>UPPSALA LÄN</t>
        </is>
      </c>
      <c r="E452" t="inlineStr">
        <is>
          <t>ENKÖPING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52005-2024</t>
        </is>
      </c>
      <c r="B453" s="1" t="n">
        <v>45607.7627662037</v>
      </c>
      <c r="C453" s="1" t="n">
        <v>46127</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1960-2022</t>
        </is>
      </c>
      <c r="B454" s="1" t="n">
        <v>44575</v>
      </c>
      <c r="C454" s="1" t="n">
        <v>46127</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49627-2024</t>
        </is>
      </c>
      <c r="B455" s="1" t="n">
        <v>45596.59140046296</v>
      </c>
      <c r="C455" s="1" t="n">
        <v>46127</v>
      </c>
      <c r="D455" t="inlineStr">
        <is>
          <t>UPPSALA LÄN</t>
        </is>
      </c>
      <c r="E455" t="inlineStr">
        <is>
          <t>ENKÖPING</t>
        </is>
      </c>
      <c r="G455" t="n">
        <v>0.4</v>
      </c>
      <c r="H455" t="n">
        <v>0</v>
      </c>
      <c r="I455" t="n">
        <v>0</v>
      </c>
      <c r="J455" t="n">
        <v>0</v>
      </c>
      <c r="K455" t="n">
        <v>0</v>
      </c>
      <c r="L455" t="n">
        <v>0</v>
      </c>
      <c r="M455" t="n">
        <v>0</v>
      </c>
      <c r="N455" t="n">
        <v>0</v>
      </c>
      <c r="O455" t="n">
        <v>0</v>
      </c>
      <c r="P455" t="n">
        <v>0</v>
      </c>
      <c r="Q455" t="n">
        <v>0</v>
      </c>
      <c r="R455" s="2" t="inlineStr"/>
    </row>
    <row r="456" ht="15" customHeight="1">
      <c r="A456" t="inlineStr">
        <is>
          <t>A 57998-2024</t>
        </is>
      </c>
      <c r="B456" s="1" t="n">
        <v>45631</v>
      </c>
      <c r="C456" s="1" t="n">
        <v>46127</v>
      </c>
      <c r="D456" t="inlineStr">
        <is>
          <t>UPPSALA LÄN</t>
        </is>
      </c>
      <c r="E456" t="inlineStr">
        <is>
          <t>ENKÖPING</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9667-2024</t>
        </is>
      </c>
      <c r="B457" s="1" t="n">
        <v>45362.45130787037</v>
      </c>
      <c r="C457" s="1" t="n">
        <v>46127</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35645-2021</t>
        </is>
      </c>
      <c r="B458" s="1" t="n">
        <v>44386.42</v>
      </c>
      <c r="C458" s="1" t="n">
        <v>46127</v>
      </c>
      <c r="D458" t="inlineStr">
        <is>
          <t>UPPSALA LÄN</t>
        </is>
      </c>
      <c r="E458" t="inlineStr">
        <is>
          <t>ENKÖPING</t>
        </is>
      </c>
      <c r="G458" t="n">
        <v>2.7</v>
      </c>
      <c r="H458" t="n">
        <v>0</v>
      </c>
      <c r="I458" t="n">
        <v>0</v>
      </c>
      <c r="J458" t="n">
        <v>0</v>
      </c>
      <c r="K458" t="n">
        <v>0</v>
      </c>
      <c r="L458" t="n">
        <v>0</v>
      </c>
      <c r="M458" t="n">
        <v>0</v>
      </c>
      <c r="N458" t="n">
        <v>0</v>
      </c>
      <c r="O458" t="n">
        <v>0</v>
      </c>
      <c r="P458" t="n">
        <v>0</v>
      </c>
      <c r="Q458" t="n">
        <v>0</v>
      </c>
      <c r="R458" s="2" t="inlineStr"/>
    </row>
    <row r="459" ht="15" customHeight="1">
      <c r="A459" t="inlineStr">
        <is>
          <t>A 15711-2025</t>
        </is>
      </c>
      <c r="B459" s="1" t="n">
        <v>45748</v>
      </c>
      <c r="C459" s="1" t="n">
        <v>46127</v>
      </c>
      <c r="D459" t="inlineStr">
        <is>
          <t>UPPSALA LÄN</t>
        </is>
      </c>
      <c r="E459" t="inlineStr">
        <is>
          <t>ENKÖPING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28318-2024</t>
        </is>
      </c>
      <c r="B460" s="1" t="n">
        <v>45477</v>
      </c>
      <c r="C460" s="1" t="n">
        <v>46127</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69344-2021</t>
        </is>
      </c>
      <c r="B461" s="1" t="n">
        <v>44531</v>
      </c>
      <c r="C461" s="1" t="n">
        <v>46127</v>
      </c>
      <c r="D461" t="inlineStr">
        <is>
          <t>UPPSALA LÄN</t>
        </is>
      </c>
      <c r="E461" t="inlineStr">
        <is>
          <t>ENKÖPING</t>
        </is>
      </c>
      <c r="G461" t="n">
        <v>2.9</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46127</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46103-2023</t>
        </is>
      </c>
      <c r="B463" s="1" t="n">
        <v>45190</v>
      </c>
      <c r="C463" s="1" t="n">
        <v>46127</v>
      </c>
      <c r="D463" t="inlineStr">
        <is>
          <t>UPPSALA LÄN</t>
        </is>
      </c>
      <c r="E463" t="inlineStr">
        <is>
          <t>ENKÖPING</t>
        </is>
      </c>
      <c r="G463" t="n">
        <v>4.6</v>
      </c>
      <c r="H463" t="n">
        <v>0</v>
      </c>
      <c r="I463" t="n">
        <v>0</v>
      </c>
      <c r="J463" t="n">
        <v>0</v>
      </c>
      <c r="K463" t="n">
        <v>0</v>
      </c>
      <c r="L463" t="n">
        <v>0</v>
      </c>
      <c r="M463" t="n">
        <v>0</v>
      </c>
      <c r="N463" t="n">
        <v>0</v>
      </c>
      <c r="O463" t="n">
        <v>0</v>
      </c>
      <c r="P463" t="n">
        <v>0</v>
      </c>
      <c r="Q463" t="n">
        <v>0</v>
      </c>
      <c r="R463" s="2" t="inlineStr"/>
    </row>
    <row r="464" ht="15" customHeight="1">
      <c r="A464" t="inlineStr">
        <is>
          <t>A 41737-2022</t>
        </is>
      </c>
      <c r="B464" s="1" t="n">
        <v>44827.63826388889</v>
      </c>
      <c r="C464" s="1" t="n">
        <v>46127</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8137-2025</t>
        </is>
      </c>
      <c r="B465" s="1" t="n">
        <v>45707.8561574074</v>
      </c>
      <c r="C465" s="1" t="n">
        <v>46127</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23301-2024</t>
        </is>
      </c>
      <c r="B466" s="1" t="n">
        <v>45453.4396412037</v>
      </c>
      <c r="C466" s="1" t="n">
        <v>46127</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52380-2024</t>
        </is>
      </c>
      <c r="B467" s="1" t="n">
        <v>45609</v>
      </c>
      <c r="C467" s="1" t="n">
        <v>46127</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30098-2024</t>
        </is>
      </c>
      <c r="B468" s="1" t="n">
        <v>45489.41609953704</v>
      </c>
      <c r="C468" s="1" t="n">
        <v>46127</v>
      </c>
      <c r="D468" t="inlineStr">
        <is>
          <t>UPPSALA LÄN</t>
        </is>
      </c>
      <c r="E468" t="inlineStr">
        <is>
          <t>ENKÖPING</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34735-2023</t>
        </is>
      </c>
      <c r="B469" s="1" t="n">
        <v>45139</v>
      </c>
      <c r="C469" s="1" t="n">
        <v>46127</v>
      </c>
      <c r="D469" t="inlineStr">
        <is>
          <t>UPPSALA LÄN</t>
        </is>
      </c>
      <c r="E469" t="inlineStr">
        <is>
          <t>ENKÖPING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57328-2024</t>
        </is>
      </c>
      <c r="B470" s="1" t="n">
        <v>45629.62798611111</v>
      </c>
      <c r="C470" s="1" t="n">
        <v>46127</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29482-2022</t>
        </is>
      </c>
      <c r="B471" s="1" t="n">
        <v>44753.57703703704</v>
      </c>
      <c r="C471" s="1" t="n">
        <v>46127</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29483-2022</t>
        </is>
      </c>
      <c r="B472" s="1" t="n">
        <v>44753.57829861111</v>
      </c>
      <c r="C472" s="1" t="n">
        <v>46127</v>
      </c>
      <c r="D472" t="inlineStr">
        <is>
          <t>UPPSALA LÄN</t>
        </is>
      </c>
      <c r="E472" t="inlineStr">
        <is>
          <t>ENKÖPING</t>
        </is>
      </c>
      <c r="G472" t="n">
        <v>3.6</v>
      </c>
      <c r="H472" t="n">
        <v>0</v>
      </c>
      <c r="I472" t="n">
        <v>0</v>
      </c>
      <c r="J472" t="n">
        <v>0</v>
      </c>
      <c r="K472" t="n">
        <v>0</v>
      </c>
      <c r="L472" t="n">
        <v>0</v>
      </c>
      <c r="M472" t="n">
        <v>0</v>
      </c>
      <c r="N472" t="n">
        <v>0</v>
      </c>
      <c r="O472" t="n">
        <v>0</v>
      </c>
      <c r="P472" t="n">
        <v>0</v>
      </c>
      <c r="Q472" t="n">
        <v>0</v>
      </c>
      <c r="R472" s="2" t="inlineStr"/>
    </row>
    <row r="473" ht="15" customHeight="1">
      <c r="A473" t="inlineStr">
        <is>
          <t>A 44232-2022</t>
        </is>
      </c>
      <c r="B473" s="1" t="n">
        <v>44839</v>
      </c>
      <c r="C473" s="1" t="n">
        <v>46127</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61106-2022</t>
        </is>
      </c>
      <c r="B474" s="1" t="n">
        <v>44915.4128587963</v>
      </c>
      <c r="C474" s="1" t="n">
        <v>46127</v>
      </c>
      <c r="D474" t="inlineStr">
        <is>
          <t>UPPSALA LÄN</t>
        </is>
      </c>
      <c r="E474" t="inlineStr">
        <is>
          <t>ENKÖPING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39624-2023</t>
        </is>
      </c>
      <c r="B475" s="1" t="n">
        <v>45164</v>
      </c>
      <c r="C475" s="1" t="n">
        <v>46127</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20184-2023</t>
        </is>
      </c>
      <c r="B476" s="1" t="n">
        <v>45055.5670949074</v>
      </c>
      <c r="C476" s="1" t="n">
        <v>46127</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8152-2022</t>
        </is>
      </c>
      <c r="B477" s="1" t="n">
        <v>44609</v>
      </c>
      <c r="C477" s="1" t="n">
        <v>46127</v>
      </c>
      <c r="D477" t="inlineStr">
        <is>
          <t>UPPSALA LÄN</t>
        </is>
      </c>
      <c r="E477" t="inlineStr">
        <is>
          <t>ENKÖPING</t>
        </is>
      </c>
      <c r="F477" t="inlineStr">
        <is>
          <t>Kyrkan</t>
        </is>
      </c>
      <c r="G477" t="n">
        <v>1.3</v>
      </c>
      <c r="H477" t="n">
        <v>0</v>
      </c>
      <c r="I477" t="n">
        <v>0</v>
      </c>
      <c r="J477" t="n">
        <v>0</v>
      </c>
      <c r="K477" t="n">
        <v>0</v>
      </c>
      <c r="L477" t="n">
        <v>0</v>
      </c>
      <c r="M477" t="n">
        <v>0</v>
      </c>
      <c r="N477" t="n">
        <v>0</v>
      </c>
      <c r="O477" t="n">
        <v>0</v>
      </c>
      <c r="P477" t="n">
        <v>0</v>
      </c>
      <c r="Q477" t="n">
        <v>0</v>
      </c>
      <c r="R477" s="2" t="inlineStr"/>
    </row>
    <row r="478" ht="15" customHeight="1">
      <c r="A478" t="inlineStr">
        <is>
          <t>A 40223-2024</t>
        </is>
      </c>
      <c r="B478" s="1" t="n">
        <v>45554</v>
      </c>
      <c r="C478" s="1" t="n">
        <v>46127</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37035-2023</t>
        </is>
      </c>
      <c r="B479" s="1" t="n">
        <v>45155</v>
      </c>
      <c r="C479" s="1" t="n">
        <v>46127</v>
      </c>
      <c r="D479" t="inlineStr">
        <is>
          <t>UPPSALA LÄN</t>
        </is>
      </c>
      <c r="E479" t="inlineStr">
        <is>
          <t>ENKÖPING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52889-2022</t>
        </is>
      </c>
      <c r="B480" s="1" t="n">
        <v>44875</v>
      </c>
      <c r="C480" s="1" t="n">
        <v>46127</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51030-2024</t>
        </is>
      </c>
      <c r="B481" s="1" t="n">
        <v>45603</v>
      </c>
      <c r="C481" s="1" t="n">
        <v>46127</v>
      </c>
      <c r="D481" t="inlineStr">
        <is>
          <t>UPPSALA LÄN</t>
        </is>
      </c>
      <c r="E481" t="inlineStr">
        <is>
          <t>ENKÖPING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26292-2022</t>
        </is>
      </c>
      <c r="B482" s="1" t="n">
        <v>44735</v>
      </c>
      <c r="C482" s="1" t="n">
        <v>46127</v>
      </c>
      <c r="D482" t="inlineStr">
        <is>
          <t>UPPSALA LÄN</t>
        </is>
      </c>
      <c r="E482" t="inlineStr">
        <is>
          <t>ENKÖPING</t>
        </is>
      </c>
      <c r="F482" t="inlineStr">
        <is>
          <t>Kyrkan</t>
        </is>
      </c>
      <c r="G482" t="n">
        <v>4.6</v>
      </c>
      <c r="H482" t="n">
        <v>0</v>
      </c>
      <c r="I482" t="n">
        <v>0</v>
      </c>
      <c r="J482" t="n">
        <v>0</v>
      </c>
      <c r="K482" t="n">
        <v>0</v>
      </c>
      <c r="L482" t="n">
        <v>0</v>
      </c>
      <c r="M482" t="n">
        <v>0</v>
      </c>
      <c r="N482" t="n">
        <v>0</v>
      </c>
      <c r="O482" t="n">
        <v>0</v>
      </c>
      <c r="P482" t="n">
        <v>0</v>
      </c>
      <c r="Q482" t="n">
        <v>0</v>
      </c>
      <c r="R482" s="2" t="inlineStr"/>
    </row>
    <row r="483" ht="15" customHeight="1">
      <c r="A483" t="inlineStr">
        <is>
          <t>A 4044-2024</t>
        </is>
      </c>
      <c r="B483" s="1" t="n">
        <v>45323.45954861111</v>
      </c>
      <c r="C483" s="1" t="n">
        <v>46127</v>
      </c>
      <c r="D483" t="inlineStr">
        <is>
          <t>UPPSALA LÄN</t>
        </is>
      </c>
      <c r="E483" t="inlineStr">
        <is>
          <t>ENKÖPING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33349-2024</t>
        </is>
      </c>
      <c r="B484" s="1" t="n">
        <v>45519</v>
      </c>
      <c r="C484" s="1" t="n">
        <v>46127</v>
      </c>
      <c r="D484" t="inlineStr">
        <is>
          <t>UPPSALA LÄN</t>
        </is>
      </c>
      <c r="E484" t="inlineStr">
        <is>
          <t>ENKÖPING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22912-2024</t>
        </is>
      </c>
      <c r="B485" s="1" t="n">
        <v>45448.73118055556</v>
      </c>
      <c r="C485" s="1" t="n">
        <v>46127</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21612-2023</t>
        </is>
      </c>
      <c r="B486" s="1" t="n">
        <v>45063</v>
      </c>
      <c r="C486" s="1" t="n">
        <v>46127</v>
      </c>
      <c r="D486" t="inlineStr">
        <is>
          <t>UPPSALA LÄN</t>
        </is>
      </c>
      <c r="E486" t="inlineStr">
        <is>
          <t>ENKÖPING</t>
        </is>
      </c>
      <c r="F486" t="inlineStr">
        <is>
          <t>Allmännings- och besparingsskogar</t>
        </is>
      </c>
      <c r="G486" t="n">
        <v>1</v>
      </c>
      <c r="H486" t="n">
        <v>0</v>
      </c>
      <c r="I486" t="n">
        <v>0</v>
      </c>
      <c r="J486" t="n">
        <v>0</v>
      </c>
      <c r="K486" t="n">
        <v>0</v>
      </c>
      <c r="L486" t="n">
        <v>0</v>
      </c>
      <c r="M486" t="n">
        <v>0</v>
      </c>
      <c r="N486" t="n">
        <v>0</v>
      </c>
      <c r="O486" t="n">
        <v>0</v>
      </c>
      <c r="P486" t="n">
        <v>0</v>
      </c>
      <c r="Q486" t="n">
        <v>0</v>
      </c>
      <c r="R486" s="2" t="inlineStr"/>
    </row>
    <row r="487" ht="15" customHeight="1">
      <c r="A487" t="inlineStr">
        <is>
          <t>A 14243-2025</t>
        </is>
      </c>
      <c r="B487" s="1" t="n">
        <v>45740.61288194444</v>
      </c>
      <c r="C487" s="1" t="n">
        <v>46127</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33343-2024</t>
        </is>
      </c>
      <c r="B488" s="1" t="n">
        <v>45519</v>
      </c>
      <c r="C488" s="1" t="n">
        <v>46127</v>
      </c>
      <c r="D488" t="inlineStr">
        <is>
          <t>UPPSALA LÄN</t>
        </is>
      </c>
      <c r="E488" t="inlineStr">
        <is>
          <t>ENKÖPING</t>
        </is>
      </c>
      <c r="G488" t="n">
        <v>2</v>
      </c>
      <c r="H488" t="n">
        <v>0</v>
      </c>
      <c r="I488" t="n">
        <v>0</v>
      </c>
      <c r="J488" t="n">
        <v>0</v>
      </c>
      <c r="K488" t="n">
        <v>0</v>
      </c>
      <c r="L488" t="n">
        <v>0</v>
      </c>
      <c r="M488" t="n">
        <v>0</v>
      </c>
      <c r="N488" t="n">
        <v>0</v>
      </c>
      <c r="O488" t="n">
        <v>0</v>
      </c>
      <c r="P488" t="n">
        <v>0</v>
      </c>
      <c r="Q488" t="n">
        <v>0</v>
      </c>
      <c r="R488" s="2" t="inlineStr"/>
    </row>
    <row r="489" ht="15" customHeight="1">
      <c r="A489" t="inlineStr">
        <is>
          <t>A 18302-2025</t>
        </is>
      </c>
      <c r="B489" s="1" t="n">
        <v>45762</v>
      </c>
      <c r="C489" s="1" t="n">
        <v>46127</v>
      </c>
      <c r="D489" t="inlineStr">
        <is>
          <t>UPPSALA LÄN</t>
        </is>
      </c>
      <c r="E489" t="inlineStr">
        <is>
          <t>ENKÖPING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28243-2023</t>
        </is>
      </c>
      <c r="B490" s="1" t="n">
        <v>45099.58885416666</v>
      </c>
      <c r="C490" s="1" t="n">
        <v>46127</v>
      </c>
      <c r="D490" t="inlineStr">
        <is>
          <t>UPPSALA LÄN</t>
        </is>
      </c>
      <c r="E490" t="inlineStr">
        <is>
          <t>ENKÖPING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3235-2025</t>
        </is>
      </c>
      <c r="B491" s="1" t="n">
        <v>45679</v>
      </c>
      <c r="C491" s="1" t="n">
        <v>46127</v>
      </c>
      <c r="D491" t="inlineStr">
        <is>
          <t>UPPSALA LÄN</t>
        </is>
      </c>
      <c r="E491" t="inlineStr">
        <is>
          <t>ENKÖPING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41828-2024</t>
        </is>
      </c>
      <c r="B492" s="1" t="n">
        <v>45561</v>
      </c>
      <c r="C492" s="1" t="n">
        <v>46127</v>
      </c>
      <c r="D492" t="inlineStr">
        <is>
          <t>UPPSALA LÄN</t>
        </is>
      </c>
      <c r="E492" t="inlineStr">
        <is>
          <t>ENKÖPING</t>
        </is>
      </c>
      <c r="G492" t="n">
        <v>2.5</v>
      </c>
      <c r="H492" t="n">
        <v>0</v>
      </c>
      <c r="I492" t="n">
        <v>0</v>
      </c>
      <c r="J492" t="n">
        <v>0</v>
      </c>
      <c r="K492" t="n">
        <v>0</v>
      </c>
      <c r="L492" t="n">
        <v>0</v>
      </c>
      <c r="M492" t="n">
        <v>0</v>
      </c>
      <c r="N492" t="n">
        <v>0</v>
      </c>
      <c r="O492" t="n">
        <v>0</v>
      </c>
      <c r="P492" t="n">
        <v>0</v>
      </c>
      <c r="Q492" t="n">
        <v>0</v>
      </c>
      <c r="R492" s="2" t="inlineStr"/>
    </row>
    <row r="493" ht="15" customHeight="1">
      <c r="A493" t="inlineStr">
        <is>
          <t>A 1536-2024</t>
        </is>
      </c>
      <c r="B493" s="1" t="n">
        <v>45306</v>
      </c>
      <c r="C493" s="1" t="n">
        <v>46127</v>
      </c>
      <c r="D493" t="inlineStr">
        <is>
          <t>UPPSALA LÄN</t>
        </is>
      </c>
      <c r="E493" t="inlineStr">
        <is>
          <t>ENKÖPING</t>
        </is>
      </c>
      <c r="F493" t="inlineStr">
        <is>
          <t>Kyrkan</t>
        </is>
      </c>
      <c r="G493" t="n">
        <v>5.6</v>
      </c>
      <c r="H493" t="n">
        <v>0</v>
      </c>
      <c r="I493" t="n">
        <v>0</v>
      </c>
      <c r="J493" t="n">
        <v>0</v>
      </c>
      <c r="K493" t="n">
        <v>0</v>
      </c>
      <c r="L493" t="n">
        <v>0</v>
      </c>
      <c r="M493" t="n">
        <v>0</v>
      </c>
      <c r="N493" t="n">
        <v>0</v>
      </c>
      <c r="O493" t="n">
        <v>0</v>
      </c>
      <c r="P493" t="n">
        <v>0</v>
      </c>
      <c r="Q493" t="n">
        <v>0</v>
      </c>
      <c r="R493" s="2" t="inlineStr"/>
    </row>
    <row r="494" ht="15" customHeight="1">
      <c r="A494" t="inlineStr">
        <is>
          <t>A 42564-2024</t>
        </is>
      </c>
      <c r="B494" s="1" t="n">
        <v>45565.63358796296</v>
      </c>
      <c r="C494" s="1" t="n">
        <v>46127</v>
      </c>
      <c r="D494" t="inlineStr">
        <is>
          <t>UPPSALA LÄN</t>
        </is>
      </c>
      <c r="E494" t="inlineStr">
        <is>
          <t>ENKÖPING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43492-2023</t>
        </is>
      </c>
      <c r="B495" s="1" t="n">
        <v>45181</v>
      </c>
      <c r="C495" s="1" t="n">
        <v>46127</v>
      </c>
      <c r="D495" t="inlineStr">
        <is>
          <t>UPPSALA LÄN</t>
        </is>
      </c>
      <c r="E495" t="inlineStr">
        <is>
          <t>ENKÖPING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6626-2023</t>
        </is>
      </c>
      <c r="B496" s="1" t="n">
        <v>44966.55946759259</v>
      </c>
      <c r="C496" s="1" t="n">
        <v>46127</v>
      </c>
      <c r="D496" t="inlineStr">
        <is>
          <t>UPPSALA LÄN</t>
        </is>
      </c>
      <c r="E496" t="inlineStr">
        <is>
          <t>ENKÖPING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17165-2025</t>
        </is>
      </c>
      <c r="B497" s="1" t="n">
        <v>45756</v>
      </c>
      <c r="C497" s="1" t="n">
        <v>46127</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5013-2025</t>
        </is>
      </c>
      <c r="B498" s="1" t="n">
        <v>45691</v>
      </c>
      <c r="C498" s="1" t="n">
        <v>46127</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37170-2021</t>
        </is>
      </c>
      <c r="B499" s="1" t="n">
        <v>44395</v>
      </c>
      <c r="C499" s="1" t="n">
        <v>46127</v>
      </c>
      <c r="D499" t="inlineStr">
        <is>
          <t>UPPSALA LÄN</t>
        </is>
      </c>
      <c r="E499" t="inlineStr">
        <is>
          <t>ENKÖPING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58147-2024</t>
        </is>
      </c>
      <c r="B500" s="1" t="n">
        <v>45632.4334375</v>
      </c>
      <c r="C500" s="1" t="n">
        <v>46127</v>
      </c>
      <c r="D500" t="inlineStr">
        <is>
          <t>UPPSALA LÄN</t>
        </is>
      </c>
      <c r="E500" t="inlineStr">
        <is>
          <t>ENKÖPING</t>
        </is>
      </c>
      <c r="G500" t="n">
        <v>3</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46127</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19014-2025</t>
        </is>
      </c>
      <c r="B502" s="1" t="n">
        <v>45764.59631944444</v>
      </c>
      <c r="C502" s="1" t="n">
        <v>46127</v>
      </c>
      <c r="D502" t="inlineStr">
        <is>
          <t>UPPSALA LÄN</t>
        </is>
      </c>
      <c r="E502" t="inlineStr">
        <is>
          <t>ENKÖPING</t>
        </is>
      </c>
      <c r="G502" t="n">
        <v>0.2</v>
      </c>
      <c r="H502" t="n">
        <v>0</v>
      </c>
      <c r="I502" t="n">
        <v>0</v>
      </c>
      <c r="J502" t="n">
        <v>0</v>
      </c>
      <c r="K502" t="n">
        <v>0</v>
      </c>
      <c r="L502" t="n">
        <v>0</v>
      </c>
      <c r="M502" t="n">
        <v>0</v>
      </c>
      <c r="N502" t="n">
        <v>0</v>
      </c>
      <c r="O502" t="n">
        <v>0</v>
      </c>
      <c r="P502" t="n">
        <v>0</v>
      </c>
      <c r="Q502" t="n">
        <v>0</v>
      </c>
      <c r="R502" s="2" t="inlineStr"/>
    </row>
    <row r="503" ht="15" customHeight="1">
      <c r="A503" t="inlineStr">
        <is>
          <t>A 12958-2024</t>
        </is>
      </c>
      <c r="B503" s="1" t="n">
        <v>45385</v>
      </c>
      <c r="C503" s="1" t="n">
        <v>46127</v>
      </c>
      <c r="D503" t="inlineStr">
        <is>
          <t>UPPSALA LÄN</t>
        </is>
      </c>
      <c r="E503" t="inlineStr">
        <is>
          <t>ENKÖPING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1651-2024</t>
        </is>
      </c>
      <c r="B504" s="1" t="n">
        <v>45306.73770833333</v>
      </c>
      <c r="C504" s="1" t="n">
        <v>46127</v>
      </c>
      <c r="D504" t="inlineStr">
        <is>
          <t>UPPSALA LÄN</t>
        </is>
      </c>
      <c r="E504" t="inlineStr">
        <is>
          <t>ENKÖPING</t>
        </is>
      </c>
      <c r="G504" t="n">
        <v>10.2</v>
      </c>
      <c r="H504" t="n">
        <v>0</v>
      </c>
      <c r="I504" t="n">
        <v>0</v>
      </c>
      <c r="J504" t="n">
        <v>0</v>
      </c>
      <c r="K504" t="n">
        <v>0</v>
      </c>
      <c r="L504" t="n">
        <v>0</v>
      </c>
      <c r="M504" t="n">
        <v>0</v>
      </c>
      <c r="N504" t="n">
        <v>0</v>
      </c>
      <c r="O504" t="n">
        <v>0</v>
      </c>
      <c r="P504" t="n">
        <v>0</v>
      </c>
      <c r="Q504" t="n">
        <v>0</v>
      </c>
      <c r="R504" s="2" t="inlineStr"/>
    </row>
    <row r="505" ht="15" customHeight="1">
      <c r="A505" t="inlineStr">
        <is>
          <t>A 51012-2024</t>
        </is>
      </c>
      <c r="B505" s="1" t="n">
        <v>45603.39686342593</v>
      </c>
      <c r="C505" s="1" t="n">
        <v>46127</v>
      </c>
      <c r="D505" t="inlineStr">
        <is>
          <t>UPPSALA LÄN</t>
        </is>
      </c>
      <c r="E505" t="inlineStr">
        <is>
          <t>ENKÖPING</t>
        </is>
      </c>
      <c r="G505" t="n">
        <v>2.7</v>
      </c>
      <c r="H505" t="n">
        <v>0</v>
      </c>
      <c r="I505" t="n">
        <v>0</v>
      </c>
      <c r="J505" t="n">
        <v>0</v>
      </c>
      <c r="K505" t="n">
        <v>0</v>
      </c>
      <c r="L505" t="n">
        <v>0</v>
      </c>
      <c r="M505" t="n">
        <v>0</v>
      </c>
      <c r="N505" t="n">
        <v>0</v>
      </c>
      <c r="O505" t="n">
        <v>0</v>
      </c>
      <c r="P505" t="n">
        <v>0</v>
      </c>
      <c r="Q505" t="n">
        <v>0</v>
      </c>
      <c r="R505" s="2" t="inlineStr"/>
    </row>
    <row r="506" ht="15" customHeight="1">
      <c r="A506" t="inlineStr">
        <is>
          <t>A 57940-2022</t>
        </is>
      </c>
      <c r="B506" s="1" t="n">
        <v>44900</v>
      </c>
      <c r="C506" s="1" t="n">
        <v>46127</v>
      </c>
      <c r="D506" t="inlineStr">
        <is>
          <t>UPPSALA LÄN</t>
        </is>
      </c>
      <c r="E506" t="inlineStr">
        <is>
          <t>ENKÖPING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63310-2021</t>
        </is>
      </c>
      <c r="B507" s="1" t="n">
        <v>44508</v>
      </c>
      <c r="C507" s="1" t="n">
        <v>46127</v>
      </c>
      <c r="D507" t="inlineStr">
        <is>
          <t>UPPSALA LÄN</t>
        </is>
      </c>
      <c r="E507" t="inlineStr">
        <is>
          <t>ENKÖPING</t>
        </is>
      </c>
      <c r="G507" t="n">
        <v>3.5</v>
      </c>
      <c r="H507" t="n">
        <v>0</v>
      </c>
      <c r="I507" t="n">
        <v>0</v>
      </c>
      <c r="J507" t="n">
        <v>0</v>
      </c>
      <c r="K507" t="n">
        <v>0</v>
      </c>
      <c r="L507" t="n">
        <v>0</v>
      </c>
      <c r="M507" t="n">
        <v>0</v>
      </c>
      <c r="N507" t="n">
        <v>0</v>
      </c>
      <c r="O507" t="n">
        <v>0</v>
      </c>
      <c r="P507" t="n">
        <v>0</v>
      </c>
      <c r="Q507" t="n">
        <v>0</v>
      </c>
      <c r="R507" s="2" t="inlineStr"/>
    </row>
    <row r="508" ht="15" customHeight="1">
      <c r="A508" t="inlineStr">
        <is>
          <t>A 20440-2025</t>
        </is>
      </c>
      <c r="B508" s="1" t="n">
        <v>45775</v>
      </c>
      <c r="C508" s="1" t="n">
        <v>46127</v>
      </c>
      <c r="D508" t="inlineStr">
        <is>
          <t>UPPSALA LÄN</t>
        </is>
      </c>
      <c r="E508" t="inlineStr">
        <is>
          <t>ENKÖPING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19488-2022</t>
        </is>
      </c>
      <c r="B509" s="1" t="n">
        <v>44693</v>
      </c>
      <c r="C509" s="1" t="n">
        <v>46127</v>
      </c>
      <c r="D509" t="inlineStr">
        <is>
          <t>UPPSALA LÄN</t>
        </is>
      </c>
      <c r="E509" t="inlineStr">
        <is>
          <t>ENKÖPING</t>
        </is>
      </c>
      <c r="G509" t="n">
        <v>7.8</v>
      </c>
      <c r="H509" t="n">
        <v>0</v>
      </c>
      <c r="I509" t="n">
        <v>0</v>
      </c>
      <c r="J509" t="n">
        <v>0</v>
      </c>
      <c r="K509" t="n">
        <v>0</v>
      </c>
      <c r="L509" t="n">
        <v>0</v>
      </c>
      <c r="M509" t="n">
        <v>0</v>
      </c>
      <c r="N509" t="n">
        <v>0</v>
      </c>
      <c r="O509" t="n">
        <v>0</v>
      </c>
      <c r="P509" t="n">
        <v>0</v>
      </c>
      <c r="Q509" t="n">
        <v>0</v>
      </c>
      <c r="R509" s="2" t="inlineStr"/>
    </row>
    <row r="510" ht="15" customHeight="1">
      <c r="A510" t="inlineStr">
        <is>
          <t>A 5188-2022</t>
        </is>
      </c>
      <c r="B510" s="1" t="n">
        <v>44594.4471412037</v>
      </c>
      <c r="C510" s="1" t="n">
        <v>46127</v>
      </c>
      <c r="D510" t="inlineStr">
        <is>
          <t>UPPSALA LÄN</t>
        </is>
      </c>
      <c r="E510" t="inlineStr">
        <is>
          <t>ENKÖPING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31622-2022</t>
        </is>
      </c>
      <c r="B511" s="1" t="n">
        <v>44775</v>
      </c>
      <c r="C511" s="1" t="n">
        <v>46127</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12102-2024</t>
        </is>
      </c>
      <c r="B512" s="1" t="n">
        <v>45377</v>
      </c>
      <c r="C512" s="1" t="n">
        <v>46127</v>
      </c>
      <c r="D512" t="inlineStr">
        <is>
          <t>UPPSALA LÄN</t>
        </is>
      </c>
      <c r="E512" t="inlineStr">
        <is>
          <t>ENKÖPING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59602-2024</t>
        </is>
      </c>
      <c r="B513" s="1" t="n">
        <v>45638</v>
      </c>
      <c r="C513" s="1" t="n">
        <v>46127</v>
      </c>
      <c r="D513" t="inlineStr">
        <is>
          <t>UPPSALA LÄN</t>
        </is>
      </c>
      <c r="E513" t="inlineStr">
        <is>
          <t>ENKÖPING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44131-2023</t>
        </is>
      </c>
      <c r="B514" s="1" t="n">
        <v>45188</v>
      </c>
      <c r="C514" s="1" t="n">
        <v>46127</v>
      </c>
      <c r="D514" t="inlineStr">
        <is>
          <t>UPPSALA LÄN</t>
        </is>
      </c>
      <c r="E514" t="inlineStr">
        <is>
          <t>ENKÖPING</t>
        </is>
      </c>
      <c r="G514" t="n">
        <v>0.3</v>
      </c>
      <c r="H514" t="n">
        <v>0</v>
      </c>
      <c r="I514" t="n">
        <v>0</v>
      </c>
      <c r="J514" t="n">
        <v>0</v>
      </c>
      <c r="K514" t="n">
        <v>0</v>
      </c>
      <c r="L514" t="n">
        <v>0</v>
      </c>
      <c r="M514" t="n">
        <v>0</v>
      </c>
      <c r="N514" t="n">
        <v>0</v>
      </c>
      <c r="O514" t="n">
        <v>0</v>
      </c>
      <c r="P514" t="n">
        <v>0</v>
      </c>
      <c r="Q514" t="n">
        <v>0</v>
      </c>
      <c r="R514" s="2" t="inlineStr"/>
    </row>
    <row r="515" ht="15" customHeight="1">
      <c r="A515" t="inlineStr">
        <is>
          <t>A 60533-2021</t>
        </is>
      </c>
      <c r="B515" s="1" t="n">
        <v>44496</v>
      </c>
      <c r="C515" s="1" t="n">
        <v>46127</v>
      </c>
      <c r="D515" t="inlineStr">
        <is>
          <t>UPPSALA LÄN</t>
        </is>
      </c>
      <c r="E515" t="inlineStr">
        <is>
          <t>ENKÖPING</t>
        </is>
      </c>
      <c r="G515" t="n">
        <v>2.2</v>
      </c>
      <c r="H515" t="n">
        <v>0</v>
      </c>
      <c r="I515" t="n">
        <v>0</v>
      </c>
      <c r="J515" t="n">
        <v>0</v>
      </c>
      <c r="K515" t="n">
        <v>0</v>
      </c>
      <c r="L515" t="n">
        <v>0</v>
      </c>
      <c r="M515" t="n">
        <v>0</v>
      </c>
      <c r="N515" t="n">
        <v>0</v>
      </c>
      <c r="O515" t="n">
        <v>0</v>
      </c>
      <c r="P515" t="n">
        <v>0</v>
      </c>
      <c r="Q515" t="n">
        <v>0</v>
      </c>
      <c r="R515" s="2" t="inlineStr"/>
    </row>
    <row r="516" ht="15" customHeight="1">
      <c r="A516" t="inlineStr">
        <is>
          <t>A 35052-2024</t>
        </is>
      </c>
      <c r="B516" s="1" t="n">
        <v>45527.6516087963</v>
      </c>
      <c r="C516" s="1" t="n">
        <v>46127</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c r="A517" t="inlineStr">
        <is>
          <t>A 51008-2024</t>
        </is>
      </c>
      <c r="B517" s="1" t="n">
        <v>45603.39041666667</v>
      </c>
      <c r="C517" s="1" t="n">
        <v>46127</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2026-04-15T14:31:25Z</dcterms:created>
  <dcterms:modified xmlns:dcterms="http://purl.org/dc/terms/" xmlns:xsi="http://www.w3.org/2001/XMLSchema-instance" xsi:type="dcterms:W3CDTF">2026-04-15T14:31:26Z</dcterms:modified>
</cp:coreProperties>
</file>