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45895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45895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45895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45895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45895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45895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45895</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45895</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45895</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45895</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45895</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45895</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45895</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45895</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45895</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45895</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45895</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45895</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45895</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33339-2024</t>
        </is>
      </c>
      <c r="B21" s="1" t="n">
        <v>45519</v>
      </c>
      <c r="C21" s="1" t="n">
        <v>45895</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21970-2025</t>
        </is>
      </c>
      <c r="B22" s="1" t="n">
        <v>45784.63335648148</v>
      </c>
      <c r="C22" s="1" t="n">
        <v>45895</v>
      </c>
      <c r="D22" t="inlineStr">
        <is>
          <t>UPPSALA LÄN</t>
        </is>
      </c>
      <c r="E22" t="inlineStr">
        <is>
          <t>ENKÖPING</t>
        </is>
      </c>
      <c r="G22" t="n">
        <v>5.3</v>
      </c>
      <c r="H22" t="n">
        <v>1</v>
      </c>
      <c r="I22" t="n">
        <v>0</v>
      </c>
      <c r="J22" t="n">
        <v>0</v>
      </c>
      <c r="K22" t="n">
        <v>0</v>
      </c>
      <c r="L22" t="n">
        <v>0</v>
      </c>
      <c r="M22" t="n">
        <v>0</v>
      </c>
      <c r="N22" t="n">
        <v>0</v>
      </c>
      <c r="O22" t="n">
        <v>0</v>
      </c>
      <c r="P22" t="n">
        <v>0</v>
      </c>
      <c r="Q22" t="n">
        <v>1</v>
      </c>
      <c r="R22" s="2" t="inlineStr">
        <is>
          <t>Blåsippa</t>
        </is>
      </c>
      <c r="S22">
        <f>HYPERLINK("https://klasma.github.io/Logging_0381/artfynd/A 21970-2025 artfynd.xlsx", "A 21970-2025")</f>
        <v/>
      </c>
      <c r="T22">
        <f>HYPERLINK("https://klasma.github.io/Logging_0381/kartor/A 21970-2025 karta.png", "A 21970-2025")</f>
        <v/>
      </c>
      <c r="V22">
        <f>HYPERLINK("https://klasma.github.io/Logging_0381/klagomål/A 21970-2025 FSC-klagomål.docx", "A 21970-2025")</f>
        <v/>
      </c>
      <c r="W22">
        <f>HYPERLINK("https://klasma.github.io/Logging_0381/klagomålsmail/A 21970-2025 FSC-klagomål mail.docx", "A 21970-2025")</f>
        <v/>
      </c>
      <c r="X22">
        <f>HYPERLINK("https://klasma.github.io/Logging_0381/tillsyn/A 21970-2025 tillsynsbegäran.docx", "A 21970-2025")</f>
        <v/>
      </c>
      <c r="Y22">
        <f>HYPERLINK("https://klasma.github.io/Logging_0381/tillsynsmail/A 21970-2025 tillsynsbegäran mail.docx", "A 21970-2025")</f>
        <v/>
      </c>
    </row>
    <row r="23" ht="15" customHeight="1">
      <c r="A23" t="inlineStr">
        <is>
          <t>A 45116-2023</t>
        </is>
      </c>
      <c r="B23" s="1" t="n">
        <v>45191</v>
      </c>
      <c r="C23" s="1" t="n">
        <v>45895</v>
      </c>
      <c r="D23" t="inlineStr">
        <is>
          <t>UPPSALA LÄN</t>
        </is>
      </c>
      <c r="E23" t="inlineStr">
        <is>
          <t>ENKÖPING</t>
        </is>
      </c>
      <c r="G23" t="n">
        <v>2</v>
      </c>
      <c r="H23" t="n">
        <v>0</v>
      </c>
      <c r="I23" t="n">
        <v>1</v>
      </c>
      <c r="J23" t="n">
        <v>0</v>
      </c>
      <c r="K23" t="n">
        <v>0</v>
      </c>
      <c r="L23" t="n">
        <v>0</v>
      </c>
      <c r="M23" t="n">
        <v>0</v>
      </c>
      <c r="N23" t="n">
        <v>0</v>
      </c>
      <c r="O23" t="n">
        <v>0</v>
      </c>
      <c r="P23" t="n">
        <v>0</v>
      </c>
      <c r="Q23" t="n">
        <v>1</v>
      </c>
      <c r="R23" s="2" t="inlineStr">
        <is>
          <t>Rävticka</t>
        </is>
      </c>
      <c r="S23">
        <f>HYPERLINK("https://klasma.github.io/Logging_0381/artfynd/A 45116-2023 artfynd.xlsx", "A 45116-2023")</f>
        <v/>
      </c>
      <c r="T23">
        <f>HYPERLINK("https://klasma.github.io/Logging_0381/kartor/A 45116-2023 karta.png", "A 45116-2023")</f>
        <v/>
      </c>
      <c r="V23">
        <f>HYPERLINK("https://klasma.github.io/Logging_0381/klagomål/A 45116-2023 FSC-klagomål.docx", "A 45116-2023")</f>
        <v/>
      </c>
      <c r="W23">
        <f>HYPERLINK("https://klasma.github.io/Logging_0381/klagomålsmail/A 45116-2023 FSC-klagomål mail.docx", "A 45116-2023")</f>
        <v/>
      </c>
      <c r="X23">
        <f>HYPERLINK("https://klasma.github.io/Logging_0381/tillsyn/A 45116-2023 tillsynsbegäran.docx", "A 45116-2023")</f>
        <v/>
      </c>
      <c r="Y23">
        <f>HYPERLINK("https://klasma.github.io/Logging_0381/tillsynsmail/A 45116-2023 tillsynsbegäran mail.docx", "A 45116-2023")</f>
        <v/>
      </c>
    </row>
    <row r="24" ht="15" customHeight="1">
      <c r="A24" t="inlineStr">
        <is>
          <t>A 26347-2025</t>
        </is>
      </c>
      <c r="B24" s="1" t="n">
        <v>45805.7403125</v>
      </c>
      <c r="C24" s="1" t="n">
        <v>45895</v>
      </c>
      <c r="D24" t="inlineStr">
        <is>
          <t>UPPSALA LÄN</t>
        </is>
      </c>
      <c r="E24" t="inlineStr">
        <is>
          <t>ENKÖPING</t>
        </is>
      </c>
      <c r="G24" t="n">
        <v>7.3</v>
      </c>
      <c r="H24" t="n">
        <v>1</v>
      </c>
      <c r="I24" t="n">
        <v>0</v>
      </c>
      <c r="J24" t="n">
        <v>0</v>
      </c>
      <c r="K24" t="n">
        <v>1</v>
      </c>
      <c r="L24" t="n">
        <v>0</v>
      </c>
      <c r="M24" t="n">
        <v>0</v>
      </c>
      <c r="N24" t="n">
        <v>0</v>
      </c>
      <c r="O24" t="n">
        <v>1</v>
      </c>
      <c r="P24" t="n">
        <v>1</v>
      </c>
      <c r="Q24" t="n">
        <v>1</v>
      </c>
      <c r="R24" s="2" t="inlineStr">
        <is>
          <t>Tofsvipa</t>
        </is>
      </c>
      <c r="S24">
        <f>HYPERLINK("https://klasma.github.io/Logging_0381/artfynd/A 26347-2025 artfynd.xlsx", "A 26347-2025")</f>
        <v/>
      </c>
      <c r="T24">
        <f>HYPERLINK("https://klasma.github.io/Logging_0381/kartor/A 26347-2025 karta.png", "A 26347-2025")</f>
        <v/>
      </c>
      <c r="V24">
        <f>HYPERLINK("https://klasma.github.io/Logging_0381/klagomål/A 26347-2025 FSC-klagomål.docx", "A 26347-2025")</f>
        <v/>
      </c>
      <c r="W24">
        <f>HYPERLINK("https://klasma.github.io/Logging_0381/klagomålsmail/A 26347-2025 FSC-klagomål mail.docx", "A 26347-2025")</f>
        <v/>
      </c>
      <c r="X24">
        <f>HYPERLINK("https://klasma.github.io/Logging_0381/tillsyn/A 26347-2025 tillsynsbegäran.docx", "A 26347-2025")</f>
        <v/>
      </c>
      <c r="Y24">
        <f>HYPERLINK("https://klasma.github.io/Logging_0381/tillsynsmail/A 26347-2025 tillsynsbegäran mail.docx", "A 26347-2025")</f>
        <v/>
      </c>
    </row>
    <row r="25" ht="15" customHeight="1">
      <c r="A25" t="inlineStr">
        <is>
          <t>A 27060-2025</t>
        </is>
      </c>
      <c r="B25" s="1" t="n">
        <v>45811.63590277778</v>
      </c>
      <c r="C25" s="1" t="n">
        <v>45895</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23961-2022</t>
        </is>
      </c>
      <c r="B26" s="1" t="n">
        <v>44722</v>
      </c>
      <c r="C26" s="1" t="n">
        <v>45895</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29510-2025</t>
        </is>
      </c>
      <c r="B27" s="1" t="n">
        <v>45825</v>
      </c>
      <c r="C27" s="1" t="n">
        <v>45895</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28900-2024</t>
        </is>
      </c>
      <c r="B28" s="1" t="n">
        <v>45480</v>
      </c>
      <c r="C28" s="1" t="n">
        <v>45895</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17942-2024</t>
        </is>
      </c>
      <c r="B29" s="1" t="n">
        <v>45419</v>
      </c>
      <c r="C29" s="1" t="n">
        <v>45895</v>
      </c>
      <c r="D29" t="inlineStr">
        <is>
          <t>UPPSALA LÄN</t>
        </is>
      </c>
      <c r="E29" t="inlineStr">
        <is>
          <t>ENKÖPING</t>
        </is>
      </c>
      <c r="G29" t="n">
        <v>0.8</v>
      </c>
      <c r="H29" t="n">
        <v>0</v>
      </c>
      <c r="I29" t="n">
        <v>0</v>
      </c>
      <c r="J29" t="n">
        <v>1</v>
      </c>
      <c r="K29" t="n">
        <v>0</v>
      </c>
      <c r="L29" t="n">
        <v>0</v>
      </c>
      <c r="M29" t="n">
        <v>0</v>
      </c>
      <c r="N29" t="n">
        <v>0</v>
      </c>
      <c r="O29" t="n">
        <v>1</v>
      </c>
      <c r="P29" t="n">
        <v>0</v>
      </c>
      <c r="Q29" t="n">
        <v>1</v>
      </c>
      <c r="R29" s="2" t="inlineStr">
        <is>
          <t>Ängsskära</t>
        </is>
      </c>
      <c r="S29">
        <f>HYPERLINK("https://klasma.github.io/Logging_0381/artfynd/A 17942-2024 artfynd.xlsx", "A 17942-2024")</f>
        <v/>
      </c>
      <c r="T29">
        <f>HYPERLINK("https://klasma.github.io/Logging_0381/kartor/A 17942-2024 karta.png", "A 17942-2024")</f>
        <v/>
      </c>
      <c r="V29">
        <f>HYPERLINK("https://klasma.github.io/Logging_0381/klagomål/A 17942-2024 FSC-klagomål.docx", "A 17942-2024")</f>
        <v/>
      </c>
      <c r="W29">
        <f>HYPERLINK("https://klasma.github.io/Logging_0381/klagomålsmail/A 17942-2024 FSC-klagomål mail.docx", "A 17942-2024")</f>
        <v/>
      </c>
      <c r="X29">
        <f>HYPERLINK("https://klasma.github.io/Logging_0381/tillsyn/A 17942-2024 tillsynsbegäran.docx", "A 17942-2024")</f>
        <v/>
      </c>
      <c r="Y29">
        <f>HYPERLINK("https://klasma.github.io/Logging_0381/tillsynsmail/A 17942-2024 tillsynsbegäran mail.docx", "A 17942-2024")</f>
        <v/>
      </c>
    </row>
    <row r="30" ht="15" customHeight="1">
      <c r="A30" t="inlineStr">
        <is>
          <t>A 1524-2023</t>
        </is>
      </c>
      <c r="B30" s="1" t="n">
        <v>44935</v>
      </c>
      <c r="C30" s="1" t="n">
        <v>45895</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46749-2024</t>
        </is>
      </c>
      <c r="B31" s="1" t="n">
        <v>45583.48347222222</v>
      </c>
      <c r="C31" s="1" t="n">
        <v>45895</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16683-2021</t>
        </is>
      </c>
      <c r="B32" s="1" t="n">
        <v>44294.58495370371</v>
      </c>
      <c r="C32" s="1" t="n">
        <v>45895</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45895</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45895</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45895</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45895</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45895</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45895</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45895</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45895</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45895</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14840-2021</t>
        </is>
      </c>
      <c r="B42" s="1" t="n">
        <v>44280</v>
      </c>
      <c r="C42" s="1" t="n">
        <v>45895</v>
      </c>
      <c r="D42" t="inlineStr">
        <is>
          <t>UPPSALA LÄN</t>
        </is>
      </c>
      <c r="E42" t="inlineStr">
        <is>
          <t>ENKÖPING</t>
        </is>
      </c>
      <c r="G42" t="n">
        <v>16</v>
      </c>
      <c r="H42" t="n">
        <v>0</v>
      </c>
      <c r="I42" t="n">
        <v>0</v>
      </c>
      <c r="J42" t="n">
        <v>0</v>
      </c>
      <c r="K42" t="n">
        <v>0</v>
      </c>
      <c r="L42" t="n">
        <v>0</v>
      </c>
      <c r="M42" t="n">
        <v>0</v>
      </c>
      <c r="N42" t="n">
        <v>0</v>
      </c>
      <c r="O42" t="n">
        <v>0</v>
      </c>
      <c r="P42" t="n">
        <v>0</v>
      </c>
      <c r="Q42" t="n">
        <v>0</v>
      </c>
      <c r="R42" s="2" t="inlineStr"/>
    </row>
    <row r="43" ht="15" customHeight="1">
      <c r="A43" t="inlineStr">
        <is>
          <t>A 14841-2021</t>
        </is>
      </c>
      <c r="B43" s="1" t="n">
        <v>44280</v>
      </c>
      <c r="C43" s="1" t="n">
        <v>45895</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24399-2021</t>
        </is>
      </c>
      <c r="B44" s="1" t="n">
        <v>44337</v>
      </c>
      <c r="C44" s="1" t="n">
        <v>45895</v>
      </c>
      <c r="D44" t="inlineStr">
        <is>
          <t>UPPSALA LÄN</t>
        </is>
      </c>
      <c r="E44" t="inlineStr">
        <is>
          <t>ENKÖPING</t>
        </is>
      </c>
      <c r="G44" t="n">
        <v>4</v>
      </c>
      <c r="H44" t="n">
        <v>0</v>
      </c>
      <c r="I44" t="n">
        <v>0</v>
      </c>
      <c r="J44" t="n">
        <v>0</v>
      </c>
      <c r="K44" t="n">
        <v>0</v>
      </c>
      <c r="L44" t="n">
        <v>0</v>
      </c>
      <c r="M44" t="n">
        <v>0</v>
      </c>
      <c r="N44" t="n">
        <v>0</v>
      </c>
      <c r="O44" t="n">
        <v>0</v>
      </c>
      <c r="P44" t="n">
        <v>0</v>
      </c>
      <c r="Q44" t="n">
        <v>0</v>
      </c>
      <c r="R44" s="2" t="inlineStr"/>
    </row>
    <row r="45" ht="15" customHeight="1">
      <c r="A45" t="inlineStr">
        <is>
          <t>A 48362-2020</t>
        </is>
      </c>
      <c r="B45" s="1" t="n">
        <v>44102</v>
      </c>
      <c r="C45" s="1" t="n">
        <v>45895</v>
      </c>
      <c r="D45" t="inlineStr">
        <is>
          <t>UPPSALA LÄN</t>
        </is>
      </c>
      <c r="E45" t="inlineStr">
        <is>
          <t>ENKÖPING</t>
        </is>
      </c>
      <c r="G45" t="n">
        <v>2.4</v>
      </c>
      <c r="H45" t="n">
        <v>0</v>
      </c>
      <c r="I45" t="n">
        <v>0</v>
      </c>
      <c r="J45" t="n">
        <v>0</v>
      </c>
      <c r="K45" t="n">
        <v>0</v>
      </c>
      <c r="L45" t="n">
        <v>0</v>
      </c>
      <c r="M45" t="n">
        <v>0</v>
      </c>
      <c r="N45" t="n">
        <v>0</v>
      </c>
      <c r="O45" t="n">
        <v>0</v>
      </c>
      <c r="P45" t="n">
        <v>0</v>
      </c>
      <c r="Q45" t="n">
        <v>0</v>
      </c>
      <c r="R45" s="2" t="inlineStr"/>
    </row>
    <row r="46" ht="15" customHeight="1">
      <c r="A46" t="inlineStr">
        <is>
          <t>A 32748-2021</t>
        </is>
      </c>
      <c r="B46" s="1" t="n">
        <v>44375.53055555555</v>
      </c>
      <c r="C46" s="1" t="n">
        <v>45895</v>
      </c>
      <c r="D46" t="inlineStr">
        <is>
          <t>UPPSALA LÄN</t>
        </is>
      </c>
      <c r="E46" t="inlineStr">
        <is>
          <t>ENKÖPING</t>
        </is>
      </c>
      <c r="G46" t="n">
        <v>1.1</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45895</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17704-2022</t>
        </is>
      </c>
      <c r="B48" s="1" t="n">
        <v>44680.61315972222</v>
      </c>
      <c r="C48" s="1" t="n">
        <v>45895</v>
      </c>
      <c r="D48" t="inlineStr">
        <is>
          <t>UPPSALA LÄN</t>
        </is>
      </c>
      <c r="E48" t="inlineStr">
        <is>
          <t>ENKÖPING</t>
        </is>
      </c>
      <c r="G48" t="n">
        <v>0.8</v>
      </c>
      <c r="H48" t="n">
        <v>0</v>
      </c>
      <c r="I48" t="n">
        <v>0</v>
      </c>
      <c r="J48" t="n">
        <v>0</v>
      </c>
      <c r="K48" t="n">
        <v>0</v>
      </c>
      <c r="L48" t="n">
        <v>0</v>
      </c>
      <c r="M48" t="n">
        <v>0</v>
      </c>
      <c r="N48" t="n">
        <v>0</v>
      </c>
      <c r="O48" t="n">
        <v>0</v>
      </c>
      <c r="P48" t="n">
        <v>0</v>
      </c>
      <c r="Q48" t="n">
        <v>0</v>
      </c>
      <c r="R48" s="2" t="inlineStr"/>
    </row>
    <row r="49" ht="15" customHeight="1">
      <c r="A49" t="inlineStr">
        <is>
          <t>A 57066-2021</t>
        </is>
      </c>
      <c r="B49" s="1" t="n">
        <v>44482.5663425926</v>
      </c>
      <c r="C49" s="1" t="n">
        <v>45895</v>
      </c>
      <c r="D49" t="inlineStr">
        <is>
          <t>UPPSALA LÄN</t>
        </is>
      </c>
      <c r="E49" t="inlineStr">
        <is>
          <t>ENKÖPING</t>
        </is>
      </c>
      <c r="G49" t="n">
        <v>1.5</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45895</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45895</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45895</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45895</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45895</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45895</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45895</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45895</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45895</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45895</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45895</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45895</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45895</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45895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45895</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45895</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45895</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45895</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45895</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45895</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45895</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45895</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45895</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45895</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63715-2020</t>
        </is>
      </c>
      <c r="B74" s="1" t="n">
        <v>44166</v>
      </c>
      <c r="C74" s="1" t="n">
        <v>45895</v>
      </c>
      <c r="D74" t="inlineStr">
        <is>
          <t>UPPSALA LÄN</t>
        </is>
      </c>
      <c r="E74" t="inlineStr">
        <is>
          <t>ENKÖPING</t>
        </is>
      </c>
      <c r="F74" t="inlineStr">
        <is>
          <t>Övriga statliga verk och myndigheter</t>
        </is>
      </c>
      <c r="G74" t="n">
        <v>5.9</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45895</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45895</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45895</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45895</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45895</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45895</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45895</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45895</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45895</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45895</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45895</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45895</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45895</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45895</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45895</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45895</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45895</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45895</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45895</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45895</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45895</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24883-2022</t>
        </is>
      </c>
      <c r="B96" s="1" t="n">
        <v>44728</v>
      </c>
      <c r="C96" s="1" t="n">
        <v>45895</v>
      </c>
      <c r="D96" t="inlineStr">
        <is>
          <t>UPPSALA LÄN</t>
        </is>
      </c>
      <c r="E96" t="inlineStr">
        <is>
          <t>ENKÖPING</t>
        </is>
      </c>
      <c r="G96" t="n">
        <v>2.5</v>
      </c>
      <c r="H96" t="n">
        <v>0</v>
      </c>
      <c r="I96" t="n">
        <v>0</v>
      </c>
      <c r="J96" t="n">
        <v>0</v>
      </c>
      <c r="K96" t="n">
        <v>0</v>
      </c>
      <c r="L96" t="n">
        <v>0</v>
      </c>
      <c r="M96" t="n">
        <v>0</v>
      </c>
      <c r="N96" t="n">
        <v>0</v>
      </c>
      <c r="O96" t="n">
        <v>0</v>
      </c>
      <c r="P96" t="n">
        <v>0</v>
      </c>
      <c r="Q96" t="n">
        <v>0</v>
      </c>
      <c r="R96" s="2" t="inlineStr"/>
    </row>
    <row r="97" ht="15" customHeight="1">
      <c r="A97" t="inlineStr">
        <is>
          <t>A 20067-2021</t>
        </is>
      </c>
      <c r="B97" s="1" t="n">
        <v>44314</v>
      </c>
      <c r="C97" s="1" t="n">
        <v>45895</v>
      </c>
      <c r="D97" t="inlineStr">
        <is>
          <t>UPPSALA LÄN</t>
        </is>
      </c>
      <c r="E97" t="inlineStr">
        <is>
          <t>ENKÖPING</t>
        </is>
      </c>
      <c r="G97" t="n">
        <v>0.9</v>
      </c>
      <c r="H97" t="n">
        <v>0</v>
      </c>
      <c r="I97" t="n">
        <v>0</v>
      </c>
      <c r="J97" t="n">
        <v>0</v>
      </c>
      <c r="K97" t="n">
        <v>0</v>
      </c>
      <c r="L97" t="n">
        <v>0</v>
      </c>
      <c r="M97" t="n">
        <v>0</v>
      </c>
      <c r="N97" t="n">
        <v>0</v>
      </c>
      <c r="O97" t="n">
        <v>0</v>
      </c>
      <c r="P97" t="n">
        <v>0</v>
      </c>
      <c r="Q97" t="n">
        <v>0</v>
      </c>
      <c r="R97" s="2" t="inlineStr"/>
    </row>
    <row r="98" ht="15" customHeight="1">
      <c r="A98" t="inlineStr">
        <is>
          <t>A 19630-2021</t>
        </is>
      </c>
      <c r="B98" s="1" t="n">
        <v>44312.61876157407</v>
      </c>
      <c r="C98" s="1" t="n">
        <v>45895</v>
      </c>
      <c r="D98" t="inlineStr">
        <is>
          <t>UPPSALA LÄN</t>
        </is>
      </c>
      <c r="E98" t="inlineStr">
        <is>
          <t>ENKÖPING</t>
        </is>
      </c>
      <c r="G98" t="n">
        <v>2.7</v>
      </c>
      <c r="H98" t="n">
        <v>0</v>
      </c>
      <c r="I98" t="n">
        <v>0</v>
      </c>
      <c r="J98" t="n">
        <v>0</v>
      </c>
      <c r="K98" t="n">
        <v>0</v>
      </c>
      <c r="L98" t="n">
        <v>0</v>
      </c>
      <c r="M98" t="n">
        <v>0</v>
      </c>
      <c r="N98" t="n">
        <v>0</v>
      </c>
      <c r="O98" t="n">
        <v>0</v>
      </c>
      <c r="P98" t="n">
        <v>0</v>
      </c>
      <c r="Q98" t="n">
        <v>0</v>
      </c>
      <c r="R98" s="2" t="inlineStr"/>
    </row>
    <row r="99" ht="15" customHeight="1">
      <c r="A99" t="inlineStr">
        <is>
          <t>A 57055-2021</t>
        </is>
      </c>
      <c r="B99" s="1" t="n">
        <v>44482.55201388889</v>
      </c>
      <c r="C99" s="1" t="n">
        <v>45895</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15924-2022</t>
        </is>
      </c>
      <c r="B100" s="1" t="n">
        <v>44664</v>
      </c>
      <c r="C100" s="1" t="n">
        <v>45895</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15943-2022</t>
        </is>
      </c>
      <c r="B101" s="1" t="n">
        <v>44664.66428240741</v>
      </c>
      <c r="C101" s="1" t="n">
        <v>45895</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47106-2021</t>
        </is>
      </c>
      <c r="B102" s="1" t="n">
        <v>44446</v>
      </c>
      <c r="C102" s="1" t="n">
        <v>45895</v>
      </c>
      <c r="D102" t="inlineStr">
        <is>
          <t>UPPSALA LÄN</t>
        </is>
      </c>
      <c r="E102" t="inlineStr">
        <is>
          <t>ENKÖPING</t>
        </is>
      </c>
      <c r="G102" t="n">
        <v>7.6</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45895</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60874-2021</t>
        </is>
      </c>
      <c r="B104" s="1" t="n">
        <v>44497</v>
      </c>
      <c r="C104" s="1" t="n">
        <v>45895</v>
      </c>
      <c r="D104" t="inlineStr">
        <is>
          <t>UPPSALA LÄN</t>
        </is>
      </c>
      <c r="E104" t="inlineStr">
        <is>
          <t>ENKÖPING</t>
        </is>
      </c>
      <c r="G104" t="n">
        <v>0.6</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45895</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68127-2021</t>
        </is>
      </c>
      <c r="B106" s="1" t="n">
        <v>44526.39513888889</v>
      </c>
      <c r="C106" s="1" t="n">
        <v>45895</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57043-2021</t>
        </is>
      </c>
      <c r="B107" s="1" t="n">
        <v>44482.53399305556</v>
      </c>
      <c r="C107" s="1" t="n">
        <v>45895</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45895</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57078-2021</t>
        </is>
      </c>
      <c r="B109" s="1" t="n">
        <v>44482.57855324074</v>
      </c>
      <c r="C109" s="1" t="n">
        <v>45895</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47516-2022</t>
        </is>
      </c>
      <c r="B110" s="1" t="n">
        <v>44853.68895833333</v>
      </c>
      <c r="C110" s="1" t="n">
        <v>45895</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15021-2022</t>
        </is>
      </c>
      <c r="B111" s="1" t="n">
        <v>44657</v>
      </c>
      <c r="C111" s="1" t="n">
        <v>45895</v>
      </c>
      <c r="D111" t="inlineStr">
        <is>
          <t>UPPSALA LÄN</t>
        </is>
      </c>
      <c r="E111" t="inlineStr">
        <is>
          <t>ENKÖPING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58798-2020</t>
        </is>
      </c>
      <c r="B112" s="1" t="n">
        <v>44146</v>
      </c>
      <c r="C112" s="1" t="n">
        <v>45895</v>
      </c>
      <c r="D112" t="inlineStr">
        <is>
          <t>UPPSALA LÄN</t>
        </is>
      </c>
      <c r="E112" t="inlineStr">
        <is>
          <t>ENKÖPING</t>
        </is>
      </c>
      <c r="G112" t="n">
        <v>1.8</v>
      </c>
      <c r="H112" t="n">
        <v>0</v>
      </c>
      <c r="I112" t="n">
        <v>0</v>
      </c>
      <c r="J112" t="n">
        <v>0</v>
      </c>
      <c r="K112" t="n">
        <v>0</v>
      </c>
      <c r="L112" t="n">
        <v>0</v>
      </c>
      <c r="M112" t="n">
        <v>0</v>
      </c>
      <c r="N112" t="n">
        <v>0</v>
      </c>
      <c r="O112" t="n">
        <v>0</v>
      </c>
      <c r="P112" t="n">
        <v>0</v>
      </c>
      <c r="Q112" t="n">
        <v>0</v>
      </c>
      <c r="R112" s="2" t="inlineStr"/>
    </row>
    <row r="113" ht="15" customHeight="1">
      <c r="A113" t="inlineStr">
        <is>
          <t>A 57802-2020</t>
        </is>
      </c>
      <c r="B113" s="1" t="n">
        <v>44141</v>
      </c>
      <c r="C113" s="1" t="n">
        <v>45895</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29983-2021</t>
        </is>
      </c>
      <c r="B114" s="1" t="n">
        <v>44363</v>
      </c>
      <c r="C114" s="1" t="n">
        <v>45895</v>
      </c>
      <c r="D114" t="inlineStr">
        <is>
          <t>UPPSALA LÄN</t>
        </is>
      </c>
      <c r="E114" t="inlineStr">
        <is>
          <t>ENKÖPING</t>
        </is>
      </c>
      <c r="F114" t="inlineStr">
        <is>
          <t>Kommuner</t>
        </is>
      </c>
      <c r="G114" t="n">
        <v>3.1</v>
      </c>
      <c r="H114" t="n">
        <v>0</v>
      </c>
      <c r="I114" t="n">
        <v>0</v>
      </c>
      <c r="J114" t="n">
        <v>0</v>
      </c>
      <c r="K114" t="n">
        <v>0</v>
      </c>
      <c r="L114" t="n">
        <v>0</v>
      </c>
      <c r="M114" t="n">
        <v>0</v>
      </c>
      <c r="N114" t="n">
        <v>0</v>
      </c>
      <c r="O114" t="n">
        <v>0</v>
      </c>
      <c r="P114" t="n">
        <v>0</v>
      </c>
      <c r="Q114" t="n">
        <v>0</v>
      </c>
      <c r="R114" s="2" t="inlineStr"/>
    </row>
    <row r="115" ht="15" customHeight="1">
      <c r="A115" t="inlineStr">
        <is>
          <t>A 42021-2021</t>
        </is>
      </c>
      <c r="B115" s="1" t="n">
        <v>44426</v>
      </c>
      <c r="C115" s="1" t="n">
        <v>45895</v>
      </c>
      <c r="D115" t="inlineStr">
        <is>
          <t>UPPSALA LÄN</t>
        </is>
      </c>
      <c r="E115" t="inlineStr">
        <is>
          <t>ENKÖPING</t>
        </is>
      </c>
      <c r="G115" t="n">
        <v>2.2</v>
      </c>
      <c r="H115" t="n">
        <v>0</v>
      </c>
      <c r="I115" t="n">
        <v>0</v>
      </c>
      <c r="J115" t="n">
        <v>0</v>
      </c>
      <c r="K115" t="n">
        <v>0</v>
      </c>
      <c r="L115" t="n">
        <v>0</v>
      </c>
      <c r="M115" t="n">
        <v>0</v>
      </c>
      <c r="N115" t="n">
        <v>0</v>
      </c>
      <c r="O115" t="n">
        <v>0</v>
      </c>
      <c r="P115" t="n">
        <v>0</v>
      </c>
      <c r="Q115" t="n">
        <v>0</v>
      </c>
      <c r="R115" s="2" t="inlineStr"/>
    </row>
    <row r="116" ht="15" customHeight="1">
      <c r="A116" t="inlineStr">
        <is>
          <t>A 17467-2022</t>
        </is>
      </c>
      <c r="B116" s="1" t="n">
        <v>44679</v>
      </c>
      <c r="C116" s="1" t="n">
        <v>45895</v>
      </c>
      <c r="D116" t="inlineStr">
        <is>
          <t>UPPSALA LÄN</t>
        </is>
      </c>
      <c r="E116" t="inlineStr">
        <is>
          <t>ENKÖPING</t>
        </is>
      </c>
      <c r="G116" t="n">
        <v>0.7</v>
      </c>
      <c r="H116" t="n">
        <v>0</v>
      </c>
      <c r="I116" t="n">
        <v>0</v>
      </c>
      <c r="J116" t="n">
        <v>0</v>
      </c>
      <c r="K116" t="n">
        <v>0</v>
      </c>
      <c r="L116" t="n">
        <v>0</v>
      </c>
      <c r="M116" t="n">
        <v>0</v>
      </c>
      <c r="N116" t="n">
        <v>0</v>
      </c>
      <c r="O116" t="n">
        <v>0</v>
      </c>
      <c r="P116" t="n">
        <v>0</v>
      </c>
      <c r="Q116" t="n">
        <v>0</v>
      </c>
      <c r="R116" s="2" t="inlineStr"/>
    </row>
    <row r="117" ht="15" customHeight="1">
      <c r="A117" t="inlineStr">
        <is>
          <t>A 52464-2020</t>
        </is>
      </c>
      <c r="B117" s="1" t="n">
        <v>44118</v>
      </c>
      <c r="C117" s="1" t="n">
        <v>45895</v>
      </c>
      <c r="D117" t="inlineStr">
        <is>
          <t>UPPSALA LÄN</t>
        </is>
      </c>
      <c r="E117" t="inlineStr">
        <is>
          <t>ENKÖPING</t>
        </is>
      </c>
      <c r="G117" t="n">
        <v>4.6</v>
      </c>
      <c r="H117" t="n">
        <v>0</v>
      </c>
      <c r="I117" t="n">
        <v>0</v>
      </c>
      <c r="J117" t="n">
        <v>0</v>
      </c>
      <c r="K117" t="n">
        <v>0</v>
      </c>
      <c r="L117" t="n">
        <v>0</v>
      </c>
      <c r="M117" t="n">
        <v>0</v>
      </c>
      <c r="N117" t="n">
        <v>0</v>
      </c>
      <c r="O117" t="n">
        <v>0</v>
      </c>
      <c r="P117" t="n">
        <v>0</v>
      </c>
      <c r="Q117" t="n">
        <v>0</v>
      </c>
      <c r="R117" s="2" t="inlineStr"/>
    </row>
    <row r="118" ht="15" customHeight="1">
      <c r="A118" t="inlineStr">
        <is>
          <t>A 31013-2022</t>
        </is>
      </c>
      <c r="B118" s="1" t="n">
        <v>44768</v>
      </c>
      <c r="C118" s="1" t="n">
        <v>45895</v>
      </c>
      <c r="D118" t="inlineStr">
        <is>
          <t>UPPSALA LÄN</t>
        </is>
      </c>
      <c r="E118" t="inlineStr">
        <is>
          <t>ENKÖPING</t>
        </is>
      </c>
      <c r="F118" t="inlineStr">
        <is>
          <t>Allmännings- och besparingsskogar</t>
        </is>
      </c>
      <c r="G118" t="n">
        <v>0.5</v>
      </c>
      <c r="H118" t="n">
        <v>0</v>
      </c>
      <c r="I118" t="n">
        <v>0</v>
      </c>
      <c r="J118" t="n">
        <v>0</v>
      </c>
      <c r="K118" t="n">
        <v>0</v>
      </c>
      <c r="L118" t="n">
        <v>0</v>
      </c>
      <c r="M118" t="n">
        <v>0</v>
      </c>
      <c r="N118" t="n">
        <v>0</v>
      </c>
      <c r="O118" t="n">
        <v>0</v>
      </c>
      <c r="P118" t="n">
        <v>0</v>
      </c>
      <c r="Q118" t="n">
        <v>0</v>
      </c>
      <c r="R118" s="2" t="inlineStr"/>
    </row>
    <row r="119" ht="15" customHeight="1">
      <c r="A119" t="inlineStr">
        <is>
          <t>A 46103-2023</t>
        </is>
      </c>
      <c r="B119" s="1" t="n">
        <v>45190</v>
      </c>
      <c r="C119" s="1" t="n">
        <v>45895</v>
      </c>
      <c r="D119" t="inlineStr">
        <is>
          <t>UPPSALA LÄN</t>
        </is>
      </c>
      <c r="E119" t="inlineStr">
        <is>
          <t>ENKÖPING</t>
        </is>
      </c>
      <c r="G119" t="n">
        <v>4.6</v>
      </c>
      <c r="H119" t="n">
        <v>0</v>
      </c>
      <c r="I119" t="n">
        <v>0</v>
      </c>
      <c r="J119" t="n">
        <v>0</v>
      </c>
      <c r="K119" t="n">
        <v>0</v>
      </c>
      <c r="L119" t="n">
        <v>0</v>
      </c>
      <c r="M119" t="n">
        <v>0</v>
      </c>
      <c r="N119" t="n">
        <v>0</v>
      </c>
      <c r="O119" t="n">
        <v>0</v>
      </c>
      <c r="P119" t="n">
        <v>0</v>
      </c>
      <c r="Q119" t="n">
        <v>0</v>
      </c>
      <c r="R119" s="2" t="inlineStr"/>
    </row>
    <row r="120" ht="15" customHeight="1">
      <c r="A120" t="inlineStr">
        <is>
          <t>A 31965-2021</t>
        </is>
      </c>
      <c r="B120" s="1" t="n">
        <v>44370.56901620371</v>
      </c>
      <c r="C120" s="1" t="n">
        <v>45895</v>
      </c>
      <c r="D120" t="inlineStr">
        <is>
          <t>UPPSALA LÄN</t>
        </is>
      </c>
      <c r="E120" t="inlineStr">
        <is>
          <t>ENKÖPING</t>
        </is>
      </c>
      <c r="G120" t="n">
        <v>0.9</v>
      </c>
      <c r="H120" t="n">
        <v>0</v>
      </c>
      <c r="I120" t="n">
        <v>0</v>
      </c>
      <c r="J120" t="n">
        <v>0</v>
      </c>
      <c r="K120" t="n">
        <v>0</v>
      </c>
      <c r="L120" t="n">
        <v>0</v>
      </c>
      <c r="M120" t="n">
        <v>0</v>
      </c>
      <c r="N120" t="n">
        <v>0</v>
      </c>
      <c r="O120" t="n">
        <v>0</v>
      </c>
      <c r="P120" t="n">
        <v>0</v>
      </c>
      <c r="Q120" t="n">
        <v>0</v>
      </c>
      <c r="R120" s="2" t="inlineStr"/>
    </row>
    <row r="121" ht="15" customHeight="1">
      <c r="A121" t="inlineStr">
        <is>
          <t>A 42029-2021</t>
        </is>
      </c>
      <c r="B121" s="1" t="n">
        <v>44426</v>
      </c>
      <c r="C121" s="1" t="n">
        <v>45895</v>
      </c>
      <c r="D121" t="inlineStr">
        <is>
          <t>UPPSALA LÄN</t>
        </is>
      </c>
      <c r="E121" t="inlineStr">
        <is>
          <t>ENKÖPING</t>
        </is>
      </c>
      <c r="G121" t="n">
        <v>5.3</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45895</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43488-2023</t>
        </is>
      </c>
      <c r="B123" s="1" t="n">
        <v>45181</v>
      </c>
      <c r="C123" s="1" t="n">
        <v>45895</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12755-2025</t>
        </is>
      </c>
      <c r="B124" s="1" t="n">
        <v>45733.56541666666</v>
      </c>
      <c r="C124" s="1" t="n">
        <v>45895</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25333-2023</t>
        </is>
      </c>
      <c r="B125" s="1" t="n">
        <v>45083</v>
      </c>
      <c r="C125" s="1" t="n">
        <v>45895</v>
      </c>
      <c r="D125" t="inlineStr">
        <is>
          <t>UPPSALA LÄN</t>
        </is>
      </c>
      <c r="E125" t="inlineStr">
        <is>
          <t>ENKÖPING</t>
        </is>
      </c>
      <c r="G125" t="n">
        <v>2.7</v>
      </c>
      <c r="H125" t="n">
        <v>0</v>
      </c>
      <c r="I125" t="n">
        <v>0</v>
      </c>
      <c r="J125" t="n">
        <v>0</v>
      </c>
      <c r="K125" t="n">
        <v>0</v>
      </c>
      <c r="L125" t="n">
        <v>0</v>
      </c>
      <c r="M125" t="n">
        <v>0</v>
      </c>
      <c r="N125" t="n">
        <v>0</v>
      </c>
      <c r="O125" t="n">
        <v>0</v>
      </c>
      <c r="P125" t="n">
        <v>0</v>
      </c>
      <c r="Q125" t="n">
        <v>0</v>
      </c>
      <c r="R125" s="2" t="inlineStr"/>
    </row>
    <row r="126" ht="15" customHeight="1">
      <c r="A126" t="inlineStr">
        <is>
          <t>A 63310-2021</t>
        </is>
      </c>
      <c r="B126" s="1" t="n">
        <v>44508</v>
      </c>
      <c r="C126" s="1" t="n">
        <v>45895</v>
      </c>
      <c r="D126" t="inlineStr">
        <is>
          <t>UPPSALA LÄN</t>
        </is>
      </c>
      <c r="E126" t="inlineStr">
        <is>
          <t>ENKÖPING</t>
        </is>
      </c>
      <c r="G126" t="n">
        <v>3.5</v>
      </c>
      <c r="H126" t="n">
        <v>0</v>
      </c>
      <c r="I126" t="n">
        <v>0</v>
      </c>
      <c r="J126" t="n">
        <v>0</v>
      </c>
      <c r="K126" t="n">
        <v>0</v>
      </c>
      <c r="L126" t="n">
        <v>0</v>
      </c>
      <c r="M126" t="n">
        <v>0</v>
      </c>
      <c r="N126" t="n">
        <v>0</v>
      </c>
      <c r="O126" t="n">
        <v>0</v>
      </c>
      <c r="P126" t="n">
        <v>0</v>
      </c>
      <c r="Q126" t="n">
        <v>0</v>
      </c>
      <c r="R126" s="2" t="inlineStr"/>
    </row>
    <row r="127" ht="15" customHeight="1">
      <c r="A127" t="inlineStr">
        <is>
          <t>A 4044-2024</t>
        </is>
      </c>
      <c r="B127" s="1" t="n">
        <v>45323.45954861111</v>
      </c>
      <c r="C127" s="1" t="n">
        <v>45895</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50747-2022</t>
        </is>
      </c>
      <c r="B128" s="1" t="n">
        <v>44867.40162037037</v>
      </c>
      <c r="C128" s="1" t="n">
        <v>45895</v>
      </c>
      <c r="D128" t="inlineStr">
        <is>
          <t>UPPSALA LÄN</t>
        </is>
      </c>
      <c r="E128" t="inlineStr">
        <is>
          <t>ENKÖPING</t>
        </is>
      </c>
      <c r="G128" t="n">
        <v>1.5</v>
      </c>
      <c r="H128" t="n">
        <v>0</v>
      </c>
      <c r="I128" t="n">
        <v>0</v>
      </c>
      <c r="J128" t="n">
        <v>0</v>
      </c>
      <c r="K128" t="n">
        <v>0</v>
      </c>
      <c r="L128" t="n">
        <v>0</v>
      </c>
      <c r="M128" t="n">
        <v>0</v>
      </c>
      <c r="N128" t="n">
        <v>0</v>
      </c>
      <c r="O128" t="n">
        <v>0</v>
      </c>
      <c r="P128" t="n">
        <v>0</v>
      </c>
      <c r="Q128" t="n">
        <v>0</v>
      </c>
      <c r="R128" s="2" t="inlineStr"/>
    </row>
    <row r="129" ht="15" customHeight="1">
      <c r="A129" t="inlineStr">
        <is>
          <t>A 57152-2021</t>
        </is>
      </c>
      <c r="B129" s="1" t="n">
        <v>44482</v>
      </c>
      <c r="C129" s="1" t="n">
        <v>45895</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61106-2022</t>
        </is>
      </c>
      <c r="B130" s="1" t="n">
        <v>44915.4128587963</v>
      </c>
      <c r="C130" s="1" t="n">
        <v>45895</v>
      </c>
      <c r="D130" t="inlineStr">
        <is>
          <t>UPPSALA LÄN</t>
        </is>
      </c>
      <c r="E130" t="inlineStr">
        <is>
          <t>ENKÖPING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5211-2024</t>
        </is>
      </c>
      <c r="B131" s="1" t="n">
        <v>45330</v>
      </c>
      <c r="C131" s="1" t="n">
        <v>45895</v>
      </c>
      <c r="D131" t="inlineStr">
        <is>
          <t>UPPSALA LÄN</t>
        </is>
      </c>
      <c r="E131" t="inlineStr">
        <is>
          <t>ENKÖPING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30437-2022</t>
        </is>
      </c>
      <c r="B132" s="1" t="n">
        <v>44761</v>
      </c>
      <c r="C132" s="1" t="n">
        <v>45895</v>
      </c>
      <c r="D132" t="inlineStr">
        <is>
          <t>UPPSALA LÄN</t>
        </is>
      </c>
      <c r="E132" t="inlineStr">
        <is>
          <t>ENKÖPING</t>
        </is>
      </c>
      <c r="G132" t="n">
        <v>3.4</v>
      </c>
      <c r="H132" t="n">
        <v>0</v>
      </c>
      <c r="I132" t="n">
        <v>0</v>
      </c>
      <c r="J132" t="n">
        <v>0</v>
      </c>
      <c r="K132" t="n">
        <v>0</v>
      </c>
      <c r="L132" t="n">
        <v>0</v>
      </c>
      <c r="M132" t="n">
        <v>0</v>
      </c>
      <c r="N132" t="n">
        <v>0</v>
      </c>
      <c r="O132" t="n">
        <v>0</v>
      </c>
      <c r="P132" t="n">
        <v>0</v>
      </c>
      <c r="Q132" t="n">
        <v>0</v>
      </c>
      <c r="R132" s="2" t="inlineStr"/>
    </row>
    <row r="133" ht="15" customHeight="1">
      <c r="A133" t="inlineStr">
        <is>
          <t>A 1971-2022</t>
        </is>
      </c>
      <c r="B133" s="1" t="n">
        <v>44575</v>
      </c>
      <c r="C133" s="1" t="n">
        <v>45895</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12878-2025</t>
        </is>
      </c>
      <c r="B134" s="1" t="n">
        <v>45733.68571759259</v>
      </c>
      <c r="C134" s="1" t="n">
        <v>45895</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12572-2021</t>
        </is>
      </c>
      <c r="B135" s="1" t="n">
        <v>44270.36438657407</v>
      </c>
      <c r="C135" s="1" t="n">
        <v>45895</v>
      </c>
      <c r="D135" t="inlineStr">
        <is>
          <t>UPPSALA LÄN</t>
        </is>
      </c>
      <c r="E135" t="inlineStr">
        <is>
          <t>ENKÖPING</t>
        </is>
      </c>
      <c r="G135" t="n">
        <v>3.3</v>
      </c>
      <c r="H135" t="n">
        <v>0</v>
      </c>
      <c r="I135" t="n">
        <v>0</v>
      </c>
      <c r="J135" t="n">
        <v>0</v>
      </c>
      <c r="K135" t="n">
        <v>0</v>
      </c>
      <c r="L135" t="n">
        <v>0</v>
      </c>
      <c r="M135" t="n">
        <v>0</v>
      </c>
      <c r="N135" t="n">
        <v>0</v>
      </c>
      <c r="O135" t="n">
        <v>0</v>
      </c>
      <c r="P135" t="n">
        <v>0</v>
      </c>
      <c r="Q135" t="n">
        <v>0</v>
      </c>
      <c r="R135" s="2" t="inlineStr"/>
    </row>
    <row r="136" ht="15" customHeight="1">
      <c r="A136" t="inlineStr">
        <is>
          <t>A 9171-2024</t>
        </is>
      </c>
      <c r="B136" s="1" t="n">
        <v>45358</v>
      </c>
      <c r="C136" s="1" t="n">
        <v>45895</v>
      </c>
      <c r="D136" t="inlineStr">
        <is>
          <t>UPPSALA LÄN</t>
        </is>
      </c>
      <c r="E136" t="inlineStr">
        <is>
          <t>ENKÖPING</t>
        </is>
      </c>
      <c r="G136" t="n">
        <v>1.8</v>
      </c>
      <c r="H136" t="n">
        <v>0</v>
      </c>
      <c r="I136" t="n">
        <v>0</v>
      </c>
      <c r="J136" t="n">
        <v>0</v>
      </c>
      <c r="K136" t="n">
        <v>0</v>
      </c>
      <c r="L136" t="n">
        <v>0</v>
      </c>
      <c r="M136" t="n">
        <v>0</v>
      </c>
      <c r="N136" t="n">
        <v>0</v>
      </c>
      <c r="O136" t="n">
        <v>0</v>
      </c>
      <c r="P136" t="n">
        <v>0</v>
      </c>
      <c r="Q136" t="n">
        <v>0</v>
      </c>
      <c r="R136" s="2" t="inlineStr"/>
    </row>
    <row r="137" ht="15" customHeight="1">
      <c r="A137" t="inlineStr">
        <is>
          <t>A 671-2022</t>
        </is>
      </c>
      <c r="B137" s="1" t="n">
        <v>44568</v>
      </c>
      <c r="C137" s="1" t="n">
        <v>45895</v>
      </c>
      <c r="D137" t="inlineStr">
        <is>
          <t>UPPSALA LÄN</t>
        </is>
      </c>
      <c r="E137" t="inlineStr">
        <is>
          <t>ENKÖPING</t>
        </is>
      </c>
      <c r="G137" t="n">
        <v>3.5</v>
      </c>
      <c r="H137" t="n">
        <v>0</v>
      </c>
      <c r="I137" t="n">
        <v>0</v>
      </c>
      <c r="J137" t="n">
        <v>0</v>
      </c>
      <c r="K137" t="n">
        <v>0</v>
      </c>
      <c r="L137" t="n">
        <v>0</v>
      </c>
      <c r="M137" t="n">
        <v>0</v>
      </c>
      <c r="N137" t="n">
        <v>0</v>
      </c>
      <c r="O137" t="n">
        <v>0</v>
      </c>
      <c r="P137" t="n">
        <v>0</v>
      </c>
      <c r="Q137" t="n">
        <v>0</v>
      </c>
      <c r="R137" s="2" t="inlineStr"/>
    </row>
    <row r="138" ht="15" customHeight="1">
      <c r="A138" t="inlineStr">
        <is>
          <t>A 11005-2023</t>
        </is>
      </c>
      <c r="B138" s="1" t="n">
        <v>44991</v>
      </c>
      <c r="C138" s="1" t="n">
        <v>45895</v>
      </c>
      <c r="D138" t="inlineStr">
        <is>
          <t>UPPSALA LÄN</t>
        </is>
      </c>
      <c r="E138" t="inlineStr">
        <is>
          <t>ENKÖPING</t>
        </is>
      </c>
      <c r="G138" t="n">
        <v>1.1</v>
      </c>
      <c r="H138" t="n">
        <v>0</v>
      </c>
      <c r="I138" t="n">
        <v>0</v>
      </c>
      <c r="J138" t="n">
        <v>0</v>
      </c>
      <c r="K138" t="n">
        <v>0</v>
      </c>
      <c r="L138" t="n">
        <v>0</v>
      </c>
      <c r="M138" t="n">
        <v>0</v>
      </c>
      <c r="N138" t="n">
        <v>0</v>
      </c>
      <c r="O138" t="n">
        <v>0</v>
      </c>
      <c r="P138" t="n">
        <v>0</v>
      </c>
      <c r="Q138" t="n">
        <v>0</v>
      </c>
      <c r="R138" s="2" t="inlineStr"/>
    </row>
    <row r="139" ht="15" customHeight="1">
      <c r="A139" t="inlineStr">
        <is>
          <t>A 52889-2022</t>
        </is>
      </c>
      <c r="B139" s="1" t="n">
        <v>44875</v>
      </c>
      <c r="C139" s="1" t="n">
        <v>45895</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20112-2024</t>
        </is>
      </c>
      <c r="B140" s="1" t="n">
        <v>45434</v>
      </c>
      <c r="C140" s="1" t="n">
        <v>45895</v>
      </c>
      <c r="D140" t="inlineStr">
        <is>
          <t>UPPSALA LÄN</t>
        </is>
      </c>
      <c r="E140" t="inlineStr">
        <is>
          <t>ENKÖPING</t>
        </is>
      </c>
      <c r="G140" t="n">
        <v>1.8</v>
      </c>
      <c r="H140" t="n">
        <v>0</v>
      </c>
      <c r="I140" t="n">
        <v>0</v>
      </c>
      <c r="J140" t="n">
        <v>0</v>
      </c>
      <c r="K140" t="n">
        <v>0</v>
      </c>
      <c r="L140" t="n">
        <v>0</v>
      </c>
      <c r="M140" t="n">
        <v>0</v>
      </c>
      <c r="N140" t="n">
        <v>0</v>
      </c>
      <c r="O140" t="n">
        <v>0</v>
      </c>
      <c r="P140" t="n">
        <v>0</v>
      </c>
      <c r="Q140" t="n">
        <v>0</v>
      </c>
      <c r="R140" s="2" t="inlineStr"/>
    </row>
    <row r="141" ht="15" customHeight="1">
      <c r="A141" t="inlineStr">
        <is>
          <t>A 29918-2023</t>
        </is>
      </c>
      <c r="B141" s="1" t="n">
        <v>45099</v>
      </c>
      <c r="C141" s="1" t="n">
        <v>45895</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47681-2024</t>
        </is>
      </c>
      <c r="B142" s="1" t="n">
        <v>45588</v>
      </c>
      <c r="C142" s="1" t="n">
        <v>45895</v>
      </c>
      <c r="D142" t="inlineStr">
        <is>
          <t>UPPSALA LÄN</t>
        </is>
      </c>
      <c r="E142" t="inlineStr">
        <is>
          <t>ENKÖPING</t>
        </is>
      </c>
      <c r="G142" t="n">
        <v>4.2</v>
      </c>
      <c r="H142" t="n">
        <v>0</v>
      </c>
      <c r="I142" t="n">
        <v>0</v>
      </c>
      <c r="J142" t="n">
        <v>0</v>
      </c>
      <c r="K142" t="n">
        <v>0</v>
      </c>
      <c r="L142" t="n">
        <v>0</v>
      </c>
      <c r="M142" t="n">
        <v>0</v>
      </c>
      <c r="N142" t="n">
        <v>0</v>
      </c>
      <c r="O142" t="n">
        <v>0</v>
      </c>
      <c r="P142" t="n">
        <v>0</v>
      </c>
      <c r="Q142" t="n">
        <v>0</v>
      </c>
      <c r="R142" s="2" t="inlineStr"/>
    </row>
    <row r="143" ht="15" customHeight="1">
      <c r="A143" t="inlineStr">
        <is>
          <t>A 51932-2022</t>
        </is>
      </c>
      <c r="B143" s="1" t="n">
        <v>44872</v>
      </c>
      <c r="C143" s="1" t="n">
        <v>45895</v>
      </c>
      <c r="D143" t="inlineStr">
        <is>
          <t>UPPSALA LÄN</t>
        </is>
      </c>
      <c r="E143" t="inlineStr">
        <is>
          <t>ENKÖPING</t>
        </is>
      </c>
      <c r="G143" t="n">
        <v>5.5</v>
      </c>
      <c r="H143" t="n">
        <v>0</v>
      </c>
      <c r="I143" t="n">
        <v>0</v>
      </c>
      <c r="J143" t="n">
        <v>0</v>
      </c>
      <c r="K143" t="n">
        <v>0</v>
      </c>
      <c r="L143" t="n">
        <v>0</v>
      </c>
      <c r="M143" t="n">
        <v>0</v>
      </c>
      <c r="N143" t="n">
        <v>0</v>
      </c>
      <c r="O143" t="n">
        <v>0</v>
      </c>
      <c r="P143" t="n">
        <v>0</v>
      </c>
      <c r="Q143" t="n">
        <v>0</v>
      </c>
      <c r="R143" s="2" t="inlineStr"/>
    </row>
    <row r="144" ht="15" customHeight="1">
      <c r="A144" t="inlineStr">
        <is>
          <t>A 12754-2025</t>
        </is>
      </c>
      <c r="B144" s="1" t="n">
        <v>45733.56331018519</v>
      </c>
      <c r="C144" s="1" t="n">
        <v>45895</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58384-2022</t>
        </is>
      </c>
      <c r="B145" s="1" t="n">
        <v>44901</v>
      </c>
      <c r="C145" s="1" t="n">
        <v>45895</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43016-2021</t>
        </is>
      </c>
      <c r="B146" s="1" t="n">
        <v>44431</v>
      </c>
      <c r="C146" s="1" t="n">
        <v>45895</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54588-2024</t>
        </is>
      </c>
      <c r="B147" s="1" t="n">
        <v>45617</v>
      </c>
      <c r="C147" s="1" t="n">
        <v>45895</v>
      </c>
      <c r="D147" t="inlineStr">
        <is>
          <t>UPPSALA LÄN</t>
        </is>
      </c>
      <c r="E147" t="inlineStr">
        <is>
          <t>ENKÖPING</t>
        </is>
      </c>
      <c r="G147" t="n">
        <v>3.7</v>
      </c>
      <c r="H147" t="n">
        <v>0</v>
      </c>
      <c r="I147" t="n">
        <v>0</v>
      </c>
      <c r="J147" t="n">
        <v>0</v>
      </c>
      <c r="K147" t="n">
        <v>0</v>
      </c>
      <c r="L147" t="n">
        <v>0</v>
      </c>
      <c r="M147" t="n">
        <v>0</v>
      </c>
      <c r="N147" t="n">
        <v>0</v>
      </c>
      <c r="O147" t="n">
        <v>0</v>
      </c>
      <c r="P147" t="n">
        <v>0</v>
      </c>
      <c r="Q147" t="n">
        <v>0</v>
      </c>
      <c r="R147" s="2" t="inlineStr"/>
    </row>
    <row r="148" ht="15" customHeight="1">
      <c r="A148" t="inlineStr">
        <is>
          <t>A 56713-2024</t>
        </is>
      </c>
      <c r="B148" s="1" t="n">
        <v>45628</v>
      </c>
      <c r="C148" s="1" t="n">
        <v>45895</v>
      </c>
      <c r="D148" t="inlineStr">
        <is>
          <t>UPPSALA LÄN</t>
        </is>
      </c>
      <c r="E148" t="inlineStr">
        <is>
          <t>ENKÖPING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15893-2024</t>
        </is>
      </c>
      <c r="B149" s="1" t="n">
        <v>45405</v>
      </c>
      <c r="C149" s="1" t="n">
        <v>45895</v>
      </c>
      <c r="D149" t="inlineStr">
        <is>
          <t>UPPSALA LÄN</t>
        </is>
      </c>
      <c r="E149" t="inlineStr">
        <is>
          <t>ENKÖPING</t>
        </is>
      </c>
      <c r="G149" t="n">
        <v>1.9</v>
      </c>
      <c r="H149" t="n">
        <v>0</v>
      </c>
      <c r="I149" t="n">
        <v>0</v>
      </c>
      <c r="J149" t="n">
        <v>0</v>
      </c>
      <c r="K149" t="n">
        <v>0</v>
      </c>
      <c r="L149" t="n">
        <v>0</v>
      </c>
      <c r="M149" t="n">
        <v>0</v>
      </c>
      <c r="N149" t="n">
        <v>0</v>
      </c>
      <c r="O149" t="n">
        <v>0</v>
      </c>
      <c r="P149" t="n">
        <v>0</v>
      </c>
      <c r="Q149" t="n">
        <v>0</v>
      </c>
      <c r="R149" s="2" t="inlineStr"/>
    </row>
    <row r="150" ht="15" customHeight="1">
      <c r="A150" t="inlineStr">
        <is>
          <t>A 33343-2024</t>
        </is>
      </c>
      <c r="B150" s="1" t="n">
        <v>45519</v>
      </c>
      <c r="C150" s="1" t="n">
        <v>45895</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51524-2022</t>
        </is>
      </c>
      <c r="B151" s="1" t="n">
        <v>44869</v>
      </c>
      <c r="C151" s="1" t="n">
        <v>45895</v>
      </c>
      <c r="D151" t="inlineStr">
        <is>
          <t>UPPSALA LÄN</t>
        </is>
      </c>
      <c r="E151" t="inlineStr">
        <is>
          <t>ENKÖPING</t>
        </is>
      </c>
      <c r="G151" t="n">
        <v>6.6</v>
      </c>
      <c r="H151" t="n">
        <v>0</v>
      </c>
      <c r="I151" t="n">
        <v>0</v>
      </c>
      <c r="J151" t="n">
        <v>0</v>
      </c>
      <c r="K151" t="n">
        <v>0</v>
      </c>
      <c r="L151" t="n">
        <v>0</v>
      </c>
      <c r="M151" t="n">
        <v>0</v>
      </c>
      <c r="N151" t="n">
        <v>0</v>
      </c>
      <c r="O151" t="n">
        <v>0</v>
      </c>
      <c r="P151" t="n">
        <v>0</v>
      </c>
      <c r="Q151" t="n">
        <v>0</v>
      </c>
      <c r="R151" s="2" t="inlineStr"/>
    </row>
    <row r="152" ht="15" customHeight="1">
      <c r="A152" t="inlineStr">
        <is>
          <t>A 12958-2024</t>
        </is>
      </c>
      <c r="B152" s="1" t="n">
        <v>45385</v>
      </c>
      <c r="C152" s="1" t="n">
        <v>45895</v>
      </c>
      <c r="D152" t="inlineStr">
        <is>
          <t>UPPSALA LÄN</t>
        </is>
      </c>
      <c r="E152" t="inlineStr">
        <is>
          <t>ENKÖPING</t>
        </is>
      </c>
      <c r="G152" t="n">
        <v>2.1</v>
      </c>
      <c r="H152" t="n">
        <v>0</v>
      </c>
      <c r="I152" t="n">
        <v>0</v>
      </c>
      <c r="J152" t="n">
        <v>0</v>
      </c>
      <c r="K152" t="n">
        <v>0</v>
      </c>
      <c r="L152" t="n">
        <v>0</v>
      </c>
      <c r="M152" t="n">
        <v>0</v>
      </c>
      <c r="N152" t="n">
        <v>0</v>
      </c>
      <c r="O152" t="n">
        <v>0</v>
      </c>
      <c r="P152" t="n">
        <v>0</v>
      </c>
      <c r="Q152" t="n">
        <v>0</v>
      </c>
      <c r="R152" s="2" t="inlineStr"/>
    </row>
    <row r="153" ht="15" customHeight="1">
      <c r="A153" t="inlineStr">
        <is>
          <t>A 57142-2021</t>
        </is>
      </c>
      <c r="B153" s="1" t="n">
        <v>44482</v>
      </c>
      <c r="C153" s="1" t="n">
        <v>45895</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57153-2021</t>
        </is>
      </c>
      <c r="B154" s="1" t="n">
        <v>44482</v>
      </c>
      <c r="C154" s="1" t="n">
        <v>45895</v>
      </c>
      <c r="D154" t="inlineStr">
        <is>
          <t>UPPSALA LÄN</t>
        </is>
      </c>
      <c r="E154" t="inlineStr">
        <is>
          <t>ENKÖPING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8137-2025</t>
        </is>
      </c>
      <c r="B155" s="1" t="n">
        <v>45707.8561574074</v>
      </c>
      <c r="C155" s="1" t="n">
        <v>45895</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7868-2024</t>
        </is>
      </c>
      <c r="B156" s="1" t="n">
        <v>45350.33020833333</v>
      </c>
      <c r="C156" s="1" t="n">
        <v>45895</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5188-2022</t>
        </is>
      </c>
      <c r="B157" s="1" t="n">
        <v>44594.4471412037</v>
      </c>
      <c r="C157" s="1" t="n">
        <v>45895</v>
      </c>
      <c r="D157" t="inlineStr">
        <is>
          <t>UPPSALA LÄN</t>
        </is>
      </c>
      <c r="E157" t="inlineStr">
        <is>
          <t>ENKÖPING</t>
        </is>
      </c>
      <c r="G157" t="n">
        <v>1.6</v>
      </c>
      <c r="H157" t="n">
        <v>0</v>
      </c>
      <c r="I157" t="n">
        <v>0</v>
      </c>
      <c r="J157" t="n">
        <v>0</v>
      </c>
      <c r="K157" t="n">
        <v>0</v>
      </c>
      <c r="L157" t="n">
        <v>0</v>
      </c>
      <c r="M157" t="n">
        <v>0</v>
      </c>
      <c r="N157" t="n">
        <v>0</v>
      </c>
      <c r="O157" t="n">
        <v>0</v>
      </c>
      <c r="P157" t="n">
        <v>0</v>
      </c>
      <c r="Q157" t="n">
        <v>0</v>
      </c>
      <c r="R157" s="2" t="inlineStr"/>
    </row>
    <row r="158" ht="15" customHeight="1">
      <c r="A158" t="inlineStr">
        <is>
          <t>A 19014-2025</t>
        </is>
      </c>
      <c r="B158" s="1" t="n">
        <v>45764.59631944444</v>
      </c>
      <c r="C158" s="1" t="n">
        <v>45895</v>
      </c>
      <c r="D158" t="inlineStr">
        <is>
          <t>UPPSALA LÄN</t>
        </is>
      </c>
      <c r="E158" t="inlineStr">
        <is>
          <t>ENKÖPING</t>
        </is>
      </c>
      <c r="G158" t="n">
        <v>0.2</v>
      </c>
      <c r="H158" t="n">
        <v>0</v>
      </c>
      <c r="I158" t="n">
        <v>0</v>
      </c>
      <c r="J158" t="n">
        <v>0</v>
      </c>
      <c r="K158" t="n">
        <v>0</v>
      </c>
      <c r="L158" t="n">
        <v>0</v>
      </c>
      <c r="M158" t="n">
        <v>0</v>
      </c>
      <c r="N158" t="n">
        <v>0</v>
      </c>
      <c r="O158" t="n">
        <v>0</v>
      </c>
      <c r="P158" t="n">
        <v>0</v>
      </c>
      <c r="Q158" t="n">
        <v>0</v>
      </c>
      <c r="R158" s="2" t="inlineStr"/>
    </row>
    <row r="159" ht="15" customHeight="1">
      <c r="A159" t="inlineStr">
        <is>
          <t>A 43691-2024</t>
        </is>
      </c>
      <c r="B159" s="1" t="n">
        <v>45569</v>
      </c>
      <c r="C159" s="1" t="n">
        <v>45895</v>
      </c>
      <c r="D159" t="inlineStr">
        <is>
          <t>UPPSALA LÄN</t>
        </is>
      </c>
      <c r="E159" t="inlineStr">
        <is>
          <t>ENKÖPING</t>
        </is>
      </c>
      <c r="G159" t="n">
        <v>1.8</v>
      </c>
      <c r="H159" t="n">
        <v>0</v>
      </c>
      <c r="I159" t="n">
        <v>0</v>
      </c>
      <c r="J159" t="n">
        <v>0</v>
      </c>
      <c r="K159" t="n">
        <v>0</v>
      </c>
      <c r="L159" t="n">
        <v>0</v>
      </c>
      <c r="M159" t="n">
        <v>0</v>
      </c>
      <c r="N159" t="n">
        <v>0</v>
      </c>
      <c r="O159" t="n">
        <v>0</v>
      </c>
      <c r="P159" t="n">
        <v>0</v>
      </c>
      <c r="Q159" t="n">
        <v>0</v>
      </c>
      <c r="R159" s="2" t="inlineStr"/>
    </row>
    <row r="160" ht="15" customHeight="1">
      <c r="A160" t="inlineStr">
        <is>
          <t>A 51008-2024</t>
        </is>
      </c>
      <c r="B160" s="1" t="n">
        <v>45603.39041666667</v>
      </c>
      <c r="C160" s="1" t="n">
        <v>45895</v>
      </c>
      <c r="D160" t="inlineStr">
        <is>
          <t>UPPSALA LÄN</t>
        </is>
      </c>
      <c r="E160" t="inlineStr">
        <is>
          <t>ENKÖPING</t>
        </is>
      </c>
      <c r="G160" t="n">
        <v>2.4</v>
      </c>
      <c r="H160" t="n">
        <v>0</v>
      </c>
      <c r="I160" t="n">
        <v>0</v>
      </c>
      <c r="J160" t="n">
        <v>0</v>
      </c>
      <c r="K160" t="n">
        <v>0</v>
      </c>
      <c r="L160" t="n">
        <v>0</v>
      </c>
      <c r="M160" t="n">
        <v>0</v>
      </c>
      <c r="N160" t="n">
        <v>0</v>
      </c>
      <c r="O160" t="n">
        <v>0</v>
      </c>
      <c r="P160" t="n">
        <v>0</v>
      </c>
      <c r="Q160" t="n">
        <v>0</v>
      </c>
      <c r="R160" s="2" t="inlineStr"/>
    </row>
    <row r="161" ht="15" customHeight="1">
      <c r="A161" t="inlineStr">
        <is>
          <t>A 40812-2022</t>
        </is>
      </c>
      <c r="B161" s="1" t="n">
        <v>44824.68791666667</v>
      </c>
      <c r="C161" s="1" t="n">
        <v>45895</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24291-2024</t>
        </is>
      </c>
      <c r="B162" s="1" t="n">
        <v>45457.4584837963</v>
      </c>
      <c r="C162" s="1" t="n">
        <v>45895</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19376-2024</t>
        </is>
      </c>
      <c r="B163" s="1" t="n">
        <v>45429</v>
      </c>
      <c r="C163" s="1" t="n">
        <v>45895</v>
      </c>
      <c r="D163" t="inlineStr">
        <is>
          <t>UPPSALA LÄN</t>
        </is>
      </c>
      <c r="E163" t="inlineStr">
        <is>
          <t>ENKÖPING</t>
        </is>
      </c>
      <c r="G163" t="n">
        <v>1.6</v>
      </c>
      <c r="H163" t="n">
        <v>0</v>
      </c>
      <c r="I163" t="n">
        <v>0</v>
      </c>
      <c r="J163" t="n">
        <v>0</v>
      </c>
      <c r="K163" t="n">
        <v>0</v>
      </c>
      <c r="L163" t="n">
        <v>0</v>
      </c>
      <c r="M163" t="n">
        <v>0</v>
      </c>
      <c r="N163" t="n">
        <v>0</v>
      </c>
      <c r="O163" t="n">
        <v>0</v>
      </c>
      <c r="P163" t="n">
        <v>0</v>
      </c>
      <c r="Q163" t="n">
        <v>0</v>
      </c>
      <c r="R163" s="2" t="inlineStr"/>
    </row>
    <row r="164" ht="15" customHeight="1">
      <c r="A164" t="inlineStr">
        <is>
          <t>A 35052-2024</t>
        </is>
      </c>
      <c r="B164" s="1" t="n">
        <v>45527.6516087963</v>
      </c>
      <c r="C164" s="1" t="n">
        <v>45895</v>
      </c>
      <c r="D164" t="inlineStr">
        <is>
          <t>UPPSALA LÄN</t>
        </is>
      </c>
      <c r="E164" t="inlineStr">
        <is>
          <t>ENKÖPING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21017-2023</t>
        </is>
      </c>
      <c r="B165" s="1" t="n">
        <v>45061</v>
      </c>
      <c r="C165" s="1" t="n">
        <v>45895</v>
      </c>
      <c r="D165" t="inlineStr">
        <is>
          <t>UPPSALA LÄN</t>
        </is>
      </c>
      <c r="E165" t="inlineStr">
        <is>
          <t>ENKÖPING</t>
        </is>
      </c>
      <c r="G165" t="n">
        <v>4.8</v>
      </c>
      <c r="H165" t="n">
        <v>0</v>
      </c>
      <c r="I165" t="n">
        <v>0</v>
      </c>
      <c r="J165" t="n">
        <v>0</v>
      </c>
      <c r="K165" t="n">
        <v>0</v>
      </c>
      <c r="L165" t="n">
        <v>0</v>
      </c>
      <c r="M165" t="n">
        <v>0</v>
      </c>
      <c r="N165" t="n">
        <v>0</v>
      </c>
      <c r="O165" t="n">
        <v>0</v>
      </c>
      <c r="P165" t="n">
        <v>0</v>
      </c>
      <c r="Q165" t="n">
        <v>0</v>
      </c>
      <c r="R165" s="2" t="inlineStr"/>
    </row>
    <row r="166" ht="15" customHeight="1">
      <c r="A166" t="inlineStr">
        <is>
          <t>A 33670-2024</t>
        </is>
      </c>
      <c r="B166" s="1" t="n">
        <v>45520</v>
      </c>
      <c r="C166" s="1" t="n">
        <v>45895</v>
      </c>
      <c r="D166" t="inlineStr">
        <is>
          <t>UPPSALA LÄN</t>
        </is>
      </c>
      <c r="E166" t="inlineStr">
        <is>
          <t>ENKÖPING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44232-2022</t>
        </is>
      </c>
      <c r="B167" s="1" t="n">
        <v>44839</v>
      </c>
      <c r="C167" s="1" t="n">
        <v>45895</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47428-2023</t>
        </is>
      </c>
      <c r="B168" s="1" t="n">
        <v>45202.66664351852</v>
      </c>
      <c r="C168" s="1" t="n">
        <v>45895</v>
      </c>
      <c r="D168" t="inlineStr">
        <is>
          <t>UPPSALA LÄN</t>
        </is>
      </c>
      <c r="E168" t="inlineStr">
        <is>
          <t>ENKÖPING</t>
        </is>
      </c>
      <c r="G168" t="n">
        <v>3</v>
      </c>
      <c r="H168" t="n">
        <v>0</v>
      </c>
      <c r="I168" t="n">
        <v>0</v>
      </c>
      <c r="J168" t="n">
        <v>0</v>
      </c>
      <c r="K168" t="n">
        <v>0</v>
      </c>
      <c r="L168" t="n">
        <v>0</v>
      </c>
      <c r="M168" t="n">
        <v>0</v>
      </c>
      <c r="N168" t="n">
        <v>0</v>
      </c>
      <c r="O168" t="n">
        <v>0</v>
      </c>
      <c r="P168" t="n">
        <v>0</v>
      </c>
      <c r="Q168" t="n">
        <v>0</v>
      </c>
      <c r="R168" s="2" t="inlineStr"/>
    </row>
    <row r="169" ht="15" customHeight="1">
      <c r="A169" t="inlineStr">
        <is>
          <t>A 19147-2024</t>
        </is>
      </c>
      <c r="B169" s="1" t="n">
        <v>45428</v>
      </c>
      <c r="C169" s="1" t="n">
        <v>45895</v>
      </c>
      <c r="D169" t="inlineStr">
        <is>
          <t>UPPSALA LÄN</t>
        </is>
      </c>
      <c r="E169" t="inlineStr">
        <is>
          <t>ENKÖPING</t>
        </is>
      </c>
      <c r="G169" t="n">
        <v>1.9</v>
      </c>
      <c r="H169" t="n">
        <v>0</v>
      </c>
      <c r="I169" t="n">
        <v>0</v>
      </c>
      <c r="J169" t="n">
        <v>0</v>
      </c>
      <c r="K169" t="n">
        <v>0</v>
      </c>
      <c r="L169" t="n">
        <v>0</v>
      </c>
      <c r="M169" t="n">
        <v>0</v>
      </c>
      <c r="N169" t="n">
        <v>0</v>
      </c>
      <c r="O169" t="n">
        <v>0</v>
      </c>
      <c r="P169" t="n">
        <v>0</v>
      </c>
      <c r="Q169" t="n">
        <v>0</v>
      </c>
      <c r="R169" s="2" t="inlineStr"/>
    </row>
    <row r="170" ht="15" customHeight="1">
      <c r="A170" t="inlineStr">
        <is>
          <t>A 67982-2021</t>
        </is>
      </c>
      <c r="B170" s="1" t="n">
        <v>44525</v>
      </c>
      <c r="C170" s="1" t="n">
        <v>45895</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45362-2022</t>
        </is>
      </c>
      <c r="B171" s="1" t="n">
        <v>44844.62366898148</v>
      </c>
      <c r="C171" s="1" t="n">
        <v>45895</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56526-2022</t>
        </is>
      </c>
      <c r="B172" s="1" t="n">
        <v>44893</v>
      </c>
      <c r="C172" s="1" t="n">
        <v>45895</v>
      </c>
      <c r="D172" t="inlineStr">
        <is>
          <t>UPPSALA LÄN</t>
        </is>
      </c>
      <c r="E172" t="inlineStr">
        <is>
          <t>ENKÖPING</t>
        </is>
      </c>
      <c r="G172" t="n">
        <v>3.8</v>
      </c>
      <c r="H172" t="n">
        <v>0</v>
      </c>
      <c r="I172" t="n">
        <v>0</v>
      </c>
      <c r="J172" t="n">
        <v>0</v>
      </c>
      <c r="K172" t="n">
        <v>0</v>
      </c>
      <c r="L172" t="n">
        <v>0</v>
      </c>
      <c r="M172" t="n">
        <v>0</v>
      </c>
      <c r="N172" t="n">
        <v>0</v>
      </c>
      <c r="O172" t="n">
        <v>0</v>
      </c>
      <c r="P172" t="n">
        <v>0</v>
      </c>
      <c r="Q172" t="n">
        <v>0</v>
      </c>
      <c r="R172" s="2" t="inlineStr"/>
    </row>
    <row r="173" ht="15" customHeight="1">
      <c r="A173" t="inlineStr">
        <is>
          <t>A 57835-2024</t>
        </is>
      </c>
      <c r="B173" s="1" t="n">
        <v>45631.39947916667</v>
      </c>
      <c r="C173" s="1" t="n">
        <v>45895</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21612-2023</t>
        </is>
      </c>
      <c r="B174" s="1" t="n">
        <v>45063</v>
      </c>
      <c r="C174" s="1" t="n">
        <v>45895</v>
      </c>
      <c r="D174" t="inlineStr">
        <is>
          <t>UPPSALA LÄN</t>
        </is>
      </c>
      <c r="E174" t="inlineStr">
        <is>
          <t>ENKÖPING</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60350-2022</t>
        </is>
      </c>
      <c r="B175" s="1" t="n">
        <v>44910</v>
      </c>
      <c r="C175" s="1" t="n">
        <v>45895</v>
      </c>
      <c r="D175" t="inlineStr">
        <is>
          <t>UPPSALA LÄN</t>
        </is>
      </c>
      <c r="E175" t="inlineStr">
        <is>
          <t>ENKÖPING</t>
        </is>
      </c>
      <c r="F175" t="inlineStr">
        <is>
          <t>Allmännings- och besparingsskogar</t>
        </is>
      </c>
      <c r="G175" t="n">
        <v>3.5</v>
      </c>
      <c r="H175" t="n">
        <v>0</v>
      </c>
      <c r="I175" t="n">
        <v>0</v>
      </c>
      <c r="J175" t="n">
        <v>0</v>
      </c>
      <c r="K175" t="n">
        <v>0</v>
      </c>
      <c r="L175" t="n">
        <v>0</v>
      </c>
      <c r="M175" t="n">
        <v>0</v>
      </c>
      <c r="N175" t="n">
        <v>0</v>
      </c>
      <c r="O175" t="n">
        <v>0</v>
      </c>
      <c r="P175" t="n">
        <v>0</v>
      </c>
      <c r="Q175" t="n">
        <v>0</v>
      </c>
      <c r="R175" s="2" t="inlineStr"/>
    </row>
    <row r="176" ht="15" customHeight="1">
      <c r="A176" t="inlineStr">
        <is>
          <t>A 39624-2023</t>
        </is>
      </c>
      <c r="B176" s="1" t="n">
        <v>45164</v>
      </c>
      <c r="C176" s="1" t="n">
        <v>45895</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28518-2024</t>
        </is>
      </c>
      <c r="B177" s="1" t="n">
        <v>45477</v>
      </c>
      <c r="C177" s="1" t="n">
        <v>45895</v>
      </c>
      <c r="D177" t="inlineStr">
        <is>
          <t>UPPSALA LÄN</t>
        </is>
      </c>
      <c r="E177" t="inlineStr">
        <is>
          <t>ENKÖPING</t>
        </is>
      </c>
      <c r="G177" t="n">
        <v>3.4</v>
      </c>
      <c r="H177" t="n">
        <v>0</v>
      </c>
      <c r="I177" t="n">
        <v>0</v>
      </c>
      <c r="J177" t="n">
        <v>0</v>
      </c>
      <c r="K177" t="n">
        <v>0</v>
      </c>
      <c r="L177" t="n">
        <v>0</v>
      </c>
      <c r="M177" t="n">
        <v>0</v>
      </c>
      <c r="N177" t="n">
        <v>0</v>
      </c>
      <c r="O177" t="n">
        <v>0</v>
      </c>
      <c r="P177" t="n">
        <v>0</v>
      </c>
      <c r="Q177" t="n">
        <v>0</v>
      </c>
      <c r="R177" s="2" t="inlineStr"/>
    </row>
    <row r="178" ht="15" customHeight="1">
      <c r="A178" t="inlineStr">
        <is>
          <t>A 5892-2023</t>
        </is>
      </c>
      <c r="B178" s="1" t="n">
        <v>44963.64883101852</v>
      </c>
      <c r="C178" s="1" t="n">
        <v>45895</v>
      </c>
      <c r="D178" t="inlineStr">
        <is>
          <t>UPPSALA LÄN</t>
        </is>
      </c>
      <c r="E178" t="inlineStr">
        <is>
          <t>ENKÖPING</t>
        </is>
      </c>
      <c r="G178" t="n">
        <v>5.5</v>
      </c>
      <c r="H178" t="n">
        <v>0</v>
      </c>
      <c r="I178" t="n">
        <v>0</v>
      </c>
      <c r="J178" t="n">
        <v>0</v>
      </c>
      <c r="K178" t="n">
        <v>0</v>
      </c>
      <c r="L178" t="n">
        <v>0</v>
      </c>
      <c r="M178" t="n">
        <v>0</v>
      </c>
      <c r="N178" t="n">
        <v>0</v>
      </c>
      <c r="O178" t="n">
        <v>0</v>
      </c>
      <c r="P178" t="n">
        <v>0</v>
      </c>
      <c r="Q178" t="n">
        <v>0</v>
      </c>
      <c r="R178" s="2" t="inlineStr"/>
    </row>
    <row r="179" ht="15" customHeight="1">
      <c r="A179" t="inlineStr">
        <is>
          <t>A 39858-2024</t>
        </is>
      </c>
      <c r="B179" s="1" t="n">
        <v>45553</v>
      </c>
      <c r="C179" s="1" t="n">
        <v>45895</v>
      </c>
      <c r="D179" t="inlineStr">
        <is>
          <t>UPPSALA LÄN</t>
        </is>
      </c>
      <c r="E179" t="inlineStr">
        <is>
          <t>ENKÖPING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30098-2024</t>
        </is>
      </c>
      <c r="B180" s="1" t="n">
        <v>45489.41609953704</v>
      </c>
      <c r="C180" s="1" t="n">
        <v>45895</v>
      </c>
      <c r="D180" t="inlineStr">
        <is>
          <t>UPPSALA LÄN</t>
        </is>
      </c>
      <c r="E180" t="inlineStr">
        <is>
          <t>ENKÖPING</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1651-2024</t>
        </is>
      </c>
      <c r="B181" s="1" t="n">
        <v>45306.73770833333</v>
      </c>
      <c r="C181" s="1" t="n">
        <v>45895</v>
      </c>
      <c r="D181" t="inlineStr">
        <is>
          <t>UPPSALA LÄN</t>
        </is>
      </c>
      <c r="E181" t="inlineStr">
        <is>
          <t>ENKÖPING</t>
        </is>
      </c>
      <c r="G181" t="n">
        <v>10.2</v>
      </c>
      <c r="H181" t="n">
        <v>0</v>
      </c>
      <c r="I181" t="n">
        <v>0</v>
      </c>
      <c r="J181" t="n">
        <v>0</v>
      </c>
      <c r="K181" t="n">
        <v>0</v>
      </c>
      <c r="L181" t="n">
        <v>0</v>
      </c>
      <c r="M181" t="n">
        <v>0</v>
      </c>
      <c r="N181" t="n">
        <v>0</v>
      </c>
      <c r="O181" t="n">
        <v>0</v>
      </c>
      <c r="P181" t="n">
        <v>0</v>
      </c>
      <c r="Q181" t="n">
        <v>0</v>
      </c>
      <c r="R181" s="2" t="inlineStr"/>
    </row>
    <row r="182" ht="15" customHeight="1">
      <c r="A182" t="inlineStr">
        <is>
          <t>A 60289-2022</t>
        </is>
      </c>
      <c r="B182" s="1" t="n">
        <v>44910.53026620371</v>
      </c>
      <c r="C182" s="1" t="n">
        <v>45895</v>
      </c>
      <c r="D182" t="inlineStr">
        <is>
          <t>UPPSALA LÄN</t>
        </is>
      </c>
      <c r="E182" t="inlineStr">
        <is>
          <t>ENKÖPING</t>
        </is>
      </c>
      <c r="G182" t="n">
        <v>3.2</v>
      </c>
      <c r="H182" t="n">
        <v>0</v>
      </c>
      <c r="I182" t="n">
        <v>0</v>
      </c>
      <c r="J182" t="n">
        <v>0</v>
      </c>
      <c r="K182" t="n">
        <v>0</v>
      </c>
      <c r="L182" t="n">
        <v>0</v>
      </c>
      <c r="M182" t="n">
        <v>0</v>
      </c>
      <c r="N182" t="n">
        <v>0</v>
      </c>
      <c r="O182" t="n">
        <v>0</v>
      </c>
      <c r="P182" t="n">
        <v>0</v>
      </c>
      <c r="Q182" t="n">
        <v>0</v>
      </c>
      <c r="R182" s="2" t="inlineStr"/>
    </row>
    <row r="183" ht="15" customHeight="1">
      <c r="A183" t="inlineStr">
        <is>
          <t>A 14518-2025</t>
        </is>
      </c>
      <c r="B183" s="1" t="n">
        <v>45741</v>
      </c>
      <c r="C183" s="1" t="n">
        <v>45895</v>
      </c>
      <c r="D183" t="inlineStr">
        <is>
          <t>UPPSALA LÄN</t>
        </is>
      </c>
      <c r="E183" t="inlineStr">
        <is>
          <t>ENKÖPING</t>
        </is>
      </c>
      <c r="G183" t="n">
        <v>2</v>
      </c>
      <c r="H183" t="n">
        <v>0</v>
      </c>
      <c r="I183" t="n">
        <v>0</v>
      </c>
      <c r="J183" t="n">
        <v>0</v>
      </c>
      <c r="K183" t="n">
        <v>0</v>
      </c>
      <c r="L183" t="n">
        <v>0</v>
      </c>
      <c r="M183" t="n">
        <v>0</v>
      </c>
      <c r="N183" t="n">
        <v>0</v>
      </c>
      <c r="O183" t="n">
        <v>0</v>
      </c>
      <c r="P183" t="n">
        <v>0</v>
      </c>
      <c r="Q183" t="n">
        <v>0</v>
      </c>
      <c r="R183" s="2" t="inlineStr"/>
    </row>
    <row r="184" ht="15" customHeight="1">
      <c r="A184" t="inlineStr">
        <is>
          <t>A 9957-2023</t>
        </is>
      </c>
      <c r="B184" s="1" t="n">
        <v>44978</v>
      </c>
      <c r="C184" s="1" t="n">
        <v>45895</v>
      </c>
      <c r="D184" t="inlineStr">
        <is>
          <t>UPPSALA LÄN</t>
        </is>
      </c>
      <c r="E184" t="inlineStr">
        <is>
          <t>ENKÖPING</t>
        </is>
      </c>
      <c r="G184" t="n">
        <v>5.9</v>
      </c>
      <c r="H184" t="n">
        <v>0</v>
      </c>
      <c r="I184" t="n">
        <v>0</v>
      </c>
      <c r="J184" t="n">
        <v>0</v>
      </c>
      <c r="K184" t="n">
        <v>0</v>
      </c>
      <c r="L184" t="n">
        <v>0</v>
      </c>
      <c r="M184" t="n">
        <v>0</v>
      </c>
      <c r="N184" t="n">
        <v>0</v>
      </c>
      <c r="O184" t="n">
        <v>0</v>
      </c>
      <c r="P184" t="n">
        <v>0</v>
      </c>
      <c r="Q184" t="n">
        <v>0</v>
      </c>
      <c r="R184" s="2" t="inlineStr"/>
    </row>
    <row r="185" ht="15" customHeight="1">
      <c r="A185" t="inlineStr">
        <is>
          <t>A 54776-2024</t>
        </is>
      </c>
      <c r="B185" s="1" t="n">
        <v>45618</v>
      </c>
      <c r="C185" s="1" t="n">
        <v>45895</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22150-2025</t>
        </is>
      </c>
      <c r="B186" s="1" t="n">
        <v>45785.56398148148</v>
      </c>
      <c r="C186" s="1" t="n">
        <v>45895</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8152-2022</t>
        </is>
      </c>
      <c r="B187" s="1" t="n">
        <v>44609</v>
      </c>
      <c r="C187" s="1" t="n">
        <v>45895</v>
      </c>
      <c r="D187" t="inlineStr">
        <is>
          <t>UPPSALA LÄN</t>
        </is>
      </c>
      <c r="E187" t="inlineStr">
        <is>
          <t>ENKÖPING</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22156-2025</t>
        </is>
      </c>
      <c r="B188" s="1" t="n">
        <v>45785.57512731481</v>
      </c>
      <c r="C188" s="1" t="n">
        <v>45895</v>
      </c>
      <c r="D188" t="inlineStr">
        <is>
          <t>UPPSALA LÄN</t>
        </is>
      </c>
      <c r="E188" t="inlineStr">
        <is>
          <t>ENKÖPING</t>
        </is>
      </c>
      <c r="G188" t="n">
        <v>0.9</v>
      </c>
      <c r="H188" t="n">
        <v>0</v>
      </c>
      <c r="I188" t="n">
        <v>0</v>
      </c>
      <c r="J188" t="n">
        <v>0</v>
      </c>
      <c r="K188" t="n">
        <v>0</v>
      </c>
      <c r="L188" t="n">
        <v>0</v>
      </c>
      <c r="M188" t="n">
        <v>0</v>
      </c>
      <c r="N188" t="n">
        <v>0</v>
      </c>
      <c r="O188" t="n">
        <v>0</v>
      </c>
      <c r="P188" t="n">
        <v>0</v>
      </c>
      <c r="Q188" t="n">
        <v>0</v>
      </c>
      <c r="R188" s="2" t="inlineStr"/>
    </row>
    <row r="189" ht="15" customHeight="1">
      <c r="A189" t="inlineStr">
        <is>
          <t>A 30087-2024</t>
        </is>
      </c>
      <c r="B189" s="1" t="n">
        <v>45489.39447916667</v>
      </c>
      <c r="C189" s="1" t="n">
        <v>45895</v>
      </c>
      <c r="D189" t="inlineStr">
        <is>
          <t>UPPSALA LÄN</t>
        </is>
      </c>
      <c r="E189" t="inlineStr">
        <is>
          <t>ENKÖPING</t>
        </is>
      </c>
      <c r="G189" t="n">
        <v>1.4</v>
      </c>
      <c r="H189" t="n">
        <v>0</v>
      </c>
      <c r="I189" t="n">
        <v>0</v>
      </c>
      <c r="J189" t="n">
        <v>0</v>
      </c>
      <c r="K189" t="n">
        <v>0</v>
      </c>
      <c r="L189" t="n">
        <v>0</v>
      </c>
      <c r="M189" t="n">
        <v>0</v>
      </c>
      <c r="N189" t="n">
        <v>0</v>
      </c>
      <c r="O189" t="n">
        <v>0</v>
      </c>
      <c r="P189" t="n">
        <v>0</v>
      </c>
      <c r="Q189" t="n">
        <v>0</v>
      </c>
      <c r="R189" s="2" t="inlineStr"/>
    </row>
    <row r="190" ht="15" customHeight="1">
      <c r="A190" t="inlineStr">
        <is>
          <t>A 17657-2025</t>
        </is>
      </c>
      <c r="B190" s="1" t="n">
        <v>45758.35006944444</v>
      </c>
      <c r="C190" s="1" t="n">
        <v>45895</v>
      </c>
      <c r="D190" t="inlineStr">
        <is>
          <t>UPPSALA LÄN</t>
        </is>
      </c>
      <c r="E190" t="inlineStr">
        <is>
          <t>ENKÖPING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22632-2025</t>
        </is>
      </c>
      <c r="B191" s="1" t="n">
        <v>45789.44361111111</v>
      </c>
      <c r="C191" s="1" t="n">
        <v>45895</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22677-2025</t>
        </is>
      </c>
      <c r="B192" s="1" t="n">
        <v>45789.49515046296</v>
      </c>
      <c r="C192" s="1" t="n">
        <v>45895</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22679-2025</t>
        </is>
      </c>
      <c r="B193" s="1" t="n">
        <v>45789.49747685185</v>
      </c>
      <c r="C193" s="1" t="n">
        <v>45895</v>
      </c>
      <c r="D193" t="inlineStr">
        <is>
          <t>UPPSALA LÄN</t>
        </is>
      </c>
      <c r="E193" t="inlineStr">
        <is>
          <t>ENKÖPING</t>
        </is>
      </c>
      <c r="G193" t="n">
        <v>1.1</v>
      </c>
      <c r="H193" t="n">
        <v>0</v>
      </c>
      <c r="I193" t="n">
        <v>0</v>
      </c>
      <c r="J193" t="n">
        <v>0</v>
      </c>
      <c r="K193" t="n">
        <v>0</v>
      </c>
      <c r="L193" t="n">
        <v>0</v>
      </c>
      <c r="M193" t="n">
        <v>0</v>
      </c>
      <c r="N193" t="n">
        <v>0</v>
      </c>
      <c r="O193" t="n">
        <v>0</v>
      </c>
      <c r="P193" t="n">
        <v>0</v>
      </c>
      <c r="Q193" t="n">
        <v>0</v>
      </c>
      <c r="R193" s="2" t="inlineStr"/>
    </row>
    <row r="194" ht="15" customHeight="1">
      <c r="A194" t="inlineStr">
        <is>
          <t>A 22729-2025</t>
        </is>
      </c>
      <c r="B194" s="1" t="n">
        <v>45789.57790509259</v>
      </c>
      <c r="C194" s="1" t="n">
        <v>45895</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22786-2025</t>
        </is>
      </c>
      <c r="B195" s="1" t="n">
        <v>45789.64643518518</v>
      </c>
      <c r="C195" s="1" t="n">
        <v>45895</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22795-2025</t>
        </is>
      </c>
      <c r="B196" s="1" t="n">
        <v>45789.65944444444</v>
      </c>
      <c r="C196" s="1" t="n">
        <v>45895</v>
      </c>
      <c r="D196" t="inlineStr">
        <is>
          <t>UPPSALA LÄN</t>
        </is>
      </c>
      <c r="E196" t="inlineStr">
        <is>
          <t>ENKÖPING</t>
        </is>
      </c>
      <c r="G196" t="n">
        <v>10.4</v>
      </c>
      <c r="H196" t="n">
        <v>0</v>
      </c>
      <c r="I196" t="n">
        <v>0</v>
      </c>
      <c r="J196" t="n">
        <v>0</v>
      </c>
      <c r="K196" t="n">
        <v>0</v>
      </c>
      <c r="L196" t="n">
        <v>0</v>
      </c>
      <c r="M196" t="n">
        <v>0</v>
      </c>
      <c r="N196" t="n">
        <v>0</v>
      </c>
      <c r="O196" t="n">
        <v>0</v>
      </c>
      <c r="P196" t="n">
        <v>0</v>
      </c>
      <c r="Q196" t="n">
        <v>0</v>
      </c>
      <c r="R196" s="2" t="inlineStr"/>
    </row>
    <row r="197" ht="15" customHeight="1">
      <c r="A197" t="inlineStr">
        <is>
          <t>A 22802-2025</t>
        </is>
      </c>
      <c r="B197" s="1" t="n">
        <v>45789.6686574074</v>
      </c>
      <c r="C197" s="1" t="n">
        <v>45895</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22680-2025</t>
        </is>
      </c>
      <c r="B198" s="1" t="n">
        <v>45789.5005787037</v>
      </c>
      <c r="C198" s="1" t="n">
        <v>45895</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15939-2022</t>
        </is>
      </c>
      <c r="B199" s="1" t="n">
        <v>44664</v>
      </c>
      <c r="C199" s="1" t="n">
        <v>45895</v>
      </c>
      <c r="D199" t="inlineStr">
        <is>
          <t>UPPSALA LÄN</t>
        </is>
      </c>
      <c r="E199" t="inlineStr">
        <is>
          <t>ENKÖPING</t>
        </is>
      </c>
      <c r="G199" t="n">
        <v>2</v>
      </c>
      <c r="H199" t="n">
        <v>0</v>
      </c>
      <c r="I199" t="n">
        <v>0</v>
      </c>
      <c r="J199" t="n">
        <v>0</v>
      </c>
      <c r="K199" t="n">
        <v>0</v>
      </c>
      <c r="L199" t="n">
        <v>0</v>
      </c>
      <c r="M199" t="n">
        <v>0</v>
      </c>
      <c r="N199" t="n">
        <v>0</v>
      </c>
      <c r="O199" t="n">
        <v>0</v>
      </c>
      <c r="P199" t="n">
        <v>0</v>
      </c>
      <c r="Q199" t="n">
        <v>0</v>
      </c>
      <c r="R199" s="2" t="inlineStr"/>
    </row>
    <row r="200" ht="15" customHeight="1">
      <c r="A200" t="inlineStr">
        <is>
          <t>A 6981-2025</t>
        </is>
      </c>
      <c r="B200" s="1" t="n">
        <v>45701</v>
      </c>
      <c r="C200" s="1" t="n">
        <v>45895</v>
      </c>
      <c r="D200" t="inlineStr">
        <is>
          <t>UPPSALA LÄN</t>
        </is>
      </c>
      <c r="E200" t="inlineStr">
        <is>
          <t>ENKÖPING</t>
        </is>
      </c>
      <c r="G200" t="n">
        <v>0.9</v>
      </c>
      <c r="H200" t="n">
        <v>0</v>
      </c>
      <c r="I200" t="n">
        <v>0</v>
      </c>
      <c r="J200" t="n">
        <v>0</v>
      </c>
      <c r="K200" t="n">
        <v>0</v>
      </c>
      <c r="L200" t="n">
        <v>0</v>
      </c>
      <c r="M200" t="n">
        <v>0</v>
      </c>
      <c r="N200" t="n">
        <v>0</v>
      </c>
      <c r="O200" t="n">
        <v>0</v>
      </c>
      <c r="P200" t="n">
        <v>0</v>
      </c>
      <c r="Q200" t="n">
        <v>0</v>
      </c>
      <c r="R200" s="2" t="inlineStr"/>
    </row>
    <row r="201" ht="15" customHeight="1">
      <c r="A201" t="inlineStr">
        <is>
          <t>A 31242-2024</t>
        </is>
      </c>
      <c r="B201" s="1" t="n">
        <v>45503</v>
      </c>
      <c r="C201" s="1" t="n">
        <v>45895</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22770-2025</t>
        </is>
      </c>
      <c r="B202" s="1" t="n">
        <v>45789.63454861111</v>
      </c>
      <c r="C202" s="1" t="n">
        <v>45895</v>
      </c>
      <c r="D202" t="inlineStr">
        <is>
          <t>UPPSALA LÄN</t>
        </is>
      </c>
      <c r="E202" t="inlineStr">
        <is>
          <t>ENKÖPING</t>
        </is>
      </c>
      <c r="G202" t="n">
        <v>4.5</v>
      </c>
      <c r="H202" t="n">
        <v>0</v>
      </c>
      <c r="I202" t="n">
        <v>0</v>
      </c>
      <c r="J202" t="n">
        <v>0</v>
      </c>
      <c r="K202" t="n">
        <v>0</v>
      </c>
      <c r="L202" t="n">
        <v>0</v>
      </c>
      <c r="M202" t="n">
        <v>0</v>
      </c>
      <c r="N202" t="n">
        <v>0</v>
      </c>
      <c r="O202" t="n">
        <v>0</v>
      </c>
      <c r="P202" t="n">
        <v>0</v>
      </c>
      <c r="Q202" t="n">
        <v>0</v>
      </c>
      <c r="R202" s="2" t="inlineStr"/>
    </row>
    <row r="203" ht="15" customHeight="1">
      <c r="A203" t="inlineStr">
        <is>
          <t>A 50394-2024</t>
        </is>
      </c>
      <c r="B203" s="1" t="n">
        <v>45600</v>
      </c>
      <c r="C203" s="1" t="n">
        <v>45895</v>
      </c>
      <c r="D203" t="inlineStr">
        <is>
          <t>UPPSALA LÄN</t>
        </is>
      </c>
      <c r="E203" t="inlineStr">
        <is>
          <t>ENKÖPING</t>
        </is>
      </c>
      <c r="G203" t="n">
        <v>1.2</v>
      </c>
      <c r="H203" t="n">
        <v>0</v>
      </c>
      <c r="I203" t="n">
        <v>0</v>
      </c>
      <c r="J203" t="n">
        <v>0</v>
      </c>
      <c r="K203" t="n">
        <v>0</v>
      </c>
      <c r="L203" t="n">
        <v>0</v>
      </c>
      <c r="M203" t="n">
        <v>0</v>
      </c>
      <c r="N203" t="n">
        <v>0</v>
      </c>
      <c r="O203" t="n">
        <v>0</v>
      </c>
      <c r="P203" t="n">
        <v>0</v>
      </c>
      <c r="Q203" t="n">
        <v>0</v>
      </c>
      <c r="R203" s="2" t="inlineStr"/>
    </row>
    <row r="204" ht="15" customHeight="1">
      <c r="A204" t="inlineStr">
        <is>
          <t>A 22725-2025</t>
        </is>
      </c>
      <c r="B204" s="1" t="n">
        <v>45789.57371527778</v>
      </c>
      <c r="C204" s="1" t="n">
        <v>45895</v>
      </c>
      <c r="D204" t="inlineStr">
        <is>
          <t>UPPSALA LÄN</t>
        </is>
      </c>
      <c r="E204" t="inlineStr">
        <is>
          <t>ENKÖPING</t>
        </is>
      </c>
      <c r="G204" t="n">
        <v>4.8</v>
      </c>
      <c r="H204" t="n">
        <v>0</v>
      </c>
      <c r="I204" t="n">
        <v>0</v>
      </c>
      <c r="J204" t="n">
        <v>0</v>
      </c>
      <c r="K204" t="n">
        <v>0</v>
      </c>
      <c r="L204" t="n">
        <v>0</v>
      </c>
      <c r="M204" t="n">
        <v>0</v>
      </c>
      <c r="N204" t="n">
        <v>0</v>
      </c>
      <c r="O204" t="n">
        <v>0</v>
      </c>
      <c r="P204" t="n">
        <v>0</v>
      </c>
      <c r="Q204" t="n">
        <v>0</v>
      </c>
      <c r="R204" s="2" t="inlineStr"/>
    </row>
    <row r="205" ht="15" customHeight="1">
      <c r="A205" t="inlineStr">
        <is>
          <t>A 22981-2025</t>
        </is>
      </c>
      <c r="B205" s="1" t="n">
        <v>45790.56964120371</v>
      </c>
      <c r="C205" s="1" t="n">
        <v>45895</v>
      </c>
      <c r="D205" t="inlineStr">
        <is>
          <t>UPPSALA LÄN</t>
        </is>
      </c>
      <c r="E205" t="inlineStr">
        <is>
          <t>ENKÖPING</t>
        </is>
      </c>
      <c r="G205" t="n">
        <v>1.5</v>
      </c>
      <c r="H205" t="n">
        <v>0</v>
      </c>
      <c r="I205" t="n">
        <v>0</v>
      </c>
      <c r="J205" t="n">
        <v>0</v>
      </c>
      <c r="K205" t="n">
        <v>0</v>
      </c>
      <c r="L205" t="n">
        <v>0</v>
      </c>
      <c r="M205" t="n">
        <v>0</v>
      </c>
      <c r="N205" t="n">
        <v>0</v>
      </c>
      <c r="O205" t="n">
        <v>0</v>
      </c>
      <c r="P205" t="n">
        <v>0</v>
      </c>
      <c r="Q205" t="n">
        <v>0</v>
      </c>
      <c r="R205" s="2" t="inlineStr"/>
    </row>
    <row r="206" ht="15" customHeight="1">
      <c r="A206" t="inlineStr">
        <is>
          <t>A 68123-2021</t>
        </is>
      </c>
      <c r="B206" s="1" t="n">
        <v>44526.39126157408</v>
      </c>
      <c r="C206" s="1" t="n">
        <v>45895</v>
      </c>
      <c r="D206" t="inlineStr">
        <is>
          <t>UPPSALA LÄN</t>
        </is>
      </c>
      <c r="E206" t="inlineStr">
        <is>
          <t>ENKÖPING</t>
        </is>
      </c>
      <c r="G206" t="n">
        <v>0.9</v>
      </c>
      <c r="H206" t="n">
        <v>0</v>
      </c>
      <c r="I206" t="n">
        <v>0</v>
      </c>
      <c r="J206" t="n">
        <v>0</v>
      </c>
      <c r="K206" t="n">
        <v>0</v>
      </c>
      <c r="L206" t="n">
        <v>0</v>
      </c>
      <c r="M206" t="n">
        <v>0</v>
      </c>
      <c r="N206" t="n">
        <v>0</v>
      </c>
      <c r="O206" t="n">
        <v>0</v>
      </c>
      <c r="P206" t="n">
        <v>0</v>
      </c>
      <c r="Q206" t="n">
        <v>0</v>
      </c>
      <c r="R206" s="2" t="inlineStr"/>
    </row>
    <row r="207" ht="15" customHeight="1">
      <c r="A207" t="inlineStr">
        <is>
          <t>A 22793-2025</t>
        </is>
      </c>
      <c r="B207" s="1" t="n">
        <v>45789.65693287037</v>
      </c>
      <c r="C207" s="1" t="n">
        <v>45895</v>
      </c>
      <c r="D207" t="inlineStr">
        <is>
          <t>UPPSALA LÄN</t>
        </is>
      </c>
      <c r="E207" t="inlineStr">
        <is>
          <t>ENKÖPING</t>
        </is>
      </c>
      <c r="G207" t="n">
        <v>3.2</v>
      </c>
      <c r="H207" t="n">
        <v>0</v>
      </c>
      <c r="I207" t="n">
        <v>0</v>
      </c>
      <c r="J207" t="n">
        <v>0</v>
      </c>
      <c r="K207" t="n">
        <v>0</v>
      </c>
      <c r="L207" t="n">
        <v>0</v>
      </c>
      <c r="M207" t="n">
        <v>0</v>
      </c>
      <c r="N207" t="n">
        <v>0</v>
      </c>
      <c r="O207" t="n">
        <v>0</v>
      </c>
      <c r="P207" t="n">
        <v>0</v>
      </c>
      <c r="Q207" t="n">
        <v>0</v>
      </c>
      <c r="R207" s="2" t="inlineStr"/>
    </row>
    <row r="208" ht="15" customHeight="1">
      <c r="A208" t="inlineStr">
        <is>
          <t>A 2162-2023</t>
        </is>
      </c>
      <c r="B208" s="1" t="n">
        <v>44941</v>
      </c>
      <c r="C208" s="1" t="n">
        <v>45895</v>
      </c>
      <c r="D208" t="inlineStr">
        <is>
          <t>UPPSALA LÄN</t>
        </is>
      </c>
      <c r="E208" t="inlineStr">
        <is>
          <t>ENKÖPING</t>
        </is>
      </c>
      <c r="G208" t="n">
        <v>2.4</v>
      </c>
      <c r="H208" t="n">
        <v>0</v>
      </c>
      <c r="I208" t="n">
        <v>0</v>
      </c>
      <c r="J208" t="n">
        <v>0</v>
      </c>
      <c r="K208" t="n">
        <v>0</v>
      </c>
      <c r="L208" t="n">
        <v>0</v>
      </c>
      <c r="M208" t="n">
        <v>0</v>
      </c>
      <c r="N208" t="n">
        <v>0</v>
      </c>
      <c r="O208" t="n">
        <v>0</v>
      </c>
      <c r="P208" t="n">
        <v>0</v>
      </c>
      <c r="Q208" t="n">
        <v>0</v>
      </c>
      <c r="R208" s="2" t="inlineStr"/>
    </row>
    <row r="209" ht="15" customHeight="1">
      <c r="A209" t="inlineStr">
        <is>
          <t>A 22800-2025</t>
        </is>
      </c>
      <c r="B209" s="1" t="n">
        <v>45789.6669212963</v>
      </c>
      <c r="C209" s="1" t="n">
        <v>45895</v>
      </c>
      <c r="D209" t="inlineStr">
        <is>
          <t>UPPSALA LÄN</t>
        </is>
      </c>
      <c r="E209" t="inlineStr">
        <is>
          <t>ENKÖPING</t>
        </is>
      </c>
      <c r="G209" t="n">
        <v>2</v>
      </c>
      <c r="H209" t="n">
        <v>0</v>
      </c>
      <c r="I209" t="n">
        <v>0</v>
      </c>
      <c r="J209" t="n">
        <v>0</v>
      </c>
      <c r="K209" t="n">
        <v>0</v>
      </c>
      <c r="L209" t="n">
        <v>0</v>
      </c>
      <c r="M209" t="n">
        <v>0</v>
      </c>
      <c r="N209" t="n">
        <v>0</v>
      </c>
      <c r="O209" t="n">
        <v>0</v>
      </c>
      <c r="P209" t="n">
        <v>0</v>
      </c>
      <c r="Q209" t="n">
        <v>0</v>
      </c>
      <c r="R209" s="2" t="inlineStr"/>
    </row>
    <row r="210" ht="15" customHeight="1">
      <c r="A210" t="inlineStr">
        <is>
          <t>A 56163-2021</t>
        </is>
      </c>
      <c r="B210" s="1" t="n">
        <v>44477</v>
      </c>
      <c r="C210" s="1" t="n">
        <v>45895</v>
      </c>
      <c r="D210" t="inlineStr">
        <is>
          <t>UPPSALA LÄN</t>
        </is>
      </c>
      <c r="E210" t="inlineStr">
        <is>
          <t>ENKÖPING</t>
        </is>
      </c>
      <c r="F210" t="inlineStr">
        <is>
          <t>Allmännings- och besparingsskogar</t>
        </is>
      </c>
      <c r="G210" t="n">
        <v>0.6</v>
      </c>
      <c r="H210" t="n">
        <v>0</v>
      </c>
      <c r="I210" t="n">
        <v>0</v>
      </c>
      <c r="J210" t="n">
        <v>0</v>
      </c>
      <c r="K210" t="n">
        <v>0</v>
      </c>
      <c r="L210" t="n">
        <v>0</v>
      </c>
      <c r="M210" t="n">
        <v>0</v>
      </c>
      <c r="N210" t="n">
        <v>0</v>
      </c>
      <c r="O210" t="n">
        <v>0</v>
      </c>
      <c r="P210" t="n">
        <v>0</v>
      </c>
      <c r="Q210" t="n">
        <v>0</v>
      </c>
      <c r="R210" s="2" t="inlineStr"/>
    </row>
    <row r="211" ht="15" customHeight="1">
      <c r="A211" t="inlineStr">
        <is>
          <t>A 72840-2021</t>
        </is>
      </c>
      <c r="B211" s="1" t="n">
        <v>44547</v>
      </c>
      <c r="C211" s="1" t="n">
        <v>45895</v>
      </c>
      <c r="D211" t="inlineStr">
        <is>
          <t>UPPSALA LÄN</t>
        </is>
      </c>
      <c r="E211" t="inlineStr">
        <is>
          <t>ENKÖPING</t>
        </is>
      </c>
      <c r="G211" t="n">
        <v>1.9</v>
      </c>
      <c r="H211" t="n">
        <v>0</v>
      </c>
      <c r="I211" t="n">
        <v>0</v>
      </c>
      <c r="J211" t="n">
        <v>0</v>
      </c>
      <c r="K211" t="n">
        <v>0</v>
      </c>
      <c r="L211" t="n">
        <v>0</v>
      </c>
      <c r="M211" t="n">
        <v>0</v>
      </c>
      <c r="N211" t="n">
        <v>0</v>
      </c>
      <c r="O211" t="n">
        <v>0</v>
      </c>
      <c r="P211" t="n">
        <v>0</v>
      </c>
      <c r="Q211" t="n">
        <v>0</v>
      </c>
      <c r="R211" s="2" t="inlineStr"/>
    </row>
    <row r="212" ht="15" customHeight="1">
      <c r="A212" t="inlineStr">
        <is>
          <t>A 28318-2024</t>
        </is>
      </c>
      <c r="B212" s="1" t="n">
        <v>45477</v>
      </c>
      <c r="C212" s="1" t="n">
        <v>45895</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45378-2020</t>
        </is>
      </c>
      <c r="B213" s="1" t="n">
        <v>44089</v>
      </c>
      <c r="C213" s="1" t="n">
        <v>45895</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37870-2023</t>
        </is>
      </c>
      <c r="B214" s="1" t="n">
        <v>45160.41996527778</v>
      </c>
      <c r="C214" s="1" t="n">
        <v>45895</v>
      </c>
      <c r="D214" t="inlineStr">
        <is>
          <t>UPPSALA LÄN</t>
        </is>
      </c>
      <c r="E214" t="inlineStr">
        <is>
          <t>ENKÖPING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7090-2022</t>
        </is>
      </c>
      <c r="B215" s="1" t="n">
        <v>44603.59520833333</v>
      </c>
      <c r="C215" s="1" t="n">
        <v>45895</v>
      </c>
      <c r="D215" t="inlineStr">
        <is>
          <t>UPPSALA LÄN</t>
        </is>
      </c>
      <c r="E215" t="inlineStr">
        <is>
          <t>ENKÖPING</t>
        </is>
      </c>
      <c r="G215" t="n">
        <v>2.8</v>
      </c>
      <c r="H215" t="n">
        <v>0</v>
      </c>
      <c r="I215" t="n">
        <v>0</v>
      </c>
      <c r="J215" t="n">
        <v>0</v>
      </c>
      <c r="K215" t="n">
        <v>0</v>
      </c>
      <c r="L215" t="n">
        <v>0</v>
      </c>
      <c r="M215" t="n">
        <v>0</v>
      </c>
      <c r="N215" t="n">
        <v>0</v>
      </c>
      <c r="O215" t="n">
        <v>0</v>
      </c>
      <c r="P215" t="n">
        <v>0</v>
      </c>
      <c r="Q215" t="n">
        <v>0</v>
      </c>
      <c r="R215" s="2" t="inlineStr"/>
    </row>
    <row r="216" ht="15" customHeight="1">
      <c r="A216" t="inlineStr">
        <is>
          <t>A 49063-2024</t>
        </is>
      </c>
      <c r="B216" s="1" t="n">
        <v>45594.59869212963</v>
      </c>
      <c r="C216" s="1" t="n">
        <v>45895</v>
      </c>
      <c r="D216" t="inlineStr">
        <is>
          <t>UPPSALA LÄN</t>
        </is>
      </c>
      <c r="E216" t="inlineStr">
        <is>
          <t>ENKÖPING</t>
        </is>
      </c>
      <c r="G216" t="n">
        <v>1.5</v>
      </c>
      <c r="H216" t="n">
        <v>0</v>
      </c>
      <c r="I216" t="n">
        <v>0</v>
      </c>
      <c r="J216" t="n">
        <v>0</v>
      </c>
      <c r="K216" t="n">
        <v>0</v>
      </c>
      <c r="L216" t="n">
        <v>0</v>
      </c>
      <c r="M216" t="n">
        <v>0</v>
      </c>
      <c r="N216" t="n">
        <v>0</v>
      </c>
      <c r="O216" t="n">
        <v>0</v>
      </c>
      <c r="P216" t="n">
        <v>0</v>
      </c>
      <c r="Q216" t="n">
        <v>0</v>
      </c>
      <c r="R216" s="2" t="inlineStr"/>
    </row>
    <row r="217" ht="15" customHeight="1">
      <c r="A217" t="inlineStr">
        <is>
          <t>A 14402-2023</t>
        </is>
      </c>
      <c r="B217" s="1" t="n">
        <v>45012</v>
      </c>
      <c r="C217" s="1" t="n">
        <v>45895</v>
      </c>
      <c r="D217" t="inlineStr">
        <is>
          <t>UPPSALA LÄN</t>
        </is>
      </c>
      <c r="E217" t="inlineStr">
        <is>
          <t>ENKÖPING</t>
        </is>
      </c>
      <c r="G217" t="n">
        <v>9.5</v>
      </c>
      <c r="H217" t="n">
        <v>0</v>
      </c>
      <c r="I217" t="n">
        <v>0</v>
      </c>
      <c r="J217" t="n">
        <v>0</v>
      </c>
      <c r="K217" t="n">
        <v>0</v>
      </c>
      <c r="L217" t="n">
        <v>0</v>
      </c>
      <c r="M217" t="n">
        <v>0</v>
      </c>
      <c r="N217" t="n">
        <v>0</v>
      </c>
      <c r="O217" t="n">
        <v>0</v>
      </c>
      <c r="P217" t="n">
        <v>0</v>
      </c>
      <c r="Q217" t="n">
        <v>0</v>
      </c>
      <c r="R217" s="2" t="inlineStr"/>
    </row>
    <row r="218" ht="15" customHeight="1">
      <c r="A218" t="inlineStr">
        <is>
          <t>A 14083-2025</t>
        </is>
      </c>
      <c r="B218" s="1" t="n">
        <v>45740</v>
      </c>
      <c r="C218" s="1" t="n">
        <v>45895</v>
      </c>
      <c r="D218" t="inlineStr">
        <is>
          <t>UPPSALA LÄN</t>
        </is>
      </c>
      <c r="E218" t="inlineStr">
        <is>
          <t>ENKÖPING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19298-2023</t>
        </is>
      </c>
      <c r="B219" s="1" t="n">
        <v>45048</v>
      </c>
      <c r="C219" s="1" t="n">
        <v>45895</v>
      </c>
      <c r="D219" t="inlineStr">
        <is>
          <t>UPPSALA LÄN</t>
        </is>
      </c>
      <c r="E219" t="inlineStr">
        <is>
          <t>ENKÖPING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39115-2024</t>
        </is>
      </c>
      <c r="B220" s="1" t="n">
        <v>45548</v>
      </c>
      <c r="C220" s="1" t="n">
        <v>45895</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12020-2024</t>
        </is>
      </c>
      <c r="B221" s="1" t="n">
        <v>45377</v>
      </c>
      <c r="C221" s="1" t="n">
        <v>45895</v>
      </c>
      <c r="D221" t="inlineStr">
        <is>
          <t>UPPSALA LÄN</t>
        </is>
      </c>
      <c r="E221" t="inlineStr">
        <is>
          <t>ENKÖPING</t>
        </is>
      </c>
      <c r="G221" t="n">
        <v>2</v>
      </c>
      <c r="H221" t="n">
        <v>0</v>
      </c>
      <c r="I221" t="n">
        <v>0</v>
      </c>
      <c r="J221" t="n">
        <v>0</v>
      </c>
      <c r="K221" t="n">
        <v>0</v>
      </c>
      <c r="L221" t="n">
        <v>0</v>
      </c>
      <c r="M221" t="n">
        <v>0</v>
      </c>
      <c r="N221" t="n">
        <v>0</v>
      </c>
      <c r="O221" t="n">
        <v>0</v>
      </c>
      <c r="P221" t="n">
        <v>0</v>
      </c>
      <c r="Q221" t="n">
        <v>0</v>
      </c>
      <c r="R221" s="2" t="inlineStr"/>
    </row>
    <row r="222" ht="15" customHeight="1">
      <c r="A222" t="inlineStr">
        <is>
          <t>A 15409-2025</t>
        </is>
      </c>
      <c r="B222" s="1" t="n">
        <v>45747</v>
      </c>
      <c r="C222" s="1" t="n">
        <v>45895</v>
      </c>
      <c r="D222" t="inlineStr">
        <is>
          <t>UPPSALA LÄN</t>
        </is>
      </c>
      <c r="E222" t="inlineStr">
        <is>
          <t>ENKÖPING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51092-2020</t>
        </is>
      </c>
      <c r="B223" s="1" t="n">
        <v>44112</v>
      </c>
      <c r="C223" s="1" t="n">
        <v>45895</v>
      </c>
      <c r="D223" t="inlineStr">
        <is>
          <t>UPPSALA LÄN</t>
        </is>
      </c>
      <c r="E223" t="inlineStr">
        <is>
          <t>ENKÖPING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17729-2023</t>
        </is>
      </c>
      <c r="B224" s="1" t="n">
        <v>45037</v>
      </c>
      <c r="C224" s="1" t="n">
        <v>45895</v>
      </c>
      <c r="D224" t="inlineStr">
        <is>
          <t>UPPSALA LÄN</t>
        </is>
      </c>
      <c r="E224" t="inlineStr">
        <is>
          <t>ENKÖPING</t>
        </is>
      </c>
      <c r="G224" t="n">
        <v>10.2</v>
      </c>
      <c r="H224" t="n">
        <v>0</v>
      </c>
      <c r="I224" t="n">
        <v>0</v>
      </c>
      <c r="J224" t="n">
        <v>0</v>
      </c>
      <c r="K224" t="n">
        <v>0</v>
      </c>
      <c r="L224" t="n">
        <v>0</v>
      </c>
      <c r="M224" t="n">
        <v>0</v>
      </c>
      <c r="N224" t="n">
        <v>0</v>
      </c>
      <c r="O224" t="n">
        <v>0</v>
      </c>
      <c r="P224" t="n">
        <v>0</v>
      </c>
      <c r="Q224" t="n">
        <v>0</v>
      </c>
      <c r="R224" s="2" t="inlineStr"/>
    </row>
    <row r="225" ht="15" customHeight="1">
      <c r="A225" t="inlineStr">
        <is>
          <t>A 5749-2025</t>
        </is>
      </c>
      <c r="B225" s="1" t="n">
        <v>45694</v>
      </c>
      <c r="C225" s="1" t="n">
        <v>45895</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69344-2021</t>
        </is>
      </c>
      <c r="B226" s="1" t="n">
        <v>44531</v>
      </c>
      <c r="C226" s="1" t="n">
        <v>45895</v>
      </c>
      <c r="D226" t="inlineStr">
        <is>
          <t>UPPSALA LÄN</t>
        </is>
      </c>
      <c r="E226" t="inlineStr">
        <is>
          <t>ENKÖPING</t>
        </is>
      </c>
      <c r="G226" t="n">
        <v>2.9</v>
      </c>
      <c r="H226" t="n">
        <v>0</v>
      </c>
      <c r="I226" t="n">
        <v>0</v>
      </c>
      <c r="J226" t="n">
        <v>0</v>
      </c>
      <c r="K226" t="n">
        <v>0</v>
      </c>
      <c r="L226" t="n">
        <v>0</v>
      </c>
      <c r="M226" t="n">
        <v>0</v>
      </c>
      <c r="N226" t="n">
        <v>0</v>
      </c>
      <c r="O226" t="n">
        <v>0</v>
      </c>
      <c r="P226" t="n">
        <v>0</v>
      </c>
      <c r="Q226" t="n">
        <v>0</v>
      </c>
      <c r="R226" s="2" t="inlineStr"/>
    </row>
    <row r="227" ht="15" customHeight="1">
      <c r="A227" t="inlineStr">
        <is>
          <t>A 8020-2022</t>
        </is>
      </c>
      <c r="B227" s="1" t="n">
        <v>44609</v>
      </c>
      <c r="C227" s="1" t="n">
        <v>45895</v>
      </c>
      <c r="D227" t="inlineStr">
        <is>
          <t>UPPSALA LÄN</t>
        </is>
      </c>
      <c r="E227" t="inlineStr">
        <is>
          <t>ENKÖPING</t>
        </is>
      </c>
      <c r="G227" t="n">
        <v>6</v>
      </c>
      <c r="H227" t="n">
        <v>0</v>
      </c>
      <c r="I227" t="n">
        <v>0</v>
      </c>
      <c r="J227" t="n">
        <v>0</v>
      </c>
      <c r="K227" t="n">
        <v>0</v>
      </c>
      <c r="L227" t="n">
        <v>0</v>
      </c>
      <c r="M227" t="n">
        <v>0</v>
      </c>
      <c r="N227" t="n">
        <v>0</v>
      </c>
      <c r="O227" t="n">
        <v>0</v>
      </c>
      <c r="P227" t="n">
        <v>0</v>
      </c>
      <c r="Q227" t="n">
        <v>0</v>
      </c>
      <c r="R227" s="2" t="inlineStr"/>
    </row>
    <row r="228" ht="15" customHeight="1">
      <c r="A228" t="inlineStr">
        <is>
          <t>A 34124-2021</t>
        </is>
      </c>
      <c r="B228" s="1" t="n">
        <v>44379</v>
      </c>
      <c r="C228" s="1" t="n">
        <v>45895</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43697-2024</t>
        </is>
      </c>
      <c r="B229" s="1" t="n">
        <v>45569</v>
      </c>
      <c r="C229" s="1" t="n">
        <v>45895</v>
      </c>
      <c r="D229" t="inlineStr">
        <is>
          <t>UPPSALA LÄN</t>
        </is>
      </c>
      <c r="E229" t="inlineStr">
        <is>
          <t>ENKÖPING</t>
        </is>
      </c>
      <c r="G229" t="n">
        <v>2.1</v>
      </c>
      <c r="H229" t="n">
        <v>0</v>
      </c>
      <c r="I229" t="n">
        <v>0</v>
      </c>
      <c r="J229" t="n">
        <v>0</v>
      </c>
      <c r="K229" t="n">
        <v>0</v>
      </c>
      <c r="L229" t="n">
        <v>0</v>
      </c>
      <c r="M229" t="n">
        <v>0</v>
      </c>
      <c r="N229" t="n">
        <v>0</v>
      </c>
      <c r="O229" t="n">
        <v>0</v>
      </c>
      <c r="P229" t="n">
        <v>0</v>
      </c>
      <c r="Q229" t="n">
        <v>0</v>
      </c>
      <c r="R229" s="2" t="inlineStr"/>
    </row>
    <row r="230" ht="15" customHeight="1">
      <c r="A230" t="inlineStr">
        <is>
          <t>A 34805-2024</t>
        </is>
      </c>
      <c r="B230" s="1" t="n">
        <v>45526</v>
      </c>
      <c r="C230" s="1" t="n">
        <v>45895</v>
      </c>
      <c r="D230" t="inlineStr">
        <is>
          <t>UPPSALA LÄN</t>
        </is>
      </c>
      <c r="E230" t="inlineStr">
        <is>
          <t>ENKÖPING</t>
        </is>
      </c>
      <c r="G230" t="n">
        <v>3.6</v>
      </c>
      <c r="H230" t="n">
        <v>0</v>
      </c>
      <c r="I230" t="n">
        <v>0</v>
      </c>
      <c r="J230" t="n">
        <v>0</v>
      </c>
      <c r="K230" t="n">
        <v>0</v>
      </c>
      <c r="L230" t="n">
        <v>0</v>
      </c>
      <c r="M230" t="n">
        <v>0</v>
      </c>
      <c r="N230" t="n">
        <v>0</v>
      </c>
      <c r="O230" t="n">
        <v>0</v>
      </c>
      <c r="P230" t="n">
        <v>0</v>
      </c>
      <c r="Q230" t="n">
        <v>0</v>
      </c>
      <c r="R230" s="2" t="inlineStr"/>
    </row>
    <row r="231" ht="15" customHeight="1">
      <c r="A231" t="inlineStr">
        <is>
          <t>A 314-2025</t>
        </is>
      </c>
      <c r="B231" s="1" t="n">
        <v>45656</v>
      </c>
      <c r="C231" s="1" t="n">
        <v>45895</v>
      </c>
      <c r="D231" t="inlineStr">
        <is>
          <t>UPPSALA LÄN</t>
        </is>
      </c>
      <c r="E231" t="inlineStr">
        <is>
          <t>ENKÖPING</t>
        </is>
      </c>
      <c r="G231" t="n">
        <v>9</v>
      </c>
      <c r="H231" t="n">
        <v>0</v>
      </c>
      <c r="I231" t="n">
        <v>0</v>
      </c>
      <c r="J231" t="n">
        <v>0</v>
      </c>
      <c r="K231" t="n">
        <v>0</v>
      </c>
      <c r="L231" t="n">
        <v>0</v>
      </c>
      <c r="M231" t="n">
        <v>0</v>
      </c>
      <c r="N231" t="n">
        <v>0</v>
      </c>
      <c r="O231" t="n">
        <v>0</v>
      </c>
      <c r="P231" t="n">
        <v>0</v>
      </c>
      <c r="Q231" t="n">
        <v>0</v>
      </c>
      <c r="R231" s="2" t="inlineStr"/>
    </row>
    <row r="232" ht="15" customHeight="1">
      <c r="A232" t="inlineStr">
        <is>
          <t>A 27983-2024</t>
        </is>
      </c>
      <c r="B232" s="1" t="n">
        <v>45476</v>
      </c>
      <c r="C232" s="1" t="n">
        <v>45895</v>
      </c>
      <c r="D232" t="inlineStr">
        <is>
          <t>UPPSALA LÄN</t>
        </is>
      </c>
      <c r="E232" t="inlineStr">
        <is>
          <t>ENKÖPING</t>
        </is>
      </c>
      <c r="G232" t="n">
        <v>3.2</v>
      </c>
      <c r="H232" t="n">
        <v>0</v>
      </c>
      <c r="I232" t="n">
        <v>0</v>
      </c>
      <c r="J232" t="n">
        <v>0</v>
      </c>
      <c r="K232" t="n">
        <v>0</v>
      </c>
      <c r="L232" t="n">
        <v>0</v>
      </c>
      <c r="M232" t="n">
        <v>0</v>
      </c>
      <c r="N232" t="n">
        <v>0</v>
      </c>
      <c r="O232" t="n">
        <v>0</v>
      </c>
      <c r="P232" t="n">
        <v>0</v>
      </c>
      <c r="Q232" t="n">
        <v>0</v>
      </c>
      <c r="R232" s="2" t="inlineStr"/>
    </row>
    <row r="233" ht="15" customHeight="1">
      <c r="A233" t="inlineStr">
        <is>
          <t>A 10831-2024</t>
        </is>
      </c>
      <c r="B233" s="1" t="n">
        <v>45369</v>
      </c>
      <c r="C233" s="1" t="n">
        <v>45895</v>
      </c>
      <c r="D233" t="inlineStr">
        <is>
          <t>UPPSALA LÄN</t>
        </is>
      </c>
      <c r="E233" t="inlineStr">
        <is>
          <t>ENKÖPING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51010-2024</t>
        </is>
      </c>
      <c r="B234" s="1" t="n">
        <v>45603.39285879629</v>
      </c>
      <c r="C234" s="1" t="n">
        <v>45895</v>
      </c>
      <c r="D234" t="inlineStr">
        <is>
          <t>UPPSALA LÄN</t>
        </is>
      </c>
      <c r="E234" t="inlineStr">
        <is>
          <t>ENKÖPING</t>
        </is>
      </c>
      <c r="G234" t="n">
        <v>1.7</v>
      </c>
      <c r="H234" t="n">
        <v>0</v>
      </c>
      <c r="I234" t="n">
        <v>0</v>
      </c>
      <c r="J234" t="n">
        <v>0</v>
      </c>
      <c r="K234" t="n">
        <v>0</v>
      </c>
      <c r="L234" t="n">
        <v>0</v>
      </c>
      <c r="M234" t="n">
        <v>0</v>
      </c>
      <c r="N234" t="n">
        <v>0</v>
      </c>
      <c r="O234" t="n">
        <v>0</v>
      </c>
      <c r="P234" t="n">
        <v>0</v>
      </c>
      <c r="Q234" t="n">
        <v>0</v>
      </c>
      <c r="R234" s="2" t="inlineStr"/>
    </row>
    <row r="235" ht="15" customHeight="1">
      <c r="A235" t="inlineStr">
        <is>
          <t>A 51042-2024</t>
        </is>
      </c>
      <c r="B235" s="1" t="n">
        <v>45603.4342824074</v>
      </c>
      <c r="C235" s="1" t="n">
        <v>45895</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5712-2025</t>
        </is>
      </c>
      <c r="B236" s="1" t="n">
        <v>45694</v>
      </c>
      <c r="C236" s="1" t="n">
        <v>45895</v>
      </c>
      <c r="D236" t="inlineStr">
        <is>
          <t>UPPSALA LÄN</t>
        </is>
      </c>
      <c r="E236" t="inlineStr">
        <is>
          <t>ENKÖPING</t>
        </is>
      </c>
      <c r="G236" t="n">
        <v>5.1</v>
      </c>
      <c r="H236" t="n">
        <v>0</v>
      </c>
      <c r="I236" t="n">
        <v>0</v>
      </c>
      <c r="J236" t="n">
        <v>0</v>
      </c>
      <c r="K236" t="n">
        <v>0</v>
      </c>
      <c r="L236" t="n">
        <v>0</v>
      </c>
      <c r="M236" t="n">
        <v>0</v>
      </c>
      <c r="N236" t="n">
        <v>0</v>
      </c>
      <c r="O236" t="n">
        <v>0</v>
      </c>
      <c r="P236" t="n">
        <v>0</v>
      </c>
      <c r="Q236" t="n">
        <v>0</v>
      </c>
      <c r="R236" s="2" t="inlineStr"/>
    </row>
    <row r="237" ht="15" customHeight="1">
      <c r="A237" t="inlineStr">
        <is>
          <t>A 34617-2022</t>
        </is>
      </c>
      <c r="B237" s="1" t="n">
        <v>44795</v>
      </c>
      <c r="C237" s="1" t="n">
        <v>45895</v>
      </c>
      <c r="D237" t="inlineStr">
        <is>
          <t>UPPSALA LÄN</t>
        </is>
      </c>
      <c r="E237" t="inlineStr">
        <is>
          <t>ENKÖPING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45956-2024</t>
        </is>
      </c>
      <c r="B238" s="1" t="n">
        <v>45580</v>
      </c>
      <c r="C238" s="1" t="n">
        <v>45895</v>
      </c>
      <c r="D238" t="inlineStr">
        <is>
          <t>UPPSALA LÄN</t>
        </is>
      </c>
      <c r="E238" t="inlineStr">
        <is>
          <t>ENKÖPING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40202-2024</t>
        </is>
      </c>
      <c r="B239" s="1" t="n">
        <v>45554</v>
      </c>
      <c r="C239" s="1" t="n">
        <v>45895</v>
      </c>
      <c r="D239" t="inlineStr">
        <is>
          <t>UPPSALA LÄN</t>
        </is>
      </c>
      <c r="E239" t="inlineStr">
        <is>
          <t>ENKÖPING</t>
        </is>
      </c>
      <c r="G239" t="n">
        <v>6.2</v>
      </c>
      <c r="H239" t="n">
        <v>0</v>
      </c>
      <c r="I239" t="n">
        <v>0</v>
      </c>
      <c r="J239" t="n">
        <v>0</v>
      </c>
      <c r="K239" t="n">
        <v>0</v>
      </c>
      <c r="L239" t="n">
        <v>0</v>
      </c>
      <c r="M239" t="n">
        <v>0</v>
      </c>
      <c r="N239" t="n">
        <v>0</v>
      </c>
      <c r="O239" t="n">
        <v>0</v>
      </c>
      <c r="P239" t="n">
        <v>0</v>
      </c>
      <c r="Q239" t="n">
        <v>0</v>
      </c>
      <c r="R239" s="2" t="inlineStr"/>
    </row>
    <row r="240" ht="15" customHeight="1">
      <c r="A240" t="inlineStr">
        <is>
          <t>A 40223-2024</t>
        </is>
      </c>
      <c r="B240" s="1" t="n">
        <v>45554</v>
      </c>
      <c r="C240" s="1" t="n">
        <v>45895</v>
      </c>
      <c r="D240" t="inlineStr">
        <is>
          <t>UPPSALA LÄN</t>
        </is>
      </c>
      <c r="E240" t="inlineStr">
        <is>
          <t>ENKÖPING</t>
        </is>
      </c>
      <c r="G240" t="n">
        <v>1.9</v>
      </c>
      <c r="H240" t="n">
        <v>0</v>
      </c>
      <c r="I240" t="n">
        <v>0</v>
      </c>
      <c r="J240" t="n">
        <v>0</v>
      </c>
      <c r="K240" t="n">
        <v>0</v>
      </c>
      <c r="L240" t="n">
        <v>0</v>
      </c>
      <c r="M240" t="n">
        <v>0</v>
      </c>
      <c r="N240" t="n">
        <v>0</v>
      </c>
      <c r="O240" t="n">
        <v>0</v>
      </c>
      <c r="P240" t="n">
        <v>0</v>
      </c>
      <c r="Q240" t="n">
        <v>0</v>
      </c>
      <c r="R240" s="2" t="inlineStr"/>
    </row>
    <row r="241" ht="15" customHeight="1">
      <c r="A241" t="inlineStr">
        <is>
          <t>A 11627-2025</t>
        </is>
      </c>
      <c r="B241" s="1" t="n">
        <v>45727</v>
      </c>
      <c r="C241" s="1" t="n">
        <v>45895</v>
      </c>
      <c r="D241" t="inlineStr">
        <is>
          <t>UPPSALA LÄN</t>
        </is>
      </c>
      <c r="E241" t="inlineStr">
        <is>
          <t>ENKÖPING</t>
        </is>
      </c>
      <c r="G241" t="n">
        <v>5.5</v>
      </c>
      <c r="H241" t="n">
        <v>0</v>
      </c>
      <c r="I241" t="n">
        <v>0</v>
      </c>
      <c r="J241" t="n">
        <v>0</v>
      </c>
      <c r="K241" t="n">
        <v>0</v>
      </c>
      <c r="L241" t="n">
        <v>0</v>
      </c>
      <c r="M241" t="n">
        <v>0</v>
      </c>
      <c r="N241" t="n">
        <v>0</v>
      </c>
      <c r="O241" t="n">
        <v>0</v>
      </c>
      <c r="P241" t="n">
        <v>0</v>
      </c>
      <c r="Q241" t="n">
        <v>0</v>
      </c>
      <c r="R241" s="2" t="inlineStr"/>
    </row>
    <row r="242" ht="15" customHeight="1">
      <c r="A242" t="inlineStr">
        <is>
          <t>A 74090-2021</t>
        </is>
      </c>
      <c r="B242" s="1" t="n">
        <v>44557</v>
      </c>
      <c r="C242" s="1" t="n">
        <v>45895</v>
      </c>
      <c r="D242" t="inlineStr">
        <is>
          <t>UPPSALA LÄN</t>
        </is>
      </c>
      <c r="E242" t="inlineStr">
        <is>
          <t>ENKÖPING</t>
        </is>
      </c>
      <c r="G242" t="n">
        <v>2.1</v>
      </c>
      <c r="H242" t="n">
        <v>0</v>
      </c>
      <c r="I242" t="n">
        <v>0</v>
      </c>
      <c r="J242" t="n">
        <v>0</v>
      </c>
      <c r="K242" t="n">
        <v>0</v>
      </c>
      <c r="L242" t="n">
        <v>0</v>
      </c>
      <c r="M242" t="n">
        <v>0</v>
      </c>
      <c r="N242" t="n">
        <v>0</v>
      </c>
      <c r="O242" t="n">
        <v>0</v>
      </c>
      <c r="P242" t="n">
        <v>0</v>
      </c>
      <c r="Q242" t="n">
        <v>0</v>
      </c>
      <c r="R242" s="2" t="inlineStr"/>
    </row>
    <row r="243" ht="15" customHeight="1">
      <c r="A243" t="inlineStr">
        <is>
          <t>A 22912-2024</t>
        </is>
      </c>
      <c r="B243" s="1" t="n">
        <v>45448.73118055556</v>
      </c>
      <c r="C243" s="1" t="n">
        <v>45895</v>
      </c>
      <c r="D243" t="inlineStr">
        <is>
          <t>UPPSALA LÄN</t>
        </is>
      </c>
      <c r="E243" t="inlineStr">
        <is>
          <t>ENKÖPING</t>
        </is>
      </c>
      <c r="G243" t="n">
        <v>2.8</v>
      </c>
      <c r="H243" t="n">
        <v>0</v>
      </c>
      <c r="I243" t="n">
        <v>0</v>
      </c>
      <c r="J243" t="n">
        <v>0</v>
      </c>
      <c r="K243" t="n">
        <v>0</v>
      </c>
      <c r="L243" t="n">
        <v>0</v>
      </c>
      <c r="M243" t="n">
        <v>0</v>
      </c>
      <c r="N243" t="n">
        <v>0</v>
      </c>
      <c r="O243" t="n">
        <v>0</v>
      </c>
      <c r="P243" t="n">
        <v>0</v>
      </c>
      <c r="Q243" t="n">
        <v>0</v>
      </c>
      <c r="R243" s="2" t="inlineStr"/>
    </row>
    <row r="244" ht="15" customHeight="1">
      <c r="A244" t="inlineStr">
        <is>
          <t>A 53149-2020</t>
        </is>
      </c>
      <c r="B244" s="1" t="n">
        <v>44120</v>
      </c>
      <c r="C244" s="1" t="n">
        <v>45895</v>
      </c>
      <c r="D244" t="inlineStr">
        <is>
          <t>UPPSALA LÄN</t>
        </is>
      </c>
      <c r="E244" t="inlineStr">
        <is>
          <t>ENKÖPING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9667-2024</t>
        </is>
      </c>
      <c r="B245" s="1" t="n">
        <v>45362.45130787037</v>
      </c>
      <c r="C245" s="1" t="n">
        <v>45895</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69879-2021</t>
        </is>
      </c>
      <c r="B246" s="1" t="n">
        <v>44532</v>
      </c>
      <c r="C246" s="1" t="n">
        <v>45895</v>
      </c>
      <c r="D246" t="inlineStr">
        <is>
          <t>UPPSALA LÄN</t>
        </is>
      </c>
      <c r="E246" t="inlineStr">
        <is>
          <t>ENKÖPING</t>
        </is>
      </c>
      <c r="G246" t="n">
        <v>4.2</v>
      </c>
      <c r="H246" t="n">
        <v>0</v>
      </c>
      <c r="I246" t="n">
        <v>0</v>
      </c>
      <c r="J246" t="n">
        <v>0</v>
      </c>
      <c r="K246" t="n">
        <v>0</v>
      </c>
      <c r="L246" t="n">
        <v>0</v>
      </c>
      <c r="M246" t="n">
        <v>0</v>
      </c>
      <c r="N246" t="n">
        <v>0</v>
      </c>
      <c r="O246" t="n">
        <v>0</v>
      </c>
      <c r="P246" t="n">
        <v>0</v>
      </c>
      <c r="Q246" t="n">
        <v>0</v>
      </c>
      <c r="R246" s="2" t="inlineStr"/>
    </row>
    <row r="247" ht="15" customHeight="1">
      <c r="A247" t="inlineStr">
        <is>
          <t>A 19013-2025</t>
        </is>
      </c>
      <c r="B247" s="1" t="n">
        <v>45764.59533564815</v>
      </c>
      <c r="C247" s="1" t="n">
        <v>45895</v>
      </c>
      <c r="D247" t="inlineStr">
        <is>
          <t>UPPSALA LÄN</t>
        </is>
      </c>
      <c r="E247" t="inlineStr">
        <is>
          <t>ENKÖPING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57335-2024</t>
        </is>
      </c>
      <c r="B248" s="1" t="n">
        <v>45629.63302083333</v>
      </c>
      <c r="C248" s="1" t="n">
        <v>45895</v>
      </c>
      <c r="D248" t="inlineStr">
        <is>
          <t>UPPSALA LÄN</t>
        </is>
      </c>
      <c r="E248" t="inlineStr">
        <is>
          <t>ENKÖPING</t>
        </is>
      </c>
      <c r="G248" t="n">
        <v>2.1</v>
      </c>
      <c r="H248" t="n">
        <v>0</v>
      </c>
      <c r="I248" t="n">
        <v>0</v>
      </c>
      <c r="J248" t="n">
        <v>0</v>
      </c>
      <c r="K248" t="n">
        <v>0</v>
      </c>
      <c r="L248" t="n">
        <v>0</v>
      </c>
      <c r="M248" t="n">
        <v>0</v>
      </c>
      <c r="N248" t="n">
        <v>0</v>
      </c>
      <c r="O248" t="n">
        <v>0</v>
      </c>
      <c r="P248" t="n">
        <v>0</v>
      </c>
      <c r="Q248" t="n">
        <v>0</v>
      </c>
      <c r="R248" s="2" t="inlineStr"/>
    </row>
    <row r="249" ht="15" customHeight="1">
      <c r="A249" t="inlineStr">
        <is>
          <t>A 23301-2024</t>
        </is>
      </c>
      <c r="B249" s="1" t="n">
        <v>45453.4396412037</v>
      </c>
      <c r="C249" s="1" t="n">
        <v>45895</v>
      </c>
      <c r="D249" t="inlineStr">
        <is>
          <t>UPPSALA LÄN</t>
        </is>
      </c>
      <c r="E249" t="inlineStr">
        <is>
          <t>ENKÖPING</t>
        </is>
      </c>
      <c r="G249" t="n">
        <v>4.3</v>
      </c>
      <c r="H249" t="n">
        <v>0</v>
      </c>
      <c r="I249" t="n">
        <v>0</v>
      </c>
      <c r="J249" t="n">
        <v>0</v>
      </c>
      <c r="K249" t="n">
        <v>0</v>
      </c>
      <c r="L249" t="n">
        <v>0</v>
      </c>
      <c r="M249" t="n">
        <v>0</v>
      </c>
      <c r="N249" t="n">
        <v>0</v>
      </c>
      <c r="O249" t="n">
        <v>0</v>
      </c>
      <c r="P249" t="n">
        <v>0</v>
      </c>
      <c r="Q249" t="n">
        <v>0</v>
      </c>
      <c r="R249" s="2" t="inlineStr"/>
    </row>
    <row r="250" ht="15" customHeight="1">
      <c r="A250" t="inlineStr">
        <is>
          <t>A 2833-2025</t>
        </is>
      </c>
      <c r="B250" s="1" t="n">
        <v>45677.63206018518</v>
      </c>
      <c r="C250" s="1" t="n">
        <v>45895</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43506-2023</t>
        </is>
      </c>
      <c r="B251" s="1" t="n">
        <v>45181</v>
      </c>
      <c r="C251" s="1" t="n">
        <v>45895</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14004-2023</t>
        </is>
      </c>
      <c r="B252" s="1" t="n">
        <v>45008</v>
      </c>
      <c r="C252" s="1" t="n">
        <v>45895</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51012-2024</t>
        </is>
      </c>
      <c r="B253" s="1" t="n">
        <v>45603.39686342593</v>
      </c>
      <c r="C253" s="1" t="n">
        <v>45895</v>
      </c>
      <c r="D253" t="inlineStr">
        <is>
          <t>UPPSALA LÄN</t>
        </is>
      </c>
      <c r="E253" t="inlineStr">
        <is>
          <t>ENKÖPING</t>
        </is>
      </c>
      <c r="G253" t="n">
        <v>2.7</v>
      </c>
      <c r="H253" t="n">
        <v>0</v>
      </c>
      <c r="I253" t="n">
        <v>0</v>
      </c>
      <c r="J253" t="n">
        <v>0</v>
      </c>
      <c r="K253" t="n">
        <v>0</v>
      </c>
      <c r="L253" t="n">
        <v>0</v>
      </c>
      <c r="M253" t="n">
        <v>0</v>
      </c>
      <c r="N253" t="n">
        <v>0</v>
      </c>
      <c r="O253" t="n">
        <v>0</v>
      </c>
      <c r="P253" t="n">
        <v>0</v>
      </c>
      <c r="Q253" t="n">
        <v>0</v>
      </c>
      <c r="R253" s="2" t="inlineStr"/>
    </row>
    <row r="254" ht="15" customHeight="1">
      <c r="A254" t="inlineStr">
        <is>
          <t>A 51037-2024</t>
        </is>
      </c>
      <c r="B254" s="1" t="n">
        <v>45603.43005787037</v>
      </c>
      <c r="C254" s="1" t="n">
        <v>45895</v>
      </c>
      <c r="D254" t="inlineStr">
        <is>
          <t>UPPSALA LÄN</t>
        </is>
      </c>
      <c r="E254" t="inlineStr">
        <is>
          <t>ENKÖPING</t>
        </is>
      </c>
      <c r="G254" t="n">
        <v>5.7</v>
      </c>
      <c r="H254" t="n">
        <v>0</v>
      </c>
      <c r="I254" t="n">
        <v>0</v>
      </c>
      <c r="J254" t="n">
        <v>0</v>
      </c>
      <c r="K254" t="n">
        <v>0</v>
      </c>
      <c r="L254" t="n">
        <v>0</v>
      </c>
      <c r="M254" t="n">
        <v>0</v>
      </c>
      <c r="N254" t="n">
        <v>0</v>
      </c>
      <c r="O254" t="n">
        <v>0</v>
      </c>
      <c r="P254" t="n">
        <v>0</v>
      </c>
      <c r="Q254" t="n">
        <v>0</v>
      </c>
      <c r="R254" s="2" t="inlineStr"/>
    </row>
    <row r="255" ht="15" customHeight="1">
      <c r="A255" t="inlineStr">
        <is>
          <t>A 33619-2022</t>
        </is>
      </c>
      <c r="B255" s="1" t="n">
        <v>44789</v>
      </c>
      <c r="C255" s="1" t="n">
        <v>45895</v>
      </c>
      <c r="D255" t="inlineStr">
        <is>
          <t>UPPSALA LÄN</t>
        </is>
      </c>
      <c r="E255" t="inlineStr">
        <is>
          <t>ENKÖPING</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58092-2024</t>
        </is>
      </c>
      <c r="B256" s="1" t="n">
        <v>45632</v>
      </c>
      <c r="C256" s="1" t="n">
        <v>45895</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31604-2023</t>
        </is>
      </c>
      <c r="B257" s="1" t="n">
        <v>45117.50368055556</v>
      </c>
      <c r="C257" s="1" t="n">
        <v>45895</v>
      </c>
      <c r="D257" t="inlineStr">
        <is>
          <t>UPPSALA LÄN</t>
        </is>
      </c>
      <c r="E257" t="inlineStr">
        <is>
          <t>ENKÖPING</t>
        </is>
      </c>
      <c r="G257" t="n">
        <v>3.5</v>
      </c>
      <c r="H257" t="n">
        <v>0</v>
      </c>
      <c r="I257" t="n">
        <v>0</v>
      </c>
      <c r="J257" t="n">
        <v>0</v>
      </c>
      <c r="K257" t="n">
        <v>0</v>
      </c>
      <c r="L257" t="n">
        <v>0</v>
      </c>
      <c r="M257" t="n">
        <v>0</v>
      </c>
      <c r="N257" t="n">
        <v>0</v>
      </c>
      <c r="O257" t="n">
        <v>0</v>
      </c>
      <c r="P257" t="n">
        <v>0</v>
      </c>
      <c r="Q257" t="n">
        <v>0</v>
      </c>
      <c r="R257" s="2" t="inlineStr"/>
    </row>
    <row r="258" ht="15" customHeight="1">
      <c r="A258" t="inlineStr">
        <is>
          <t>A 41828-2024</t>
        </is>
      </c>
      <c r="B258" s="1" t="n">
        <v>45561</v>
      </c>
      <c r="C258" s="1" t="n">
        <v>45895</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24411-2024</t>
        </is>
      </c>
      <c r="B259" s="1" t="n">
        <v>45457</v>
      </c>
      <c r="C259" s="1" t="n">
        <v>45895</v>
      </c>
      <c r="D259" t="inlineStr">
        <is>
          <t>UPPSALA LÄN</t>
        </is>
      </c>
      <c r="E259" t="inlineStr">
        <is>
          <t>ENKÖPING</t>
        </is>
      </c>
      <c r="G259" t="n">
        <v>0.7</v>
      </c>
      <c r="H259" t="n">
        <v>0</v>
      </c>
      <c r="I259" t="n">
        <v>0</v>
      </c>
      <c r="J259" t="n">
        <v>0</v>
      </c>
      <c r="K259" t="n">
        <v>0</v>
      </c>
      <c r="L259" t="n">
        <v>0</v>
      </c>
      <c r="M259" t="n">
        <v>0</v>
      </c>
      <c r="N259" t="n">
        <v>0</v>
      </c>
      <c r="O259" t="n">
        <v>0</v>
      </c>
      <c r="P259" t="n">
        <v>0</v>
      </c>
      <c r="Q259" t="n">
        <v>0</v>
      </c>
      <c r="R259" s="2" t="inlineStr"/>
    </row>
    <row r="260" ht="15" customHeight="1">
      <c r="A260" t="inlineStr">
        <is>
          <t>A 59602-2024</t>
        </is>
      </c>
      <c r="B260" s="1" t="n">
        <v>45638</v>
      </c>
      <c r="C260" s="1" t="n">
        <v>45895</v>
      </c>
      <c r="D260" t="inlineStr">
        <is>
          <t>UPPSALA LÄN</t>
        </is>
      </c>
      <c r="E260" t="inlineStr">
        <is>
          <t>ENKÖPING</t>
        </is>
      </c>
      <c r="G260" t="n">
        <v>1.1</v>
      </c>
      <c r="H260" t="n">
        <v>0</v>
      </c>
      <c r="I260" t="n">
        <v>0</v>
      </c>
      <c r="J260" t="n">
        <v>0</v>
      </c>
      <c r="K260" t="n">
        <v>0</v>
      </c>
      <c r="L260" t="n">
        <v>0</v>
      </c>
      <c r="M260" t="n">
        <v>0</v>
      </c>
      <c r="N260" t="n">
        <v>0</v>
      </c>
      <c r="O260" t="n">
        <v>0</v>
      </c>
      <c r="P260" t="n">
        <v>0</v>
      </c>
      <c r="Q260" t="n">
        <v>0</v>
      </c>
      <c r="R260" s="2" t="inlineStr"/>
    </row>
    <row r="261" ht="15" customHeight="1">
      <c r="A261" t="inlineStr">
        <is>
          <t>A 25988-2025</t>
        </is>
      </c>
      <c r="B261" s="1" t="n">
        <v>45804.64814814815</v>
      </c>
      <c r="C261" s="1" t="n">
        <v>45895</v>
      </c>
      <c r="D261" t="inlineStr">
        <is>
          <t>UPPSALA LÄN</t>
        </is>
      </c>
      <c r="E261" t="inlineStr">
        <is>
          <t>ENKÖPING</t>
        </is>
      </c>
      <c r="G261" t="n">
        <v>4.7</v>
      </c>
      <c r="H261" t="n">
        <v>0</v>
      </c>
      <c r="I261" t="n">
        <v>0</v>
      </c>
      <c r="J261" t="n">
        <v>0</v>
      </c>
      <c r="K261" t="n">
        <v>0</v>
      </c>
      <c r="L261" t="n">
        <v>0</v>
      </c>
      <c r="M261" t="n">
        <v>0</v>
      </c>
      <c r="N261" t="n">
        <v>0</v>
      </c>
      <c r="O261" t="n">
        <v>0</v>
      </c>
      <c r="P261" t="n">
        <v>0</v>
      </c>
      <c r="Q261" t="n">
        <v>0</v>
      </c>
      <c r="R261" s="2" t="inlineStr"/>
    </row>
    <row r="262" ht="15" customHeight="1">
      <c r="A262" t="inlineStr">
        <is>
          <t>A 26017-2025</t>
        </is>
      </c>
      <c r="B262" s="1" t="n">
        <v>45804</v>
      </c>
      <c r="C262" s="1" t="n">
        <v>45895</v>
      </c>
      <c r="D262" t="inlineStr">
        <is>
          <t>UPPSALA LÄN</t>
        </is>
      </c>
      <c r="E262" t="inlineStr">
        <is>
          <t>ENKÖPING</t>
        </is>
      </c>
      <c r="G262" t="n">
        <v>0.4</v>
      </c>
      <c r="H262" t="n">
        <v>0</v>
      </c>
      <c r="I262" t="n">
        <v>0</v>
      </c>
      <c r="J262" t="n">
        <v>0</v>
      </c>
      <c r="K262" t="n">
        <v>0</v>
      </c>
      <c r="L262" t="n">
        <v>0</v>
      </c>
      <c r="M262" t="n">
        <v>0</v>
      </c>
      <c r="N262" t="n">
        <v>0</v>
      </c>
      <c r="O262" t="n">
        <v>0</v>
      </c>
      <c r="P262" t="n">
        <v>0</v>
      </c>
      <c r="Q262" t="n">
        <v>0</v>
      </c>
      <c r="R262" s="2" t="inlineStr"/>
    </row>
    <row r="263" ht="15" customHeight="1">
      <c r="A263" t="inlineStr">
        <is>
          <t>A 26024-2025</t>
        </is>
      </c>
      <c r="B263" s="1" t="n">
        <v>45804.6831712963</v>
      </c>
      <c r="C263" s="1" t="n">
        <v>45895</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26042-2025</t>
        </is>
      </c>
      <c r="B264" s="1" t="n">
        <v>45804.70018518518</v>
      </c>
      <c r="C264" s="1" t="n">
        <v>45895</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25990-2025</t>
        </is>
      </c>
      <c r="B265" s="1" t="n">
        <v>45804.65229166667</v>
      </c>
      <c r="C265" s="1" t="n">
        <v>45895</v>
      </c>
      <c r="D265" t="inlineStr">
        <is>
          <t>UPPSALA LÄN</t>
        </is>
      </c>
      <c r="E265" t="inlineStr">
        <is>
          <t>ENKÖPING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14243-2025</t>
        </is>
      </c>
      <c r="B266" s="1" t="n">
        <v>45740.61288194444</v>
      </c>
      <c r="C266" s="1" t="n">
        <v>45895</v>
      </c>
      <c r="D266" t="inlineStr">
        <is>
          <t>UPPSALA LÄN</t>
        </is>
      </c>
      <c r="E266" t="inlineStr">
        <is>
          <t>ENKÖPING</t>
        </is>
      </c>
      <c r="G266" t="n">
        <v>2.2</v>
      </c>
      <c r="H266" t="n">
        <v>0</v>
      </c>
      <c r="I266" t="n">
        <v>0</v>
      </c>
      <c r="J266" t="n">
        <v>0</v>
      </c>
      <c r="K266" t="n">
        <v>0</v>
      </c>
      <c r="L266" t="n">
        <v>0</v>
      </c>
      <c r="M266" t="n">
        <v>0</v>
      </c>
      <c r="N266" t="n">
        <v>0</v>
      </c>
      <c r="O266" t="n">
        <v>0</v>
      </c>
      <c r="P266" t="n">
        <v>0</v>
      </c>
      <c r="Q266" t="n">
        <v>0</v>
      </c>
      <c r="R266" s="2" t="inlineStr"/>
    </row>
    <row r="267" ht="15" customHeight="1">
      <c r="A267" t="inlineStr">
        <is>
          <t>A 19488-2022</t>
        </is>
      </c>
      <c r="B267" s="1" t="n">
        <v>44693</v>
      </c>
      <c r="C267" s="1" t="n">
        <v>45895</v>
      </c>
      <c r="D267" t="inlineStr">
        <is>
          <t>UPPSALA LÄN</t>
        </is>
      </c>
      <c r="E267" t="inlineStr">
        <is>
          <t>ENKÖPING</t>
        </is>
      </c>
      <c r="G267" t="n">
        <v>7.8</v>
      </c>
      <c r="H267" t="n">
        <v>0</v>
      </c>
      <c r="I267" t="n">
        <v>0</v>
      </c>
      <c r="J267" t="n">
        <v>0</v>
      </c>
      <c r="K267" t="n">
        <v>0</v>
      </c>
      <c r="L267" t="n">
        <v>0</v>
      </c>
      <c r="M267" t="n">
        <v>0</v>
      </c>
      <c r="N267" t="n">
        <v>0</v>
      </c>
      <c r="O267" t="n">
        <v>0</v>
      </c>
      <c r="P267" t="n">
        <v>0</v>
      </c>
      <c r="Q267" t="n">
        <v>0</v>
      </c>
      <c r="R267" s="2" t="inlineStr"/>
    </row>
    <row r="268" ht="15" customHeight="1">
      <c r="A268" t="inlineStr">
        <is>
          <t>A 26030-2025</t>
        </is>
      </c>
      <c r="B268" s="1" t="n">
        <v>45804.68815972222</v>
      </c>
      <c r="C268" s="1" t="n">
        <v>45895</v>
      </c>
      <c r="D268" t="inlineStr">
        <is>
          <t>UPPSALA LÄN</t>
        </is>
      </c>
      <c r="E268" t="inlineStr">
        <is>
          <t>ENKÖPING</t>
        </is>
      </c>
      <c r="G268" t="n">
        <v>0.3</v>
      </c>
      <c r="H268" t="n">
        <v>0</v>
      </c>
      <c r="I268" t="n">
        <v>0</v>
      </c>
      <c r="J268" t="n">
        <v>0</v>
      </c>
      <c r="K268" t="n">
        <v>0</v>
      </c>
      <c r="L268" t="n">
        <v>0</v>
      </c>
      <c r="M268" t="n">
        <v>0</v>
      </c>
      <c r="N268" t="n">
        <v>0</v>
      </c>
      <c r="O268" t="n">
        <v>0</v>
      </c>
      <c r="P268" t="n">
        <v>0</v>
      </c>
      <c r="Q268" t="n">
        <v>0</v>
      </c>
      <c r="R268" s="2" t="inlineStr"/>
    </row>
    <row r="269" ht="15" customHeight="1">
      <c r="A269" t="inlineStr">
        <is>
          <t>A 10465-2022</t>
        </is>
      </c>
      <c r="B269" s="1" t="n">
        <v>44623</v>
      </c>
      <c r="C269" s="1" t="n">
        <v>45895</v>
      </c>
      <c r="D269" t="inlineStr">
        <is>
          <t>UPPSALA LÄN</t>
        </is>
      </c>
      <c r="E269" t="inlineStr">
        <is>
          <t>ENKÖPING</t>
        </is>
      </c>
      <c r="G269" t="n">
        <v>1.7</v>
      </c>
      <c r="H269" t="n">
        <v>0</v>
      </c>
      <c r="I269" t="n">
        <v>0</v>
      </c>
      <c r="J269" t="n">
        <v>0</v>
      </c>
      <c r="K269" t="n">
        <v>0</v>
      </c>
      <c r="L269" t="n">
        <v>0</v>
      </c>
      <c r="M269" t="n">
        <v>0</v>
      </c>
      <c r="N269" t="n">
        <v>0</v>
      </c>
      <c r="O269" t="n">
        <v>0</v>
      </c>
      <c r="P269" t="n">
        <v>0</v>
      </c>
      <c r="Q269" t="n">
        <v>0</v>
      </c>
      <c r="R269" s="2" t="inlineStr"/>
    </row>
    <row r="270" ht="15" customHeight="1">
      <c r="A270" t="inlineStr">
        <is>
          <t>A 21501-2025</t>
        </is>
      </c>
      <c r="B270" s="1" t="n">
        <v>45782</v>
      </c>
      <c r="C270" s="1" t="n">
        <v>45895</v>
      </c>
      <c r="D270" t="inlineStr">
        <is>
          <t>UPPSALA LÄN</t>
        </is>
      </c>
      <c r="E270" t="inlineStr">
        <is>
          <t>ENKÖPING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26026-2025</t>
        </is>
      </c>
      <c r="B271" s="1" t="n">
        <v>45804.68510416667</v>
      </c>
      <c r="C271" s="1" t="n">
        <v>45895</v>
      </c>
      <c r="D271" t="inlineStr">
        <is>
          <t>UPPSALA LÄN</t>
        </is>
      </c>
      <c r="E271" t="inlineStr">
        <is>
          <t>ENKÖPING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26047-2025</t>
        </is>
      </c>
      <c r="B272" s="1" t="n">
        <v>45804.70835648148</v>
      </c>
      <c r="C272" s="1" t="n">
        <v>45895</v>
      </c>
      <c r="D272" t="inlineStr">
        <is>
          <t>UPPSALA LÄN</t>
        </is>
      </c>
      <c r="E272" t="inlineStr">
        <is>
          <t>ENKÖPING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25989-2025</t>
        </is>
      </c>
      <c r="B273" s="1" t="n">
        <v>45804.65050925926</v>
      </c>
      <c r="C273" s="1" t="n">
        <v>45895</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25847-2025</t>
        </is>
      </c>
      <c r="B274" s="1" t="n">
        <v>45804</v>
      </c>
      <c r="C274" s="1" t="n">
        <v>45895</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26005-2025</t>
        </is>
      </c>
      <c r="B275" s="1" t="n">
        <v>45804.67055555555</v>
      </c>
      <c r="C275" s="1" t="n">
        <v>45895</v>
      </c>
      <c r="D275" t="inlineStr">
        <is>
          <t>UPPSALA LÄN</t>
        </is>
      </c>
      <c r="E275" t="inlineStr">
        <is>
          <t>ENKÖPING</t>
        </is>
      </c>
      <c r="G275" t="n">
        <v>0.3</v>
      </c>
      <c r="H275" t="n">
        <v>0</v>
      </c>
      <c r="I275" t="n">
        <v>0</v>
      </c>
      <c r="J275" t="n">
        <v>0</v>
      </c>
      <c r="K275" t="n">
        <v>0</v>
      </c>
      <c r="L275" t="n">
        <v>0</v>
      </c>
      <c r="M275" t="n">
        <v>0</v>
      </c>
      <c r="N275" t="n">
        <v>0</v>
      </c>
      <c r="O275" t="n">
        <v>0</v>
      </c>
      <c r="P275" t="n">
        <v>0</v>
      </c>
      <c r="Q275" t="n">
        <v>0</v>
      </c>
      <c r="R275" s="2" t="inlineStr"/>
    </row>
    <row r="276" ht="15" customHeight="1">
      <c r="A276" t="inlineStr">
        <is>
          <t>A 26031-2025</t>
        </is>
      </c>
      <c r="B276" s="1" t="n">
        <v>45804.69050925926</v>
      </c>
      <c r="C276" s="1" t="n">
        <v>45895</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26041-2025</t>
        </is>
      </c>
      <c r="B277" s="1" t="n">
        <v>45804.69883101852</v>
      </c>
      <c r="C277" s="1" t="n">
        <v>45895</v>
      </c>
      <c r="D277" t="inlineStr">
        <is>
          <t>UPPSALA LÄN</t>
        </is>
      </c>
      <c r="E277" t="inlineStr">
        <is>
          <t>ENKÖPING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26022-2025</t>
        </is>
      </c>
      <c r="B278" s="1" t="n">
        <v>45804.68006944445</v>
      </c>
      <c r="C278" s="1" t="n">
        <v>45895</v>
      </c>
      <c r="D278" t="inlineStr">
        <is>
          <t>UPPSALA LÄN</t>
        </is>
      </c>
      <c r="E278" t="inlineStr">
        <is>
          <t>ENKÖPING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26011-2025</t>
        </is>
      </c>
      <c r="B279" s="1" t="n">
        <v>45804.67412037037</v>
      </c>
      <c r="C279" s="1" t="n">
        <v>45895</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29513-2025</t>
        </is>
      </c>
      <c r="B280" s="1" t="n">
        <v>45825</v>
      </c>
      <c r="C280" s="1" t="n">
        <v>45895</v>
      </c>
      <c r="D280" t="inlineStr">
        <is>
          <t>UPPSALA LÄN</t>
        </is>
      </c>
      <c r="E280" t="inlineStr">
        <is>
          <t>ENKÖPING</t>
        </is>
      </c>
      <c r="G280" t="n">
        <v>2.6</v>
      </c>
      <c r="H280" t="n">
        <v>0</v>
      </c>
      <c r="I280" t="n">
        <v>0</v>
      </c>
      <c r="J280" t="n">
        <v>0</v>
      </c>
      <c r="K280" t="n">
        <v>0</v>
      </c>
      <c r="L280" t="n">
        <v>0</v>
      </c>
      <c r="M280" t="n">
        <v>0</v>
      </c>
      <c r="N280" t="n">
        <v>0</v>
      </c>
      <c r="O280" t="n">
        <v>0</v>
      </c>
      <c r="P280" t="n">
        <v>0</v>
      </c>
      <c r="Q280" t="n">
        <v>0</v>
      </c>
      <c r="R280" s="2" t="inlineStr"/>
    </row>
    <row r="281" ht="15" customHeight="1">
      <c r="A281" t="inlineStr">
        <is>
          <t>A 41826-2024</t>
        </is>
      </c>
      <c r="B281" s="1" t="n">
        <v>45561</v>
      </c>
      <c r="C281" s="1" t="n">
        <v>45895</v>
      </c>
      <c r="D281" t="inlineStr">
        <is>
          <t>UPPSALA LÄN</t>
        </is>
      </c>
      <c r="E281" t="inlineStr">
        <is>
          <t>ENKÖPING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16916-2022</t>
        </is>
      </c>
      <c r="B282" s="1" t="n">
        <v>44676</v>
      </c>
      <c r="C282" s="1" t="n">
        <v>45895</v>
      </c>
      <c r="D282" t="inlineStr">
        <is>
          <t>UPPSALA LÄN</t>
        </is>
      </c>
      <c r="E282" t="inlineStr">
        <is>
          <t>ENKÖPING</t>
        </is>
      </c>
      <c r="G282" t="n">
        <v>1</v>
      </c>
      <c r="H282" t="n">
        <v>0</v>
      </c>
      <c r="I282" t="n">
        <v>0</v>
      </c>
      <c r="J282" t="n">
        <v>0</v>
      </c>
      <c r="K282" t="n">
        <v>0</v>
      </c>
      <c r="L282" t="n">
        <v>0</v>
      </c>
      <c r="M282" t="n">
        <v>0</v>
      </c>
      <c r="N282" t="n">
        <v>0</v>
      </c>
      <c r="O282" t="n">
        <v>0</v>
      </c>
      <c r="P282" t="n">
        <v>0</v>
      </c>
      <c r="Q282" t="n">
        <v>0</v>
      </c>
      <c r="R282" s="2" t="inlineStr"/>
    </row>
    <row r="283" ht="15" customHeight="1">
      <c r="A283" t="inlineStr">
        <is>
          <t>A 5013-2025</t>
        </is>
      </c>
      <c r="B283" s="1" t="n">
        <v>45691</v>
      </c>
      <c r="C283" s="1" t="n">
        <v>45895</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11503-2024</t>
        </is>
      </c>
      <c r="B284" s="1" t="n">
        <v>45372.68020833333</v>
      </c>
      <c r="C284" s="1" t="n">
        <v>45895</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44115-2024</t>
        </is>
      </c>
      <c r="B285" s="1" t="n">
        <v>45572</v>
      </c>
      <c r="C285" s="1" t="n">
        <v>45895</v>
      </c>
      <c r="D285" t="inlineStr">
        <is>
          <t>UPPSALA LÄN</t>
        </is>
      </c>
      <c r="E285" t="inlineStr">
        <is>
          <t>ENKÖPING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30634-2022</t>
        </is>
      </c>
      <c r="B286" s="1" t="n">
        <v>44763.45711805556</v>
      </c>
      <c r="C286" s="1" t="n">
        <v>45895</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2164-2023</t>
        </is>
      </c>
      <c r="B287" s="1" t="n">
        <v>44941</v>
      </c>
      <c r="C287" s="1" t="n">
        <v>45895</v>
      </c>
      <c r="D287" t="inlineStr">
        <is>
          <t>UPPSALA LÄN</t>
        </is>
      </c>
      <c r="E287" t="inlineStr">
        <is>
          <t>ENKÖPING</t>
        </is>
      </c>
      <c r="G287" t="n">
        <v>2.5</v>
      </c>
      <c r="H287" t="n">
        <v>0</v>
      </c>
      <c r="I287" t="n">
        <v>0</v>
      </c>
      <c r="J287" t="n">
        <v>0</v>
      </c>
      <c r="K287" t="n">
        <v>0</v>
      </c>
      <c r="L287" t="n">
        <v>0</v>
      </c>
      <c r="M287" t="n">
        <v>0</v>
      </c>
      <c r="N287" t="n">
        <v>0</v>
      </c>
      <c r="O287" t="n">
        <v>0</v>
      </c>
      <c r="P287" t="n">
        <v>0</v>
      </c>
      <c r="Q287" t="n">
        <v>0</v>
      </c>
      <c r="R287" s="2" t="inlineStr"/>
    </row>
    <row r="288" ht="15" customHeight="1">
      <c r="A288" t="inlineStr">
        <is>
          <t>A 35067-2024</t>
        </is>
      </c>
      <c r="B288" s="1" t="n">
        <v>45527.66153935185</v>
      </c>
      <c r="C288" s="1" t="n">
        <v>45895</v>
      </c>
      <c r="D288" t="inlineStr">
        <is>
          <t>UPPSALA LÄN</t>
        </is>
      </c>
      <c r="E288" t="inlineStr">
        <is>
          <t>ENKÖPING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3300-2025</t>
        </is>
      </c>
      <c r="B289" s="1" t="n">
        <v>45679</v>
      </c>
      <c r="C289" s="1" t="n">
        <v>45895</v>
      </c>
      <c r="D289" t="inlineStr">
        <is>
          <t>UPPSALA LÄN</t>
        </is>
      </c>
      <c r="E289" t="inlineStr">
        <is>
          <t>ENKÖPING</t>
        </is>
      </c>
      <c r="G289" t="n">
        <v>8.9</v>
      </c>
      <c r="H289" t="n">
        <v>0</v>
      </c>
      <c r="I289" t="n">
        <v>0</v>
      </c>
      <c r="J289" t="n">
        <v>0</v>
      </c>
      <c r="K289" t="n">
        <v>0</v>
      </c>
      <c r="L289" t="n">
        <v>0</v>
      </c>
      <c r="M289" t="n">
        <v>0</v>
      </c>
      <c r="N289" t="n">
        <v>0</v>
      </c>
      <c r="O289" t="n">
        <v>0</v>
      </c>
      <c r="P289" t="n">
        <v>0</v>
      </c>
      <c r="Q289" t="n">
        <v>0</v>
      </c>
      <c r="R289" s="2" t="inlineStr"/>
    </row>
    <row r="290" ht="15" customHeight="1">
      <c r="A290" t="inlineStr">
        <is>
          <t>A 33955-2024</t>
        </is>
      </c>
      <c r="B290" s="1" t="n">
        <v>45523.46952546296</v>
      </c>
      <c r="C290" s="1" t="n">
        <v>45895</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6172-2023</t>
        </is>
      </c>
      <c r="B291" s="1" t="n">
        <v>44964.68663194445</v>
      </c>
      <c r="C291" s="1" t="n">
        <v>45895</v>
      </c>
      <c r="D291" t="inlineStr">
        <is>
          <t>UPPSALA LÄN</t>
        </is>
      </c>
      <c r="E291" t="inlineStr">
        <is>
          <t>ENKÖPING</t>
        </is>
      </c>
      <c r="G291" t="n">
        <v>2.6</v>
      </c>
      <c r="H291" t="n">
        <v>0</v>
      </c>
      <c r="I291" t="n">
        <v>0</v>
      </c>
      <c r="J291" t="n">
        <v>0</v>
      </c>
      <c r="K291" t="n">
        <v>0</v>
      </c>
      <c r="L291" t="n">
        <v>0</v>
      </c>
      <c r="M291" t="n">
        <v>0</v>
      </c>
      <c r="N291" t="n">
        <v>0</v>
      </c>
      <c r="O291" t="n">
        <v>0</v>
      </c>
      <c r="P291" t="n">
        <v>0</v>
      </c>
      <c r="Q291" t="n">
        <v>0</v>
      </c>
      <c r="R291" s="2" t="inlineStr"/>
    </row>
    <row r="292" ht="15" customHeight="1">
      <c r="A292" t="inlineStr">
        <is>
          <t>A 10409-2025</t>
        </is>
      </c>
      <c r="B292" s="1" t="n">
        <v>45720.631875</v>
      </c>
      <c r="C292" s="1" t="n">
        <v>45895</v>
      </c>
      <c r="D292" t="inlineStr">
        <is>
          <t>UPPSALA LÄN</t>
        </is>
      </c>
      <c r="E292" t="inlineStr">
        <is>
          <t>ENKÖPING</t>
        </is>
      </c>
      <c r="G292" t="n">
        <v>2.2</v>
      </c>
      <c r="H292" t="n">
        <v>0</v>
      </c>
      <c r="I292" t="n">
        <v>0</v>
      </c>
      <c r="J292" t="n">
        <v>0</v>
      </c>
      <c r="K292" t="n">
        <v>0</v>
      </c>
      <c r="L292" t="n">
        <v>0</v>
      </c>
      <c r="M292" t="n">
        <v>0</v>
      </c>
      <c r="N292" t="n">
        <v>0</v>
      </c>
      <c r="O292" t="n">
        <v>0</v>
      </c>
      <c r="P292" t="n">
        <v>0</v>
      </c>
      <c r="Q292" t="n">
        <v>0</v>
      </c>
      <c r="R292" s="2" t="inlineStr"/>
    </row>
    <row r="293" ht="15" customHeight="1">
      <c r="A293" t="inlineStr">
        <is>
          <t>A 51120-2023</t>
        </is>
      </c>
      <c r="B293" s="1" t="n">
        <v>45219.3088425926</v>
      </c>
      <c r="C293" s="1" t="n">
        <v>45895</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26319-2022</t>
        </is>
      </c>
      <c r="B294" s="1" t="n">
        <v>44735</v>
      </c>
      <c r="C294" s="1" t="n">
        <v>45895</v>
      </c>
      <c r="D294" t="inlineStr">
        <is>
          <t>UPPSALA LÄN</t>
        </is>
      </c>
      <c r="E294" t="inlineStr">
        <is>
          <t>ENKÖPING</t>
        </is>
      </c>
      <c r="G294" t="n">
        <v>1.8</v>
      </c>
      <c r="H294" t="n">
        <v>0</v>
      </c>
      <c r="I294" t="n">
        <v>0</v>
      </c>
      <c r="J294" t="n">
        <v>0</v>
      </c>
      <c r="K294" t="n">
        <v>0</v>
      </c>
      <c r="L294" t="n">
        <v>0</v>
      </c>
      <c r="M294" t="n">
        <v>0</v>
      </c>
      <c r="N294" t="n">
        <v>0</v>
      </c>
      <c r="O294" t="n">
        <v>0</v>
      </c>
      <c r="P294" t="n">
        <v>0</v>
      </c>
      <c r="Q294" t="n">
        <v>0</v>
      </c>
      <c r="R294" s="2" t="inlineStr"/>
    </row>
    <row r="295" ht="15" customHeight="1">
      <c r="A295" t="inlineStr">
        <is>
          <t>A 54357-2023</t>
        </is>
      </c>
      <c r="B295" s="1" t="n">
        <v>45225</v>
      </c>
      <c r="C295" s="1" t="n">
        <v>45895</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4203-2021</t>
        </is>
      </c>
      <c r="B296" s="1" t="n">
        <v>44223</v>
      </c>
      <c r="C296" s="1" t="n">
        <v>45895</v>
      </c>
      <c r="D296" t="inlineStr">
        <is>
          <t>UPPSALA LÄN</t>
        </is>
      </c>
      <c r="E296" t="inlineStr">
        <is>
          <t>ENKÖPING</t>
        </is>
      </c>
      <c r="G296" t="n">
        <v>11.6</v>
      </c>
      <c r="H296" t="n">
        <v>0</v>
      </c>
      <c r="I296" t="n">
        <v>0</v>
      </c>
      <c r="J296" t="n">
        <v>0</v>
      </c>
      <c r="K296" t="n">
        <v>0</v>
      </c>
      <c r="L296" t="n">
        <v>0</v>
      </c>
      <c r="M296" t="n">
        <v>0</v>
      </c>
      <c r="N296" t="n">
        <v>0</v>
      </c>
      <c r="O296" t="n">
        <v>0</v>
      </c>
      <c r="P296" t="n">
        <v>0</v>
      </c>
      <c r="Q296" t="n">
        <v>0</v>
      </c>
      <c r="R296" s="2" t="inlineStr"/>
    </row>
    <row r="297" ht="15" customHeight="1">
      <c r="A297" t="inlineStr">
        <is>
          <t>A 69567-2020</t>
        </is>
      </c>
      <c r="B297" s="1" t="n">
        <v>44194</v>
      </c>
      <c r="C297" s="1" t="n">
        <v>45895</v>
      </c>
      <c r="D297" t="inlineStr">
        <is>
          <t>UPPSALA LÄN</t>
        </is>
      </c>
      <c r="E297" t="inlineStr">
        <is>
          <t>ENKÖPING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21686-2022</t>
        </is>
      </c>
      <c r="B298" s="1" t="n">
        <v>44707</v>
      </c>
      <c r="C298" s="1" t="n">
        <v>45895</v>
      </c>
      <c r="D298" t="inlineStr">
        <is>
          <t>UPPSALA LÄN</t>
        </is>
      </c>
      <c r="E298" t="inlineStr">
        <is>
          <t>ENKÖPING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13816-2021</t>
        </is>
      </c>
      <c r="B299" s="1" t="n">
        <v>44276</v>
      </c>
      <c r="C299" s="1" t="n">
        <v>45895</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29479-2022</t>
        </is>
      </c>
      <c r="B300" s="1" t="n">
        <v>44753.57265046296</v>
      </c>
      <c r="C300" s="1" t="n">
        <v>45895</v>
      </c>
      <c r="D300" t="inlineStr">
        <is>
          <t>UPPSALA LÄN</t>
        </is>
      </c>
      <c r="E300" t="inlineStr">
        <is>
          <t>ENKÖPING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63402-2023</t>
        </is>
      </c>
      <c r="B301" s="1" t="n">
        <v>45274.50646990741</v>
      </c>
      <c r="C301" s="1" t="n">
        <v>45895</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49525-2021</t>
        </is>
      </c>
      <c r="B302" s="1" t="n">
        <v>44455</v>
      </c>
      <c r="C302" s="1" t="n">
        <v>45895</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6298-2021</t>
        </is>
      </c>
      <c r="B303" s="1" t="n">
        <v>44235</v>
      </c>
      <c r="C303" s="1" t="n">
        <v>45895</v>
      </c>
      <c r="D303" t="inlineStr">
        <is>
          <t>UPPSALA LÄN</t>
        </is>
      </c>
      <c r="E303" t="inlineStr">
        <is>
          <t>ENKÖPING</t>
        </is>
      </c>
      <c r="G303" t="n">
        <v>1.4</v>
      </c>
      <c r="H303" t="n">
        <v>0</v>
      </c>
      <c r="I303" t="n">
        <v>0</v>
      </c>
      <c r="J303" t="n">
        <v>0</v>
      </c>
      <c r="K303" t="n">
        <v>0</v>
      </c>
      <c r="L303" t="n">
        <v>0</v>
      </c>
      <c r="M303" t="n">
        <v>0</v>
      </c>
      <c r="N303" t="n">
        <v>0</v>
      </c>
      <c r="O303" t="n">
        <v>0</v>
      </c>
      <c r="P303" t="n">
        <v>0</v>
      </c>
      <c r="Q303" t="n">
        <v>0</v>
      </c>
      <c r="R303" s="2" t="inlineStr"/>
    </row>
    <row r="304" ht="15" customHeight="1">
      <c r="A304" t="inlineStr">
        <is>
          <t>A 53208-2023</t>
        </is>
      </c>
      <c r="B304" s="1" t="n">
        <v>45226</v>
      </c>
      <c r="C304" s="1" t="n">
        <v>45895</v>
      </c>
      <c r="D304" t="inlineStr">
        <is>
          <t>UPPSALA LÄN</t>
        </is>
      </c>
      <c r="E304" t="inlineStr">
        <is>
          <t>ENKÖPING</t>
        </is>
      </c>
      <c r="G304" t="n">
        <v>4.3</v>
      </c>
      <c r="H304" t="n">
        <v>0</v>
      </c>
      <c r="I304" t="n">
        <v>0</v>
      </c>
      <c r="J304" t="n">
        <v>0</v>
      </c>
      <c r="K304" t="n">
        <v>0</v>
      </c>
      <c r="L304" t="n">
        <v>0</v>
      </c>
      <c r="M304" t="n">
        <v>0</v>
      </c>
      <c r="N304" t="n">
        <v>0</v>
      </c>
      <c r="O304" t="n">
        <v>0</v>
      </c>
      <c r="P304" t="n">
        <v>0</v>
      </c>
      <c r="Q304" t="n">
        <v>0</v>
      </c>
      <c r="R304" s="2" t="inlineStr"/>
    </row>
    <row r="305" ht="15" customHeight="1">
      <c r="A305" t="inlineStr">
        <is>
          <t>A 59441-2020</t>
        </is>
      </c>
      <c r="B305" s="1" t="n">
        <v>44148</v>
      </c>
      <c r="C305" s="1" t="n">
        <v>45895</v>
      </c>
      <c r="D305" t="inlineStr">
        <is>
          <t>UPPSALA LÄN</t>
        </is>
      </c>
      <c r="E305" t="inlineStr">
        <is>
          <t>ENKÖPING</t>
        </is>
      </c>
      <c r="G305" t="n">
        <v>4.8</v>
      </c>
      <c r="H305" t="n">
        <v>0</v>
      </c>
      <c r="I305" t="n">
        <v>0</v>
      </c>
      <c r="J305" t="n">
        <v>0</v>
      </c>
      <c r="K305" t="n">
        <v>0</v>
      </c>
      <c r="L305" t="n">
        <v>0</v>
      </c>
      <c r="M305" t="n">
        <v>0</v>
      </c>
      <c r="N305" t="n">
        <v>0</v>
      </c>
      <c r="O305" t="n">
        <v>0</v>
      </c>
      <c r="P305" t="n">
        <v>0</v>
      </c>
      <c r="Q305" t="n">
        <v>0</v>
      </c>
      <c r="R305" s="2" t="inlineStr"/>
    </row>
    <row r="306" ht="15" customHeight="1">
      <c r="A306" t="inlineStr">
        <is>
          <t>A 57328-2024</t>
        </is>
      </c>
      <c r="B306" s="1" t="n">
        <v>45629.62798611111</v>
      </c>
      <c r="C306" s="1" t="n">
        <v>45895</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18259-2025</t>
        </is>
      </c>
      <c r="B307" s="1" t="n">
        <v>45762</v>
      </c>
      <c r="C307" s="1" t="n">
        <v>45895</v>
      </c>
      <c r="D307" t="inlineStr">
        <is>
          <t>UPPSALA LÄN</t>
        </is>
      </c>
      <c r="E307" t="inlineStr">
        <is>
          <t>ENKÖPING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27829-2025</t>
        </is>
      </c>
      <c r="B308" s="1" t="n">
        <v>45817</v>
      </c>
      <c r="C308" s="1" t="n">
        <v>45895</v>
      </c>
      <c r="D308" t="inlineStr">
        <is>
          <t>UPPSALA LÄN</t>
        </is>
      </c>
      <c r="E308" t="inlineStr">
        <is>
          <t>ENKÖPING</t>
        </is>
      </c>
      <c r="G308" t="n">
        <v>2.1</v>
      </c>
      <c r="H308" t="n">
        <v>0</v>
      </c>
      <c r="I308" t="n">
        <v>0</v>
      </c>
      <c r="J308" t="n">
        <v>0</v>
      </c>
      <c r="K308" t="n">
        <v>0</v>
      </c>
      <c r="L308" t="n">
        <v>0</v>
      </c>
      <c r="M308" t="n">
        <v>0</v>
      </c>
      <c r="N308" t="n">
        <v>0</v>
      </c>
      <c r="O308" t="n">
        <v>0</v>
      </c>
      <c r="P308" t="n">
        <v>0</v>
      </c>
      <c r="Q308" t="n">
        <v>0</v>
      </c>
      <c r="R308" s="2" t="inlineStr"/>
    </row>
    <row r="309" ht="15" customHeight="1">
      <c r="A309" t="inlineStr">
        <is>
          <t>A 62158-2023</t>
        </is>
      </c>
      <c r="B309" s="1" t="n">
        <v>45267</v>
      </c>
      <c r="C309" s="1" t="n">
        <v>45895</v>
      </c>
      <c r="D309" t="inlineStr">
        <is>
          <t>UPPSALA LÄN</t>
        </is>
      </c>
      <c r="E309" t="inlineStr">
        <is>
          <t>ENKÖPING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60874-2023</t>
        </is>
      </c>
      <c r="B310" s="1" t="n">
        <v>45261.06280092592</v>
      </c>
      <c r="C310" s="1" t="n">
        <v>45895</v>
      </c>
      <c r="D310" t="inlineStr">
        <is>
          <t>UPPSALA LÄN</t>
        </is>
      </c>
      <c r="E310" t="inlineStr">
        <is>
          <t>ENKÖPING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56837-2024</t>
        </is>
      </c>
      <c r="B311" s="1" t="n">
        <v>45628</v>
      </c>
      <c r="C311" s="1" t="n">
        <v>45895</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28855-2025</t>
        </is>
      </c>
      <c r="B312" s="1" t="n">
        <v>45820.58274305556</v>
      </c>
      <c r="C312" s="1" t="n">
        <v>45895</v>
      </c>
      <c r="D312" t="inlineStr">
        <is>
          <t>UPPSALA LÄN</t>
        </is>
      </c>
      <c r="E312" t="inlineStr">
        <is>
          <t>ENKÖPING</t>
        </is>
      </c>
      <c r="G312" t="n">
        <v>2.4</v>
      </c>
      <c r="H312" t="n">
        <v>0</v>
      </c>
      <c r="I312" t="n">
        <v>0</v>
      </c>
      <c r="J312" t="n">
        <v>0</v>
      </c>
      <c r="K312" t="n">
        <v>0</v>
      </c>
      <c r="L312" t="n">
        <v>0</v>
      </c>
      <c r="M312" t="n">
        <v>0</v>
      </c>
      <c r="N312" t="n">
        <v>0</v>
      </c>
      <c r="O312" t="n">
        <v>0</v>
      </c>
      <c r="P312" t="n">
        <v>0</v>
      </c>
      <c r="Q312" t="n">
        <v>0</v>
      </c>
      <c r="R312" s="2" t="inlineStr"/>
    </row>
    <row r="313" ht="15" customHeight="1">
      <c r="A313" t="inlineStr">
        <is>
          <t>A 28758-2025</t>
        </is>
      </c>
      <c r="B313" s="1" t="n">
        <v>45820.41212962963</v>
      </c>
      <c r="C313" s="1" t="n">
        <v>45895</v>
      </c>
      <c r="D313" t="inlineStr">
        <is>
          <t>UPPSALA LÄN</t>
        </is>
      </c>
      <c r="E313" t="inlineStr">
        <is>
          <t>ENKÖPING</t>
        </is>
      </c>
      <c r="G313" t="n">
        <v>2.4</v>
      </c>
      <c r="H313" t="n">
        <v>0</v>
      </c>
      <c r="I313" t="n">
        <v>0</v>
      </c>
      <c r="J313" t="n">
        <v>0</v>
      </c>
      <c r="K313" t="n">
        <v>0</v>
      </c>
      <c r="L313" t="n">
        <v>0</v>
      </c>
      <c r="M313" t="n">
        <v>0</v>
      </c>
      <c r="N313" t="n">
        <v>0</v>
      </c>
      <c r="O313" t="n">
        <v>0</v>
      </c>
      <c r="P313" t="n">
        <v>0</v>
      </c>
      <c r="Q313" t="n">
        <v>0</v>
      </c>
      <c r="R313" s="2" t="inlineStr"/>
    </row>
    <row r="314" ht="15" customHeight="1">
      <c r="A314" t="inlineStr">
        <is>
          <t>A 55876-2024</t>
        </is>
      </c>
      <c r="B314" s="1" t="n">
        <v>45623.5546412037</v>
      </c>
      <c r="C314" s="1" t="n">
        <v>45895</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3550-2023</t>
        </is>
      </c>
      <c r="B315" s="1" t="n">
        <v>44950</v>
      </c>
      <c r="C315" s="1" t="n">
        <v>45895</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39009-2024</t>
        </is>
      </c>
      <c r="B316" s="1" t="n">
        <v>45548</v>
      </c>
      <c r="C316" s="1" t="n">
        <v>45895</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8537-2025</t>
        </is>
      </c>
      <c r="B317" s="1" t="n">
        <v>45709</v>
      </c>
      <c r="C317" s="1" t="n">
        <v>45895</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28862-2025</t>
        </is>
      </c>
      <c r="B318" s="1" t="n">
        <v>45820.59189814814</v>
      </c>
      <c r="C318" s="1" t="n">
        <v>45895</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25334-2023</t>
        </is>
      </c>
      <c r="B319" s="1" t="n">
        <v>45083</v>
      </c>
      <c r="C319" s="1" t="n">
        <v>45895</v>
      </c>
      <c r="D319" t="inlineStr">
        <is>
          <t>UPPSALA LÄN</t>
        </is>
      </c>
      <c r="E319" t="inlineStr">
        <is>
          <t>ENKÖPING</t>
        </is>
      </c>
      <c r="G319" t="n">
        <v>0.2</v>
      </c>
      <c r="H319" t="n">
        <v>0</v>
      </c>
      <c r="I319" t="n">
        <v>0</v>
      </c>
      <c r="J319" t="n">
        <v>0</v>
      </c>
      <c r="K319" t="n">
        <v>0</v>
      </c>
      <c r="L319" t="n">
        <v>0</v>
      </c>
      <c r="M319" t="n">
        <v>0</v>
      </c>
      <c r="N319" t="n">
        <v>0</v>
      </c>
      <c r="O319" t="n">
        <v>0</v>
      </c>
      <c r="P319" t="n">
        <v>0</v>
      </c>
      <c r="Q319" t="n">
        <v>0</v>
      </c>
      <c r="R319" s="2" t="inlineStr"/>
    </row>
    <row r="320" ht="15" customHeight="1">
      <c r="A320" t="inlineStr">
        <is>
          <t>A 26292-2022</t>
        </is>
      </c>
      <c r="B320" s="1" t="n">
        <v>44735</v>
      </c>
      <c r="C320" s="1" t="n">
        <v>45895</v>
      </c>
      <c r="D320" t="inlineStr">
        <is>
          <t>UPPSALA LÄN</t>
        </is>
      </c>
      <c r="E320" t="inlineStr">
        <is>
          <t>ENKÖPING</t>
        </is>
      </c>
      <c r="F320" t="inlineStr">
        <is>
          <t>Kyrkan</t>
        </is>
      </c>
      <c r="G320" t="n">
        <v>4.6</v>
      </c>
      <c r="H320" t="n">
        <v>0</v>
      </c>
      <c r="I320" t="n">
        <v>0</v>
      </c>
      <c r="J320" t="n">
        <v>0</v>
      </c>
      <c r="K320" t="n">
        <v>0</v>
      </c>
      <c r="L320" t="n">
        <v>0</v>
      </c>
      <c r="M320" t="n">
        <v>0</v>
      </c>
      <c r="N320" t="n">
        <v>0</v>
      </c>
      <c r="O320" t="n">
        <v>0</v>
      </c>
      <c r="P320" t="n">
        <v>0</v>
      </c>
      <c r="Q320" t="n">
        <v>0</v>
      </c>
      <c r="R320" s="2" t="inlineStr"/>
    </row>
    <row r="321" ht="15" customHeight="1">
      <c r="A321" t="inlineStr">
        <is>
          <t>A 34988-2025</t>
        </is>
      </c>
      <c r="B321" s="1" t="n">
        <v>45849</v>
      </c>
      <c r="C321" s="1" t="n">
        <v>45895</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33349-2024</t>
        </is>
      </c>
      <c r="B322" s="1" t="n">
        <v>45519</v>
      </c>
      <c r="C322" s="1" t="n">
        <v>45895</v>
      </c>
      <c r="D322" t="inlineStr">
        <is>
          <t>UPPSALA LÄN</t>
        </is>
      </c>
      <c r="E322" t="inlineStr">
        <is>
          <t>ENKÖPING</t>
        </is>
      </c>
      <c r="G322" t="n">
        <v>3.6</v>
      </c>
      <c r="H322" t="n">
        <v>0</v>
      </c>
      <c r="I322" t="n">
        <v>0</v>
      </c>
      <c r="J322" t="n">
        <v>0</v>
      </c>
      <c r="K322" t="n">
        <v>0</v>
      </c>
      <c r="L322" t="n">
        <v>0</v>
      </c>
      <c r="M322" t="n">
        <v>0</v>
      </c>
      <c r="N322" t="n">
        <v>0</v>
      </c>
      <c r="O322" t="n">
        <v>0</v>
      </c>
      <c r="P322" t="n">
        <v>0</v>
      </c>
      <c r="Q322" t="n">
        <v>0</v>
      </c>
      <c r="R322" s="2" t="inlineStr"/>
    </row>
    <row r="323" ht="15" customHeight="1">
      <c r="A323" t="inlineStr">
        <is>
          <t>A 34987-2025</t>
        </is>
      </c>
      <c r="B323" s="1" t="n">
        <v>45849</v>
      </c>
      <c r="C323" s="1" t="n">
        <v>45895</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34989-2025</t>
        </is>
      </c>
      <c r="B324" s="1" t="n">
        <v>45849</v>
      </c>
      <c r="C324" s="1" t="n">
        <v>45895</v>
      </c>
      <c r="D324" t="inlineStr">
        <is>
          <t>UPPSALA LÄN</t>
        </is>
      </c>
      <c r="E324" t="inlineStr">
        <is>
          <t>ENKÖPING</t>
        </is>
      </c>
      <c r="G324" t="n">
        <v>2.4</v>
      </c>
      <c r="H324" t="n">
        <v>0</v>
      </c>
      <c r="I324" t="n">
        <v>0</v>
      </c>
      <c r="J324" t="n">
        <v>0</v>
      </c>
      <c r="K324" t="n">
        <v>0</v>
      </c>
      <c r="L324" t="n">
        <v>0</v>
      </c>
      <c r="M324" t="n">
        <v>0</v>
      </c>
      <c r="N324" t="n">
        <v>0</v>
      </c>
      <c r="O324" t="n">
        <v>0</v>
      </c>
      <c r="P324" t="n">
        <v>0</v>
      </c>
      <c r="Q324" t="n">
        <v>0</v>
      </c>
      <c r="R324" s="2" t="inlineStr"/>
    </row>
    <row r="325" ht="15" customHeight="1">
      <c r="A325" t="inlineStr">
        <is>
          <t>A 61207-2023</t>
        </is>
      </c>
      <c r="B325" s="1" t="n">
        <v>45264.39444444444</v>
      </c>
      <c r="C325" s="1" t="n">
        <v>45895</v>
      </c>
      <c r="D325" t="inlineStr">
        <is>
          <t>UPPSALA LÄN</t>
        </is>
      </c>
      <c r="E325" t="inlineStr">
        <is>
          <t>ENKÖPING</t>
        </is>
      </c>
      <c r="G325" t="n">
        <v>10.8</v>
      </c>
      <c r="H325" t="n">
        <v>0</v>
      </c>
      <c r="I325" t="n">
        <v>0</v>
      </c>
      <c r="J325" t="n">
        <v>0</v>
      </c>
      <c r="K325" t="n">
        <v>0</v>
      </c>
      <c r="L325" t="n">
        <v>0</v>
      </c>
      <c r="M325" t="n">
        <v>0</v>
      </c>
      <c r="N325" t="n">
        <v>0</v>
      </c>
      <c r="O325" t="n">
        <v>0</v>
      </c>
      <c r="P325" t="n">
        <v>0</v>
      </c>
      <c r="Q325" t="n">
        <v>0</v>
      </c>
      <c r="R325" s="2" t="inlineStr"/>
    </row>
    <row r="326" ht="15" customHeight="1">
      <c r="A326" t="inlineStr">
        <is>
          <t>A 29093-2025</t>
        </is>
      </c>
      <c r="B326" s="1" t="n">
        <v>45821.55743055556</v>
      </c>
      <c r="C326" s="1" t="n">
        <v>45895</v>
      </c>
      <c r="D326" t="inlineStr">
        <is>
          <t>UPPSALA LÄN</t>
        </is>
      </c>
      <c r="E326" t="inlineStr">
        <is>
          <t>ENKÖPING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29477-2025</t>
        </is>
      </c>
      <c r="B327" s="1" t="n">
        <v>45824.71537037037</v>
      </c>
      <c r="C327" s="1" t="n">
        <v>45895</v>
      </c>
      <c r="D327" t="inlineStr">
        <is>
          <t>UPPSALA LÄN</t>
        </is>
      </c>
      <c r="E327" t="inlineStr">
        <is>
          <t>ENKÖPING</t>
        </is>
      </c>
      <c r="G327" t="n">
        <v>13.4</v>
      </c>
      <c r="H327" t="n">
        <v>0</v>
      </c>
      <c r="I327" t="n">
        <v>0</v>
      </c>
      <c r="J327" t="n">
        <v>0</v>
      </c>
      <c r="K327" t="n">
        <v>0</v>
      </c>
      <c r="L327" t="n">
        <v>0</v>
      </c>
      <c r="M327" t="n">
        <v>0</v>
      </c>
      <c r="N327" t="n">
        <v>0</v>
      </c>
      <c r="O327" t="n">
        <v>0</v>
      </c>
      <c r="P327" t="n">
        <v>0</v>
      </c>
      <c r="Q327" t="n">
        <v>0</v>
      </c>
      <c r="R327" s="2" t="inlineStr"/>
    </row>
    <row r="328" ht="15" customHeight="1">
      <c r="A328" t="inlineStr">
        <is>
          <t>A 53587-2024</t>
        </is>
      </c>
      <c r="B328" s="1" t="n">
        <v>45614.66953703704</v>
      </c>
      <c r="C328" s="1" t="n">
        <v>45895</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36350-2025</t>
        </is>
      </c>
      <c r="B329" s="1" t="n">
        <v>45868</v>
      </c>
      <c r="C329" s="1" t="n">
        <v>45895</v>
      </c>
      <c r="D329" t="inlineStr">
        <is>
          <t>UPPSALA LÄN</t>
        </is>
      </c>
      <c r="E329" t="inlineStr">
        <is>
          <t>ENKÖPING</t>
        </is>
      </c>
      <c r="G329" t="n">
        <v>1.9</v>
      </c>
      <c r="H329" t="n">
        <v>0</v>
      </c>
      <c r="I329" t="n">
        <v>0</v>
      </c>
      <c r="J329" t="n">
        <v>0</v>
      </c>
      <c r="K329" t="n">
        <v>0</v>
      </c>
      <c r="L329" t="n">
        <v>0</v>
      </c>
      <c r="M329" t="n">
        <v>0</v>
      </c>
      <c r="N329" t="n">
        <v>0</v>
      </c>
      <c r="O329" t="n">
        <v>0</v>
      </c>
      <c r="P329" t="n">
        <v>0</v>
      </c>
      <c r="Q329" t="n">
        <v>0</v>
      </c>
      <c r="R329" s="2" t="inlineStr"/>
    </row>
    <row r="330" ht="15" customHeight="1">
      <c r="A330" t="inlineStr">
        <is>
          <t>A 840-2025</t>
        </is>
      </c>
      <c r="B330" s="1" t="n">
        <v>45665</v>
      </c>
      <c r="C330" s="1" t="n">
        <v>45895</v>
      </c>
      <c r="D330" t="inlineStr">
        <is>
          <t>UPPSALA LÄN</t>
        </is>
      </c>
      <c r="E330" t="inlineStr">
        <is>
          <t>ENKÖPING</t>
        </is>
      </c>
      <c r="G330" t="n">
        <v>0.9</v>
      </c>
      <c r="H330" t="n">
        <v>0</v>
      </c>
      <c r="I330" t="n">
        <v>0</v>
      </c>
      <c r="J330" t="n">
        <v>0</v>
      </c>
      <c r="K330" t="n">
        <v>0</v>
      </c>
      <c r="L330" t="n">
        <v>0</v>
      </c>
      <c r="M330" t="n">
        <v>0</v>
      </c>
      <c r="N330" t="n">
        <v>0</v>
      </c>
      <c r="O330" t="n">
        <v>0</v>
      </c>
      <c r="P330" t="n">
        <v>0</v>
      </c>
      <c r="Q330" t="n">
        <v>0</v>
      </c>
      <c r="R330" s="2" t="inlineStr"/>
    </row>
    <row r="331" ht="15" customHeight="1">
      <c r="A331" t="inlineStr">
        <is>
          <t>A 10458-2022</t>
        </is>
      </c>
      <c r="B331" s="1" t="n">
        <v>44623.56711805556</v>
      </c>
      <c r="C331" s="1" t="n">
        <v>45895</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45142-2023</t>
        </is>
      </c>
      <c r="B332" s="1" t="n">
        <v>45191.4702662037</v>
      </c>
      <c r="C332" s="1" t="n">
        <v>45895</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45895</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57998-2024</t>
        </is>
      </c>
      <c r="B334" s="1" t="n">
        <v>45631</v>
      </c>
      <c r="C334" s="1" t="n">
        <v>45895</v>
      </c>
      <c r="D334" t="inlineStr">
        <is>
          <t>UPPSALA LÄN</t>
        </is>
      </c>
      <c r="E334" t="inlineStr">
        <is>
          <t>ENKÖPING</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36368-2025</t>
        </is>
      </c>
      <c r="B335" s="1" t="n">
        <v>45868</v>
      </c>
      <c r="C335" s="1" t="n">
        <v>45895</v>
      </c>
      <c r="D335" t="inlineStr">
        <is>
          <t>UPPSALA LÄN</t>
        </is>
      </c>
      <c r="E335" t="inlineStr">
        <is>
          <t>ENKÖPING</t>
        </is>
      </c>
      <c r="G335" t="n">
        <v>2.6</v>
      </c>
      <c r="H335" t="n">
        <v>0</v>
      </c>
      <c r="I335" t="n">
        <v>0</v>
      </c>
      <c r="J335" t="n">
        <v>0</v>
      </c>
      <c r="K335" t="n">
        <v>0</v>
      </c>
      <c r="L335" t="n">
        <v>0</v>
      </c>
      <c r="M335" t="n">
        <v>0</v>
      </c>
      <c r="N335" t="n">
        <v>0</v>
      </c>
      <c r="O335" t="n">
        <v>0</v>
      </c>
      <c r="P335" t="n">
        <v>0</v>
      </c>
      <c r="Q335" t="n">
        <v>0</v>
      </c>
      <c r="R335" s="2" t="inlineStr"/>
    </row>
    <row r="336" ht="15" customHeight="1">
      <c r="A336" t="inlineStr">
        <is>
          <t>A 14332-2024</t>
        </is>
      </c>
      <c r="B336" s="1" t="n">
        <v>45393</v>
      </c>
      <c r="C336" s="1" t="n">
        <v>45895</v>
      </c>
      <c r="D336" t="inlineStr">
        <is>
          <t>UPPSALA LÄN</t>
        </is>
      </c>
      <c r="E336" t="inlineStr">
        <is>
          <t>ENKÖPING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60125-2024</t>
        </is>
      </c>
      <c r="B337" s="1" t="n">
        <v>45642</v>
      </c>
      <c r="C337" s="1" t="n">
        <v>45895</v>
      </c>
      <c r="D337" t="inlineStr">
        <is>
          <t>UPPSALA LÄN</t>
        </is>
      </c>
      <c r="E337" t="inlineStr">
        <is>
          <t>ENKÖPING</t>
        </is>
      </c>
      <c r="G337" t="n">
        <v>2.1</v>
      </c>
      <c r="H337" t="n">
        <v>0</v>
      </c>
      <c r="I337" t="n">
        <v>0</v>
      </c>
      <c r="J337" t="n">
        <v>0</v>
      </c>
      <c r="K337" t="n">
        <v>0</v>
      </c>
      <c r="L337" t="n">
        <v>0</v>
      </c>
      <c r="M337" t="n">
        <v>0</v>
      </c>
      <c r="N337" t="n">
        <v>0</v>
      </c>
      <c r="O337" t="n">
        <v>0</v>
      </c>
      <c r="P337" t="n">
        <v>0</v>
      </c>
      <c r="Q337" t="n">
        <v>0</v>
      </c>
      <c r="R337" s="2" t="inlineStr"/>
    </row>
    <row r="338" ht="15" customHeight="1">
      <c r="A338" t="inlineStr">
        <is>
          <t>A 18831-2023</t>
        </is>
      </c>
      <c r="B338" s="1" t="n">
        <v>45044.40798611111</v>
      </c>
      <c r="C338" s="1" t="n">
        <v>45895</v>
      </c>
      <c r="D338" t="inlineStr">
        <is>
          <t>UPPSALA LÄN</t>
        </is>
      </c>
      <c r="E338" t="inlineStr">
        <is>
          <t>ENKÖPING</t>
        </is>
      </c>
      <c r="G338" t="n">
        <v>4.3</v>
      </c>
      <c r="H338" t="n">
        <v>0</v>
      </c>
      <c r="I338" t="n">
        <v>0</v>
      </c>
      <c r="J338" t="n">
        <v>0</v>
      </c>
      <c r="K338" t="n">
        <v>0</v>
      </c>
      <c r="L338" t="n">
        <v>0</v>
      </c>
      <c r="M338" t="n">
        <v>0</v>
      </c>
      <c r="N338" t="n">
        <v>0</v>
      </c>
      <c r="O338" t="n">
        <v>0</v>
      </c>
      <c r="P338" t="n">
        <v>0</v>
      </c>
      <c r="Q338" t="n">
        <v>0</v>
      </c>
      <c r="R338" s="2" t="inlineStr"/>
    </row>
    <row r="339" ht="15" customHeight="1">
      <c r="A339" t="inlineStr">
        <is>
          <t>A 36492-2025</t>
        </is>
      </c>
      <c r="B339" s="1" t="n">
        <v>45869</v>
      </c>
      <c r="C339" s="1" t="n">
        <v>45895</v>
      </c>
      <c r="D339" t="inlineStr">
        <is>
          <t>UPPSALA LÄN</t>
        </is>
      </c>
      <c r="E339" t="inlineStr">
        <is>
          <t>ENKÖPING</t>
        </is>
      </c>
      <c r="G339" t="n">
        <v>6.3</v>
      </c>
      <c r="H339" t="n">
        <v>0</v>
      </c>
      <c r="I339" t="n">
        <v>0</v>
      </c>
      <c r="J339" t="n">
        <v>0</v>
      </c>
      <c r="K339" t="n">
        <v>0</v>
      </c>
      <c r="L339" t="n">
        <v>0</v>
      </c>
      <c r="M339" t="n">
        <v>0</v>
      </c>
      <c r="N339" t="n">
        <v>0</v>
      </c>
      <c r="O339" t="n">
        <v>0</v>
      </c>
      <c r="P339" t="n">
        <v>0</v>
      </c>
      <c r="Q339" t="n">
        <v>0</v>
      </c>
      <c r="R339" s="2" t="inlineStr"/>
    </row>
    <row r="340" ht="15" customHeight="1">
      <c r="A340" t="inlineStr">
        <is>
          <t>A 1695-2025</t>
        </is>
      </c>
      <c r="B340" s="1" t="n">
        <v>45670</v>
      </c>
      <c r="C340" s="1" t="n">
        <v>45895</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59027-2024</t>
        </is>
      </c>
      <c r="B341" s="1" t="n">
        <v>45636.68755787037</v>
      </c>
      <c r="C341" s="1" t="n">
        <v>45895</v>
      </c>
      <c r="D341" t="inlineStr">
        <is>
          <t>UPPSALA LÄN</t>
        </is>
      </c>
      <c r="E341" t="inlineStr">
        <is>
          <t>ENKÖPING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36599-2025</t>
        </is>
      </c>
      <c r="B342" s="1" t="n">
        <v>45870.51723379629</v>
      </c>
      <c r="C342" s="1" t="n">
        <v>45895</v>
      </c>
      <c r="D342" t="inlineStr">
        <is>
          <t>UPPSALA LÄN</t>
        </is>
      </c>
      <c r="E342" t="inlineStr">
        <is>
          <t>ENKÖPING</t>
        </is>
      </c>
      <c r="G342" t="n">
        <v>5.9</v>
      </c>
      <c r="H342" t="n">
        <v>0</v>
      </c>
      <c r="I342" t="n">
        <v>0</v>
      </c>
      <c r="J342" t="n">
        <v>0</v>
      </c>
      <c r="K342" t="n">
        <v>0</v>
      </c>
      <c r="L342" t="n">
        <v>0</v>
      </c>
      <c r="M342" t="n">
        <v>0</v>
      </c>
      <c r="N342" t="n">
        <v>0</v>
      </c>
      <c r="O342" t="n">
        <v>0</v>
      </c>
      <c r="P342" t="n">
        <v>0</v>
      </c>
      <c r="Q342" t="n">
        <v>0</v>
      </c>
      <c r="R342" s="2" t="inlineStr"/>
    </row>
    <row r="343" ht="15" customHeight="1">
      <c r="A343" t="inlineStr">
        <is>
          <t>A 42564-2024</t>
        </is>
      </c>
      <c r="B343" s="1" t="n">
        <v>45565.63358796296</v>
      </c>
      <c r="C343" s="1" t="n">
        <v>45895</v>
      </c>
      <c r="D343" t="inlineStr">
        <is>
          <t>UPPSALA LÄN</t>
        </is>
      </c>
      <c r="E343" t="inlineStr">
        <is>
          <t>ENKÖPING</t>
        </is>
      </c>
      <c r="G343" t="n">
        <v>1.7</v>
      </c>
      <c r="H343" t="n">
        <v>0</v>
      </c>
      <c r="I343" t="n">
        <v>0</v>
      </c>
      <c r="J343" t="n">
        <v>0</v>
      </c>
      <c r="K343" t="n">
        <v>0</v>
      </c>
      <c r="L343" t="n">
        <v>0</v>
      </c>
      <c r="M343" t="n">
        <v>0</v>
      </c>
      <c r="N343" t="n">
        <v>0</v>
      </c>
      <c r="O343" t="n">
        <v>0</v>
      </c>
      <c r="P343" t="n">
        <v>0</v>
      </c>
      <c r="Q343" t="n">
        <v>0</v>
      </c>
      <c r="R343" s="2" t="inlineStr"/>
    </row>
    <row r="344" ht="15" customHeight="1">
      <c r="A344" t="inlineStr">
        <is>
          <t>A 3235-2025</t>
        </is>
      </c>
      <c r="B344" s="1" t="n">
        <v>45679</v>
      </c>
      <c r="C344" s="1" t="n">
        <v>45895</v>
      </c>
      <c r="D344" t="inlineStr">
        <is>
          <t>UPPSALA LÄN</t>
        </is>
      </c>
      <c r="E344" t="inlineStr">
        <is>
          <t>ENKÖPING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30837-2025</t>
        </is>
      </c>
      <c r="B345" s="1" t="n">
        <v>45831.7063425926</v>
      </c>
      <c r="C345" s="1" t="n">
        <v>45895</v>
      </c>
      <c r="D345" t="inlineStr">
        <is>
          <t>UPPSALA LÄN</t>
        </is>
      </c>
      <c r="E345" t="inlineStr">
        <is>
          <t>ENKÖPING</t>
        </is>
      </c>
      <c r="G345" t="n">
        <v>3.8</v>
      </c>
      <c r="H345" t="n">
        <v>0</v>
      </c>
      <c r="I345" t="n">
        <v>0</v>
      </c>
      <c r="J345" t="n">
        <v>0</v>
      </c>
      <c r="K345" t="n">
        <v>0</v>
      </c>
      <c r="L345" t="n">
        <v>0</v>
      </c>
      <c r="M345" t="n">
        <v>0</v>
      </c>
      <c r="N345" t="n">
        <v>0</v>
      </c>
      <c r="O345" t="n">
        <v>0</v>
      </c>
      <c r="P345" t="n">
        <v>0</v>
      </c>
      <c r="Q345" t="n">
        <v>0</v>
      </c>
      <c r="R345" s="2" t="inlineStr"/>
    </row>
    <row r="346" ht="15" customHeight="1">
      <c r="A346" t="inlineStr">
        <is>
          <t>A 15711-2025</t>
        </is>
      </c>
      <c r="B346" s="1" t="n">
        <v>45748</v>
      </c>
      <c r="C346" s="1" t="n">
        <v>45895</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4562-2025</t>
        </is>
      </c>
      <c r="B347" s="1" t="n">
        <v>45687</v>
      </c>
      <c r="C347" s="1" t="n">
        <v>45895</v>
      </c>
      <c r="D347" t="inlineStr">
        <is>
          <t>UPPSALA LÄN</t>
        </is>
      </c>
      <c r="E347" t="inlineStr">
        <is>
          <t>ENKÖPING</t>
        </is>
      </c>
      <c r="G347" t="n">
        <v>2.5</v>
      </c>
      <c r="H347" t="n">
        <v>0</v>
      </c>
      <c r="I347" t="n">
        <v>0</v>
      </c>
      <c r="J347" t="n">
        <v>0</v>
      </c>
      <c r="K347" t="n">
        <v>0</v>
      </c>
      <c r="L347" t="n">
        <v>0</v>
      </c>
      <c r="M347" t="n">
        <v>0</v>
      </c>
      <c r="N347" t="n">
        <v>0</v>
      </c>
      <c r="O347" t="n">
        <v>0</v>
      </c>
      <c r="P347" t="n">
        <v>0</v>
      </c>
      <c r="Q347" t="n">
        <v>0</v>
      </c>
      <c r="R347" s="2" t="inlineStr"/>
    </row>
    <row r="348" ht="15" customHeight="1">
      <c r="A348" t="inlineStr">
        <is>
          <t>A 33581-2023</t>
        </is>
      </c>
      <c r="B348" s="1" t="n">
        <v>45131</v>
      </c>
      <c r="C348" s="1" t="n">
        <v>45895</v>
      </c>
      <c r="D348" t="inlineStr">
        <is>
          <t>UPPSALA LÄN</t>
        </is>
      </c>
      <c r="E348" t="inlineStr">
        <is>
          <t>ENKÖPING</t>
        </is>
      </c>
      <c r="G348" t="n">
        <v>3.5</v>
      </c>
      <c r="H348" t="n">
        <v>0</v>
      </c>
      <c r="I348" t="n">
        <v>0</v>
      </c>
      <c r="J348" t="n">
        <v>0</v>
      </c>
      <c r="K348" t="n">
        <v>0</v>
      </c>
      <c r="L348" t="n">
        <v>0</v>
      </c>
      <c r="M348" t="n">
        <v>0</v>
      </c>
      <c r="N348" t="n">
        <v>0</v>
      </c>
      <c r="O348" t="n">
        <v>0</v>
      </c>
      <c r="P348" t="n">
        <v>0</v>
      </c>
      <c r="Q348" t="n">
        <v>0</v>
      </c>
      <c r="R348" s="2" t="inlineStr"/>
    </row>
    <row r="349" ht="15" customHeight="1">
      <c r="A349" t="inlineStr">
        <is>
          <t>A 6959-2025</t>
        </is>
      </c>
      <c r="B349" s="1" t="n">
        <v>45701.49315972222</v>
      </c>
      <c r="C349" s="1" t="n">
        <v>45895</v>
      </c>
      <c r="D349" t="inlineStr">
        <is>
          <t>UPPSALA LÄN</t>
        </is>
      </c>
      <c r="E349" t="inlineStr">
        <is>
          <t>ENKÖPING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67765-2020</t>
        </is>
      </c>
      <c r="B350" s="1" t="n">
        <v>44182</v>
      </c>
      <c r="C350" s="1" t="n">
        <v>45895</v>
      </c>
      <c r="D350" t="inlineStr">
        <is>
          <t>UPPSALA LÄN</t>
        </is>
      </c>
      <c r="E350" t="inlineStr">
        <is>
          <t>ENKÖPING</t>
        </is>
      </c>
      <c r="G350" t="n">
        <v>3.6</v>
      </c>
      <c r="H350" t="n">
        <v>0</v>
      </c>
      <c r="I350" t="n">
        <v>0</v>
      </c>
      <c r="J350" t="n">
        <v>0</v>
      </c>
      <c r="K350" t="n">
        <v>0</v>
      </c>
      <c r="L350" t="n">
        <v>0</v>
      </c>
      <c r="M350" t="n">
        <v>0</v>
      </c>
      <c r="N350" t="n">
        <v>0</v>
      </c>
      <c r="O350" t="n">
        <v>0</v>
      </c>
      <c r="P350" t="n">
        <v>0</v>
      </c>
      <c r="Q350" t="n">
        <v>0</v>
      </c>
      <c r="R350" s="2" t="inlineStr"/>
    </row>
    <row r="351" ht="15" customHeight="1">
      <c r="A351" t="inlineStr">
        <is>
          <t>A 17165-2025</t>
        </is>
      </c>
      <c r="B351" s="1" t="n">
        <v>45756</v>
      </c>
      <c r="C351" s="1" t="n">
        <v>45895</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58896-2020</t>
        </is>
      </c>
      <c r="B352" s="1" t="n">
        <v>44146</v>
      </c>
      <c r="C352" s="1" t="n">
        <v>45895</v>
      </c>
      <c r="D352" t="inlineStr">
        <is>
          <t>UPPSALA LÄN</t>
        </is>
      </c>
      <c r="E352" t="inlineStr">
        <is>
          <t>ENKÖPING</t>
        </is>
      </c>
      <c r="G352" t="n">
        <v>2.5</v>
      </c>
      <c r="H352" t="n">
        <v>0</v>
      </c>
      <c r="I352" t="n">
        <v>0</v>
      </c>
      <c r="J352" t="n">
        <v>0</v>
      </c>
      <c r="K352" t="n">
        <v>0</v>
      </c>
      <c r="L352" t="n">
        <v>0</v>
      </c>
      <c r="M352" t="n">
        <v>0</v>
      </c>
      <c r="N352" t="n">
        <v>0</v>
      </c>
      <c r="O352" t="n">
        <v>0</v>
      </c>
      <c r="P352" t="n">
        <v>0</v>
      </c>
      <c r="Q352" t="n">
        <v>0</v>
      </c>
      <c r="R352" s="2" t="inlineStr"/>
    </row>
    <row r="353" ht="15" customHeight="1">
      <c r="A353" t="inlineStr">
        <is>
          <t>A 37115-2024</t>
        </is>
      </c>
      <c r="B353" s="1" t="n">
        <v>45539</v>
      </c>
      <c r="C353" s="1" t="n">
        <v>45895</v>
      </c>
      <c r="D353" t="inlineStr">
        <is>
          <t>UPPSALA LÄN</t>
        </is>
      </c>
      <c r="E353" t="inlineStr">
        <is>
          <t>ENKÖPING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58062-2020</t>
        </is>
      </c>
      <c r="B354" s="1" t="n">
        <v>44144</v>
      </c>
      <c r="C354" s="1" t="n">
        <v>45895</v>
      </c>
      <c r="D354" t="inlineStr">
        <is>
          <t>UPPSALA LÄN</t>
        </is>
      </c>
      <c r="E354" t="inlineStr">
        <is>
          <t>ENKÖPING</t>
        </is>
      </c>
      <c r="G354" t="n">
        <v>2.3</v>
      </c>
      <c r="H354" t="n">
        <v>0</v>
      </c>
      <c r="I354" t="n">
        <v>0</v>
      </c>
      <c r="J354" t="n">
        <v>0</v>
      </c>
      <c r="K354" t="n">
        <v>0</v>
      </c>
      <c r="L354" t="n">
        <v>0</v>
      </c>
      <c r="M354" t="n">
        <v>0</v>
      </c>
      <c r="N354" t="n">
        <v>0</v>
      </c>
      <c r="O354" t="n">
        <v>0</v>
      </c>
      <c r="P354" t="n">
        <v>0</v>
      </c>
      <c r="Q354" t="n">
        <v>0</v>
      </c>
      <c r="R354" s="2" t="inlineStr"/>
    </row>
    <row r="355" ht="15" customHeight="1">
      <c r="A355" t="inlineStr">
        <is>
          <t>A 52299-2023</t>
        </is>
      </c>
      <c r="B355" s="1" t="n">
        <v>45224.61636574074</v>
      </c>
      <c r="C355" s="1" t="n">
        <v>45895</v>
      </c>
      <c r="D355" t="inlineStr">
        <is>
          <t>UPPSALA LÄN</t>
        </is>
      </c>
      <c r="E355" t="inlineStr">
        <is>
          <t>ENKÖPING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25598-2021</t>
        </is>
      </c>
      <c r="B356" s="1" t="n">
        <v>44343.4558912037</v>
      </c>
      <c r="C356" s="1" t="n">
        <v>45895</v>
      </c>
      <c r="D356" t="inlineStr">
        <is>
          <t>UPPSALA LÄN</t>
        </is>
      </c>
      <c r="E356" t="inlineStr">
        <is>
          <t>ENKÖPING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6147-2021</t>
        </is>
      </c>
      <c r="B357" s="1" t="n">
        <v>44232</v>
      </c>
      <c r="C357" s="1" t="n">
        <v>45895</v>
      </c>
      <c r="D357" t="inlineStr">
        <is>
          <t>UPPSALA LÄN</t>
        </is>
      </c>
      <c r="E357" t="inlineStr">
        <is>
          <t>ENKÖPING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1960-2022</t>
        </is>
      </c>
      <c r="B358" s="1" t="n">
        <v>44575</v>
      </c>
      <c r="C358" s="1" t="n">
        <v>45895</v>
      </c>
      <c r="D358" t="inlineStr">
        <is>
          <t>UPPSALA LÄN</t>
        </is>
      </c>
      <c r="E358" t="inlineStr">
        <is>
          <t>ENKÖPING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32081-2024</t>
        </is>
      </c>
      <c r="B359" s="1" t="n">
        <v>45511.34605324074</v>
      </c>
      <c r="C359" s="1" t="n">
        <v>45895</v>
      </c>
      <c r="D359" t="inlineStr">
        <is>
          <t>UPPSALA LÄN</t>
        </is>
      </c>
      <c r="E359" t="inlineStr">
        <is>
          <t>ENKÖPING</t>
        </is>
      </c>
      <c r="G359" t="n">
        <v>5.4</v>
      </c>
      <c r="H359" t="n">
        <v>0</v>
      </c>
      <c r="I359" t="n">
        <v>0</v>
      </c>
      <c r="J359" t="n">
        <v>0</v>
      </c>
      <c r="K359" t="n">
        <v>0</v>
      </c>
      <c r="L359" t="n">
        <v>0</v>
      </c>
      <c r="M359" t="n">
        <v>0</v>
      </c>
      <c r="N359" t="n">
        <v>0</v>
      </c>
      <c r="O359" t="n">
        <v>0</v>
      </c>
      <c r="P359" t="n">
        <v>0</v>
      </c>
      <c r="Q359" t="n">
        <v>0</v>
      </c>
      <c r="R359" s="2" t="inlineStr"/>
    </row>
    <row r="360" ht="15" customHeight="1">
      <c r="A360" t="inlineStr">
        <is>
          <t>A 18028-2023</t>
        </is>
      </c>
      <c r="B360" s="1" t="n">
        <v>45040</v>
      </c>
      <c r="C360" s="1" t="n">
        <v>45895</v>
      </c>
      <c r="D360" t="inlineStr">
        <is>
          <t>UPPSALA LÄN</t>
        </is>
      </c>
      <c r="E360" t="inlineStr">
        <is>
          <t>ENKÖPING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32477-2025</t>
        </is>
      </c>
      <c r="B361" s="1" t="n">
        <v>45838.43098379629</v>
      </c>
      <c r="C361" s="1" t="n">
        <v>45895</v>
      </c>
      <c r="D361" t="inlineStr">
        <is>
          <t>UPPSALA LÄN</t>
        </is>
      </c>
      <c r="E361" t="inlineStr">
        <is>
          <t>ENKÖPING</t>
        </is>
      </c>
      <c r="G361" t="n">
        <v>2.7</v>
      </c>
      <c r="H361" t="n">
        <v>0</v>
      </c>
      <c r="I361" t="n">
        <v>0</v>
      </c>
      <c r="J361" t="n">
        <v>0</v>
      </c>
      <c r="K361" t="n">
        <v>0</v>
      </c>
      <c r="L361" t="n">
        <v>0</v>
      </c>
      <c r="M361" t="n">
        <v>0</v>
      </c>
      <c r="N361" t="n">
        <v>0</v>
      </c>
      <c r="O361" t="n">
        <v>0</v>
      </c>
      <c r="P361" t="n">
        <v>0</v>
      </c>
      <c r="Q361" t="n">
        <v>0</v>
      </c>
      <c r="R361" s="2" t="inlineStr"/>
    </row>
    <row r="362" ht="15" customHeight="1">
      <c r="A362" t="inlineStr">
        <is>
          <t>A 20184-2023</t>
        </is>
      </c>
      <c r="B362" s="1" t="n">
        <v>45055.5670949074</v>
      </c>
      <c r="C362" s="1" t="n">
        <v>45895</v>
      </c>
      <c r="D362" t="inlineStr">
        <is>
          <t>UPPSALA LÄN</t>
        </is>
      </c>
      <c r="E362" t="inlineStr">
        <is>
          <t>ENKÖPING</t>
        </is>
      </c>
      <c r="G362" t="n">
        <v>3.2</v>
      </c>
      <c r="H362" t="n">
        <v>0</v>
      </c>
      <c r="I362" t="n">
        <v>0</v>
      </c>
      <c r="J362" t="n">
        <v>0</v>
      </c>
      <c r="K362" t="n">
        <v>0</v>
      </c>
      <c r="L362" t="n">
        <v>0</v>
      </c>
      <c r="M362" t="n">
        <v>0</v>
      </c>
      <c r="N362" t="n">
        <v>0</v>
      </c>
      <c r="O362" t="n">
        <v>0</v>
      </c>
      <c r="P362" t="n">
        <v>0</v>
      </c>
      <c r="Q362" t="n">
        <v>0</v>
      </c>
      <c r="R362" s="2" t="inlineStr"/>
    </row>
    <row r="363" ht="15" customHeight="1">
      <c r="A363" t="inlineStr">
        <is>
          <t>A 49568-2022</t>
        </is>
      </c>
      <c r="B363" s="1" t="n">
        <v>44862.32791666667</v>
      </c>
      <c r="C363" s="1" t="n">
        <v>45895</v>
      </c>
      <c r="D363" t="inlineStr">
        <is>
          <t>UPPSALA LÄN</t>
        </is>
      </c>
      <c r="E363" t="inlineStr">
        <is>
          <t>ENKÖPING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32031-2025</t>
        </is>
      </c>
      <c r="B364" s="1" t="n">
        <v>45835.41712962963</v>
      </c>
      <c r="C364" s="1" t="n">
        <v>45895</v>
      </c>
      <c r="D364" t="inlineStr">
        <is>
          <t>UPPSALA LÄN</t>
        </is>
      </c>
      <c r="E364" t="inlineStr">
        <is>
          <t>ENKÖPING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32111-2025</t>
        </is>
      </c>
      <c r="B365" s="1" t="n">
        <v>45835</v>
      </c>
      <c r="C365" s="1" t="n">
        <v>45895</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42459-2024</t>
        </is>
      </c>
      <c r="B366" s="1" t="n">
        <v>45565</v>
      </c>
      <c r="C366" s="1" t="n">
        <v>45895</v>
      </c>
      <c r="D366" t="inlineStr">
        <is>
          <t>UPPSALA LÄN</t>
        </is>
      </c>
      <c r="E366" t="inlineStr">
        <is>
          <t>ENKÖPING</t>
        </is>
      </c>
      <c r="G366" t="n">
        <v>3.6</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45895</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48864-2022</t>
        </is>
      </c>
      <c r="B368" s="1" t="n">
        <v>44859</v>
      </c>
      <c r="C368" s="1" t="n">
        <v>45895</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31622-2022</t>
        </is>
      </c>
      <c r="B369" s="1" t="n">
        <v>44775</v>
      </c>
      <c r="C369" s="1" t="n">
        <v>45895</v>
      </c>
      <c r="D369" t="inlineStr">
        <is>
          <t>UPPSALA LÄN</t>
        </is>
      </c>
      <c r="E369" t="inlineStr">
        <is>
          <t>ENKÖPING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59602-2022</t>
        </is>
      </c>
      <c r="B370" s="1" t="n">
        <v>44907.72241898148</v>
      </c>
      <c r="C370" s="1" t="n">
        <v>45895</v>
      </c>
      <c r="D370" t="inlineStr">
        <is>
          <t>UPPSALA LÄN</t>
        </is>
      </c>
      <c r="E370" t="inlineStr">
        <is>
          <t>ENKÖPING</t>
        </is>
      </c>
      <c r="G370" t="n">
        <v>14.2</v>
      </c>
      <c r="H370" t="n">
        <v>0</v>
      </c>
      <c r="I370" t="n">
        <v>0</v>
      </c>
      <c r="J370" t="n">
        <v>0</v>
      </c>
      <c r="K370" t="n">
        <v>0</v>
      </c>
      <c r="L370" t="n">
        <v>0</v>
      </c>
      <c r="M370" t="n">
        <v>0</v>
      </c>
      <c r="N370" t="n">
        <v>0</v>
      </c>
      <c r="O370" t="n">
        <v>0</v>
      </c>
      <c r="P370" t="n">
        <v>0</v>
      </c>
      <c r="Q370" t="n">
        <v>0</v>
      </c>
      <c r="R370" s="2" t="inlineStr"/>
    </row>
    <row r="371" ht="15" customHeight="1">
      <c r="A371" t="inlineStr">
        <is>
          <t>A 42589-2022</t>
        </is>
      </c>
      <c r="B371" s="1" t="n">
        <v>44831</v>
      </c>
      <c r="C371" s="1" t="n">
        <v>45895</v>
      </c>
      <c r="D371" t="inlineStr">
        <is>
          <t>UPPSALA LÄN</t>
        </is>
      </c>
      <c r="E371" t="inlineStr">
        <is>
          <t>ENKÖPING</t>
        </is>
      </c>
      <c r="G371" t="n">
        <v>20</v>
      </c>
      <c r="H371" t="n">
        <v>0</v>
      </c>
      <c r="I371" t="n">
        <v>0</v>
      </c>
      <c r="J371" t="n">
        <v>0</v>
      </c>
      <c r="K371" t="n">
        <v>0</v>
      </c>
      <c r="L371" t="n">
        <v>0</v>
      </c>
      <c r="M371" t="n">
        <v>0</v>
      </c>
      <c r="N371" t="n">
        <v>0</v>
      </c>
      <c r="O371" t="n">
        <v>0</v>
      </c>
      <c r="P371" t="n">
        <v>0</v>
      </c>
      <c r="Q371" t="n">
        <v>0</v>
      </c>
      <c r="R371" s="2" t="inlineStr"/>
    </row>
    <row r="372" ht="15" customHeight="1">
      <c r="A372" t="inlineStr">
        <is>
          <t>A 35645-2021</t>
        </is>
      </c>
      <c r="B372" s="1" t="n">
        <v>44386.42</v>
      </c>
      <c r="C372" s="1" t="n">
        <v>45895</v>
      </c>
      <c r="D372" t="inlineStr">
        <is>
          <t>UPPSALA LÄN</t>
        </is>
      </c>
      <c r="E372" t="inlineStr">
        <is>
          <t>ENKÖPING</t>
        </is>
      </c>
      <c r="G372" t="n">
        <v>2.7</v>
      </c>
      <c r="H372" t="n">
        <v>0</v>
      </c>
      <c r="I372" t="n">
        <v>0</v>
      </c>
      <c r="J372" t="n">
        <v>0</v>
      </c>
      <c r="K372" t="n">
        <v>0</v>
      </c>
      <c r="L372" t="n">
        <v>0</v>
      </c>
      <c r="M372" t="n">
        <v>0</v>
      </c>
      <c r="N372" t="n">
        <v>0</v>
      </c>
      <c r="O372" t="n">
        <v>0</v>
      </c>
      <c r="P372" t="n">
        <v>0</v>
      </c>
      <c r="Q372" t="n">
        <v>0</v>
      </c>
      <c r="R372" s="2" t="inlineStr"/>
    </row>
    <row r="373" ht="15" customHeight="1">
      <c r="A373" t="inlineStr">
        <is>
          <t>A 2968-2025</t>
        </is>
      </c>
      <c r="B373" s="1" t="n">
        <v>45678</v>
      </c>
      <c r="C373" s="1" t="n">
        <v>45895</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66517-2020</t>
        </is>
      </c>
      <c r="B374" s="1" t="n">
        <v>44178</v>
      </c>
      <c r="C374" s="1" t="n">
        <v>45895</v>
      </c>
      <c r="D374" t="inlineStr">
        <is>
          <t>UPPSALA LÄN</t>
        </is>
      </c>
      <c r="E374" t="inlineStr">
        <is>
          <t>ENKÖPING</t>
        </is>
      </c>
      <c r="G374" t="n">
        <v>4</v>
      </c>
      <c r="H374" t="n">
        <v>0</v>
      </c>
      <c r="I374" t="n">
        <v>0</v>
      </c>
      <c r="J374" t="n">
        <v>0</v>
      </c>
      <c r="K374" t="n">
        <v>0</v>
      </c>
      <c r="L374" t="n">
        <v>0</v>
      </c>
      <c r="M374" t="n">
        <v>0</v>
      </c>
      <c r="N374" t="n">
        <v>0</v>
      </c>
      <c r="O374" t="n">
        <v>0</v>
      </c>
      <c r="P374" t="n">
        <v>0</v>
      </c>
      <c r="Q374" t="n">
        <v>0</v>
      </c>
      <c r="R374" s="2" t="inlineStr"/>
    </row>
    <row r="375" ht="15" customHeight="1">
      <c r="A375" t="inlineStr">
        <is>
          <t>A 6356-2022</t>
        </is>
      </c>
      <c r="B375" s="1" t="n">
        <v>44600</v>
      </c>
      <c r="C375" s="1" t="n">
        <v>45895</v>
      </c>
      <c r="D375" t="inlineStr">
        <is>
          <t>UPPSALA LÄN</t>
        </is>
      </c>
      <c r="E375" t="inlineStr">
        <is>
          <t>ENKÖPING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9487-2025</t>
        </is>
      </c>
      <c r="B376" s="1" t="n">
        <v>45715.49331018519</v>
      </c>
      <c r="C376" s="1" t="n">
        <v>45895</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57147-2021</t>
        </is>
      </c>
      <c r="B377" s="1" t="n">
        <v>44482</v>
      </c>
      <c r="C377" s="1" t="n">
        <v>45895</v>
      </c>
      <c r="D377" t="inlineStr">
        <is>
          <t>UPPSALA LÄN</t>
        </is>
      </c>
      <c r="E377" t="inlineStr">
        <is>
          <t>ENKÖPING</t>
        </is>
      </c>
      <c r="G377" t="n">
        <v>5.7</v>
      </c>
      <c r="H377" t="n">
        <v>0</v>
      </c>
      <c r="I377" t="n">
        <v>0</v>
      </c>
      <c r="J377" t="n">
        <v>0</v>
      </c>
      <c r="K377" t="n">
        <v>0</v>
      </c>
      <c r="L377" t="n">
        <v>0</v>
      </c>
      <c r="M377" t="n">
        <v>0</v>
      </c>
      <c r="N377" t="n">
        <v>0</v>
      </c>
      <c r="O377" t="n">
        <v>0</v>
      </c>
      <c r="P377" t="n">
        <v>0</v>
      </c>
      <c r="Q377" t="n">
        <v>0</v>
      </c>
      <c r="R377" s="2" t="inlineStr"/>
    </row>
    <row r="378" ht="15" customHeight="1">
      <c r="A378" t="inlineStr">
        <is>
          <t>A 16176-2025</t>
        </is>
      </c>
      <c r="B378" s="1" t="n">
        <v>45750</v>
      </c>
      <c r="C378" s="1" t="n">
        <v>45895</v>
      </c>
      <c r="D378" t="inlineStr">
        <is>
          <t>UPPSALA LÄN</t>
        </is>
      </c>
      <c r="E378" t="inlineStr">
        <is>
          <t>ENKÖPING</t>
        </is>
      </c>
      <c r="G378" t="n">
        <v>3.9</v>
      </c>
      <c r="H378" t="n">
        <v>0</v>
      </c>
      <c r="I378" t="n">
        <v>0</v>
      </c>
      <c r="J378" t="n">
        <v>0</v>
      </c>
      <c r="K378" t="n">
        <v>0</v>
      </c>
      <c r="L378" t="n">
        <v>0</v>
      </c>
      <c r="M378" t="n">
        <v>0</v>
      </c>
      <c r="N378" t="n">
        <v>0</v>
      </c>
      <c r="O378" t="n">
        <v>0</v>
      </c>
      <c r="P378" t="n">
        <v>0</v>
      </c>
      <c r="Q378" t="n">
        <v>0</v>
      </c>
      <c r="R378" s="2" t="inlineStr"/>
    </row>
    <row r="379" ht="15" customHeight="1">
      <c r="A379" t="inlineStr">
        <is>
          <t>A 37035-2023</t>
        </is>
      </c>
      <c r="B379" s="1" t="n">
        <v>45155</v>
      </c>
      <c r="C379" s="1" t="n">
        <v>45895</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61711-2020</t>
        </is>
      </c>
      <c r="B380" s="1" t="n">
        <v>44158</v>
      </c>
      <c r="C380" s="1" t="n">
        <v>45895</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46186-2023</t>
        </is>
      </c>
      <c r="B381" s="1" t="n">
        <v>45196</v>
      </c>
      <c r="C381" s="1" t="n">
        <v>45895</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15162-2025</t>
        </is>
      </c>
      <c r="B382" s="1" t="n">
        <v>45744</v>
      </c>
      <c r="C382" s="1" t="n">
        <v>45895</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47909-2024</t>
        </is>
      </c>
      <c r="B383" s="1" t="n">
        <v>45589.31866898148</v>
      </c>
      <c r="C383" s="1" t="n">
        <v>45895</v>
      </c>
      <c r="D383" t="inlineStr">
        <is>
          <t>UPPSALA LÄN</t>
        </is>
      </c>
      <c r="E383" t="inlineStr">
        <is>
          <t>ENKÖPING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18299-2025</t>
        </is>
      </c>
      <c r="B384" s="1" t="n">
        <v>45762</v>
      </c>
      <c r="C384" s="1" t="n">
        <v>45895</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6242-2025</t>
        </is>
      </c>
      <c r="B385" s="1" t="n">
        <v>45697</v>
      </c>
      <c r="C385" s="1" t="n">
        <v>45895</v>
      </c>
      <c r="D385" t="inlineStr">
        <is>
          <t>UPPSALA LÄN</t>
        </is>
      </c>
      <c r="E385" t="inlineStr">
        <is>
          <t>ENKÖPING</t>
        </is>
      </c>
      <c r="G385" t="n">
        <v>17.9</v>
      </c>
      <c r="H385" t="n">
        <v>0</v>
      </c>
      <c r="I385" t="n">
        <v>0</v>
      </c>
      <c r="J385" t="n">
        <v>0</v>
      </c>
      <c r="K385" t="n">
        <v>0</v>
      </c>
      <c r="L385" t="n">
        <v>0</v>
      </c>
      <c r="M385" t="n">
        <v>0</v>
      </c>
      <c r="N385" t="n">
        <v>0</v>
      </c>
      <c r="O385" t="n">
        <v>0</v>
      </c>
      <c r="P385" t="n">
        <v>0</v>
      </c>
      <c r="Q385" t="n">
        <v>0</v>
      </c>
      <c r="R385" s="2" t="inlineStr"/>
    </row>
    <row r="386" ht="15" customHeight="1">
      <c r="A386" t="inlineStr">
        <is>
          <t>A 6157-2021</t>
        </is>
      </c>
      <c r="B386" s="1" t="n">
        <v>44232</v>
      </c>
      <c r="C386" s="1" t="n">
        <v>45895</v>
      </c>
      <c r="D386" t="inlineStr">
        <is>
          <t>UPPSALA LÄN</t>
        </is>
      </c>
      <c r="E386" t="inlineStr">
        <is>
          <t>ENKÖPING</t>
        </is>
      </c>
      <c r="G386" t="n">
        <v>3.9</v>
      </c>
      <c r="H386" t="n">
        <v>0</v>
      </c>
      <c r="I386" t="n">
        <v>0</v>
      </c>
      <c r="J386" t="n">
        <v>0</v>
      </c>
      <c r="K386" t="n">
        <v>0</v>
      </c>
      <c r="L386" t="n">
        <v>0</v>
      </c>
      <c r="M386" t="n">
        <v>0</v>
      </c>
      <c r="N386" t="n">
        <v>0</v>
      </c>
      <c r="O386" t="n">
        <v>0</v>
      </c>
      <c r="P386" t="n">
        <v>0</v>
      </c>
      <c r="Q386" t="n">
        <v>0</v>
      </c>
      <c r="R386" s="2" t="inlineStr"/>
    </row>
    <row r="387" ht="15" customHeight="1">
      <c r="A387" t="inlineStr">
        <is>
          <t>A 6144-2024</t>
        </is>
      </c>
      <c r="B387" s="1" t="n">
        <v>45337.4684837963</v>
      </c>
      <c r="C387" s="1" t="n">
        <v>45895</v>
      </c>
      <c r="D387" t="inlineStr">
        <is>
          <t>UPPSALA LÄN</t>
        </is>
      </c>
      <c r="E387" t="inlineStr">
        <is>
          <t>ENKÖPING</t>
        </is>
      </c>
      <c r="G387" t="n">
        <v>13.8</v>
      </c>
      <c r="H387" t="n">
        <v>0</v>
      </c>
      <c r="I387" t="n">
        <v>0</v>
      </c>
      <c r="J387" t="n">
        <v>0</v>
      </c>
      <c r="K387" t="n">
        <v>0</v>
      </c>
      <c r="L387" t="n">
        <v>0</v>
      </c>
      <c r="M387" t="n">
        <v>0</v>
      </c>
      <c r="N387" t="n">
        <v>0</v>
      </c>
      <c r="O387" t="n">
        <v>0</v>
      </c>
      <c r="P387" t="n">
        <v>0</v>
      </c>
      <c r="Q387" t="n">
        <v>0</v>
      </c>
      <c r="R387" s="2" t="inlineStr"/>
    </row>
    <row r="388" ht="15" customHeight="1">
      <c r="A388" t="inlineStr">
        <is>
          <t>A 52005-2024</t>
        </is>
      </c>
      <c r="B388" s="1" t="n">
        <v>45607.7627662037</v>
      </c>
      <c r="C388" s="1" t="n">
        <v>45895</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67984-2021</t>
        </is>
      </c>
      <c r="B389" s="1" t="n">
        <v>44525.70237268518</v>
      </c>
      <c r="C389" s="1" t="n">
        <v>45895</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15740-2025</t>
        </is>
      </c>
      <c r="B390" s="1" t="n">
        <v>45748</v>
      </c>
      <c r="C390" s="1" t="n">
        <v>45895</v>
      </c>
      <c r="D390" t="inlineStr">
        <is>
          <t>UPPSALA LÄN</t>
        </is>
      </c>
      <c r="E390" t="inlineStr">
        <is>
          <t>ENKÖPING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46593-2020</t>
        </is>
      </c>
      <c r="B391" s="1" t="n">
        <v>44095</v>
      </c>
      <c r="C391" s="1" t="n">
        <v>45895</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18592-2021</t>
        </is>
      </c>
      <c r="B392" s="1" t="n">
        <v>44306</v>
      </c>
      <c r="C392" s="1" t="n">
        <v>45895</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11918-2025</t>
        </is>
      </c>
      <c r="B393" s="1" t="n">
        <v>45728.49331018519</v>
      </c>
      <c r="C393" s="1" t="n">
        <v>45895</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57848-2024</t>
        </is>
      </c>
      <c r="B394" s="1" t="n">
        <v>45631.40947916666</v>
      </c>
      <c r="C394" s="1" t="n">
        <v>45895</v>
      </c>
      <c r="D394" t="inlineStr">
        <is>
          <t>UPPSALA LÄN</t>
        </is>
      </c>
      <c r="E394" t="inlineStr">
        <is>
          <t>ENKÖPING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17029-2025</t>
        </is>
      </c>
      <c r="B395" s="1" t="n">
        <v>45755.57291666666</v>
      </c>
      <c r="C395" s="1" t="n">
        <v>45895</v>
      </c>
      <c r="D395" t="inlineStr">
        <is>
          <t>UPPSALA LÄN</t>
        </is>
      </c>
      <c r="E395" t="inlineStr">
        <is>
          <t>ENKÖPING</t>
        </is>
      </c>
      <c r="G395" t="n">
        <v>1.9</v>
      </c>
      <c r="H395" t="n">
        <v>0</v>
      </c>
      <c r="I395" t="n">
        <v>0</v>
      </c>
      <c r="J395" t="n">
        <v>0</v>
      </c>
      <c r="K395" t="n">
        <v>0</v>
      </c>
      <c r="L395" t="n">
        <v>0</v>
      </c>
      <c r="M395" t="n">
        <v>0</v>
      </c>
      <c r="N395" t="n">
        <v>0</v>
      </c>
      <c r="O395" t="n">
        <v>0</v>
      </c>
      <c r="P395" t="n">
        <v>0</v>
      </c>
      <c r="Q395" t="n">
        <v>0</v>
      </c>
      <c r="R395" s="2" t="inlineStr"/>
    </row>
    <row r="396" ht="15" customHeight="1">
      <c r="A396" t="inlineStr">
        <is>
          <t>A 52169-2020</t>
        </is>
      </c>
      <c r="B396" s="1" t="n">
        <v>44117</v>
      </c>
      <c r="C396" s="1" t="n">
        <v>45895</v>
      </c>
      <c r="D396" t="inlineStr">
        <is>
          <t>UPPSALA LÄN</t>
        </is>
      </c>
      <c r="E396" t="inlineStr">
        <is>
          <t>ENKÖPING</t>
        </is>
      </c>
      <c r="F396" t="inlineStr">
        <is>
          <t>Allmännings- och besparingsskogar</t>
        </is>
      </c>
      <c r="G396" t="n">
        <v>1.5</v>
      </c>
      <c r="H396" t="n">
        <v>0</v>
      </c>
      <c r="I396" t="n">
        <v>0</v>
      </c>
      <c r="J396" t="n">
        <v>0</v>
      </c>
      <c r="K396" t="n">
        <v>0</v>
      </c>
      <c r="L396" t="n">
        <v>0</v>
      </c>
      <c r="M396" t="n">
        <v>0</v>
      </c>
      <c r="N396" t="n">
        <v>0</v>
      </c>
      <c r="O396" t="n">
        <v>0</v>
      </c>
      <c r="P396" t="n">
        <v>0</v>
      </c>
      <c r="Q396" t="n">
        <v>0</v>
      </c>
      <c r="R396" s="2" t="inlineStr"/>
    </row>
    <row r="397" ht="15" customHeight="1">
      <c r="A397" t="inlineStr">
        <is>
          <t>A 53586-2024</t>
        </is>
      </c>
      <c r="B397" s="1" t="n">
        <v>45614</v>
      </c>
      <c r="C397" s="1" t="n">
        <v>45895</v>
      </c>
      <c r="D397" t="inlineStr">
        <is>
          <t>UPPSALA LÄN</t>
        </is>
      </c>
      <c r="E397" t="inlineStr">
        <is>
          <t>ENKÖPING</t>
        </is>
      </c>
      <c r="G397" t="n">
        <v>6.6</v>
      </c>
      <c r="H397" t="n">
        <v>0</v>
      </c>
      <c r="I397" t="n">
        <v>0</v>
      </c>
      <c r="J397" t="n">
        <v>0</v>
      </c>
      <c r="K397" t="n">
        <v>0</v>
      </c>
      <c r="L397" t="n">
        <v>0</v>
      </c>
      <c r="M397" t="n">
        <v>0</v>
      </c>
      <c r="N397" t="n">
        <v>0</v>
      </c>
      <c r="O397" t="n">
        <v>0</v>
      </c>
      <c r="P397" t="n">
        <v>0</v>
      </c>
      <c r="Q397" t="n">
        <v>0</v>
      </c>
      <c r="R397" s="2" t="inlineStr"/>
    </row>
    <row r="398" ht="15" customHeight="1">
      <c r="A398" t="inlineStr">
        <is>
          <t>A 51034-2024</t>
        </is>
      </c>
      <c r="B398" s="1" t="n">
        <v>45603.4262037037</v>
      </c>
      <c r="C398" s="1" t="n">
        <v>45895</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51036-2024</t>
        </is>
      </c>
      <c r="B399" s="1" t="n">
        <v>45603.42839120371</v>
      </c>
      <c r="C399" s="1" t="n">
        <v>45895</v>
      </c>
      <c r="D399" t="inlineStr">
        <is>
          <t>UPPSALA LÄN</t>
        </is>
      </c>
      <c r="E399" t="inlineStr">
        <is>
          <t>ENKÖPING</t>
        </is>
      </c>
      <c r="G399" t="n">
        <v>2.6</v>
      </c>
      <c r="H399" t="n">
        <v>0</v>
      </c>
      <c r="I399" t="n">
        <v>0</v>
      </c>
      <c r="J399" t="n">
        <v>0</v>
      </c>
      <c r="K399" t="n">
        <v>0</v>
      </c>
      <c r="L399" t="n">
        <v>0</v>
      </c>
      <c r="M399" t="n">
        <v>0</v>
      </c>
      <c r="N399" t="n">
        <v>0</v>
      </c>
      <c r="O399" t="n">
        <v>0</v>
      </c>
      <c r="P399" t="n">
        <v>0</v>
      </c>
      <c r="Q399" t="n">
        <v>0</v>
      </c>
      <c r="R399" s="2" t="inlineStr"/>
    </row>
    <row r="400" ht="15" customHeight="1">
      <c r="A400" t="inlineStr">
        <is>
          <t>A 43896-2022</t>
        </is>
      </c>
      <c r="B400" s="1" t="n">
        <v>44838</v>
      </c>
      <c r="C400" s="1" t="n">
        <v>45895</v>
      </c>
      <c r="D400" t="inlineStr">
        <is>
          <t>UPPSALA LÄN</t>
        </is>
      </c>
      <c r="E400" t="inlineStr">
        <is>
          <t>ENKÖPING</t>
        </is>
      </c>
      <c r="G400" t="n">
        <v>5.3</v>
      </c>
      <c r="H400" t="n">
        <v>0</v>
      </c>
      <c r="I400" t="n">
        <v>0</v>
      </c>
      <c r="J400" t="n">
        <v>0</v>
      </c>
      <c r="K400" t="n">
        <v>0</v>
      </c>
      <c r="L400" t="n">
        <v>0</v>
      </c>
      <c r="M400" t="n">
        <v>0</v>
      </c>
      <c r="N400" t="n">
        <v>0</v>
      </c>
      <c r="O400" t="n">
        <v>0</v>
      </c>
      <c r="P400" t="n">
        <v>0</v>
      </c>
      <c r="Q400" t="n">
        <v>0</v>
      </c>
      <c r="R400" s="2" t="inlineStr"/>
    </row>
    <row r="401" ht="15" customHeight="1">
      <c r="A401" t="inlineStr">
        <is>
          <t>A 43492-2023</t>
        </is>
      </c>
      <c r="B401" s="1" t="n">
        <v>45181</v>
      </c>
      <c r="C401" s="1" t="n">
        <v>45895</v>
      </c>
      <c r="D401" t="inlineStr">
        <is>
          <t>UPPSALA LÄN</t>
        </is>
      </c>
      <c r="E401" t="inlineStr">
        <is>
          <t>ENKÖPING</t>
        </is>
      </c>
      <c r="G401" t="n">
        <v>1.6</v>
      </c>
      <c r="H401" t="n">
        <v>0</v>
      </c>
      <c r="I401" t="n">
        <v>0</v>
      </c>
      <c r="J401" t="n">
        <v>0</v>
      </c>
      <c r="K401" t="n">
        <v>0</v>
      </c>
      <c r="L401" t="n">
        <v>0</v>
      </c>
      <c r="M401" t="n">
        <v>0</v>
      </c>
      <c r="N401" t="n">
        <v>0</v>
      </c>
      <c r="O401" t="n">
        <v>0</v>
      </c>
      <c r="P401" t="n">
        <v>0</v>
      </c>
      <c r="Q401" t="n">
        <v>0</v>
      </c>
      <c r="R401" s="2" t="inlineStr"/>
    </row>
    <row r="402" ht="15" customHeight="1">
      <c r="A402" t="inlineStr">
        <is>
          <t>A 18994-2025</t>
        </is>
      </c>
      <c r="B402" s="1" t="n">
        <v>45764.57350694444</v>
      </c>
      <c r="C402" s="1" t="n">
        <v>45895</v>
      </c>
      <c r="D402" t="inlineStr">
        <is>
          <t>UPPSALA LÄN</t>
        </is>
      </c>
      <c r="E402" t="inlineStr">
        <is>
          <t>ENKÖPING</t>
        </is>
      </c>
      <c r="G402" t="n">
        <v>3.8</v>
      </c>
      <c r="H402" t="n">
        <v>0</v>
      </c>
      <c r="I402" t="n">
        <v>0</v>
      </c>
      <c r="J402" t="n">
        <v>0</v>
      </c>
      <c r="K402" t="n">
        <v>0</v>
      </c>
      <c r="L402" t="n">
        <v>0</v>
      </c>
      <c r="M402" t="n">
        <v>0</v>
      </c>
      <c r="N402" t="n">
        <v>0</v>
      </c>
      <c r="O402" t="n">
        <v>0</v>
      </c>
      <c r="P402" t="n">
        <v>0</v>
      </c>
      <c r="Q402" t="n">
        <v>0</v>
      </c>
      <c r="R402" s="2" t="inlineStr"/>
    </row>
    <row r="403" ht="15" customHeight="1">
      <c r="A403" t="inlineStr">
        <is>
          <t>A 49601-2024</t>
        </is>
      </c>
      <c r="B403" s="1" t="n">
        <v>45596.56288194445</v>
      </c>
      <c r="C403" s="1" t="n">
        <v>45895</v>
      </c>
      <c r="D403" t="inlineStr">
        <is>
          <t>UPPSALA LÄN</t>
        </is>
      </c>
      <c r="E403" t="inlineStr">
        <is>
          <t>ENKÖPING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1536-2024</t>
        </is>
      </c>
      <c r="B404" s="1" t="n">
        <v>45306</v>
      </c>
      <c r="C404" s="1" t="n">
        <v>45895</v>
      </c>
      <c r="D404" t="inlineStr">
        <is>
          <t>UPPSALA LÄN</t>
        </is>
      </c>
      <c r="E404" t="inlineStr">
        <is>
          <t>ENKÖPING</t>
        </is>
      </c>
      <c r="F404" t="inlineStr">
        <is>
          <t>Kyrkan</t>
        </is>
      </c>
      <c r="G404" t="n">
        <v>5.6</v>
      </c>
      <c r="H404" t="n">
        <v>0</v>
      </c>
      <c r="I404" t="n">
        <v>0</v>
      </c>
      <c r="J404" t="n">
        <v>0</v>
      </c>
      <c r="K404" t="n">
        <v>0</v>
      </c>
      <c r="L404" t="n">
        <v>0</v>
      </c>
      <c r="M404" t="n">
        <v>0</v>
      </c>
      <c r="N404" t="n">
        <v>0</v>
      </c>
      <c r="O404" t="n">
        <v>0</v>
      </c>
      <c r="P404" t="n">
        <v>0</v>
      </c>
      <c r="Q404" t="n">
        <v>0</v>
      </c>
      <c r="R404" s="2" t="inlineStr"/>
    </row>
    <row r="405" ht="15" customHeight="1">
      <c r="A405" t="inlineStr">
        <is>
          <t>A 20440-2025</t>
        </is>
      </c>
      <c r="B405" s="1" t="n">
        <v>45775</v>
      </c>
      <c r="C405" s="1" t="n">
        <v>45895</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2974-2025</t>
        </is>
      </c>
      <c r="B406" s="1" t="n">
        <v>45678.47168981482</v>
      </c>
      <c r="C406" s="1" t="n">
        <v>45895</v>
      </c>
      <c r="D406" t="inlineStr">
        <is>
          <t>UPPSALA LÄN</t>
        </is>
      </c>
      <c r="E406" t="inlineStr">
        <is>
          <t>ENKÖPING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16916-2023</t>
        </is>
      </c>
      <c r="B407" s="1" t="n">
        <v>45033.58347222222</v>
      </c>
      <c r="C407" s="1" t="n">
        <v>45895</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16920-2023</t>
        </is>
      </c>
      <c r="B408" s="1" t="n">
        <v>45033.59030092593</v>
      </c>
      <c r="C408" s="1" t="n">
        <v>45895</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37296-2025</t>
        </is>
      </c>
      <c r="B409" s="1" t="n">
        <v>45876</v>
      </c>
      <c r="C409" s="1" t="n">
        <v>45895</v>
      </c>
      <c r="D409" t="inlineStr">
        <is>
          <t>UPPSALA LÄN</t>
        </is>
      </c>
      <c r="E409" t="inlineStr">
        <is>
          <t>ENKÖPING</t>
        </is>
      </c>
      <c r="G409" t="n">
        <v>9.5</v>
      </c>
      <c r="H409" t="n">
        <v>0</v>
      </c>
      <c r="I409" t="n">
        <v>0</v>
      </c>
      <c r="J409" t="n">
        <v>0</v>
      </c>
      <c r="K409" t="n">
        <v>0</v>
      </c>
      <c r="L409" t="n">
        <v>0</v>
      </c>
      <c r="M409" t="n">
        <v>0</v>
      </c>
      <c r="N409" t="n">
        <v>0</v>
      </c>
      <c r="O409" t="n">
        <v>0</v>
      </c>
      <c r="P409" t="n">
        <v>0</v>
      </c>
      <c r="Q409" t="n">
        <v>0</v>
      </c>
      <c r="R409" s="2" t="inlineStr"/>
    </row>
    <row r="410" ht="15" customHeight="1">
      <c r="A410" t="inlineStr">
        <is>
          <t>A 37319-2025</t>
        </is>
      </c>
      <c r="B410" s="1" t="n">
        <v>45876</v>
      </c>
      <c r="C410" s="1" t="n">
        <v>45895</v>
      </c>
      <c r="D410" t="inlineStr">
        <is>
          <t>UPPSALA LÄN</t>
        </is>
      </c>
      <c r="E410" t="inlineStr">
        <is>
          <t>ENKÖPING</t>
        </is>
      </c>
      <c r="G410" t="n">
        <v>9.5</v>
      </c>
      <c r="H410" t="n">
        <v>0</v>
      </c>
      <c r="I410" t="n">
        <v>0</v>
      </c>
      <c r="J410" t="n">
        <v>0</v>
      </c>
      <c r="K410" t="n">
        <v>0</v>
      </c>
      <c r="L410" t="n">
        <v>0</v>
      </c>
      <c r="M410" t="n">
        <v>0</v>
      </c>
      <c r="N410" t="n">
        <v>0</v>
      </c>
      <c r="O410" t="n">
        <v>0</v>
      </c>
      <c r="P410" t="n">
        <v>0</v>
      </c>
      <c r="Q410" t="n">
        <v>0</v>
      </c>
      <c r="R410" s="2" t="inlineStr"/>
    </row>
    <row r="411" ht="15" customHeight="1">
      <c r="A411" t="inlineStr">
        <is>
          <t>A 37498-2025</t>
        </is>
      </c>
      <c r="B411" s="1" t="n">
        <v>45877</v>
      </c>
      <c r="C411" s="1" t="n">
        <v>45895</v>
      </c>
      <c r="D411" t="inlineStr">
        <is>
          <t>UPPSALA LÄN</t>
        </is>
      </c>
      <c r="E411" t="inlineStr">
        <is>
          <t>ENKÖPING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52388-2024</t>
        </is>
      </c>
      <c r="B412" s="1" t="n">
        <v>45609.42939814815</v>
      </c>
      <c r="C412" s="1" t="n">
        <v>45895</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12434-2021</t>
        </is>
      </c>
      <c r="B413" s="1" t="n">
        <v>44267</v>
      </c>
      <c r="C413" s="1" t="n">
        <v>45895</v>
      </c>
      <c r="D413" t="inlineStr">
        <is>
          <t>UPPSALA LÄN</t>
        </is>
      </c>
      <c r="E413" t="inlineStr">
        <is>
          <t>ENKÖPING</t>
        </is>
      </c>
      <c r="G413" t="n">
        <v>5.3</v>
      </c>
      <c r="H413" t="n">
        <v>0</v>
      </c>
      <c r="I413" t="n">
        <v>0</v>
      </c>
      <c r="J413" t="n">
        <v>0</v>
      </c>
      <c r="K413" t="n">
        <v>0</v>
      </c>
      <c r="L413" t="n">
        <v>0</v>
      </c>
      <c r="M413" t="n">
        <v>0</v>
      </c>
      <c r="N413" t="n">
        <v>0</v>
      </c>
      <c r="O413" t="n">
        <v>0</v>
      </c>
      <c r="P413" t="n">
        <v>0</v>
      </c>
      <c r="Q413" t="n">
        <v>0</v>
      </c>
      <c r="R413" s="2" t="inlineStr"/>
    </row>
    <row r="414" ht="15" customHeight="1">
      <c r="A414" t="inlineStr">
        <is>
          <t>A 41737-2022</t>
        </is>
      </c>
      <c r="B414" s="1" t="n">
        <v>44827.63826388889</v>
      </c>
      <c r="C414" s="1" t="n">
        <v>45895</v>
      </c>
      <c r="D414" t="inlineStr">
        <is>
          <t>UPPSALA LÄN</t>
        </is>
      </c>
      <c r="E414" t="inlineStr">
        <is>
          <t>ENKÖPING</t>
        </is>
      </c>
      <c r="G414" t="n">
        <v>1.5</v>
      </c>
      <c r="H414" t="n">
        <v>0</v>
      </c>
      <c r="I414" t="n">
        <v>0</v>
      </c>
      <c r="J414" t="n">
        <v>0</v>
      </c>
      <c r="K414" t="n">
        <v>0</v>
      </c>
      <c r="L414" t="n">
        <v>0</v>
      </c>
      <c r="M414" t="n">
        <v>0</v>
      </c>
      <c r="N414" t="n">
        <v>0</v>
      </c>
      <c r="O414" t="n">
        <v>0</v>
      </c>
      <c r="P414" t="n">
        <v>0</v>
      </c>
      <c r="Q414" t="n">
        <v>0</v>
      </c>
      <c r="R414" s="2" t="inlineStr"/>
    </row>
    <row r="415" ht="15" customHeight="1">
      <c r="A415" t="inlineStr">
        <is>
          <t>A 38941-2025</t>
        </is>
      </c>
      <c r="B415" s="1" t="n">
        <v>45887</v>
      </c>
      <c r="C415" s="1" t="n">
        <v>45895</v>
      </c>
      <c r="D415" t="inlineStr">
        <is>
          <t>UPPSALA LÄN</t>
        </is>
      </c>
      <c r="E415" t="inlineStr">
        <is>
          <t>ENKÖPING</t>
        </is>
      </c>
      <c r="F415" t="inlineStr">
        <is>
          <t>Övriga statliga verk och myndigheter</t>
        </is>
      </c>
      <c r="G415" t="n">
        <v>0.6</v>
      </c>
      <c r="H415" t="n">
        <v>0</v>
      </c>
      <c r="I415" t="n">
        <v>0</v>
      </c>
      <c r="J415" t="n">
        <v>0</v>
      </c>
      <c r="K415" t="n">
        <v>0</v>
      </c>
      <c r="L415" t="n">
        <v>0</v>
      </c>
      <c r="M415" t="n">
        <v>0</v>
      </c>
      <c r="N415" t="n">
        <v>0</v>
      </c>
      <c r="O415" t="n">
        <v>0</v>
      </c>
      <c r="P415" t="n">
        <v>0</v>
      </c>
      <c r="Q415" t="n">
        <v>0</v>
      </c>
      <c r="R415" s="2" t="inlineStr"/>
    </row>
    <row r="416" ht="15" customHeight="1">
      <c r="A416" t="inlineStr">
        <is>
          <t>A 39439-2025</t>
        </is>
      </c>
      <c r="B416" s="1" t="n">
        <v>45889</v>
      </c>
      <c r="C416" s="1" t="n">
        <v>45895</v>
      </c>
      <c r="D416" t="inlineStr">
        <is>
          <t>UPPSALA LÄN</t>
        </is>
      </c>
      <c r="E416" t="inlineStr">
        <is>
          <t>ENKÖPING</t>
        </is>
      </c>
      <c r="G416" t="n">
        <v>0.4</v>
      </c>
      <c r="H416" t="n">
        <v>0</v>
      </c>
      <c r="I416" t="n">
        <v>0</v>
      </c>
      <c r="J416" t="n">
        <v>0</v>
      </c>
      <c r="K416" t="n">
        <v>0</v>
      </c>
      <c r="L416" t="n">
        <v>0</v>
      </c>
      <c r="M416" t="n">
        <v>0</v>
      </c>
      <c r="N416" t="n">
        <v>0</v>
      </c>
      <c r="O416" t="n">
        <v>0</v>
      </c>
      <c r="P416" t="n">
        <v>0</v>
      </c>
      <c r="Q416" t="n">
        <v>0</v>
      </c>
      <c r="R416" s="2" t="inlineStr"/>
    </row>
    <row r="417" ht="15" customHeight="1">
      <c r="A417" t="inlineStr">
        <is>
          <t>A 34990-2025</t>
        </is>
      </c>
      <c r="B417" s="1" t="n">
        <v>45849.78916666667</v>
      </c>
      <c r="C417" s="1" t="n">
        <v>45895</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54595-2021</t>
        </is>
      </c>
      <c r="B418" s="1" t="n">
        <v>44473.58824074074</v>
      </c>
      <c r="C418" s="1" t="n">
        <v>45895</v>
      </c>
      <c r="D418" t="inlineStr">
        <is>
          <t>UPPSALA LÄN</t>
        </is>
      </c>
      <c r="E418" t="inlineStr">
        <is>
          <t>ENKÖPING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22094-2023</t>
        </is>
      </c>
      <c r="B419" s="1" t="n">
        <v>45069</v>
      </c>
      <c r="C419" s="1" t="n">
        <v>45895</v>
      </c>
      <c r="D419" t="inlineStr">
        <is>
          <t>UPPSALA LÄN</t>
        </is>
      </c>
      <c r="E419" t="inlineStr">
        <is>
          <t>ENKÖPING</t>
        </is>
      </c>
      <c r="G419" t="n">
        <v>2.1</v>
      </c>
      <c r="H419" t="n">
        <v>0</v>
      </c>
      <c r="I419" t="n">
        <v>0</v>
      </c>
      <c r="J419" t="n">
        <v>0</v>
      </c>
      <c r="K419" t="n">
        <v>0</v>
      </c>
      <c r="L419" t="n">
        <v>0</v>
      </c>
      <c r="M419" t="n">
        <v>0</v>
      </c>
      <c r="N419" t="n">
        <v>0</v>
      </c>
      <c r="O419" t="n">
        <v>0</v>
      </c>
      <c r="P419" t="n">
        <v>0</v>
      </c>
      <c r="Q419" t="n">
        <v>0</v>
      </c>
      <c r="R419" s="2" t="inlineStr"/>
    </row>
    <row r="420" ht="15" customHeight="1">
      <c r="A420" t="inlineStr">
        <is>
          <t>A 27837-2025</t>
        </is>
      </c>
      <c r="B420" s="1" t="n">
        <v>45817.37207175926</v>
      </c>
      <c r="C420" s="1" t="n">
        <v>45895</v>
      </c>
      <c r="D420" t="inlineStr">
        <is>
          <t>UPPSALA LÄN</t>
        </is>
      </c>
      <c r="E420" t="inlineStr">
        <is>
          <t>ENKÖPING</t>
        </is>
      </c>
      <c r="G420" t="n">
        <v>7.3</v>
      </c>
      <c r="H420" t="n">
        <v>0</v>
      </c>
      <c r="I420" t="n">
        <v>0</v>
      </c>
      <c r="J420" t="n">
        <v>0</v>
      </c>
      <c r="K420" t="n">
        <v>0</v>
      </c>
      <c r="L420" t="n">
        <v>0</v>
      </c>
      <c r="M420" t="n">
        <v>0</v>
      </c>
      <c r="N420" t="n">
        <v>0</v>
      </c>
      <c r="O420" t="n">
        <v>0</v>
      </c>
      <c r="P420" t="n">
        <v>0</v>
      </c>
      <c r="Q420" t="n">
        <v>0</v>
      </c>
      <c r="R420" s="2" t="inlineStr"/>
    </row>
    <row r="421" ht="15" customHeight="1">
      <c r="A421" t="inlineStr">
        <is>
          <t>A 1992-2022</t>
        </is>
      </c>
      <c r="B421" s="1" t="n">
        <v>44575.56153935185</v>
      </c>
      <c r="C421" s="1" t="n">
        <v>45895</v>
      </c>
      <c r="D421" t="inlineStr">
        <is>
          <t>UPPSALA LÄN</t>
        </is>
      </c>
      <c r="E421" t="inlineStr">
        <is>
          <t>ENKÖPING</t>
        </is>
      </c>
      <c r="G421" t="n">
        <v>2.8</v>
      </c>
      <c r="H421" t="n">
        <v>0</v>
      </c>
      <c r="I421" t="n">
        <v>0</v>
      </c>
      <c r="J421" t="n">
        <v>0</v>
      </c>
      <c r="K421" t="n">
        <v>0</v>
      </c>
      <c r="L421" t="n">
        <v>0</v>
      </c>
      <c r="M421" t="n">
        <v>0</v>
      </c>
      <c r="N421" t="n">
        <v>0</v>
      </c>
      <c r="O421" t="n">
        <v>0</v>
      </c>
      <c r="P421" t="n">
        <v>0</v>
      </c>
      <c r="Q421" t="n">
        <v>0</v>
      </c>
      <c r="R421" s="2" t="inlineStr"/>
    </row>
    <row r="422" ht="15" customHeight="1">
      <c r="A422" t="inlineStr">
        <is>
          <t>A 6626-2023</t>
        </is>
      </c>
      <c r="B422" s="1" t="n">
        <v>44966.55946759259</v>
      </c>
      <c r="C422" s="1" t="n">
        <v>45895</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35647-2021</t>
        </is>
      </c>
      <c r="B423" s="1" t="n">
        <v>44386</v>
      </c>
      <c r="C423" s="1" t="n">
        <v>45895</v>
      </c>
      <c r="D423" t="inlineStr">
        <is>
          <t>UPPSALA LÄN</t>
        </is>
      </c>
      <c r="E423" t="inlineStr">
        <is>
          <t>ENKÖPING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48843-2023</t>
        </is>
      </c>
      <c r="B424" s="1" t="n">
        <v>45209</v>
      </c>
      <c r="C424" s="1" t="n">
        <v>45895</v>
      </c>
      <c r="D424" t="inlineStr">
        <is>
          <t>UPPSALA LÄN</t>
        </is>
      </c>
      <c r="E424" t="inlineStr">
        <is>
          <t>ENKÖPING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57940-2022</t>
        </is>
      </c>
      <c r="B425" s="1" t="n">
        <v>44900</v>
      </c>
      <c r="C425" s="1" t="n">
        <v>45895</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35079-2024</t>
        </is>
      </c>
      <c r="B426" s="1" t="n">
        <v>45527.66770833333</v>
      </c>
      <c r="C426" s="1" t="n">
        <v>45895</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17844-2025</t>
        </is>
      </c>
      <c r="B427" s="1" t="n">
        <v>45758.59920138889</v>
      </c>
      <c r="C427" s="1" t="n">
        <v>45895</v>
      </c>
      <c r="D427" t="inlineStr">
        <is>
          <t>UPPSALA LÄN</t>
        </is>
      </c>
      <c r="E427" t="inlineStr">
        <is>
          <t>ENKÖPING</t>
        </is>
      </c>
      <c r="G427" t="n">
        <v>1.4</v>
      </c>
      <c r="H427" t="n">
        <v>0</v>
      </c>
      <c r="I427" t="n">
        <v>0</v>
      </c>
      <c r="J427" t="n">
        <v>0</v>
      </c>
      <c r="K427" t="n">
        <v>0</v>
      </c>
      <c r="L427" t="n">
        <v>0</v>
      </c>
      <c r="M427" t="n">
        <v>0</v>
      </c>
      <c r="N427" t="n">
        <v>0</v>
      </c>
      <c r="O427" t="n">
        <v>0</v>
      </c>
      <c r="P427" t="n">
        <v>0</v>
      </c>
      <c r="Q427" t="n">
        <v>0</v>
      </c>
      <c r="R427" s="2" t="inlineStr"/>
    </row>
    <row r="428" ht="15" customHeight="1">
      <c r="A428" t="inlineStr">
        <is>
          <t>A 24962-2023</t>
        </is>
      </c>
      <c r="B428" s="1" t="n">
        <v>45085.60123842592</v>
      </c>
      <c r="C428" s="1" t="n">
        <v>45895</v>
      </c>
      <c r="D428" t="inlineStr">
        <is>
          <t>UPPSALA LÄN</t>
        </is>
      </c>
      <c r="E428" t="inlineStr">
        <is>
          <t>ENKÖPING</t>
        </is>
      </c>
      <c r="G428" t="n">
        <v>2.8</v>
      </c>
      <c r="H428" t="n">
        <v>0</v>
      </c>
      <c r="I428" t="n">
        <v>0</v>
      </c>
      <c r="J428" t="n">
        <v>0</v>
      </c>
      <c r="K428" t="n">
        <v>0</v>
      </c>
      <c r="L428" t="n">
        <v>0</v>
      </c>
      <c r="M428" t="n">
        <v>0</v>
      </c>
      <c r="N428" t="n">
        <v>0</v>
      </c>
      <c r="O428" t="n">
        <v>0</v>
      </c>
      <c r="P428" t="n">
        <v>0</v>
      </c>
      <c r="Q428" t="n">
        <v>0</v>
      </c>
      <c r="R428" s="2" t="inlineStr"/>
    </row>
    <row r="429" ht="15" customHeight="1">
      <c r="A429" t="inlineStr">
        <is>
          <t>A 53595-2023</t>
        </is>
      </c>
      <c r="B429" s="1" t="n">
        <v>45223</v>
      </c>
      <c r="C429" s="1" t="n">
        <v>45895</v>
      </c>
      <c r="D429" t="inlineStr">
        <is>
          <t>UPPSALA LÄN</t>
        </is>
      </c>
      <c r="E429" t="inlineStr">
        <is>
          <t>ENKÖPING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44131-2023</t>
        </is>
      </c>
      <c r="B430" s="1" t="n">
        <v>45188</v>
      </c>
      <c r="C430" s="1" t="n">
        <v>45895</v>
      </c>
      <c r="D430" t="inlineStr">
        <is>
          <t>UPPSALA LÄN</t>
        </is>
      </c>
      <c r="E430" t="inlineStr">
        <is>
          <t>ENKÖPING</t>
        </is>
      </c>
      <c r="G430" t="n">
        <v>0.3</v>
      </c>
      <c r="H430" t="n">
        <v>0</v>
      </c>
      <c r="I430" t="n">
        <v>0</v>
      </c>
      <c r="J430" t="n">
        <v>0</v>
      </c>
      <c r="K430" t="n">
        <v>0</v>
      </c>
      <c r="L430" t="n">
        <v>0</v>
      </c>
      <c r="M430" t="n">
        <v>0</v>
      </c>
      <c r="N430" t="n">
        <v>0</v>
      </c>
      <c r="O430" t="n">
        <v>0</v>
      </c>
      <c r="P430" t="n">
        <v>0</v>
      </c>
      <c r="Q430" t="n">
        <v>0</v>
      </c>
      <c r="R430" s="2" t="inlineStr"/>
    </row>
    <row r="431" ht="15" customHeight="1">
      <c r="A431" t="inlineStr">
        <is>
          <t>A 29482-2022</t>
        </is>
      </c>
      <c r="B431" s="1" t="n">
        <v>44753.57703703704</v>
      </c>
      <c r="C431" s="1" t="n">
        <v>45895</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44753.57829861111</v>
      </c>
      <c r="C432" s="1" t="n">
        <v>45895</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37170-2021</t>
        </is>
      </c>
      <c r="B433" s="1" t="n">
        <v>44395</v>
      </c>
      <c r="C433" s="1" t="n">
        <v>45895</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53343-2020</t>
        </is>
      </c>
      <c r="B434" s="1" t="n">
        <v>44123.53505787037</v>
      </c>
      <c r="C434" s="1" t="n">
        <v>45895</v>
      </c>
      <c r="D434" t="inlineStr">
        <is>
          <t>UPPSALA LÄN</t>
        </is>
      </c>
      <c r="E434" t="inlineStr">
        <is>
          <t>ENKÖPING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53496-2022</t>
        </is>
      </c>
      <c r="B435" s="1" t="n">
        <v>44879.57217592592</v>
      </c>
      <c r="C435" s="1" t="n">
        <v>45895</v>
      </c>
      <c r="D435" t="inlineStr">
        <is>
          <t>UPPSALA LÄN</t>
        </is>
      </c>
      <c r="E435" t="inlineStr">
        <is>
          <t>ENKÖPING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7870-2024</t>
        </is>
      </c>
      <c r="B436" s="1" t="n">
        <v>45350.33349537037</v>
      </c>
      <c r="C436" s="1" t="n">
        <v>45895</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28243-2023</t>
        </is>
      </c>
      <c r="B437" s="1" t="n">
        <v>45099.58885416666</v>
      </c>
      <c r="C437" s="1" t="n">
        <v>45895</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10829-2024</t>
        </is>
      </c>
      <c r="B438" s="1" t="n">
        <v>45369</v>
      </c>
      <c r="C438" s="1" t="n">
        <v>45895</v>
      </c>
      <c r="D438" t="inlineStr">
        <is>
          <t>UPPSALA LÄN</t>
        </is>
      </c>
      <c r="E438" t="inlineStr">
        <is>
          <t>ENKÖPING</t>
        </is>
      </c>
      <c r="G438" t="n">
        <v>2.1</v>
      </c>
      <c r="H438" t="n">
        <v>0</v>
      </c>
      <c r="I438" t="n">
        <v>0</v>
      </c>
      <c r="J438" t="n">
        <v>0</v>
      </c>
      <c r="K438" t="n">
        <v>0</v>
      </c>
      <c r="L438" t="n">
        <v>0</v>
      </c>
      <c r="M438" t="n">
        <v>0</v>
      </c>
      <c r="N438" t="n">
        <v>0</v>
      </c>
      <c r="O438" t="n">
        <v>0</v>
      </c>
      <c r="P438" t="n">
        <v>0</v>
      </c>
      <c r="Q438" t="n">
        <v>0</v>
      </c>
      <c r="R438" s="2" t="inlineStr"/>
    </row>
    <row r="439" ht="15" customHeight="1">
      <c r="A439" t="inlineStr">
        <is>
          <t>A 2161-2023</t>
        </is>
      </c>
      <c r="B439" s="1" t="n">
        <v>44941</v>
      </c>
      <c r="C439" s="1" t="n">
        <v>45895</v>
      </c>
      <c r="D439" t="inlineStr">
        <is>
          <t>UPPSALA LÄN</t>
        </is>
      </c>
      <c r="E439" t="inlineStr">
        <is>
          <t>ENKÖPING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2165-2023</t>
        </is>
      </c>
      <c r="B440" s="1" t="n">
        <v>44941</v>
      </c>
      <c r="C440" s="1" t="n">
        <v>45895</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60533-2021</t>
        </is>
      </c>
      <c r="B441" s="1" t="n">
        <v>44496</v>
      </c>
      <c r="C441" s="1" t="n">
        <v>45895</v>
      </c>
      <c r="D441" t="inlineStr">
        <is>
          <t>UPPSALA LÄN</t>
        </is>
      </c>
      <c r="E441" t="inlineStr">
        <is>
          <t>ENKÖPING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15757-2023</t>
        </is>
      </c>
      <c r="B442" s="1" t="n">
        <v>45021</v>
      </c>
      <c r="C442" s="1" t="n">
        <v>45895</v>
      </c>
      <c r="D442" t="inlineStr">
        <is>
          <t>UPPSALA LÄN</t>
        </is>
      </c>
      <c r="E442" t="inlineStr">
        <is>
          <t>ENKÖPING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8306-2021</t>
        </is>
      </c>
      <c r="B443" s="1" t="n">
        <v>44244</v>
      </c>
      <c r="C443" s="1" t="n">
        <v>45895</v>
      </c>
      <c r="D443" t="inlineStr">
        <is>
          <t>UPPSALA LÄN</t>
        </is>
      </c>
      <c r="E443" t="inlineStr">
        <is>
          <t>ENKÖPING</t>
        </is>
      </c>
      <c r="G443" t="n">
        <v>14.9</v>
      </c>
      <c r="H443" t="n">
        <v>0</v>
      </c>
      <c r="I443" t="n">
        <v>0</v>
      </c>
      <c r="J443" t="n">
        <v>0</v>
      </c>
      <c r="K443" t="n">
        <v>0</v>
      </c>
      <c r="L443" t="n">
        <v>0</v>
      </c>
      <c r="M443" t="n">
        <v>0</v>
      </c>
      <c r="N443" t="n">
        <v>0</v>
      </c>
      <c r="O443" t="n">
        <v>0</v>
      </c>
      <c r="P443" t="n">
        <v>0</v>
      </c>
      <c r="Q443" t="n">
        <v>0</v>
      </c>
      <c r="R443" s="2" t="inlineStr"/>
    </row>
    <row r="444" ht="15" customHeight="1">
      <c r="A444" t="inlineStr">
        <is>
          <t>A 43230-2023</t>
        </is>
      </c>
      <c r="B444" s="1" t="n">
        <v>45183</v>
      </c>
      <c r="C444" s="1" t="n">
        <v>45895</v>
      </c>
      <c r="D444" t="inlineStr">
        <is>
          <t>UPPSALA LÄN</t>
        </is>
      </c>
      <c r="E444" t="inlineStr">
        <is>
          <t>ENKÖPING</t>
        </is>
      </c>
      <c r="G444" t="n">
        <v>2.1</v>
      </c>
      <c r="H444" t="n">
        <v>0</v>
      </c>
      <c r="I444" t="n">
        <v>0</v>
      </c>
      <c r="J444" t="n">
        <v>0</v>
      </c>
      <c r="K444" t="n">
        <v>0</v>
      </c>
      <c r="L444" t="n">
        <v>0</v>
      </c>
      <c r="M444" t="n">
        <v>0</v>
      </c>
      <c r="N444" t="n">
        <v>0</v>
      </c>
      <c r="O444" t="n">
        <v>0</v>
      </c>
      <c r="P444" t="n">
        <v>0</v>
      </c>
      <c r="Q444" t="n">
        <v>0</v>
      </c>
      <c r="R444" s="2" t="inlineStr"/>
    </row>
    <row r="445" ht="15" customHeight="1">
      <c r="A445" t="inlineStr">
        <is>
          <t>A 56886-2023</t>
        </is>
      </c>
      <c r="B445" s="1" t="n">
        <v>45239</v>
      </c>
      <c r="C445" s="1" t="n">
        <v>45895</v>
      </c>
      <c r="D445" t="inlineStr">
        <is>
          <t>UPPSALA LÄN</t>
        </is>
      </c>
      <c r="E445" t="inlineStr">
        <is>
          <t>ENKÖPING</t>
        </is>
      </c>
      <c r="G445" t="n">
        <v>2</v>
      </c>
      <c r="H445" t="n">
        <v>0</v>
      </c>
      <c r="I445" t="n">
        <v>0</v>
      </c>
      <c r="J445" t="n">
        <v>0</v>
      </c>
      <c r="K445" t="n">
        <v>0</v>
      </c>
      <c r="L445" t="n">
        <v>0</v>
      </c>
      <c r="M445" t="n">
        <v>0</v>
      </c>
      <c r="N445" t="n">
        <v>0</v>
      </c>
      <c r="O445" t="n">
        <v>0</v>
      </c>
      <c r="P445" t="n">
        <v>0</v>
      </c>
      <c r="Q445" t="n">
        <v>0</v>
      </c>
      <c r="R445" s="2" t="inlineStr"/>
    </row>
    <row r="446" ht="15" customHeight="1">
      <c r="A446" t="inlineStr">
        <is>
          <t>A 51011-2024</t>
        </is>
      </c>
      <c r="B446" s="1" t="n">
        <v>45603.39427083333</v>
      </c>
      <c r="C446" s="1" t="n">
        <v>45895</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49622-2024</t>
        </is>
      </c>
      <c r="B447" s="1" t="n">
        <v>45596.58372685185</v>
      </c>
      <c r="C447" s="1" t="n">
        <v>45895</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2850-2025</t>
        </is>
      </c>
      <c r="B448" s="1" t="n">
        <v>45677</v>
      </c>
      <c r="C448" s="1" t="n">
        <v>45895</v>
      </c>
      <c r="D448" t="inlineStr">
        <is>
          <t>UPPSALA LÄN</t>
        </is>
      </c>
      <c r="E448" t="inlineStr">
        <is>
          <t>ENKÖPING</t>
        </is>
      </c>
      <c r="G448" t="n">
        <v>0.3</v>
      </c>
      <c r="H448" t="n">
        <v>0</v>
      </c>
      <c r="I448" t="n">
        <v>0</v>
      </c>
      <c r="J448" t="n">
        <v>0</v>
      </c>
      <c r="K448" t="n">
        <v>0</v>
      </c>
      <c r="L448" t="n">
        <v>0</v>
      </c>
      <c r="M448" t="n">
        <v>0</v>
      </c>
      <c r="N448" t="n">
        <v>0</v>
      </c>
      <c r="O448" t="n">
        <v>0</v>
      </c>
      <c r="P448" t="n">
        <v>0</v>
      </c>
      <c r="Q448" t="n">
        <v>0</v>
      </c>
      <c r="R448" s="2" t="inlineStr"/>
    </row>
    <row r="449" ht="15" customHeight="1">
      <c r="A449" t="inlineStr">
        <is>
          <t>A 12102-2024</t>
        </is>
      </c>
      <c r="B449" s="1" t="n">
        <v>45377</v>
      </c>
      <c r="C449" s="1" t="n">
        <v>45895</v>
      </c>
      <c r="D449" t="inlineStr">
        <is>
          <t>UPPSALA LÄN</t>
        </is>
      </c>
      <c r="E449" t="inlineStr">
        <is>
          <t>ENKÖPING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13853-2023</t>
        </is>
      </c>
      <c r="B450" s="1" t="n">
        <v>45007</v>
      </c>
      <c r="C450" s="1" t="n">
        <v>45895</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58961-2024</t>
        </is>
      </c>
      <c r="B451" s="1" t="n">
        <v>45636.585</v>
      </c>
      <c r="C451" s="1" t="n">
        <v>45895</v>
      </c>
      <c r="D451" t="inlineStr">
        <is>
          <t>UPPSALA LÄN</t>
        </is>
      </c>
      <c r="E451" t="inlineStr">
        <is>
          <t>ENKÖPING</t>
        </is>
      </c>
      <c r="G451" t="n">
        <v>4</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45895</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845-2025</t>
        </is>
      </c>
      <c r="B453" s="1" t="n">
        <v>45665</v>
      </c>
      <c r="C453" s="1" t="n">
        <v>45895</v>
      </c>
      <c r="D453" t="inlineStr">
        <is>
          <t>UPPSALA LÄN</t>
        </is>
      </c>
      <c r="E453" t="inlineStr">
        <is>
          <t>ENKÖPING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849-2025</t>
        </is>
      </c>
      <c r="B454" s="1" t="n">
        <v>45665</v>
      </c>
      <c r="C454" s="1" t="n">
        <v>45895</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58147-2024</t>
        </is>
      </c>
      <c r="B455" s="1" t="n">
        <v>45632.4334375</v>
      </c>
      <c r="C455" s="1" t="n">
        <v>45895</v>
      </c>
      <c r="D455" t="inlineStr">
        <is>
          <t>UPPSALA LÄN</t>
        </is>
      </c>
      <c r="E455" t="inlineStr">
        <is>
          <t>ENKÖPING</t>
        </is>
      </c>
      <c r="G455" t="n">
        <v>3</v>
      </c>
      <c r="H455" t="n">
        <v>0</v>
      </c>
      <c r="I455" t="n">
        <v>0</v>
      </c>
      <c r="J455" t="n">
        <v>0</v>
      </c>
      <c r="K455" t="n">
        <v>0</v>
      </c>
      <c r="L455" t="n">
        <v>0</v>
      </c>
      <c r="M455" t="n">
        <v>0</v>
      </c>
      <c r="N455" t="n">
        <v>0</v>
      </c>
      <c r="O455" t="n">
        <v>0</v>
      </c>
      <c r="P455" t="n">
        <v>0</v>
      </c>
      <c r="Q455" t="n">
        <v>0</v>
      </c>
      <c r="R455" s="2" t="inlineStr"/>
    </row>
    <row r="456" ht="15" customHeight="1">
      <c r="A456" t="inlineStr">
        <is>
          <t>A 18302-2025</t>
        </is>
      </c>
      <c r="B456" s="1" t="n">
        <v>45762</v>
      </c>
      <c r="C456" s="1" t="n">
        <v>45895</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34735-2023</t>
        </is>
      </c>
      <c r="B457" s="1" t="n">
        <v>45139</v>
      </c>
      <c r="C457" s="1" t="n">
        <v>45895</v>
      </c>
      <c r="D457" t="inlineStr">
        <is>
          <t>UPPSALA LÄN</t>
        </is>
      </c>
      <c r="E457" t="inlineStr">
        <is>
          <t>ENKÖPING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30514-2021</t>
        </is>
      </c>
      <c r="B458" s="1" t="n">
        <v>44364</v>
      </c>
      <c r="C458" s="1" t="n">
        <v>45895</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57209-2024</t>
        </is>
      </c>
      <c r="B459" s="1" t="n">
        <v>45629.49311342592</v>
      </c>
      <c r="C459" s="1" t="n">
        <v>45895</v>
      </c>
      <c r="D459" t="inlineStr">
        <is>
          <t>UPPSALA LÄN</t>
        </is>
      </c>
      <c r="E459" t="inlineStr">
        <is>
          <t>ENKÖPING</t>
        </is>
      </c>
      <c r="G459" t="n">
        <v>3.2</v>
      </c>
      <c r="H459" t="n">
        <v>0</v>
      </c>
      <c r="I459" t="n">
        <v>0</v>
      </c>
      <c r="J459" t="n">
        <v>0</v>
      </c>
      <c r="K459" t="n">
        <v>0</v>
      </c>
      <c r="L459" t="n">
        <v>0</v>
      </c>
      <c r="M459" t="n">
        <v>0</v>
      </c>
      <c r="N459" t="n">
        <v>0</v>
      </c>
      <c r="O459" t="n">
        <v>0</v>
      </c>
      <c r="P459" t="n">
        <v>0</v>
      </c>
      <c r="Q459" t="n">
        <v>0</v>
      </c>
      <c r="R459" s="2" t="inlineStr"/>
    </row>
    <row r="460" ht="15" customHeight="1">
      <c r="A460" t="inlineStr">
        <is>
          <t>A 13110-2023</t>
        </is>
      </c>
      <c r="B460" s="1" t="n">
        <v>45001</v>
      </c>
      <c r="C460" s="1" t="n">
        <v>45895</v>
      </c>
      <c r="D460" t="inlineStr">
        <is>
          <t>UPPSALA LÄN</t>
        </is>
      </c>
      <c r="E460" t="inlineStr">
        <is>
          <t>ENKÖPING</t>
        </is>
      </c>
      <c r="G460" t="n">
        <v>2.5</v>
      </c>
      <c r="H460" t="n">
        <v>0</v>
      </c>
      <c r="I460" t="n">
        <v>0</v>
      </c>
      <c r="J460" t="n">
        <v>0</v>
      </c>
      <c r="K460" t="n">
        <v>0</v>
      </c>
      <c r="L460" t="n">
        <v>0</v>
      </c>
      <c r="M460" t="n">
        <v>0</v>
      </c>
      <c r="N460" t="n">
        <v>0</v>
      </c>
      <c r="O460" t="n">
        <v>0</v>
      </c>
      <c r="P460" t="n">
        <v>0</v>
      </c>
      <c r="Q460" t="n">
        <v>0</v>
      </c>
      <c r="R460" s="2" t="inlineStr"/>
    </row>
    <row r="461" ht="15" customHeight="1">
      <c r="A461" t="inlineStr">
        <is>
          <t>A 49623-2024</t>
        </is>
      </c>
      <c r="B461" s="1" t="n">
        <v>45596</v>
      </c>
      <c r="C461" s="1" t="n">
        <v>45895</v>
      </c>
      <c r="D461" t="inlineStr">
        <is>
          <t>UPPSALA LÄN</t>
        </is>
      </c>
      <c r="E461" t="inlineStr">
        <is>
          <t>ENKÖPING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49627-2024</t>
        </is>
      </c>
      <c r="B462" s="1" t="n">
        <v>45596.59140046296</v>
      </c>
      <c r="C462" s="1" t="n">
        <v>45895</v>
      </c>
      <c r="D462" t="inlineStr">
        <is>
          <t>UPPSALA LÄN</t>
        </is>
      </c>
      <c r="E462" t="inlineStr">
        <is>
          <t>ENKÖPING</t>
        </is>
      </c>
      <c r="G462" t="n">
        <v>0.4</v>
      </c>
      <c r="H462" t="n">
        <v>0</v>
      </c>
      <c r="I462" t="n">
        <v>0</v>
      </c>
      <c r="J462" t="n">
        <v>0</v>
      </c>
      <c r="K462" t="n">
        <v>0</v>
      </c>
      <c r="L462" t="n">
        <v>0</v>
      </c>
      <c r="M462" t="n">
        <v>0</v>
      </c>
      <c r="N462" t="n">
        <v>0</v>
      </c>
      <c r="O462" t="n">
        <v>0</v>
      </c>
      <c r="P462" t="n">
        <v>0</v>
      </c>
      <c r="Q462" t="n">
        <v>0</v>
      </c>
      <c r="R462" s="2" t="inlineStr"/>
    </row>
    <row r="463" ht="15" customHeight="1">
      <c r="A463" t="inlineStr">
        <is>
          <t>A 9231-2023</t>
        </is>
      </c>
      <c r="B463" s="1" t="n">
        <v>44980</v>
      </c>
      <c r="C463" s="1" t="n">
        <v>45895</v>
      </c>
      <c r="D463" t="inlineStr">
        <is>
          <t>UPPSALA LÄN</t>
        </is>
      </c>
      <c r="E463" t="inlineStr">
        <is>
          <t>ENKÖPING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27538-2023</t>
        </is>
      </c>
      <c r="B464" s="1" t="n">
        <v>45097</v>
      </c>
      <c r="C464" s="1" t="n">
        <v>45895</v>
      </c>
      <c r="D464" t="inlineStr">
        <is>
          <t>UPPSALA LÄN</t>
        </is>
      </c>
      <c r="E464" t="inlineStr">
        <is>
          <t>ENKÖPING</t>
        </is>
      </c>
      <c r="G464" t="n">
        <v>5.8</v>
      </c>
      <c r="H464" t="n">
        <v>0</v>
      </c>
      <c r="I464" t="n">
        <v>0</v>
      </c>
      <c r="J464" t="n">
        <v>0</v>
      </c>
      <c r="K464" t="n">
        <v>0</v>
      </c>
      <c r="L464" t="n">
        <v>0</v>
      </c>
      <c r="M464" t="n">
        <v>0</v>
      </c>
      <c r="N464" t="n">
        <v>0</v>
      </c>
      <c r="O464" t="n">
        <v>0</v>
      </c>
      <c r="P464" t="n">
        <v>0</v>
      </c>
      <c r="Q464" t="n">
        <v>0</v>
      </c>
      <c r="R464" s="2" t="inlineStr"/>
    </row>
    <row r="465" ht="15" customHeight="1">
      <c r="A465" t="inlineStr">
        <is>
          <t>A 18821-2023</t>
        </is>
      </c>
      <c r="B465" s="1" t="n">
        <v>45044.3782175926</v>
      </c>
      <c r="C465" s="1" t="n">
        <v>45895</v>
      </c>
      <c r="D465" t="inlineStr">
        <is>
          <t>UPPSALA LÄN</t>
        </is>
      </c>
      <c r="E465" t="inlineStr">
        <is>
          <t>ENKÖPING</t>
        </is>
      </c>
      <c r="G465" t="n">
        <v>6</v>
      </c>
      <c r="H465" t="n">
        <v>0</v>
      </c>
      <c r="I465" t="n">
        <v>0</v>
      </c>
      <c r="J465" t="n">
        <v>0</v>
      </c>
      <c r="K465" t="n">
        <v>0</v>
      </c>
      <c r="L465" t="n">
        <v>0</v>
      </c>
      <c r="M465" t="n">
        <v>0</v>
      </c>
      <c r="N465" t="n">
        <v>0</v>
      </c>
      <c r="O465" t="n">
        <v>0</v>
      </c>
      <c r="P465" t="n">
        <v>0</v>
      </c>
      <c r="Q465" t="n">
        <v>0</v>
      </c>
      <c r="R465" s="2" t="inlineStr"/>
    </row>
    <row r="466" ht="15" customHeight="1">
      <c r="A466" t="inlineStr">
        <is>
          <t>A 52380-2024</t>
        </is>
      </c>
      <c r="B466" s="1" t="n">
        <v>45609</v>
      </c>
      <c r="C466" s="1" t="n">
        <v>45895</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9041-2023</t>
        </is>
      </c>
      <c r="B467" s="1" t="n">
        <v>44979</v>
      </c>
      <c r="C467" s="1" t="n">
        <v>45895</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27786-2023</t>
        </is>
      </c>
      <c r="B468" s="1" t="n">
        <v>45098</v>
      </c>
      <c r="C468" s="1" t="n">
        <v>45895</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15942-2022</t>
        </is>
      </c>
      <c r="B469" s="1" t="n">
        <v>44664</v>
      </c>
      <c r="C469" s="1" t="n">
        <v>45895</v>
      </c>
      <c r="D469" t="inlineStr">
        <is>
          <t>UPPSALA LÄN</t>
        </is>
      </c>
      <c r="E469" t="inlineStr">
        <is>
          <t>ENKÖPING</t>
        </is>
      </c>
      <c r="G469" t="n">
        <v>6.6</v>
      </c>
      <c r="H469" t="n">
        <v>0</v>
      </c>
      <c r="I469" t="n">
        <v>0</v>
      </c>
      <c r="J469" t="n">
        <v>0</v>
      </c>
      <c r="K469" t="n">
        <v>0</v>
      </c>
      <c r="L469" t="n">
        <v>0</v>
      </c>
      <c r="M469" t="n">
        <v>0</v>
      </c>
      <c r="N469" t="n">
        <v>0</v>
      </c>
      <c r="O469" t="n">
        <v>0</v>
      </c>
      <c r="P469" t="n">
        <v>0</v>
      </c>
      <c r="Q469" t="n">
        <v>0</v>
      </c>
      <c r="R469" s="2" t="inlineStr"/>
    </row>
    <row r="470" ht="15" customHeight="1">
      <c r="A470" t="inlineStr">
        <is>
          <t>A 50006-2023</t>
        </is>
      </c>
      <c r="B470" s="1" t="n">
        <v>45215</v>
      </c>
      <c r="C470" s="1" t="n">
        <v>45895</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53607-2023</t>
        </is>
      </c>
      <c r="B471" s="1" t="n">
        <v>45230</v>
      </c>
      <c r="C471" s="1" t="n">
        <v>45895</v>
      </c>
      <c r="D471" t="inlineStr">
        <is>
          <t>UPPSALA LÄN</t>
        </is>
      </c>
      <c r="E471" t="inlineStr">
        <is>
          <t>ENKÖPING</t>
        </is>
      </c>
      <c r="F471" t="inlineStr">
        <is>
          <t>Allmännings- och besparingsskogar</t>
        </is>
      </c>
      <c r="G471" t="n">
        <v>6.3</v>
      </c>
      <c r="H471" t="n">
        <v>0</v>
      </c>
      <c r="I471" t="n">
        <v>0</v>
      </c>
      <c r="J471" t="n">
        <v>0</v>
      </c>
      <c r="K471" t="n">
        <v>0</v>
      </c>
      <c r="L471" t="n">
        <v>0</v>
      </c>
      <c r="M471" t="n">
        <v>0</v>
      </c>
      <c r="N471" t="n">
        <v>0</v>
      </c>
      <c r="O471" t="n">
        <v>0</v>
      </c>
      <c r="P471" t="n">
        <v>0</v>
      </c>
      <c r="Q471" t="n">
        <v>0</v>
      </c>
      <c r="R471" s="2" t="inlineStr"/>
    </row>
    <row r="472" ht="15" customHeight="1">
      <c r="A472" t="inlineStr">
        <is>
          <t>A 59497-2022</t>
        </is>
      </c>
      <c r="B472" s="1" t="n">
        <v>44907.48258101852</v>
      </c>
      <c r="C472" s="1" t="n">
        <v>45895</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49614-2024</t>
        </is>
      </c>
      <c r="B473" s="1" t="n">
        <v>45596.57716435185</v>
      </c>
      <c r="C473" s="1" t="n">
        <v>45895</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49632-2024</t>
        </is>
      </c>
      <c r="B474" s="1" t="n">
        <v>45596</v>
      </c>
      <c r="C474" s="1" t="n">
        <v>45895</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51027-2024</t>
        </is>
      </c>
      <c r="B475" s="1" t="n">
        <v>45603</v>
      </c>
      <c r="C475" s="1" t="n">
        <v>45895</v>
      </c>
      <c r="D475" t="inlineStr">
        <is>
          <t>UPPSALA LÄN</t>
        </is>
      </c>
      <c r="E475" t="inlineStr">
        <is>
          <t>ENKÖPING</t>
        </is>
      </c>
      <c r="G475" t="n">
        <v>3.5</v>
      </c>
      <c r="H475" t="n">
        <v>0</v>
      </c>
      <c r="I475" t="n">
        <v>0</v>
      </c>
      <c r="J475" t="n">
        <v>0</v>
      </c>
      <c r="K475" t="n">
        <v>0</v>
      </c>
      <c r="L475" t="n">
        <v>0</v>
      </c>
      <c r="M475" t="n">
        <v>0</v>
      </c>
      <c r="N475" t="n">
        <v>0</v>
      </c>
      <c r="O475" t="n">
        <v>0</v>
      </c>
      <c r="P475" t="n">
        <v>0</v>
      </c>
      <c r="Q475" t="n">
        <v>0</v>
      </c>
      <c r="R475" s="2" t="inlineStr"/>
    </row>
    <row r="476" ht="15" customHeight="1">
      <c r="A476" t="inlineStr">
        <is>
          <t>A 51030-2024</t>
        </is>
      </c>
      <c r="B476" s="1" t="n">
        <v>45603</v>
      </c>
      <c r="C476" s="1" t="n">
        <v>45895</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c r="A477" t="inlineStr">
        <is>
          <t>A 15405-2025</t>
        </is>
      </c>
      <c r="B477" s="1" t="n">
        <v>45747.44670138889</v>
      </c>
      <c r="C477" s="1" t="n">
        <v>45895</v>
      </c>
      <c r="D477" t="inlineStr">
        <is>
          <t>UPPSALA LÄN</t>
        </is>
      </c>
      <c r="E477" t="inlineStr">
        <is>
          <t>ENKÖPING</t>
        </is>
      </c>
      <c r="G477" t="n">
        <v>1.3</v>
      </c>
      <c r="H477" t="n">
        <v>0</v>
      </c>
      <c r="I477" t="n">
        <v>0</v>
      </c>
      <c r="J477" t="n">
        <v>0</v>
      </c>
      <c r="K477" t="n">
        <v>0</v>
      </c>
      <c r="L477" t="n">
        <v>0</v>
      </c>
      <c r="M477" t="n">
        <v>0</v>
      </c>
      <c r="N477" t="n">
        <v>0</v>
      </c>
      <c r="O477" t="n">
        <v>0</v>
      </c>
      <c r="P477" t="n">
        <v>0</v>
      </c>
      <c r="Q477" t="n">
        <v>0</v>
      </c>
      <c r="R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2025-08-26T08:32:30Z</dcterms:created>
  <dcterms:modified xmlns:dcterms="http://purl.org/dc/terms/" xmlns:xsi="http://www.w3.org/2001/XMLSchema-instance" xsi:type="dcterms:W3CDTF">2025-08-26T08:32:30Z</dcterms:modified>
</cp:coreProperties>
</file>