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46078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46078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46078</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46078</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46078</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46078</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46078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46078</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46078</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46078</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46078</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46078</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46078</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46078</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46078</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46078</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9147-2026</t>
        </is>
      </c>
      <c r="B18" s="1" t="n">
        <v>46070.30649305556</v>
      </c>
      <c r="C18" s="1" t="n">
        <v>46078</v>
      </c>
      <c r="D18" t="inlineStr">
        <is>
          <t>UPPSALA LÄN</t>
        </is>
      </c>
      <c r="E18" t="inlineStr">
        <is>
          <t>ENKÖPING</t>
        </is>
      </c>
      <c r="G18" t="n">
        <v>1.6</v>
      </c>
      <c r="H18" t="n">
        <v>0</v>
      </c>
      <c r="I18" t="n">
        <v>1</v>
      </c>
      <c r="J18" t="n">
        <v>1</v>
      </c>
      <c r="K18" t="n">
        <v>0</v>
      </c>
      <c r="L18" t="n">
        <v>0</v>
      </c>
      <c r="M18" t="n">
        <v>0</v>
      </c>
      <c r="N18" t="n">
        <v>0</v>
      </c>
      <c r="O18" t="n">
        <v>1</v>
      </c>
      <c r="P18" t="n">
        <v>0</v>
      </c>
      <c r="Q18" t="n">
        <v>2</v>
      </c>
      <c r="R18" s="2" t="inlineStr">
        <is>
          <t>Motaggsvamp
Dropptaggsvamp</t>
        </is>
      </c>
      <c r="S18">
        <f>HYPERLINK("https://klasma.github.io/Logging_0381/artfynd/A 9147-2026 artfynd.xlsx", "A 9147-2026")</f>
        <v/>
      </c>
      <c r="T18">
        <f>HYPERLINK("https://klasma.github.io/Logging_0381/kartor/A 9147-2026 karta.png", "A 9147-2026")</f>
        <v/>
      </c>
      <c r="V18">
        <f>HYPERLINK("https://klasma.github.io/Logging_0381/klagomål/A 9147-2026 FSC-klagomål.docx", "A 9147-2026")</f>
        <v/>
      </c>
      <c r="W18">
        <f>HYPERLINK("https://klasma.github.io/Logging_0381/klagomålsmail/A 9147-2026 FSC-klagomål mail.docx", "A 9147-2026")</f>
        <v/>
      </c>
      <c r="X18">
        <f>HYPERLINK("https://klasma.github.io/Logging_0381/tillsyn/A 9147-2026 tillsynsbegäran.docx", "A 9147-2026")</f>
        <v/>
      </c>
      <c r="Y18">
        <f>HYPERLINK("https://klasma.github.io/Logging_0381/tillsynsmail/A 9147-2026 tillsynsbegäran mail.docx", "A 9147-2026")</f>
        <v/>
      </c>
    </row>
    <row r="19" ht="15" customHeight="1">
      <c r="A19" t="inlineStr">
        <is>
          <t>A 425-2024</t>
        </is>
      </c>
      <c r="B19" s="1" t="n">
        <v>45296</v>
      </c>
      <c r="C19" s="1" t="n">
        <v>46078</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46078</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46078</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46078</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17942-2024</t>
        </is>
      </c>
      <c r="B23" s="1" t="n">
        <v>45419</v>
      </c>
      <c r="C23" s="1" t="n">
        <v>46078</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29510-2025</t>
        </is>
      </c>
      <c r="B24" s="1" t="n">
        <v>45825</v>
      </c>
      <c r="C24" s="1" t="n">
        <v>46078</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26347-2025</t>
        </is>
      </c>
      <c r="B25" s="1" t="n">
        <v>45805.7403125</v>
      </c>
      <c r="C25" s="1" t="n">
        <v>46078</v>
      </c>
      <c r="D25" t="inlineStr">
        <is>
          <t>UPPSALA LÄN</t>
        </is>
      </c>
      <c r="E25" t="inlineStr">
        <is>
          <t>ENKÖPING</t>
        </is>
      </c>
      <c r="G25" t="n">
        <v>7.3</v>
      </c>
      <c r="H25" t="n">
        <v>1</v>
      </c>
      <c r="I25" t="n">
        <v>0</v>
      </c>
      <c r="J25" t="n">
        <v>0</v>
      </c>
      <c r="K25" t="n">
        <v>1</v>
      </c>
      <c r="L25" t="n">
        <v>0</v>
      </c>
      <c r="M25" t="n">
        <v>0</v>
      </c>
      <c r="N25" t="n">
        <v>0</v>
      </c>
      <c r="O25" t="n">
        <v>1</v>
      </c>
      <c r="P25" t="n">
        <v>1</v>
      </c>
      <c r="Q25" t="n">
        <v>1</v>
      </c>
      <c r="R25" s="2" t="inlineStr">
        <is>
          <t>Tofsvipa</t>
        </is>
      </c>
      <c r="S25">
        <f>HYPERLINK("https://klasma.github.io/Logging_0381/artfynd/A 26347-2025 artfynd.xlsx", "A 26347-2025")</f>
        <v/>
      </c>
      <c r="T25">
        <f>HYPERLINK("https://klasma.github.io/Logging_0381/kartor/A 26347-2025 karta.png", "A 26347-2025")</f>
        <v/>
      </c>
      <c r="V25">
        <f>HYPERLINK("https://klasma.github.io/Logging_0381/klagomål/A 26347-2025 FSC-klagomål.docx", "A 26347-2025")</f>
        <v/>
      </c>
      <c r="W25">
        <f>HYPERLINK("https://klasma.github.io/Logging_0381/klagomålsmail/A 26347-2025 FSC-klagomål mail.docx", "A 26347-2025")</f>
        <v/>
      </c>
      <c r="X25">
        <f>HYPERLINK("https://klasma.github.io/Logging_0381/tillsyn/A 26347-2025 tillsynsbegäran.docx", "A 26347-2025")</f>
        <v/>
      </c>
      <c r="Y25">
        <f>HYPERLINK("https://klasma.github.io/Logging_0381/tillsynsmail/A 26347-2025 tillsynsbegäran mail.docx", "A 26347-2025")</f>
        <v/>
      </c>
    </row>
    <row r="26" ht="15" customHeight="1">
      <c r="A26" t="inlineStr">
        <is>
          <t>A 27060-2025</t>
        </is>
      </c>
      <c r="B26" s="1" t="n">
        <v>45811.63590277778</v>
      </c>
      <c r="C26" s="1" t="n">
        <v>46078</v>
      </c>
      <c r="D26" t="inlineStr">
        <is>
          <t>UPPSALA LÄN</t>
        </is>
      </c>
      <c r="E26" t="inlineStr">
        <is>
          <t>ENKÖPING</t>
        </is>
      </c>
      <c r="G26" t="n">
        <v>2.6</v>
      </c>
      <c r="H26" t="n">
        <v>0</v>
      </c>
      <c r="I26" t="n">
        <v>1</v>
      </c>
      <c r="J26" t="n">
        <v>0</v>
      </c>
      <c r="K26" t="n">
        <v>0</v>
      </c>
      <c r="L26" t="n">
        <v>0</v>
      </c>
      <c r="M26" t="n">
        <v>0</v>
      </c>
      <c r="N26" t="n">
        <v>0</v>
      </c>
      <c r="O26" t="n">
        <v>0</v>
      </c>
      <c r="P26" t="n">
        <v>0</v>
      </c>
      <c r="Q26" t="n">
        <v>1</v>
      </c>
      <c r="R26" s="2" t="inlineStr">
        <is>
          <t>Granbarkgnagare</t>
        </is>
      </c>
      <c r="S26">
        <f>HYPERLINK("https://klasma.github.io/Logging_0381/artfynd/A 27060-2025 artfynd.xlsx", "A 27060-2025")</f>
        <v/>
      </c>
      <c r="T26">
        <f>HYPERLINK("https://klasma.github.io/Logging_0381/kartor/A 27060-2025 karta.png", "A 27060-2025")</f>
        <v/>
      </c>
      <c r="V26">
        <f>HYPERLINK("https://klasma.github.io/Logging_0381/klagomål/A 27060-2025 FSC-klagomål.docx", "A 27060-2025")</f>
        <v/>
      </c>
      <c r="W26">
        <f>HYPERLINK("https://klasma.github.io/Logging_0381/klagomålsmail/A 27060-2025 FSC-klagomål mail.docx", "A 27060-2025")</f>
        <v/>
      </c>
      <c r="X26">
        <f>HYPERLINK("https://klasma.github.io/Logging_0381/tillsyn/A 27060-2025 tillsynsbegäran.docx", "A 27060-2025")</f>
        <v/>
      </c>
      <c r="Y26">
        <f>HYPERLINK("https://klasma.github.io/Logging_0381/tillsynsmail/A 27060-2025 tillsynsbegäran mail.docx", "A 27060-2025")</f>
        <v/>
      </c>
    </row>
    <row r="27" ht="15" customHeight="1">
      <c r="A27" t="inlineStr">
        <is>
          <t>A 1524-2023</t>
        </is>
      </c>
      <c r="B27" s="1" t="n">
        <v>44935</v>
      </c>
      <c r="C27" s="1" t="n">
        <v>46078</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52439-2025</t>
        </is>
      </c>
      <c r="B28" s="1" t="n">
        <v>45954.40697916667</v>
      </c>
      <c r="C28" s="1" t="n">
        <v>46078</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28900-2024</t>
        </is>
      </c>
      <c r="B29" s="1" t="n">
        <v>45480</v>
      </c>
      <c r="C29" s="1" t="n">
        <v>46078</v>
      </c>
      <c r="D29" t="inlineStr">
        <is>
          <t>UPPSALA LÄN</t>
        </is>
      </c>
      <c r="E29" t="inlineStr">
        <is>
          <t>ENKÖPING</t>
        </is>
      </c>
      <c r="G29" t="n">
        <v>8.6</v>
      </c>
      <c r="H29" t="n">
        <v>1</v>
      </c>
      <c r="I29" t="n">
        <v>0</v>
      </c>
      <c r="J29" t="n">
        <v>0</v>
      </c>
      <c r="K29" t="n">
        <v>0</v>
      </c>
      <c r="L29" t="n">
        <v>0</v>
      </c>
      <c r="M29" t="n">
        <v>0</v>
      </c>
      <c r="N29" t="n">
        <v>0</v>
      </c>
      <c r="O29" t="n">
        <v>0</v>
      </c>
      <c r="P29" t="n">
        <v>0</v>
      </c>
      <c r="Q29" t="n">
        <v>1</v>
      </c>
      <c r="R29" s="2" t="inlineStr">
        <is>
          <t>Blåsippa</t>
        </is>
      </c>
      <c r="S29">
        <f>HYPERLINK("https://klasma.github.io/Logging_0381/artfynd/A 28900-2024 artfynd.xlsx", "A 28900-2024")</f>
        <v/>
      </c>
      <c r="T29">
        <f>HYPERLINK("https://klasma.github.io/Logging_0381/kartor/A 28900-2024 karta.png", "A 28900-2024")</f>
        <v/>
      </c>
      <c r="V29">
        <f>HYPERLINK("https://klasma.github.io/Logging_0381/klagomål/A 28900-2024 FSC-klagomål.docx", "A 28900-2024")</f>
        <v/>
      </c>
      <c r="W29">
        <f>HYPERLINK("https://klasma.github.io/Logging_0381/klagomålsmail/A 28900-2024 FSC-klagomål mail.docx", "A 28900-2024")</f>
        <v/>
      </c>
      <c r="X29">
        <f>HYPERLINK("https://klasma.github.io/Logging_0381/tillsyn/A 28900-2024 tillsynsbegäran.docx", "A 28900-2024")</f>
        <v/>
      </c>
      <c r="Y29">
        <f>HYPERLINK("https://klasma.github.io/Logging_0381/tillsynsmail/A 28900-2024 tillsynsbegäran mail.docx", "A 28900-2024")</f>
        <v/>
      </c>
    </row>
    <row r="30" ht="15" customHeight="1">
      <c r="A30" t="inlineStr">
        <is>
          <t>A 4166-2026</t>
        </is>
      </c>
      <c r="B30" s="1" t="n">
        <v>46044.66402777778</v>
      </c>
      <c r="C30" s="1" t="n">
        <v>46078</v>
      </c>
      <c r="D30" t="inlineStr">
        <is>
          <t>UPPSALA LÄN</t>
        </is>
      </c>
      <c r="E30" t="inlineStr">
        <is>
          <t>ENKÖPING</t>
        </is>
      </c>
      <c r="G30" t="n">
        <v>1.7</v>
      </c>
      <c r="H30" t="n">
        <v>1</v>
      </c>
      <c r="I30" t="n">
        <v>0</v>
      </c>
      <c r="J30" t="n">
        <v>1</v>
      </c>
      <c r="K30" t="n">
        <v>0</v>
      </c>
      <c r="L30" t="n">
        <v>0</v>
      </c>
      <c r="M30" t="n">
        <v>0</v>
      </c>
      <c r="N30" t="n">
        <v>0</v>
      </c>
      <c r="O30" t="n">
        <v>1</v>
      </c>
      <c r="P30" t="n">
        <v>0</v>
      </c>
      <c r="Q30" t="n">
        <v>1</v>
      </c>
      <c r="R30" s="2" t="inlineStr">
        <is>
          <t>Gulsparv</t>
        </is>
      </c>
      <c r="S30">
        <f>HYPERLINK("https://klasma.github.io/Logging_0381/artfynd/A 4166-2026 artfynd.xlsx", "A 4166-2026")</f>
        <v/>
      </c>
      <c r="T30">
        <f>HYPERLINK("https://klasma.github.io/Logging_0381/kartor/A 4166-2026 karta.png", "A 4166-2026")</f>
        <v/>
      </c>
      <c r="V30">
        <f>HYPERLINK("https://klasma.github.io/Logging_0381/klagomål/A 4166-2026 FSC-klagomål.docx", "A 4166-2026")</f>
        <v/>
      </c>
      <c r="W30">
        <f>HYPERLINK("https://klasma.github.io/Logging_0381/klagomålsmail/A 4166-2026 FSC-klagomål mail.docx", "A 4166-2026")</f>
        <v/>
      </c>
      <c r="X30">
        <f>HYPERLINK("https://klasma.github.io/Logging_0381/tillsyn/A 4166-2026 tillsynsbegäran.docx", "A 4166-2026")</f>
        <v/>
      </c>
      <c r="Y30">
        <f>HYPERLINK("https://klasma.github.io/Logging_0381/tillsynsmail/A 4166-2026 tillsynsbegäran mail.docx", "A 4166-2026")</f>
        <v/>
      </c>
      <c r="Z30">
        <f>HYPERLINK("https://klasma.github.io/Logging_0381/fåglar/A 4166-2026 prioriterade fågelarter.docx", "A 4166-2026")</f>
        <v/>
      </c>
    </row>
    <row r="31" ht="15" customHeight="1">
      <c r="A31" t="inlineStr">
        <is>
          <t>A 46749-2024</t>
        </is>
      </c>
      <c r="B31" s="1" t="n">
        <v>45583.48347222222</v>
      </c>
      <c r="C31" s="1" t="n">
        <v>46078</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45116-2023</t>
        </is>
      </c>
      <c r="B32" s="1" t="n">
        <v>45191</v>
      </c>
      <c r="C32" s="1" t="n">
        <v>46078</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23961-2022</t>
        </is>
      </c>
      <c r="B33" s="1" t="n">
        <v>44722</v>
      </c>
      <c r="C33" s="1" t="n">
        <v>46078</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Blåsippa</t>
        </is>
      </c>
      <c r="S33">
        <f>HYPERLINK("https://klasma.github.io/Logging_0381/artfynd/A 23961-2022 artfynd.xlsx", "A 23961-2022")</f>
        <v/>
      </c>
      <c r="T33">
        <f>HYPERLINK("https://klasma.github.io/Logging_0381/kartor/A 23961-2022 karta.png", "A 23961-2022")</f>
        <v/>
      </c>
      <c r="V33">
        <f>HYPERLINK("https://klasma.github.io/Logging_0381/klagomål/A 23961-2022 FSC-klagomål.docx", "A 23961-2022")</f>
        <v/>
      </c>
      <c r="W33">
        <f>HYPERLINK("https://klasma.github.io/Logging_0381/klagomålsmail/A 23961-2022 FSC-klagomål mail.docx", "A 23961-2022")</f>
        <v/>
      </c>
      <c r="X33">
        <f>HYPERLINK("https://klasma.github.io/Logging_0381/tillsyn/A 23961-2022 tillsynsbegäran.docx", "A 23961-2022")</f>
        <v/>
      </c>
      <c r="Y33">
        <f>HYPERLINK("https://klasma.github.io/Logging_0381/tillsynsmail/A 23961-2022 tillsynsbegäran mail.docx", "A 23961-2022")</f>
        <v/>
      </c>
    </row>
    <row r="34" ht="15" customHeight="1">
      <c r="A34" t="inlineStr">
        <is>
          <t>A 33339-2024</t>
        </is>
      </c>
      <c r="B34" s="1" t="n">
        <v>45519</v>
      </c>
      <c r="C34" s="1" t="n">
        <v>46078</v>
      </c>
      <c r="D34" t="inlineStr">
        <is>
          <t>UPPSALA LÄN</t>
        </is>
      </c>
      <c r="E34" t="inlineStr">
        <is>
          <t>ENKÖPING</t>
        </is>
      </c>
      <c r="G34" t="n">
        <v>2.3</v>
      </c>
      <c r="H34" t="n">
        <v>0</v>
      </c>
      <c r="I34" t="n">
        <v>0</v>
      </c>
      <c r="J34" t="n">
        <v>1</v>
      </c>
      <c r="K34" t="n">
        <v>0</v>
      </c>
      <c r="L34" t="n">
        <v>0</v>
      </c>
      <c r="M34" t="n">
        <v>0</v>
      </c>
      <c r="N34" t="n">
        <v>0</v>
      </c>
      <c r="O34" t="n">
        <v>1</v>
      </c>
      <c r="P34" t="n">
        <v>0</v>
      </c>
      <c r="Q34" t="n">
        <v>1</v>
      </c>
      <c r="R34" s="2" t="inlineStr">
        <is>
          <t>Ullticka</t>
        </is>
      </c>
      <c r="S34">
        <f>HYPERLINK("https://klasma.github.io/Logging_0381/artfynd/A 33339-2024 artfynd.xlsx", "A 33339-2024")</f>
        <v/>
      </c>
      <c r="T34">
        <f>HYPERLINK("https://klasma.github.io/Logging_0381/kartor/A 33339-2024 karta.png", "A 33339-2024")</f>
        <v/>
      </c>
      <c r="V34">
        <f>HYPERLINK("https://klasma.github.io/Logging_0381/klagomål/A 33339-2024 FSC-klagomål.docx", "A 33339-2024")</f>
        <v/>
      </c>
      <c r="W34">
        <f>HYPERLINK("https://klasma.github.io/Logging_0381/klagomålsmail/A 33339-2024 FSC-klagomål mail.docx", "A 33339-2024")</f>
        <v/>
      </c>
      <c r="X34">
        <f>HYPERLINK("https://klasma.github.io/Logging_0381/tillsyn/A 33339-2024 tillsynsbegäran.docx", "A 33339-2024")</f>
        <v/>
      </c>
      <c r="Y34">
        <f>HYPERLINK("https://klasma.github.io/Logging_0381/tillsynsmail/A 33339-2024 tillsynsbegäran mail.docx", "A 33339-2024")</f>
        <v/>
      </c>
    </row>
    <row r="35" ht="15" customHeight="1">
      <c r="A35" t="inlineStr">
        <is>
          <t>A 16683-2021</t>
        </is>
      </c>
      <c r="B35" s="1" t="n">
        <v>44294.58495370371</v>
      </c>
      <c r="C35" s="1" t="n">
        <v>46078</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46078</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46078</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46078</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10989-2021</t>
        </is>
      </c>
      <c r="B39" s="1" t="n">
        <v>44260</v>
      </c>
      <c r="C39" s="1" t="n">
        <v>46078</v>
      </c>
      <c r="D39" t="inlineStr">
        <is>
          <t>UPPSALA LÄN</t>
        </is>
      </c>
      <c r="E39" t="inlineStr">
        <is>
          <t>ENKÖPING</t>
        </is>
      </c>
      <c r="G39" t="n">
        <v>3.5</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46078</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46078</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46078</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15298-2021</t>
        </is>
      </c>
      <c r="B43" s="1" t="n">
        <v>44284</v>
      </c>
      <c r="C43" s="1" t="n">
        <v>46078</v>
      </c>
      <c r="D43" t="inlineStr">
        <is>
          <t>UPPSALA LÄN</t>
        </is>
      </c>
      <c r="E43" t="inlineStr">
        <is>
          <t>ENKÖPING</t>
        </is>
      </c>
      <c r="G43" t="n">
        <v>6</v>
      </c>
      <c r="H43" t="n">
        <v>0</v>
      </c>
      <c r="I43" t="n">
        <v>0</v>
      </c>
      <c r="J43" t="n">
        <v>0</v>
      </c>
      <c r="K43" t="n">
        <v>0</v>
      </c>
      <c r="L43" t="n">
        <v>0</v>
      </c>
      <c r="M43" t="n">
        <v>0</v>
      </c>
      <c r="N43" t="n">
        <v>0</v>
      </c>
      <c r="O43" t="n">
        <v>0</v>
      </c>
      <c r="P43" t="n">
        <v>0</v>
      </c>
      <c r="Q43" t="n">
        <v>0</v>
      </c>
      <c r="R43" s="2" t="inlineStr"/>
    </row>
    <row r="44" ht="15" customHeight="1">
      <c r="A44" t="inlineStr">
        <is>
          <t>A 22058-2021</t>
        </is>
      </c>
      <c r="B44" s="1" t="n">
        <v>44323</v>
      </c>
      <c r="C44" s="1" t="n">
        <v>46078</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46078</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14840-2021</t>
        </is>
      </c>
      <c r="B46" s="1" t="n">
        <v>44280</v>
      </c>
      <c r="C46" s="1" t="n">
        <v>46078</v>
      </c>
      <c r="D46" t="inlineStr">
        <is>
          <t>UPPSALA LÄN</t>
        </is>
      </c>
      <c r="E46" t="inlineStr">
        <is>
          <t>ENKÖPING</t>
        </is>
      </c>
      <c r="G46" t="n">
        <v>16</v>
      </c>
      <c r="H46" t="n">
        <v>0</v>
      </c>
      <c r="I46" t="n">
        <v>0</v>
      </c>
      <c r="J46" t="n">
        <v>0</v>
      </c>
      <c r="K46" t="n">
        <v>0</v>
      </c>
      <c r="L46" t="n">
        <v>0</v>
      </c>
      <c r="M46" t="n">
        <v>0</v>
      </c>
      <c r="N46" t="n">
        <v>0</v>
      </c>
      <c r="O46" t="n">
        <v>0</v>
      </c>
      <c r="P46" t="n">
        <v>0</v>
      </c>
      <c r="Q46" t="n">
        <v>0</v>
      </c>
      <c r="R46" s="2" t="inlineStr"/>
    </row>
    <row r="47" ht="15" customHeight="1">
      <c r="A47" t="inlineStr">
        <is>
          <t>A 14841-2021</t>
        </is>
      </c>
      <c r="B47" s="1" t="n">
        <v>44280</v>
      </c>
      <c r="C47" s="1" t="n">
        <v>46078</v>
      </c>
      <c r="D47" t="inlineStr">
        <is>
          <t>UPPSALA LÄN</t>
        </is>
      </c>
      <c r="E47" t="inlineStr">
        <is>
          <t>ENKÖPING</t>
        </is>
      </c>
      <c r="G47" t="n">
        <v>0.7</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46078</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46078</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32748-2021</t>
        </is>
      </c>
      <c r="B50" s="1" t="n">
        <v>44375.53055555555</v>
      </c>
      <c r="C50" s="1" t="n">
        <v>46078</v>
      </c>
      <c r="D50" t="inlineStr">
        <is>
          <t>UPPSALA LÄN</t>
        </is>
      </c>
      <c r="E50" t="inlineStr">
        <is>
          <t>ENKÖPING</t>
        </is>
      </c>
      <c r="G50" t="n">
        <v>1.1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46078</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46078</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17704-2022</t>
        </is>
      </c>
      <c r="B53" s="1" t="n">
        <v>44680.61315972222</v>
      </c>
      <c r="C53" s="1" t="n">
        <v>46078</v>
      </c>
      <c r="D53" t="inlineStr">
        <is>
          <t>UPPSALA LÄN</t>
        </is>
      </c>
      <c r="E53" t="inlineStr">
        <is>
          <t>ENKÖPING</t>
        </is>
      </c>
      <c r="G53" t="n">
        <v>0.8</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46078</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46749-2022</t>
        </is>
      </c>
      <c r="B55" s="1" t="n">
        <v>44851</v>
      </c>
      <c r="C55" s="1" t="n">
        <v>46078</v>
      </c>
      <c r="D55" t="inlineStr">
        <is>
          <t>UPPSALA LÄN</t>
        </is>
      </c>
      <c r="E55" t="inlineStr">
        <is>
          <t>ENKÖPING</t>
        </is>
      </c>
      <c r="G55" t="n">
        <v>6.6</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46078</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46078</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46078</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46078</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46078</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46078</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46078</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46078</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46078</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46078</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46078</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46078</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46078</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46078</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46078</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46078</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46078</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46078</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46078</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46078</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46078</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46078</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46078</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46078</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46078</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46078</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46078</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46078</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46078</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46078</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46078</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46078</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46078</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46078</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46078</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46078</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46078</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46078</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46078</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46078</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46078</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46078</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46078</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46078</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46078</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46078</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46078</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46078</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46078</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46078</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46078</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46078</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46078</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46078</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46078</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46078</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46078</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50747-2022</t>
        </is>
      </c>
      <c r="B113" s="1" t="n">
        <v>44867.40162037037</v>
      </c>
      <c r="C113" s="1" t="n">
        <v>46078</v>
      </c>
      <c r="D113" t="inlineStr">
        <is>
          <t>UPPSALA LÄN</t>
        </is>
      </c>
      <c r="E113" t="inlineStr">
        <is>
          <t>ENKÖPING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49568-2022</t>
        </is>
      </c>
      <c r="B114" s="1" t="n">
        <v>44862.32791666667</v>
      </c>
      <c r="C114" s="1" t="n">
        <v>46078</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47681-2024</t>
        </is>
      </c>
      <c r="B115" s="1" t="n">
        <v>45588</v>
      </c>
      <c r="C115" s="1" t="n">
        <v>46078</v>
      </c>
      <c r="D115" t="inlineStr">
        <is>
          <t>UPPSALA LÄN</t>
        </is>
      </c>
      <c r="E115" t="inlineStr">
        <is>
          <t>ENKÖPING</t>
        </is>
      </c>
      <c r="G115" t="n">
        <v>4.2</v>
      </c>
      <c r="H115" t="n">
        <v>0</v>
      </c>
      <c r="I115" t="n">
        <v>0</v>
      </c>
      <c r="J115" t="n">
        <v>0</v>
      </c>
      <c r="K115" t="n">
        <v>0</v>
      </c>
      <c r="L115" t="n">
        <v>0</v>
      </c>
      <c r="M115" t="n">
        <v>0</v>
      </c>
      <c r="N115" t="n">
        <v>0</v>
      </c>
      <c r="O115" t="n">
        <v>0</v>
      </c>
      <c r="P115" t="n">
        <v>0</v>
      </c>
      <c r="Q115" t="n">
        <v>0</v>
      </c>
      <c r="R115" s="2" t="inlineStr"/>
    </row>
    <row r="116" ht="15" customHeight="1">
      <c r="A116" t="inlineStr">
        <is>
          <t>A 15942-2022</t>
        </is>
      </c>
      <c r="B116" s="1" t="n">
        <v>44664</v>
      </c>
      <c r="C116" s="1" t="n">
        <v>46078</v>
      </c>
      <c r="D116" t="inlineStr">
        <is>
          <t>UPPSALA LÄN</t>
        </is>
      </c>
      <c r="E116" t="inlineStr">
        <is>
          <t>ENKÖPING</t>
        </is>
      </c>
      <c r="G116" t="n">
        <v>6.6</v>
      </c>
      <c r="H116" t="n">
        <v>0</v>
      </c>
      <c r="I116" t="n">
        <v>0</v>
      </c>
      <c r="J116" t="n">
        <v>0</v>
      </c>
      <c r="K116" t="n">
        <v>0</v>
      </c>
      <c r="L116" t="n">
        <v>0</v>
      </c>
      <c r="M116" t="n">
        <v>0</v>
      </c>
      <c r="N116" t="n">
        <v>0</v>
      </c>
      <c r="O116" t="n">
        <v>0</v>
      </c>
      <c r="P116" t="n">
        <v>0</v>
      </c>
      <c r="Q116" t="n">
        <v>0</v>
      </c>
      <c r="R116" s="2" t="inlineStr"/>
    </row>
    <row r="117" ht="15" customHeight="1">
      <c r="A117" t="inlineStr">
        <is>
          <t>A 53496-2022</t>
        </is>
      </c>
      <c r="B117" s="1" t="n">
        <v>44879.57217592592</v>
      </c>
      <c r="C117" s="1" t="n">
        <v>46078</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46078</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27786-2023</t>
        </is>
      </c>
      <c r="B119" s="1" t="n">
        <v>45098</v>
      </c>
      <c r="C119" s="1" t="n">
        <v>46078</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21017-2023</t>
        </is>
      </c>
      <c r="B120" s="1" t="n">
        <v>45061</v>
      </c>
      <c r="C120" s="1" t="n">
        <v>46078</v>
      </c>
      <c r="D120" t="inlineStr">
        <is>
          <t>UPPSALA LÄN</t>
        </is>
      </c>
      <c r="E120" t="inlineStr">
        <is>
          <t>ENKÖPING</t>
        </is>
      </c>
      <c r="G120" t="n">
        <v>4.8</v>
      </c>
      <c r="H120" t="n">
        <v>0</v>
      </c>
      <c r="I120" t="n">
        <v>0</v>
      </c>
      <c r="J120" t="n">
        <v>0</v>
      </c>
      <c r="K120" t="n">
        <v>0</v>
      </c>
      <c r="L120" t="n">
        <v>0</v>
      </c>
      <c r="M120" t="n">
        <v>0</v>
      </c>
      <c r="N120" t="n">
        <v>0</v>
      </c>
      <c r="O120" t="n">
        <v>0</v>
      </c>
      <c r="P120" t="n">
        <v>0</v>
      </c>
      <c r="Q120" t="n">
        <v>0</v>
      </c>
      <c r="R120" s="2" t="inlineStr"/>
    </row>
    <row r="121" ht="15" customHeight="1">
      <c r="A121" t="inlineStr">
        <is>
          <t>A 48864-2022</t>
        </is>
      </c>
      <c r="B121" s="1" t="n">
        <v>44859</v>
      </c>
      <c r="C121" s="1" t="n">
        <v>46078</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44131-2023</t>
        </is>
      </c>
      <c r="B122" s="1" t="n">
        <v>45188</v>
      </c>
      <c r="C122" s="1" t="n">
        <v>46078</v>
      </c>
      <c r="D122" t="inlineStr">
        <is>
          <t>UPPSALA LÄN</t>
        </is>
      </c>
      <c r="E122" t="inlineStr">
        <is>
          <t>ENKÖPING</t>
        </is>
      </c>
      <c r="G122" t="n">
        <v>0.3</v>
      </c>
      <c r="H122" t="n">
        <v>0</v>
      </c>
      <c r="I122" t="n">
        <v>0</v>
      </c>
      <c r="J122" t="n">
        <v>0</v>
      </c>
      <c r="K122" t="n">
        <v>0</v>
      </c>
      <c r="L122" t="n">
        <v>0</v>
      </c>
      <c r="M122" t="n">
        <v>0</v>
      </c>
      <c r="N122" t="n">
        <v>0</v>
      </c>
      <c r="O122" t="n">
        <v>0</v>
      </c>
      <c r="P122" t="n">
        <v>0</v>
      </c>
      <c r="Q122" t="n">
        <v>0</v>
      </c>
      <c r="R122" s="2" t="inlineStr"/>
    </row>
    <row r="123" ht="15" customHeight="1">
      <c r="A123" t="inlineStr">
        <is>
          <t>A 60533-2021</t>
        </is>
      </c>
      <c r="B123" s="1" t="n">
        <v>44496</v>
      </c>
      <c r="C123" s="1" t="n">
        <v>46078</v>
      </c>
      <c r="D123" t="inlineStr">
        <is>
          <t>UPPSALA LÄN</t>
        </is>
      </c>
      <c r="E123" t="inlineStr">
        <is>
          <t>ENKÖPING</t>
        </is>
      </c>
      <c r="G123" t="n">
        <v>2.2</v>
      </c>
      <c r="H123" t="n">
        <v>0</v>
      </c>
      <c r="I123" t="n">
        <v>0</v>
      </c>
      <c r="J123" t="n">
        <v>0</v>
      </c>
      <c r="K123" t="n">
        <v>0</v>
      </c>
      <c r="L123" t="n">
        <v>0</v>
      </c>
      <c r="M123" t="n">
        <v>0</v>
      </c>
      <c r="N123" t="n">
        <v>0</v>
      </c>
      <c r="O123" t="n">
        <v>0</v>
      </c>
      <c r="P123" t="n">
        <v>0</v>
      </c>
      <c r="Q123" t="n">
        <v>0</v>
      </c>
      <c r="R123" s="2" t="inlineStr"/>
    </row>
    <row r="124" ht="15" customHeight="1">
      <c r="A124" t="inlineStr">
        <is>
          <t>A 6242-2025</t>
        </is>
      </c>
      <c r="B124" s="1" t="n">
        <v>45697</v>
      </c>
      <c r="C124" s="1" t="n">
        <v>46078</v>
      </c>
      <c r="D124" t="inlineStr">
        <is>
          <t>UPPSALA LÄN</t>
        </is>
      </c>
      <c r="E124" t="inlineStr">
        <is>
          <t>ENKÖPING</t>
        </is>
      </c>
      <c r="G124" t="n">
        <v>17.9</v>
      </c>
      <c r="H124" t="n">
        <v>0</v>
      </c>
      <c r="I124" t="n">
        <v>0</v>
      </c>
      <c r="J124" t="n">
        <v>0</v>
      </c>
      <c r="K124" t="n">
        <v>0</v>
      </c>
      <c r="L124" t="n">
        <v>0</v>
      </c>
      <c r="M124" t="n">
        <v>0</v>
      </c>
      <c r="N124" t="n">
        <v>0</v>
      </c>
      <c r="O124" t="n">
        <v>0</v>
      </c>
      <c r="P124" t="n">
        <v>0</v>
      </c>
      <c r="Q124" t="n">
        <v>0</v>
      </c>
      <c r="R124" s="2" t="inlineStr"/>
    </row>
    <row r="125" ht="15" customHeight="1">
      <c r="A125" t="inlineStr">
        <is>
          <t>A 42459-2024</t>
        </is>
      </c>
      <c r="B125" s="1" t="n">
        <v>45565</v>
      </c>
      <c r="C125" s="1" t="n">
        <v>46078</v>
      </c>
      <c r="D125" t="inlineStr">
        <is>
          <t>UPPSALA LÄN</t>
        </is>
      </c>
      <c r="E125" t="inlineStr">
        <is>
          <t>ENKÖPING</t>
        </is>
      </c>
      <c r="G125" t="n">
        <v>3.6</v>
      </c>
      <c r="H125" t="n">
        <v>0</v>
      </c>
      <c r="I125" t="n">
        <v>0</v>
      </c>
      <c r="J125" t="n">
        <v>0</v>
      </c>
      <c r="K125" t="n">
        <v>0</v>
      </c>
      <c r="L125" t="n">
        <v>0</v>
      </c>
      <c r="M125" t="n">
        <v>0</v>
      </c>
      <c r="N125" t="n">
        <v>0</v>
      </c>
      <c r="O125" t="n">
        <v>0</v>
      </c>
      <c r="P125" t="n">
        <v>0</v>
      </c>
      <c r="Q125" t="n">
        <v>0</v>
      </c>
      <c r="R125" s="2" t="inlineStr"/>
    </row>
    <row r="126" ht="15" customHeight="1">
      <c r="A126" t="inlineStr">
        <is>
          <t>A 60125-2024</t>
        </is>
      </c>
      <c r="B126" s="1" t="n">
        <v>45642</v>
      </c>
      <c r="C126" s="1" t="n">
        <v>46078</v>
      </c>
      <c r="D126" t="inlineStr">
        <is>
          <t>UPPSALA LÄN</t>
        </is>
      </c>
      <c r="E126" t="inlineStr">
        <is>
          <t>ENKÖPING</t>
        </is>
      </c>
      <c r="G126" t="n">
        <v>2.1</v>
      </c>
      <c r="H126" t="n">
        <v>0</v>
      </c>
      <c r="I126" t="n">
        <v>0</v>
      </c>
      <c r="J126" t="n">
        <v>0</v>
      </c>
      <c r="K126" t="n">
        <v>0</v>
      </c>
      <c r="L126" t="n">
        <v>0</v>
      </c>
      <c r="M126" t="n">
        <v>0</v>
      </c>
      <c r="N126" t="n">
        <v>0</v>
      </c>
      <c r="O126" t="n">
        <v>0</v>
      </c>
      <c r="P126" t="n">
        <v>0</v>
      </c>
      <c r="Q126" t="n">
        <v>0</v>
      </c>
      <c r="R126" s="2" t="inlineStr"/>
    </row>
    <row r="127" ht="15" customHeight="1">
      <c r="A127" t="inlineStr">
        <is>
          <t>A 35052-2024</t>
        </is>
      </c>
      <c r="B127" s="1" t="n">
        <v>45527.6516087963</v>
      </c>
      <c r="C127" s="1" t="n">
        <v>46078</v>
      </c>
      <c r="D127" t="inlineStr">
        <is>
          <t>UPPSALA LÄN</t>
        </is>
      </c>
      <c r="E127" t="inlineStr">
        <is>
          <t>ENKÖPING</t>
        </is>
      </c>
      <c r="G127" t="n">
        <v>1.5</v>
      </c>
      <c r="H127" t="n">
        <v>0</v>
      </c>
      <c r="I127" t="n">
        <v>0</v>
      </c>
      <c r="J127" t="n">
        <v>0</v>
      </c>
      <c r="K127" t="n">
        <v>0</v>
      </c>
      <c r="L127" t="n">
        <v>0</v>
      </c>
      <c r="M127" t="n">
        <v>0</v>
      </c>
      <c r="N127" t="n">
        <v>0</v>
      </c>
      <c r="O127" t="n">
        <v>0</v>
      </c>
      <c r="P127" t="n">
        <v>0</v>
      </c>
      <c r="Q127" t="n">
        <v>0</v>
      </c>
      <c r="R127" s="2" t="inlineStr"/>
    </row>
    <row r="128" ht="15" customHeight="1">
      <c r="A128" t="inlineStr">
        <is>
          <t>A 10468-2025</t>
        </is>
      </c>
      <c r="B128" s="1" t="n">
        <v>45720</v>
      </c>
      <c r="C128" s="1" t="n">
        <v>46078</v>
      </c>
      <c r="D128" t="inlineStr">
        <is>
          <t>UPPSALA LÄN</t>
        </is>
      </c>
      <c r="E128" t="inlineStr">
        <is>
          <t>ENKÖPING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51008-2024</t>
        </is>
      </c>
      <c r="B129" s="1" t="n">
        <v>45603.39041666667</v>
      </c>
      <c r="C129" s="1" t="n">
        <v>46078</v>
      </c>
      <c r="D129" t="inlineStr">
        <is>
          <t>UPPSALA LÄN</t>
        </is>
      </c>
      <c r="E129" t="inlineStr">
        <is>
          <t>ENKÖPING</t>
        </is>
      </c>
      <c r="G129" t="n">
        <v>2.4</v>
      </c>
      <c r="H129" t="n">
        <v>0</v>
      </c>
      <c r="I129" t="n">
        <v>0</v>
      </c>
      <c r="J129" t="n">
        <v>0</v>
      </c>
      <c r="K129" t="n">
        <v>0</v>
      </c>
      <c r="L129" t="n">
        <v>0</v>
      </c>
      <c r="M129" t="n">
        <v>0</v>
      </c>
      <c r="N129" t="n">
        <v>0</v>
      </c>
      <c r="O129" t="n">
        <v>0</v>
      </c>
      <c r="P129" t="n">
        <v>0</v>
      </c>
      <c r="Q129" t="n">
        <v>0</v>
      </c>
      <c r="R129" s="2" t="inlineStr"/>
    </row>
    <row r="130" ht="15" customHeight="1">
      <c r="A130" t="inlineStr">
        <is>
          <t>A 5211-2024</t>
        </is>
      </c>
      <c r="B130" s="1" t="n">
        <v>45330</v>
      </c>
      <c r="C130" s="1" t="n">
        <v>46078</v>
      </c>
      <c r="D130" t="inlineStr">
        <is>
          <t>UPPSALA LÄN</t>
        </is>
      </c>
      <c r="E130" t="inlineStr">
        <is>
          <t>ENKÖPING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10409-2025</t>
        </is>
      </c>
      <c r="B131" s="1" t="n">
        <v>45720.631875</v>
      </c>
      <c r="C131" s="1" t="n">
        <v>46078</v>
      </c>
      <c r="D131" t="inlineStr">
        <is>
          <t>UPPSALA LÄN</t>
        </is>
      </c>
      <c r="E131" t="inlineStr">
        <is>
          <t>ENKÖPING</t>
        </is>
      </c>
      <c r="G131" t="n">
        <v>2.2</v>
      </c>
      <c r="H131" t="n">
        <v>0</v>
      </c>
      <c r="I131" t="n">
        <v>0</v>
      </c>
      <c r="J131" t="n">
        <v>0</v>
      </c>
      <c r="K131" t="n">
        <v>0</v>
      </c>
      <c r="L131" t="n">
        <v>0</v>
      </c>
      <c r="M131" t="n">
        <v>0</v>
      </c>
      <c r="N131" t="n">
        <v>0</v>
      </c>
      <c r="O131" t="n">
        <v>0</v>
      </c>
      <c r="P131" t="n">
        <v>0</v>
      </c>
      <c r="Q131" t="n">
        <v>0</v>
      </c>
      <c r="R131" s="2" t="inlineStr"/>
    </row>
    <row r="132" ht="15" customHeight="1">
      <c r="A132" t="inlineStr">
        <is>
          <t>A 18299-2025</t>
        </is>
      </c>
      <c r="B132" s="1" t="n">
        <v>45762</v>
      </c>
      <c r="C132" s="1" t="n">
        <v>46078</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56176-2021</t>
        </is>
      </c>
      <c r="B133" s="1" t="n">
        <v>44477</v>
      </c>
      <c r="C133" s="1" t="n">
        <v>46078</v>
      </c>
      <c r="D133" t="inlineStr">
        <is>
          <t>UPPSALA LÄN</t>
        </is>
      </c>
      <c r="E133" t="inlineStr">
        <is>
          <t>ENKÖPING</t>
        </is>
      </c>
      <c r="G133" t="n">
        <v>2.9</v>
      </c>
      <c r="H133" t="n">
        <v>0</v>
      </c>
      <c r="I133" t="n">
        <v>0</v>
      </c>
      <c r="J133" t="n">
        <v>0</v>
      </c>
      <c r="K133" t="n">
        <v>0</v>
      </c>
      <c r="L133" t="n">
        <v>0</v>
      </c>
      <c r="M133" t="n">
        <v>0</v>
      </c>
      <c r="N133" t="n">
        <v>0</v>
      </c>
      <c r="O133" t="n">
        <v>0</v>
      </c>
      <c r="P133" t="n">
        <v>0</v>
      </c>
      <c r="Q133" t="n">
        <v>0</v>
      </c>
      <c r="R133" s="2" t="inlineStr"/>
    </row>
    <row r="134" ht="15" customHeight="1">
      <c r="A134" t="inlineStr">
        <is>
          <t>A 21686-2022</t>
        </is>
      </c>
      <c r="B134" s="1" t="n">
        <v>44707</v>
      </c>
      <c r="C134" s="1" t="n">
        <v>46078</v>
      </c>
      <c r="D134" t="inlineStr">
        <is>
          <t>UPPSALA LÄN</t>
        </is>
      </c>
      <c r="E134" t="inlineStr">
        <is>
          <t>ENKÖPING</t>
        </is>
      </c>
      <c r="G134" t="n">
        <v>2.2</v>
      </c>
      <c r="H134" t="n">
        <v>0</v>
      </c>
      <c r="I134" t="n">
        <v>0</v>
      </c>
      <c r="J134" t="n">
        <v>0</v>
      </c>
      <c r="K134" t="n">
        <v>0</v>
      </c>
      <c r="L134" t="n">
        <v>0</v>
      </c>
      <c r="M134" t="n">
        <v>0</v>
      </c>
      <c r="N134" t="n">
        <v>0</v>
      </c>
      <c r="O134" t="n">
        <v>0</v>
      </c>
      <c r="P134" t="n">
        <v>0</v>
      </c>
      <c r="Q134" t="n">
        <v>0</v>
      </c>
      <c r="R134" s="2" t="inlineStr"/>
    </row>
    <row r="135" ht="15" customHeight="1">
      <c r="A135" t="inlineStr">
        <is>
          <t>A 18831-2023</t>
        </is>
      </c>
      <c r="B135" s="1" t="n">
        <v>45044.40798611111</v>
      </c>
      <c r="C135" s="1" t="n">
        <v>46078</v>
      </c>
      <c r="D135" t="inlineStr">
        <is>
          <t>UPPSALA LÄN</t>
        </is>
      </c>
      <c r="E135" t="inlineStr">
        <is>
          <t>ENKÖPING</t>
        </is>
      </c>
      <c r="G135" t="n">
        <v>4.3</v>
      </c>
      <c r="H135" t="n">
        <v>0</v>
      </c>
      <c r="I135" t="n">
        <v>0</v>
      </c>
      <c r="J135" t="n">
        <v>0</v>
      </c>
      <c r="K135" t="n">
        <v>0</v>
      </c>
      <c r="L135" t="n">
        <v>0</v>
      </c>
      <c r="M135" t="n">
        <v>0</v>
      </c>
      <c r="N135" t="n">
        <v>0</v>
      </c>
      <c r="O135" t="n">
        <v>0</v>
      </c>
      <c r="P135" t="n">
        <v>0</v>
      </c>
      <c r="Q135" t="n">
        <v>0</v>
      </c>
      <c r="R135" s="2" t="inlineStr"/>
    </row>
    <row r="136" ht="15" customHeight="1">
      <c r="A136" t="inlineStr">
        <is>
          <t>A 6172-2023</t>
        </is>
      </c>
      <c r="B136" s="1" t="n">
        <v>44964.68663194445</v>
      </c>
      <c r="C136" s="1" t="n">
        <v>46078</v>
      </c>
      <c r="D136" t="inlineStr">
        <is>
          <t>UPPSALA LÄN</t>
        </is>
      </c>
      <c r="E136" t="inlineStr">
        <is>
          <t>ENKÖPING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39439-2025</t>
        </is>
      </c>
      <c r="B137" s="1" t="n">
        <v>45889</v>
      </c>
      <c r="C137" s="1" t="n">
        <v>46078</v>
      </c>
      <c r="D137" t="inlineStr">
        <is>
          <t>UPPSALA LÄN</t>
        </is>
      </c>
      <c r="E137" t="inlineStr">
        <is>
          <t>ENKÖPING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14402-2023</t>
        </is>
      </c>
      <c r="B138" s="1" t="n">
        <v>45012</v>
      </c>
      <c r="C138" s="1" t="n">
        <v>46078</v>
      </c>
      <c r="D138" t="inlineStr">
        <is>
          <t>UPPSALA LÄN</t>
        </is>
      </c>
      <c r="E138" t="inlineStr">
        <is>
          <t>ENKÖPING</t>
        </is>
      </c>
      <c r="G138" t="n">
        <v>9.5</v>
      </c>
      <c r="H138" t="n">
        <v>0</v>
      </c>
      <c r="I138" t="n">
        <v>0</v>
      </c>
      <c r="J138" t="n">
        <v>0</v>
      </c>
      <c r="K138" t="n">
        <v>0</v>
      </c>
      <c r="L138" t="n">
        <v>0</v>
      </c>
      <c r="M138" t="n">
        <v>0</v>
      </c>
      <c r="N138" t="n">
        <v>0</v>
      </c>
      <c r="O138" t="n">
        <v>0</v>
      </c>
      <c r="P138" t="n">
        <v>0</v>
      </c>
      <c r="Q138" t="n">
        <v>0</v>
      </c>
      <c r="R138" s="2" t="inlineStr"/>
    </row>
    <row r="139" ht="15" customHeight="1">
      <c r="A139" t="inlineStr">
        <is>
          <t>A 48678-2025</t>
        </is>
      </c>
      <c r="B139" s="1" t="n">
        <v>45936.59168981481</v>
      </c>
      <c r="C139" s="1" t="n">
        <v>46078</v>
      </c>
      <c r="D139" t="inlineStr">
        <is>
          <t>UPPSALA LÄN</t>
        </is>
      </c>
      <c r="E139" t="inlineStr">
        <is>
          <t>ENKÖPING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69344-2021</t>
        </is>
      </c>
      <c r="B140" s="1" t="n">
        <v>44531</v>
      </c>
      <c r="C140" s="1" t="n">
        <v>46078</v>
      </c>
      <c r="D140" t="inlineStr">
        <is>
          <t>UPPSALA LÄN</t>
        </is>
      </c>
      <c r="E140" t="inlineStr">
        <is>
          <t>ENKÖPING</t>
        </is>
      </c>
      <c r="G140" t="n">
        <v>2.9</v>
      </c>
      <c r="H140" t="n">
        <v>0</v>
      </c>
      <c r="I140" t="n">
        <v>0</v>
      </c>
      <c r="J140" t="n">
        <v>0</v>
      </c>
      <c r="K140" t="n">
        <v>0</v>
      </c>
      <c r="L140" t="n">
        <v>0</v>
      </c>
      <c r="M140" t="n">
        <v>0</v>
      </c>
      <c r="N140" t="n">
        <v>0</v>
      </c>
      <c r="O140" t="n">
        <v>0</v>
      </c>
      <c r="P140" t="n">
        <v>0</v>
      </c>
      <c r="Q140" t="n">
        <v>0</v>
      </c>
      <c r="R140" s="2" t="inlineStr"/>
    </row>
    <row r="141" ht="15" customHeight="1">
      <c r="A141" t="inlineStr">
        <is>
          <t>A 27983-2024</t>
        </is>
      </c>
      <c r="B141" s="1" t="n">
        <v>45476</v>
      </c>
      <c r="C141" s="1" t="n">
        <v>46078</v>
      </c>
      <c r="D141" t="inlineStr">
        <is>
          <t>UPPSALA LÄN</t>
        </is>
      </c>
      <c r="E141" t="inlineStr">
        <is>
          <t>ENKÖPING</t>
        </is>
      </c>
      <c r="G141" t="n">
        <v>3.2</v>
      </c>
      <c r="H141" t="n">
        <v>0</v>
      </c>
      <c r="I141" t="n">
        <v>0</v>
      </c>
      <c r="J141" t="n">
        <v>0</v>
      </c>
      <c r="K141" t="n">
        <v>0</v>
      </c>
      <c r="L141" t="n">
        <v>0</v>
      </c>
      <c r="M141" t="n">
        <v>0</v>
      </c>
      <c r="N141" t="n">
        <v>0</v>
      </c>
      <c r="O141" t="n">
        <v>0</v>
      </c>
      <c r="P141" t="n">
        <v>0</v>
      </c>
      <c r="Q141" t="n">
        <v>0</v>
      </c>
      <c r="R141" s="2" t="inlineStr"/>
    </row>
    <row r="142" ht="15" customHeight="1">
      <c r="A142" t="inlineStr">
        <is>
          <t>A 19298-2023</t>
        </is>
      </c>
      <c r="B142" s="1" t="n">
        <v>45048</v>
      </c>
      <c r="C142" s="1" t="n">
        <v>46078</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15939-2022</t>
        </is>
      </c>
      <c r="B143" s="1" t="n">
        <v>44664</v>
      </c>
      <c r="C143" s="1" t="n">
        <v>46078</v>
      </c>
      <c r="D143" t="inlineStr">
        <is>
          <t>UPPSALA LÄN</t>
        </is>
      </c>
      <c r="E143" t="inlineStr">
        <is>
          <t>ENKÖPING</t>
        </is>
      </c>
      <c r="G143" t="n">
        <v>2</v>
      </c>
      <c r="H143" t="n">
        <v>0</v>
      </c>
      <c r="I143" t="n">
        <v>0</v>
      </c>
      <c r="J143" t="n">
        <v>0</v>
      </c>
      <c r="K143" t="n">
        <v>0</v>
      </c>
      <c r="L143" t="n">
        <v>0</v>
      </c>
      <c r="M143" t="n">
        <v>0</v>
      </c>
      <c r="N143" t="n">
        <v>0</v>
      </c>
      <c r="O143" t="n">
        <v>0</v>
      </c>
      <c r="P143" t="n">
        <v>0</v>
      </c>
      <c r="Q143" t="n">
        <v>0</v>
      </c>
      <c r="R143" s="2" t="inlineStr"/>
    </row>
    <row r="144" ht="15" customHeight="1">
      <c r="A144" t="inlineStr">
        <is>
          <t>A 22156-2025</t>
        </is>
      </c>
      <c r="B144" s="1" t="n">
        <v>45785.57512731481</v>
      </c>
      <c r="C144" s="1" t="n">
        <v>46078</v>
      </c>
      <c r="D144" t="inlineStr">
        <is>
          <t>UPPSALA LÄN</t>
        </is>
      </c>
      <c r="E144" t="inlineStr">
        <is>
          <t>ENKÖPING</t>
        </is>
      </c>
      <c r="G144" t="n">
        <v>0.9</v>
      </c>
      <c r="H144" t="n">
        <v>0</v>
      </c>
      <c r="I144" t="n">
        <v>0</v>
      </c>
      <c r="J144" t="n">
        <v>0</v>
      </c>
      <c r="K144" t="n">
        <v>0</v>
      </c>
      <c r="L144" t="n">
        <v>0</v>
      </c>
      <c r="M144" t="n">
        <v>0</v>
      </c>
      <c r="N144" t="n">
        <v>0</v>
      </c>
      <c r="O144" t="n">
        <v>0</v>
      </c>
      <c r="P144" t="n">
        <v>0</v>
      </c>
      <c r="Q144" t="n">
        <v>0</v>
      </c>
      <c r="R144" s="2" t="inlineStr"/>
    </row>
    <row r="145" ht="15" customHeight="1">
      <c r="A145" t="inlineStr">
        <is>
          <t>A 22150-2025</t>
        </is>
      </c>
      <c r="B145" s="1" t="n">
        <v>45785.56398148148</v>
      </c>
      <c r="C145" s="1" t="n">
        <v>46078</v>
      </c>
      <c r="D145" t="inlineStr">
        <is>
          <t>UPPSALA LÄN</t>
        </is>
      </c>
      <c r="E145" t="inlineStr">
        <is>
          <t>ENKÖPING</t>
        </is>
      </c>
      <c r="G145" t="n">
        <v>1.3</v>
      </c>
      <c r="H145" t="n">
        <v>0</v>
      </c>
      <c r="I145" t="n">
        <v>0</v>
      </c>
      <c r="J145" t="n">
        <v>0</v>
      </c>
      <c r="K145" t="n">
        <v>0</v>
      </c>
      <c r="L145" t="n">
        <v>0</v>
      </c>
      <c r="M145" t="n">
        <v>0</v>
      </c>
      <c r="N145" t="n">
        <v>0</v>
      </c>
      <c r="O145" t="n">
        <v>0</v>
      </c>
      <c r="P145" t="n">
        <v>0</v>
      </c>
      <c r="Q145" t="n">
        <v>0</v>
      </c>
      <c r="R145" s="2" t="inlineStr"/>
    </row>
    <row r="146" ht="15" customHeight="1">
      <c r="A146" t="inlineStr">
        <is>
          <t>A 57153-2021</t>
        </is>
      </c>
      <c r="B146" s="1" t="n">
        <v>44482</v>
      </c>
      <c r="C146" s="1" t="n">
        <v>46078</v>
      </c>
      <c r="D146" t="inlineStr">
        <is>
          <t>UPPSALA LÄN</t>
        </is>
      </c>
      <c r="E146" t="inlineStr">
        <is>
          <t>ENKÖPING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30087-2024</t>
        </is>
      </c>
      <c r="B147" s="1" t="n">
        <v>45489.39447916667</v>
      </c>
      <c r="C147" s="1" t="n">
        <v>46078</v>
      </c>
      <c r="D147" t="inlineStr">
        <is>
          <t>UPPSALA LÄN</t>
        </is>
      </c>
      <c r="E147" t="inlineStr">
        <is>
          <t>ENKÖPING</t>
        </is>
      </c>
      <c r="G147" t="n">
        <v>1.4</v>
      </c>
      <c r="H147" t="n">
        <v>0</v>
      </c>
      <c r="I147" t="n">
        <v>0</v>
      </c>
      <c r="J147" t="n">
        <v>0</v>
      </c>
      <c r="K147" t="n">
        <v>0</v>
      </c>
      <c r="L147" t="n">
        <v>0</v>
      </c>
      <c r="M147" t="n">
        <v>0</v>
      </c>
      <c r="N147" t="n">
        <v>0</v>
      </c>
      <c r="O147" t="n">
        <v>0</v>
      </c>
      <c r="P147" t="n">
        <v>0</v>
      </c>
      <c r="Q147" t="n">
        <v>0</v>
      </c>
      <c r="R147" s="2" t="inlineStr"/>
    </row>
    <row r="148" ht="15" customHeight="1">
      <c r="A148" t="inlineStr">
        <is>
          <t>A 43697-2024</t>
        </is>
      </c>
      <c r="B148" s="1" t="n">
        <v>45569</v>
      </c>
      <c r="C148" s="1" t="n">
        <v>46078</v>
      </c>
      <c r="D148" t="inlineStr">
        <is>
          <t>UPPSALA LÄN</t>
        </is>
      </c>
      <c r="E148" t="inlineStr">
        <is>
          <t>ENKÖPING</t>
        </is>
      </c>
      <c r="G148" t="n">
        <v>2.1</v>
      </c>
      <c r="H148" t="n">
        <v>0</v>
      </c>
      <c r="I148" t="n">
        <v>0</v>
      </c>
      <c r="J148" t="n">
        <v>0</v>
      </c>
      <c r="K148" t="n">
        <v>0</v>
      </c>
      <c r="L148" t="n">
        <v>0</v>
      </c>
      <c r="M148" t="n">
        <v>0</v>
      </c>
      <c r="N148" t="n">
        <v>0</v>
      </c>
      <c r="O148" t="n">
        <v>0</v>
      </c>
      <c r="P148" t="n">
        <v>0</v>
      </c>
      <c r="Q148" t="n">
        <v>0</v>
      </c>
      <c r="R148" s="2" t="inlineStr"/>
    </row>
    <row r="149" ht="15" customHeight="1">
      <c r="A149" t="inlineStr">
        <is>
          <t>A 54776-2024</t>
        </is>
      </c>
      <c r="B149" s="1" t="n">
        <v>45618</v>
      </c>
      <c r="C149" s="1" t="n">
        <v>46078</v>
      </c>
      <c r="D149" t="inlineStr">
        <is>
          <t>UPPSALA LÄN</t>
        </is>
      </c>
      <c r="E149" t="inlineStr">
        <is>
          <t>ENKÖPING</t>
        </is>
      </c>
      <c r="G149" t="n">
        <v>1.8</v>
      </c>
      <c r="H149" t="n">
        <v>0</v>
      </c>
      <c r="I149" t="n">
        <v>0</v>
      </c>
      <c r="J149" t="n">
        <v>0</v>
      </c>
      <c r="K149" t="n">
        <v>0</v>
      </c>
      <c r="L149" t="n">
        <v>0</v>
      </c>
      <c r="M149" t="n">
        <v>0</v>
      </c>
      <c r="N149" t="n">
        <v>0</v>
      </c>
      <c r="O149" t="n">
        <v>0</v>
      </c>
      <c r="P149" t="n">
        <v>0</v>
      </c>
      <c r="Q149" t="n">
        <v>0</v>
      </c>
      <c r="R149" s="2" t="inlineStr"/>
    </row>
    <row r="150" ht="15" customHeight="1">
      <c r="A150" t="inlineStr">
        <is>
          <t>A 22729-2025</t>
        </is>
      </c>
      <c r="B150" s="1" t="n">
        <v>45789.57790509259</v>
      </c>
      <c r="C150" s="1" t="n">
        <v>46078</v>
      </c>
      <c r="D150" t="inlineStr">
        <is>
          <t>UPPSALA LÄN</t>
        </is>
      </c>
      <c r="E150" t="inlineStr">
        <is>
          <t>ENKÖPING</t>
        </is>
      </c>
      <c r="G150" t="n">
        <v>0.7</v>
      </c>
      <c r="H150" t="n">
        <v>0</v>
      </c>
      <c r="I150" t="n">
        <v>0</v>
      </c>
      <c r="J150" t="n">
        <v>0</v>
      </c>
      <c r="K150" t="n">
        <v>0</v>
      </c>
      <c r="L150" t="n">
        <v>0</v>
      </c>
      <c r="M150" t="n">
        <v>0</v>
      </c>
      <c r="N150" t="n">
        <v>0</v>
      </c>
      <c r="O150" t="n">
        <v>0</v>
      </c>
      <c r="P150" t="n">
        <v>0</v>
      </c>
      <c r="Q150" t="n">
        <v>0</v>
      </c>
      <c r="R150" s="2" t="inlineStr"/>
    </row>
    <row r="151" ht="15" customHeight="1">
      <c r="A151" t="inlineStr">
        <is>
          <t>A 14518-2025</t>
        </is>
      </c>
      <c r="B151" s="1" t="n">
        <v>45741</v>
      </c>
      <c r="C151" s="1" t="n">
        <v>46078</v>
      </c>
      <c r="D151" t="inlineStr">
        <is>
          <t>UPPSALA LÄN</t>
        </is>
      </c>
      <c r="E151" t="inlineStr">
        <is>
          <t>ENKÖPING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22677-2025</t>
        </is>
      </c>
      <c r="B152" s="1" t="n">
        <v>45789.49515046296</v>
      </c>
      <c r="C152" s="1" t="n">
        <v>46078</v>
      </c>
      <c r="D152" t="inlineStr">
        <is>
          <t>UPPSALA LÄN</t>
        </is>
      </c>
      <c r="E152" t="inlineStr">
        <is>
          <t>ENKÖPING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22679-2025</t>
        </is>
      </c>
      <c r="B153" s="1" t="n">
        <v>45789.49747685185</v>
      </c>
      <c r="C153" s="1" t="n">
        <v>46078</v>
      </c>
      <c r="D153" t="inlineStr">
        <is>
          <t>UPPSALA LÄN</t>
        </is>
      </c>
      <c r="E153" t="inlineStr">
        <is>
          <t>ENKÖPING</t>
        </is>
      </c>
      <c r="G153" t="n">
        <v>1.1</v>
      </c>
      <c r="H153" t="n">
        <v>0</v>
      </c>
      <c r="I153" t="n">
        <v>0</v>
      </c>
      <c r="J153" t="n">
        <v>0</v>
      </c>
      <c r="K153" t="n">
        <v>0</v>
      </c>
      <c r="L153" t="n">
        <v>0</v>
      </c>
      <c r="M153" t="n">
        <v>0</v>
      </c>
      <c r="N153" t="n">
        <v>0</v>
      </c>
      <c r="O153" t="n">
        <v>0</v>
      </c>
      <c r="P153" t="n">
        <v>0</v>
      </c>
      <c r="Q153" t="n">
        <v>0</v>
      </c>
      <c r="R153" s="2" t="inlineStr"/>
    </row>
    <row r="154" ht="15" customHeight="1">
      <c r="A154" t="inlineStr">
        <is>
          <t>A 22770-2025</t>
        </is>
      </c>
      <c r="B154" s="1" t="n">
        <v>45789.63454861111</v>
      </c>
      <c r="C154" s="1" t="n">
        <v>46078</v>
      </c>
      <c r="D154" t="inlineStr">
        <is>
          <t>UPPSALA LÄN</t>
        </is>
      </c>
      <c r="E154" t="inlineStr">
        <is>
          <t>ENKÖPING</t>
        </is>
      </c>
      <c r="G154" t="n">
        <v>4.5</v>
      </c>
      <c r="H154" t="n">
        <v>0</v>
      </c>
      <c r="I154" t="n">
        <v>0</v>
      </c>
      <c r="J154" t="n">
        <v>0</v>
      </c>
      <c r="K154" t="n">
        <v>0</v>
      </c>
      <c r="L154" t="n">
        <v>0</v>
      </c>
      <c r="M154" t="n">
        <v>0</v>
      </c>
      <c r="N154" t="n">
        <v>0</v>
      </c>
      <c r="O154" t="n">
        <v>0</v>
      </c>
      <c r="P154" t="n">
        <v>0</v>
      </c>
      <c r="Q154" t="n">
        <v>0</v>
      </c>
      <c r="R154" s="2" t="inlineStr"/>
    </row>
    <row r="155" ht="15" customHeight="1">
      <c r="A155" t="inlineStr">
        <is>
          <t>A 22800-2025</t>
        </is>
      </c>
      <c r="B155" s="1" t="n">
        <v>45789.6669212963</v>
      </c>
      <c r="C155" s="1" t="n">
        <v>46078</v>
      </c>
      <c r="D155" t="inlineStr">
        <is>
          <t>UPPSALA LÄN</t>
        </is>
      </c>
      <c r="E155" t="inlineStr">
        <is>
          <t>ENKÖPING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45283-2022</t>
        </is>
      </c>
      <c r="B156" s="1" t="n">
        <v>44844</v>
      </c>
      <c r="C156" s="1" t="n">
        <v>46078</v>
      </c>
      <c r="D156" t="inlineStr">
        <is>
          <t>UPPSALA LÄN</t>
        </is>
      </c>
      <c r="E156" t="inlineStr">
        <is>
          <t>ENKÖPING</t>
        </is>
      </c>
      <c r="G156" t="n">
        <v>5.9</v>
      </c>
      <c r="H156" t="n">
        <v>0</v>
      </c>
      <c r="I156" t="n">
        <v>0</v>
      </c>
      <c r="J156" t="n">
        <v>0</v>
      </c>
      <c r="K156" t="n">
        <v>0</v>
      </c>
      <c r="L156" t="n">
        <v>0</v>
      </c>
      <c r="M156" t="n">
        <v>0</v>
      </c>
      <c r="N156" t="n">
        <v>0</v>
      </c>
      <c r="O156" t="n">
        <v>0</v>
      </c>
      <c r="P156" t="n">
        <v>0</v>
      </c>
      <c r="Q156" t="n">
        <v>0</v>
      </c>
      <c r="R156" s="2" t="inlineStr"/>
    </row>
    <row r="157" ht="15" customHeight="1">
      <c r="A157" t="inlineStr">
        <is>
          <t>A 6981-2025</t>
        </is>
      </c>
      <c r="B157" s="1" t="n">
        <v>45701</v>
      </c>
      <c r="C157" s="1" t="n">
        <v>46078</v>
      </c>
      <c r="D157" t="inlineStr">
        <is>
          <t>UPPSALA LÄN</t>
        </is>
      </c>
      <c r="E157" t="inlineStr">
        <is>
          <t>ENKÖPING</t>
        </is>
      </c>
      <c r="G157" t="n">
        <v>0.9</v>
      </c>
      <c r="H157" t="n">
        <v>0</v>
      </c>
      <c r="I157" t="n">
        <v>0</v>
      </c>
      <c r="J157" t="n">
        <v>0</v>
      </c>
      <c r="K157" t="n">
        <v>0</v>
      </c>
      <c r="L157" t="n">
        <v>0</v>
      </c>
      <c r="M157" t="n">
        <v>0</v>
      </c>
      <c r="N157" t="n">
        <v>0</v>
      </c>
      <c r="O157" t="n">
        <v>0</v>
      </c>
      <c r="P157" t="n">
        <v>0</v>
      </c>
      <c r="Q157" t="n">
        <v>0</v>
      </c>
      <c r="R157" s="2" t="inlineStr"/>
    </row>
    <row r="158" ht="15" customHeight="1">
      <c r="A158" t="inlineStr">
        <is>
          <t>A 22786-2025</t>
        </is>
      </c>
      <c r="B158" s="1" t="n">
        <v>45789.64643518518</v>
      </c>
      <c r="C158" s="1" t="n">
        <v>46078</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48423-2025</t>
        </is>
      </c>
      <c r="B159" s="1" t="n">
        <v>45934.68024305555</v>
      </c>
      <c r="C159" s="1" t="n">
        <v>46078</v>
      </c>
      <c r="D159" t="inlineStr">
        <is>
          <t>UPPSALA LÄN</t>
        </is>
      </c>
      <c r="E159" t="inlineStr">
        <is>
          <t>ENKÖPING</t>
        </is>
      </c>
      <c r="G159" t="n">
        <v>4.3</v>
      </c>
      <c r="H159" t="n">
        <v>0</v>
      </c>
      <c r="I159" t="n">
        <v>0</v>
      </c>
      <c r="J159" t="n">
        <v>0</v>
      </c>
      <c r="K159" t="n">
        <v>0</v>
      </c>
      <c r="L159" t="n">
        <v>0</v>
      </c>
      <c r="M159" t="n">
        <v>0</v>
      </c>
      <c r="N159" t="n">
        <v>0</v>
      </c>
      <c r="O159" t="n">
        <v>0</v>
      </c>
      <c r="P159" t="n">
        <v>0</v>
      </c>
      <c r="Q159" t="n">
        <v>0</v>
      </c>
      <c r="R159" s="2" t="inlineStr"/>
    </row>
    <row r="160" ht="15" customHeight="1">
      <c r="A160" t="inlineStr">
        <is>
          <t>A 41826-2024</t>
        </is>
      </c>
      <c r="B160" s="1" t="n">
        <v>45561</v>
      </c>
      <c r="C160" s="1" t="n">
        <v>46078</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68123-2021</t>
        </is>
      </c>
      <c r="B161" s="1" t="n">
        <v>44526.39126157408</v>
      </c>
      <c r="C161" s="1" t="n">
        <v>46078</v>
      </c>
      <c r="D161" t="inlineStr">
        <is>
          <t>UPPSALA LÄN</t>
        </is>
      </c>
      <c r="E161" t="inlineStr">
        <is>
          <t>ENKÖPING</t>
        </is>
      </c>
      <c r="G161" t="n">
        <v>0.9</v>
      </c>
      <c r="H161" t="n">
        <v>0</v>
      </c>
      <c r="I161" t="n">
        <v>0</v>
      </c>
      <c r="J161" t="n">
        <v>0</v>
      </c>
      <c r="K161" t="n">
        <v>0</v>
      </c>
      <c r="L161" t="n">
        <v>0</v>
      </c>
      <c r="M161" t="n">
        <v>0</v>
      </c>
      <c r="N161" t="n">
        <v>0</v>
      </c>
      <c r="O161" t="n">
        <v>0</v>
      </c>
      <c r="P161" t="n">
        <v>0</v>
      </c>
      <c r="Q161" t="n">
        <v>0</v>
      </c>
      <c r="R161" s="2" t="inlineStr"/>
    </row>
    <row r="162" ht="15" customHeight="1">
      <c r="A162" t="inlineStr">
        <is>
          <t>A 22680-2025</t>
        </is>
      </c>
      <c r="B162" s="1" t="n">
        <v>45789.5005787037</v>
      </c>
      <c r="C162" s="1" t="n">
        <v>46078</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22802-2025</t>
        </is>
      </c>
      <c r="B163" s="1" t="n">
        <v>45789.6686574074</v>
      </c>
      <c r="C163" s="1" t="n">
        <v>46078</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42589-2022</t>
        </is>
      </c>
      <c r="B164" s="1" t="n">
        <v>44831</v>
      </c>
      <c r="C164" s="1" t="n">
        <v>46078</v>
      </c>
      <c r="D164" t="inlineStr">
        <is>
          <t>UPPSALA LÄN</t>
        </is>
      </c>
      <c r="E164" t="inlineStr">
        <is>
          <t>ENKÖPING</t>
        </is>
      </c>
      <c r="G164" t="n">
        <v>20</v>
      </c>
      <c r="H164" t="n">
        <v>0</v>
      </c>
      <c r="I164" t="n">
        <v>0</v>
      </c>
      <c r="J164" t="n">
        <v>0</v>
      </c>
      <c r="K164" t="n">
        <v>0</v>
      </c>
      <c r="L164" t="n">
        <v>0</v>
      </c>
      <c r="M164" t="n">
        <v>0</v>
      </c>
      <c r="N164" t="n">
        <v>0</v>
      </c>
      <c r="O164" t="n">
        <v>0</v>
      </c>
      <c r="P164" t="n">
        <v>0</v>
      </c>
      <c r="Q164" t="n">
        <v>0</v>
      </c>
      <c r="R164" s="2" t="inlineStr"/>
    </row>
    <row r="165" ht="15" customHeight="1">
      <c r="A165" t="inlineStr">
        <is>
          <t>A 39746-2025</t>
        </is>
      </c>
      <c r="B165" s="1" t="n">
        <v>45891</v>
      </c>
      <c r="C165" s="1" t="n">
        <v>46078</v>
      </c>
      <c r="D165" t="inlineStr">
        <is>
          <t>UPPSALA LÄN</t>
        </is>
      </c>
      <c r="E165" t="inlineStr">
        <is>
          <t>ENKÖPING</t>
        </is>
      </c>
      <c r="G165" t="n">
        <v>7.4</v>
      </c>
      <c r="H165" t="n">
        <v>0</v>
      </c>
      <c r="I165" t="n">
        <v>0</v>
      </c>
      <c r="J165" t="n">
        <v>0</v>
      </c>
      <c r="K165" t="n">
        <v>0</v>
      </c>
      <c r="L165" t="n">
        <v>0</v>
      </c>
      <c r="M165" t="n">
        <v>0</v>
      </c>
      <c r="N165" t="n">
        <v>0</v>
      </c>
      <c r="O165" t="n">
        <v>0</v>
      </c>
      <c r="P165" t="n">
        <v>0</v>
      </c>
      <c r="Q165" t="n">
        <v>0</v>
      </c>
      <c r="R165" s="2" t="inlineStr"/>
    </row>
    <row r="166" ht="15" customHeight="1">
      <c r="A166" t="inlineStr">
        <is>
          <t>A 48424-2025</t>
        </is>
      </c>
      <c r="B166" s="1" t="n">
        <v>45934.69131944444</v>
      </c>
      <c r="C166" s="1" t="n">
        <v>46078</v>
      </c>
      <c r="D166" t="inlineStr">
        <is>
          <t>UPPSALA LÄN</t>
        </is>
      </c>
      <c r="E166" t="inlineStr">
        <is>
          <t>ENKÖPING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840-2025</t>
        </is>
      </c>
      <c r="B167" s="1" t="n">
        <v>45665</v>
      </c>
      <c r="C167" s="1" t="n">
        <v>46078</v>
      </c>
      <c r="D167" t="inlineStr">
        <is>
          <t>UPPSALA LÄN</t>
        </is>
      </c>
      <c r="E167" t="inlineStr">
        <is>
          <t>ENKÖPING</t>
        </is>
      </c>
      <c r="G167" t="n">
        <v>0.9</v>
      </c>
      <c r="H167" t="n">
        <v>0</v>
      </c>
      <c r="I167" t="n">
        <v>0</v>
      </c>
      <c r="J167" t="n">
        <v>0</v>
      </c>
      <c r="K167" t="n">
        <v>0</v>
      </c>
      <c r="L167" t="n">
        <v>0</v>
      </c>
      <c r="M167" t="n">
        <v>0</v>
      </c>
      <c r="N167" t="n">
        <v>0</v>
      </c>
      <c r="O167" t="n">
        <v>0</v>
      </c>
      <c r="P167" t="n">
        <v>0</v>
      </c>
      <c r="Q167" t="n">
        <v>0</v>
      </c>
      <c r="R167" s="2" t="inlineStr"/>
    </row>
    <row r="168" ht="15" customHeight="1">
      <c r="A168" t="inlineStr">
        <is>
          <t>A 22793-2025</t>
        </is>
      </c>
      <c r="B168" s="1" t="n">
        <v>45789.65693287037</v>
      </c>
      <c r="C168" s="1" t="n">
        <v>46078</v>
      </c>
      <c r="D168" t="inlineStr">
        <is>
          <t>UPPSALA LÄN</t>
        </is>
      </c>
      <c r="E168" t="inlineStr">
        <is>
          <t>ENKÖPING</t>
        </is>
      </c>
      <c r="G168" t="n">
        <v>3.2</v>
      </c>
      <c r="H168" t="n">
        <v>0</v>
      </c>
      <c r="I168" t="n">
        <v>0</v>
      </c>
      <c r="J168" t="n">
        <v>0</v>
      </c>
      <c r="K168" t="n">
        <v>0</v>
      </c>
      <c r="L168" t="n">
        <v>0</v>
      </c>
      <c r="M168" t="n">
        <v>0</v>
      </c>
      <c r="N168" t="n">
        <v>0</v>
      </c>
      <c r="O168" t="n">
        <v>0</v>
      </c>
      <c r="P168" t="n">
        <v>0</v>
      </c>
      <c r="Q168" t="n">
        <v>0</v>
      </c>
      <c r="R168" s="2" t="inlineStr"/>
    </row>
    <row r="169" ht="15" customHeight="1">
      <c r="A169" t="inlineStr">
        <is>
          <t>A 22795-2025</t>
        </is>
      </c>
      <c r="B169" s="1" t="n">
        <v>45789.65944444444</v>
      </c>
      <c r="C169" s="1" t="n">
        <v>46078</v>
      </c>
      <c r="D169" t="inlineStr">
        <is>
          <t>UPPSALA LÄN</t>
        </is>
      </c>
      <c r="E169" t="inlineStr">
        <is>
          <t>ENKÖPING</t>
        </is>
      </c>
      <c r="G169" t="n">
        <v>10.4</v>
      </c>
      <c r="H169" t="n">
        <v>0</v>
      </c>
      <c r="I169" t="n">
        <v>0</v>
      </c>
      <c r="J169" t="n">
        <v>0</v>
      </c>
      <c r="K169" t="n">
        <v>0</v>
      </c>
      <c r="L169" t="n">
        <v>0</v>
      </c>
      <c r="M169" t="n">
        <v>0</v>
      </c>
      <c r="N169" t="n">
        <v>0</v>
      </c>
      <c r="O169" t="n">
        <v>0</v>
      </c>
      <c r="P169" t="n">
        <v>0</v>
      </c>
      <c r="Q169" t="n">
        <v>0</v>
      </c>
      <c r="R169" s="2" t="inlineStr"/>
    </row>
    <row r="170" ht="15" customHeight="1">
      <c r="A170" t="inlineStr">
        <is>
          <t>A 22725-2025</t>
        </is>
      </c>
      <c r="B170" s="1" t="n">
        <v>45789.57371527778</v>
      </c>
      <c r="C170" s="1" t="n">
        <v>46078</v>
      </c>
      <c r="D170" t="inlineStr">
        <is>
          <t>UPPSALA LÄN</t>
        </is>
      </c>
      <c r="E170" t="inlineStr">
        <is>
          <t>ENKÖPING</t>
        </is>
      </c>
      <c r="G170" t="n">
        <v>4.8</v>
      </c>
      <c r="H170" t="n">
        <v>0</v>
      </c>
      <c r="I170" t="n">
        <v>0</v>
      </c>
      <c r="J170" t="n">
        <v>0</v>
      </c>
      <c r="K170" t="n">
        <v>0</v>
      </c>
      <c r="L170" t="n">
        <v>0</v>
      </c>
      <c r="M170" t="n">
        <v>0</v>
      </c>
      <c r="N170" t="n">
        <v>0</v>
      </c>
      <c r="O170" t="n">
        <v>0</v>
      </c>
      <c r="P170" t="n">
        <v>0</v>
      </c>
      <c r="Q170" t="n">
        <v>0</v>
      </c>
      <c r="R170" s="2" t="inlineStr"/>
    </row>
    <row r="171" ht="15" customHeight="1">
      <c r="A171" t="inlineStr">
        <is>
          <t>A 37115-2024</t>
        </is>
      </c>
      <c r="B171" s="1" t="n">
        <v>45539</v>
      </c>
      <c r="C171" s="1" t="n">
        <v>46078</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49073-2025</t>
        </is>
      </c>
      <c r="B172" s="1" t="n">
        <v>45937.65512731481</v>
      </c>
      <c r="C172" s="1" t="n">
        <v>46078</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45142-2023</t>
        </is>
      </c>
      <c r="B173" s="1" t="n">
        <v>45191.4702662037</v>
      </c>
      <c r="C173" s="1" t="n">
        <v>46078</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11918-2025</t>
        </is>
      </c>
      <c r="B174" s="1" t="n">
        <v>45728.49331018519</v>
      </c>
      <c r="C174" s="1" t="n">
        <v>46078</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31242-2024</t>
        </is>
      </c>
      <c r="B175" s="1" t="n">
        <v>45503</v>
      </c>
      <c r="C175" s="1" t="n">
        <v>46078</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41616-2025</t>
        </is>
      </c>
      <c r="B176" s="1" t="n">
        <v>45901.69684027778</v>
      </c>
      <c r="C176" s="1" t="n">
        <v>46078</v>
      </c>
      <c r="D176" t="inlineStr">
        <is>
          <t>UPPSALA LÄN</t>
        </is>
      </c>
      <c r="E176" t="inlineStr">
        <is>
          <t>ENKÖPING</t>
        </is>
      </c>
      <c r="F176" t="inlineStr">
        <is>
          <t>Allmännings- och besparingsskogar</t>
        </is>
      </c>
      <c r="G176" t="n">
        <v>17.3</v>
      </c>
      <c r="H176" t="n">
        <v>0</v>
      </c>
      <c r="I176" t="n">
        <v>0</v>
      </c>
      <c r="J176" t="n">
        <v>0</v>
      </c>
      <c r="K176" t="n">
        <v>0</v>
      </c>
      <c r="L176" t="n">
        <v>0</v>
      </c>
      <c r="M176" t="n">
        <v>0</v>
      </c>
      <c r="N176" t="n">
        <v>0</v>
      </c>
      <c r="O176" t="n">
        <v>0</v>
      </c>
      <c r="P176" t="n">
        <v>0</v>
      </c>
      <c r="Q176" t="n">
        <v>0</v>
      </c>
      <c r="R176" s="2" t="inlineStr"/>
    </row>
    <row r="177" ht="15" customHeight="1">
      <c r="A177" t="inlineStr">
        <is>
          <t>A 22981-2025</t>
        </is>
      </c>
      <c r="B177" s="1" t="n">
        <v>45790.56964120371</v>
      </c>
      <c r="C177" s="1" t="n">
        <v>46078</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845-2025</t>
        </is>
      </c>
      <c r="B178" s="1" t="n">
        <v>45665</v>
      </c>
      <c r="C178" s="1" t="n">
        <v>46078</v>
      </c>
      <c r="D178" t="inlineStr">
        <is>
          <t>UPPSALA LÄN</t>
        </is>
      </c>
      <c r="E178" t="inlineStr">
        <is>
          <t>ENKÖPING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849-2025</t>
        </is>
      </c>
      <c r="B179" s="1" t="n">
        <v>45665</v>
      </c>
      <c r="C179" s="1" t="n">
        <v>46078</v>
      </c>
      <c r="D179" t="inlineStr">
        <is>
          <t>UPPSALA LÄN</t>
        </is>
      </c>
      <c r="E179" t="inlineStr">
        <is>
          <t>ENKÖPING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41637-2025</t>
        </is>
      </c>
      <c r="B180" s="1" t="n">
        <v>45901</v>
      </c>
      <c r="C180" s="1" t="n">
        <v>46078</v>
      </c>
      <c r="D180" t="inlineStr">
        <is>
          <t>UPPSALA LÄN</t>
        </is>
      </c>
      <c r="E180" t="inlineStr">
        <is>
          <t>ENKÖPING</t>
        </is>
      </c>
      <c r="F180" t="inlineStr">
        <is>
          <t>Allmännings- och besparingsskogar</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41618-2025</t>
        </is>
      </c>
      <c r="B181" s="1" t="n">
        <v>45901.70085648148</v>
      </c>
      <c r="C181" s="1" t="n">
        <v>46078</v>
      </c>
      <c r="D181" t="inlineStr">
        <is>
          <t>UPPSALA LÄN</t>
        </is>
      </c>
      <c r="E181" t="inlineStr">
        <is>
          <t>ENKÖPING</t>
        </is>
      </c>
      <c r="F181" t="inlineStr">
        <is>
          <t>Allmännings- och besparingsskogar</t>
        </is>
      </c>
      <c r="G181" t="n">
        <v>5.3</v>
      </c>
      <c r="H181" t="n">
        <v>0</v>
      </c>
      <c r="I181" t="n">
        <v>0</v>
      </c>
      <c r="J181" t="n">
        <v>0</v>
      </c>
      <c r="K181" t="n">
        <v>0</v>
      </c>
      <c r="L181" t="n">
        <v>0</v>
      </c>
      <c r="M181" t="n">
        <v>0</v>
      </c>
      <c r="N181" t="n">
        <v>0</v>
      </c>
      <c r="O181" t="n">
        <v>0</v>
      </c>
      <c r="P181" t="n">
        <v>0</v>
      </c>
      <c r="Q181" t="n">
        <v>0</v>
      </c>
      <c r="R181" s="2" t="inlineStr"/>
    </row>
    <row r="182" ht="15" customHeight="1">
      <c r="A182" t="inlineStr">
        <is>
          <t>A 45956-2024</t>
        </is>
      </c>
      <c r="B182" s="1" t="n">
        <v>45580</v>
      </c>
      <c r="C182" s="1" t="n">
        <v>46078</v>
      </c>
      <c r="D182" t="inlineStr">
        <is>
          <t>UPPSALA LÄN</t>
        </is>
      </c>
      <c r="E182" t="inlineStr">
        <is>
          <t>ENKÖPING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10831-2024</t>
        </is>
      </c>
      <c r="B183" s="1" t="n">
        <v>45369</v>
      </c>
      <c r="C183" s="1" t="n">
        <v>46078</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8020-2022</t>
        </is>
      </c>
      <c r="B184" s="1" t="n">
        <v>44609</v>
      </c>
      <c r="C184" s="1" t="n">
        <v>46078</v>
      </c>
      <c r="D184" t="inlineStr">
        <is>
          <t>UPPSALA LÄN</t>
        </is>
      </c>
      <c r="E184" t="inlineStr">
        <is>
          <t>ENKÖPING</t>
        </is>
      </c>
      <c r="G184" t="n">
        <v>6</v>
      </c>
      <c r="H184" t="n">
        <v>0</v>
      </c>
      <c r="I184" t="n">
        <v>0</v>
      </c>
      <c r="J184" t="n">
        <v>0</v>
      </c>
      <c r="K184" t="n">
        <v>0</v>
      </c>
      <c r="L184" t="n">
        <v>0</v>
      </c>
      <c r="M184" t="n">
        <v>0</v>
      </c>
      <c r="N184" t="n">
        <v>0</v>
      </c>
      <c r="O184" t="n">
        <v>0</v>
      </c>
      <c r="P184" t="n">
        <v>0</v>
      </c>
      <c r="Q184" t="n">
        <v>0</v>
      </c>
      <c r="R184" s="2" t="inlineStr"/>
    </row>
    <row r="185" ht="15" customHeight="1">
      <c r="A185" t="inlineStr">
        <is>
          <t>A 74090-2021</t>
        </is>
      </c>
      <c r="B185" s="1" t="n">
        <v>44557</v>
      </c>
      <c r="C185" s="1" t="n">
        <v>46078</v>
      </c>
      <c r="D185" t="inlineStr">
        <is>
          <t>UPPSALA LÄN</t>
        </is>
      </c>
      <c r="E185" t="inlineStr">
        <is>
          <t>ENKÖPING</t>
        </is>
      </c>
      <c r="G185" t="n">
        <v>2.1</v>
      </c>
      <c r="H185" t="n">
        <v>0</v>
      </c>
      <c r="I185" t="n">
        <v>0</v>
      </c>
      <c r="J185" t="n">
        <v>0</v>
      </c>
      <c r="K185" t="n">
        <v>0</v>
      </c>
      <c r="L185" t="n">
        <v>0</v>
      </c>
      <c r="M185" t="n">
        <v>0</v>
      </c>
      <c r="N185" t="n">
        <v>0</v>
      </c>
      <c r="O185" t="n">
        <v>0</v>
      </c>
      <c r="P185" t="n">
        <v>0</v>
      </c>
      <c r="Q185" t="n">
        <v>0</v>
      </c>
      <c r="R185" s="2" t="inlineStr"/>
    </row>
    <row r="186" ht="15" customHeight="1">
      <c r="A186" t="inlineStr">
        <is>
          <t>A 34805-2024</t>
        </is>
      </c>
      <c r="B186" s="1" t="n">
        <v>45526</v>
      </c>
      <c r="C186" s="1" t="n">
        <v>46078</v>
      </c>
      <c r="D186" t="inlineStr">
        <is>
          <t>UPPSALA LÄN</t>
        </is>
      </c>
      <c r="E186" t="inlineStr">
        <is>
          <t>ENKÖPING</t>
        </is>
      </c>
      <c r="G186" t="n">
        <v>3.6</v>
      </c>
      <c r="H186" t="n">
        <v>0</v>
      </c>
      <c r="I186" t="n">
        <v>0</v>
      </c>
      <c r="J186" t="n">
        <v>0</v>
      </c>
      <c r="K186" t="n">
        <v>0</v>
      </c>
      <c r="L186" t="n">
        <v>0</v>
      </c>
      <c r="M186" t="n">
        <v>0</v>
      </c>
      <c r="N186" t="n">
        <v>0</v>
      </c>
      <c r="O186" t="n">
        <v>0</v>
      </c>
      <c r="P186" t="n">
        <v>0</v>
      </c>
      <c r="Q186" t="n">
        <v>0</v>
      </c>
      <c r="R186" s="2" t="inlineStr"/>
    </row>
    <row r="187" ht="15" customHeight="1">
      <c r="A187" t="inlineStr">
        <is>
          <t>A 17729-2023</t>
        </is>
      </c>
      <c r="B187" s="1" t="n">
        <v>45037</v>
      </c>
      <c r="C187" s="1" t="n">
        <v>46078</v>
      </c>
      <c r="D187" t="inlineStr">
        <is>
          <t>UPPSALA LÄN</t>
        </is>
      </c>
      <c r="E187" t="inlineStr">
        <is>
          <t>ENKÖPING</t>
        </is>
      </c>
      <c r="G187" t="n">
        <v>10.2</v>
      </c>
      <c r="H187" t="n">
        <v>0</v>
      </c>
      <c r="I187" t="n">
        <v>0</v>
      </c>
      <c r="J187" t="n">
        <v>0</v>
      </c>
      <c r="K187" t="n">
        <v>0</v>
      </c>
      <c r="L187" t="n">
        <v>0</v>
      </c>
      <c r="M187" t="n">
        <v>0</v>
      </c>
      <c r="N187" t="n">
        <v>0</v>
      </c>
      <c r="O187" t="n">
        <v>0</v>
      </c>
      <c r="P187" t="n">
        <v>0</v>
      </c>
      <c r="Q187" t="n">
        <v>0</v>
      </c>
      <c r="R187" s="2" t="inlineStr"/>
    </row>
    <row r="188" ht="15" customHeight="1">
      <c r="A188" t="inlineStr">
        <is>
          <t>A 42029-2025</t>
        </is>
      </c>
      <c r="B188" s="1" t="n">
        <v>45903</v>
      </c>
      <c r="C188" s="1" t="n">
        <v>46078</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41765-2025</t>
        </is>
      </c>
      <c r="B189" s="1" t="n">
        <v>45902</v>
      </c>
      <c r="C189" s="1" t="n">
        <v>46078</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5712-2025</t>
        </is>
      </c>
      <c r="B190" s="1" t="n">
        <v>45694</v>
      </c>
      <c r="C190" s="1" t="n">
        <v>46078</v>
      </c>
      <c r="D190" t="inlineStr">
        <is>
          <t>UPPSALA LÄN</t>
        </is>
      </c>
      <c r="E190" t="inlineStr">
        <is>
          <t>ENKÖPING</t>
        </is>
      </c>
      <c r="G190" t="n">
        <v>5.1</v>
      </c>
      <c r="H190" t="n">
        <v>0</v>
      </c>
      <c r="I190" t="n">
        <v>0</v>
      </c>
      <c r="J190" t="n">
        <v>0</v>
      </c>
      <c r="K190" t="n">
        <v>0</v>
      </c>
      <c r="L190" t="n">
        <v>0</v>
      </c>
      <c r="M190" t="n">
        <v>0</v>
      </c>
      <c r="N190" t="n">
        <v>0</v>
      </c>
      <c r="O190" t="n">
        <v>0</v>
      </c>
      <c r="P190" t="n">
        <v>0</v>
      </c>
      <c r="Q190" t="n">
        <v>0</v>
      </c>
      <c r="R190" s="2" t="inlineStr"/>
    </row>
    <row r="191" ht="15" customHeight="1">
      <c r="A191" t="inlineStr">
        <is>
          <t>A 5749-2025</t>
        </is>
      </c>
      <c r="B191" s="1" t="n">
        <v>45694</v>
      </c>
      <c r="C191" s="1" t="n">
        <v>46078</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47516-2022</t>
        </is>
      </c>
      <c r="B192" s="1" t="n">
        <v>44853.68895833333</v>
      </c>
      <c r="C192" s="1" t="n">
        <v>46078</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62158-2023</t>
        </is>
      </c>
      <c r="B193" s="1" t="n">
        <v>45267</v>
      </c>
      <c r="C193" s="1" t="n">
        <v>46078</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60350-2022</t>
        </is>
      </c>
      <c r="B194" s="1" t="n">
        <v>44910</v>
      </c>
      <c r="C194" s="1" t="n">
        <v>46078</v>
      </c>
      <c r="D194" t="inlineStr">
        <is>
          <t>UPPSALA LÄN</t>
        </is>
      </c>
      <c r="E194" t="inlineStr">
        <is>
          <t>ENKÖPING</t>
        </is>
      </c>
      <c r="F194" t="inlineStr">
        <is>
          <t>Allmännings- och besparingsskogar</t>
        </is>
      </c>
      <c r="G194" t="n">
        <v>3.5</v>
      </c>
      <c r="H194" t="n">
        <v>0</v>
      </c>
      <c r="I194" t="n">
        <v>0</v>
      </c>
      <c r="J194" t="n">
        <v>0</v>
      </c>
      <c r="K194" t="n">
        <v>0</v>
      </c>
      <c r="L194" t="n">
        <v>0</v>
      </c>
      <c r="M194" t="n">
        <v>0</v>
      </c>
      <c r="N194" t="n">
        <v>0</v>
      </c>
      <c r="O194" t="n">
        <v>0</v>
      </c>
      <c r="P194" t="n">
        <v>0</v>
      </c>
      <c r="Q194" t="n">
        <v>0</v>
      </c>
      <c r="R194" s="2" t="inlineStr"/>
    </row>
    <row r="195" ht="15" customHeight="1">
      <c r="A195" t="inlineStr">
        <is>
          <t>A 314-2025</t>
        </is>
      </c>
      <c r="B195" s="1" t="n">
        <v>45656</v>
      </c>
      <c r="C195" s="1" t="n">
        <v>46078</v>
      </c>
      <c r="D195" t="inlineStr">
        <is>
          <t>UPPSALA LÄN</t>
        </is>
      </c>
      <c r="E195" t="inlineStr">
        <is>
          <t>ENKÖPING</t>
        </is>
      </c>
      <c r="G195" t="n">
        <v>9</v>
      </c>
      <c r="H195" t="n">
        <v>0</v>
      </c>
      <c r="I195" t="n">
        <v>0</v>
      </c>
      <c r="J195" t="n">
        <v>0</v>
      </c>
      <c r="K195" t="n">
        <v>0</v>
      </c>
      <c r="L195" t="n">
        <v>0</v>
      </c>
      <c r="M195" t="n">
        <v>0</v>
      </c>
      <c r="N195" t="n">
        <v>0</v>
      </c>
      <c r="O195" t="n">
        <v>0</v>
      </c>
      <c r="P195" t="n">
        <v>0</v>
      </c>
      <c r="Q195" t="n">
        <v>0</v>
      </c>
      <c r="R195" s="2" t="inlineStr"/>
    </row>
    <row r="196" ht="15" customHeight="1">
      <c r="A196" t="inlineStr">
        <is>
          <t>A 11627-2025</t>
        </is>
      </c>
      <c r="B196" s="1" t="n">
        <v>45727</v>
      </c>
      <c r="C196" s="1" t="n">
        <v>46078</v>
      </c>
      <c r="D196" t="inlineStr">
        <is>
          <t>UPPSALA LÄN</t>
        </is>
      </c>
      <c r="E196" t="inlineStr">
        <is>
          <t>ENKÖPING</t>
        </is>
      </c>
      <c r="G196" t="n">
        <v>5.5</v>
      </c>
      <c r="H196" t="n">
        <v>0</v>
      </c>
      <c r="I196" t="n">
        <v>0</v>
      </c>
      <c r="J196" t="n">
        <v>0</v>
      </c>
      <c r="K196" t="n">
        <v>0</v>
      </c>
      <c r="L196" t="n">
        <v>0</v>
      </c>
      <c r="M196" t="n">
        <v>0</v>
      </c>
      <c r="N196" t="n">
        <v>0</v>
      </c>
      <c r="O196" t="n">
        <v>0</v>
      </c>
      <c r="P196" t="n">
        <v>0</v>
      </c>
      <c r="Q196" t="n">
        <v>0</v>
      </c>
      <c r="R196" s="2" t="inlineStr"/>
    </row>
    <row r="197" ht="15" customHeight="1">
      <c r="A197" t="inlineStr">
        <is>
          <t>A 41764-2025</t>
        </is>
      </c>
      <c r="B197" s="1" t="n">
        <v>45902</v>
      </c>
      <c r="C197" s="1" t="n">
        <v>46078</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35647-2021</t>
        </is>
      </c>
      <c r="B198" s="1" t="n">
        <v>44386</v>
      </c>
      <c r="C198" s="1" t="n">
        <v>46078</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24411-2024</t>
        </is>
      </c>
      <c r="B199" s="1" t="n">
        <v>45457</v>
      </c>
      <c r="C199" s="1" t="n">
        <v>46078</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51042-2024</t>
        </is>
      </c>
      <c r="B200" s="1" t="n">
        <v>45603.4342824074</v>
      </c>
      <c r="C200" s="1" t="n">
        <v>46078</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51037-2024</t>
        </is>
      </c>
      <c r="B201" s="1" t="n">
        <v>45603.43005787037</v>
      </c>
      <c r="C201" s="1" t="n">
        <v>46078</v>
      </c>
      <c r="D201" t="inlineStr">
        <is>
          <t>UPPSALA LÄN</t>
        </is>
      </c>
      <c r="E201" t="inlineStr">
        <is>
          <t>ENKÖPING</t>
        </is>
      </c>
      <c r="G201" t="n">
        <v>5.7</v>
      </c>
      <c r="H201" t="n">
        <v>0</v>
      </c>
      <c r="I201" t="n">
        <v>0</v>
      </c>
      <c r="J201" t="n">
        <v>0</v>
      </c>
      <c r="K201" t="n">
        <v>0</v>
      </c>
      <c r="L201" t="n">
        <v>0</v>
      </c>
      <c r="M201" t="n">
        <v>0</v>
      </c>
      <c r="N201" t="n">
        <v>0</v>
      </c>
      <c r="O201" t="n">
        <v>0</v>
      </c>
      <c r="P201" t="n">
        <v>0</v>
      </c>
      <c r="Q201" t="n">
        <v>0</v>
      </c>
      <c r="R201" s="2" t="inlineStr"/>
    </row>
    <row r="202" ht="15" customHeight="1">
      <c r="A202" t="inlineStr">
        <is>
          <t>A 42756-2025</t>
        </is>
      </c>
      <c r="B202" s="1" t="n">
        <v>45908</v>
      </c>
      <c r="C202" s="1" t="n">
        <v>46078</v>
      </c>
      <c r="D202" t="inlineStr">
        <is>
          <t>UPPSALA LÄN</t>
        </is>
      </c>
      <c r="E202" t="inlineStr">
        <is>
          <t>ENKÖPING</t>
        </is>
      </c>
      <c r="G202" t="n">
        <v>1.1</v>
      </c>
      <c r="H202" t="n">
        <v>0</v>
      </c>
      <c r="I202" t="n">
        <v>0</v>
      </c>
      <c r="J202" t="n">
        <v>0</v>
      </c>
      <c r="K202" t="n">
        <v>0</v>
      </c>
      <c r="L202" t="n">
        <v>0</v>
      </c>
      <c r="M202" t="n">
        <v>0</v>
      </c>
      <c r="N202" t="n">
        <v>0</v>
      </c>
      <c r="O202" t="n">
        <v>0</v>
      </c>
      <c r="P202" t="n">
        <v>0</v>
      </c>
      <c r="Q202" t="n">
        <v>0</v>
      </c>
      <c r="R202" s="2" t="inlineStr"/>
    </row>
    <row r="203" ht="15" customHeight="1">
      <c r="A203" t="inlineStr">
        <is>
          <t>A 22632-2025</t>
        </is>
      </c>
      <c r="B203" s="1" t="n">
        <v>45789.44361111111</v>
      </c>
      <c r="C203" s="1" t="n">
        <v>46078</v>
      </c>
      <c r="D203" t="inlineStr">
        <is>
          <t>UPPSALA LÄN</t>
        </is>
      </c>
      <c r="E203" t="inlineStr">
        <is>
          <t>ENKÖPING</t>
        </is>
      </c>
      <c r="G203" t="n">
        <v>2.1</v>
      </c>
      <c r="H203" t="n">
        <v>0</v>
      </c>
      <c r="I203" t="n">
        <v>0</v>
      </c>
      <c r="J203" t="n">
        <v>0</v>
      </c>
      <c r="K203" t="n">
        <v>0</v>
      </c>
      <c r="L203" t="n">
        <v>0</v>
      </c>
      <c r="M203" t="n">
        <v>0</v>
      </c>
      <c r="N203" t="n">
        <v>0</v>
      </c>
      <c r="O203" t="n">
        <v>0</v>
      </c>
      <c r="P203" t="n">
        <v>0</v>
      </c>
      <c r="Q203" t="n">
        <v>0</v>
      </c>
      <c r="R203" s="2" t="inlineStr"/>
    </row>
    <row r="204" ht="15" customHeight="1">
      <c r="A204" t="inlineStr">
        <is>
          <t>A 58092-2024</t>
        </is>
      </c>
      <c r="B204" s="1" t="n">
        <v>45632</v>
      </c>
      <c r="C204" s="1" t="n">
        <v>46078</v>
      </c>
      <c r="D204" t="inlineStr">
        <is>
          <t>UPPSALA LÄN</t>
        </is>
      </c>
      <c r="E204" t="inlineStr">
        <is>
          <t>ENKÖPING</t>
        </is>
      </c>
      <c r="G204" t="n">
        <v>4.8</v>
      </c>
      <c r="H204" t="n">
        <v>0</v>
      </c>
      <c r="I204" t="n">
        <v>0</v>
      </c>
      <c r="J204" t="n">
        <v>0</v>
      </c>
      <c r="K204" t="n">
        <v>0</v>
      </c>
      <c r="L204" t="n">
        <v>0</v>
      </c>
      <c r="M204" t="n">
        <v>0</v>
      </c>
      <c r="N204" t="n">
        <v>0</v>
      </c>
      <c r="O204" t="n">
        <v>0</v>
      </c>
      <c r="P204" t="n">
        <v>0</v>
      </c>
      <c r="Q204" t="n">
        <v>0</v>
      </c>
      <c r="R204" s="2" t="inlineStr"/>
    </row>
    <row r="205" ht="15" customHeight="1">
      <c r="A205" t="inlineStr">
        <is>
          <t>A 51027-2024</t>
        </is>
      </c>
      <c r="B205" s="1" t="n">
        <v>45603</v>
      </c>
      <c r="C205" s="1" t="n">
        <v>46078</v>
      </c>
      <c r="D205" t="inlineStr">
        <is>
          <t>UPPSALA LÄN</t>
        </is>
      </c>
      <c r="E205" t="inlineStr">
        <is>
          <t>ENKÖPING</t>
        </is>
      </c>
      <c r="G205" t="n">
        <v>3.5</v>
      </c>
      <c r="H205" t="n">
        <v>0</v>
      </c>
      <c r="I205" t="n">
        <v>0</v>
      </c>
      <c r="J205" t="n">
        <v>0</v>
      </c>
      <c r="K205" t="n">
        <v>0</v>
      </c>
      <c r="L205" t="n">
        <v>0</v>
      </c>
      <c r="M205" t="n">
        <v>0</v>
      </c>
      <c r="N205" t="n">
        <v>0</v>
      </c>
      <c r="O205" t="n">
        <v>0</v>
      </c>
      <c r="P205" t="n">
        <v>0</v>
      </c>
      <c r="Q205" t="n">
        <v>0</v>
      </c>
      <c r="R205" s="2" t="inlineStr"/>
    </row>
    <row r="206" ht="15" customHeight="1">
      <c r="A206" t="inlineStr">
        <is>
          <t>A 10458-2022</t>
        </is>
      </c>
      <c r="B206" s="1" t="n">
        <v>44623.56711805556</v>
      </c>
      <c r="C206" s="1" t="n">
        <v>46078</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26024-2025</t>
        </is>
      </c>
      <c r="B207" s="1" t="n">
        <v>45804.6831712963</v>
      </c>
      <c r="C207" s="1" t="n">
        <v>46078</v>
      </c>
      <c r="D207" t="inlineStr">
        <is>
          <t>UPPSALA LÄN</t>
        </is>
      </c>
      <c r="E207" t="inlineStr">
        <is>
          <t>ENKÖPING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26042-2025</t>
        </is>
      </c>
      <c r="B208" s="1" t="n">
        <v>45804.70018518518</v>
      </c>
      <c r="C208" s="1" t="n">
        <v>46078</v>
      </c>
      <c r="D208" t="inlineStr">
        <is>
          <t>UPPSALA LÄN</t>
        </is>
      </c>
      <c r="E208" t="inlineStr">
        <is>
          <t>ENKÖPING</t>
        </is>
      </c>
      <c r="G208" t="n">
        <v>1.2</v>
      </c>
      <c r="H208" t="n">
        <v>0</v>
      </c>
      <c r="I208" t="n">
        <v>0</v>
      </c>
      <c r="J208" t="n">
        <v>0</v>
      </c>
      <c r="K208" t="n">
        <v>0</v>
      </c>
      <c r="L208" t="n">
        <v>0</v>
      </c>
      <c r="M208" t="n">
        <v>0</v>
      </c>
      <c r="N208" t="n">
        <v>0</v>
      </c>
      <c r="O208" t="n">
        <v>0</v>
      </c>
      <c r="P208" t="n">
        <v>0</v>
      </c>
      <c r="Q208" t="n">
        <v>0</v>
      </c>
      <c r="R208" s="2" t="inlineStr"/>
    </row>
    <row r="209" ht="15" customHeight="1">
      <c r="A209" t="inlineStr">
        <is>
          <t>A 26005-2025</t>
        </is>
      </c>
      <c r="B209" s="1" t="n">
        <v>45804.67055555555</v>
      </c>
      <c r="C209" s="1" t="n">
        <v>46078</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26026-2025</t>
        </is>
      </c>
      <c r="B210" s="1" t="n">
        <v>45804.68510416667</v>
      </c>
      <c r="C210" s="1" t="n">
        <v>46078</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26030-2025</t>
        </is>
      </c>
      <c r="B211" s="1" t="n">
        <v>45804.68815972222</v>
      </c>
      <c r="C211" s="1" t="n">
        <v>46078</v>
      </c>
      <c r="D211" t="inlineStr">
        <is>
          <t>UPPSALA LÄN</t>
        </is>
      </c>
      <c r="E211" t="inlineStr">
        <is>
          <t>ENKÖPING</t>
        </is>
      </c>
      <c r="G211" t="n">
        <v>0.3</v>
      </c>
      <c r="H211" t="n">
        <v>0</v>
      </c>
      <c r="I211" t="n">
        <v>0</v>
      </c>
      <c r="J211" t="n">
        <v>0</v>
      </c>
      <c r="K211" t="n">
        <v>0</v>
      </c>
      <c r="L211" t="n">
        <v>0</v>
      </c>
      <c r="M211" t="n">
        <v>0</v>
      </c>
      <c r="N211" t="n">
        <v>0</v>
      </c>
      <c r="O211" t="n">
        <v>0</v>
      </c>
      <c r="P211" t="n">
        <v>0</v>
      </c>
      <c r="Q211" t="n">
        <v>0</v>
      </c>
      <c r="R211" s="2" t="inlineStr"/>
    </row>
    <row r="212" ht="15" customHeight="1">
      <c r="A212" t="inlineStr">
        <is>
          <t>A 44115-2024</t>
        </is>
      </c>
      <c r="B212" s="1" t="n">
        <v>45572</v>
      </c>
      <c r="C212" s="1" t="n">
        <v>46078</v>
      </c>
      <c r="D212" t="inlineStr">
        <is>
          <t>UPPSALA LÄN</t>
        </is>
      </c>
      <c r="E212" t="inlineStr">
        <is>
          <t>ENKÖPING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26022-2025</t>
        </is>
      </c>
      <c r="B213" s="1" t="n">
        <v>45804.68006944445</v>
      </c>
      <c r="C213" s="1" t="n">
        <v>46078</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25988-2025</t>
        </is>
      </c>
      <c r="B214" s="1" t="n">
        <v>45804.64814814815</v>
      </c>
      <c r="C214" s="1" t="n">
        <v>46078</v>
      </c>
      <c r="D214" t="inlineStr">
        <is>
          <t>UPPSALA LÄN</t>
        </is>
      </c>
      <c r="E214" t="inlineStr">
        <is>
          <t>ENKÖPING</t>
        </is>
      </c>
      <c r="G214" t="n">
        <v>4.7</v>
      </c>
      <c r="H214" t="n">
        <v>0</v>
      </c>
      <c r="I214" t="n">
        <v>0</v>
      </c>
      <c r="J214" t="n">
        <v>0</v>
      </c>
      <c r="K214" t="n">
        <v>0</v>
      </c>
      <c r="L214" t="n">
        <v>0</v>
      </c>
      <c r="M214" t="n">
        <v>0</v>
      </c>
      <c r="N214" t="n">
        <v>0</v>
      </c>
      <c r="O214" t="n">
        <v>0</v>
      </c>
      <c r="P214" t="n">
        <v>0</v>
      </c>
      <c r="Q214" t="n">
        <v>0</v>
      </c>
      <c r="R214" s="2" t="inlineStr"/>
    </row>
    <row r="215" ht="15" customHeight="1">
      <c r="A215" t="inlineStr">
        <is>
          <t>A 26031-2025</t>
        </is>
      </c>
      <c r="B215" s="1" t="n">
        <v>45804.69050925926</v>
      </c>
      <c r="C215" s="1" t="n">
        <v>46078</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43999-2025</t>
        </is>
      </c>
      <c r="B216" s="1" t="n">
        <v>45915.45158564814</v>
      </c>
      <c r="C216" s="1" t="n">
        <v>46078</v>
      </c>
      <c r="D216" t="inlineStr">
        <is>
          <t>UPPSALA LÄN</t>
        </is>
      </c>
      <c r="E216" t="inlineStr">
        <is>
          <t>ENKÖPING</t>
        </is>
      </c>
      <c r="G216" t="n">
        <v>4.1</v>
      </c>
      <c r="H216" t="n">
        <v>0</v>
      </c>
      <c r="I216" t="n">
        <v>0</v>
      </c>
      <c r="J216" t="n">
        <v>0</v>
      </c>
      <c r="K216" t="n">
        <v>0</v>
      </c>
      <c r="L216" t="n">
        <v>0</v>
      </c>
      <c r="M216" t="n">
        <v>0</v>
      </c>
      <c r="N216" t="n">
        <v>0</v>
      </c>
      <c r="O216" t="n">
        <v>0</v>
      </c>
      <c r="P216" t="n">
        <v>0</v>
      </c>
      <c r="Q216" t="n">
        <v>0</v>
      </c>
      <c r="R216" s="2" t="inlineStr"/>
    </row>
    <row r="217" ht="15" customHeight="1">
      <c r="A217" t="inlineStr">
        <is>
          <t>A 26041-2025</t>
        </is>
      </c>
      <c r="B217" s="1" t="n">
        <v>45804.69883101852</v>
      </c>
      <c r="C217" s="1" t="n">
        <v>46078</v>
      </c>
      <c r="D217" t="inlineStr">
        <is>
          <t>UPPSALA LÄN</t>
        </is>
      </c>
      <c r="E217" t="inlineStr">
        <is>
          <t>ENKÖPING</t>
        </is>
      </c>
      <c r="G217" t="n">
        <v>0.8</v>
      </c>
      <c r="H217" t="n">
        <v>0</v>
      </c>
      <c r="I217" t="n">
        <v>0</v>
      </c>
      <c r="J217" t="n">
        <v>0</v>
      </c>
      <c r="K217" t="n">
        <v>0</v>
      </c>
      <c r="L217" t="n">
        <v>0</v>
      </c>
      <c r="M217" t="n">
        <v>0</v>
      </c>
      <c r="N217" t="n">
        <v>0</v>
      </c>
      <c r="O217" t="n">
        <v>0</v>
      </c>
      <c r="P217" t="n">
        <v>0</v>
      </c>
      <c r="Q217" t="n">
        <v>0</v>
      </c>
      <c r="R217" s="2" t="inlineStr"/>
    </row>
    <row r="218" ht="15" customHeight="1">
      <c r="A218" t="inlineStr">
        <is>
          <t>A 9957-2023</t>
        </is>
      </c>
      <c r="B218" s="1" t="n">
        <v>44978</v>
      </c>
      <c r="C218" s="1" t="n">
        <v>46078</v>
      </c>
      <c r="D218" t="inlineStr">
        <is>
          <t>UPPSALA LÄN</t>
        </is>
      </c>
      <c r="E218" t="inlineStr">
        <is>
          <t>ENKÖPING</t>
        </is>
      </c>
      <c r="G218" t="n">
        <v>5.9</v>
      </c>
      <c r="H218" t="n">
        <v>0</v>
      </c>
      <c r="I218" t="n">
        <v>0</v>
      </c>
      <c r="J218" t="n">
        <v>0</v>
      </c>
      <c r="K218" t="n">
        <v>0</v>
      </c>
      <c r="L218" t="n">
        <v>0</v>
      </c>
      <c r="M218" t="n">
        <v>0</v>
      </c>
      <c r="N218" t="n">
        <v>0</v>
      </c>
      <c r="O218" t="n">
        <v>0</v>
      </c>
      <c r="P218" t="n">
        <v>0</v>
      </c>
      <c r="Q218" t="n">
        <v>0</v>
      </c>
      <c r="R218" s="2" t="inlineStr"/>
    </row>
    <row r="219" ht="15" customHeight="1">
      <c r="A219" t="inlineStr">
        <is>
          <t>A 25847-2025</t>
        </is>
      </c>
      <c r="B219" s="1" t="n">
        <v>45804</v>
      </c>
      <c r="C219" s="1" t="n">
        <v>46078</v>
      </c>
      <c r="D219" t="inlineStr">
        <is>
          <t>UPPSALA LÄN</t>
        </is>
      </c>
      <c r="E219" t="inlineStr">
        <is>
          <t>ENKÖPING</t>
        </is>
      </c>
      <c r="G219" t="n">
        <v>3.6</v>
      </c>
      <c r="H219" t="n">
        <v>0</v>
      </c>
      <c r="I219" t="n">
        <v>0</v>
      </c>
      <c r="J219" t="n">
        <v>0</v>
      </c>
      <c r="K219" t="n">
        <v>0</v>
      </c>
      <c r="L219" t="n">
        <v>0</v>
      </c>
      <c r="M219" t="n">
        <v>0</v>
      </c>
      <c r="N219" t="n">
        <v>0</v>
      </c>
      <c r="O219" t="n">
        <v>0</v>
      </c>
      <c r="P219" t="n">
        <v>0</v>
      </c>
      <c r="Q219" t="n">
        <v>0</v>
      </c>
      <c r="R219" s="2" t="inlineStr"/>
    </row>
    <row r="220" ht="15" customHeight="1">
      <c r="A220" t="inlineStr">
        <is>
          <t>A 26047-2025</t>
        </is>
      </c>
      <c r="B220" s="1" t="n">
        <v>45804.70835648148</v>
      </c>
      <c r="C220" s="1" t="n">
        <v>46078</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63402-2023</t>
        </is>
      </c>
      <c r="B221" s="1" t="n">
        <v>45274.50646990741</v>
      </c>
      <c r="C221" s="1" t="n">
        <v>46078</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44419-2025</t>
        </is>
      </c>
      <c r="B222" s="1" t="n">
        <v>45916.54671296296</v>
      </c>
      <c r="C222" s="1" t="n">
        <v>46078</v>
      </c>
      <c r="D222" t="inlineStr">
        <is>
          <t>UPPSALA LÄN</t>
        </is>
      </c>
      <c r="E222" t="inlineStr">
        <is>
          <t>ENKÖPING</t>
        </is>
      </c>
      <c r="G222" t="n">
        <v>1.6</v>
      </c>
      <c r="H222" t="n">
        <v>0</v>
      </c>
      <c r="I222" t="n">
        <v>0</v>
      </c>
      <c r="J222" t="n">
        <v>0</v>
      </c>
      <c r="K222" t="n">
        <v>0</v>
      </c>
      <c r="L222" t="n">
        <v>0</v>
      </c>
      <c r="M222" t="n">
        <v>0</v>
      </c>
      <c r="N222" t="n">
        <v>0</v>
      </c>
      <c r="O222" t="n">
        <v>0</v>
      </c>
      <c r="P222" t="n">
        <v>0</v>
      </c>
      <c r="Q222" t="n">
        <v>0</v>
      </c>
      <c r="R222" s="2" t="inlineStr"/>
    </row>
    <row r="223" ht="15" customHeight="1">
      <c r="A223" t="inlineStr">
        <is>
          <t>A 32477-2025</t>
        </is>
      </c>
      <c r="B223" s="1" t="n">
        <v>45838.43098379629</v>
      </c>
      <c r="C223" s="1" t="n">
        <v>46078</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35067-2024</t>
        </is>
      </c>
      <c r="B224" s="1" t="n">
        <v>45527.66153935185</v>
      </c>
      <c r="C224" s="1" t="n">
        <v>46078</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43103-2025</t>
        </is>
      </c>
      <c r="B225" s="1" t="n">
        <v>45909</v>
      </c>
      <c r="C225" s="1" t="n">
        <v>46078</v>
      </c>
      <c r="D225" t="inlineStr">
        <is>
          <t>UPPSALA LÄN</t>
        </is>
      </c>
      <c r="E225" t="inlineStr">
        <is>
          <t>ENKÖPING</t>
        </is>
      </c>
      <c r="G225" t="n">
        <v>2.3</v>
      </c>
      <c r="H225" t="n">
        <v>0</v>
      </c>
      <c r="I225" t="n">
        <v>0</v>
      </c>
      <c r="J225" t="n">
        <v>0</v>
      </c>
      <c r="K225" t="n">
        <v>0</v>
      </c>
      <c r="L225" t="n">
        <v>0</v>
      </c>
      <c r="M225" t="n">
        <v>0</v>
      </c>
      <c r="N225" t="n">
        <v>0</v>
      </c>
      <c r="O225" t="n">
        <v>0</v>
      </c>
      <c r="P225" t="n">
        <v>0</v>
      </c>
      <c r="Q225" t="n">
        <v>0</v>
      </c>
      <c r="R225" s="2" t="inlineStr"/>
    </row>
    <row r="226" ht="15" customHeight="1">
      <c r="A226" t="inlineStr">
        <is>
          <t>A 16916-2023</t>
        </is>
      </c>
      <c r="B226" s="1" t="n">
        <v>45033.58347222222</v>
      </c>
      <c r="C226" s="1" t="n">
        <v>46078</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56886-2023</t>
        </is>
      </c>
      <c r="B227" s="1" t="n">
        <v>45239</v>
      </c>
      <c r="C227" s="1" t="n">
        <v>46078</v>
      </c>
      <c r="D227" t="inlineStr">
        <is>
          <t>UPPSALA LÄN</t>
        </is>
      </c>
      <c r="E227" t="inlineStr">
        <is>
          <t>ENKÖPING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45755-2025</t>
        </is>
      </c>
      <c r="B228" s="1" t="n">
        <v>45923.50240740741</v>
      </c>
      <c r="C228" s="1" t="n">
        <v>46078</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34989-2025</t>
        </is>
      </c>
      <c r="B229" s="1" t="n">
        <v>45849</v>
      </c>
      <c r="C229" s="1" t="n">
        <v>46078</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34990-2025</t>
        </is>
      </c>
      <c r="B230" s="1" t="n">
        <v>45849.78916666667</v>
      </c>
      <c r="C230" s="1" t="n">
        <v>46078</v>
      </c>
      <c r="D230" t="inlineStr">
        <is>
          <t>UPPSALA LÄN</t>
        </is>
      </c>
      <c r="E230" t="inlineStr">
        <is>
          <t>ENKÖPING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18592-2021</t>
        </is>
      </c>
      <c r="B231" s="1" t="n">
        <v>44306</v>
      </c>
      <c r="C231" s="1" t="n">
        <v>46078</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27829-2025</t>
        </is>
      </c>
      <c r="B232" s="1" t="n">
        <v>45817</v>
      </c>
      <c r="C232" s="1" t="n">
        <v>46078</v>
      </c>
      <c r="D232" t="inlineStr">
        <is>
          <t>UPPSALA LÄN</t>
        </is>
      </c>
      <c r="E232" t="inlineStr">
        <is>
          <t>ENKÖPING</t>
        </is>
      </c>
      <c r="G232" t="n">
        <v>2.1</v>
      </c>
      <c r="H232" t="n">
        <v>0</v>
      </c>
      <c r="I232" t="n">
        <v>0</v>
      </c>
      <c r="J232" t="n">
        <v>0</v>
      </c>
      <c r="K232" t="n">
        <v>0</v>
      </c>
      <c r="L232" t="n">
        <v>0</v>
      </c>
      <c r="M232" t="n">
        <v>0</v>
      </c>
      <c r="N232" t="n">
        <v>0</v>
      </c>
      <c r="O232" t="n">
        <v>0</v>
      </c>
      <c r="P232" t="n">
        <v>0</v>
      </c>
      <c r="Q232" t="n">
        <v>0</v>
      </c>
      <c r="R232" s="2" t="inlineStr"/>
    </row>
    <row r="233" ht="15" customHeight="1">
      <c r="A233" t="inlineStr">
        <is>
          <t>A 6356-2022</t>
        </is>
      </c>
      <c r="B233" s="1" t="n">
        <v>44600</v>
      </c>
      <c r="C233" s="1" t="n">
        <v>46078</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39009-2024</t>
        </is>
      </c>
      <c r="B234" s="1" t="n">
        <v>45548</v>
      </c>
      <c r="C234" s="1" t="n">
        <v>46078</v>
      </c>
      <c r="D234" t="inlineStr">
        <is>
          <t>UPPSALA LÄN</t>
        </is>
      </c>
      <c r="E234" t="inlineStr">
        <is>
          <t>ENKÖPING</t>
        </is>
      </c>
      <c r="G234" t="n">
        <v>0.7</v>
      </c>
      <c r="H234" t="n">
        <v>0</v>
      </c>
      <c r="I234" t="n">
        <v>0</v>
      </c>
      <c r="J234" t="n">
        <v>0</v>
      </c>
      <c r="K234" t="n">
        <v>0</v>
      </c>
      <c r="L234" t="n">
        <v>0</v>
      </c>
      <c r="M234" t="n">
        <v>0</v>
      </c>
      <c r="N234" t="n">
        <v>0</v>
      </c>
      <c r="O234" t="n">
        <v>0</v>
      </c>
      <c r="P234" t="n">
        <v>0</v>
      </c>
      <c r="Q234" t="n">
        <v>0</v>
      </c>
      <c r="R234" s="2" t="inlineStr"/>
    </row>
    <row r="235" ht="15" customHeight="1">
      <c r="A235" t="inlineStr">
        <is>
          <t>A 8537-2025</t>
        </is>
      </c>
      <c r="B235" s="1" t="n">
        <v>45709</v>
      </c>
      <c r="C235" s="1" t="n">
        <v>46078</v>
      </c>
      <c r="D235" t="inlineStr">
        <is>
          <t>UPPSALA LÄN</t>
        </is>
      </c>
      <c r="E235" t="inlineStr">
        <is>
          <t>ENKÖPING</t>
        </is>
      </c>
      <c r="G235" t="n">
        <v>0.8</v>
      </c>
      <c r="H235" t="n">
        <v>0</v>
      </c>
      <c r="I235" t="n">
        <v>0</v>
      </c>
      <c r="J235" t="n">
        <v>0</v>
      </c>
      <c r="K235" t="n">
        <v>0</v>
      </c>
      <c r="L235" t="n">
        <v>0</v>
      </c>
      <c r="M235" t="n">
        <v>0</v>
      </c>
      <c r="N235" t="n">
        <v>0</v>
      </c>
      <c r="O235" t="n">
        <v>0</v>
      </c>
      <c r="P235" t="n">
        <v>0</v>
      </c>
      <c r="Q235" t="n">
        <v>0</v>
      </c>
      <c r="R235" s="2" t="inlineStr"/>
    </row>
    <row r="236" ht="15" customHeight="1">
      <c r="A236" t="inlineStr">
        <is>
          <t>A 13816-2021</t>
        </is>
      </c>
      <c r="B236" s="1" t="n">
        <v>44276</v>
      </c>
      <c r="C236" s="1" t="n">
        <v>46078</v>
      </c>
      <c r="D236" t="inlineStr">
        <is>
          <t>UPPSALA LÄN</t>
        </is>
      </c>
      <c r="E236" t="inlineStr">
        <is>
          <t>ENKÖPING</t>
        </is>
      </c>
      <c r="G236" t="n">
        <v>0.4</v>
      </c>
      <c r="H236" t="n">
        <v>0</v>
      </c>
      <c r="I236" t="n">
        <v>0</v>
      </c>
      <c r="J236" t="n">
        <v>0</v>
      </c>
      <c r="K236" t="n">
        <v>0</v>
      </c>
      <c r="L236" t="n">
        <v>0</v>
      </c>
      <c r="M236" t="n">
        <v>0</v>
      </c>
      <c r="N236" t="n">
        <v>0</v>
      </c>
      <c r="O236" t="n">
        <v>0</v>
      </c>
      <c r="P236" t="n">
        <v>0</v>
      </c>
      <c r="Q236" t="n">
        <v>0</v>
      </c>
      <c r="R236" s="2" t="inlineStr"/>
    </row>
    <row r="237" ht="15" customHeight="1">
      <c r="A237" t="inlineStr">
        <is>
          <t>A 46940-2025</t>
        </is>
      </c>
      <c r="B237" s="1" t="n">
        <v>45929.45483796296</v>
      </c>
      <c r="C237" s="1" t="n">
        <v>46078</v>
      </c>
      <c r="D237" t="inlineStr">
        <is>
          <t>UPPSALA LÄN</t>
        </is>
      </c>
      <c r="E237" t="inlineStr">
        <is>
          <t>ENKÖPING</t>
        </is>
      </c>
      <c r="G237" t="n">
        <v>5.3</v>
      </c>
      <c r="H237" t="n">
        <v>0</v>
      </c>
      <c r="I237" t="n">
        <v>0</v>
      </c>
      <c r="J237" t="n">
        <v>0</v>
      </c>
      <c r="K237" t="n">
        <v>0</v>
      </c>
      <c r="L237" t="n">
        <v>0</v>
      </c>
      <c r="M237" t="n">
        <v>0</v>
      </c>
      <c r="N237" t="n">
        <v>0</v>
      </c>
      <c r="O237" t="n">
        <v>0</v>
      </c>
      <c r="P237" t="n">
        <v>0</v>
      </c>
      <c r="Q237" t="n">
        <v>0</v>
      </c>
      <c r="R237" s="2" t="inlineStr"/>
    </row>
    <row r="238" ht="15" customHeight="1">
      <c r="A238" t="inlineStr">
        <is>
          <t>A 46590-2025</t>
        </is>
      </c>
      <c r="B238" s="1" t="n">
        <v>45926.39542824074</v>
      </c>
      <c r="C238" s="1" t="n">
        <v>46078</v>
      </c>
      <c r="D238" t="inlineStr">
        <is>
          <t>UPPSALA LÄN</t>
        </is>
      </c>
      <c r="E238" t="inlineStr">
        <is>
          <t>ENKÖPING</t>
        </is>
      </c>
      <c r="G238" t="n">
        <v>2.7</v>
      </c>
      <c r="H238" t="n">
        <v>0</v>
      </c>
      <c r="I238" t="n">
        <v>0</v>
      </c>
      <c r="J238" t="n">
        <v>0</v>
      </c>
      <c r="K238" t="n">
        <v>0</v>
      </c>
      <c r="L238" t="n">
        <v>0</v>
      </c>
      <c r="M238" t="n">
        <v>0</v>
      </c>
      <c r="N238" t="n">
        <v>0</v>
      </c>
      <c r="O238" t="n">
        <v>0</v>
      </c>
      <c r="P238" t="n">
        <v>0</v>
      </c>
      <c r="Q238" t="n">
        <v>0</v>
      </c>
      <c r="R238" s="2" t="inlineStr"/>
    </row>
    <row r="239" ht="15" customHeight="1">
      <c r="A239" t="inlineStr">
        <is>
          <t>A 28758-2025</t>
        </is>
      </c>
      <c r="B239" s="1" t="n">
        <v>45820.41212962963</v>
      </c>
      <c r="C239" s="1" t="n">
        <v>46078</v>
      </c>
      <c r="D239" t="inlineStr">
        <is>
          <t>UPPSALA LÄN</t>
        </is>
      </c>
      <c r="E239" t="inlineStr">
        <is>
          <t>ENKÖPING</t>
        </is>
      </c>
      <c r="G239" t="n">
        <v>2.4</v>
      </c>
      <c r="H239" t="n">
        <v>0</v>
      </c>
      <c r="I239" t="n">
        <v>0</v>
      </c>
      <c r="J239" t="n">
        <v>0</v>
      </c>
      <c r="K239" t="n">
        <v>0</v>
      </c>
      <c r="L239" t="n">
        <v>0</v>
      </c>
      <c r="M239" t="n">
        <v>0</v>
      </c>
      <c r="N239" t="n">
        <v>0</v>
      </c>
      <c r="O239" t="n">
        <v>0</v>
      </c>
      <c r="P239" t="n">
        <v>0</v>
      </c>
      <c r="Q239" t="n">
        <v>0</v>
      </c>
      <c r="R239" s="2" t="inlineStr"/>
    </row>
    <row r="240" ht="15" customHeight="1">
      <c r="A240" t="inlineStr">
        <is>
          <t>A 28862-2025</t>
        </is>
      </c>
      <c r="B240" s="1" t="n">
        <v>45820.59189814814</v>
      </c>
      <c r="C240" s="1" t="n">
        <v>46078</v>
      </c>
      <c r="D240" t="inlineStr">
        <is>
          <t>UPPSALA LÄN</t>
        </is>
      </c>
      <c r="E240" t="inlineStr">
        <is>
          <t>ENKÖPING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28855-2025</t>
        </is>
      </c>
      <c r="B241" s="1" t="n">
        <v>45820.58274305556</v>
      </c>
      <c r="C241" s="1" t="n">
        <v>46078</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29093-2025</t>
        </is>
      </c>
      <c r="B242" s="1" t="n">
        <v>45821.55743055556</v>
      </c>
      <c r="C242" s="1" t="n">
        <v>46078</v>
      </c>
      <c r="D242" t="inlineStr">
        <is>
          <t>UPPSALA LÄN</t>
        </is>
      </c>
      <c r="E242" t="inlineStr">
        <is>
          <t>ENKÖPING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47441-2025</t>
        </is>
      </c>
      <c r="B243" s="1" t="n">
        <v>45930.63986111111</v>
      </c>
      <c r="C243" s="1" t="n">
        <v>46078</v>
      </c>
      <c r="D243" t="inlineStr">
        <is>
          <t>UPPSALA LÄN</t>
        </is>
      </c>
      <c r="E243" t="inlineStr">
        <is>
          <t>ENKÖPING</t>
        </is>
      </c>
      <c r="F243" t="inlineStr">
        <is>
          <t>Allmännings- och besparingsskogar</t>
        </is>
      </c>
      <c r="G243" t="n">
        <v>11.5</v>
      </c>
      <c r="H243" t="n">
        <v>0</v>
      </c>
      <c r="I243" t="n">
        <v>0</v>
      </c>
      <c r="J243" t="n">
        <v>0</v>
      </c>
      <c r="K243" t="n">
        <v>0</v>
      </c>
      <c r="L243" t="n">
        <v>0</v>
      </c>
      <c r="M243" t="n">
        <v>0</v>
      </c>
      <c r="N243" t="n">
        <v>0</v>
      </c>
      <c r="O243" t="n">
        <v>0</v>
      </c>
      <c r="P243" t="n">
        <v>0</v>
      </c>
      <c r="Q243" t="n">
        <v>0</v>
      </c>
      <c r="R243" s="2" t="inlineStr"/>
    </row>
    <row r="244" ht="15" customHeight="1">
      <c r="A244" t="inlineStr">
        <is>
          <t>A 49068-2025</t>
        </is>
      </c>
      <c r="B244" s="1" t="n">
        <v>45937.64766203704</v>
      </c>
      <c r="C244" s="1" t="n">
        <v>46078</v>
      </c>
      <c r="D244" t="inlineStr">
        <is>
          <t>UPPSALA LÄN</t>
        </is>
      </c>
      <c r="E244" t="inlineStr">
        <is>
          <t>ENKÖPING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12434-2021</t>
        </is>
      </c>
      <c r="B245" s="1" t="n">
        <v>44267</v>
      </c>
      <c r="C245" s="1" t="n">
        <v>46078</v>
      </c>
      <c r="D245" t="inlineStr">
        <is>
          <t>UPPSALA LÄN</t>
        </is>
      </c>
      <c r="E245" t="inlineStr">
        <is>
          <t>ENKÖPING</t>
        </is>
      </c>
      <c r="G245" t="n">
        <v>5.3</v>
      </c>
      <c r="H245" t="n">
        <v>0</v>
      </c>
      <c r="I245" t="n">
        <v>0</v>
      </c>
      <c r="J245" t="n">
        <v>0</v>
      </c>
      <c r="K245" t="n">
        <v>0</v>
      </c>
      <c r="L245" t="n">
        <v>0</v>
      </c>
      <c r="M245" t="n">
        <v>0</v>
      </c>
      <c r="N245" t="n">
        <v>0</v>
      </c>
      <c r="O245" t="n">
        <v>0</v>
      </c>
      <c r="P245" t="n">
        <v>0</v>
      </c>
      <c r="Q245" t="n">
        <v>0</v>
      </c>
      <c r="R245" s="2" t="inlineStr"/>
    </row>
    <row r="246" ht="15" customHeight="1">
      <c r="A246" t="inlineStr">
        <is>
          <t>A 49614-2024</t>
        </is>
      </c>
      <c r="B246" s="1" t="n">
        <v>45596.57716435185</v>
      </c>
      <c r="C246" s="1" t="n">
        <v>46078</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49632-2024</t>
        </is>
      </c>
      <c r="B247" s="1" t="n">
        <v>45596</v>
      </c>
      <c r="C247" s="1" t="n">
        <v>46078</v>
      </c>
      <c r="D247" t="inlineStr">
        <is>
          <t>UPPSALA LÄN</t>
        </is>
      </c>
      <c r="E247" t="inlineStr">
        <is>
          <t>ENKÖPING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29479-2022</t>
        </is>
      </c>
      <c r="B248" s="1" t="n">
        <v>44753.57265046296</v>
      </c>
      <c r="C248" s="1" t="n">
        <v>46078</v>
      </c>
      <c r="D248" t="inlineStr">
        <is>
          <t>UPPSALA LÄN</t>
        </is>
      </c>
      <c r="E248" t="inlineStr">
        <is>
          <t>ENKÖPING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27538-2023</t>
        </is>
      </c>
      <c r="B249" s="1" t="n">
        <v>45097</v>
      </c>
      <c r="C249" s="1" t="n">
        <v>46078</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15409-2025</t>
        </is>
      </c>
      <c r="B250" s="1" t="n">
        <v>45747</v>
      </c>
      <c r="C250" s="1" t="n">
        <v>46078</v>
      </c>
      <c r="D250" t="inlineStr">
        <is>
          <t>UPPSALA LÄN</t>
        </is>
      </c>
      <c r="E250" t="inlineStr">
        <is>
          <t>ENKÖPING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30837-2025</t>
        </is>
      </c>
      <c r="B251" s="1" t="n">
        <v>45831.7063425926</v>
      </c>
      <c r="C251" s="1" t="n">
        <v>46078</v>
      </c>
      <c r="D251" t="inlineStr">
        <is>
          <t>UPPSALA LÄN</t>
        </is>
      </c>
      <c r="E251" t="inlineStr">
        <is>
          <t>ENKÖPING</t>
        </is>
      </c>
      <c r="G251" t="n">
        <v>3.8</v>
      </c>
      <c r="H251" t="n">
        <v>0</v>
      </c>
      <c r="I251" t="n">
        <v>0</v>
      </c>
      <c r="J251" t="n">
        <v>0</v>
      </c>
      <c r="K251" t="n">
        <v>0</v>
      </c>
      <c r="L251" t="n">
        <v>0</v>
      </c>
      <c r="M251" t="n">
        <v>0</v>
      </c>
      <c r="N251" t="n">
        <v>0</v>
      </c>
      <c r="O251" t="n">
        <v>0</v>
      </c>
      <c r="P251" t="n">
        <v>0</v>
      </c>
      <c r="Q251" t="n">
        <v>0</v>
      </c>
      <c r="R251" s="2" t="inlineStr"/>
    </row>
    <row r="252" ht="15" customHeight="1">
      <c r="A252" t="inlineStr">
        <is>
          <t>A 60874-2023</t>
        </is>
      </c>
      <c r="B252" s="1" t="n">
        <v>45261.06280092592</v>
      </c>
      <c r="C252" s="1" t="n">
        <v>46078</v>
      </c>
      <c r="D252" t="inlineStr">
        <is>
          <t>UPPSALA LÄN</t>
        </is>
      </c>
      <c r="E252" t="inlineStr">
        <is>
          <t>ENKÖPING</t>
        </is>
      </c>
      <c r="G252" t="n">
        <v>1.5</v>
      </c>
      <c r="H252" t="n">
        <v>0</v>
      </c>
      <c r="I252" t="n">
        <v>0</v>
      </c>
      <c r="J252" t="n">
        <v>0</v>
      </c>
      <c r="K252" t="n">
        <v>0</v>
      </c>
      <c r="L252" t="n">
        <v>0</v>
      </c>
      <c r="M252" t="n">
        <v>0</v>
      </c>
      <c r="N252" t="n">
        <v>0</v>
      </c>
      <c r="O252" t="n">
        <v>0</v>
      </c>
      <c r="P252" t="n">
        <v>0</v>
      </c>
      <c r="Q252" t="n">
        <v>0</v>
      </c>
      <c r="R252" s="2" t="inlineStr"/>
    </row>
    <row r="253" ht="15" customHeight="1">
      <c r="A253" t="inlineStr">
        <is>
          <t>A 50394-2024</t>
        </is>
      </c>
      <c r="B253" s="1" t="n">
        <v>45600</v>
      </c>
      <c r="C253" s="1" t="n">
        <v>46078</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51010-2024</t>
        </is>
      </c>
      <c r="B254" s="1" t="n">
        <v>45603.39285879629</v>
      </c>
      <c r="C254" s="1" t="n">
        <v>46078</v>
      </c>
      <c r="D254" t="inlineStr">
        <is>
          <t>UPPSALA LÄN</t>
        </is>
      </c>
      <c r="E254" t="inlineStr">
        <is>
          <t>ENKÖPING</t>
        </is>
      </c>
      <c r="G254" t="n">
        <v>1.7</v>
      </c>
      <c r="H254" t="n">
        <v>0</v>
      </c>
      <c r="I254" t="n">
        <v>0</v>
      </c>
      <c r="J254" t="n">
        <v>0</v>
      </c>
      <c r="K254" t="n">
        <v>0</v>
      </c>
      <c r="L254" t="n">
        <v>0</v>
      </c>
      <c r="M254" t="n">
        <v>0</v>
      </c>
      <c r="N254" t="n">
        <v>0</v>
      </c>
      <c r="O254" t="n">
        <v>0</v>
      </c>
      <c r="P254" t="n">
        <v>0</v>
      </c>
      <c r="Q254" t="n">
        <v>0</v>
      </c>
      <c r="R254" s="2" t="inlineStr"/>
    </row>
    <row r="255" ht="15" customHeight="1">
      <c r="A255" t="inlineStr">
        <is>
          <t>A 43016-2021</t>
        </is>
      </c>
      <c r="B255" s="1" t="n">
        <v>44431</v>
      </c>
      <c r="C255" s="1" t="n">
        <v>46078</v>
      </c>
      <c r="D255" t="inlineStr">
        <is>
          <t>UPPSALA LÄN</t>
        </is>
      </c>
      <c r="E255" t="inlineStr">
        <is>
          <t>ENKÖPING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19147-2024</t>
        </is>
      </c>
      <c r="B256" s="1" t="n">
        <v>45428</v>
      </c>
      <c r="C256" s="1" t="n">
        <v>46078</v>
      </c>
      <c r="D256" t="inlineStr">
        <is>
          <t>UPPSALA LÄN</t>
        </is>
      </c>
      <c r="E256" t="inlineStr">
        <is>
          <t>ENKÖPING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32111-2025</t>
        </is>
      </c>
      <c r="B257" s="1" t="n">
        <v>45835</v>
      </c>
      <c r="C257" s="1" t="n">
        <v>46078</v>
      </c>
      <c r="D257" t="inlineStr">
        <is>
          <t>UPPSALA LÄN</t>
        </is>
      </c>
      <c r="E257" t="inlineStr">
        <is>
          <t>ENKÖPING</t>
        </is>
      </c>
      <c r="G257" t="n">
        <v>1.7</v>
      </c>
      <c r="H257" t="n">
        <v>0</v>
      </c>
      <c r="I257" t="n">
        <v>0</v>
      </c>
      <c r="J257" t="n">
        <v>0</v>
      </c>
      <c r="K257" t="n">
        <v>0</v>
      </c>
      <c r="L257" t="n">
        <v>0</v>
      </c>
      <c r="M257" t="n">
        <v>0</v>
      </c>
      <c r="N257" t="n">
        <v>0</v>
      </c>
      <c r="O257" t="n">
        <v>0</v>
      </c>
      <c r="P257" t="n">
        <v>0</v>
      </c>
      <c r="Q257" t="n">
        <v>0</v>
      </c>
      <c r="R257" s="2" t="inlineStr"/>
    </row>
    <row r="258" ht="15" customHeight="1">
      <c r="A258" t="inlineStr">
        <is>
          <t>A 32031-2025</t>
        </is>
      </c>
      <c r="B258" s="1" t="n">
        <v>45835.41712962963</v>
      </c>
      <c r="C258" s="1" t="n">
        <v>46078</v>
      </c>
      <c r="D258" t="inlineStr">
        <is>
          <t>UPPSALA LÄN</t>
        </is>
      </c>
      <c r="E258" t="inlineStr">
        <is>
          <t>ENKÖPING</t>
        </is>
      </c>
      <c r="G258" t="n">
        <v>2.7</v>
      </c>
      <c r="H258" t="n">
        <v>0</v>
      </c>
      <c r="I258" t="n">
        <v>0</v>
      </c>
      <c r="J258" t="n">
        <v>0</v>
      </c>
      <c r="K258" t="n">
        <v>0</v>
      </c>
      <c r="L258" t="n">
        <v>0</v>
      </c>
      <c r="M258" t="n">
        <v>0</v>
      </c>
      <c r="N258" t="n">
        <v>0</v>
      </c>
      <c r="O258" t="n">
        <v>0</v>
      </c>
      <c r="P258" t="n">
        <v>0</v>
      </c>
      <c r="Q258" t="n">
        <v>0</v>
      </c>
      <c r="R258" s="2" t="inlineStr"/>
    </row>
    <row r="259" ht="15" customHeight="1">
      <c r="A259" t="inlineStr">
        <is>
          <t>A 57209-2024</t>
        </is>
      </c>
      <c r="B259" s="1" t="n">
        <v>45629.49311342592</v>
      </c>
      <c r="C259" s="1" t="n">
        <v>46078</v>
      </c>
      <c r="D259" t="inlineStr">
        <is>
          <t>UPPSALA LÄN</t>
        </is>
      </c>
      <c r="E259" t="inlineStr">
        <is>
          <t>ENKÖPING</t>
        </is>
      </c>
      <c r="G259" t="n">
        <v>3.2</v>
      </c>
      <c r="H259" t="n">
        <v>0</v>
      </c>
      <c r="I259" t="n">
        <v>0</v>
      </c>
      <c r="J259" t="n">
        <v>0</v>
      </c>
      <c r="K259" t="n">
        <v>0</v>
      </c>
      <c r="L259" t="n">
        <v>0</v>
      </c>
      <c r="M259" t="n">
        <v>0</v>
      </c>
      <c r="N259" t="n">
        <v>0</v>
      </c>
      <c r="O259" t="n">
        <v>0</v>
      </c>
      <c r="P259" t="n">
        <v>0</v>
      </c>
      <c r="Q259" t="n">
        <v>0</v>
      </c>
      <c r="R259" s="2" t="inlineStr"/>
    </row>
    <row r="260" ht="15" customHeight="1">
      <c r="A260" t="inlineStr">
        <is>
          <t>A 51120-2023</t>
        </is>
      </c>
      <c r="B260" s="1" t="n">
        <v>45219.3088425926</v>
      </c>
      <c r="C260" s="1" t="n">
        <v>46078</v>
      </c>
      <c r="D260" t="inlineStr">
        <is>
          <t>UPPSALA LÄN</t>
        </is>
      </c>
      <c r="E260" t="inlineStr">
        <is>
          <t>ENKÖPING</t>
        </is>
      </c>
      <c r="G260" t="n">
        <v>1.4</v>
      </c>
      <c r="H260" t="n">
        <v>0</v>
      </c>
      <c r="I260" t="n">
        <v>0</v>
      </c>
      <c r="J260" t="n">
        <v>0</v>
      </c>
      <c r="K260" t="n">
        <v>0</v>
      </c>
      <c r="L260" t="n">
        <v>0</v>
      </c>
      <c r="M260" t="n">
        <v>0</v>
      </c>
      <c r="N260" t="n">
        <v>0</v>
      </c>
      <c r="O260" t="n">
        <v>0</v>
      </c>
      <c r="P260" t="n">
        <v>0</v>
      </c>
      <c r="Q260" t="n">
        <v>0</v>
      </c>
      <c r="R260" s="2" t="inlineStr"/>
    </row>
    <row r="261" ht="15" customHeight="1">
      <c r="A261" t="inlineStr">
        <is>
          <t>A 12878-2025</t>
        </is>
      </c>
      <c r="B261" s="1" t="n">
        <v>45733.68571759259</v>
      </c>
      <c r="C261" s="1" t="n">
        <v>46078</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43896-2022</t>
        </is>
      </c>
      <c r="B262" s="1" t="n">
        <v>44838</v>
      </c>
      <c r="C262" s="1" t="n">
        <v>46078</v>
      </c>
      <c r="D262" t="inlineStr">
        <is>
          <t>UPPSALA LÄN</t>
        </is>
      </c>
      <c r="E262" t="inlineStr">
        <is>
          <t>ENKÖPING</t>
        </is>
      </c>
      <c r="G262" t="n">
        <v>5.3</v>
      </c>
      <c r="H262" t="n">
        <v>0</v>
      </c>
      <c r="I262" t="n">
        <v>0</v>
      </c>
      <c r="J262" t="n">
        <v>0</v>
      </c>
      <c r="K262" t="n">
        <v>0</v>
      </c>
      <c r="L262" t="n">
        <v>0</v>
      </c>
      <c r="M262" t="n">
        <v>0</v>
      </c>
      <c r="N262" t="n">
        <v>0</v>
      </c>
      <c r="O262" t="n">
        <v>0</v>
      </c>
      <c r="P262" t="n">
        <v>0</v>
      </c>
      <c r="Q262" t="n">
        <v>0</v>
      </c>
      <c r="R262" s="2" t="inlineStr"/>
    </row>
    <row r="263" ht="15" customHeight="1">
      <c r="A263" t="inlineStr">
        <is>
          <t>A 51162-2025</t>
        </is>
      </c>
      <c r="B263" s="1" t="n">
        <v>45947.58820601852</v>
      </c>
      <c r="C263" s="1" t="n">
        <v>46078</v>
      </c>
      <c r="D263" t="inlineStr">
        <is>
          <t>UPPSALA LÄN</t>
        </is>
      </c>
      <c r="E263" t="inlineStr">
        <is>
          <t>ENKÖPING</t>
        </is>
      </c>
      <c r="G263" t="n">
        <v>3.4</v>
      </c>
      <c r="H263" t="n">
        <v>0</v>
      </c>
      <c r="I263" t="n">
        <v>0</v>
      </c>
      <c r="J263" t="n">
        <v>0</v>
      </c>
      <c r="K263" t="n">
        <v>0</v>
      </c>
      <c r="L263" t="n">
        <v>0</v>
      </c>
      <c r="M263" t="n">
        <v>0</v>
      </c>
      <c r="N263" t="n">
        <v>0</v>
      </c>
      <c r="O263" t="n">
        <v>0</v>
      </c>
      <c r="P263" t="n">
        <v>0</v>
      </c>
      <c r="Q263" t="n">
        <v>0</v>
      </c>
      <c r="R263" s="2" t="inlineStr"/>
    </row>
    <row r="264" ht="15" customHeight="1">
      <c r="A264" t="inlineStr">
        <is>
          <t>A 15740-2025</t>
        </is>
      </c>
      <c r="B264" s="1" t="n">
        <v>45748</v>
      </c>
      <c r="C264" s="1" t="n">
        <v>46078</v>
      </c>
      <c r="D264" t="inlineStr">
        <is>
          <t>UPPSALA LÄN</t>
        </is>
      </c>
      <c r="E264" t="inlineStr">
        <is>
          <t>ENKÖPING</t>
        </is>
      </c>
      <c r="G264" t="n">
        <v>0.9</v>
      </c>
      <c r="H264" t="n">
        <v>0</v>
      </c>
      <c r="I264" t="n">
        <v>0</v>
      </c>
      <c r="J264" t="n">
        <v>0</v>
      </c>
      <c r="K264" t="n">
        <v>0</v>
      </c>
      <c r="L264" t="n">
        <v>0</v>
      </c>
      <c r="M264" t="n">
        <v>0</v>
      </c>
      <c r="N264" t="n">
        <v>0</v>
      </c>
      <c r="O264" t="n">
        <v>0</v>
      </c>
      <c r="P264" t="n">
        <v>0</v>
      </c>
      <c r="Q264" t="n">
        <v>0</v>
      </c>
      <c r="R264" s="2" t="inlineStr"/>
    </row>
    <row r="265" ht="15" customHeight="1">
      <c r="A265" t="inlineStr">
        <is>
          <t>A 51133-2025</t>
        </is>
      </c>
      <c r="B265" s="1" t="n">
        <v>45947.55598379629</v>
      </c>
      <c r="C265" s="1" t="n">
        <v>46078</v>
      </c>
      <c r="D265" t="inlineStr">
        <is>
          <t>UPPSALA LÄN</t>
        </is>
      </c>
      <c r="E265" t="inlineStr">
        <is>
          <t>ENKÖPING</t>
        </is>
      </c>
      <c r="G265" t="n">
        <v>2.4</v>
      </c>
      <c r="H265" t="n">
        <v>0</v>
      </c>
      <c r="I265" t="n">
        <v>0</v>
      </c>
      <c r="J265" t="n">
        <v>0</v>
      </c>
      <c r="K265" t="n">
        <v>0</v>
      </c>
      <c r="L265" t="n">
        <v>0</v>
      </c>
      <c r="M265" t="n">
        <v>0</v>
      </c>
      <c r="N265" t="n">
        <v>0</v>
      </c>
      <c r="O265" t="n">
        <v>0</v>
      </c>
      <c r="P265" t="n">
        <v>0</v>
      </c>
      <c r="Q265" t="n">
        <v>0</v>
      </c>
      <c r="R265" s="2" t="inlineStr"/>
    </row>
    <row r="266" ht="15" customHeight="1">
      <c r="A266" t="inlineStr">
        <is>
          <t>A 7090-2022</t>
        </is>
      </c>
      <c r="B266" s="1" t="n">
        <v>44603.59520833333</v>
      </c>
      <c r="C266" s="1" t="n">
        <v>46078</v>
      </c>
      <c r="D266" t="inlineStr">
        <is>
          <t>UPPSALA LÄN</t>
        </is>
      </c>
      <c r="E266" t="inlineStr">
        <is>
          <t>ENKÖPING</t>
        </is>
      </c>
      <c r="G266" t="n">
        <v>2.8</v>
      </c>
      <c r="H266" t="n">
        <v>0</v>
      </c>
      <c r="I266" t="n">
        <v>0</v>
      </c>
      <c r="J266" t="n">
        <v>0</v>
      </c>
      <c r="K266" t="n">
        <v>0</v>
      </c>
      <c r="L266" t="n">
        <v>0</v>
      </c>
      <c r="M266" t="n">
        <v>0</v>
      </c>
      <c r="N266" t="n">
        <v>0</v>
      </c>
      <c r="O266" t="n">
        <v>0</v>
      </c>
      <c r="P266" t="n">
        <v>0</v>
      </c>
      <c r="Q266" t="n">
        <v>0</v>
      </c>
      <c r="R266" s="2" t="inlineStr"/>
    </row>
    <row r="267" ht="15" customHeight="1">
      <c r="A267" t="inlineStr">
        <is>
          <t>A 9487-2025</t>
        </is>
      </c>
      <c r="B267" s="1" t="n">
        <v>45715.49331018519</v>
      </c>
      <c r="C267" s="1" t="n">
        <v>46078</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6144-2024</t>
        </is>
      </c>
      <c r="B268" s="1" t="n">
        <v>45337.4684837963</v>
      </c>
      <c r="C268" s="1" t="n">
        <v>46078</v>
      </c>
      <c r="D268" t="inlineStr">
        <is>
          <t>UPPSALA LÄN</t>
        </is>
      </c>
      <c r="E268" t="inlineStr">
        <is>
          <t>ENKÖPING</t>
        </is>
      </c>
      <c r="G268" t="n">
        <v>13.8</v>
      </c>
      <c r="H268" t="n">
        <v>0</v>
      </c>
      <c r="I268" t="n">
        <v>0</v>
      </c>
      <c r="J268" t="n">
        <v>0</v>
      </c>
      <c r="K268" t="n">
        <v>0</v>
      </c>
      <c r="L268" t="n">
        <v>0</v>
      </c>
      <c r="M268" t="n">
        <v>0</v>
      </c>
      <c r="N268" t="n">
        <v>0</v>
      </c>
      <c r="O268" t="n">
        <v>0</v>
      </c>
      <c r="P268" t="n">
        <v>0</v>
      </c>
      <c r="Q268" t="n">
        <v>0</v>
      </c>
      <c r="R268" s="2" t="inlineStr"/>
    </row>
    <row r="269" ht="15" customHeight="1">
      <c r="A269" t="inlineStr">
        <is>
          <t>A 33955-2024</t>
        </is>
      </c>
      <c r="B269" s="1" t="n">
        <v>45523.46952546296</v>
      </c>
      <c r="C269" s="1" t="n">
        <v>46078</v>
      </c>
      <c r="D269" t="inlineStr">
        <is>
          <t>UPPSALA LÄN</t>
        </is>
      </c>
      <c r="E269" t="inlineStr">
        <is>
          <t>ENKÖPING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18994-2025</t>
        </is>
      </c>
      <c r="B270" s="1" t="n">
        <v>45764.57350694444</v>
      </c>
      <c r="C270" s="1" t="n">
        <v>46078</v>
      </c>
      <c r="D270" t="inlineStr">
        <is>
          <t>UPPSALA LÄN</t>
        </is>
      </c>
      <c r="E270" t="inlineStr">
        <is>
          <t>ENKÖPING</t>
        </is>
      </c>
      <c r="G270" t="n">
        <v>3.8</v>
      </c>
      <c r="H270" t="n">
        <v>0</v>
      </c>
      <c r="I270" t="n">
        <v>0</v>
      </c>
      <c r="J270" t="n">
        <v>0</v>
      </c>
      <c r="K270" t="n">
        <v>0</v>
      </c>
      <c r="L270" t="n">
        <v>0</v>
      </c>
      <c r="M270" t="n">
        <v>0</v>
      </c>
      <c r="N270" t="n">
        <v>0</v>
      </c>
      <c r="O270" t="n">
        <v>0</v>
      </c>
      <c r="P270" t="n">
        <v>0</v>
      </c>
      <c r="Q270" t="n">
        <v>0</v>
      </c>
      <c r="R270" s="2" t="inlineStr"/>
    </row>
    <row r="271" ht="15" customHeight="1">
      <c r="A271" t="inlineStr">
        <is>
          <t>A 57848-2024</t>
        </is>
      </c>
      <c r="B271" s="1" t="n">
        <v>45631.40947916666</v>
      </c>
      <c r="C271" s="1" t="n">
        <v>46078</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49601-2024</t>
        </is>
      </c>
      <c r="B272" s="1" t="n">
        <v>45596.56288194445</v>
      </c>
      <c r="C272" s="1" t="n">
        <v>46078</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16920-2023</t>
        </is>
      </c>
      <c r="B273" s="1" t="n">
        <v>45033.59030092593</v>
      </c>
      <c r="C273" s="1" t="n">
        <v>46078</v>
      </c>
      <c r="D273" t="inlineStr">
        <is>
          <t>UPPSALA LÄN</t>
        </is>
      </c>
      <c r="E273" t="inlineStr">
        <is>
          <t>ENKÖPING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53586-2024</t>
        </is>
      </c>
      <c r="B274" s="1" t="n">
        <v>45614</v>
      </c>
      <c r="C274" s="1" t="n">
        <v>46078</v>
      </c>
      <c r="D274" t="inlineStr">
        <is>
          <t>UPPSALA LÄN</t>
        </is>
      </c>
      <c r="E274" t="inlineStr">
        <is>
          <t>ENKÖPING</t>
        </is>
      </c>
      <c r="G274" t="n">
        <v>6.6</v>
      </c>
      <c r="H274" t="n">
        <v>0</v>
      </c>
      <c r="I274" t="n">
        <v>0</v>
      </c>
      <c r="J274" t="n">
        <v>0</v>
      </c>
      <c r="K274" t="n">
        <v>0</v>
      </c>
      <c r="L274" t="n">
        <v>0</v>
      </c>
      <c r="M274" t="n">
        <v>0</v>
      </c>
      <c r="N274" t="n">
        <v>0</v>
      </c>
      <c r="O274" t="n">
        <v>0</v>
      </c>
      <c r="P274" t="n">
        <v>0</v>
      </c>
      <c r="Q274" t="n">
        <v>0</v>
      </c>
      <c r="R274" s="2" t="inlineStr"/>
    </row>
    <row r="275" ht="15" customHeight="1">
      <c r="A275" t="inlineStr">
        <is>
          <t>A 26017-2025</t>
        </is>
      </c>
      <c r="B275" s="1" t="n">
        <v>45804</v>
      </c>
      <c r="C275" s="1" t="n">
        <v>46078</v>
      </c>
      <c r="D275" t="inlineStr">
        <is>
          <t>UPPSALA LÄN</t>
        </is>
      </c>
      <c r="E275" t="inlineStr">
        <is>
          <t>ENKÖPING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29513-2025</t>
        </is>
      </c>
      <c r="B276" s="1" t="n">
        <v>45825</v>
      </c>
      <c r="C276" s="1" t="n">
        <v>46078</v>
      </c>
      <c r="D276" t="inlineStr">
        <is>
          <t>UPPSALA LÄN</t>
        </is>
      </c>
      <c r="E276" t="inlineStr">
        <is>
          <t>ENKÖPING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17844-2025</t>
        </is>
      </c>
      <c r="B277" s="1" t="n">
        <v>45758.59920138889</v>
      </c>
      <c r="C277" s="1" t="n">
        <v>46078</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27837-2025</t>
        </is>
      </c>
      <c r="B278" s="1" t="n">
        <v>45817.37207175926</v>
      </c>
      <c r="C278" s="1" t="n">
        <v>46078</v>
      </c>
      <c r="D278" t="inlineStr">
        <is>
          <t>UPPSALA LÄN</t>
        </is>
      </c>
      <c r="E278" t="inlineStr">
        <is>
          <t>ENKÖPING</t>
        </is>
      </c>
      <c r="G278" t="n">
        <v>7.3</v>
      </c>
      <c r="H278" t="n">
        <v>0</v>
      </c>
      <c r="I278" t="n">
        <v>0</v>
      </c>
      <c r="J278" t="n">
        <v>0</v>
      </c>
      <c r="K278" t="n">
        <v>0</v>
      </c>
      <c r="L278" t="n">
        <v>0</v>
      </c>
      <c r="M278" t="n">
        <v>0</v>
      </c>
      <c r="N278" t="n">
        <v>0</v>
      </c>
      <c r="O278" t="n">
        <v>0</v>
      </c>
      <c r="P278" t="n">
        <v>0</v>
      </c>
      <c r="Q278" t="n">
        <v>0</v>
      </c>
      <c r="R278" s="2" t="inlineStr"/>
    </row>
    <row r="279" ht="15" customHeight="1">
      <c r="A279" t="inlineStr">
        <is>
          <t>A 43506-2023</t>
        </is>
      </c>
      <c r="B279" s="1" t="n">
        <v>45181</v>
      </c>
      <c r="C279" s="1" t="n">
        <v>46078</v>
      </c>
      <c r="D279" t="inlineStr">
        <is>
          <t>UPPSALA LÄN</t>
        </is>
      </c>
      <c r="E279" t="inlineStr">
        <is>
          <t>ENKÖPING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46186-2023</t>
        </is>
      </c>
      <c r="B280" s="1" t="n">
        <v>45196</v>
      </c>
      <c r="C280" s="1" t="n">
        <v>46078</v>
      </c>
      <c r="D280" t="inlineStr">
        <is>
          <t>UPPSALA LÄN</t>
        </is>
      </c>
      <c r="E280" t="inlineStr">
        <is>
          <t>ENKÖPING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54595-2021</t>
        </is>
      </c>
      <c r="B281" s="1" t="n">
        <v>44473.58824074074</v>
      </c>
      <c r="C281" s="1" t="n">
        <v>46078</v>
      </c>
      <c r="D281" t="inlineStr">
        <is>
          <t>UPPSALA LÄN</t>
        </is>
      </c>
      <c r="E281" t="inlineStr">
        <is>
          <t>ENKÖPING</t>
        </is>
      </c>
      <c r="G281" t="n">
        <v>1</v>
      </c>
      <c r="H281" t="n">
        <v>0</v>
      </c>
      <c r="I281" t="n">
        <v>0</v>
      </c>
      <c r="J281" t="n">
        <v>0</v>
      </c>
      <c r="K281" t="n">
        <v>0</v>
      </c>
      <c r="L281" t="n">
        <v>0</v>
      </c>
      <c r="M281" t="n">
        <v>0</v>
      </c>
      <c r="N281" t="n">
        <v>0</v>
      </c>
      <c r="O281" t="n">
        <v>0</v>
      </c>
      <c r="P281" t="n">
        <v>0</v>
      </c>
      <c r="Q281" t="n">
        <v>0</v>
      </c>
      <c r="R281" s="2" t="inlineStr"/>
    </row>
    <row r="282" ht="15" customHeight="1">
      <c r="A282" t="inlineStr">
        <is>
          <t>A 54588-2024</t>
        </is>
      </c>
      <c r="B282" s="1" t="n">
        <v>45617</v>
      </c>
      <c r="C282" s="1" t="n">
        <v>46078</v>
      </c>
      <c r="D282" t="inlineStr">
        <is>
          <t>UPPSALA LÄN</t>
        </is>
      </c>
      <c r="E282" t="inlineStr">
        <is>
          <t>ENKÖPING</t>
        </is>
      </c>
      <c r="G282" t="n">
        <v>3.7</v>
      </c>
      <c r="H282" t="n">
        <v>0</v>
      </c>
      <c r="I282" t="n">
        <v>0</v>
      </c>
      <c r="J282" t="n">
        <v>0</v>
      </c>
      <c r="K282" t="n">
        <v>0</v>
      </c>
      <c r="L282" t="n">
        <v>0</v>
      </c>
      <c r="M282" t="n">
        <v>0</v>
      </c>
      <c r="N282" t="n">
        <v>0</v>
      </c>
      <c r="O282" t="n">
        <v>0</v>
      </c>
      <c r="P282" t="n">
        <v>0</v>
      </c>
      <c r="Q282" t="n">
        <v>0</v>
      </c>
      <c r="R282" s="2" t="inlineStr"/>
    </row>
    <row r="283" ht="15" customHeight="1">
      <c r="A283" t="inlineStr">
        <is>
          <t>A 21501-2025</t>
        </is>
      </c>
      <c r="B283" s="1" t="n">
        <v>45782</v>
      </c>
      <c r="C283" s="1" t="n">
        <v>46078</v>
      </c>
      <c r="D283" t="inlineStr">
        <is>
          <t>UPPSALA LÄN</t>
        </is>
      </c>
      <c r="E283" t="inlineStr">
        <is>
          <t>ENKÖPING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47428-2023</t>
        </is>
      </c>
      <c r="B284" s="1" t="n">
        <v>45202.66664351852</v>
      </c>
      <c r="C284" s="1" t="n">
        <v>46078</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34988-2025</t>
        </is>
      </c>
      <c r="B285" s="1" t="n">
        <v>45849</v>
      </c>
      <c r="C285" s="1" t="n">
        <v>46078</v>
      </c>
      <c r="D285" t="inlineStr">
        <is>
          <t>UPPSALA LÄN</t>
        </is>
      </c>
      <c r="E285" t="inlineStr">
        <is>
          <t>ENKÖPING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5892-2023</t>
        </is>
      </c>
      <c r="B286" s="1" t="n">
        <v>44963.64883101852</v>
      </c>
      <c r="C286" s="1" t="n">
        <v>46078</v>
      </c>
      <c r="D286" t="inlineStr">
        <is>
          <t>UPPSALA LÄN</t>
        </is>
      </c>
      <c r="E286" t="inlineStr">
        <is>
          <t>ENKÖPING</t>
        </is>
      </c>
      <c r="G286" t="n">
        <v>5.5</v>
      </c>
      <c r="H286" t="n">
        <v>0</v>
      </c>
      <c r="I286" t="n">
        <v>0</v>
      </c>
      <c r="J286" t="n">
        <v>0</v>
      </c>
      <c r="K286" t="n">
        <v>0</v>
      </c>
      <c r="L286" t="n">
        <v>0</v>
      </c>
      <c r="M286" t="n">
        <v>0</v>
      </c>
      <c r="N286" t="n">
        <v>0</v>
      </c>
      <c r="O286" t="n">
        <v>0</v>
      </c>
      <c r="P286" t="n">
        <v>0</v>
      </c>
      <c r="Q286" t="n">
        <v>0</v>
      </c>
      <c r="R286" s="2" t="inlineStr"/>
    </row>
    <row r="287" ht="15" customHeight="1">
      <c r="A287" t="inlineStr">
        <is>
          <t>A 12572-2021</t>
        </is>
      </c>
      <c r="B287" s="1" t="n">
        <v>44270.36438657407</v>
      </c>
      <c r="C287" s="1" t="n">
        <v>46078</v>
      </c>
      <c r="D287" t="inlineStr">
        <is>
          <t>UPPSALA LÄN</t>
        </is>
      </c>
      <c r="E287" t="inlineStr">
        <is>
          <t>ENKÖPING</t>
        </is>
      </c>
      <c r="G287" t="n">
        <v>3.3</v>
      </c>
      <c r="H287" t="n">
        <v>0</v>
      </c>
      <c r="I287" t="n">
        <v>0</v>
      </c>
      <c r="J287" t="n">
        <v>0</v>
      </c>
      <c r="K287" t="n">
        <v>0</v>
      </c>
      <c r="L287" t="n">
        <v>0</v>
      </c>
      <c r="M287" t="n">
        <v>0</v>
      </c>
      <c r="N287" t="n">
        <v>0</v>
      </c>
      <c r="O287" t="n">
        <v>0</v>
      </c>
      <c r="P287" t="n">
        <v>0</v>
      </c>
      <c r="Q287" t="n">
        <v>0</v>
      </c>
      <c r="R287" s="2" t="inlineStr"/>
    </row>
    <row r="288" ht="15" customHeight="1">
      <c r="A288" t="inlineStr">
        <is>
          <t>A 34987-2025</t>
        </is>
      </c>
      <c r="B288" s="1" t="n">
        <v>45849</v>
      </c>
      <c r="C288" s="1" t="n">
        <v>46078</v>
      </c>
      <c r="D288" t="inlineStr">
        <is>
          <t>UPPSALA LÄN</t>
        </is>
      </c>
      <c r="E288" t="inlineStr">
        <is>
          <t>ENKÖPING</t>
        </is>
      </c>
      <c r="G288" t="n">
        <v>2.2</v>
      </c>
      <c r="H288" t="n">
        <v>0</v>
      </c>
      <c r="I288" t="n">
        <v>0</v>
      </c>
      <c r="J288" t="n">
        <v>0</v>
      </c>
      <c r="K288" t="n">
        <v>0</v>
      </c>
      <c r="L288" t="n">
        <v>0</v>
      </c>
      <c r="M288" t="n">
        <v>0</v>
      </c>
      <c r="N288" t="n">
        <v>0</v>
      </c>
      <c r="O288" t="n">
        <v>0</v>
      </c>
      <c r="P288" t="n">
        <v>0</v>
      </c>
      <c r="Q288" t="n">
        <v>0</v>
      </c>
      <c r="R288" s="2" t="inlineStr"/>
    </row>
    <row r="289" ht="15" customHeight="1">
      <c r="A289" t="inlineStr">
        <is>
          <t>A 671-2022</t>
        </is>
      </c>
      <c r="B289" s="1" t="n">
        <v>44568</v>
      </c>
      <c r="C289" s="1" t="n">
        <v>46078</v>
      </c>
      <c r="D289" t="inlineStr">
        <is>
          <t>UPPSALA LÄN</t>
        </is>
      </c>
      <c r="E289" t="inlineStr">
        <is>
          <t>ENKÖPING</t>
        </is>
      </c>
      <c r="G289" t="n">
        <v>3.5</v>
      </c>
      <c r="H289" t="n">
        <v>0</v>
      </c>
      <c r="I289" t="n">
        <v>0</v>
      </c>
      <c r="J289" t="n">
        <v>0</v>
      </c>
      <c r="K289" t="n">
        <v>0</v>
      </c>
      <c r="L289" t="n">
        <v>0</v>
      </c>
      <c r="M289" t="n">
        <v>0</v>
      </c>
      <c r="N289" t="n">
        <v>0</v>
      </c>
      <c r="O289" t="n">
        <v>0</v>
      </c>
      <c r="P289" t="n">
        <v>0</v>
      </c>
      <c r="Q289" t="n">
        <v>0</v>
      </c>
      <c r="R289" s="2" t="inlineStr"/>
    </row>
    <row r="290" ht="15" customHeight="1">
      <c r="A290" t="inlineStr">
        <is>
          <t>A 43488-2023</t>
        </is>
      </c>
      <c r="B290" s="1" t="n">
        <v>45181</v>
      </c>
      <c r="C290" s="1" t="n">
        <v>46078</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36492-2025</t>
        </is>
      </c>
      <c r="B291" s="1" t="n">
        <v>45869</v>
      </c>
      <c r="C291" s="1" t="n">
        <v>46078</v>
      </c>
      <c r="D291" t="inlineStr">
        <is>
          <t>UPPSALA LÄN</t>
        </is>
      </c>
      <c r="E291" t="inlineStr">
        <is>
          <t>ENKÖPING</t>
        </is>
      </c>
      <c r="G291" t="n">
        <v>6.3</v>
      </c>
      <c r="H291" t="n">
        <v>0</v>
      </c>
      <c r="I291" t="n">
        <v>0</v>
      </c>
      <c r="J291" t="n">
        <v>0</v>
      </c>
      <c r="K291" t="n">
        <v>0</v>
      </c>
      <c r="L291" t="n">
        <v>0</v>
      </c>
      <c r="M291" t="n">
        <v>0</v>
      </c>
      <c r="N291" t="n">
        <v>0</v>
      </c>
      <c r="O291" t="n">
        <v>0</v>
      </c>
      <c r="P291" t="n">
        <v>0</v>
      </c>
      <c r="Q291" t="n">
        <v>0</v>
      </c>
      <c r="R291" s="2" t="inlineStr"/>
    </row>
    <row r="292" ht="15" customHeight="1">
      <c r="A292" t="inlineStr">
        <is>
          <t>A 9171-2024</t>
        </is>
      </c>
      <c r="B292" s="1" t="n">
        <v>45358</v>
      </c>
      <c r="C292" s="1" t="n">
        <v>46078</v>
      </c>
      <c r="D292" t="inlineStr">
        <is>
          <t>UPPSALA LÄN</t>
        </is>
      </c>
      <c r="E292" t="inlineStr">
        <is>
          <t>ENKÖPING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36350-2025</t>
        </is>
      </c>
      <c r="B293" s="1" t="n">
        <v>45868</v>
      </c>
      <c r="C293" s="1" t="n">
        <v>46078</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43230-2023</t>
        </is>
      </c>
      <c r="B294" s="1" t="n">
        <v>45183</v>
      </c>
      <c r="C294" s="1" t="n">
        <v>46078</v>
      </c>
      <c r="D294" t="inlineStr">
        <is>
          <t>UPPSALA LÄN</t>
        </is>
      </c>
      <c r="E294" t="inlineStr">
        <is>
          <t>ENKÖPING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45362-2022</t>
        </is>
      </c>
      <c r="B295" s="1" t="n">
        <v>44844.62366898148</v>
      </c>
      <c r="C295" s="1" t="n">
        <v>46078</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72840-2021</t>
        </is>
      </c>
      <c r="B296" s="1" t="n">
        <v>44547</v>
      </c>
      <c r="C296" s="1" t="n">
        <v>46078</v>
      </c>
      <c r="D296" t="inlineStr">
        <is>
          <t>UPPSALA LÄN</t>
        </is>
      </c>
      <c r="E296" t="inlineStr">
        <is>
          <t>ENKÖPING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36599-2025</t>
        </is>
      </c>
      <c r="B297" s="1" t="n">
        <v>45870.51723379629</v>
      </c>
      <c r="C297" s="1" t="n">
        <v>46078</v>
      </c>
      <c r="D297" t="inlineStr">
        <is>
          <t>UPPSALA LÄN</t>
        </is>
      </c>
      <c r="E297" t="inlineStr">
        <is>
          <t>ENKÖPING</t>
        </is>
      </c>
      <c r="G297" t="n">
        <v>5.9</v>
      </c>
      <c r="H297" t="n">
        <v>0</v>
      </c>
      <c r="I297" t="n">
        <v>0</v>
      </c>
      <c r="J297" t="n">
        <v>0</v>
      </c>
      <c r="K297" t="n">
        <v>0</v>
      </c>
      <c r="L297" t="n">
        <v>0</v>
      </c>
      <c r="M297" t="n">
        <v>0</v>
      </c>
      <c r="N297" t="n">
        <v>0</v>
      </c>
      <c r="O297" t="n">
        <v>0</v>
      </c>
      <c r="P297" t="n">
        <v>0</v>
      </c>
      <c r="Q297" t="n">
        <v>0</v>
      </c>
      <c r="R297" s="2" t="inlineStr"/>
    </row>
    <row r="298" ht="15" customHeight="1">
      <c r="A298" t="inlineStr">
        <is>
          <t>A 34617-2022</t>
        </is>
      </c>
      <c r="B298" s="1" t="n">
        <v>44795</v>
      </c>
      <c r="C298" s="1" t="n">
        <v>46078</v>
      </c>
      <c r="D298" t="inlineStr">
        <is>
          <t>UPPSALA LÄN</t>
        </is>
      </c>
      <c r="E298" t="inlineStr">
        <is>
          <t>ENKÖPING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1992-2022</t>
        </is>
      </c>
      <c r="B299" s="1" t="n">
        <v>44575.56153935185</v>
      </c>
      <c r="C299" s="1" t="n">
        <v>46078</v>
      </c>
      <c r="D299" t="inlineStr">
        <is>
          <t>UPPSALA LÄN</t>
        </is>
      </c>
      <c r="E299" t="inlineStr">
        <is>
          <t>ENKÖPING</t>
        </is>
      </c>
      <c r="G299" t="n">
        <v>2.8</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46078</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1695-2025</t>
        </is>
      </c>
      <c r="B301" s="1" t="n">
        <v>45670</v>
      </c>
      <c r="C301" s="1" t="n">
        <v>46078</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26011-2025</t>
        </is>
      </c>
      <c r="B302" s="1" t="n">
        <v>45804.67412037037</v>
      </c>
      <c r="C302" s="1" t="n">
        <v>46078</v>
      </c>
      <c r="D302" t="inlineStr">
        <is>
          <t>UPPSALA LÄN</t>
        </is>
      </c>
      <c r="E302" t="inlineStr">
        <is>
          <t>ENKÖPING</t>
        </is>
      </c>
      <c r="G302" t="n">
        <v>1.3</v>
      </c>
      <c r="H302" t="n">
        <v>0</v>
      </c>
      <c r="I302" t="n">
        <v>0</v>
      </c>
      <c r="J302" t="n">
        <v>0</v>
      </c>
      <c r="K302" t="n">
        <v>0</v>
      </c>
      <c r="L302" t="n">
        <v>0</v>
      </c>
      <c r="M302" t="n">
        <v>0</v>
      </c>
      <c r="N302" t="n">
        <v>0</v>
      </c>
      <c r="O302" t="n">
        <v>0</v>
      </c>
      <c r="P302" t="n">
        <v>0</v>
      </c>
      <c r="Q302" t="n">
        <v>0</v>
      </c>
      <c r="R302" s="2" t="inlineStr"/>
    </row>
    <row r="303" ht="15" customHeight="1">
      <c r="A303" t="inlineStr">
        <is>
          <t>A 37498-2025</t>
        </is>
      </c>
      <c r="B303" s="1" t="n">
        <v>45877</v>
      </c>
      <c r="C303" s="1" t="n">
        <v>46078</v>
      </c>
      <c r="D303" t="inlineStr">
        <is>
          <t>UPPSALA LÄN</t>
        </is>
      </c>
      <c r="E303" t="inlineStr">
        <is>
          <t>ENKÖPING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37296-2025</t>
        </is>
      </c>
      <c r="B304" s="1" t="n">
        <v>45876</v>
      </c>
      <c r="C304" s="1" t="n">
        <v>46078</v>
      </c>
      <c r="D304" t="inlineStr">
        <is>
          <t>UPPSALA LÄN</t>
        </is>
      </c>
      <c r="E304" t="inlineStr">
        <is>
          <t>ENKÖPING</t>
        </is>
      </c>
      <c r="G304" t="n">
        <v>9.5</v>
      </c>
      <c r="H304" t="n">
        <v>0</v>
      </c>
      <c r="I304" t="n">
        <v>0</v>
      </c>
      <c r="J304" t="n">
        <v>0</v>
      </c>
      <c r="K304" t="n">
        <v>0</v>
      </c>
      <c r="L304" t="n">
        <v>0</v>
      </c>
      <c r="M304" t="n">
        <v>0</v>
      </c>
      <c r="N304" t="n">
        <v>0</v>
      </c>
      <c r="O304" t="n">
        <v>0</v>
      </c>
      <c r="P304" t="n">
        <v>0</v>
      </c>
      <c r="Q304" t="n">
        <v>0</v>
      </c>
      <c r="R304" s="2" t="inlineStr"/>
    </row>
    <row r="305" ht="15" customHeight="1">
      <c r="A305" t="inlineStr">
        <is>
          <t>A 54357-2023</t>
        </is>
      </c>
      <c r="B305" s="1" t="n">
        <v>45225</v>
      </c>
      <c r="C305" s="1" t="n">
        <v>46078</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24962-2023</t>
        </is>
      </c>
      <c r="B306" s="1" t="n">
        <v>45085.60123842592</v>
      </c>
      <c r="C306" s="1" t="n">
        <v>46078</v>
      </c>
      <c r="D306" t="inlineStr">
        <is>
          <t>UPPSALA LÄN</t>
        </is>
      </c>
      <c r="E306" t="inlineStr">
        <is>
          <t>ENKÖPING</t>
        </is>
      </c>
      <c r="G306" t="n">
        <v>2.8</v>
      </c>
      <c r="H306" t="n">
        <v>0</v>
      </c>
      <c r="I306" t="n">
        <v>0</v>
      </c>
      <c r="J306" t="n">
        <v>0</v>
      </c>
      <c r="K306" t="n">
        <v>0</v>
      </c>
      <c r="L306" t="n">
        <v>0</v>
      </c>
      <c r="M306" t="n">
        <v>0</v>
      </c>
      <c r="N306" t="n">
        <v>0</v>
      </c>
      <c r="O306" t="n">
        <v>0</v>
      </c>
      <c r="P306" t="n">
        <v>0</v>
      </c>
      <c r="Q306" t="n">
        <v>0</v>
      </c>
      <c r="R306" s="2" t="inlineStr"/>
    </row>
    <row r="307" ht="15" customHeight="1">
      <c r="A307" t="inlineStr">
        <is>
          <t>A 37319-2025</t>
        </is>
      </c>
      <c r="B307" s="1" t="n">
        <v>45876</v>
      </c>
      <c r="C307" s="1" t="n">
        <v>46078</v>
      </c>
      <c r="D307" t="inlineStr">
        <is>
          <t>UPPSALA LÄN</t>
        </is>
      </c>
      <c r="E307" t="inlineStr">
        <is>
          <t>ENKÖPING</t>
        </is>
      </c>
      <c r="G307" t="n">
        <v>9.5</v>
      </c>
      <c r="H307" t="n">
        <v>0</v>
      </c>
      <c r="I307" t="n">
        <v>0</v>
      </c>
      <c r="J307" t="n">
        <v>0</v>
      </c>
      <c r="K307" t="n">
        <v>0</v>
      </c>
      <c r="L307" t="n">
        <v>0</v>
      </c>
      <c r="M307" t="n">
        <v>0</v>
      </c>
      <c r="N307" t="n">
        <v>0</v>
      </c>
      <c r="O307" t="n">
        <v>0</v>
      </c>
      <c r="P307" t="n">
        <v>0</v>
      </c>
      <c r="Q307" t="n">
        <v>0</v>
      </c>
      <c r="R307" s="2" t="inlineStr"/>
    </row>
    <row r="308" ht="15" customHeight="1">
      <c r="A308" t="inlineStr">
        <is>
          <t>A 49622-2024</t>
        </is>
      </c>
      <c r="B308" s="1" t="n">
        <v>45596.58372685185</v>
      </c>
      <c r="C308" s="1" t="n">
        <v>46078</v>
      </c>
      <c r="D308" t="inlineStr">
        <is>
          <t>UPPSALA LÄN</t>
        </is>
      </c>
      <c r="E308" t="inlineStr">
        <is>
          <t>ENKÖPING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58961-2024</t>
        </is>
      </c>
      <c r="B309" s="1" t="n">
        <v>45636.585</v>
      </c>
      <c r="C309" s="1" t="n">
        <v>46078</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2850-2025</t>
        </is>
      </c>
      <c r="B310" s="1" t="n">
        <v>45677</v>
      </c>
      <c r="C310" s="1" t="n">
        <v>46078</v>
      </c>
      <c r="D310" t="inlineStr">
        <is>
          <t>UPPSALA LÄN</t>
        </is>
      </c>
      <c r="E310" t="inlineStr">
        <is>
          <t>ENKÖPING</t>
        </is>
      </c>
      <c r="G310" t="n">
        <v>0.3</v>
      </c>
      <c r="H310" t="n">
        <v>0</v>
      </c>
      <c r="I310" t="n">
        <v>0</v>
      </c>
      <c r="J310" t="n">
        <v>0</v>
      </c>
      <c r="K310" t="n">
        <v>0</v>
      </c>
      <c r="L310" t="n">
        <v>0</v>
      </c>
      <c r="M310" t="n">
        <v>0</v>
      </c>
      <c r="N310" t="n">
        <v>0</v>
      </c>
      <c r="O310" t="n">
        <v>0</v>
      </c>
      <c r="P310" t="n">
        <v>0</v>
      </c>
      <c r="Q310" t="n">
        <v>0</v>
      </c>
      <c r="R310" s="2" t="inlineStr"/>
    </row>
    <row r="311" ht="15" customHeight="1">
      <c r="A311" t="inlineStr">
        <is>
          <t>A 53595-2023</t>
        </is>
      </c>
      <c r="B311" s="1" t="n">
        <v>45223</v>
      </c>
      <c r="C311" s="1" t="n">
        <v>46078</v>
      </c>
      <c r="D311" t="inlineStr">
        <is>
          <t>UPPSALA LÄN</t>
        </is>
      </c>
      <c r="E311" t="inlineStr">
        <is>
          <t>ENKÖPING</t>
        </is>
      </c>
      <c r="G311" t="n">
        <v>2.6</v>
      </c>
      <c r="H311" t="n">
        <v>0</v>
      </c>
      <c r="I311" t="n">
        <v>0</v>
      </c>
      <c r="J311" t="n">
        <v>0</v>
      </c>
      <c r="K311" t="n">
        <v>0</v>
      </c>
      <c r="L311" t="n">
        <v>0</v>
      </c>
      <c r="M311" t="n">
        <v>0</v>
      </c>
      <c r="N311" t="n">
        <v>0</v>
      </c>
      <c r="O311" t="n">
        <v>0</v>
      </c>
      <c r="P311" t="n">
        <v>0</v>
      </c>
      <c r="Q311" t="n">
        <v>0</v>
      </c>
      <c r="R311" s="2" t="inlineStr"/>
    </row>
    <row r="312" ht="15" customHeight="1">
      <c r="A312" t="inlineStr">
        <is>
          <t>A 15893-2024</t>
        </is>
      </c>
      <c r="B312" s="1" t="n">
        <v>45405</v>
      </c>
      <c r="C312" s="1" t="n">
        <v>46078</v>
      </c>
      <c r="D312" t="inlineStr">
        <is>
          <t>UPPSALA LÄN</t>
        </is>
      </c>
      <c r="E312" t="inlineStr">
        <is>
          <t>ENKÖPING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54541-2025</t>
        </is>
      </c>
      <c r="B313" s="1" t="n">
        <v>45965.64733796296</v>
      </c>
      <c r="C313" s="1" t="n">
        <v>46078</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54263-2025</t>
        </is>
      </c>
      <c r="B314" s="1" t="n">
        <v>45964.66271990741</v>
      </c>
      <c r="C314" s="1" t="n">
        <v>46078</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18028-2023</t>
        </is>
      </c>
      <c r="B315" s="1" t="n">
        <v>45040</v>
      </c>
      <c r="C315" s="1" t="n">
        <v>46078</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54844-2025</t>
        </is>
      </c>
      <c r="B316" s="1" t="n">
        <v>45966.69570601852</v>
      </c>
      <c r="C316" s="1" t="n">
        <v>46078</v>
      </c>
      <c r="D316" t="inlineStr">
        <is>
          <t>UPPSALA LÄN</t>
        </is>
      </c>
      <c r="E316" t="inlineStr">
        <is>
          <t>ENKÖPING</t>
        </is>
      </c>
      <c r="G316" t="n">
        <v>5.5</v>
      </c>
      <c r="H316" t="n">
        <v>0</v>
      </c>
      <c r="I316" t="n">
        <v>0</v>
      </c>
      <c r="J316" t="n">
        <v>0</v>
      </c>
      <c r="K316" t="n">
        <v>0</v>
      </c>
      <c r="L316" t="n">
        <v>0</v>
      </c>
      <c r="M316" t="n">
        <v>0</v>
      </c>
      <c r="N316" t="n">
        <v>0</v>
      </c>
      <c r="O316" t="n">
        <v>0</v>
      </c>
      <c r="P316" t="n">
        <v>0</v>
      </c>
      <c r="Q316" t="n">
        <v>0</v>
      </c>
      <c r="R316" s="2" t="inlineStr"/>
    </row>
    <row r="317" ht="15" customHeight="1">
      <c r="A317" t="inlineStr">
        <is>
          <t>A 48843-2023</t>
        </is>
      </c>
      <c r="B317" s="1" t="n">
        <v>45209</v>
      </c>
      <c r="C317" s="1" t="n">
        <v>46078</v>
      </c>
      <c r="D317" t="inlineStr">
        <is>
          <t>UPPSALA LÄN</t>
        </is>
      </c>
      <c r="E317" t="inlineStr">
        <is>
          <t>ENKÖPING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33670-2024</t>
        </is>
      </c>
      <c r="B318" s="1" t="n">
        <v>45520</v>
      </c>
      <c r="C318" s="1" t="n">
        <v>46078</v>
      </c>
      <c r="D318" t="inlineStr">
        <is>
          <t>UPPSALA LÄN</t>
        </is>
      </c>
      <c r="E318" t="inlineStr">
        <is>
          <t>ENKÖPING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54758-2025</t>
        </is>
      </c>
      <c r="B319" s="1" t="n">
        <v>45966.59737268519</v>
      </c>
      <c r="C319" s="1" t="n">
        <v>46078</v>
      </c>
      <c r="D319" t="inlineStr">
        <is>
          <t>UPPSALA LÄN</t>
        </is>
      </c>
      <c r="E319" t="inlineStr">
        <is>
          <t>ENKÖPING</t>
        </is>
      </c>
      <c r="G319" t="n">
        <v>3.3</v>
      </c>
      <c r="H319" t="n">
        <v>0</v>
      </c>
      <c r="I319" t="n">
        <v>0</v>
      </c>
      <c r="J319" t="n">
        <v>0</v>
      </c>
      <c r="K319" t="n">
        <v>0</v>
      </c>
      <c r="L319" t="n">
        <v>0</v>
      </c>
      <c r="M319" t="n">
        <v>0</v>
      </c>
      <c r="N319" t="n">
        <v>0</v>
      </c>
      <c r="O319" t="n">
        <v>0</v>
      </c>
      <c r="P319" t="n">
        <v>0</v>
      </c>
      <c r="Q319" t="n">
        <v>0</v>
      </c>
      <c r="R319" s="2" t="inlineStr"/>
    </row>
    <row r="320" ht="15" customHeight="1">
      <c r="A320" t="inlineStr">
        <is>
          <t>A 55567-2025</t>
        </is>
      </c>
      <c r="B320" s="1" t="n">
        <v>45971.65589120371</v>
      </c>
      <c r="C320" s="1" t="n">
        <v>46078</v>
      </c>
      <c r="D320" t="inlineStr">
        <is>
          <t>UPPSALA LÄN</t>
        </is>
      </c>
      <c r="E320" t="inlineStr">
        <is>
          <t>ENKÖPING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19376-2024</t>
        </is>
      </c>
      <c r="B321" s="1" t="n">
        <v>45429</v>
      </c>
      <c r="C321" s="1" t="n">
        <v>46078</v>
      </c>
      <c r="D321" t="inlineStr">
        <is>
          <t>UPPSALA LÄN</t>
        </is>
      </c>
      <c r="E321" t="inlineStr">
        <is>
          <t>ENKÖPING</t>
        </is>
      </c>
      <c r="G321" t="n">
        <v>1.6</v>
      </c>
      <c r="H321" t="n">
        <v>0</v>
      </c>
      <c r="I321" t="n">
        <v>0</v>
      </c>
      <c r="J321" t="n">
        <v>0</v>
      </c>
      <c r="K321" t="n">
        <v>0</v>
      </c>
      <c r="L321" t="n">
        <v>0</v>
      </c>
      <c r="M321" t="n">
        <v>0</v>
      </c>
      <c r="N321" t="n">
        <v>0</v>
      </c>
      <c r="O321" t="n">
        <v>0</v>
      </c>
      <c r="P321" t="n">
        <v>0</v>
      </c>
      <c r="Q321" t="n">
        <v>0</v>
      </c>
      <c r="R321" s="2" t="inlineStr"/>
    </row>
    <row r="322" ht="15" customHeight="1">
      <c r="A322" t="inlineStr">
        <is>
          <t>A 12020-2024</t>
        </is>
      </c>
      <c r="B322" s="1" t="n">
        <v>45377</v>
      </c>
      <c r="C322" s="1" t="n">
        <v>46078</v>
      </c>
      <c r="D322" t="inlineStr">
        <is>
          <t>UPPSALA LÄN</t>
        </is>
      </c>
      <c r="E322" t="inlineStr">
        <is>
          <t>ENKÖPING</t>
        </is>
      </c>
      <c r="G322" t="n">
        <v>2</v>
      </c>
      <c r="H322" t="n">
        <v>0</v>
      </c>
      <c r="I322" t="n">
        <v>0</v>
      </c>
      <c r="J322" t="n">
        <v>0</v>
      </c>
      <c r="K322" t="n">
        <v>0</v>
      </c>
      <c r="L322" t="n">
        <v>0</v>
      </c>
      <c r="M322" t="n">
        <v>0</v>
      </c>
      <c r="N322" t="n">
        <v>0</v>
      </c>
      <c r="O322" t="n">
        <v>0</v>
      </c>
      <c r="P322" t="n">
        <v>0</v>
      </c>
      <c r="Q322" t="n">
        <v>0</v>
      </c>
      <c r="R322" s="2" t="inlineStr"/>
    </row>
    <row r="323" ht="15" customHeight="1">
      <c r="A323" t="inlineStr">
        <is>
          <t>A 10465-2022</t>
        </is>
      </c>
      <c r="B323" s="1" t="n">
        <v>44623</v>
      </c>
      <c r="C323" s="1" t="n">
        <v>46078</v>
      </c>
      <c r="D323" t="inlineStr">
        <is>
          <t>UPPSALA LÄN</t>
        </is>
      </c>
      <c r="E323" t="inlineStr">
        <is>
          <t>ENKÖPING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14332-2024</t>
        </is>
      </c>
      <c r="B324" s="1" t="n">
        <v>45393</v>
      </c>
      <c r="C324" s="1" t="n">
        <v>46078</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61207-2023</t>
        </is>
      </c>
      <c r="B325" s="1" t="n">
        <v>45264.39444444444</v>
      </c>
      <c r="C325" s="1" t="n">
        <v>46078</v>
      </c>
      <c r="D325" t="inlineStr">
        <is>
          <t>UPPSALA LÄN</t>
        </is>
      </c>
      <c r="E325" t="inlineStr">
        <is>
          <t>ENKÖPING</t>
        </is>
      </c>
      <c r="G325" t="n">
        <v>10.8</v>
      </c>
      <c r="H325" t="n">
        <v>0</v>
      </c>
      <c r="I325" t="n">
        <v>0</v>
      </c>
      <c r="J325" t="n">
        <v>0</v>
      </c>
      <c r="K325" t="n">
        <v>0</v>
      </c>
      <c r="L325" t="n">
        <v>0</v>
      </c>
      <c r="M325" t="n">
        <v>0</v>
      </c>
      <c r="N325" t="n">
        <v>0</v>
      </c>
      <c r="O325" t="n">
        <v>0</v>
      </c>
      <c r="P325" t="n">
        <v>0</v>
      </c>
      <c r="Q325" t="n">
        <v>0</v>
      </c>
      <c r="R325" s="2" t="inlineStr"/>
    </row>
    <row r="326" ht="15" customHeight="1">
      <c r="A326" t="inlineStr">
        <is>
          <t>A 56625-2025</t>
        </is>
      </c>
      <c r="B326" s="1" t="n">
        <v>45975.60608796297</v>
      </c>
      <c r="C326" s="1" t="n">
        <v>46078</v>
      </c>
      <c r="D326" t="inlineStr">
        <is>
          <t>UPPSALA LÄN</t>
        </is>
      </c>
      <c r="E326" t="inlineStr">
        <is>
          <t>ENKÖPING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40812-2022</t>
        </is>
      </c>
      <c r="B327" s="1" t="n">
        <v>44824.68791666667</v>
      </c>
      <c r="C327" s="1" t="n">
        <v>46078</v>
      </c>
      <c r="D327" t="inlineStr">
        <is>
          <t>UPPSALA LÄN</t>
        </is>
      </c>
      <c r="E327" t="inlineStr">
        <is>
          <t>ENKÖPING</t>
        </is>
      </c>
      <c r="G327" t="n">
        <v>1.4</v>
      </c>
      <c r="H327" t="n">
        <v>0</v>
      </c>
      <c r="I327" t="n">
        <v>0</v>
      </c>
      <c r="J327" t="n">
        <v>0</v>
      </c>
      <c r="K327" t="n">
        <v>0</v>
      </c>
      <c r="L327" t="n">
        <v>0</v>
      </c>
      <c r="M327" t="n">
        <v>0</v>
      </c>
      <c r="N327" t="n">
        <v>0</v>
      </c>
      <c r="O327" t="n">
        <v>0</v>
      </c>
      <c r="P327" t="n">
        <v>0</v>
      </c>
      <c r="Q327" t="n">
        <v>0</v>
      </c>
      <c r="R327" s="2" t="inlineStr"/>
    </row>
    <row r="328" ht="15" customHeight="1">
      <c r="A328" t="inlineStr">
        <is>
          <t>A 43691-2024</t>
        </is>
      </c>
      <c r="B328" s="1" t="n">
        <v>45569</v>
      </c>
      <c r="C328" s="1" t="n">
        <v>46078</v>
      </c>
      <c r="D328" t="inlineStr">
        <is>
          <t>UPPSALA LÄN</t>
        </is>
      </c>
      <c r="E328" t="inlineStr">
        <is>
          <t>ENKÖPING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57294-2025</t>
        </is>
      </c>
      <c r="B329" s="1" t="n">
        <v>45979</v>
      </c>
      <c r="C329" s="1" t="n">
        <v>46078</v>
      </c>
      <c r="D329" t="inlineStr">
        <is>
          <t>UPPSALA LÄN</t>
        </is>
      </c>
      <c r="E329" t="inlineStr">
        <is>
          <t>ENKÖPING</t>
        </is>
      </c>
      <c r="G329" t="n">
        <v>6.2</v>
      </c>
      <c r="H329" t="n">
        <v>0</v>
      </c>
      <c r="I329" t="n">
        <v>0</v>
      </c>
      <c r="J329" t="n">
        <v>0</v>
      </c>
      <c r="K329" t="n">
        <v>0</v>
      </c>
      <c r="L329" t="n">
        <v>0</v>
      </c>
      <c r="M329" t="n">
        <v>0</v>
      </c>
      <c r="N329" t="n">
        <v>0</v>
      </c>
      <c r="O329" t="n">
        <v>0</v>
      </c>
      <c r="P329" t="n">
        <v>0</v>
      </c>
      <c r="Q329" t="n">
        <v>0</v>
      </c>
      <c r="R329" s="2" t="inlineStr"/>
    </row>
    <row r="330" ht="15" customHeight="1">
      <c r="A330" t="inlineStr">
        <is>
          <t>A 25333-2023</t>
        </is>
      </c>
      <c r="B330" s="1" t="n">
        <v>45083</v>
      </c>
      <c r="C330" s="1" t="n">
        <v>46078</v>
      </c>
      <c r="D330" t="inlineStr">
        <is>
          <t>UPPSALA LÄN</t>
        </is>
      </c>
      <c r="E330" t="inlineStr">
        <is>
          <t>ENKÖPING</t>
        </is>
      </c>
      <c r="G330" t="n">
        <v>2.7</v>
      </c>
      <c r="H330" t="n">
        <v>0</v>
      </c>
      <c r="I330" t="n">
        <v>0</v>
      </c>
      <c r="J330" t="n">
        <v>0</v>
      </c>
      <c r="K330" t="n">
        <v>0</v>
      </c>
      <c r="L330" t="n">
        <v>0</v>
      </c>
      <c r="M330" t="n">
        <v>0</v>
      </c>
      <c r="N330" t="n">
        <v>0</v>
      </c>
      <c r="O330" t="n">
        <v>0</v>
      </c>
      <c r="P330" t="n">
        <v>0</v>
      </c>
      <c r="Q330" t="n">
        <v>0</v>
      </c>
      <c r="R330" s="2" t="inlineStr"/>
    </row>
    <row r="331" ht="15" customHeight="1">
      <c r="A331" t="inlineStr">
        <is>
          <t>A 3300-2025</t>
        </is>
      </c>
      <c r="B331" s="1" t="n">
        <v>45679</v>
      </c>
      <c r="C331" s="1" t="n">
        <v>46078</v>
      </c>
      <c r="D331" t="inlineStr">
        <is>
          <t>UPPSALA LÄN</t>
        </is>
      </c>
      <c r="E331" t="inlineStr">
        <is>
          <t>ENKÖPING</t>
        </is>
      </c>
      <c r="G331" t="n">
        <v>8.9</v>
      </c>
      <c r="H331" t="n">
        <v>0</v>
      </c>
      <c r="I331" t="n">
        <v>0</v>
      </c>
      <c r="J331" t="n">
        <v>0</v>
      </c>
      <c r="K331" t="n">
        <v>0</v>
      </c>
      <c r="L331" t="n">
        <v>0</v>
      </c>
      <c r="M331" t="n">
        <v>0</v>
      </c>
      <c r="N331" t="n">
        <v>0</v>
      </c>
      <c r="O331" t="n">
        <v>0</v>
      </c>
      <c r="P331" t="n">
        <v>0</v>
      </c>
      <c r="Q331" t="n">
        <v>0</v>
      </c>
      <c r="R331" s="2" t="inlineStr"/>
    </row>
    <row r="332" ht="15" customHeight="1">
      <c r="A332" t="inlineStr">
        <is>
          <t>A 12754-2025</t>
        </is>
      </c>
      <c r="B332" s="1" t="n">
        <v>45733.56331018519</v>
      </c>
      <c r="C332" s="1" t="n">
        <v>46078</v>
      </c>
      <c r="D332" t="inlineStr">
        <is>
          <t>UPPSALA LÄN</t>
        </is>
      </c>
      <c r="E332" t="inlineStr">
        <is>
          <t>ENKÖPING</t>
        </is>
      </c>
      <c r="G332" t="n">
        <v>0.7</v>
      </c>
      <c r="H332" t="n">
        <v>0</v>
      </c>
      <c r="I332" t="n">
        <v>0</v>
      </c>
      <c r="J332" t="n">
        <v>0</v>
      </c>
      <c r="K332" t="n">
        <v>0</v>
      </c>
      <c r="L332" t="n">
        <v>0</v>
      </c>
      <c r="M332" t="n">
        <v>0</v>
      </c>
      <c r="N332" t="n">
        <v>0</v>
      </c>
      <c r="O332" t="n">
        <v>0</v>
      </c>
      <c r="P332" t="n">
        <v>0</v>
      </c>
      <c r="Q332" t="n">
        <v>0</v>
      </c>
      <c r="R332" s="2" t="inlineStr"/>
    </row>
    <row r="333" ht="15" customHeight="1">
      <c r="A333" t="inlineStr">
        <is>
          <t>A 58025-2025</t>
        </is>
      </c>
      <c r="B333" s="1" t="n">
        <v>45982</v>
      </c>
      <c r="C333" s="1" t="n">
        <v>46078</v>
      </c>
      <c r="D333" t="inlineStr">
        <is>
          <t>UPPSALA LÄN</t>
        </is>
      </c>
      <c r="E333" t="inlineStr">
        <is>
          <t>ENKÖPING</t>
        </is>
      </c>
      <c r="G333" t="n">
        <v>3.2</v>
      </c>
      <c r="H333" t="n">
        <v>0</v>
      </c>
      <c r="I333" t="n">
        <v>0</v>
      </c>
      <c r="J333" t="n">
        <v>0</v>
      </c>
      <c r="K333" t="n">
        <v>0</v>
      </c>
      <c r="L333" t="n">
        <v>0</v>
      </c>
      <c r="M333" t="n">
        <v>0</v>
      </c>
      <c r="N333" t="n">
        <v>0</v>
      </c>
      <c r="O333" t="n">
        <v>0</v>
      </c>
      <c r="P333" t="n">
        <v>0</v>
      </c>
      <c r="Q333" t="n">
        <v>0</v>
      </c>
      <c r="R333" s="2" t="inlineStr"/>
    </row>
    <row r="334" ht="15" customHeight="1">
      <c r="A334" t="inlineStr">
        <is>
          <t>A 16176-2025</t>
        </is>
      </c>
      <c r="B334" s="1" t="n">
        <v>45750</v>
      </c>
      <c r="C334" s="1" t="n">
        <v>46078</v>
      </c>
      <c r="D334" t="inlineStr">
        <is>
          <t>UPPSALA LÄN</t>
        </is>
      </c>
      <c r="E334" t="inlineStr">
        <is>
          <t>ENKÖPING</t>
        </is>
      </c>
      <c r="G334" t="n">
        <v>3.9</v>
      </c>
      <c r="H334" t="n">
        <v>0</v>
      </c>
      <c r="I334" t="n">
        <v>0</v>
      </c>
      <c r="J334" t="n">
        <v>0</v>
      </c>
      <c r="K334" t="n">
        <v>0</v>
      </c>
      <c r="L334" t="n">
        <v>0</v>
      </c>
      <c r="M334" t="n">
        <v>0</v>
      </c>
      <c r="N334" t="n">
        <v>0</v>
      </c>
      <c r="O334" t="n">
        <v>0</v>
      </c>
      <c r="P334" t="n">
        <v>0</v>
      </c>
      <c r="Q334" t="n">
        <v>0</v>
      </c>
      <c r="R334" s="2" t="inlineStr"/>
    </row>
    <row r="335" ht="15" customHeight="1">
      <c r="A335" t="inlineStr">
        <is>
          <t>A 56713-2024</t>
        </is>
      </c>
      <c r="B335" s="1" t="n">
        <v>45628</v>
      </c>
      <c r="C335" s="1" t="n">
        <v>46078</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57188-2025</t>
        </is>
      </c>
      <c r="B336" s="1" t="n">
        <v>45979</v>
      </c>
      <c r="C336" s="1" t="n">
        <v>46078</v>
      </c>
      <c r="D336" t="inlineStr">
        <is>
          <t>UPPSALA LÄN</t>
        </is>
      </c>
      <c r="E336" t="inlineStr">
        <is>
          <t>ENKÖPING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37870-2023</t>
        </is>
      </c>
      <c r="B337" s="1" t="n">
        <v>45160.41996527778</v>
      </c>
      <c r="C337" s="1" t="n">
        <v>46078</v>
      </c>
      <c r="D337" t="inlineStr">
        <is>
          <t>UPPSALA LÄN</t>
        </is>
      </c>
      <c r="E337" t="inlineStr">
        <is>
          <t>ENKÖPING</t>
        </is>
      </c>
      <c r="G337" t="n">
        <v>3.5</v>
      </c>
      <c r="H337" t="n">
        <v>0</v>
      </c>
      <c r="I337" t="n">
        <v>0</v>
      </c>
      <c r="J337" t="n">
        <v>0</v>
      </c>
      <c r="K337" t="n">
        <v>0</v>
      </c>
      <c r="L337" t="n">
        <v>0</v>
      </c>
      <c r="M337" t="n">
        <v>0</v>
      </c>
      <c r="N337" t="n">
        <v>0</v>
      </c>
      <c r="O337" t="n">
        <v>0</v>
      </c>
      <c r="P337" t="n">
        <v>0</v>
      </c>
      <c r="Q337" t="n">
        <v>0</v>
      </c>
      <c r="R337" s="2" t="inlineStr"/>
    </row>
    <row r="338" ht="15" customHeight="1">
      <c r="A338" t="inlineStr">
        <is>
          <t>A 22094-2023</t>
        </is>
      </c>
      <c r="B338" s="1" t="n">
        <v>45069</v>
      </c>
      <c r="C338" s="1" t="n">
        <v>46078</v>
      </c>
      <c r="D338" t="inlineStr">
        <is>
          <t>UPPSALA LÄN</t>
        </is>
      </c>
      <c r="E338" t="inlineStr">
        <is>
          <t>ENKÖPING</t>
        </is>
      </c>
      <c r="G338" t="n">
        <v>2.1</v>
      </c>
      <c r="H338" t="n">
        <v>0</v>
      </c>
      <c r="I338" t="n">
        <v>0</v>
      </c>
      <c r="J338" t="n">
        <v>0</v>
      </c>
      <c r="K338" t="n">
        <v>0</v>
      </c>
      <c r="L338" t="n">
        <v>0</v>
      </c>
      <c r="M338" t="n">
        <v>0</v>
      </c>
      <c r="N338" t="n">
        <v>0</v>
      </c>
      <c r="O338" t="n">
        <v>0</v>
      </c>
      <c r="P338" t="n">
        <v>0</v>
      </c>
      <c r="Q338" t="n">
        <v>0</v>
      </c>
      <c r="R338" s="2" t="inlineStr"/>
    </row>
    <row r="339" ht="15" customHeight="1">
      <c r="A339" t="inlineStr">
        <is>
          <t>A 15405-2025</t>
        </is>
      </c>
      <c r="B339" s="1" t="n">
        <v>45747.44670138889</v>
      </c>
      <c r="C339" s="1" t="n">
        <v>46078</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35079-2024</t>
        </is>
      </c>
      <c r="B340" s="1" t="n">
        <v>45527.66770833333</v>
      </c>
      <c r="C340" s="1" t="n">
        <v>46078</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33581-2023</t>
        </is>
      </c>
      <c r="B341" s="1" t="n">
        <v>45131</v>
      </c>
      <c r="C341" s="1" t="n">
        <v>46078</v>
      </c>
      <c r="D341" t="inlineStr">
        <is>
          <t>UPPSALA LÄN</t>
        </is>
      </c>
      <c r="E341" t="inlineStr">
        <is>
          <t>ENKÖPING</t>
        </is>
      </c>
      <c r="G341" t="n">
        <v>3.5</v>
      </c>
      <c r="H341" t="n">
        <v>0</v>
      </c>
      <c r="I341" t="n">
        <v>0</v>
      </c>
      <c r="J341" t="n">
        <v>0</v>
      </c>
      <c r="K341" t="n">
        <v>0</v>
      </c>
      <c r="L341" t="n">
        <v>0</v>
      </c>
      <c r="M341" t="n">
        <v>0</v>
      </c>
      <c r="N341" t="n">
        <v>0</v>
      </c>
      <c r="O341" t="n">
        <v>0</v>
      </c>
      <c r="P341" t="n">
        <v>0</v>
      </c>
      <c r="Q341" t="n">
        <v>0</v>
      </c>
      <c r="R341" s="2" t="inlineStr"/>
    </row>
    <row r="342" ht="15" customHeight="1">
      <c r="A342" t="inlineStr">
        <is>
          <t>A 56163-2021</t>
        </is>
      </c>
      <c r="B342" s="1" t="n">
        <v>44477</v>
      </c>
      <c r="C342" s="1" t="n">
        <v>46078</v>
      </c>
      <c r="D342" t="inlineStr">
        <is>
          <t>UPPSALA LÄN</t>
        </is>
      </c>
      <c r="E342" t="inlineStr">
        <is>
          <t>ENKÖPING</t>
        </is>
      </c>
      <c r="F342" t="inlineStr">
        <is>
          <t>Allmännings- och besparingsskogar</t>
        </is>
      </c>
      <c r="G342" t="n">
        <v>0.6</v>
      </c>
      <c r="H342" t="n">
        <v>0</v>
      </c>
      <c r="I342" t="n">
        <v>0</v>
      </c>
      <c r="J342" t="n">
        <v>0</v>
      </c>
      <c r="K342" t="n">
        <v>0</v>
      </c>
      <c r="L342" t="n">
        <v>0</v>
      </c>
      <c r="M342" t="n">
        <v>0</v>
      </c>
      <c r="N342" t="n">
        <v>0</v>
      </c>
      <c r="O342" t="n">
        <v>0</v>
      </c>
      <c r="P342" t="n">
        <v>0</v>
      </c>
      <c r="Q342" t="n">
        <v>0</v>
      </c>
      <c r="R342" s="2" t="inlineStr"/>
    </row>
    <row r="343" ht="15" customHeight="1">
      <c r="A343" t="inlineStr">
        <is>
          <t>A 47909-2024</t>
        </is>
      </c>
      <c r="B343" s="1" t="n">
        <v>45589.31866898148</v>
      </c>
      <c r="C343" s="1" t="n">
        <v>46078</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51932-2022</t>
        </is>
      </c>
      <c r="B344" s="1" t="n">
        <v>44872</v>
      </c>
      <c r="C344" s="1" t="n">
        <v>46078</v>
      </c>
      <c r="D344" t="inlineStr">
        <is>
          <t>UPPSALA LÄN</t>
        </is>
      </c>
      <c r="E344" t="inlineStr">
        <is>
          <t>ENKÖPING</t>
        </is>
      </c>
      <c r="G344" t="n">
        <v>5.5</v>
      </c>
      <c r="H344" t="n">
        <v>0</v>
      </c>
      <c r="I344" t="n">
        <v>0</v>
      </c>
      <c r="J344" t="n">
        <v>0</v>
      </c>
      <c r="K344" t="n">
        <v>0</v>
      </c>
      <c r="L344" t="n">
        <v>0</v>
      </c>
      <c r="M344" t="n">
        <v>0</v>
      </c>
      <c r="N344" t="n">
        <v>0</v>
      </c>
      <c r="O344" t="n">
        <v>0</v>
      </c>
      <c r="P344" t="n">
        <v>0</v>
      </c>
      <c r="Q344" t="n">
        <v>0</v>
      </c>
      <c r="R344" s="2" t="inlineStr"/>
    </row>
    <row r="345" ht="15" customHeight="1">
      <c r="A345" t="inlineStr">
        <is>
          <t>A 59668-2025</t>
        </is>
      </c>
      <c r="B345" s="1" t="n">
        <v>45992.45567129629</v>
      </c>
      <c r="C345" s="1" t="n">
        <v>46078</v>
      </c>
      <c r="D345" t="inlineStr">
        <is>
          <t>UPPSALA LÄN</t>
        </is>
      </c>
      <c r="E345" t="inlineStr">
        <is>
          <t>ENKÖPING</t>
        </is>
      </c>
      <c r="G345" t="n">
        <v>3.3</v>
      </c>
      <c r="H345" t="n">
        <v>0</v>
      </c>
      <c r="I345" t="n">
        <v>0</v>
      </c>
      <c r="J345" t="n">
        <v>0</v>
      </c>
      <c r="K345" t="n">
        <v>0</v>
      </c>
      <c r="L345" t="n">
        <v>0</v>
      </c>
      <c r="M345" t="n">
        <v>0</v>
      </c>
      <c r="N345" t="n">
        <v>0</v>
      </c>
      <c r="O345" t="n">
        <v>0</v>
      </c>
      <c r="P345" t="n">
        <v>0</v>
      </c>
      <c r="Q345" t="n">
        <v>0</v>
      </c>
      <c r="R345" s="2" t="inlineStr"/>
    </row>
    <row r="346" ht="15" customHeight="1">
      <c r="A346" t="inlineStr">
        <is>
          <t>A 59964-2025</t>
        </is>
      </c>
      <c r="B346" s="1" t="n">
        <v>45993.48043981481</v>
      </c>
      <c r="C346" s="1" t="n">
        <v>46078</v>
      </c>
      <c r="D346" t="inlineStr">
        <is>
          <t>UPPSALA LÄN</t>
        </is>
      </c>
      <c r="E346" t="inlineStr">
        <is>
          <t>ENKÖPING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60340-2025</t>
        </is>
      </c>
      <c r="B347" s="1" t="n">
        <v>45994.83415509259</v>
      </c>
      <c r="C347" s="1" t="n">
        <v>46078</v>
      </c>
      <c r="D347" t="inlineStr">
        <is>
          <t>UPPSALA LÄN</t>
        </is>
      </c>
      <c r="E347" t="inlineStr">
        <is>
          <t>ENKÖPING</t>
        </is>
      </c>
      <c r="G347" t="n">
        <v>5.6</v>
      </c>
      <c r="H347" t="n">
        <v>0</v>
      </c>
      <c r="I347" t="n">
        <v>0</v>
      </c>
      <c r="J347" t="n">
        <v>0</v>
      </c>
      <c r="K347" t="n">
        <v>0</v>
      </c>
      <c r="L347" t="n">
        <v>0</v>
      </c>
      <c r="M347" t="n">
        <v>0</v>
      </c>
      <c r="N347" t="n">
        <v>0</v>
      </c>
      <c r="O347" t="n">
        <v>0</v>
      </c>
      <c r="P347" t="n">
        <v>0</v>
      </c>
      <c r="Q347" t="n">
        <v>0</v>
      </c>
      <c r="R347" s="2" t="inlineStr"/>
    </row>
    <row r="348" ht="15" customHeight="1">
      <c r="A348" t="inlineStr">
        <is>
          <t>A 59497-2022</t>
        </is>
      </c>
      <c r="B348" s="1" t="n">
        <v>44907.48258101852</v>
      </c>
      <c r="C348" s="1" t="n">
        <v>46078</v>
      </c>
      <c r="D348" t="inlineStr">
        <is>
          <t>UPPSALA LÄN</t>
        </is>
      </c>
      <c r="E348" t="inlineStr">
        <is>
          <t>ENKÖPING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9041-2023</t>
        </is>
      </c>
      <c r="B349" s="1" t="n">
        <v>44979</v>
      </c>
      <c r="C349" s="1" t="n">
        <v>46078</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12755-2025</t>
        </is>
      </c>
      <c r="B350" s="1" t="n">
        <v>45733.56541666666</v>
      </c>
      <c r="C350" s="1" t="n">
        <v>46078</v>
      </c>
      <c r="D350" t="inlineStr">
        <is>
          <t>UPPSALA LÄN</t>
        </is>
      </c>
      <c r="E350" t="inlineStr">
        <is>
          <t>ENKÖPING</t>
        </is>
      </c>
      <c r="G350" t="n">
        <v>0.8</v>
      </c>
      <c r="H350" t="n">
        <v>0</v>
      </c>
      <c r="I350" t="n">
        <v>0</v>
      </c>
      <c r="J350" t="n">
        <v>0</v>
      </c>
      <c r="K350" t="n">
        <v>0</v>
      </c>
      <c r="L350" t="n">
        <v>0</v>
      </c>
      <c r="M350" t="n">
        <v>0</v>
      </c>
      <c r="N350" t="n">
        <v>0</v>
      </c>
      <c r="O350" t="n">
        <v>0</v>
      </c>
      <c r="P350" t="n">
        <v>0</v>
      </c>
      <c r="Q350" t="n">
        <v>0</v>
      </c>
      <c r="R350" s="2" t="inlineStr"/>
    </row>
    <row r="351" ht="15" customHeight="1">
      <c r="A351" t="inlineStr">
        <is>
          <t>A 59027-2024</t>
        </is>
      </c>
      <c r="B351" s="1" t="n">
        <v>45636.68755787037</v>
      </c>
      <c r="C351" s="1" t="n">
        <v>46078</v>
      </c>
      <c r="D351" t="inlineStr">
        <is>
          <t>UPPSALA LÄN</t>
        </is>
      </c>
      <c r="E351" t="inlineStr">
        <is>
          <t>ENKÖPING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60174-2025</t>
        </is>
      </c>
      <c r="B352" s="1" t="n">
        <v>45994.45039351852</v>
      </c>
      <c r="C352" s="1" t="n">
        <v>46078</v>
      </c>
      <c r="D352" t="inlineStr">
        <is>
          <t>UPPSALA LÄN</t>
        </is>
      </c>
      <c r="E352" t="inlineStr">
        <is>
          <t>ENKÖPING</t>
        </is>
      </c>
      <c r="G352" t="n">
        <v>2.8</v>
      </c>
      <c r="H352" t="n">
        <v>0</v>
      </c>
      <c r="I352" t="n">
        <v>0</v>
      </c>
      <c r="J352" t="n">
        <v>0</v>
      </c>
      <c r="K352" t="n">
        <v>0</v>
      </c>
      <c r="L352" t="n">
        <v>0</v>
      </c>
      <c r="M352" t="n">
        <v>0</v>
      </c>
      <c r="N352" t="n">
        <v>0</v>
      </c>
      <c r="O352" t="n">
        <v>0</v>
      </c>
      <c r="P352" t="n">
        <v>0</v>
      </c>
      <c r="Q352" t="n">
        <v>0</v>
      </c>
      <c r="R352" s="2" t="inlineStr"/>
    </row>
    <row r="353" ht="15" customHeight="1">
      <c r="A353" t="inlineStr">
        <is>
          <t>A 2218-2026</t>
        </is>
      </c>
      <c r="B353" s="1" t="n">
        <v>46036.50010416667</v>
      </c>
      <c r="C353" s="1" t="n">
        <v>46078</v>
      </c>
      <c r="D353" t="inlineStr">
        <is>
          <t>UPPSALA LÄN</t>
        </is>
      </c>
      <c r="E353" t="inlineStr">
        <is>
          <t>ENKÖPING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60175-2025</t>
        </is>
      </c>
      <c r="B354" s="1" t="n">
        <v>45994.45378472222</v>
      </c>
      <c r="C354" s="1" t="n">
        <v>46078</v>
      </c>
      <c r="D354" t="inlineStr">
        <is>
          <t>UPPSALA LÄN</t>
        </is>
      </c>
      <c r="E354" t="inlineStr">
        <is>
          <t>ENKÖPING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53587-2024</t>
        </is>
      </c>
      <c r="B355" s="1" t="n">
        <v>45614.66953703704</v>
      </c>
      <c r="C355" s="1" t="n">
        <v>46078</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60947-2025</t>
        </is>
      </c>
      <c r="B356" s="1" t="n">
        <v>45999</v>
      </c>
      <c r="C356" s="1" t="n">
        <v>46078</v>
      </c>
      <c r="D356" t="inlineStr">
        <is>
          <t>UPPSALA LÄN</t>
        </is>
      </c>
      <c r="E356" t="inlineStr">
        <is>
          <t>ENKÖPING</t>
        </is>
      </c>
      <c r="G356" t="n">
        <v>4</v>
      </c>
      <c r="H356" t="n">
        <v>0</v>
      </c>
      <c r="I356" t="n">
        <v>0</v>
      </c>
      <c r="J356" t="n">
        <v>0</v>
      </c>
      <c r="K356" t="n">
        <v>0</v>
      </c>
      <c r="L356" t="n">
        <v>0</v>
      </c>
      <c r="M356" t="n">
        <v>0</v>
      </c>
      <c r="N356" t="n">
        <v>0</v>
      </c>
      <c r="O356" t="n">
        <v>0</v>
      </c>
      <c r="P356" t="n">
        <v>0</v>
      </c>
      <c r="Q356" t="n">
        <v>0</v>
      </c>
      <c r="R356" s="2" t="inlineStr"/>
    </row>
    <row r="357" ht="15" customHeight="1">
      <c r="A357" t="inlineStr">
        <is>
          <t>A 11503-2024</t>
        </is>
      </c>
      <c r="B357" s="1" t="n">
        <v>45372.68020833333</v>
      </c>
      <c r="C357" s="1" t="n">
        <v>46078</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39115-2024</t>
        </is>
      </c>
      <c r="B358" s="1" t="n">
        <v>45548</v>
      </c>
      <c r="C358" s="1" t="n">
        <v>46078</v>
      </c>
      <c r="D358" t="inlineStr">
        <is>
          <t>UPPSALA LÄN</t>
        </is>
      </c>
      <c r="E358" t="inlineStr">
        <is>
          <t>ENKÖPING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25334-2023</t>
        </is>
      </c>
      <c r="B359" s="1" t="n">
        <v>45083</v>
      </c>
      <c r="C359" s="1" t="n">
        <v>46078</v>
      </c>
      <c r="D359" t="inlineStr">
        <is>
          <t>UPPSALA LÄN</t>
        </is>
      </c>
      <c r="E359" t="inlineStr">
        <is>
          <t>ENKÖPING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56837-2024</t>
        </is>
      </c>
      <c r="B360" s="1" t="n">
        <v>45628</v>
      </c>
      <c r="C360" s="1" t="n">
        <v>46078</v>
      </c>
      <c r="D360" t="inlineStr">
        <is>
          <t>UPPSALA LÄN</t>
        </is>
      </c>
      <c r="E360" t="inlineStr">
        <is>
          <t>ENKÖPING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60934-2025</t>
        </is>
      </c>
      <c r="B361" s="1" t="n">
        <v>45999</v>
      </c>
      <c r="C361" s="1" t="n">
        <v>46078</v>
      </c>
      <c r="D361" t="inlineStr">
        <is>
          <t>UPPSALA LÄN</t>
        </is>
      </c>
      <c r="E361" t="inlineStr">
        <is>
          <t>ENKÖPING</t>
        </is>
      </c>
      <c r="G361" t="n">
        <v>2.5</v>
      </c>
      <c r="H361" t="n">
        <v>0</v>
      </c>
      <c r="I361" t="n">
        <v>0</v>
      </c>
      <c r="J361" t="n">
        <v>0</v>
      </c>
      <c r="K361" t="n">
        <v>0</v>
      </c>
      <c r="L361" t="n">
        <v>0</v>
      </c>
      <c r="M361" t="n">
        <v>0</v>
      </c>
      <c r="N361" t="n">
        <v>0</v>
      </c>
      <c r="O361" t="n">
        <v>0</v>
      </c>
      <c r="P361" t="n">
        <v>0</v>
      </c>
      <c r="Q361" t="n">
        <v>0</v>
      </c>
      <c r="R361" s="2" t="inlineStr"/>
    </row>
    <row r="362" ht="15" customHeight="1">
      <c r="A362" t="inlineStr">
        <is>
          <t>A 61437-2025</t>
        </is>
      </c>
      <c r="B362" s="1" t="n">
        <v>46001.5659375</v>
      </c>
      <c r="C362" s="1" t="n">
        <v>46078</v>
      </c>
      <c r="D362" t="inlineStr">
        <is>
          <t>UPPSALA LÄN</t>
        </is>
      </c>
      <c r="E362" t="inlineStr">
        <is>
          <t>ENKÖPING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18821-2023</t>
        </is>
      </c>
      <c r="B363" s="1" t="n">
        <v>45044.3782175926</v>
      </c>
      <c r="C363" s="1" t="n">
        <v>46078</v>
      </c>
      <c r="D363" t="inlineStr">
        <is>
          <t>UPPSALA LÄN</t>
        </is>
      </c>
      <c r="E363" t="inlineStr">
        <is>
          <t>ENKÖPING</t>
        </is>
      </c>
      <c r="G363" t="n">
        <v>6</v>
      </c>
      <c r="H363" t="n">
        <v>0</v>
      </c>
      <c r="I363" t="n">
        <v>0</v>
      </c>
      <c r="J363" t="n">
        <v>0</v>
      </c>
      <c r="K363" t="n">
        <v>0</v>
      </c>
      <c r="L363" t="n">
        <v>0</v>
      </c>
      <c r="M363" t="n">
        <v>0</v>
      </c>
      <c r="N363" t="n">
        <v>0</v>
      </c>
      <c r="O363" t="n">
        <v>0</v>
      </c>
      <c r="P363" t="n">
        <v>0</v>
      </c>
      <c r="Q363" t="n">
        <v>0</v>
      </c>
      <c r="R363" s="2" t="inlineStr"/>
    </row>
    <row r="364" ht="15" customHeight="1">
      <c r="A364" t="inlineStr">
        <is>
          <t>A 57335-2024</t>
        </is>
      </c>
      <c r="B364" s="1" t="n">
        <v>45629.63302083333</v>
      </c>
      <c r="C364" s="1" t="n">
        <v>46078</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29477-2025</t>
        </is>
      </c>
      <c r="B365" s="1" t="n">
        <v>45824.71537037037</v>
      </c>
      <c r="C365" s="1" t="n">
        <v>46078</v>
      </c>
      <c r="D365" t="inlineStr">
        <is>
          <t>UPPSALA LÄN</t>
        </is>
      </c>
      <c r="E365" t="inlineStr">
        <is>
          <t>ENKÖPING</t>
        </is>
      </c>
      <c r="G365" t="n">
        <v>13.4</v>
      </c>
      <c r="H365" t="n">
        <v>0</v>
      </c>
      <c r="I365" t="n">
        <v>0</v>
      </c>
      <c r="J365" t="n">
        <v>0</v>
      </c>
      <c r="K365" t="n">
        <v>0</v>
      </c>
      <c r="L365" t="n">
        <v>0</v>
      </c>
      <c r="M365" t="n">
        <v>0</v>
      </c>
      <c r="N365" t="n">
        <v>0</v>
      </c>
      <c r="O365" t="n">
        <v>0</v>
      </c>
      <c r="P365" t="n">
        <v>0</v>
      </c>
      <c r="Q365" t="n">
        <v>0</v>
      </c>
      <c r="R365" s="2" t="inlineStr"/>
    </row>
    <row r="366" ht="15" customHeight="1">
      <c r="A366" t="inlineStr">
        <is>
          <t>A 61778-2025</t>
        </is>
      </c>
      <c r="B366" s="1" t="n">
        <v>46002.66555555556</v>
      </c>
      <c r="C366" s="1" t="n">
        <v>46078</v>
      </c>
      <c r="D366" t="inlineStr">
        <is>
          <t>UPPSALA LÄN</t>
        </is>
      </c>
      <c r="E366" t="inlineStr">
        <is>
          <t>ENKÖPING</t>
        </is>
      </c>
      <c r="G366" t="n">
        <v>3.2</v>
      </c>
      <c r="H366" t="n">
        <v>0</v>
      </c>
      <c r="I366" t="n">
        <v>0</v>
      </c>
      <c r="J366" t="n">
        <v>0</v>
      </c>
      <c r="K366" t="n">
        <v>0</v>
      </c>
      <c r="L366" t="n">
        <v>0</v>
      </c>
      <c r="M366" t="n">
        <v>0</v>
      </c>
      <c r="N366" t="n">
        <v>0</v>
      </c>
      <c r="O366" t="n">
        <v>0</v>
      </c>
      <c r="P366" t="n">
        <v>0</v>
      </c>
      <c r="Q366" t="n">
        <v>0</v>
      </c>
      <c r="R366" s="2" t="inlineStr"/>
    </row>
    <row r="367" ht="15" customHeight="1">
      <c r="A367" t="inlineStr">
        <is>
          <t>A 61811-2025</t>
        </is>
      </c>
      <c r="B367" s="1" t="n">
        <v>46002.90059027778</v>
      </c>
      <c r="C367" s="1" t="n">
        <v>46078</v>
      </c>
      <c r="D367" t="inlineStr">
        <is>
          <t>UPPSALA LÄN</t>
        </is>
      </c>
      <c r="E367" t="inlineStr">
        <is>
          <t>ENKÖPING</t>
        </is>
      </c>
      <c r="F367" t="inlineStr">
        <is>
          <t>Allmännings- och besparingsskogar</t>
        </is>
      </c>
      <c r="G367" t="n">
        <v>4.7</v>
      </c>
      <c r="H367" t="n">
        <v>0</v>
      </c>
      <c r="I367" t="n">
        <v>0</v>
      </c>
      <c r="J367" t="n">
        <v>0</v>
      </c>
      <c r="K367" t="n">
        <v>0</v>
      </c>
      <c r="L367" t="n">
        <v>0</v>
      </c>
      <c r="M367" t="n">
        <v>0</v>
      </c>
      <c r="N367" t="n">
        <v>0</v>
      </c>
      <c r="O367" t="n">
        <v>0</v>
      </c>
      <c r="P367" t="n">
        <v>0</v>
      </c>
      <c r="Q367" t="n">
        <v>0</v>
      </c>
      <c r="R367" s="2" t="inlineStr"/>
    </row>
    <row r="368" ht="15" customHeight="1">
      <c r="A368" t="inlineStr">
        <is>
          <t>A 38941-2025</t>
        </is>
      </c>
      <c r="B368" s="1" t="n">
        <v>45887</v>
      </c>
      <c r="C368" s="1" t="n">
        <v>46078</v>
      </c>
      <c r="D368" t="inlineStr">
        <is>
          <t>UPPSALA LÄN</t>
        </is>
      </c>
      <c r="E368" t="inlineStr">
        <is>
          <t>ENKÖPING</t>
        </is>
      </c>
      <c r="F368" t="inlineStr">
        <is>
          <t>Övriga statliga verk och myndigheter</t>
        </is>
      </c>
      <c r="G368" t="n">
        <v>0.6</v>
      </c>
      <c r="H368" t="n">
        <v>0</v>
      </c>
      <c r="I368" t="n">
        <v>0</v>
      </c>
      <c r="J368" t="n">
        <v>0</v>
      </c>
      <c r="K368" t="n">
        <v>0</v>
      </c>
      <c r="L368" t="n">
        <v>0</v>
      </c>
      <c r="M368" t="n">
        <v>0</v>
      </c>
      <c r="N368" t="n">
        <v>0</v>
      </c>
      <c r="O368" t="n">
        <v>0</v>
      </c>
      <c r="P368" t="n">
        <v>0</v>
      </c>
      <c r="Q368" t="n">
        <v>0</v>
      </c>
      <c r="R368" s="2" t="inlineStr"/>
    </row>
    <row r="369" ht="15" customHeight="1">
      <c r="A369" t="inlineStr">
        <is>
          <t>A 57835-2024</t>
        </is>
      </c>
      <c r="B369" s="1" t="n">
        <v>45631.39947916667</v>
      </c>
      <c r="C369" s="1" t="n">
        <v>46078</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53208-2023</t>
        </is>
      </c>
      <c r="B370" s="1" t="n">
        <v>45226</v>
      </c>
      <c r="C370" s="1" t="n">
        <v>46078</v>
      </c>
      <c r="D370" t="inlineStr">
        <is>
          <t>UPPSALA LÄN</t>
        </is>
      </c>
      <c r="E370" t="inlineStr">
        <is>
          <t>ENKÖPING</t>
        </is>
      </c>
      <c r="G370" t="n">
        <v>4.3</v>
      </c>
      <c r="H370" t="n">
        <v>0</v>
      </c>
      <c r="I370" t="n">
        <v>0</v>
      </c>
      <c r="J370" t="n">
        <v>0</v>
      </c>
      <c r="K370" t="n">
        <v>0</v>
      </c>
      <c r="L370" t="n">
        <v>0</v>
      </c>
      <c r="M370" t="n">
        <v>0</v>
      </c>
      <c r="N370" t="n">
        <v>0</v>
      </c>
      <c r="O370" t="n">
        <v>0</v>
      </c>
      <c r="P370" t="n">
        <v>0</v>
      </c>
      <c r="Q370" t="n">
        <v>0</v>
      </c>
      <c r="R370" s="2" t="inlineStr"/>
    </row>
    <row r="371" ht="15" customHeight="1">
      <c r="A371" t="inlineStr">
        <is>
          <t>A 19013-2025</t>
        </is>
      </c>
      <c r="B371" s="1" t="n">
        <v>45764.59533564815</v>
      </c>
      <c r="C371" s="1" t="n">
        <v>46078</v>
      </c>
      <c r="D371" t="inlineStr">
        <is>
          <t>UPPSALA LÄN</t>
        </is>
      </c>
      <c r="E371" t="inlineStr">
        <is>
          <t>ENKÖPING</t>
        </is>
      </c>
      <c r="G371" t="n">
        <v>1</v>
      </c>
      <c r="H371" t="n">
        <v>0</v>
      </c>
      <c r="I371" t="n">
        <v>0</v>
      </c>
      <c r="J371" t="n">
        <v>0</v>
      </c>
      <c r="K371" t="n">
        <v>0</v>
      </c>
      <c r="L371" t="n">
        <v>0</v>
      </c>
      <c r="M371" t="n">
        <v>0</v>
      </c>
      <c r="N371" t="n">
        <v>0</v>
      </c>
      <c r="O371" t="n">
        <v>0</v>
      </c>
      <c r="P371" t="n">
        <v>0</v>
      </c>
      <c r="Q371" t="n">
        <v>0</v>
      </c>
      <c r="R371" s="2" t="inlineStr"/>
    </row>
    <row r="372" ht="15" customHeight="1">
      <c r="A372" t="inlineStr">
        <is>
          <t>A 61889-2025</t>
        </is>
      </c>
      <c r="B372" s="1" t="n">
        <v>46003.44765046296</v>
      </c>
      <c r="C372" s="1" t="n">
        <v>46078</v>
      </c>
      <c r="D372" t="inlineStr">
        <is>
          <t>UPPSALA LÄN</t>
        </is>
      </c>
      <c r="E372" t="inlineStr">
        <is>
          <t>ENKÖPING</t>
        </is>
      </c>
      <c r="G372" t="n">
        <v>2.3</v>
      </c>
      <c r="H372" t="n">
        <v>0</v>
      </c>
      <c r="I372" t="n">
        <v>0</v>
      </c>
      <c r="J372" t="n">
        <v>0</v>
      </c>
      <c r="K372" t="n">
        <v>0</v>
      </c>
      <c r="L372" t="n">
        <v>0</v>
      </c>
      <c r="M372" t="n">
        <v>0</v>
      </c>
      <c r="N372" t="n">
        <v>0</v>
      </c>
      <c r="O372" t="n">
        <v>0</v>
      </c>
      <c r="P372" t="n">
        <v>0</v>
      </c>
      <c r="Q372" t="n">
        <v>0</v>
      </c>
      <c r="R372" s="2" t="inlineStr"/>
    </row>
    <row r="373" ht="15" customHeight="1">
      <c r="A373" t="inlineStr">
        <is>
          <t>A 2164-2023</t>
        </is>
      </c>
      <c r="B373" s="1" t="n">
        <v>44941</v>
      </c>
      <c r="C373" s="1" t="n">
        <v>46078</v>
      </c>
      <c r="D373" t="inlineStr">
        <is>
          <t>UPPSALA LÄN</t>
        </is>
      </c>
      <c r="E373" t="inlineStr">
        <is>
          <t>ENKÖPING</t>
        </is>
      </c>
      <c r="G373" t="n">
        <v>2.5</v>
      </c>
      <c r="H373" t="n">
        <v>0</v>
      </c>
      <c r="I373" t="n">
        <v>0</v>
      </c>
      <c r="J373" t="n">
        <v>0</v>
      </c>
      <c r="K373" t="n">
        <v>0</v>
      </c>
      <c r="L373" t="n">
        <v>0</v>
      </c>
      <c r="M373" t="n">
        <v>0</v>
      </c>
      <c r="N373" t="n">
        <v>0</v>
      </c>
      <c r="O373" t="n">
        <v>0</v>
      </c>
      <c r="P373" t="n">
        <v>0</v>
      </c>
      <c r="Q373" t="n">
        <v>0</v>
      </c>
      <c r="R373" s="2" t="inlineStr"/>
    </row>
    <row r="374" ht="15" customHeight="1">
      <c r="A374" t="inlineStr">
        <is>
          <t>A 61952-2021</t>
        </is>
      </c>
      <c r="B374" s="1" t="n">
        <v>44502</v>
      </c>
      <c r="C374" s="1" t="n">
        <v>46078</v>
      </c>
      <c r="D374" t="inlineStr">
        <is>
          <t>UPPSALA LÄN</t>
        </is>
      </c>
      <c r="E374" t="inlineStr">
        <is>
          <t>ENKÖPING</t>
        </is>
      </c>
      <c r="G374" t="n">
        <v>2.3</v>
      </c>
      <c r="H374" t="n">
        <v>0</v>
      </c>
      <c r="I374" t="n">
        <v>0</v>
      </c>
      <c r="J374" t="n">
        <v>0</v>
      </c>
      <c r="K374" t="n">
        <v>0</v>
      </c>
      <c r="L374" t="n">
        <v>0</v>
      </c>
      <c r="M374" t="n">
        <v>0</v>
      </c>
      <c r="N374" t="n">
        <v>0</v>
      </c>
      <c r="O374" t="n">
        <v>0</v>
      </c>
      <c r="P374" t="n">
        <v>0</v>
      </c>
      <c r="Q374" t="n">
        <v>0</v>
      </c>
      <c r="R374" s="2" t="inlineStr"/>
    </row>
    <row r="375" ht="15" customHeight="1">
      <c r="A375" t="inlineStr">
        <is>
          <t>A 14083-2025</t>
        </is>
      </c>
      <c r="B375" s="1" t="n">
        <v>45740</v>
      </c>
      <c r="C375" s="1" t="n">
        <v>46078</v>
      </c>
      <c r="D375" t="inlineStr">
        <is>
          <t>UPPSALA LÄN</t>
        </is>
      </c>
      <c r="E375" t="inlineStr">
        <is>
          <t>ENKÖPING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69879-2021</t>
        </is>
      </c>
      <c r="B376" s="1" t="n">
        <v>44532</v>
      </c>
      <c r="C376" s="1" t="n">
        <v>46078</v>
      </c>
      <c r="D376" t="inlineStr">
        <is>
          <t>UPPSALA LÄN</t>
        </is>
      </c>
      <c r="E376" t="inlineStr">
        <is>
          <t>ENKÖPING</t>
        </is>
      </c>
      <c r="G376" t="n">
        <v>4.2</v>
      </c>
      <c r="H376" t="n">
        <v>0</v>
      </c>
      <c r="I376" t="n">
        <v>0</v>
      </c>
      <c r="J376" t="n">
        <v>0</v>
      </c>
      <c r="K376" t="n">
        <v>0</v>
      </c>
      <c r="L376" t="n">
        <v>0</v>
      </c>
      <c r="M376" t="n">
        <v>0</v>
      </c>
      <c r="N376" t="n">
        <v>0</v>
      </c>
      <c r="O376" t="n">
        <v>0</v>
      </c>
      <c r="P376" t="n">
        <v>0</v>
      </c>
      <c r="Q376" t="n">
        <v>0</v>
      </c>
      <c r="R376" s="2" t="inlineStr"/>
    </row>
    <row r="377" ht="15" customHeight="1">
      <c r="A377" t="inlineStr">
        <is>
          <t>A 5104-2026</t>
        </is>
      </c>
      <c r="B377" s="1" t="n">
        <v>46049.56914351852</v>
      </c>
      <c r="C377" s="1" t="n">
        <v>46078</v>
      </c>
      <c r="D377" t="inlineStr">
        <is>
          <t>UPPSALA LÄN</t>
        </is>
      </c>
      <c r="E377" t="inlineStr">
        <is>
          <t>ENKÖPING</t>
        </is>
      </c>
      <c r="G377" t="n">
        <v>2.3</v>
      </c>
      <c r="H377" t="n">
        <v>0</v>
      </c>
      <c r="I377" t="n">
        <v>0</v>
      </c>
      <c r="J377" t="n">
        <v>0</v>
      </c>
      <c r="K377" t="n">
        <v>0</v>
      </c>
      <c r="L377" t="n">
        <v>0</v>
      </c>
      <c r="M377" t="n">
        <v>0</v>
      </c>
      <c r="N377" t="n">
        <v>0</v>
      </c>
      <c r="O377" t="n">
        <v>0</v>
      </c>
      <c r="P377" t="n">
        <v>0</v>
      </c>
      <c r="Q377" t="n">
        <v>0</v>
      </c>
      <c r="R377" s="2" t="inlineStr"/>
    </row>
    <row r="378" ht="15" customHeight="1">
      <c r="A378" t="inlineStr">
        <is>
          <t>A 62599-2025</t>
        </is>
      </c>
      <c r="B378" s="1" t="n">
        <v>46007.91961805556</v>
      </c>
      <c r="C378" s="1" t="n">
        <v>46078</v>
      </c>
      <c r="D378" t="inlineStr">
        <is>
          <t>UPPSALA LÄN</t>
        </is>
      </c>
      <c r="E378" t="inlineStr">
        <is>
          <t>ENKÖPING</t>
        </is>
      </c>
      <c r="G378" t="n">
        <v>1.6</v>
      </c>
      <c r="H378" t="n">
        <v>0</v>
      </c>
      <c r="I378" t="n">
        <v>0</v>
      </c>
      <c r="J378" t="n">
        <v>0</v>
      </c>
      <c r="K378" t="n">
        <v>0</v>
      </c>
      <c r="L378" t="n">
        <v>0</v>
      </c>
      <c r="M378" t="n">
        <v>0</v>
      </c>
      <c r="N378" t="n">
        <v>0</v>
      </c>
      <c r="O378" t="n">
        <v>0</v>
      </c>
      <c r="P378" t="n">
        <v>0</v>
      </c>
      <c r="Q378" t="n">
        <v>0</v>
      </c>
      <c r="R378" s="2" t="inlineStr"/>
    </row>
    <row r="379" ht="15" customHeight="1">
      <c r="A379" t="inlineStr">
        <is>
          <t>A 5569-2026</t>
        </is>
      </c>
      <c r="B379" s="1" t="n">
        <v>46050.89431712963</v>
      </c>
      <c r="C379" s="1" t="n">
        <v>46078</v>
      </c>
      <c r="D379" t="inlineStr">
        <is>
          <t>UPPSALA LÄN</t>
        </is>
      </c>
      <c r="E379" t="inlineStr">
        <is>
          <t>ENKÖPING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62772-2025</t>
        </is>
      </c>
      <c r="B380" s="1" t="n">
        <v>46008.60365740741</v>
      </c>
      <c r="C380" s="1" t="n">
        <v>46078</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63128-2025</t>
        </is>
      </c>
      <c r="B381" s="1" t="n">
        <v>46009</v>
      </c>
      <c r="C381" s="1" t="n">
        <v>46078</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62600-2025</t>
        </is>
      </c>
      <c r="B382" s="1" t="n">
        <v>46007.92175925926</v>
      </c>
      <c r="C382" s="1" t="n">
        <v>46078</v>
      </c>
      <c r="D382" t="inlineStr">
        <is>
          <t>UPPSALA LÄN</t>
        </is>
      </c>
      <c r="E382" t="inlineStr">
        <is>
          <t>ENKÖPING</t>
        </is>
      </c>
      <c r="G382" t="n">
        <v>2</v>
      </c>
      <c r="H382" t="n">
        <v>0</v>
      </c>
      <c r="I382" t="n">
        <v>0</v>
      </c>
      <c r="J382" t="n">
        <v>0</v>
      </c>
      <c r="K382" t="n">
        <v>0</v>
      </c>
      <c r="L382" t="n">
        <v>0</v>
      </c>
      <c r="M382" t="n">
        <v>0</v>
      </c>
      <c r="N382" t="n">
        <v>0</v>
      </c>
      <c r="O382" t="n">
        <v>0</v>
      </c>
      <c r="P382" t="n">
        <v>0</v>
      </c>
      <c r="Q382" t="n">
        <v>0</v>
      </c>
      <c r="R382" s="2" t="inlineStr"/>
    </row>
    <row r="383" ht="15" customHeight="1">
      <c r="A383" t="inlineStr">
        <is>
          <t>A 62602-2025</t>
        </is>
      </c>
      <c r="B383" s="1" t="n">
        <v>46007.92581018519</v>
      </c>
      <c r="C383" s="1" t="n">
        <v>46078</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15757-2023</t>
        </is>
      </c>
      <c r="B384" s="1" t="n">
        <v>45021</v>
      </c>
      <c r="C384" s="1" t="n">
        <v>46078</v>
      </c>
      <c r="D384" t="inlineStr">
        <is>
          <t>UPPSALA LÄN</t>
        </is>
      </c>
      <c r="E384" t="inlineStr">
        <is>
          <t>ENKÖPING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62601-2025</t>
        </is>
      </c>
      <c r="B385" s="1" t="n">
        <v>46007.92395833333</v>
      </c>
      <c r="C385" s="1" t="n">
        <v>46078</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2161-2023</t>
        </is>
      </c>
      <c r="B386" s="1" t="n">
        <v>44941</v>
      </c>
      <c r="C386" s="1" t="n">
        <v>46078</v>
      </c>
      <c r="D386" t="inlineStr">
        <is>
          <t>UPPSALA LÄN</t>
        </is>
      </c>
      <c r="E386" t="inlineStr">
        <is>
          <t>ENKÖPING</t>
        </is>
      </c>
      <c r="G386" t="n">
        <v>0.9</v>
      </c>
      <c r="H386" t="n">
        <v>0</v>
      </c>
      <c r="I386" t="n">
        <v>0</v>
      </c>
      <c r="J386" t="n">
        <v>0</v>
      </c>
      <c r="K386" t="n">
        <v>0</v>
      </c>
      <c r="L386" t="n">
        <v>0</v>
      </c>
      <c r="M386" t="n">
        <v>0</v>
      </c>
      <c r="N386" t="n">
        <v>0</v>
      </c>
      <c r="O386" t="n">
        <v>0</v>
      </c>
      <c r="P386" t="n">
        <v>0</v>
      </c>
      <c r="Q386" t="n">
        <v>0</v>
      </c>
      <c r="R386" s="2" t="inlineStr"/>
    </row>
    <row r="387" ht="15" customHeight="1">
      <c r="A387" t="inlineStr">
        <is>
          <t>A 2165-2023</t>
        </is>
      </c>
      <c r="B387" s="1" t="n">
        <v>44941</v>
      </c>
      <c r="C387" s="1" t="n">
        <v>46078</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20112-2024</t>
        </is>
      </c>
      <c r="B388" s="1" t="n">
        <v>45434</v>
      </c>
      <c r="C388" s="1" t="n">
        <v>46078</v>
      </c>
      <c r="D388" t="inlineStr">
        <is>
          <t>UPPSALA LÄN</t>
        </is>
      </c>
      <c r="E388" t="inlineStr">
        <is>
          <t>ENKÖPING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6047-2026</t>
        </is>
      </c>
      <c r="B389" s="1" t="n">
        <v>46052.62738425926</v>
      </c>
      <c r="C389" s="1" t="n">
        <v>46078</v>
      </c>
      <c r="D389" t="inlineStr">
        <is>
          <t>UPPSALA LÄN</t>
        </is>
      </c>
      <c r="E389" t="inlineStr">
        <is>
          <t>ENKÖPING</t>
        </is>
      </c>
      <c r="G389" t="n">
        <v>0.9</v>
      </c>
      <c r="H389" t="n">
        <v>0</v>
      </c>
      <c r="I389" t="n">
        <v>0</v>
      </c>
      <c r="J389" t="n">
        <v>0</v>
      </c>
      <c r="K389" t="n">
        <v>0</v>
      </c>
      <c r="L389" t="n">
        <v>0</v>
      </c>
      <c r="M389" t="n">
        <v>0</v>
      </c>
      <c r="N389" t="n">
        <v>0</v>
      </c>
      <c r="O389" t="n">
        <v>0</v>
      </c>
      <c r="P389" t="n">
        <v>0</v>
      </c>
      <c r="Q389" t="n">
        <v>0</v>
      </c>
      <c r="R389" s="2" t="inlineStr"/>
    </row>
    <row r="390" ht="15" customHeight="1">
      <c r="A390" t="inlineStr">
        <is>
          <t>A 6031-2026</t>
        </is>
      </c>
      <c r="B390" s="1" t="n">
        <v>46052.61201388889</v>
      </c>
      <c r="C390" s="1" t="n">
        <v>46078</v>
      </c>
      <c r="D390" t="inlineStr">
        <is>
          <t>UPPSALA LÄN</t>
        </is>
      </c>
      <c r="E390" t="inlineStr">
        <is>
          <t>ENKÖPING</t>
        </is>
      </c>
      <c r="G390" t="n">
        <v>4.1</v>
      </c>
      <c r="H390" t="n">
        <v>0</v>
      </c>
      <c r="I390" t="n">
        <v>0</v>
      </c>
      <c r="J390" t="n">
        <v>0</v>
      </c>
      <c r="K390" t="n">
        <v>0</v>
      </c>
      <c r="L390" t="n">
        <v>0</v>
      </c>
      <c r="M390" t="n">
        <v>0</v>
      </c>
      <c r="N390" t="n">
        <v>0</v>
      </c>
      <c r="O390" t="n">
        <v>0</v>
      </c>
      <c r="P390" t="n">
        <v>0</v>
      </c>
      <c r="Q390" t="n">
        <v>0</v>
      </c>
      <c r="R390" s="2" t="inlineStr"/>
    </row>
    <row r="391" ht="15" customHeight="1">
      <c r="A391" t="inlineStr">
        <is>
          <t>A 6049-2026</t>
        </is>
      </c>
      <c r="B391" s="1" t="n">
        <v>46052.63005787037</v>
      </c>
      <c r="C391" s="1" t="n">
        <v>46078</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2162-2023</t>
        </is>
      </c>
      <c r="B392" s="1" t="n">
        <v>44941</v>
      </c>
      <c r="C392" s="1" t="n">
        <v>46078</v>
      </c>
      <c r="D392" t="inlineStr">
        <is>
          <t>UPPSALA LÄN</t>
        </is>
      </c>
      <c r="E392" t="inlineStr">
        <is>
          <t>ENKÖPING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32081-2024</t>
        </is>
      </c>
      <c r="B393" s="1" t="n">
        <v>45511.34605324074</v>
      </c>
      <c r="C393" s="1" t="n">
        <v>46078</v>
      </c>
      <c r="D393" t="inlineStr">
        <is>
          <t>UPPSALA LÄN</t>
        </is>
      </c>
      <c r="E393" t="inlineStr">
        <is>
          <t>ENKÖPING</t>
        </is>
      </c>
      <c r="G393" t="n">
        <v>5.4</v>
      </c>
      <c r="H393" t="n">
        <v>0</v>
      </c>
      <c r="I393" t="n">
        <v>0</v>
      </c>
      <c r="J393" t="n">
        <v>0</v>
      </c>
      <c r="K393" t="n">
        <v>0</v>
      </c>
      <c r="L393" t="n">
        <v>0</v>
      </c>
      <c r="M393" t="n">
        <v>0</v>
      </c>
      <c r="N393" t="n">
        <v>0</v>
      </c>
      <c r="O393" t="n">
        <v>0</v>
      </c>
      <c r="P393" t="n">
        <v>0</v>
      </c>
      <c r="Q393" t="n">
        <v>0</v>
      </c>
      <c r="R393" s="2" t="inlineStr"/>
    </row>
    <row r="394" ht="15" customHeight="1">
      <c r="A394" t="inlineStr">
        <is>
          <t>A 5953-2026</t>
        </is>
      </c>
      <c r="B394" s="1" t="n">
        <v>46052.49119212963</v>
      </c>
      <c r="C394" s="1" t="n">
        <v>46078</v>
      </c>
      <c r="D394" t="inlineStr">
        <is>
          <t>UPPSALA LÄN</t>
        </is>
      </c>
      <c r="E394" t="inlineStr">
        <is>
          <t>ENKÖPING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6041-2026</t>
        </is>
      </c>
      <c r="B395" s="1" t="n">
        <v>46052.62184027778</v>
      </c>
      <c r="C395" s="1" t="n">
        <v>46078</v>
      </c>
      <c r="D395" t="inlineStr">
        <is>
          <t>UPPSALA LÄN</t>
        </is>
      </c>
      <c r="E395" t="inlineStr">
        <is>
          <t>ENKÖPING</t>
        </is>
      </c>
      <c r="G395" t="n">
        <v>4</v>
      </c>
      <c r="H395" t="n">
        <v>0</v>
      </c>
      <c r="I395" t="n">
        <v>0</v>
      </c>
      <c r="J395" t="n">
        <v>0</v>
      </c>
      <c r="K395" t="n">
        <v>0</v>
      </c>
      <c r="L395" t="n">
        <v>0</v>
      </c>
      <c r="M395" t="n">
        <v>0</v>
      </c>
      <c r="N395" t="n">
        <v>0</v>
      </c>
      <c r="O395" t="n">
        <v>0</v>
      </c>
      <c r="P395" t="n">
        <v>0</v>
      </c>
      <c r="Q395" t="n">
        <v>0</v>
      </c>
      <c r="R395" s="2" t="inlineStr"/>
    </row>
    <row r="396" ht="15" customHeight="1">
      <c r="A396" t="inlineStr">
        <is>
          <t>A 6044-2026</t>
        </is>
      </c>
      <c r="B396" s="1" t="n">
        <v>46052.62506944445</v>
      </c>
      <c r="C396" s="1" t="n">
        <v>46078</v>
      </c>
      <c r="D396" t="inlineStr">
        <is>
          <t>UPPSALA LÄN</t>
        </is>
      </c>
      <c r="E396" t="inlineStr">
        <is>
          <t>ENKÖPING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5948-2026</t>
        </is>
      </c>
      <c r="B397" s="1" t="n">
        <v>46052</v>
      </c>
      <c r="C397" s="1" t="n">
        <v>46078</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2968-2025</t>
        </is>
      </c>
      <c r="B398" s="1" t="n">
        <v>45678</v>
      </c>
      <c r="C398" s="1" t="n">
        <v>46078</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49525-2021</t>
        </is>
      </c>
      <c r="B399" s="1" t="n">
        <v>44455</v>
      </c>
      <c r="C399" s="1" t="n">
        <v>46078</v>
      </c>
      <c r="D399" t="inlineStr">
        <is>
          <t>UPPSALA LÄN</t>
        </is>
      </c>
      <c r="E399" t="inlineStr">
        <is>
          <t>ENKÖPING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6959-2025</t>
        </is>
      </c>
      <c r="B400" s="1" t="n">
        <v>45701.49315972222</v>
      </c>
      <c r="C400" s="1" t="n">
        <v>46078</v>
      </c>
      <c r="D400" t="inlineStr">
        <is>
          <t>UPPSALA LÄN</t>
        </is>
      </c>
      <c r="E400" t="inlineStr">
        <is>
          <t>ENKÖPING</t>
        </is>
      </c>
      <c r="G400" t="n">
        <v>1.8</v>
      </c>
      <c r="H400" t="n">
        <v>0</v>
      </c>
      <c r="I400" t="n">
        <v>0</v>
      </c>
      <c r="J400" t="n">
        <v>0</v>
      </c>
      <c r="K400" t="n">
        <v>0</v>
      </c>
      <c r="L400" t="n">
        <v>0</v>
      </c>
      <c r="M400" t="n">
        <v>0</v>
      </c>
      <c r="N400" t="n">
        <v>0</v>
      </c>
      <c r="O400" t="n">
        <v>0</v>
      </c>
      <c r="P400" t="n">
        <v>0</v>
      </c>
      <c r="Q400" t="n">
        <v>0</v>
      </c>
      <c r="R400" s="2" t="inlineStr"/>
    </row>
    <row r="401" ht="15" customHeight="1">
      <c r="A401" t="inlineStr">
        <is>
          <t>A 7008-2026</t>
        </is>
      </c>
      <c r="B401" s="1" t="n">
        <v>46057.63806712963</v>
      </c>
      <c r="C401" s="1" t="n">
        <v>46078</v>
      </c>
      <c r="D401" t="inlineStr">
        <is>
          <t>UPPSALA LÄN</t>
        </is>
      </c>
      <c r="E401" t="inlineStr">
        <is>
          <t>ENKÖPING</t>
        </is>
      </c>
      <c r="G401" t="n">
        <v>1</v>
      </c>
      <c r="H401" t="n">
        <v>0</v>
      </c>
      <c r="I401" t="n">
        <v>0</v>
      </c>
      <c r="J401" t="n">
        <v>0</v>
      </c>
      <c r="K401" t="n">
        <v>0</v>
      </c>
      <c r="L401" t="n">
        <v>0</v>
      </c>
      <c r="M401" t="n">
        <v>0</v>
      </c>
      <c r="N401" t="n">
        <v>0</v>
      </c>
      <c r="O401" t="n">
        <v>0</v>
      </c>
      <c r="P401" t="n">
        <v>0</v>
      </c>
      <c r="Q401" t="n">
        <v>0</v>
      </c>
      <c r="R401" s="2" t="inlineStr"/>
    </row>
    <row r="402" ht="15" customHeight="1">
      <c r="A402" t="inlineStr">
        <is>
          <t>A 7003-2026</t>
        </is>
      </c>
      <c r="B402" s="1" t="n">
        <v>46057.63243055555</v>
      </c>
      <c r="C402" s="1" t="n">
        <v>46078</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30437-2022</t>
        </is>
      </c>
      <c r="B403" s="1" t="n">
        <v>44761</v>
      </c>
      <c r="C403" s="1" t="n">
        <v>46078</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51011-2024</t>
        </is>
      </c>
      <c r="B404" s="1" t="n">
        <v>45603.39427083333</v>
      </c>
      <c r="C404" s="1" t="n">
        <v>46078</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26319-2022</t>
        </is>
      </c>
      <c r="B405" s="1" t="n">
        <v>44735</v>
      </c>
      <c r="C405" s="1" t="n">
        <v>46078</v>
      </c>
      <c r="D405" t="inlineStr">
        <is>
          <t>UPPSALA LÄN</t>
        </is>
      </c>
      <c r="E405" t="inlineStr">
        <is>
          <t>ENKÖPING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7167-2026</t>
        </is>
      </c>
      <c r="B406" s="1" t="n">
        <v>46058.45677083333</v>
      </c>
      <c r="C406" s="1" t="n">
        <v>46078</v>
      </c>
      <c r="D406" t="inlineStr">
        <is>
          <t>UPPSALA LÄN</t>
        </is>
      </c>
      <c r="E406" t="inlineStr">
        <is>
          <t>ENKÖPING</t>
        </is>
      </c>
      <c r="G406" t="n">
        <v>0.9</v>
      </c>
      <c r="H406" t="n">
        <v>0</v>
      </c>
      <c r="I406" t="n">
        <v>0</v>
      </c>
      <c r="J406" t="n">
        <v>0</v>
      </c>
      <c r="K406" t="n">
        <v>0</v>
      </c>
      <c r="L406" t="n">
        <v>0</v>
      </c>
      <c r="M406" t="n">
        <v>0</v>
      </c>
      <c r="N406" t="n">
        <v>0</v>
      </c>
      <c r="O406" t="n">
        <v>0</v>
      </c>
      <c r="P406" t="n">
        <v>0</v>
      </c>
      <c r="Q406" t="n">
        <v>0</v>
      </c>
      <c r="R406" s="2" t="inlineStr"/>
    </row>
    <row r="407" ht="15" customHeight="1">
      <c r="A407" t="inlineStr">
        <is>
          <t>A 7168-2026</t>
        </is>
      </c>
      <c r="B407" s="1" t="n">
        <v>46058.45831018518</v>
      </c>
      <c r="C407" s="1" t="n">
        <v>46078</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7175-2026</t>
        </is>
      </c>
      <c r="B408" s="1" t="n">
        <v>46058.46399305556</v>
      </c>
      <c r="C408" s="1" t="n">
        <v>46078</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29918-2023</t>
        </is>
      </c>
      <c r="B409" s="1" t="n">
        <v>45099</v>
      </c>
      <c r="C409" s="1" t="n">
        <v>46078</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7172-2026</t>
        </is>
      </c>
      <c r="B410" s="1" t="n">
        <v>46058.46113425926</v>
      </c>
      <c r="C410" s="1" t="n">
        <v>46078</v>
      </c>
      <c r="D410" t="inlineStr">
        <is>
          <t>UPPSALA LÄN</t>
        </is>
      </c>
      <c r="E410" t="inlineStr">
        <is>
          <t>ENKÖPING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24291-2024</t>
        </is>
      </c>
      <c r="B411" s="1" t="n">
        <v>45457.4584837963</v>
      </c>
      <c r="C411" s="1" t="n">
        <v>46078</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60848-2025</t>
        </is>
      </c>
      <c r="B412" s="1" t="n">
        <v>45999</v>
      </c>
      <c r="C412" s="1" t="n">
        <v>46078</v>
      </c>
      <c r="D412" t="inlineStr">
        <is>
          <t>UPPSALA LÄN</t>
        </is>
      </c>
      <c r="E412" t="inlineStr">
        <is>
          <t>ENKÖPING</t>
        </is>
      </c>
      <c r="G412" t="n">
        <v>2.5</v>
      </c>
      <c r="H412" t="n">
        <v>0</v>
      </c>
      <c r="I412" t="n">
        <v>0</v>
      </c>
      <c r="J412" t="n">
        <v>0</v>
      </c>
      <c r="K412" t="n">
        <v>0</v>
      </c>
      <c r="L412" t="n">
        <v>0</v>
      </c>
      <c r="M412" t="n">
        <v>0</v>
      </c>
      <c r="N412" t="n">
        <v>0</v>
      </c>
      <c r="O412" t="n">
        <v>0</v>
      </c>
      <c r="P412" t="n">
        <v>0</v>
      </c>
      <c r="Q412" t="n">
        <v>0</v>
      </c>
      <c r="R412" s="2" t="inlineStr"/>
    </row>
    <row r="413" ht="15" customHeight="1">
      <c r="A413" t="inlineStr">
        <is>
          <t>A 2258-2026</t>
        </is>
      </c>
      <c r="B413" s="1" t="n">
        <v>46036</v>
      </c>
      <c r="C413" s="1" t="n">
        <v>46078</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8309-2026</t>
        </is>
      </c>
      <c r="B414" s="1" t="n">
        <v>46064.59081018518</v>
      </c>
      <c r="C414" s="1" t="n">
        <v>46078</v>
      </c>
      <c r="D414" t="inlineStr">
        <is>
          <t>UPPSALA LÄN</t>
        </is>
      </c>
      <c r="E414" t="inlineStr">
        <is>
          <t>ENKÖPING</t>
        </is>
      </c>
      <c r="G414" t="n">
        <v>1.9</v>
      </c>
      <c r="H414" t="n">
        <v>0</v>
      </c>
      <c r="I414" t="n">
        <v>0</v>
      </c>
      <c r="J414" t="n">
        <v>0</v>
      </c>
      <c r="K414" t="n">
        <v>0</v>
      </c>
      <c r="L414" t="n">
        <v>0</v>
      </c>
      <c r="M414" t="n">
        <v>0</v>
      </c>
      <c r="N414" t="n">
        <v>0</v>
      </c>
      <c r="O414" t="n">
        <v>0</v>
      </c>
      <c r="P414" t="n">
        <v>0</v>
      </c>
      <c r="Q414" t="n">
        <v>0</v>
      </c>
      <c r="R414" s="2" t="inlineStr"/>
    </row>
    <row r="415" ht="15" customHeight="1">
      <c r="A415" t="inlineStr">
        <is>
          <t>A 2833-2025</t>
        </is>
      </c>
      <c r="B415" s="1" t="n">
        <v>45677.63206018518</v>
      </c>
      <c r="C415" s="1" t="n">
        <v>46078</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50006-2023</t>
        </is>
      </c>
      <c r="B416" s="1" t="n">
        <v>45215</v>
      </c>
      <c r="C416" s="1" t="n">
        <v>46078</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56526-2022</t>
        </is>
      </c>
      <c r="B417" s="1" t="n">
        <v>44893</v>
      </c>
      <c r="C417" s="1" t="n">
        <v>46078</v>
      </c>
      <c r="D417" t="inlineStr">
        <is>
          <t>UPPSALA LÄN</t>
        </is>
      </c>
      <c r="E417" t="inlineStr">
        <is>
          <t>ENKÖPING</t>
        </is>
      </c>
      <c r="G417" t="n">
        <v>3.8</v>
      </c>
      <c r="H417" t="n">
        <v>0</v>
      </c>
      <c r="I417" t="n">
        <v>0</v>
      </c>
      <c r="J417" t="n">
        <v>0</v>
      </c>
      <c r="K417" t="n">
        <v>0</v>
      </c>
      <c r="L417" t="n">
        <v>0</v>
      </c>
      <c r="M417" t="n">
        <v>0</v>
      </c>
      <c r="N417" t="n">
        <v>0</v>
      </c>
      <c r="O417" t="n">
        <v>0</v>
      </c>
      <c r="P417" t="n">
        <v>0</v>
      </c>
      <c r="Q417" t="n">
        <v>0</v>
      </c>
      <c r="R417" s="2" t="inlineStr"/>
    </row>
    <row r="418" ht="15" customHeight="1">
      <c r="A418" t="inlineStr">
        <is>
          <t>A 39858-2024</t>
        </is>
      </c>
      <c r="B418" s="1" t="n">
        <v>45553</v>
      </c>
      <c r="C418" s="1" t="n">
        <v>46078</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60289-2022</t>
        </is>
      </c>
      <c r="B419" s="1" t="n">
        <v>44910.53026620371</v>
      </c>
      <c r="C419" s="1" t="n">
        <v>46078</v>
      </c>
      <c r="D419" t="inlineStr">
        <is>
          <t>UPPSALA LÄN</t>
        </is>
      </c>
      <c r="E419" t="inlineStr">
        <is>
          <t>ENKÖPING</t>
        </is>
      </c>
      <c r="G419" t="n">
        <v>3.2</v>
      </c>
      <c r="H419" t="n">
        <v>0</v>
      </c>
      <c r="I419" t="n">
        <v>0</v>
      </c>
      <c r="J419" t="n">
        <v>0</v>
      </c>
      <c r="K419" t="n">
        <v>0</v>
      </c>
      <c r="L419" t="n">
        <v>0</v>
      </c>
      <c r="M419" t="n">
        <v>0</v>
      </c>
      <c r="N419" t="n">
        <v>0</v>
      </c>
      <c r="O419" t="n">
        <v>0</v>
      </c>
      <c r="P419" t="n">
        <v>0</v>
      </c>
      <c r="Q419" t="n">
        <v>0</v>
      </c>
      <c r="R419" s="2" t="inlineStr"/>
    </row>
    <row r="420" ht="15" customHeight="1">
      <c r="A420" t="inlineStr">
        <is>
          <t>A 13110-2023</t>
        </is>
      </c>
      <c r="B420" s="1" t="n">
        <v>45001</v>
      </c>
      <c r="C420" s="1" t="n">
        <v>46078</v>
      </c>
      <c r="D420" t="inlineStr">
        <is>
          <t>UPPSALA LÄN</t>
        </is>
      </c>
      <c r="E420" t="inlineStr">
        <is>
          <t>ENKÖPING</t>
        </is>
      </c>
      <c r="G420" t="n">
        <v>2.5</v>
      </c>
      <c r="H420" t="n">
        <v>0</v>
      </c>
      <c r="I420" t="n">
        <v>0</v>
      </c>
      <c r="J420" t="n">
        <v>0</v>
      </c>
      <c r="K420" t="n">
        <v>0</v>
      </c>
      <c r="L420" t="n">
        <v>0</v>
      </c>
      <c r="M420" t="n">
        <v>0</v>
      </c>
      <c r="N420" t="n">
        <v>0</v>
      </c>
      <c r="O420" t="n">
        <v>0</v>
      </c>
      <c r="P420" t="n">
        <v>0</v>
      </c>
      <c r="Q420" t="n">
        <v>0</v>
      </c>
      <c r="R420" s="2" t="inlineStr"/>
    </row>
    <row r="421" ht="15" customHeight="1">
      <c r="A421" t="inlineStr">
        <is>
          <t>A 58384-2022</t>
        </is>
      </c>
      <c r="B421" s="1" t="n">
        <v>44901</v>
      </c>
      <c r="C421" s="1" t="n">
        <v>46078</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192-2026</t>
        </is>
      </c>
      <c r="B422" s="1" t="n">
        <v>46025</v>
      </c>
      <c r="C422" s="1" t="n">
        <v>46078</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59602-2022</t>
        </is>
      </c>
      <c r="B423" s="1" t="n">
        <v>44907.72241898148</v>
      </c>
      <c r="C423" s="1" t="n">
        <v>46078</v>
      </c>
      <c r="D423" t="inlineStr">
        <is>
          <t>UPPSALA LÄN</t>
        </is>
      </c>
      <c r="E423" t="inlineStr">
        <is>
          <t>ENKÖPING</t>
        </is>
      </c>
      <c r="G423" t="n">
        <v>14.2</v>
      </c>
      <c r="H423" t="n">
        <v>0</v>
      </c>
      <c r="I423" t="n">
        <v>0</v>
      </c>
      <c r="J423" t="n">
        <v>0</v>
      </c>
      <c r="K423" t="n">
        <v>0</v>
      </c>
      <c r="L423" t="n">
        <v>0</v>
      </c>
      <c r="M423" t="n">
        <v>0</v>
      </c>
      <c r="N423" t="n">
        <v>0</v>
      </c>
      <c r="O423" t="n">
        <v>0</v>
      </c>
      <c r="P423" t="n">
        <v>0</v>
      </c>
      <c r="Q423" t="n">
        <v>0</v>
      </c>
      <c r="R423" s="2" t="inlineStr"/>
    </row>
    <row r="424" ht="15" customHeight="1">
      <c r="A424" t="inlineStr">
        <is>
          <t>A 31965-2021</t>
        </is>
      </c>
      <c r="B424" s="1" t="n">
        <v>44370.56901620371</v>
      </c>
      <c r="C424" s="1" t="n">
        <v>46078</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67984-2021</t>
        </is>
      </c>
      <c r="B425" s="1" t="n">
        <v>44525.70237268518</v>
      </c>
      <c r="C425" s="1" t="n">
        <v>46078</v>
      </c>
      <c r="D425" t="inlineStr">
        <is>
          <t>UPPSALA LÄN</t>
        </is>
      </c>
      <c r="E425" t="inlineStr">
        <is>
          <t>ENKÖPING</t>
        </is>
      </c>
      <c r="G425" t="n">
        <v>1.4</v>
      </c>
      <c r="H425" t="n">
        <v>0</v>
      </c>
      <c r="I425" t="n">
        <v>0</v>
      </c>
      <c r="J425" t="n">
        <v>0</v>
      </c>
      <c r="K425" t="n">
        <v>0</v>
      </c>
      <c r="L425" t="n">
        <v>0</v>
      </c>
      <c r="M425" t="n">
        <v>0</v>
      </c>
      <c r="N425" t="n">
        <v>0</v>
      </c>
      <c r="O425" t="n">
        <v>0</v>
      </c>
      <c r="P425" t="n">
        <v>0</v>
      </c>
      <c r="Q425" t="n">
        <v>0</v>
      </c>
      <c r="R425" s="2" t="inlineStr"/>
    </row>
    <row r="426" ht="15" customHeight="1">
      <c r="A426" t="inlineStr">
        <is>
          <t>A 33619-2022</t>
        </is>
      </c>
      <c r="B426" s="1" t="n">
        <v>44789</v>
      </c>
      <c r="C426" s="1" t="n">
        <v>46078</v>
      </c>
      <c r="D426" t="inlineStr">
        <is>
          <t>UPPSALA LÄN</t>
        </is>
      </c>
      <c r="E426" t="inlineStr">
        <is>
          <t>ENKÖPING</t>
        </is>
      </c>
      <c r="F426" t="inlineStr">
        <is>
          <t>Allmännings- och besparingsskogar</t>
        </is>
      </c>
      <c r="G426" t="n">
        <v>4.5</v>
      </c>
      <c r="H426" t="n">
        <v>0</v>
      </c>
      <c r="I426" t="n">
        <v>0</v>
      </c>
      <c r="J426" t="n">
        <v>0</v>
      </c>
      <c r="K426" t="n">
        <v>0</v>
      </c>
      <c r="L426" t="n">
        <v>0</v>
      </c>
      <c r="M426" t="n">
        <v>0</v>
      </c>
      <c r="N426" t="n">
        <v>0</v>
      </c>
      <c r="O426" t="n">
        <v>0</v>
      </c>
      <c r="P426" t="n">
        <v>0</v>
      </c>
      <c r="Q426" t="n">
        <v>0</v>
      </c>
      <c r="R426" s="2" t="inlineStr"/>
    </row>
    <row r="427" ht="15" customHeight="1">
      <c r="A427" t="inlineStr">
        <is>
          <t>A 9469-2026</t>
        </is>
      </c>
      <c r="B427" s="1" t="n">
        <v>46071.51248842593</v>
      </c>
      <c r="C427" s="1" t="n">
        <v>46078</v>
      </c>
      <c r="D427" t="inlineStr">
        <is>
          <t>UPPSALA LÄN</t>
        </is>
      </c>
      <c r="E427" t="inlineStr">
        <is>
          <t>ENKÖPING</t>
        </is>
      </c>
      <c r="G427" t="n">
        <v>3</v>
      </c>
      <c r="H427" t="n">
        <v>0</v>
      </c>
      <c r="I427" t="n">
        <v>0</v>
      </c>
      <c r="J427" t="n">
        <v>0</v>
      </c>
      <c r="K427" t="n">
        <v>0</v>
      </c>
      <c r="L427" t="n">
        <v>0</v>
      </c>
      <c r="M427" t="n">
        <v>0</v>
      </c>
      <c r="N427" t="n">
        <v>0</v>
      </c>
      <c r="O427" t="n">
        <v>0</v>
      </c>
      <c r="P427" t="n">
        <v>0</v>
      </c>
      <c r="Q427" t="n">
        <v>0</v>
      </c>
      <c r="R427" s="2" t="inlineStr"/>
    </row>
    <row r="428" ht="15" customHeight="1">
      <c r="A428" t="inlineStr">
        <is>
          <t>A 9467-2026</t>
        </is>
      </c>
      <c r="B428" s="1" t="n">
        <v>46071.50694444445</v>
      </c>
      <c r="C428" s="1" t="n">
        <v>46078</v>
      </c>
      <c r="D428" t="inlineStr">
        <is>
          <t>UPPSALA LÄN</t>
        </is>
      </c>
      <c r="E428" t="inlineStr">
        <is>
          <t>ENKÖPING</t>
        </is>
      </c>
      <c r="G428" t="n">
        <v>5.9</v>
      </c>
      <c r="H428" t="n">
        <v>0</v>
      </c>
      <c r="I428" t="n">
        <v>0</v>
      </c>
      <c r="J428" t="n">
        <v>0</v>
      </c>
      <c r="K428" t="n">
        <v>0</v>
      </c>
      <c r="L428" t="n">
        <v>0</v>
      </c>
      <c r="M428" t="n">
        <v>0</v>
      </c>
      <c r="N428" t="n">
        <v>0</v>
      </c>
      <c r="O428" t="n">
        <v>0</v>
      </c>
      <c r="P428" t="n">
        <v>0</v>
      </c>
      <c r="Q428" t="n">
        <v>0</v>
      </c>
      <c r="R428" s="2" t="inlineStr"/>
    </row>
    <row r="429" ht="15" customHeight="1">
      <c r="A429" t="inlineStr">
        <is>
          <t>A 10829-2024</t>
        </is>
      </c>
      <c r="B429" s="1" t="n">
        <v>45369</v>
      </c>
      <c r="C429" s="1" t="n">
        <v>46078</v>
      </c>
      <c r="D429" t="inlineStr">
        <is>
          <t>UPPSALA LÄN</t>
        </is>
      </c>
      <c r="E429" t="inlineStr">
        <is>
          <t>ENKÖPING</t>
        </is>
      </c>
      <c r="G429" t="n">
        <v>2.1</v>
      </c>
      <c r="H429" t="n">
        <v>0</v>
      </c>
      <c r="I429" t="n">
        <v>0</v>
      </c>
      <c r="J429" t="n">
        <v>0</v>
      </c>
      <c r="K429" t="n">
        <v>0</v>
      </c>
      <c r="L429" t="n">
        <v>0</v>
      </c>
      <c r="M429" t="n">
        <v>0</v>
      </c>
      <c r="N429" t="n">
        <v>0</v>
      </c>
      <c r="O429" t="n">
        <v>0</v>
      </c>
      <c r="P429" t="n">
        <v>0</v>
      </c>
      <c r="Q429" t="n">
        <v>0</v>
      </c>
      <c r="R429" s="2" t="inlineStr"/>
    </row>
    <row r="430" ht="15" customHeight="1">
      <c r="A430" t="inlineStr">
        <is>
          <t>A 67982-2021</t>
        </is>
      </c>
      <c r="B430" s="1" t="n">
        <v>44525</v>
      </c>
      <c r="C430" s="1" t="n">
        <v>46078</v>
      </c>
      <c r="D430" t="inlineStr">
        <is>
          <t>UPPSALA LÄN</t>
        </is>
      </c>
      <c r="E430" t="inlineStr">
        <is>
          <t>ENKÖPING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9148-2026</t>
        </is>
      </c>
      <c r="B431" s="1" t="n">
        <v>46070.30946759259</v>
      </c>
      <c r="C431" s="1" t="n">
        <v>46078</v>
      </c>
      <c r="D431" t="inlineStr">
        <is>
          <t>UPPSALA LÄN</t>
        </is>
      </c>
      <c r="E431" t="inlineStr">
        <is>
          <t>ENKÖPING</t>
        </is>
      </c>
      <c r="G431" t="n">
        <v>0.8</v>
      </c>
      <c r="H431" t="n">
        <v>0</v>
      </c>
      <c r="I431" t="n">
        <v>0</v>
      </c>
      <c r="J431" t="n">
        <v>0</v>
      </c>
      <c r="K431" t="n">
        <v>0</v>
      </c>
      <c r="L431" t="n">
        <v>0</v>
      </c>
      <c r="M431" t="n">
        <v>0</v>
      </c>
      <c r="N431" t="n">
        <v>0</v>
      </c>
      <c r="O431" t="n">
        <v>0</v>
      </c>
      <c r="P431" t="n">
        <v>0</v>
      </c>
      <c r="Q431" t="n">
        <v>0</v>
      </c>
      <c r="R431" s="2" t="inlineStr"/>
    </row>
    <row r="432" ht="15" customHeight="1">
      <c r="A432" t="inlineStr">
        <is>
          <t>A 9474-2026</t>
        </is>
      </c>
      <c r="B432" s="1" t="n">
        <v>46071.52324074074</v>
      </c>
      <c r="C432" s="1" t="n">
        <v>46078</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25990-2025</t>
        </is>
      </c>
      <c r="B433" s="1" t="n">
        <v>45804.65229166667</v>
      </c>
      <c r="C433" s="1" t="n">
        <v>46078</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9257-2026</t>
        </is>
      </c>
      <c r="B434" s="1" t="n">
        <v>46070.51166666667</v>
      </c>
      <c r="C434" s="1" t="n">
        <v>46078</v>
      </c>
      <c r="D434" t="inlineStr">
        <is>
          <t>UPPSALA LÄN</t>
        </is>
      </c>
      <c r="E434" t="inlineStr">
        <is>
          <t>ENKÖPING</t>
        </is>
      </c>
      <c r="G434" t="n">
        <v>2.6</v>
      </c>
      <c r="H434" t="n">
        <v>0</v>
      </c>
      <c r="I434" t="n">
        <v>0</v>
      </c>
      <c r="J434" t="n">
        <v>0</v>
      </c>
      <c r="K434" t="n">
        <v>0</v>
      </c>
      <c r="L434" t="n">
        <v>0</v>
      </c>
      <c r="M434" t="n">
        <v>0</v>
      </c>
      <c r="N434" t="n">
        <v>0</v>
      </c>
      <c r="O434" t="n">
        <v>0</v>
      </c>
      <c r="P434" t="n">
        <v>0</v>
      </c>
      <c r="Q434" t="n">
        <v>0</v>
      </c>
      <c r="R434" s="2" t="inlineStr"/>
    </row>
    <row r="435" ht="15" customHeight="1">
      <c r="A435" t="inlineStr">
        <is>
          <t>A 25989-2025</t>
        </is>
      </c>
      <c r="B435" s="1" t="n">
        <v>45804.65050925926</v>
      </c>
      <c r="C435" s="1" t="n">
        <v>46078</v>
      </c>
      <c r="D435" t="inlineStr">
        <is>
          <t>UPPSALA LÄN</t>
        </is>
      </c>
      <c r="E435" t="inlineStr">
        <is>
          <t>ENKÖPING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51034-2024</t>
        </is>
      </c>
      <c r="B436" s="1" t="n">
        <v>45603.4262037037</v>
      </c>
      <c r="C436" s="1" t="n">
        <v>46078</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51036-2024</t>
        </is>
      </c>
      <c r="B437" s="1" t="n">
        <v>45603.42839120371</v>
      </c>
      <c r="C437" s="1" t="n">
        <v>46078</v>
      </c>
      <c r="D437" t="inlineStr">
        <is>
          <t>UPPSALA LÄN</t>
        </is>
      </c>
      <c r="E437" t="inlineStr">
        <is>
          <t>ENKÖPING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55876-2024</t>
        </is>
      </c>
      <c r="B438" s="1" t="n">
        <v>45623.5546412037</v>
      </c>
      <c r="C438" s="1" t="n">
        <v>46078</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11005-2023</t>
        </is>
      </c>
      <c r="B439" s="1" t="n">
        <v>44991</v>
      </c>
      <c r="C439" s="1" t="n">
        <v>46078</v>
      </c>
      <c r="D439" t="inlineStr">
        <is>
          <t>UPPSALA LÄN</t>
        </is>
      </c>
      <c r="E439" t="inlineStr">
        <is>
          <t>ENKÖPING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861-2026</t>
        </is>
      </c>
      <c r="B440" s="1" t="n">
        <v>46030</v>
      </c>
      <c r="C440" s="1" t="n">
        <v>46078</v>
      </c>
      <c r="D440" t="inlineStr">
        <is>
          <t>UPPSALA LÄN</t>
        </is>
      </c>
      <c r="E440" t="inlineStr">
        <is>
          <t>ENKÖPING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57142-2021</t>
        </is>
      </c>
      <c r="B441" s="1" t="n">
        <v>44482</v>
      </c>
      <c r="C441" s="1" t="n">
        <v>46078</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57147-2021</t>
        </is>
      </c>
      <c r="B442" s="1" t="n">
        <v>44482</v>
      </c>
      <c r="C442" s="1" t="n">
        <v>46078</v>
      </c>
      <c r="D442" t="inlineStr">
        <is>
          <t>UPPSALA LÄN</t>
        </is>
      </c>
      <c r="E442" t="inlineStr">
        <is>
          <t>ENKÖPING</t>
        </is>
      </c>
      <c r="G442" t="n">
        <v>5.7</v>
      </c>
      <c r="H442" t="n">
        <v>0</v>
      </c>
      <c r="I442" t="n">
        <v>0</v>
      </c>
      <c r="J442" t="n">
        <v>0</v>
      </c>
      <c r="K442" t="n">
        <v>0</v>
      </c>
      <c r="L442" t="n">
        <v>0</v>
      </c>
      <c r="M442" t="n">
        <v>0</v>
      </c>
      <c r="N442" t="n">
        <v>0</v>
      </c>
      <c r="O442" t="n">
        <v>0</v>
      </c>
      <c r="P442" t="n">
        <v>0</v>
      </c>
      <c r="Q442" t="n">
        <v>0</v>
      </c>
      <c r="R442" s="2" t="inlineStr"/>
    </row>
    <row r="443" ht="15" customHeight="1">
      <c r="A443" t="inlineStr">
        <is>
          <t>A 7868-2024</t>
        </is>
      </c>
      <c r="B443" s="1" t="n">
        <v>45350.33020833333</v>
      </c>
      <c r="C443" s="1" t="n">
        <v>46078</v>
      </c>
      <c r="D443" t="inlineStr">
        <is>
          <t>UPPSALA LÄN</t>
        </is>
      </c>
      <c r="E443" t="inlineStr">
        <is>
          <t>ENKÖPING</t>
        </is>
      </c>
      <c r="G443" t="n">
        <v>0.3</v>
      </c>
      <c r="H443" t="n">
        <v>0</v>
      </c>
      <c r="I443" t="n">
        <v>0</v>
      </c>
      <c r="J443" t="n">
        <v>0</v>
      </c>
      <c r="K443" t="n">
        <v>0</v>
      </c>
      <c r="L443" t="n">
        <v>0</v>
      </c>
      <c r="M443" t="n">
        <v>0</v>
      </c>
      <c r="N443" t="n">
        <v>0</v>
      </c>
      <c r="O443" t="n">
        <v>0</v>
      </c>
      <c r="P443" t="n">
        <v>0</v>
      </c>
      <c r="Q443" t="n">
        <v>0</v>
      </c>
      <c r="R443" s="2" t="inlineStr"/>
    </row>
    <row r="444" ht="15" customHeight="1">
      <c r="A444" t="inlineStr">
        <is>
          <t>A 7870-2024</t>
        </is>
      </c>
      <c r="B444" s="1" t="n">
        <v>45350.33349537037</v>
      </c>
      <c r="C444" s="1" t="n">
        <v>46078</v>
      </c>
      <c r="D444" t="inlineStr">
        <is>
          <t>UPPSALA LÄN</t>
        </is>
      </c>
      <c r="E444" t="inlineStr">
        <is>
          <t>ENKÖPING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9231-2023</t>
        </is>
      </c>
      <c r="B445" s="1" t="n">
        <v>44980</v>
      </c>
      <c r="C445" s="1" t="n">
        <v>46078</v>
      </c>
      <c r="D445" t="inlineStr">
        <is>
          <t>UPPSALA LÄN</t>
        </is>
      </c>
      <c r="E445" t="inlineStr">
        <is>
          <t>ENKÖPING</t>
        </is>
      </c>
      <c r="G445" t="n">
        <v>1.5</v>
      </c>
      <c r="H445" t="n">
        <v>0</v>
      </c>
      <c r="I445" t="n">
        <v>0</v>
      </c>
      <c r="J445" t="n">
        <v>0</v>
      </c>
      <c r="K445" t="n">
        <v>0</v>
      </c>
      <c r="L445" t="n">
        <v>0</v>
      </c>
      <c r="M445" t="n">
        <v>0</v>
      </c>
      <c r="N445" t="n">
        <v>0</v>
      </c>
      <c r="O445" t="n">
        <v>0</v>
      </c>
      <c r="P445" t="n">
        <v>0</v>
      </c>
      <c r="Q445" t="n">
        <v>0</v>
      </c>
      <c r="R445" s="2" t="inlineStr"/>
    </row>
    <row r="446" ht="15" customHeight="1">
      <c r="A446" t="inlineStr">
        <is>
          <t>A 16916-2022</t>
        </is>
      </c>
      <c r="B446" s="1" t="n">
        <v>44676</v>
      </c>
      <c r="C446" s="1" t="n">
        <v>46078</v>
      </c>
      <c r="D446" t="inlineStr">
        <is>
          <t>UPPSALA LÄN</t>
        </is>
      </c>
      <c r="E446" t="inlineStr">
        <is>
          <t>ENKÖPING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30514-2021</t>
        </is>
      </c>
      <c r="B447" s="1" t="n">
        <v>44364</v>
      </c>
      <c r="C447" s="1" t="n">
        <v>46078</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31604-2023</t>
        </is>
      </c>
      <c r="B448" s="1" t="n">
        <v>45117.50368055556</v>
      </c>
      <c r="C448" s="1" t="n">
        <v>46078</v>
      </c>
      <c r="D448" t="inlineStr">
        <is>
          <t>UPPSALA LÄN</t>
        </is>
      </c>
      <c r="E448" t="inlineStr">
        <is>
          <t>ENKÖPING</t>
        </is>
      </c>
      <c r="G448" t="n">
        <v>3.5</v>
      </c>
      <c r="H448" t="n">
        <v>0</v>
      </c>
      <c r="I448" t="n">
        <v>0</v>
      </c>
      <c r="J448" t="n">
        <v>0</v>
      </c>
      <c r="K448" t="n">
        <v>0</v>
      </c>
      <c r="L448" t="n">
        <v>0</v>
      </c>
      <c r="M448" t="n">
        <v>0</v>
      </c>
      <c r="N448" t="n">
        <v>0</v>
      </c>
      <c r="O448" t="n">
        <v>0</v>
      </c>
      <c r="P448" t="n">
        <v>0</v>
      </c>
      <c r="Q448" t="n">
        <v>0</v>
      </c>
      <c r="R448" s="2" t="inlineStr"/>
    </row>
    <row r="449" ht="15" customHeight="1">
      <c r="A449" t="inlineStr">
        <is>
          <t>A 25598-2021</t>
        </is>
      </c>
      <c r="B449" s="1" t="n">
        <v>44343.4558912037</v>
      </c>
      <c r="C449" s="1" t="n">
        <v>46078</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15162-2025</t>
        </is>
      </c>
      <c r="B450" s="1" t="n">
        <v>45744</v>
      </c>
      <c r="C450" s="1" t="n">
        <v>46078</v>
      </c>
      <c r="D450" t="inlineStr">
        <is>
          <t>UPPSALA LÄN</t>
        </is>
      </c>
      <c r="E450" t="inlineStr">
        <is>
          <t>ENKÖPING</t>
        </is>
      </c>
      <c r="G450" t="n">
        <v>4.2</v>
      </c>
      <c r="H450" t="n">
        <v>0</v>
      </c>
      <c r="I450" t="n">
        <v>0</v>
      </c>
      <c r="J450" t="n">
        <v>0</v>
      </c>
      <c r="K450" t="n">
        <v>0</v>
      </c>
      <c r="L450" t="n">
        <v>0</v>
      </c>
      <c r="M450" t="n">
        <v>0</v>
      </c>
      <c r="N450" t="n">
        <v>0</v>
      </c>
      <c r="O450" t="n">
        <v>0</v>
      </c>
      <c r="P450" t="n">
        <v>0</v>
      </c>
      <c r="Q450" t="n">
        <v>0</v>
      </c>
      <c r="R450" s="2" t="inlineStr"/>
    </row>
    <row r="451" ht="15" customHeight="1">
      <c r="A451" t="inlineStr">
        <is>
          <t>A 52388-2024</t>
        </is>
      </c>
      <c r="B451" s="1" t="n">
        <v>45609.42939814815</v>
      </c>
      <c r="C451" s="1" t="n">
        <v>46078</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53607-2023</t>
        </is>
      </c>
      <c r="B452" s="1" t="n">
        <v>45230</v>
      </c>
      <c r="C452" s="1" t="n">
        <v>46078</v>
      </c>
      <c r="D452" t="inlineStr">
        <is>
          <t>UPPSALA LÄN</t>
        </is>
      </c>
      <c r="E452" t="inlineStr">
        <is>
          <t>ENKÖPING</t>
        </is>
      </c>
      <c r="F452" t="inlineStr">
        <is>
          <t>Allmännings- och besparingsskogar</t>
        </is>
      </c>
      <c r="G452" t="n">
        <v>6.3</v>
      </c>
      <c r="H452" t="n">
        <v>0</v>
      </c>
      <c r="I452" t="n">
        <v>0</v>
      </c>
      <c r="J452" t="n">
        <v>0</v>
      </c>
      <c r="K452" t="n">
        <v>0</v>
      </c>
      <c r="L452" t="n">
        <v>0</v>
      </c>
      <c r="M452" t="n">
        <v>0</v>
      </c>
      <c r="N452" t="n">
        <v>0</v>
      </c>
      <c r="O452" t="n">
        <v>0</v>
      </c>
      <c r="P452" t="n">
        <v>0</v>
      </c>
      <c r="Q452" t="n">
        <v>0</v>
      </c>
      <c r="R452" s="2" t="inlineStr"/>
    </row>
    <row r="453" ht="15" customHeight="1">
      <c r="A453" t="inlineStr">
        <is>
          <t>A 40202-2024</t>
        </is>
      </c>
      <c r="B453" s="1" t="n">
        <v>45554</v>
      </c>
      <c r="C453" s="1" t="n">
        <v>46078</v>
      </c>
      <c r="D453" t="inlineStr">
        <is>
          <t>UPPSALA LÄN</t>
        </is>
      </c>
      <c r="E453" t="inlineStr">
        <is>
          <t>ENKÖPING</t>
        </is>
      </c>
      <c r="G453" t="n">
        <v>6.2</v>
      </c>
      <c r="H453" t="n">
        <v>0</v>
      </c>
      <c r="I453" t="n">
        <v>0</v>
      </c>
      <c r="J453" t="n">
        <v>0</v>
      </c>
      <c r="K453" t="n">
        <v>0</v>
      </c>
      <c r="L453" t="n">
        <v>0</v>
      </c>
      <c r="M453" t="n">
        <v>0</v>
      </c>
      <c r="N453" t="n">
        <v>0</v>
      </c>
      <c r="O453" t="n">
        <v>0</v>
      </c>
      <c r="P453" t="n">
        <v>0</v>
      </c>
      <c r="Q453" t="n">
        <v>0</v>
      </c>
      <c r="R453" s="2" t="inlineStr"/>
    </row>
    <row r="454" ht="15" customHeight="1">
      <c r="A454" t="inlineStr">
        <is>
          <t>A 57152-2021</t>
        </is>
      </c>
      <c r="B454" s="1" t="n">
        <v>44482</v>
      </c>
      <c r="C454" s="1" t="n">
        <v>46078</v>
      </c>
      <c r="D454" t="inlineStr">
        <is>
          <t>UPPSALA LÄN</t>
        </is>
      </c>
      <c r="E454" t="inlineStr">
        <is>
          <t>ENKÖPING</t>
        </is>
      </c>
      <c r="G454" t="n">
        <v>1.4</v>
      </c>
      <c r="H454" t="n">
        <v>0</v>
      </c>
      <c r="I454" t="n">
        <v>0</v>
      </c>
      <c r="J454" t="n">
        <v>0</v>
      </c>
      <c r="K454" t="n">
        <v>0</v>
      </c>
      <c r="L454" t="n">
        <v>0</v>
      </c>
      <c r="M454" t="n">
        <v>0</v>
      </c>
      <c r="N454" t="n">
        <v>0</v>
      </c>
      <c r="O454" t="n">
        <v>0</v>
      </c>
      <c r="P454" t="n">
        <v>0</v>
      </c>
      <c r="Q454" t="n">
        <v>0</v>
      </c>
      <c r="R454" s="2" t="inlineStr"/>
    </row>
    <row r="455" ht="15" customHeight="1">
      <c r="A455" t="inlineStr">
        <is>
          <t>A 34124-2021</t>
        </is>
      </c>
      <c r="B455" s="1" t="n">
        <v>44379</v>
      </c>
      <c r="C455" s="1" t="n">
        <v>46078</v>
      </c>
      <c r="D455" t="inlineStr">
        <is>
          <t>UPPSALA LÄN</t>
        </is>
      </c>
      <c r="E455" t="inlineStr">
        <is>
          <t>ENKÖPING</t>
        </is>
      </c>
      <c r="G455" t="n">
        <v>2.2</v>
      </c>
      <c r="H455" t="n">
        <v>0</v>
      </c>
      <c r="I455" t="n">
        <v>0</v>
      </c>
      <c r="J455" t="n">
        <v>0</v>
      </c>
      <c r="K455" t="n">
        <v>0</v>
      </c>
      <c r="L455" t="n">
        <v>0</v>
      </c>
      <c r="M455" t="n">
        <v>0</v>
      </c>
      <c r="N455" t="n">
        <v>0</v>
      </c>
      <c r="O455" t="n">
        <v>0</v>
      </c>
      <c r="P455" t="n">
        <v>0</v>
      </c>
      <c r="Q455" t="n">
        <v>0</v>
      </c>
      <c r="R455" s="2" t="inlineStr"/>
    </row>
    <row r="456" ht="15" customHeight="1">
      <c r="A456" t="inlineStr">
        <is>
          <t>A 28518-2024</t>
        </is>
      </c>
      <c r="B456" s="1" t="n">
        <v>45477</v>
      </c>
      <c r="C456" s="1" t="n">
        <v>46078</v>
      </c>
      <c r="D456" t="inlineStr">
        <is>
          <t>UPPSALA LÄN</t>
        </is>
      </c>
      <c r="E456" t="inlineStr">
        <is>
          <t>ENKÖPING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52299-2023</t>
        </is>
      </c>
      <c r="B457" s="1" t="n">
        <v>45224.61636574074</v>
      </c>
      <c r="C457" s="1" t="n">
        <v>46078</v>
      </c>
      <c r="D457" t="inlineStr">
        <is>
          <t>UPPSALA LÄN</t>
        </is>
      </c>
      <c r="E457" t="inlineStr">
        <is>
          <t>ENKÖPING</t>
        </is>
      </c>
      <c r="G457" t="n">
        <v>2.2</v>
      </c>
      <c r="H457" t="n">
        <v>0</v>
      </c>
      <c r="I457" t="n">
        <v>0</v>
      </c>
      <c r="J457" t="n">
        <v>0</v>
      </c>
      <c r="K457" t="n">
        <v>0</v>
      </c>
      <c r="L457" t="n">
        <v>0</v>
      </c>
      <c r="M457" t="n">
        <v>0</v>
      </c>
      <c r="N457" t="n">
        <v>0</v>
      </c>
      <c r="O457" t="n">
        <v>0</v>
      </c>
      <c r="P457" t="n">
        <v>0</v>
      </c>
      <c r="Q457" t="n">
        <v>0</v>
      </c>
      <c r="R457" s="2" t="inlineStr"/>
    </row>
    <row r="458" ht="15" customHeight="1">
      <c r="A458" t="inlineStr">
        <is>
          <t>A 30634-2022</t>
        </is>
      </c>
      <c r="B458" s="1" t="n">
        <v>44763.45711805556</v>
      </c>
      <c r="C458" s="1" t="n">
        <v>46078</v>
      </c>
      <c r="D458" t="inlineStr">
        <is>
          <t>UPPSALA LÄN</t>
        </is>
      </c>
      <c r="E458" t="inlineStr">
        <is>
          <t>ENKÖPING</t>
        </is>
      </c>
      <c r="G458" t="n">
        <v>1.2</v>
      </c>
      <c r="H458" t="n">
        <v>0</v>
      </c>
      <c r="I458" t="n">
        <v>0</v>
      </c>
      <c r="J458" t="n">
        <v>0</v>
      </c>
      <c r="K458" t="n">
        <v>0</v>
      </c>
      <c r="L458" t="n">
        <v>0</v>
      </c>
      <c r="M458" t="n">
        <v>0</v>
      </c>
      <c r="N458" t="n">
        <v>0</v>
      </c>
      <c r="O458" t="n">
        <v>0</v>
      </c>
      <c r="P458" t="n">
        <v>0</v>
      </c>
      <c r="Q458" t="n">
        <v>0</v>
      </c>
      <c r="R458" s="2" t="inlineStr"/>
    </row>
    <row r="459" ht="15" customHeight="1">
      <c r="A459" t="inlineStr">
        <is>
          <t>A 18259-2025</t>
        </is>
      </c>
      <c r="B459" s="1" t="n">
        <v>45762</v>
      </c>
      <c r="C459" s="1" t="n">
        <v>46078</v>
      </c>
      <c r="D459" t="inlineStr">
        <is>
          <t>UPPSALA LÄN</t>
        </is>
      </c>
      <c r="E459" t="inlineStr">
        <is>
          <t>ENKÖPING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14004-2023</t>
        </is>
      </c>
      <c r="B460" s="1" t="n">
        <v>45008</v>
      </c>
      <c r="C460" s="1" t="n">
        <v>46078</v>
      </c>
      <c r="D460" t="inlineStr">
        <is>
          <t>UPPSALA LÄN</t>
        </is>
      </c>
      <c r="E460" t="inlineStr">
        <is>
          <t>ENKÖPING</t>
        </is>
      </c>
      <c r="G460" t="n">
        <v>1.3</v>
      </c>
      <c r="H460" t="n">
        <v>0</v>
      </c>
      <c r="I460" t="n">
        <v>0</v>
      </c>
      <c r="J460" t="n">
        <v>0</v>
      </c>
      <c r="K460" t="n">
        <v>0</v>
      </c>
      <c r="L460" t="n">
        <v>0</v>
      </c>
      <c r="M460" t="n">
        <v>0</v>
      </c>
      <c r="N460" t="n">
        <v>0</v>
      </c>
      <c r="O460" t="n">
        <v>0</v>
      </c>
      <c r="P460" t="n">
        <v>0</v>
      </c>
      <c r="Q460" t="n">
        <v>0</v>
      </c>
      <c r="R460" s="2" t="inlineStr"/>
    </row>
    <row r="461" ht="15" customHeight="1">
      <c r="A461" t="inlineStr">
        <is>
          <t>A 52005-2024</t>
        </is>
      </c>
      <c r="B461" s="1" t="n">
        <v>45607.7627662037</v>
      </c>
      <c r="C461" s="1" t="n">
        <v>46078</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1960-2022</t>
        </is>
      </c>
      <c r="B462" s="1" t="n">
        <v>44575</v>
      </c>
      <c r="C462" s="1" t="n">
        <v>46078</v>
      </c>
      <c r="D462" t="inlineStr">
        <is>
          <t>UPPSALA LÄN</t>
        </is>
      </c>
      <c r="E462" t="inlineStr">
        <is>
          <t>ENKÖPING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49627-2024</t>
        </is>
      </c>
      <c r="B463" s="1" t="n">
        <v>45596.59140046296</v>
      </c>
      <c r="C463" s="1" t="n">
        <v>46078</v>
      </c>
      <c r="D463" t="inlineStr">
        <is>
          <t>UPPSALA LÄN</t>
        </is>
      </c>
      <c r="E463" t="inlineStr">
        <is>
          <t>ENKÖPING</t>
        </is>
      </c>
      <c r="G463" t="n">
        <v>0.4</v>
      </c>
      <c r="H463" t="n">
        <v>0</v>
      </c>
      <c r="I463" t="n">
        <v>0</v>
      </c>
      <c r="J463" t="n">
        <v>0</v>
      </c>
      <c r="K463" t="n">
        <v>0</v>
      </c>
      <c r="L463" t="n">
        <v>0</v>
      </c>
      <c r="M463" t="n">
        <v>0</v>
      </c>
      <c r="N463" t="n">
        <v>0</v>
      </c>
      <c r="O463" t="n">
        <v>0</v>
      </c>
      <c r="P463" t="n">
        <v>0</v>
      </c>
      <c r="Q463" t="n">
        <v>0</v>
      </c>
      <c r="R463" s="2" t="inlineStr"/>
    </row>
    <row r="464" ht="15" customHeight="1">
      <c r="A464" t="inlineStr">
        <is>
          <t>A 57998-2024</t>
        </is>
      </c>
      <c r="B464" s="1" t="n">
        <v>45631</v>
      </c>
      <c r="C464" s="1" t="n">
        <v>46078</v>
      </c>
      <c r="D464" t="inlineStr">
        <is>
          <t>UPPSALA LÄN</t>
        </is>
      </c>
      <c r="E464" t="inlineStr">
        <is>
          <t>ENKÖPING</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9667-2024</t>
        </is>
      </c>
      <c r="B465" s="1" t="n">
        <v>45362.45130787037</v>
      </c>
      <c r="C465" s="1" t="n">
        <v>46078</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35645-2021</t>
        </is>
      </c>
      <c r="B466" s="1" t="n">
        <v>44386.42</v>
      </c>
      <c r="C466" s="1" t="n">
        <v>46078</v>
      </c>
      <c r="D466" t="inlineStr">
        <is>
          <t>UPPSALA LÄN</t>
        </is>
      </c>
      <c r="E466" t="inlineStr">
        <is>
          <t>ENKÖPING</t>
        </is>
      </c>
      <c r="G466" t="n">
        <v>2.7</v>
      </c>
      <c r="H466" t="n">
        <v>0</v>
      </c>
      <c r="I466" t="n">
        <v>0</v>
      </c>
      <c r="J466" t="n">
        <v>0</v>
      </c>
      <c r="K466" t="n">
        <v>0</v>
      </c>
      <c r="L466" t="n">
        <v>0</v>
      </c>
      <c r="M466" t="n">
        <v>0</v>
      </c>
      <c r="N466" t="n">
        <v>0</v>
      </c>
      <c r="O466" t="n">
        <v>0</v>
      </c>
      <c r="P466" t="n">
        <v>0</v>
      </c>
      <c r="Q466" t="n">
        <v>0</v>
      </c>
      <c r="R466" s="2" t="inlineStr"/>
    </row>
    <row r="467" ht="15" customHeight="1">
      <c r="A467" t="inlineStr">
        <is>
          <t>A 15711-2025</t>
        </is>
      </c>
      <c r="B467" s="1" t="n">
        <v>45748</v>
      </c>
      <c r="C467" s="1" t="n">
        <v>46078</v>
      </c>
      <c r="D467" t="inlineStr">
        <is>
          <t>UPPSALA LÄN</t>
        </is>
      </c>
      <c r="E467" t="inlineStr">
        <is>
          <t>ENKÖPING</t>
        </is>
      </c>
      <c r="G467" t="n">
        <v>1.3</v>
      </c>
      <c r="H467" t="n">
        <v>0</v>
      </c>
      <c r="I467" t="n">
        <v>0</v>
      </c>
      <c r="J467" t="n">
        <v>0</v>
      </c>
      <c r="K467" t="n">
        <v>0</v>
      </c>
      <c r="L467" t="n">
        <v>0</v>
      </c>
      <c r="M467" t="n">
        <v>0</v>
      </c>
      <c r="N467" t="n">
        <v>0</v>
      </c>
      <c r="O467" t="n">
        <v>0</v>
      </c>
      <c r="P467" t="n">
        <v>0</v>
      </c>
      <c r="Q467" t="n">
        <v>0</v>
      </c>
      <c r="R467" s="2" t="inlineStr"/>
    </row>
    <row r="468" ht="15" customHeight="1">
      <c r="A468" t="inlineStr">
        <is>
          <t>A 28318-2024</t>
        </is>
      </c>
      <c r="B468" s="1" t="n">
        <v>45477</v>
      </c>
      <c r="C468" s="1" t="n">
        <v>46078</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69344-2021</t>
        </is>
      </c>
      <c r="B469" s="1" t="n">
        <v>44531</v>
      </c>
      <c r="C469" s="1" t="n">
        <v>46078</v>
      </c>
      <c r="D469" t="inlineStr">
        <is>
          <t>UPPSALA LÄN</t>
        </is>
      </c>
      <c r="E469" t="inlineStr">
        <is>
          <t>ENKÖPING</t>
        </is>
      </c>
      <c r="G469" t="n">
        <v>2.9</v>
      </c>
      <c r="H469" t="n">
        <v>0</v>
      </c>
      <c r="I469" t="n">
        <v>0</v>
      </c>
      <c r="J469" t="n">
        <v>0</v>
      </c>
      <c r="K469" t="n">
        <v>0</v>
      </c>
      <c r="L469" t="n">
        <v>0</v>
      </c>
      <c r="M469" t="n">
        <v>0</v>
      </c>
      <c r="N469" t="n">
        <v>0</v>
      </c>
      <c r="O469" t="n">
        <v>0</v>
      </c>
      <c r="P469" t="n">
        <v>0</v>
      </c>
      <c r="Q469" t="n">
        <v>0</v>
      </c>
      <c r="R469" s="2" t="inlineStr"/>
    </row>
    <row r="470" ht="15" customHeight="1">
      <c r="A470" t="inlineStr">
        <is>
          <t>A 51524-2022</t>
        </is>
      </c>
      <c r="B470" s="1" t="n">
        <v>44869</v>
      </c>
      <c r="C470" s="1" t="n">
        <v>46078</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46103-2023</t>
        </is>
      </c>
      <c r="B471" s="1" t="n">
        <v>45190</v>
      </c>
      <c r="C471" s="1" t="n">
        <v>46078</v>
      </c>
      <c r="D471" t="inlineStr">
        <is>
          <t>UPPSALA LÄN</t>
        </is>
      </c>
      <c r="E471" t="inlineStr">
        <is>
          <t>ENKÖPING</t>
        </is>
      </c>
      <c r="G471" t="n">
        <v>4.6</v>
      </c>
      <c r="H471" t="n">
        <v>0</v>
      </c>
      <c r="I471" t="n">
        <v>0</v>
      </c>
      <c r="J471" t="n">
        <v>0</v>
      </c>
      <c r="K471" t="n">
        <v>0</v>
      </c>
      <c r="L471" t="n">
        <v>0</v>
      </c>
      <c r="M471" t="n">
        <v>0</v>
      </c>
      <c r="N471" t="n">
        <v>0</v>
      </c>
      <c r="O471" t="n">
        <v>0</v>
      </c>
      <c r="P471" t="n">
        <v>0</v>
      </c>
      <c r="Q471" t="n">
        <v>0</v>
      </c>
      <c r="R471" s="2" t="inlineStr"/>
    </row>
    <row r="472" ht="15" customHeight="1">
      <c r="A472" t="inlineStr">
        <is>
          <t>A 41737-2022</t>
        </is>
      </c>
      <c r="B472" s="1" t="n">
        <v>44827.63826388889</v>
      </c>
      <c r="C472" s="1" t="n">
        <v>46078</v>
      </c>
      <c r="D472" t="inlineStr">
        <is>
          <t>UPPSALA LÄN</t>
        </is>
      </c>
      <c r="E472" t="inlineStr">
        <is>
          <t>ENKÖPING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8137-2025</t>
        </is>
      </c>
      <c r="B473" s="1" t="n">
        <v>45707.8561574074</v>
      </c>
      <c r="C473" s="1" t="n">
        <v>46078</v>
      </c>
      <c r="D473" t="inlineStr">
        <is>
          <t>UPPSALA LÄN</t>
        </is>
      </c>
      <c r="E473" t="inlineStr">
        <is>
          <t>ENKÖPING</t>
        </is>
      </c>
      <c r="G473" t="n">
        <v>0.4</v>
      </c>
      <c r="H473" t="n">
        <v>0</v>
      </c>
      <c r="I473" t="n">
        <v>0</v>
      </c>
      <c r="J473" t="n">
        <v>0</v>
      </c>
      <c r="K473" t="n">
        <v>0</v>
      </c>
      <c r="L473" t="n">
        <v>0</v>
      </c>
      <c r="M473" t="n">
        <v>0</v>
      </c>
      <c r="N473" t="n">
        <v>0</v>
      </c>
      <c r="O473" t="n">
        <v>0</v>
      </c>
      <c r="P473" t="n">
        <v>0</v>
      </c>
      <c r="Q473" t="n">
        <v>0</v>
      </c>
      <c r="R473" s="2" t="inlineStr"/>
    </row>
    <row r="474" ht="15" customHeight="1">
      <c r="A474" t="inlineStr">
        <is>
          <t>A 23301-2024</t>
        </is>
      </c>
      <c r="B474" s="1" t="n">
        <v>45453.4396412037</v>
      </c>
      <c r="C474" s="1" t="n">
        <v>46078</v>
      </c>
      <c r="D474" t="inlineStr">
        <is>
          <t>UPPSALA LÄN</t>
        </is>
      </c>
      <c r="E474" t="inlineStr">
        <is>
          <t>ENKÖPING</t>
        </is>
      </c>
      <c r="G474" t="n">
        <v>4.3</v>
      </c>
      <c r="H474" t="n">
        <v>0</v>
      </c>
      <c r="I474" t="n">
        <v>0</v>
      </c>
      <c r="J474" t="n">
        <v>0</v>
      </c>
      <c r="K474" t="n">
        <v>0</v>
      </c>
      <c r="L474" t="n">
        <v>0</v>
      </c>
      <c r="M474" t="n">
        <v>0</v>
      </c>
      <c r="N474" t="n">
        <v>0</v>
      </c>
      <c r="O474" t="n">
        <v>0</v>
      </c>
      <c r="P474" t="n">
        <v>0</v>
      </c>
      <c r="Q474" t="n">
        <v>0</v>
      </c>
      <c r="R474" s="2" t="inlineStr"/>
    </row>
    <row r="475" ht="15" customHeight="1">
      <c r="A475" t="inlineStr">
        <is>
          <t>A 52380-2024</t>
        </is>
      </c>
      <c r="B475" s="1" t="n">
        <v>45609</v>
      </c>
      <c r="C475" s="1" t="n">
        <v>46078</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30098-2024</t>
        </is>
      </c>
      <c r="B476" s="1" t="n">
        <v>45489.41609953704</v>
      </c>
      <c r="C476" s="1" t="n">
        <v>46078</v>
      </c>
      <c r="D476" t="inlineStr">
        <is>
          <t>UPPSALA LÄN</t>
        </is>
      </c>
      <c r="E476" t="inlineStr">
        <is>
          <t>ENKÖPING</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34735-2023</t>
        </is>
      </c>
      <c r="B477" s="1" t="n">
        <v>45139</v>
      </c>
      <c r="C477" s="1" t="n">
        <v>46078</v>
      </c>
      <c r="D477" t="inlineStr">
        <is>
          <t>UPPSALA LÄN</t>
        </is>
      </c>
      <c r="E477" t="inlineStr">
        <is>
          <t>ENKÖPING</t>
        </is>
      </c>
      <c r="G477" t="n">
        <v>1.4</v>
      </c>
      <c r="H477" t="n">
        <v>0</v>
      </c>
      <c r="I477" t="n">
        <v>0</v>
      </c>
      <c r="J477" t="n">
        <v>0</v>
      </c>
      <c r="K477" t="n">
        <v>0</v>
      </c>
      <c r="L477" t="n">
        <v>0</v>
      </c>
      <c r="M477" t="n">
        <v>0</v>
      </c>
      <c r="N477" t="n">
        <v>0</v>
      </c>
      <c r="O477" t="n">
        <v>0</v>
      </c>
      <c r="P477" t="n">
        <v>0</v>
      </c>
      <c r="Q477" t="n">
        <v>0</v>
      </c>
      <c r="R477" s="2" t="inlineStr"/>
    </row>
    <row r="478" ht="15" customHeight="1">
      <c r="A478" t="inlineStr">
        <is>
          <t>A 57328-2024</t>
        </is>
      </c>
      <c r="B478" s="1" t="n">
        <v>45629.62798611111</v>
      </c>
      <c r="C478" s="1" t="n">
        <v>46078</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29482-2022</t>
        </is>
      </c>
      <c r="B479" s="1" t="n">
        <v>44753.57703703704</v>
      </c>
      <c r="C479" s="1" t="n">
        <v>46078</v>
      </c>
      <c r="D479" t="inlineStr">
        <is>
          <t>UPPSALA LÄN</t>
        </is>
      </c>
      <c r="E479" t="inlineStr">
        <is>
          <t>ENKÖPING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29483-2022</t>
        </is>
      </c>
      <c r="B480" s="1" t="n">
        <v>44753.57829861111</v>
      </c>
      <c r="C480" s="1" t="n">
        <v>46078</v>
      </c>
      <c r="D480" t="inlineStr">
        <is>
          <t>UPPSALA LÄN</t>
        </is>
      </c>
      <c r="E480" t="inlineStr">
        <is>
          <t>ENKÖPING</t>
        </is>
      </c>
      <c r="G480" t="n">
        <v>3.6</v>
      </c>
      <c r="H480" t="n">
        <v>0</v>
      </c>
      <c r="I480" t="n">
        <v>0</v>
      </c>
      <c r="J480" t="n">
        <v>0</v>
      </c>
      <c r="K480" t="n">
        <v>0</v>
      </c>
      <c r="L480" t="n">
        <v>0</v>
      </c>
      <c r="M480" t="n">
        <v>0</v>
      </c>
      <c r="N480" t="n">
        <v>0</v>
      </c>
      <c r="O480" t="n">
        <v>0</v>
      </c>
      <c r="P480" t="n">
        <v>0</v>
      </c>
      <c r="Q480" t="n">
        <v>0</v>
      </c>
      <c r="R480" s="2" t="inlineStr"/>
    </row>
    <row r="481" ht="15" customHeight="1">
      <c r="A481" t="inlineStr">
        <is>
          <t>A 44232-2022</t>
        </is>
      </c>
      <c r="B481" s="1" t="n">
        <v>44839</v>
      </c>
      <c r="C481" s="1" t="n">
        <v>46078</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61106-2022</t>
        </is>
      </c>
      <c r="B482" s="1" t="n">
        <v>44915.4128587963</v>
      </c>
      <c r="C482" s="1" t="n">
        <v>46078</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39624-2023</t>
        </is>
      </c>
      <c r="B483" s="1" t="n">
        <v>45164</v>
      </c>
      <c r="C483" s="1" t="n">
        <v>46078</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20184-2023</t>
        </is>
      </c>
      <c r="B484" s="1" t="n">
        <v>45055.5670949074</v>
      </c>
      <c r="C484" s="1" t="n">
        <v>46078</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8152-2022</t>
        </is>
      </c>
      <c r="B485" s="1" t="n">
        <v>44609</v>
      </c>
      <c r="C485" s="1" t="n">
        <v>46078</v>
      </c>
      <c r="D485" t="inlineStr">
        <is>
          <t>UPPSALA LÄN</t>
        </is>
      </c>
      <c r="E485" t="inlineStr">
        <is>
          <t>ENKÖPING</t>
        </is>
      </c>
      <c r="F485" t="inlineStr">
        <is>
          <t>Kyrkan</t>
        </is>
      </c>
      <c r="G485" t="n">
        <v>1.3</v>
      </c>
      <c r="H485" t="n">
        <v>0</v>
      </c>
      <c r="I485" t="n">
        <v>0</v>
      </c>
      <c r="J485" t="n">
        <v>0</v>
      </c>
      <c r="K485" t="n">
        <v>0</v>
      </c>
      <c r="L485" t="n">
        <v>0</v>
      </c>
      <c r="M485" t="n">
        <v>0</v>
      </c>
      <c r="N485" t="n">
        <v>0</v>
      </c>
      <c r="O485" t="n">
        <v>0</v>
      </c>
      <c r="P485" t="n">
        <v>0</v>
      </c>
      <c r="Q485" t="n">
        <v>0</v>
      </c>
      <c r="R485" s="2" t="inlineStr"/>
    </row>
    <row r="486" ht="15" customHeight="1">
      <c r="A486" t="inlineStr">
        <is>
          <t>A 40223-2024</t>
        </is>
      </c>
      <c r="B486" s="1" t="n">
        <v>45554</v>
      </c>
      <c r="C486" s="1" t="n">
        <v>46078</v>
      </c>
      <c r="D486" t="inlineStr">
        <is>
          <t>UPPSALA LÄN</t>
        </is>
      </c>
      <c r="E486" t="inlineStr">
        <is>
          <t>ENKÖPING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37035-2023</t>
        </is>
      </c>
      <c r="B487" s="1" t="n">
        <v>45155</v>
      </c>
      <c r="C487" s="1" t="n">
        <v>46078</v>
      </c>
      <c r="D487" t="inlineStr">
        <is>
          <t>UPPSALA LÄN</t>
        </is>
      </c>
      <c r="E487" t="inlineStr">
        <is>
          <t>ENKÖPING</t>
        </is>
      </c>
      <c r="G487" t="n">
        <v>1.2</v>
      </c>
      <c r="H487" t="n">
        <v>0</v>
      </c>
      <c r="I487" t="n">
        <v>0</v>
      </c>
      <c r="J487" t="n">
        <v>0</v>
      </c>
      <c r="K487" t="n">
        <v>0</v>
      </c>
      <c r="L487" t="n">
        <v>0</v>
      </c>
      <c r="M487" t="n">
        <v>0</v>
      </c>
      <c r="N487" t="n">
        <v>0</v>
      </c>
      <c r="O487" t="n">
        <v>0</v>
      </c>
      <c r="P487" t="n">
        <v>0</v>
      </c>
      <c r="Q487" t="n">
        <v>0</v>
      </c>
      <c r="R487" s="2" t="inlineStr"/>
    </row>
    <row r="488" ht="15" customHeight="1">
      <c r="A488" t="inlineStr">
        <is>
          <t>A 52889-2022</t>
        </is>
      </c>
      <c r="B488" s="1" t="n">
        <v>44875</v>
      </c>
      <c r="C488" s="1" t="n">
        <v>46078</v>
      </c>
      <c r="D488" t="inlineStr">
        <is>
          <t>UPPSALA LÄN</t>
        </is>
      </c>
      <c r="E488" t="inlineStr">
        <is>
          <t>ENKÖPING</t>
        </is>
      </c>
      <c r="G488" t="n">
        <v>1.7</v>
      </c>
      <c r="H488" t="n">
        <v>0</v>
      </c>
      <c r="I488" t="n">
        <v>0</v>
      </c>
      <c r="J488" t="n">
        <v>0</v>
      </c>
      <c r="K488" t="n">
        <v>0</v>
      </c>
      <c r="L488" t="n">
        <v>0</v>
      </c>
      <c r="M488" t="n">
        <v>0</v>
      </c>
      <c r="N488" t="n">
        <v>0</v>
      </c>
      <c r="O488" t="n">
        <v>0</v>
      </c>
      <c r="P488" t="n">
        <v>0</v>
      </c>
      <c r="Q488" t="n">
        <v>0</v>
      </c>
      <c r="R488" s="2" t="inlineStr"/>
    </row>
    <row r="489" ht="15" customHeight="1">
      <c r="A489" t="inlineStr">
        <is>
          <t>A 51030-2024</t>
        </is>
      </c>
      <c r="B489" s="1" t="n">
        <v>45603</v>
      </c>
      <c r="C489" s="1" t="n">
        <v>46078</v>
      </c>
      <c r="D489" t="inlineStr">
        <is>
          <t>UPPSALA LÄN</t>
        </is>
      </c>
      <c r="E489" t="inlineStr">
        <is>
          <t>ENKÖPING</t>
        </is>
      </c>
      <c r="G489" t="n">
        <v>2</v>
      </c>
      <c r="H489" t="n">
        <v>0</v>
      </c>
      <c r="I489" t="n">
        <v>0</v>
      </c>
      <c r="J489" t="n">
        <v>0</v>
      </c>
      <c r="K489" t="n">
        <v>0</v>
      </c>
      <c r="L489" t="n">
        <v>0</v>
      </c>
      <c r="M489" t="n">
        <v>0</v>
      </c>
      <c r="N489" t="n">
        <v>0</v>
      </c>
      <c r="O489" t="n">
        <v>0</v>
      </c>
      <c r="P489" t="n">
        <v>0</v>
      </c>
      <c r="Q489" t="n">
        <v>0</v>
      </c>
      <c r="R489" s="2" t="inlineStr"/>
    </row>
    <row r="490" ht="15" customHeight="1">
      <c r="A490" t="inlineStr">
        <is>
          <t>A 26292-2022</t>
        </is>
      </c>
      <c r="B490" s="1" t="n">
        <v>44735</v>
      </c>
      <c r="C490" s="1" t="n">
        <v>46078</v>
      </c>
      <c r="D490" t="inlineStr">
        <is>
          <t>UPPSALA LÄN</t>
        </is>
      </c>
      <c r="E490" t="inlineStr">
        <is>
          <t>ENKÖPING</t>
        </is>
      </c>
      <c r="F490" t="inlineStr">
        <is>
          <t>Kyrkan</t>
        </is>
      </c>
      <c r="G490" t="n">
        <v>4.6</v>
      </c>
      <c r="H490" t="n">
        <v>0</v>
      </c>
      <c r="I490" t="n">
        <v>0</v>
      </c>
      <c r="J490" t="n">
        <v>0</v>
      </c>
      <c r="K490" t="n">
        <v>0</v>
      </c>
      <c r="L490" t="n">
        <v>0</v>
      </c>
      <c r="M490" t="n">
        <v>0</v>
      </c>
      <c r="N490" t="n">
        <v>0</v>
      </c>
      <c r="O490" t="n">
        <v>0</v>
      </c>
      <c r="P490" t="n">
        <v>0</v>
      </c>
      <c r="Q490" t="n">
        <v>0</v>
      </c>
      <c r="R490" s="2" t="inlineStr"/>
    </row>
    <row r="491" ht="15" customHeight="1">
      <c r="A491" t="inlineStr">
        <is>
          <t>A 4044-2024</t>
        </is>
      </c>
      <c r="B491" s="1" t="n">
        <v>45323.45954861111</v>
      </c>
      <c r="C491" s="1" t="n">
        <v>46078</v>
      </c>
      <c r="D491" t="inlineStr">
        <is>
          <t>UPPSALA LÄN</t>
        </is>
      </c>
      <c r="E491" t="inlineStr">
        <is>
          <t>ENKÖPING</t>
        </is>
      </c>
      <c r="G491" t="n">
        <v>2.1</v>
      </c>
      <c r="H491" t="n">
        <v>0</v>
      </c>
      <c r="I491" t="n">
        <v>0</v>
      </c>
      <c r="J491" t="n">
        <v>0</v>
      </c>
      <c r="K491" t="n">
        <v>0</v>
      </c>
      <c r="L491" t="n">
        <v>0</v>
      </c>
      <c r="M491" t="n">
        <v>0</v>
      </c>
      <c r="N491" t="n">
        <v>0</v>
      </c>
      <c r="O491" t="n">
        <v>0</v>
      </c>
      <c r="P491" t="n">
        <v>0</v>
      </c>
      <c r="Q491" t="n">
        <v>0</v>
      </c>
      <c r="R491" s="2" t="inlineStr"/>
    </row>
    <row r="492" ht="15" customHeight="1">
      <c r="A492" t="inlineStr">
        <is>
          <t>A 33349-2024</t>
        </is>
      </c>
      <c r="B492" s="1" t="n">
        <v>45519</v>
      </c>
      <c r="C492" s="1" t="n">
        <v>46078</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22912-2024</t>
        </is>
      </c>
      <c r="B493" s="1" t="n">
        <v>45448.73118055556</v>
      </c>
      <c r="C493" s="1" t="n">
        <v>46078</v>
      </c>
      <c r="D493" t="inlineStr">
        <is>
          <t>UPPSALA LÄN</t>
        </is>
      </c>
      <c r="E493" t="inlineStr">
        <is>
          <t>ENKÖPING</t>
        </is>
      </c>
      <c r="G493" t="n">
        <v>2.8</v>
      </c>
      <c r="H493" t="n">
        <v>0</v>
      </c>
      <c r="I493" t="n">
        <v>0</v>
      </c>
      <c r="J493" t="n">
        <v>0</v>
      </c>
      <c r="K493" t="n">
        <v>0</v>
      </c>
      <c r="L493" t="n">
        <v>0</v>
      </c>
      <c r="M493" t="n">
        <v>0</v>
      </c>
      <c r="N493" t="n">
        <v>0</v>
      </c>
      <c r="O493" t="n">
        <v>0</v>
      </c>
      <c r="P493" t="n">
        <v>0</v>
      </c>
      <c r="Q493" t="n">
        <v>0</v>
      </c>
      <c r="R493" s="2" t="inlineStr"/>
    </row>
    <row r="494" ht="15" customHeight="1">
      <c r="A494" t="inlineStr">
        <is>
          <t>A 21612-2023</t>
        </is>
      </c>
      <c r="B494" s="1" t="n">
        <v>45063</v>
      </c>
      <c r="C494" s="1" t="n">
        <v>46078</v>
      </c>
      <c r="D494" t="inlineStr">
        <is>
          <t>UPPSALA LÄN</t>
        </is>
      </c>
      <c r="E494" t="inlineStr">
        <is>
          <t>ENKÖPING</t>
        </is>
      </c>
      <c r="F494" t="inlineStr">
        <is>
          <t>Allmännings- och besparingsskogar</t>
        </is>
      </c>
      <c r="G494" t="n">
        <v>1</v>
      </c>
      <c r="H494" t="n">
        <v>0</v>
      </c>
      <c r="I494" t="n">
        <v>0</v>
      </c>
      <c r="J494" t="n">
        <v>0</v>
      </c>
      <c r="K494" t="n">
        <v>0</v>
      </c>
      <c r="L494" t="n">
        <v>0</v>
      </c>
      <c r="M494" t="n">
        <v>0</v>
      </c>
      <c r="N494" t="n">
        <v>0</v>
      </c>
      <c r="O494" t="n">
        <v>0</v>
      </c>
      <c r="P494" t="n">
        <v>0</v>
      </c>
      <c r="Q494" t="n">
        <v>0</v>
      </c>
      <c r="R494" s="2" t="inlineStr"/>
    </row>
    <row r="495" ht="15" customHeight="1">
      <c r="A495" t="inlineStr">
        <is>
          <t>A 14243-2025</t>
        </is>
      </c>
      <c r="B495" s="1" t="n">
        <v>45740.61288194444</v>
      </c>
      <c r="C495" s="1" t="n">
        <v>46078</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33343-2024</t>
        </is>
      </c>
      <c r="B496" s="1" t="n">
        <v>45519</v>
      </c>
      <c r="C496" s="1" t="n">
        <v>46078</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18302-2025</t>
        </is>
      </c>
      <c r="B497" s="1" t="n">
        <v>45762</v>
      </c>
      <c r="C497" s="1" t="n">
        <v>46078</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28243-2023</t>
        </is>
      </c>
      <c r="B498" s="1" t="n">
        <v>45099.58885416666</v>
      </c>
      <c r="C498" s="1" t="n">
        <v>46078</v>
      </c>
      <c r="D498" t="inlineStr">
        <is>
          <t>UPPSALA LÄN</t>
        </is>
      </c>
      <c r="E498" t="inlineStr">
        <is>
          <t>ENKÖPING</t>
        </is>
      </c>
      <c r="G498" t="n">
        <v>1.9</v>
      </c>
      <c r="H498" t="n">
        <v>0</v>
      </c>
      <c r="I498" t="n">
        <v>0</v>
      </c>
      <c r="J498" t="n">
        <v>0</v>
      </c>
      <c r="K498" t="n">
        <v>0</v>
      </c>
      <c r="L498" t="n">
        <v>0</v>
      </c>
      <c r="M498" t="n">
        <v>0</v>
      </c>
      <c r="N498" t="n">
        <v>0</v>
      </c>
      <c r="O498" t="n">
        <v>0</v>
      </c>
      <c r="P498" t="n">
        <v>0</v>
      </c>
      <c r="Q498" t="n">
        <v>0</v>
      </c>
      <c r="R498" s="2" t="inlineStr"/>
    </row>
    <row r="499" ht="15" customHeight="1">
      <c r="A499" t="inlineStr">
        <is>
          <t>A 3235-2025</t>
        </is>
      </c>
      <c r="B499" s="1" t="n">
        <v>45679</v>
      </c>
      <c r="C499" s="1" t="n">
        <v>46078</v>
      </c>
      <c r="D499" t="inlineStr">
        <is>
          <t>UPPSALA LÄN</t>
        </is>
      </c>
      <c r="E499" t="inlineStr">
        <is>
          <t>ENKÖPING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41828-2024</t>
        </is>
      </c>
      <c r="B500" s="1" t="n">
        <v>45561</v>
      </c>
      <c r="C500" s="1" t="n">
        <v>46078</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1536-2024</t>
        </is>
      </c>
      <c r="B501" s="1" t="n">
        <v>45306</v>
      </c>
      <c r="C501" s="1" t="n">
        <v>46078</v>
      </c>
      <c r="D501" t="inlineStr">
        <is>
          <t>UPPSALA LÄN</t>
        </is>
      </c>
      <c r="E501" t="inlineStr">
        <is>
          <t>ENKÖPING</t>
        </is>
      </c>
      <c r="F501" t="inlineStr">
        <is>
          <t>Kyrkan</t>
        </is>
      </c>
      <c r="G501" t="n">
        <v>5.6</v>
      </c>
      <c r="H501" t="n">
        <v>0</v>
      </c>
      <c r="I501" t="n">
        <v>0</v>
      </c>
      <c r="J501" t="n">
        <v>0</v>
      </c>
      <c r="K501" t="n">
        <v>0</v>
      </c>
      <c r="L501" t="n">
        <v>0</v>
      </c>
      <c r="M501" t="n">
        <v>0</v>
      </c>
      <c r="N501" t="n">
        <v>0</v>
      </c>
      <c r="O501" t="n">
        <v>0</v>
      </c>
      <c r="P501" t="n">
        <v>0</v>
      </c>
      <c r="Q501" t="n">
        <v>0</v>
      </c>
      <c r="R501" s="2" t="inlineStr"/>
    </row>
    <row r="502" ht="15" customHeight="1">
      <c r="A502" t="inlineStr">
        <is>
          <t>A 42564-2024</t>
        </is>
      </c>
      <c r="B502" s="1" t="n">
        <v>45565.63358796296</v>
      </c>
      <c r="C502" s="1" t="n">
        <v>46078</v>
      </c>
      <c r="D502" t="inlineStr">
        <is>
          <t>UPPSALA LÄN</t>
        </is>
      </c>
      <c r="E502" t="inlineStr">
        <is>
          <t>ENKÖPING</t>
        </is>
      </c>
      <c r="G502" t="n">
        <v>1.7</v>
      </c>
      <c r="H502" t="n">
        <v>0</v>
      </c>
      <c r="I502" t="n">
        <v>0</v>
      </c>
      <c r="J502" t="n">
        <v>0</v>
      </c>
      <c r="K502" t="n">
        <v>0</v>
      </c>
      <c r="L502" t="n">
        <v>0</v>
      </c>
      <c r="M502" t="n">
        <v>0</v>
      </c>
      <c r="N502" t="n">
        <v>0</v>
      </c>
      <c r="O502" t="n">
        <v>0</v>
      </c>
      <c r="P502" t="n">
        <v>0</v>
      </c>
      <c r="Q502" t="n">
        <v>0</v>
      </c>
      <c r="R502" s="2" t="inlineStr"/>
    </row>
    <row r="503" ht="15" customHeight="1">
      <c r="A503" t="inlineStr">
        <is>
          <t>A 43492-2023</t>
        </is>
      </c>
      <c r="B503" s="1" t="n">
        <v>45181</v>
      </c>
      <c r="C503" s="1" t="n">
        <v>46078</v>
      </c>
      <c r="D503" t="inlineStr">
        <is>
          <t>UPPSALA LÄN</t>
        </is>
      </c>
      <c r="E503" t="inlineStr">
        <is>
          <t>ENKÖPING</t>
        </is>
      </c>
      <c r="G503" t="n">
        <v>1.6</v>
      </c>
      <c r="H503" t="n">
        <v>0</v>
      </c>
      <c r="I503" t="n">
        <v>0</v>
      </c>
      <c r="J503" t="n">
        <v>0</v>
      </c>
      <c r="K503" t="n">
        <v>0</v>
      </c>
      <c r="L503" t="n">
        <v>0</v>
      </c>
      <c r="M503" t="n">
        <v>0</v>
      </c>
      <c r="N503" t="n">
        <v>0</v>
      </c>
      <c r="O503" t="n">
        <v>0</v>
      </c>
      <c r="P503" t="n">
        <v>0</v>
      </c>
      <c r="Q503" t="n">
        <v>0</v>
      </c>
      <c r="R503" s="2" t="inlineStr"/>
    </row>
    <row r="504" ht="15" customHeight="1">
      <c r="A504" t="inlineStr">
        <is>
          <t>A 6626-2023</t>
        </is>
      </c>
      <c r="B504" s="1" t="n">
        <v>44966.55946759259</v>
      </c>
      <c r="C504" s="1" t="n">
        <v>46078</v>
      </c>
      <c r="D504" t="inlineStr">
        <is>
          <t>UPPSALA LÄN</t>
        </is>
      </c>
      <c r="E504" t="inlineStr">
        <is>
          <t>ENKÖPING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17165-2025</t>
        </is>
      </c>
      <c r="B505" s="1" t="n">
        <v>45756</v>
      </c>
      <c r="C505" s="1" t="n">
        <v>46078</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5013-2025</t>
        </is>
      </c>
      <c r="B506" s="1" t="n">
        <v>45691</v>
      </c>
      <c r="C506" s="1" t="n">
        <v>46078</v>
      </c>
      <c r="D506" t="inlineStr">
        <is>
          <t>UPPSALA LÄN</t>
        </is>
      </c>
      <c r="E506" t="inlineStr">
        <is>
          <t>ENKÖPING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37170-2021</t>
        </is>
      </c>
      <c r="B507" s="1" t="n">
        <v>44395</v>
      </c>
      <c r="C507" s="1" t="n">
        <v>46078</v>
      </c>
      <c r="D507" t="inlineStr">
        <is>
          <t>UPPSALA LÄN</t>
        </is>
      </c>
      <c r="E507" t="inlineStr">
        <is>
          <t>ENKÖPING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58147-2024</t>
        </is>
      </c>
      <c r="B508" s="1" t="n">
        <v>45632.4334375</v>
      </c>
      <c r="C508" s="1" t="n">
        <v>46078</v>
      </c>
      <c r="D508" t="inlineStr">
        <is>
          <t>UPPSALA LÄN</t>
        </is>
      </c>
      <c r="E508" t="inlineStr">
        <is>
          <t>ENKÖPING</t>
        </is>
      </c>
      <c r="G508" t="n">
        <v>3</v>
      </c>
      <c r="H508" t="n">
        <v>0</v>
      </c>
      <c r="I508" t="n">
        <v>0</v>
      </c>
      <c r="J508" t="n">
        <v>0</v>
      </c>
      <c r="K508" t="n">
        <v>0</v>
      </c>
      <c r="L508" t="n">
        <v>0</v>
      </c>
      <c r="M508" t="n">
        <v>0</v>
      </c>
      <c r="N508" t="n">
        <v>0</v>
      </c>
      <c r="O508" t="n">
        <v>0</v>
      </c>
      <c r="P508" t="n">
        <v>0</v>
      </c>
      <c r="Q508" t="n">
        <v>0</v>
      </c>
      <c r="R508" s="2" t="inlineStr"/>
    </row>
    <row r="509" ht="15" customHeight="1">
      <c r="A509" t="inlineStr">
        <is>
          <t>A 3550-2023</t>
        </is>
      </c>
      <c r="B509" s="1" t="n">
        <v>44950</v>
      </c>
      <c r="C509" s="1" t="n">
        <v>46078</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19014-2025</t>
        </is>
      </c>
      <c r="B510" s="1" t="n">
        <v>45764.59631944444</v>
      </c>
      <c r="C510" s="1" t="n">
        <v>46078</v>
      </c>
      <c r="D510" t="inlineStr">
        <is>
          <t>UPPSALA LÄN</t>
        </is>
      </c>
      <c r="E510" t="inlineStr">
        <is>
          <t>ENKÖPING</t>
        </is>
      </c>
      <c r="G510" t="n">
        <v>0.2</v>
      </c>
      <c r="H510" t="n">
        <v>0</v>
      </c>
      <c r="I510" t="n">
        <v>0</v>
      </c>
      <c r="J510" t="n">
        <v>0</v>
      </c>
      <c r="K510" t="n">
        <v>0</v>
      </c>
      <c r="L510" t="n">
        <v>0</v>
      </c>
      <c r="M510" t="n">
        <v>0</v>
      </c>
      <c r="N510" t="n">
        <v>0</v>
      </c>
      <c r="O510" t="n">
        <v>0</v>
      </c>
      <c r="P510" t="n">
        <v>0</v>
      </c>
      <c r="Q510" t="n">
        <v>0</v>
      </c>
      <c r="R510" s="2" t="inlineStr"/>
    </row>
    <row r="511" ht="15" customHeight="1">
      <c r="A511" t="inlineStr">
        <is>
          <t>A 12958-2024</t>
        </is>
      </c>
      <c r="B511" s="1" t="n">
        <v>45385</v>
      </c>
      <c r="C511" s="1" t="n">
        <v>46078</v>
      </c>
      <c r="D511" t="inlineStr">
        <is>
          <t>UPPSALA LÄN</t>
        </is>
      </c>
      <c r="E511" t="inlineStr">
        <is>
          <t>ENKÖPING</t>
        </is>
      </c>
      <c r="G511" t="n">
        <v>2.1</v>
      </c>
      <c r="H511" t="n">
        <v>0</v>
      </c>
      <c r="I511" t="n">
        <v>0</v>
      </c>
      <c r="J511" t="n">
        <v>0</v>
      </c>
      <c r="K511" t="n">
        <v>0</v>
      </c>
      <c r="L511" t="n">
        <v>0</v>
      </c>
      <c r="M511" t="n">
        <v>0</v>
      </c>
      <c r="N511" t="n">
        <v>0</v>
      </c>
      <c r="O511" t="n">
        <v>0</v>
      </c>
      <c r="P511" t="n">
        <v>0</v>
      </c>
      <c r="Q511" t="n">
        <v>0</v>
      </c>
      <c r="R511" s="2" t="inlineStr"/>
    </row>
    <row r="512" ht="15" customHeight="1">
      <c r="A512" t="inlineStr">
        <is>
          <t>A 1651-2024</t>
        </is>
      </c>
      <c r="B512" s="1" t="n">
        <v>45306.73770833333</v>
      </c>
      <c r="C512" s="1" t="n">
        <v>46078</v>
      </c>
      <c r="D512" t="inlineStr">
        <is>
          <t>UPPSALA LÄN</t>
        </is>
      </c>
      <c r="E512" t="inlineStr">
        <is>
          <t>ENKÖPING</t>
        </is>
      </c>
      <c r="G512" t="n">
        <v>10.2</v>
      </c>
      <c r="H512" t="n">
        <v>0</v>
      </c>
      <c r="I512" t="n">
        <v>0</v>
      </c>
      <c r="J512" t="n">
        <v>0</v>
      </c>
      <c r="K512" t="n">
        <v>0</v>
      </c>
      <c r="L512" t="n">
        <v>0</v>
      </c>
      <c r="M512" t="n">
        <v>0</v>
      </c>
      <c r="N512" t="n">
        <v>0</v>
      </c>
      <c r="O512" t="n">
        <v>0</v>
      </c>
      <c r="P512" t="n">
        <v>0</v>
      </c>
      <c r="Q512" t="n">
        <v>0</v>
      </c>
      <c r="R512" s="2" t="inlineStr"/>
    </row>
    <row r="513" ht="15" customHeight="1">
      <c r="A513" t="inlineStr">
        <is>
          <t>A 51012-2024</t>
        </is>
      </c>
      <c r="B513" s="1" t="n">
        <v>45603.39686342593</v>
      </c>
      <c r="C513" s="1" t="n">
        <v>46078</v>
      </c>
      <c r="D513" t="inlineStr">
        <is>
          <t>UPPSALA LÄN</t>
        </is>
      </c>
      <c r="E513" t="inlineStr">
        <is>
          <t>ENKÖPING</t>
        </is>
      </c>
      <c r="G513" t="n">
        <v>2.7</v>
      </c>
      <c r="H513" t="n">
        <v>0</v>
      </c>
      <c r="I513" t="n">
        <v>0</v>
      </c>
      <c r="J513" t="n">
        <v>0</v>
      </c>
      <c r="K513" t="n">
        <v>0</v>
      </c>
      <c r="L513" t="n">
        <v>0</v>
      </c>
      <c r="M513" t="n">
        <v>0</v>
      </c>
      <c r="N513" t="n">
        <v>0</v>
      </c>
      <c r="O513" t="n">
        <v>0</v>
      </c>
      <c r="P513" t="n">
        <v>0</v>
      </c>
      <c r="Q513" t="n">
        <v>0</v>
      </c>
      <c r="R513" s="2" t="inlineStr"/>
    </row>
    <row r="514" ht="15" customHeight="1">
      <c r="A514" t="inlineStr">
        <is>
          <t>A 57940-2022</t>
        </is>
      </c>
      <c r="B514" s="1" t="n">
        <v>44900</v>
      </c>
      <c r="C514" s="1" t="n">
        <v>46078</v>
      </c>
      <c r="D514" t="inlineStr">
        <is>
          <t>UPPSALA LÄN</t>
        </is>
      </c>
      <c r="E514" t="inlineStr">
        <is>
          <t>ENKÖPING</t>
        </is>
      </c>
      <c r="G514" t="n">
        <v>1.9</v>
      </c>
      <c r="H514" t="n">
        <v>0</v>
      </c>
      <c r="I514" t="n">
        <v>0</v>
      </c>
      <c r="J514" t="n">
        <v>0</v>
      </c>
      <c r="K514" t="n">
        <v>0</v>
      </c>
      <c r="L514" t="n">
        <v>0</v>
      </c>
      <c r="M514" t="n">
        <v>0</v>
      </c>
      <c r="N514" t="n">
        <v>0</v>
      </c>
      <c r="O514" t="n">
        <v>0</v>
      </c>
      <c r="P514" t="n">
        <v>0</v>
      </c>
      <c r="Q514" t="n">
        <v>0</v>
      </c>
      <c r="R514" s="2" t="inlineStr"/>
    </row>
    <row r="515" ht="15" customHeight="1">
      <c r="A515" t="inlineStr">
        <is>
          <t>A 63310-2021</t>
        </is>
      </c>
      <c r="B515" s="1" t="n">
        <v>44508</v>
      </c>
      <c r="C515" s="1" t="n">
        <v>46078</v>
      </c>
      <c r="D515" t="inlineStr">
        <is>
          <t>UPPSALA LÄN</t>
        </is>
      </c>
      <c r="E515" t="inlineStr">
        <is>
          <t>ENKÖPING</t>
        </is>
      </c>
      <c r="G515" t="n">
        <v>3.5</v>
      </c>
      <c r="H515" t="n">
        <v>0</v>
      </c>
      <c r="I515" t="n">
        <v>0</v>
      </c>
      <c r="J515" t="n">
        <v>0</v>
      </c>
      <c r="K515" t="n">
        <v>0</v>
      </c>
      <c r="L515" t="n">
        <v>0</v>
      </c>
      <c r="M515" t="n">
        <v>0</v>
      </c>
      <c r="N515" t="n">
        <v>0</v>
      </c>
      <c r="O515" t="n">
        <v>0</v>
      </c>
      <c r="P515" t="n">
        <v>0</v>
      </c>
      <c r="Q515" t="n">
        <v>0</v>
      </c>
      <c r="R515" s="2" t="inlineStr"/>
    </row>
    <row r="516" ht="15" customHeight="1">
      <c r="A516" t="inlineStr">
        <is>
          <t>A 20440-2025</t>
        </is>
      </c>
      <c r="B516" s="1" t="n">
        <v>45775</v>
      </c>
      <c r="C516" s="1" t="n">
        <v>46078</v>
      </c>
      <c r="D516" t="inlineStr">
        <is>
          <t>UPPSALA LÄN</t>
        </is>
      </c>
      <c r="E516" t="inlineStr">
        <is>
          <t>ENKÖPING</t>
        </is>
      </c>
      <c r="G516" t="n">
        <v>1.6</v>
      </c>
      <c r="H516" t="n">
        <v>0</v>
      </c>
      <c r="I516" t="n">
        <v>0</v>
      </c>
      <c r="J516" t="n">
        <v>0</v>
      </c>
      <c r="K516" t="n">
        <v>0</v>
      </c>
      <c r="L516" t="n">
        <v>0</v>
      </c>
      <c r="M516" t="n">
        <v>0</v>
      </c>
      <c r="N516" t="n">
        <v>0</v>
      </c>
      <c r="O516" t="n">
        <v>0</v>
      </c>
      <c r="P516" t="n">
        <v>0</v>
      </c>
      <c r="Q516" t="n">
        <v>0</v>
      </c>
      <c r="R516" s="2" t="inlineStr"/>
    </row>
    <row r="517" ht="15" customHeight="1">
      <c r="A517" t="inlineStr">
        <is>
          <t>A 19488-2022</t>
        </is>
      </c>
      <c r="B517" s="1" t="n">
        <v>44693</v>
      </c>
      <c r="C517" s="1" t="n">
        <v>46078</v>
      </c>
      <c r="D517" t="inlineStr">
        <is>
          <t>UPPSALA LÄN</t>
        </is>
      </c>
      <c r="E517" t="inlineStr">
        <is>
          <t>ENKÖPING</t>
        </is>
      </c>
      <c r="G517" t="n">
        <v>7.8</v>
      </c>
      <c r="H517" t="n">
        <v>0</v>
      </c>
      <c r="I517" t="n">
        <v>0</v>
      </c>
      <c r="J517" t="n">
        <v>0</v>
      </c>
      <c r="K517" t="n">
        <v>0</v>
      </c>
      <c r="L517" t="n">
        <v>0</v>
      </c>
      <c r="M517" t="n">
        <v>0</v>
      </c>
      <c r="N517" t="n">
        <v>0</v>
      </c>
      <c r="O517" t="n">
        <v>0</v>
      </c>
      <c r="P517" t="n">
        <v>0</v>
      </c>
      <c r="Q517" t="n">
        <v>0</v>
      </c>
      <c r="R517" s="2" t="inlineStr"/>
    </row>
    <row r="518" ht="15" customHeight="1">
      <c r="A518" t="inlineStr">
        <is>
          <t>A 5188-2022</t>
        </is>
      </c>
      <c r="B518" s="1" t="n">
        <v>44594.4471412037</v>
      </c>
      <c r="C518" s="1" t="n">
        <v>46078</v>
      </c>
      <c r="D518" t="inlineStr">
        <is>
          <t>UPPSALA LÄN</t>
        </is>
      </c>
      <c r="E518" t="inlineStr">
        <is>
          <t>ENKÖPING</t>
        </is>
      </c>
      <c r="G518" t="n">
        <v>1.6</v>
      </c>
      <c r="H518" t="n">
        <v>0</v>
      </c>
      <c r="I518" t="n">
        <v>0</v>
      </c>
      <c r="J518" t="n">
        <v>0</v>
      </c>
      <c r="K518" t="n">
        <v>0</v>
      </c>
      <c r="L518" t="n">
        <v>0</v>
      </c>
      <c r="M518" t="n">
        <v>0</v>
      </c>
      <c r="N518" t="n">
        <v>0</v>
      </c>
      <c r="O518" t="n">
        <v>0</v>
      </c>
      <c r="P518" t="n">
        <v>0</v>
      </c>
      <c r="Q518" t="n">
        <v>0</v>
      </c>
      <c r="R518" s="2" t="inlineStr"/>
    </row>
    <row r="519" ht="15" customHeight="1">
      <c r="A519" t="inlineStr">
        <is>
          <t>A 31622-2022</t>
        </is>
      </c>
      <c r="B519" s="1" t="n">
        <v>44775</v>
      </c>
      <c r="C519" s="1" t="n">
        <v>46078</v>
      </c>
      <c r="D519" t="inlineStr">
        <is>
          <t>UPPSALA LÄN</t>
        </is>
      </c>
      <c r="E519" t="inlineStr">
        <is>
          <t>ENKÖPING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12102-2024</t>
        </is>
      </c>
      <c r="B520" s="1" t="n">
        <v>45377</v>
      </c>
      <c r="C520" s="1" t="n">
        <v>46078</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c r="A521" t="inlineStr">
        <is>
          <t>A 59602-2024</t>
        </is>
      </c>
      <c r="B521" s="1" t="n">
        <v>45638</v>
      </c>
      <c r="C521" s="1" t="n">
        <v>46078</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2026-02-25T11:17:19Z</dcterms:created>
  <dcterms:modified xmlns:dcterms="http://purl.org/dc/terms/" xmlns:xsi="http://www.w3.org/2001/XMLSchema-instance" xsi:type="dcterms:W3CDTF">2026-02-25T11:17:20Z</dcterms:modified>
</cp:coreProperties>
</file>