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46186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46186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46186</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46186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46186</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46186</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46186</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46186</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34150-2021</t>
        </is>
      </c>
      <c r="B10" s="1" t="n">
        <v>44379</v>
      </c>
      <c r="C10" s="1" t="n">
        <v>46186</v>
      </c>
      <c r="D10" t="inlineStr">
        <is>
          <t>UPPSALA LÄN</t>
        </is>
      </c>
      <c r="E10" t="inlineStr">
        <is>
          <t>ENKÖPING</t>
        </is>
      </c>
      <c r="G10" t="n">
        <v>9.199999999999999</v>
      </c>
      <c r="H10" t="n">
        <v>0</v>
      </c>
      <c r="I10" t="n">
        <v>1</v>
      </c>
      <c r="J10" t="n">
        <v>1</v>
      </c>
      <c r="K10" t="n">
        <v>0</v>
      </c>
      <c r="L10" t="n">
        <v>0</v>
      </c>
      <c r="M10" t="n">
        <v>0</v>
      </c>
      <c r="N10" t="n">
        <v>0</v>
      </c>
      <c r="O10" t="n">
        <v>1</v>
      </c>
      <c r="P10" t="n">
        <v>0</v>
      </c>
      <c r="Q10" t="n">
        <v>2</v>
      </c>
      <c r="R10" s="2" t="inlineStr">
        <is>
          <t>Ullticka
Bronshjon</t>
        </is>
      </c>
      <c r="S10">
        <f>HYPERLINK("https://klasma.github.io/Logging_0381/artfynd/A 34150-2021 artfynd.xlsx", "A 34150-2021")</f>
        <v/>
      </c>
      <c r="T10">
        <f>HYPERLINK("https://klasma.github.io/Logging_0381/kartor/A 34150-2021 karta.png", "A 34150-2021")</f>
        <v/>
      </c>
      <c r="V10">
        <f>HYPERLINK("https://klasma.github.io/Logging_0381/klagomål/A 34150-2021 FSC-klagomål.docx", "A 34150-2021")</f>
        <v/>
      </c>
      <c r="W10">
        <f>HYPERLINK("https://klasma.github.io/Logging_0381/klagomålsmail/A 34150-2021 FSC-klagomål mail.docx", "A 34150-2021")</f>
        <v/>
      </c>
      <c r="X10">
        <f>HYPERLINK("https://klasma.github.io/Logging_0381/tillsyn/A 34150-2021 tillsynsbegäran.docx", "A 34150-2021")</f>
        <v/>
      </c>
      <c r="Y10">
        <f>HYPERLINK("https://klasma.github.io/Logging_0381/tillsynsmail/A 34150-2021 tillsynsbegäran mail.docx", "A 34150-2021")</f>
        <v/>
      </c>
    </row>
    <row r="11" ht="15" customHeight="1">
      <c r="A11" t="inlineStr">
        <is>
          <t>A 52092-2022</t>
        </is>
      </c>
      <c r="B11" s="1" t="n">
        <v>44873</v>
      </c>
      <c r="C11" s="1" t="n">
        <v>46186</v>
      </c>
      <c r="D11" t="inlineStr">
        <is>
          <t>UPPSALA LÄN</t>
        </is>
      </c>
      <c r="E11" t="inlineStr">
        <is>
          <t>ENKÖPING</t>
        </is>
      </c>
      <c r="G11" t="n">
        <v>2.4</v>
      </c>
      <c r="H11" t="n">
        <v>1</v>
      </c>
      <c r="I11" t="n">
        <v>0</v>
      </c>
      <c r="J11" t="n">
        <v>1</v>
      </c>
      <c r="K11" t="n">
        <v>1</v>
      </c>
      <c r="L11" t="n">
        <v>0</v>
      </c>
      <c r="M11" t="n">
        <v>0</v>
      </c>
      <c r="N11" t="n">
        <v>0</v>
      </c>
      <c r="O11" t="n">
        <v>2</v>
      </c>
      <c r="P11" t="n">
        <v>1</v>
      </c>
      <c r="Q11" t="n">
        <v>2</v>
      </c>
      <c r="R11" s="2" t="inlineStr">
        <is>
          <t>Bombmurkla
Fyrflikig jordstjärna</t>
        </is>
      </c>
      <c r="S11">
        <f>HYPERLINK("https://klasma.github.io/Logging_0381/artfynd/A 52092-2022 artfynd.xlsx", "A 52092-2022")</f>
        <v/>
      </c>
      <c r="T11">
        <f>HYPERLINK("https://klasma.github.io/Logging_0381/kartor/A 52092-2022 karta.png", "A 52092-2022")</f>
        <v/>
      </c>
      <c r="V11">
        <f>HYPERLINK("https://klasma.github.io/Logging_0381/klagomål/A 52092-2022 FSC-klagomål.docx", "A 52092-2022")</f>
        <v/>
      </c>
      <c r="W11">
        <f>HYPERLINK("https://klasma.github.io/Logging_0381/klagomålsmail/A 52092-2022 FSC-klagomål mail.docx", "A 52092-2022")</f>
        <v/>
      </c>
      <c r="X11">
        <f>HYPERLINK("https://klasma.github.io/Logging_0381/tillsyn/A 52092-2022 tillsynsbegäran.docx", "A 52092-2022")</f>
        <v/>
      </c>
      <c r="Y11">
        <f>HYPERLINK("https://klasma.github.io/Logging_0381/tillsynsmail/A 52092-2022 tillsynsbegäran mail.docx", "A 52092-2022")</f>
        <v/>
      </c>
    </row>
    <row r="12" ht="15" customHeight="1">
      <c r="A12" t="inlineStr">
        <is>
          <t>A 50105-2023</t>
        </is>
      </c>
      <c r="B12" s="1" t="n">
        <v>45215</v>
      </c>
      <c r="C12" s="1" t="n">
        <v>46186</v>
      </c>
      <c r="D12" t="inlineStr">
        <is>
          <t>UPPSALA LÄN</t>
        </is>
      </c>
      <c r="E12" t="inlineStr">
        <is>
          <t>ENKÖPING</t>
        </is>
      </c>
      <c r="G12" t="n">
        <v>8.5</v>
      </c>
      <c r="H12" t="n">
        <v>0</v>
      </c>
      <c r="I12" t="n">
        <v>0</v>
      </c>
      <c r="J12" t="n">
        <v>1</v>
      </c>
      <c r="K12" t="n">
        <v>1</v>
      </c>
      <c r="L12" t="n">
        <v>0</v>
      </c>
      <c r="M12" t="n">
        <v>0</v>
      </c>
      <c r="N12" t="n">
        <v>0</v>
      </c>
      <c r="O12" t="n">
        <v>2</v>
      </c>
      <c r="P12" t="n">
        <v>1</v>
      </c>
      <c r="Q12" t="n">
        <v>2</v>
      </c>
      <c r="R12" s="2" t="inlineStr">
        <is>
          <t>Smalskaftslav
Ullticka</t>
        </is>
      </c>
      <c r="S12">
        <f>HYPERLINK("https://klasma.github.io/Logging_0381/artfynd/A 50105-2023 artfynd.xlsx", "A 50105-2023")</f>
        <v/>
      </c>
      <c r="T12">
        <f>HYPERLINK("https://klasma.github.io/Logging_0381/kartor/A 50105-2023 karta.png", "A 50105-2023")</f>
        <v/>
      </c>
      <c r="V12">
        <f>HYPERLINK("https://klasma.github.io/Logging_0381/klagomål/A 50105-2023 FSC-klagomål.docx", "A 50105-2023")</f>
        <v/>
      </c>
      <c r="W12">
        <f>HYPERLINK("https://klasma.github.io/Logging_0381/klagomålsmail/A 50105-2023 FSC-klagomål mail.docx", "A 50105-2023")</f>
        <v/>
      </c>
      <c r="X12">
        <f>HYPERLINK("https://klasma.github.io/Logging_0381/tillsyn/A 50105-2023 tillsynsbegäran.docx", "A 50105-2023")</f>
        <v/>
      </c>
      <c r="Y12">
        <f>HYPERLINK("https://klasma.github.io/Logging_0381/tillsynsmail/A 50105-2023 tillsynsbegäran mail.docx", "A 50105-2023")</f>
        <v/>
      </c>
    </row>
    <row r="13" ht="15" customHeight="1">
      <c r="A13" t="inlineStr">
        <is>
          <t>A 9147-2026</t>
        </is>
      </c>
      <c r="B13" s="1" t="n">
        <v>46070.30649305556</v>
      </c>
      <c r="C13" s="1" t="n">
        <v>46186</v>
      </c>
      <c r="D13" t="inlineStr">
        <is>
          <t>UPPSALA LÄN</t>
        </is>
      </c>
      <c r="E13" t="inlineStr">
        <is>
          <t>ENKÖPING</t>
        </is>
      </c>
      <c r="G13" t="n">
        <v>1.6</v>
      </c>
      <c r="H13" t="n">
        <v>0</v>
      </c>
      <c r="I13" t="n">
        <v>1</v>
      </c>
      <c r="J13" t="n">
        <v>1</v>
      </c>
      <c r="K13" t="n">
        <v>0</v>
      </c>
      <c r="L13" t="n">
        <v>0</v>
      </c>
      <c r="M13" t="n">
        <v>0</v>
      </c>
      <c r="N13" t="n">
        <v>0</v>
      </c>
      <c r="O13" t="n">
        <v>1</v>
      </c>
      <c r="P13" t="n">
        <v>0</v>
      </c>
      <c r="Q13" t="n">
        <v>2</v>
      </c>
      <c r="R13" s="2" t="inlineStr">
        <is>
          <t>Motaggsvamp
Dropptaggsvamp</t>
        </is>
      </c>
      <c r="S13">
        <f>HYPERLINK("https://klasma.github.io/Logging_0381/artfynd/A 9147-2026 artfynd.xlsx", "A 9147-2026")</f>
        <v/>
      </c>
      <c r="T13">
        <f>HYPERLINK("https://klasma.github.io/Logging_0381/kartor/A 9147-2026 karta.png", "A 9147-2026")</f>
        <v/>
      </c>
      <c r="V13">
        <f>HYPERLINK("https://klasma.github.io/Logging_0381/klagomål/A 9147-2026 FSC-klagomål.docx", "A 9147-2026")</f>
        <v/>
      </c>
      <c r="W13">
        <f>HYPERLINK("https://klasma.github.io/Logging_0381/klagomålsmail/A 9147-2026 FSC-klagomål mail.docx", "A 9147-2026")</f>
        <v/>
      </c>
      <c r="X13">
        <f>HYPERLINK("https://klasma.github.io/Logging_0381/tillsyn/A 9147-2026 tillsynsbegäran.docx", "A 9147-2026")</f>
        <v/>
      </c>
      <c r="Y13">
        <f>HYPERLINK("https://klasma.github.io/Logging_0381/tillsynsmail/A 9147-2026 tillsynsbegäran mail.docx", "A 9147-2026")</f>
        <v/>
      </c>
    </row>
    <row r="14" ht="15" customHeight="1">
      <c r="A14" t="inlineStr">
        <is>
          <t>A 21810-2026</t>
        </is>
      </c>
      <c r="B14" s="1" t="n">
        <v>46150</v>
      </c>
      <c r="C14" s="1" t="n">
        <v>46186</v>
      </c>
      <c r="D14" t="inlineStr">
        <is>
          <t>UPPSALA LÄN</t>
        </is>
      </c>
      <c r="E14" t="inlineStr">
        <is>
          <t>ENKÖPING</t>
        </is>
      </c>
      <c r="G14" t="n">
        <v>13.3</v>
      </c>
      <c r="H14" t="n">
        <v>1</v>
      </c>
      <c r="I14" t="n">
        <v>0</v>
      </c>
      <c r="J14" t="n">
        <v>1</v>
      </c>
      <c r="K14" t="n">
        <v>0</v>
      </c>
      <c r="L14" t="n">
        <v>0</v>
      </c>
      <c r="M14" t="n">
        <v>0</v>
      </c>
      <c r="N14" t="n">
        <v>0</v>
      </c>
      <c r="O14" t="n">
        <v>1</v>
      </c>
      <c r="P14" t="n">
        <v>0</v>
      </c>
      <c r="Q14" t="n">
        <v>2</v>
      </c>
      <c r="R14" s="2" t="inlineStr">
        <is>
          <t>Motaggsvamp
Kungsfågel</t>
        </is>
      </c>
      <c r="S14">
        <f>HYPERLINK("https://klasma.github.io/Logging_0381/artfynd/A 21810-2026 artfynd.xlsx", "A 21810-2026")</f>
        <v/>
      </c>
      <c r="T14">
        <f>HYPERLINK("https://klasma.github.io/Logging_0381/kartor/A 21810-2026 karta.png", "A 21810-2026")</f>
        <v/>
      </c>
      <c r="V14">
        <f>HYPERLINK("https://klasma.github.io/Logging_0381/klagomål/A 21810-2026 FSC-klagomål.docx", "A 21810-2026")</f>
        <v/>
      </c>
      <c r="W14">
        <f>HYPERLINK("https://klasma.github.io/Logging_0381/klagomålsmail/A 21810-2026 FSC-klagomål mail.docx", "A 21810-2026")</f>
        <v/>
      </c>
      <c r="X14">
        <f>HYPERLINK("https://klasma.github.io/Logging_0381/tillsyn/A 21810-2026 tillsynsbegäran.docx", "A 21810-2026")</f>
        <v/>
      </c>
      <c r="Y14">
        <f>HYPERLINK("https://klasma.github.io/Logging_0381/tillsynsmail/A 21810-2026 tillsynsbegäran mail.docx", "A 21810-2026")</f>
        <v/>
      </c>
      <c r="Z14">
        <f>HYPERLINK("https://klasma.github.io/Logging_0381/fåglar/A 21810-2026 prioriterade fågelarter.docx", "A 21810-2026")</f>
        <v/>
      </c>
    </row>
    <row r="15" ht="15" customHeight="1">
      <c r="A15" t="inlineStr">
        <is>
          <t>A 36523-2021</t>
        </is>
      </c>
      <c r="B15" s="1" t="n">
        <v>44391</v>
      </c>
      <c r="C15" s="1" t="n">
        <v>46186</v>
      </c>
      <c r="D15" t="inlineStr">
        <is>
          <t>UPPSALA LÄN</t>
        </is>
      </c>
      <c r="E15" t="inlineStr">
        <is>
          <t>ENKÖPING</t>
        </is>
      </c>
      <c r="G15" t="n">
        <v>3.5</v>
      </c>
      <c r="H15" t="n">
        <v>1</v>
      </c>
      <c r="I15" t="n">
        <v>0</v>
      </c>
      <c r="J15" t="n">
        <v>1</v>
      </c>
      <c r="K15" t="n">
        <v>0</v>
      </c>
      <c r="L15" t="n">
        <v>0</v>
      </c>
      <c r="M15" t="n">
        <v>0</v>
      </c>
      <c r="N15" t="n">
        <v>0</v>
      </c>
      <c r="O15" t="n">
        <v>1</v>
      </c>
      <c r="P15" t="n">
        <v>0</v>
      </c>
      <c r="Q15" t="n">
        <v>1</v>
      </c>
      <c r="R15" s="2" t="inlineStr">
        <is>
          <t>Spillkråka</t>
        </is>
      </c>
      <c r="S15">
        <f>HYPERLINK("https://klasma.github.io/Logging_0381/artfynd/A 36523-2021 artfynd.xlsx", "A 36523-2021")</f>
        <v/>
      </c>
      <c r="T15">
        <f>HYPERLINK("https://klasma.github.io/Logging_0381/kartor/A 36523-2021 karta.png", "A 36523-2021")</f>
        <v/>
      </c>
      <c r="V15">
        <f>HYPERLINK("https://klasma.github.io/Logging_0381/klagomål/A 36523-2021 FSC-klagomål.docx", "A 36523-2021")</f>
        <v/>
      </c>
      <c r="W15">
        <f>HYPERLINK("https://klasma.github.io/Logging_0381/klagomålsmail/A 36523-2021 FSC-klagomål mail.docx", "A 36523-2021")</f>
        <v/>
      </c>
      <c r="X15">
        <f>HYPERLINK("https://klasma.github.io/Logging_0381/tillsyn/A 36523-2021 tillsynsbegäran.docx", "A 36523-2021")</f>
        <v/>
      </c>
      <c r="Y15">
        <f>HYPERLINK("https://klasma.github.io/Logging_0381/tillsynsmail/A 36523-2021 tillsynsbegäran mail.docx", "A 36523-2021")</f>
        <v/>
      </c>
      <c r="Z15">
        <f>HYPERLINK("https://klasma.github.io/Logging_0381/fåglar/A 36523-2021 prioriterade fågelarter.docx", "A 36523-2021")</f>
        <v/>
      </c>
    </row>
    <row r="16" ht="15" customHeight="1">
      <c r="A16" t="inlineStr">
        <is>
          <t>A 1524-2023</t>
        </is>
      </c>
      <c r="B16" s="1" t="n">
        <v>44935</v>
      </c>
      <c r="C16" s="1" t="n">
        <v>46186</v>
      </c>
      <c r="D16" t="inlineStr">
        <is>
          <t>UPPSALA LÄN</t>
        </is>
      </c>
      <c r="E16" t="inlineStr">
        <is>
          <t>ENKÖPING</t>
        </is>
      </c>
      <c r="G16" t="n">
        <v>1.4</v>
      </c>
      <c r="H16" t="n">
        <v>1</v>
      </c>
      <c r="I16" t="n">
        <v>0</v>
      </c>
      <c r="J16" t="n">
        <v>0</v>
      </c>
      <c r="K16" t="n">
        <v>0</v>
      </c>
      <c r="L16" t="n">
        <v>0</v>
      </c>
      <c r="M16" t="n">
        <v>0</v>
      </c>
      <c r="N16" t="n">
        <v>0</v>
      </c>
      <c r="O16" t="n">
        <v>0</v>
      </c>
      <c r="P16" t="n">
        <v>0</v>
      </c>
      <c r="Q16" t="n">
        <v>1</v>
      </c>
      <c r="R16" s="2" t="inlineStr">
        <is>
          <t>Skogsduva</t>
        </is>
      </c>
      <c r="S16">
        <f>HYPERLINK("https://klasma.github.io/Logging_0381/artfynd/A 1524-2023 artfynd.xlsx", "A 1524-2023")</f>
        <v/>
      </c>
      <c r="T16">
        <f>HYPERLINK("https://klasma.github.io/Logging_0381/kartor/A 1524-2023 karta.png", "A 1524-2023")</f>
        <v/>
      </c>
      <c r="V16">
        <f>HYPERLINK("https://klasma.github.io/Logging_0381/klagomål/A 1524-2023 FSC-klagomål.docx", "A 1524-2023")</f>
        <v/>
      </c>
      <c r="W16">
        <f>HYPERLINK("https://klasma.github.io/Logging_0381/klagomålsmail/A 1524-2023 FSC-klagomål mail.docx", "A 1524-2023")</f>
        <v/>
      </c>
      <c r="X16">
        <f>HYPERLINK("https://klasma.github.io/Logging_0381/tillsyn/A 1524-2023 tillsynsbegäran.docx", "A 1524-2023")</f>
        <v/>
      </c>
      <c r="Y16">
        <f>HYPERLINK("https://klasma.github.io/Logging_0381/tillsynsmail/A 1524-2023 tillsynsbegäran mail.docx", "A 1524-2023")</f>
        <v/>
      </c>
      <c r="Z16">
        <f>HYPERLINK("https://klasma.github.io/Logging_0381/fåglar/A 1524-2023 prioriterade fågelarter.docx", "A 1524-2023")</f>
        <v/>
      </c>
    </row>
    <row r="17" ht="15" customHeight="1">
      <c r="A17" t="inlineStr">
        <is>
          <t>A 4166-2026</t>
        </is>
      </c>
      <c r="B17" s="1" t="n">
        <v>46044.66402777778</v>
      </c>
      <c r="C17" s="1" t="n">
        <v>46186</v>
      </c>
      <c r="D17" t="inlineStr">
        <is>
          <t>UPPSALA LÄN</t>
        </is>
      </c>
      <c r="E17" t="inlineStr">
        <is>
          <t>ENKÖPING</t>
        </is>
      </c>
      <c r="G17" t="n">
        <v>1.7</v>
      </c>
      <c r="H17" t="n">
        <v>1</v>
      </c>
      <c r="I17" t="n">
        <v>0</v>
      </c>
      <c r="J17" t="n">
        <v>1</v>
      </c>
      <c r="K17" t="n">
        <v>0</v>
      </c>
      <c r="L17" t="n">
        <v>0</v>
      </c>
      <c r="M17" t="n">
        <v>0</v>
      </c>
      <c r="N17" t="n">
        <v>0</v>
      </c>
      <c r="O17" t="n">
        <v>1</v>
      </c>
      <c r="P17" t="n">
        <v>0</v>
      </c>
      <c r="Q17" t="n">
        <v>1</v>
      </c>
      <c r="R17" s="2" t="inlineStr">
        <is>
          <t>Gulsparv</t>
        </is>
      </c>
      <c r="S17">
        <f>HYPERLINK("https://klasma.github.io/Logging_0381/artfynd/A 4166-2026 artfynd.xlsx", "A 4166-2026")</f>
        <v/>
      </c>
      <c r="T17">
        <f>HYPERLINK("https://klasma.github.io/Logging_0381/kartor/A 4166-2026 karta.png", "A 4166-2026")</f>
        <v/>
      </c>
      <c r="V17">
        <f>HYPERLINK("https://klasma.github.io/Logging_0381/klagomål/A 4166-2026 FSC-klagomål.docx", "A 4166-2026")</f>
        <v/>
      </c>
      <c r="W17">
        <f>HYPERLINK("https://klasma.github.io/Logging_0381/klagomålsmail/A 4166-2026 FSC-klagomål mail.docx", "A 4166-2026")</f>
        <v/>
      </c>
      <c r="X17">
        <f>HYPERLINK("https://klasma.github.io/Logging_0381/tillsyn/A 4166-2026 tillsynsbegäran.docx", "A 4166-2026")</f>
        <v/>
      </c>
      <c r="Y17">
        <f>HYPERLINK("https://klasma.github.io/Logging_0381/tillsynsmail/A 4166-2026 tillsynsbegäran mail.docx", "A 4166-2026")</f>
        <v/>
      </c>
      <c r="Z17">
        <f>HYPERLINK("https://klasma.github.io/Logging_0381/fåglar/A 4166-2026 prioriterade fågelarter.docx", "A 4166-2026")</f>
        <v/>
      </c>
    </row>
    <row r="18" ht="15" customHeight="1">
      <c r="A18" t="inlineStr">
        <is>
          <t>A 28900-2024</t>
        </is>
      </c>
      <c r="B18" s="1" t="n">
        <v>45480</v>
      </c>
      <c r="C18" s="1" t="n">
        <v>46186</v>
      </c>
      <c r="D18" t="inlineStr">
        <is>
          <t>UPPSALA LÄN</t>
        </is>
      </c>
      <c r="E18" t="inlineStr">
        <is>
          <t>ENKÖPING</t>
        </is>
      </c>
      <c r="G18" t="n">
        <v>8.6</v>
      </c>
      <c r="H18" t="n">
        <v>1</v>
      </c>
      <c r="I18" t="n">
        <v>0</v>
      </c>
      <c r="J18" t="n">
        <v>0</v>
      </c>
      <c r="K18" t="n">
        <v>0</v>
      </c>
      <c r="L18" t="n">
        <v>0</v>
      </c>
      <c r="M18" t="n">
        <v>0</v>
      </c>
      <c r="N18" t="n">
        <v>0</v>
      </c>
      <c r="O18" t="n">
        <v>0</v>
      </c>
      <c r="P18" t="n">
        <v>0</v>
      </c>
      <c r="Q18" t="n">
        <v>1</v>
      </c>
      <c r="R18" s="2" t="inlineStr">
        <is>
          <t>Blåsippa</t>
        </is>
      </c>
      <c r="S18">
        <f>HYPERLINK("https://klasma.github.io/Logging_0381/artfynd/A 28900-2024 artfynd.xlsx", "A 28900-2024")</f>
        <v/>
      </c>
      <c r="T18">
        <f>HYPERLINK("https://klasma.github.io/Logging_0381/kartor/A 28900-2024 karta.png", "A 28900-2024")</f>
        <v/>
      </c>
      <c r="V18">
        <f>HYPERLINK("https://klasma.github.io/Logging_0381/klagomål/A 28900-2024 FSC-klagomål.docx", "A 28900-2024")</f>
        <v/>
      </c>
      <c r="W18">
        <f>HYPERLINK("https://klasma.github.io/Logging_0381/klagomålsmail/A 28900-2024 FSC-klagomål mail.docx", "A 28900-2024")</f>
        <v/>
      </c>
      <c r="X18">
        <f>HYPERLINK("https://klasma.github.io/Logging_0381/tillsyn/A 28900-2024 tillsynsbegäran.docx", "A 28900-2024")</f>
        <v/>
      </c>
      <c r="Y18">
        <f>HYPERLINK("https://klasma.github.io/Logging_0381/tillsynsmail/A 28900-2024 tillsynsbegäran mail.docx", "A 28900-2024")</f>
        <v/>
      </c>
    </row>
    <row r="19" ht="15" customHeight="1">
      <c r="A19" t="inlineStr">
        <is>
          <t>A 45116-2023</t>
        </is>
      </c>
      <c r="B19" s="1" t="n">
        <v>45191</v>
      </c>
      <c r="C19" s="1" t="n">
        <v>46186</v>
      </c>
      <c r="D19" t="inlineStr">
        <is>
          <t>UPPSALA LÄN</t>
        </is>
      </c>
      <c r="E19" t="inlineStr">
        <is>
          <t>ENKÖPING</t>
        </is>
      </c>
      <c r="G19" t="n">
        <v>2</v>
      </c>
      <c r="H19" t="n">
        <v>0</v>
      </c>
      <c r="I19" t="n">
        <v>1</v>
      </c>
      <c r="J19" t="n">
        <v>0</v>
      </c>
      <c r="K19" t="n">
        <v>0</v>
      </c>
      <c r="L19" t="n">
        <v>0</v>
      </c>
      <c r="M19" t="n">
        <v>0</v>
      </c>
      <c r="N19" t="n">
        <v>0</v>
      </c>
      <c r="O19" t="n">
        <v>0</v>
      </c>
      <c r="P19" t="n">
        <v>0</v>
      </c>
      <c r="Q19" t="n">
        <v>1</v>
      </c>
      <c r="R19" s="2" t="inlineStr">
        <is>
          <t>Rävticka</t>
        </is>
      </c>
      <c r="S19">
        <f>HYPERLINK("https://klasma.github.io/Logging_0381/artfynd/A 45116-2023 artfynd.xlsx", "A 45116-2023")</f>
        <v/>
      </c>
      <c r="T19">
        <f>HYPERLINK("https://klasma.github.io/Logging_0381/kartor/A 45116-2023 karta.png", "A 45116-2023")</f>
        <v/>
      </c>
      <c r="V19">
        <f>HYPERLINK("https://klasma.github.io/Logging_0381/klagomål/A 45116-2023 FSC-klagomål.docx", "A 45116-2023")</f>
        <v/>
      </c>
      <c r="W19">
        <f>HYPERLINK("https://klasma.github.io/Logging_0381/klagomålsmail/A 45116-2023 FSC-klagomål mail.docx", "A 45116-2023")</f>
        <v/>
      </c>
      <c r="X19">
        <f>HYPERLINK("https://klasma.github.io/Logging_0381/tillsyn/A 45116-2023 tillsynsbegäran.docx", "A 45116-2023")</f>
        <v/>
      </c>
      <c r="Y19">
        <f>HYPERLINK("https://klasma.github.io/Logging_0381/tillsynsmail/A 45116-2023 tillsynsbegäran mail.docx", "A 45116-2023")</f>
        <v/>
      </c>
    </row>
    <row r="20" ht="15" customHeight="1">
      <c r="A20" t="inlineStr">
        <is>
          <t>A 29510-2025</t>
        </is>
      </c>
      <c r="B20" s="1" t="n">
        <v>45825</v>
      </c>
      <c r="C20" s="1" t="n">
        <v>46186</v>
      </c>
      <c r="D20" t="inlineStr">
        <is>
          <t>UPPSALA LÄN</t>
        </is>
      </c>
      <c r="E20" t="inlineStr">
        <is>
          <t>ENKÖPING</t>
        </is>
      </c>
      <c r="G20" t="n">
        <v>2.4</v>
      </c>
      <c r="H20" t="n">
        <v>0</v>
      </c>
      <c r="I20" t="n">
        <v>0</v>
      </c>
      <c r="J20" t="n">
        <v>0</v>
      </c>
      <c r="K20" t="n">
        <v>1</v>
      </c>
      <c r="L20" t="n">
        <v>0</v>
      </c>
      <c r="M20" t="n">
        <v>0</v>
      </c>
      <c r="N20" t="n">
        <v>0</v>
      </c>
      <c r="O20" t="n">
        <v>1</v>
      </c>
      <c r="P20" t="n">
        <v>1</v>
      </c>
      <c r="Q20" t="n">
        <v>1</v>
      </c>
      <c r="R20" s="2" t="inlineStr">
        <is>
          <t>Toppjungfrulin</t>
        </is>
      </c>
      <c r="S20">
        <f>HYPERLINK("https://klasma.github.io/Logging_0381/artfynd/A 29510-2025 artfynd.xlsx", "A 29510-2025")</f>
        <v/>
      </c>
      <c r="T20">
        <f>HYPERLINK("https://klasma.github.io/Logging_0381/kartor/A 29510-2025 karta.png", "A 29510-2025")</f>
        <v/>
      </c>
      <c r="V20">
        <f>HYPERLINK("https://klasma.github.io/Logging_0381/klagomål/A 29510-2025 FSC-klagomål.docx", "A 29510-2025")</f>
        <v/>
      </c>
      <c r="W20">
        <f>HYPERLINK("https://klasma.github.io/Logging_0381/klagomålsmail/A 29510-2025 FSC-klagomål mail.docx", "A 29510-2025")</f>
        <v/>
      </c>
      <c r="X20">
        <f>HYPERLINK("https://klasma.github.io/Logging_0381/tillsyn/A 29510-2025 tillsynsbegäran.docx", "A 29510-2025")</f>
        <v/>
      </c>
      <c r="Y20">
        <f>HYPERLINK("https://klasma.github.io/Logging_0381/tillsynsmail/A 29510-2025 tillsynsbegäran mail.docx", "A 29510-2025")</f>
        <v/>
      </c>
    </row>
    <row r="21" ht="15" customHeight="1">
      <c r="A21" t="inlineStr">
        <is>
          <t>A 23961-2022</t>
        </is>
      </c>
      <c r="B21" s="1" t="n">
        <v>44722</v>
      </c>
      <c r="C21" s="1" t="n">
        <v>46186</v>
      </c>
      <c r="D21" t="inlineStr">
        <is>
          <t>UPPSALA LÄN</t>
        </is>
      </c>
      <c r="E21" t="inlineStr">
        <is>
          <t>ENKÖPING</t>
        </is>
      </c>
      <c r="G21" t="n">
        <v>1.4</v>
      </c>
      <c r="H21" t="n">
        <v>1</v>
      </c>
      <c r="I21" t="n">
        <v>0</v>
      </c>
      <c r="J21" t="n">
        <v>0</v>
      </c>
      <c r="K21" t="n">
        <v>0</v>
      </c>
      <c r="L21" t="n">
        <v>0</v>
      </c>
      <c r="M21" t="n">
        <v>0</v>
      </c>
      <c r="N21" t="n">
        <v>0</v>
      </c>
      <c r="O21" t="n">
        <v>0</v>
      </c>
      <c r="P21" t="n">
        <v>0</v>
      </c>
      <c r="Q21" t="n">
        <v>1</v>
      </c>
      <c r="R21" s="2" t="inlineStr">
        <is>
          <t>Blåsippa</t>
        </is>
      </c>
      <c r="S21">
        <f>HYPERLINK("https://klasma.github.io/Logging_0381/artfynd/A 23961-2022 artfynd.xlsx", "A 23961-2022")</f>
        <v/>
      </c>
      <c r="T21">
        <f>HYPERLINK("https://klasma.github.io/Logging_0381/kartor/A 23961-2022 karta.png", "A 23961-2022")</f>
        <v/>
      </c>
      <c r="V21">
        <f>HYPERLINK("https://klasma.github.io/Logging_0381/klagomål/A 23961-2022 FSC-klagomål.docx", "A 23961-2022")</f>
        <v/>
      </c>
      <c r="W21">
        <f>HYPERLINK("https://klasma.github.io/Logging_0381/klagomålsmail/A 23961-2022 FSC-klagomål mail.docx", "A 23961-2022")</f>
        <v/>
      </c>
      <c r="X21">
        <f>HYPERLINK("https://klasma.github.io/Logging_0381/tillsyn/A 23961-2022 tillsynsbegäran.docx", "A 23961-2022")</f>
        <v/>
      </c>
      <c r="Y21">
        <f>HYPERLINK("https://klasma.github.io/Logging_0381/tillsynsmail/A 23961-2022 tillsynsbegäran mail.docx", "A 23961-2022")</f>
        <v/>
      </c>
    </row>
    <row r="22" ht="15" customHeight="1">
      <c r="A22" t="inlineStr">
        <is>
          <t>A 55582-2021</t>
        </is>
      </c>
      <c r="B22" s="1" t="n">
        <v>44475</v>
      </c>
      <c r="C22" s="1" t="n">
        <v>46186</v>
      </c>
      <c r="D22" t="inlineStr">
        <is>
          <t>UPPSALA LÄN</t>
        </is>
      </c>
      <c r="E22" t="inlineStr">
        <is>
          <t>ENKÖPING</t>
        </is>
      </c>
      <c r="G22" t="n">
        <v>1.3</v>
      </c>
      <c r="H22" t="n">
        <v>0</v>
      </c>
      <c r="I22" t="n">
        <v>0</v>
      </c>
      <c r="J22" t="n">
        <v>0</v>
      </c>
      <c r="K22" t="n">
        <v>0</v>
      </c>
      <c r="L22" t="n">
        <v>0</v>
      </c>
      <c r="M22" t="n">
        <v>0</v>
      </c>
      <c r="N22" t="n">
        <v>0</v>
      </c>
      <c r="O22" t="n">
        <v>0</v>
      </c>
      <c r="P22" t="n">
        <v>0</v>
      </c>
      <c r="Q22" t="n">
        <v>0</v>
      </c>
      <c r="R22" s="2" t="inlineStr"/>
    </row>
    <row r="23" ht="15" customHeight="1">
      <c r="A23" t="inlineStr">
        <is>
          <t>A 56176-2021</t>
        </is>
      </c>
      <c r="B23" s="1" t="n">
        <v>44477</v>
      </c>
      <c r="C23" s="1" t="n">
        <v>46186</v>
      </c>
      <c r="D23" t="inlineStr">
        <is>
          <t>UPPSALA LÄN</t>
        </is>
      </c>
      <c r="E23" t="inlineStr">
        <is>
          <t>ENKÖPING</t>
        </is>
      </c>
      <c r="G23" t="n">
        <v>2.9</v>
      </c>
      <c r="H23" t="n">
        <v>0</v>
      </c>
      <c r="I23" t="n">
        <v>0</v>
      </c>
      <c r="J23" t="n">
        <v>0</v>
      </c>
      <c r="K23" t="n">
        <v>0</v>
      </c>
      <c r="L23" t="n">
        <v>0</v>
      </c>
      <c r="M23" t="n">
        <v>0</v>
      </c>
      <c r="N23" t="n">
        <v>0</v>
      </c>
      <c r="O23" t="n">
        <v>0</v>
      </c>
      <c r="P23" t="n">
        <v>0</v>
      </c>
      <c r="Q23" t="n">
        <v>0</v>
      </c>
      <c r="R23" s="2" t="inlineStr"/>
    </row>
    <row r="24" ht="15" customHeight="1">
      <c r="A24" t="inlineStr">
        <is>
          <t>A 61553-2021</t>
        </is>
      </c>
      <c r="B24" s="1" t="n">
        <v>44501</v>
      </c>
      <c r="C24" s="1" t="n">
        <v>46186</v>
      </c>
      <c r="D24" t="inlineStr">
        <is>
          <t>UPPSALA LÄN</t>
        </is>
      </c>
      <c r="E24" t="inlineStr">
        <is>
          <t>ENKÖPING</t>
        </is>
      </c>
      <c r="G24" t="n">
        <v>1.3</v>
      </c>
      <c r="H24" t="n">
        <v>0</v>
      </c>
      <c r="I24" t="n">
        <v>0</v>
      </c>
      <c r="J24" t="n">
        <v>0</v>
      </c>
      <c r="K24" t="n">
        <v>0</v>
      </c>
      <c r="L24" t="n">
        <v>0</v>
      </c>
      <c r="M24" t="n">
        <v>0</v>
      </c>
      <c r="N24" t="n">
        <v>0</v>
      </c>
      <c r="O24" t="n">
        <v>0</v>
      </c>
      <c r="P24" t="n">
        <v>0</v>
      </c>
      <c r="Q24" t="n">
        <v>0</v>
      </c>
      <c r="R24" s="2" t="inlineStr"/>
    </row>
    <row r="25" ht="15" customHeight="1">
      <c r="A25" t="inlineStr">
        <is>
          <t>A 61076-2021</t>
        </is>
      </c>
      <c r="B25" s="1" t="n">
        <v>44497.84542824074</v>
      </c>
      <c r="C25" s="1" t="n">
        <v>46186</v>
      </c>
      <c r="D25" t="inlineStr">
        <is>
          <t>UPPSALA LÄN</t>
        </is>
      </c>
      <c r="E25" t="inlineStr">
        <is>
          <t>ENKÖPING</t>
        </is>
      </c>
      <c r="G25" t="n">
        <v>0.2</v>
      </c>
      <c r="H25" t="n">
        <v>0</v>
      </c>
      <c r="I25" t="n">
        <v>0</v>
      </c>
      <c r="J25" t="n">
        <v>0</v>
      </c>
      <c r="K25" t="n">
        <v>0</v>
      </c>
      <c r="L25" t="n">
        <v>0</v>
      </c>
      <c r="M25" t="n">
        <v>0</v>
      </c>
      <c r="N25" t="n">
        <v>0</v>
      </c>
      <c r="O25" t="n">
        <v>0</v>
      </c>
      <c r="P25" t="n">
        <v>0</v>
      </c>
      <c r="Q25" t="n">
        <v>0</v>
      </c>
      <c r="R25" s="2" t="inlineStr"/>
    </row>
    <row r="26" ht="15" customHeight="1">
      <c r="A26" t="inlineStr">
        <is>
          <t>A 37570-2021</t>
        </is>
      </c>
      <c r="B26" s="1" t="n">
        <v>44399</v>
      </c>
      <c r="C26" s="1" t="n">
        <v>46186</v>
      </c>
      <c r="D26" t="inlineStr">
        <is>
          <t>UPPSALA LÄN</t>
        </is>
      </c>
      <c r="E26" t="inlineStr">
        <is>
          <t>ENKÖPING</t>
        </is>
      </c>
      <c r="G26" t="n">
        <v>0.4</v>
      </c>
      <c r="H26" t="n">
        <v>0</v>
      </c>
      <c r="I26" t="n">
        <v>0</v>
      </c>
      <c r="J26" t="n">
        <v>0</v>
      </c>
      <c r="K26" t="n">
        <v>0</v>
      </c>
      <c r="L26" t="n">
        <v>0</v>
      </c>
      <c r="M26" t="n">
        <v>0</v>
      </c>
      <c r="N26" t="n">
        <v>0</v>
      </c>
      <c r="O26" t="n">
        <v>0</v>
      </c>
      <c r="P26" t="n">
        <v>0</v>
      </c>
      <c r="Q26" t="n">
        <v>0</v>
      </c>
      <c r="R26" s="2" t="inlineStr"/>
    </row>
    <row r="27" ht="15" customHeight="1">
      <c r="A27" t="inlineStr">
        <is>
          <t>A 37571-2021</t>
        </is>
      </c>
      <c r="B27" s="1" t="n">
        <v>44399.58929398148</v>
      </c>
      <c r="C27" s="1" t="n">
        <v>46186</v>
      </c>
      <c r="D27" t="inlineStr">
        <is>
          <t>UPPSALA LÄN</t>
        </is>
      </c>
      <c r="E27" t="inlineStr">
        <is>
          <t>ENKÖPING</t>
        </is>
      </c>
      <c r="G27" t="n">
        <v>4.6</v>
      </c>
      <c r="H27" t="n">
        <v>0</v>
      </c>
      <c r="I27" t="n">
        <v>0</v>
      </c>
      <c r="J27" t="n">
        <v>0</v>
      </c>
      <c r="K27" t="n">
        <v>0</v>
      </c>
      <c r="L27" t="n">
        <v>0</v>
      </c>
      <c r="M27" t="n">
        <v>0</v>
      </c>
      <c r="N27" t="n">
        <v>0</v>
      </c>
      <c r="O27" t="n">
        <v>0</v>
      </c>
      <c r="P27" t="n">
        <v>0</v>
      </c>
      <c r="Q27" t="n">
        <v>0</v>
      </c>
      <c r="R27" s="2" t="inlineStr"/>
    </row>
    <row r="28" ht="15" customHeight="1">
      <c r="A28" t="inlineStr">
        <is>
          <t>A 57066-2021</t>
        </is>
      </c>
      <c r="B28" s="1" t="n">
        <v>44482.5663425926</v>
      </c>
      <c r="C28" s="1" t="n">
        <v>46186</v>
      </c>
      <c r="D28" t="inlineStr">
        <is>
          <t>UPPSALA LÄN</t>
        </is>
      </c>
      <c r="E28" t="inlineStr">
        <is>
          <t>ENKÖPING</t>
        </is>
      </c>
      <c r="G28" t="n">
        <v>1.5</v>
      </c>
      <c r="H28" t="n">
        <v>0</v>
      </c>
      <c r="I28" t="n">
        <v>0</v>
      </c>
      <c r="J28" t="n">
        <v>0</v>
      </c>
      <c r="K28" t="n">
        <v>0</v>
      </c>
      <c r="L28" t="n">
        <v>0</v>
      </c>
      <c r="M28" t="n">
        <v>0</v>
      </c>
      <c r="N28" t="n">
        <v>0</v>
      </c>
      <c r="O28" t="n">
        <v>0</v>
      </c>
      <c r="P28" t="n">
        <v>0</v>
      </c>
      <c r="Q28" t="n">
        <v>0</v>
      </c>
      <c r="R28" s="2" t="inlineStr"/>
    </row>
    <row r="29" ht="15" customHeight="1">
      <c r="A29" t="inlineStr">
        <is>
          <t>A 32748-2021</t>
        </is>
      </c>
      <c r="B29" s="1" t="n">
        <v>44375.53055555555</v>
      </c>
      <c r="C29" s="1" t="n">
        <v>46186</v>
      </c>
      <c r="D29" t="inlineStr">
        <is>
          <t>UPPSALA LÄN</t>
        </is>
      </c>
      <c r="E29" t="inlineStr">
        <is>
          <t>ENKÖPING</t>
        </is>
      </c>
      <c r="G29" t="n">
        <v>1.1</v>
      </c>
      <c r="H29" t="n">
        <v>0</v>
      </c>
      <c r="I29" t="n">
        <v>0</v>
      </c>
      <c r="J29" t="n">
        <v>0</v>
      </c>
      <c r="K29" t="n">
        <v>0</v>
      </c>
      <c r="L29" t="n">
        <v>0</v>
      </c>
      <c r="M29" t="n">
        <v>0</v>
      </c>
      <c r="N29" t="n">
        <v>0</v>
      </c>
      <c r="O29" t="n">
        <v>0</v>
      </c>
      <c r="P29" t="n">
        <v>0</v>
      </c>
      <c r="Q29" t="n">
        <v>0</v>
      </c>
      <c r="R29" s="2" t="inlineStr"/>
    </row>
    <row r="30" ht="15" customHeight="1">
      <c r="A30" t="inlineStr">
        <is>
          <t>A 54433-2021</t>
        </is>
      </c>
      <c r="B30" s="1" t="n">
        <v>44473</v>
      </c>
      <c r="C30" s="1" t="n">
        <v>46186</v>
      </c>
      <c r="D30" t="inlineStr">
        <is>
          <t>UPPSALA LÄN</t>
        </is>
      </c>
      <c r="E30" t="inlineStr">
        <is>
          <t>ENKÖPING</t>
        </is>
      </c>
      <c r="G30" t="n">
        <v>1</v>
      </c>
      <c r="H30" t="n">
        <v>0</v>
      </c>
      <c r="I30" t="n">
        <v>0</v>
      </c>
      <c r="J30" t="n">
        <v>0</v>
      </c>
      <c r="K30" t="n">
        <v>0</v>
      </c>
      <c r="L30" t="n">
        <v>0</v>
      </c>
      <c r="M30" t="n">
        <v>0</v>
      </c>
      <c r="N30" t="n">
        <v>0</v>
      </c>
      <c r="O30" t="n">
        <v>0</v>
      </c>
      <c r="P30" t="n">
        <v>0</v>
      </c>
      <c r="Q30" t="n">
        <v>0</v>
      </c>
      <c r="R30" s="2" t="inlineStr"/>
    </row>
    <row r="31" ht="15" customHeight="1">
      <c r="A31" t="inlineStr">
        <is>
          <t>A 17704-2022</t>
        </is>
      </c>
      <c r="B31" s="1" t="n">
        <v>44680.61315972222</v>
      </c>
      <c r="C31" s="1" t="n">
        <v>46186</v>
      </c>
      <c r="D31" t="inlineStr">
        <is>
          <t>UPPSALA LÄN</t>
        </is>
      </c>
      <c r="E31" t="inlineStr">
        <is>
          <t>ENKÖPING</t>
        </is>
      </c>
      <c r="G31" t="n">
        <v>0.8</v>
      </c>
      <c r="H31" t="n">
        <v>0</v>
      </c>
      <c r="I31" t="n">
        <v>0</v>
      </c>
      <c r="J31" t="n">
        <v>0</v>
      </c>
      <c r="K31" t="n">
        <v>0</v>
      </c>
      <c r="L31" t="n">
        <v>0</v>
      </c>
      <c r="M31" t="n">
        <v>0</v>
      </c>
      <c r="N31" t="n">
        <v>0</v>
      </c>
      <c r="O31" t="n">
        <v>0</v>
      </c>
      <c r="P31" t="n">
        <v>0</v>
      </c>
      <c r="Q31" t="n">
        <v>0</v>
      </c>
      <c r="R31" s="2" t="inlineStr"/>
    </row>
    <row r="32" ht="15" customHeight="1">
      <c r="A32" t="inlineStr">
        <is>
          <t>A 46749-2022</t>
        </is>
      </c>
      <c r="B32" s="1" t="n">
        <v>44851</v>
      </c>
      <c r="C32" s="1" t="n">
        <v>46186</v>
      </c>
      <c r="D32" t="inlineStr">
        <is>
          <t>UPPSALA LÄN</t>
        </is>
      </c>
      <c r="E32" t="inlineStr">
        <is>
          <t>ENKÖPING</t>
        </is>
      </c>
      <c r="G32" t="n">
        <v>6.6</v>
      </c>
      <c r="H32" t="n">
        <v>0</v>
      </c>
      <c r="I32" t="n">
        <v>0</v>
      </c>
      <c r="J32" t="n">
        <v>0</v>
      </c>
      <c r="K32" t="n">
        <v>0</v>
      </c>
      <c r="L32" t="n">
        <v>0</v>
      </c>
      <c r="M32" t="n">
        <v>0</v>
      </c>
      <c r="N32" t="n">
        <v>0</v>
      </c>
      <c r="O32" t="n">
        <v>0</v>
      </c>
      <c r="P32" t="n">
        <v>0</v>
      </c>
      <c r="Q32" t="n">
        <v>0</v>
      </c>
      <c r="R32" s="2" t="inlineStr"/>
    </row>
    <row r="33" ht="15" customHeight="1">
      <c r="A33" t="inlineStr">
        <is>
          <t>A 18785-2022</t>
        </is>
      </c>
      <c r="B33" s="1" t="n">
        <v>44687</v>
      </c>
      <c r="C33" s="1" t="n">
        <v>46186</v>
      </c>
      <c r="D33" t="inlineStr">
        <is>
          <t>UPPSALA LÄN</t>
        </is>
      </c>
      <c r="E33" t="inlineStr">
        <is>
          <t>ENKÖPING</t>
        </is>
      </c>
      <c r="G33" t="n">
        <v>3.4</v>
      </c>
      <c r="H33" t="n">
        <v>0</v>
      </c>
      <c r="I33" t="n">
        <v>0</v>
      </c>
      <c r="J33" t="n">
        <v>0</v>
      </c>
      <c r="K33" t="n">
        <v>0</v>
      </c>
      <c r="L33" t="n">
        <v>0</v>
      </c>
      <c r="M33" t="n">
        <v>0</v>
      </c>
      <c r="N33" t="n">
        <v>0</v>
      </c>
      <c r="O33" t="n">
        <v>0</v>
      </c>
      <c r="P33" t="n">
        <v>0</v>
      </c>
      <c r="Q33" t="n">
        <v>0</v>
      </c>
      <c r="R33" s="2" t="inlineStr"/>
    </row>
    <row r="34" ht="15" customHeight="1">
      <c r="A34" t="inlineStr">
        <is>
          <t>A 39922-2022</t>
        </is>
      </c>
      <c r="B34" s="1" t="n">
        <v>44819</v>
      </c>
      <c r="C34" s="1" t="n">
        <v>46186</v>
      </c>
      <c r="D34" t="inlineStr">
        <is>
          <t>UPPSALA LÄN</t>
        </is>
      </c>
      <c r="E34" t="inlineStr">
        <is>
          <t>ENKÖPING</t>
        </is>
      </c>
      <c r="G34" t="n">
        <v>1.7</v>
      </c>
      <c r="H34" t="n">
        <v>0</v>
      </c>
      <c r="I34" t="n">
        <v>0</v>
      </c>
      <c r="J34" t="n">
        <v>0</v>
      </c>
      <c r="K34" t="n">
        <v>0</v>
      </c>
      <c r="L34" t="n">
        <v>0</v>
      </c>
      <c r="M34" t="n">
        <v>0</v>
      </c>
      <c r="N34" t="n">
        <v>0</v>
      </c>
      <c r="O34" t="n">
        <v>0</v>
      </c>
      <c r="P34" t="n">
        <v>0</v>
      </c>
      <c r="Q34" t="n">
        <v>0</v>
      </c>
      <c r="R34" s="2" t="inlineStr"/>
    </row>
    <row r="35" ht="15" customHeight="1">
      <c r="A35" t="inlineStr">
        <is>
          <t>A 10202-2022</t>
        </is>
      </c>
      <c r="B35" s="1" t="n">
        <v>44622</v>
      </c>
      <c r="C35" s="1" t="n">
        <v>46186</v>
      </c>
      <c r="D35" t="inlineStr">
        <is>
          <t>UPPSALA LÄN</t>
        </is>
      </c>
      <c r="E35" t="inlineStr">
        <is>
          <t>ENKÖPING</t>
        </is>
      </c>
      <c r="G35" t="n">
        <v>5.6</v>
      </c>
      <c r="H35" t="n">
        <v>0</v>
      </c>
      <c r="I35" t="n">
        <v>0</v>
      </c>
      <c r="J35" t="n">
        <v>0</v>
      </c>
      <c r="K35" t="n">
        <v>0</v>
      </c>
      <c r="L35" t="n">
        <v>0</v>
      </c>
      <c r="M35" t="n">
        <v>0</v>
      </c>
      <c r="N35" t="n">
        <v>0</v>
      </c>
      <c r="O35" t="n">
        <v>0</v>
      </c>
      <c r="P35" t="n">
        <v>0</v>
      </c>
      <c r="Q35" t="n">
        <v>0</v>
      </c>
      <c r="R35" s="2" t="inlineStr"/>
    </row>
    <row r="36" ht="15" customHeight="1">
      <c r="A36" t="inlineStr">
        <is>
          <t>A 10207-2022</t>
        </is>
      </c>
      <c r="B36" s="1" t="n">
        <v>44622</v>
      </c>
      <c r="C36" s="1" t="n">
        <v>46186</v>
      </c>
      <c r="D36" t="inlineStr">
        <is>
          <t>UPPSALA LÄN</t>
        </is>
      </c>
      <c r="E36" t="inlineStr">
        <is>
          <t>ENKÖPING</t>
        </is>
      </c>
      <c r="G36" t="n">
        <v>4.9</v>
      </c>
      <c r="H36" t="n">
        <v>0</v>
      </c>
      <c r="I36" t="n">
        <v>0</v>
      </c>
      <c r="J36" t="n">
        <v>0</v>
      </c>
      <c r="K36" t="n">
        <v>0</v>
      </c>
      <c r="L36" t="n">
        <v>0</v>
      </c>
      <c r="M36" t="n">
        <v>0</v>
      </c>
      <c r="N36" t="n">
        <v>0</v>
      </c>
      <c r="O36" t="n">
        <v>0</v>
      </c>
      <c r="P36" t="n">
        <v>0</v>
      </c>
      <c r="Q36" t="n">
        <v>0</v>
      </c>
      <c r="R36" s="2" t="inlineStr"/>
    </row>
    <row r="37" ht="15" customHeight="1">
      <c r="A37" t="inlineStr">
        <is>
          <t>A 3861-2022</t>
        </is>
      </c>
      <c r="B37" s="1" t="n">
        <v>44587</v>
      </c>
      <c r="C37" s="1" t="n">
        <v>46186</v>
      </c>
      <c r="D37" t="inlineStr">
        <is>
          <t>UPPSALA LÄN</t>
        </is>
      </c>
      <c r="E37" t="inlineStr">
        <is>
          <t>ENKÖPING</t>
        </is>
      </c>
      <c r="G37" t="n">
        <v>0.5</v>
      </c>
      <c r="H37" t="n">
        <v>0</v>
      </c>
      <c r="I37" t="n">
        <v>0</v>
      </c>
      <c r="J37" t="n">
        <v>0</v>
      </c>
      <c r="K37" t="n">
        <v>0</v>
      </c>
      <c r="L37" t="n">
        <v>0</v>
      </c>
      <c r="M37" t="n">
        <v>0</v>
      </c>
      <c r="N37" t="n">
        <v>0</v>
      </c>
      <c r="O37" t="n">
        <v>0</v>
      </c>
      <c r="P37" t="n">
        <v>0</v>
      </c>
      <c r="Q37" t="n">
        <v>0</v>
      </c>
      <c r="R37" s="2" t="inlineStr"/>
    </row>
    <row r="38" ht="15" customHeight="1">
      <c r="A38" t="inlineStr">
        <is>
          <t>A 498-2022</t>
        </is>
      </c>
      <c r="B38" s="1" t="n">
        <v>44566</v>
      </c>
      <c r="C38" s="1" t="n">
        <v>46186</v>
      </c>
      <c r="D38" t="inlineStr">
        <is>
          <t>UPPSALA LÄN</t>
        </is>
      </c>
      <c r="E38" t="inlineStr">
        <is>
          <t>ENKÖPING</t>
        </is>
      </c>
      <c r="F38" t="inlineStr">
        <is>
          <t>Övriga statliga verk och myndigheter</t>
        </is>
      </c>
      <c r="G38" t="n">
        <v>11.1</v>
      </c>
      <c r="H38" t="n">
        <v>0</v>
      </c>
      <c r="I38" t="n">
        <v>0</v>
      </c>
      <c r="J38" t="n">
        <v>0</v>
      </c>
      <c r="K38" t="n">
        <v>0</v>
      </c>
      <c r="L38" t="n">
        <v>0</v>
      </c>
      <c r="M38" t="n">
        <v>0</v>
      </c>
      <c r="N38" t="n">
        <v>0</v>
      </c>
      <c r="O38" t="n">
        <v>0</v>
      </c>
      <c r="P38" t="n">
        <v>0</v>
      </c>
      <c r="Q38" t="n">
        <v>0</v>
      </c>
      <c r="R38" s="2" t="inlineStr"/>
    </row>
    <row r="39" ht="15" customHeight="1">
      <c r="A39" t="inlineStr">
        <is>
          <t>A 1965-2022</t>
        </is>
      </c>
      <c r="B39" s="1" t="n">
        <v>44575</v>
      </c>
      <c r="C39" s="1" t="n">
        <v>46186</v>
      </c>
      <c r="D39" t="inlineStr">
        <is>
          <t>UPPSALA LÄN</t>
        </is>
      </c>
      <c r="E39" t="inlineStr">
        <is>
          <t>ENKÖPING</t>
        </is>
      </c>
      <c r="G39" t="n">
        <v>0.7</v>
      </c>
      <c r="H39" t="n">
        <v>0</v>
      </c>
      <c r="I39" t="n">
        <v>0</v>
      </c>
      <c r="J39" t="n">
        <v>0</v>
      </c>
      <c r="K39" t="n">
        <v>0</v>
      </c>
      <c r="L39" t="n">
        <v>0</v>
      </c>
      <c r="M39" t="n">
        <v>0</v>
      </c>
      <c r="N39" t="n">
        <v>0</v>
      </c>
      <c r="O39" t="n">
        <v>0</v>
      </c>
      <c r="P39" t="n">
        <v>0</v>
      </c>
      <c r="Q39" t="n">
        <v>0</v>
      </c>
      <c r="R39" s="2" t="inlineStr"/>
    </row>
    <row r="40" ht="15" customHeight="1">
      <c r="A40" t="inlineStr">
        <is>
          <t>A 48230-2022</t>
        </is>
      </c>
      <c r="B40" s="1" t="n">
        <v>44858.45100694444</v>
      </c>
      <c r="C40" s="1" t="n">
        <v>46186</v>
      </c>
      <c r="D40" t="inlineStr">
        <is>
          <t>UPPSALA LÄN</t>
        </is>
      </c>
      <c r="E40" t="inlineStr">
        <is>
          <t>ENKÖPING</t>
        </is>
      </c>
      <c r="G40" t="n">
        <v>0.5</v>
      </c>
      <c r="H40" t="n">
        <v>0</v>
      </c>
      <c r="I40" t="n">
        <v>0</v>
      </c>
      <c r="J40" t="n">
        <v>0</v>
      </c>
      <c r="K40" t="n">
        <v>0</v>
      </c>
      <c r="L40" t="n">
        <v>0</v>
      </c>
      <c r="M40" t="n">
        <v>0</v>
      </c>
      <c r="N40" t="n">
        <v>0</v>
      </c>
      <c r="O40" t="n">
        <v>0</v>
      </c>
      <c r="P40" t="n">
        <v>0</v>
      </c>
      <c r="Q40" t="n">
        <v>0</v>
      </c>
      <c r="R40" s="2" t="inlineStr"/>
    </row>
    <row r="41" ht="15" customHeight="1">
      <c r="A41" t="inlineStr">
        <is>
          <t>A 14531-2022</t>
        </is>
      </c>
      <c r="B41" s="1" t="n">
        <v>44655</v>
      </c>
      <c r="C41" s="1" t="n">
        <v>46186</v>
      </c>
      <c r="D41" t="inlineStr">
        <is>
          <t>UPPSALA LÄN</t>
        </is>
      </c>
      <c r="E41" t="inlineStr">
        <is>
          <t>ENKÖPING</t>
        </is>
      </c>
      <c r="G41" t="n">
        <v>0.5</v>
      </c>
      <c r="H41" t="n">
        <v>0</v>
      </c>
      <c r="I41" t="n">
        <v>0</v>
      </c>
      <c r="J41" t="n">
        <v>0</v>
      </c>
      <c r="K41" t="n">
        <v>0</v>
      </c>
      <c r="L41" t="n">
        <v>0</v>
      </c>
      <c r="M41" t="n">
        <v>0</v>
      </c>
      <c r="N41" t="n">
        <v>0</v>
      </c>
      <c r="O41" t="n">
        <v>0</v>
      </c>
      <c r="P41" t="n">
        <v>0</v>
      </c>
      <c r="Q41" t="n">
        <v>0</v>
      </c>
      <c r="R41" s="2" t="inlineStr"/>
    </row>
    <row r="42" ht="15" customHeight="1">
      <c r="A42" t="inlineStr">
        <is>
          <t>A 48233-2022</t>
        </is>
      </c>
      <c r="B42" s="1" t="n">
        <v>44858.45300925926</v>
      </c>
      <c r="C42" s="1" t="n">
        <v>46186</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29435-2022</t>
        </is>
      </c>
      <c r="B43" s="1" t="n">
        <v>44753.49215277778</v>
      </c>
      <c r="C43" s="1" t="n">
        <v>46186</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39473-2021</t>
        </is>
      </c>
      <c r="B44" s="1" t="n">
        <v>44414</v>
      </c>
      <c r="C44" s="1" t="n">
        <v>46186</v>
      </c>
      <c r="D44" t="inlineStr">
        <is>
          <t>UPPSALA LÄN</t>
        </is>
      </c>
      <c r="E44" t="inlineStr">
        <is>
          <t>ENKÖPING</t>
        </is>
      </c>
      <c r="G44" t="n">
        <v>3.2</v>
      </c>
      <c r="H44" t="n">
        <v>0</v>
      </c>
      <c r="I44" t="n">
        <v>0</v>
      </c>
      <c r="J44" t="n">
        <v>0</v>
      </c>
      <c r="K44" t="n">
        <v>0</v>
      </c>
      <c r="L44" t="n">
        <v>0</v>
      </c>
      <c r="M44" t="n">
        <v>0</v>
      </c>
      <c r="N44" t="n">
        <v>0</v>
      </c>
      <c r="O44" t="n">
        <v>0</v>
      </c>
      <c r="P44" t="n">
        <v>0</v>
      </c>
      <c r="Q44" t="n">
        <v>0</v>
      </c>
      <c r="R44" s="2" t="inlineStr"/>
    </row>
    <row r="45" ht="15" customHeight="1">
      <c r="A45" t="inlineStr">
        <is>
          <t>A 38005-2022</t>
        </is>
      </c>
      <c r="B45" s="1" t="n">
        <v>44810</v>
      </c>
      <c r="C45" s="1" t="n">
        <v>46186</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29425-2022</t>
        </is>
      </c>
      <c r="B46" s="1" t="n">
        <v>44753.47837962963</v>
      </c>
      <c r="C46" s="1" t="n">
        <v>46186</v>
      </c>
      <c r="D46" t="inlineStr">
        <is>
          <t>UPPSALA LÄN</t>
        </is>
      </c>
      <c r="E46" t="inlineStr">
        <is>
          <t>ENKÖPING</t>
        </is>
      </c>
      <c r="G46" t="n">
        <v>2.5</v>
      </c>
      <c r="H46" t="n">
        <v>0</v>
      </c>
      <c r="I46" t="n">
        <v>0</v>
      </c>
      <c r="J46" t="n">
        <v>0</v>
      </c>
      <c r="K46" t="n">
        <v>0</v>
      </c>
      <c r="L46" t="n">
        <v>0</v>
      </c>
      <c r="M46" t="n">
        <v>0</v>
      </c>
      <c r="N46" t="n">
        <v>0</v>
      </c>
      <c r="O46" t="n">
        <v>0</v>
      </c>
      <c r="P46" t="n">
        <v>0</v>
      </c>
      <c r="Q46" t="n">
        <v>0</v>
      </c>
      <c r="R46" s="2" t="inlineStr"/>
    </row>
    <row r="47" ht="15" customHeight="1">
      <c r="A47" t="inlineStr">
        <is>
          <t>A 2680-2022</t>
        </is>
      </c>
      <c r="B47" s="1" t="n">
        <v>44580</v>
      </c>
      <c r="C47" s="1" t="n">
        <v>46186</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37410-2022</t>
        </is>
      </c>
      <c r="B48" s="1" t="n">
        <v>44809</v>
      </c>
      <c r="C48" s="1" t="n">
        <v>46186</v>
      </c>
      <c r="D48" t="inlineStr">
        <is>
          <t>UPPSALA LÄN</t>
        </is>
      </c>
      <c r="E48" t="inlineStr">
        <is>
          <t>ENKÖPING</t>
        </is>
      </c>
      <c r="G48" t="n">
        <v>3.6</v>
      </c>
      <c r="H48" t="n">
        <v>0</v>
      </c>
      <c r="I48" t="n">
        <v>0</v>
      </c>
      <c r="J48" t="n">
        <v>0</v>
      </c>
      <c r="K48" t="n">
        <v>0</v>
      </c>
      <c r="L48" t="n">
        <v>0</v>
      </c>
      <c r="M48" t="n">
        <v>0</v>
      </c>
      <c r="N48" t="n">
        <v>0</v>
      </c>
      <c r="O48" t="n">
        <v>0</v>
      </c>
      <c r="P48" t="n">
        <v>0</v>
      </c>
      <c r="Q48" t="n">
        <v>0</v>
      </c>
      <c r="R48" s="2" t="inlineStr"/>
    </row>
    <row r="49" ht="15" customHeight="1">
      <c r="A49" t="inlineStr">
        <is>
          <t>A 1979-2022</t>
        </is>
      </c>
      <c r="B49" s="1" t="n">
        <v>44575</v>
      </c>
      <c r="C49" s="1" t="n">
        <v>46186</v>
      </c>
      <c r="D49" t="inlineStr">
        <is>
          <t>UPPSALA LÄN</t>
        </is>
      </c>
      <c r="E49" t="inlineStr">
        <is>
          <t>ENKÖPING</t>
        </is>
      </c>
      <c r="G49" t="n">
        <v>1.5</v>
      </c>
      <c r="H49" t="n">
        <v>0</v>
      </c>
      <c r="I49" t="n">
        <v>0</v>
      </c>
      <c r="J49" t="n">
        <v>0</v>
      </c>
      <c r="K49" t="n">
        <v>0</v>
      </c>
      <c r="L49" t="n">
        <v>0</v>
      </c>
      <c r="M49" t="n">
        <v>0</v>
      </c>
      <c r="N49" t="n">
        <v>0</v>
      </c>
      <c r="O49" t="n">
        <v>0</v>
      </c>
      <c r="P49" t="n">
        <v>0</v>
      </c>
      <c r="Q49" t="n">
        <v>0</v>
      </c>
      <c r="R49" s="2" t="inlineStr"/>
    </row>
    <row r="50" ht="15" customHeight="1">
      <c r="A50" t="inlineStr">
        <is>
          <t>A 68107-2021</t>
        </is>
      </c>
      <c r="B50" s="1" t="n">
        <v>44526</v>
      </c>
      <c r="C50" s="1" t="n">
        <v>46186</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69791-2021</t>
        </is>
      </c>
      <c r="B51" s="1" t="n">
        <v>44532</v>
      </c>
      <c r="C51" s="1" t="n">
        <v>46186</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49375-2021</t>
        </is>
      </c>
      <c r="B52" s="1" t="n">
        <v>44454</v>
      </c>
      <c r="C52" s="1" t="n">
        <v>46186</v>
      </c>
      <c r="D52" t="inlineStr">
        <is>
          <t>UPPSALA LÄN</t>
        </is>
      </c>
      <c r="E52" t="inlineStr">
        <is>
          <t>ENKÖPING</t>
        </is>
      </c>
      <c r="G52" t="n">
        <v>0.7</v>
      </c>
      <c r="H52" t="n">
        <v>0</v>
      </c>
      <c r="I52" t="n">
        <v>0</v>
      </c>
      <c r="J52" t="n">
        <v>0</v>
      </c>
      <c r="K52" t="n">
        <v>0</v>
      </c>
      <c r="L52" t="n">
        <v>0</v>
      </c>
      <c r="M52" t="n">
        <v>0</v>
      </c>
      <c r="N52" t="n">
        <v>0</v>
      </c>
      <c r="O52" t="n">
        <v>0</v>
      </c>
      <c r="P52" t="n">
        <v>0</v>
      </c>
      <c r="Q52" t="n">
        <v>0</v>
      </c>
      <c r="R52" s="2" t="inlineStr"/>
    </row>
    <row r="53" ht="15" customHeight="1">
      <c r="A53" t="inlineStr">
        <is>
          <t>A 57055-2021</t>
        </is>
      </c>
      <c r="B53" s="1" t="n">
        <v>44482.55201388889</v>
      </c>
      <c r="C53" s="1" t="n">
        <v>46186</v>
      </c>
      <c r="D53" t="inlineStr">
        <is>
          <t>UPPSALA LÄN</t>
        </is>
      </c>
      <c r="E53" t="inlineStr">
        <is>
          <t>ENKÖPING</t>
        </is>
      </c>
      <c r="G53" t="n">
        <v>3.3</v>
      </c>
      <c r="H53" t="n">
        <v>0</v>
      </c>
      <c r="I53" t="n">
        <v>0</v>
      </c>
      <c r="J53" t="n">
        <v>0</v>
      </c>
      <c r="K53" t="n">
        <v>0</v>
      </c>
      <c r="L53" t="n">
        <v>0</v>
      </c>
      <c r="M53" t="n">
        <v>0</v>
      </c>
      <c r="N53" t="n">
        <v>0</v>
      </c>
      <c r="O53" t="n">
        <v>0</v>
      </c>
      <c r="P53" t="n">
        <v>0</v>
      </c>
      <c r="Q53" t="n">
        <v>0</v>
      </c>
      <c r="R53" s="2" t="inlineStr"/>
    </row>
    <row r="54" ht="15" customHeight="1">
      <c r="A54" t="inlineStr">
        <is>
          <t>A 60874-2021</t>
        </is>
      </c>
      <c r="B54" s="1" t="n">
        <v>44497</v>
      </c>
      <c r="C54" s="1" t="n">
        <v>46186</v>
      </c>
      <c r="D54" t="inlineStr">
        <is>
          <t>UPPSALA LÄN</t>
        </is>
      </c>
      <c r="E54" t="inlineStr">
        <is>
          <t>ENKÖPING</t>
        </is>
      </c>
      <c r="G54" t="n">
        <v>0.6</v>
      </c>
      <c r="H54" t="n">
        <v>0</v>
      </c>
      <c r="I54" t="n">
        <v>0</v>
      </c>
      <c r="J54" t="n">
        <v>0</v>
      </c>
      <c r="K54" t="n">
        <v>0</v>
      </c>
      <c r="L54" t="n">
        <v>0</v>
      </c>
      <c r="M54" t="n">
        <v>0</v>
      </c>
      <c r="N54" t="n">
        <v>0</v>
      </c>
      <c r="O54" t="n">
        <v>0</v>
      </c>
      <c r="P54" t="n">
        <v>0</v>
      </c>
      <c r="Q54" t="n">
        <v>0</v>
      </c>
      <c r="R54" s="2" t="inlineStr"/>
    </row>
    <row r="55" ht="15" customHeight="1">
      <c r="A55" t="inlineStr">
        <is>
          <t>A 15021-2022</t>
        </is>
      </c>
      <c r="B55" s="1" t="n">
        <v>44657</v>
      </c>
      <c r="C55" s="1" t="n">
        <v>46186</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31013-2022</t>
        </is>
      </c>
      <c r="B56" s="1" t="n">
        <v>44768</v>
      </c>
      <c r="C56" s="1" t="n">
        <v>46186</v>
      </c>
      <c r="D56" t="inlineStr">
        <is>
          <t>UPPSALA LÄN</t>
        </is>
      </c>
      <c r="E56" t="inlineStr">
        <is>
          <t>ENKÖPING</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42029-2021</t>
        </is>
      </c>
      <c r="B57" s="1" t="n">
        <v>44426</v>
      </c>
      <c r="C57" s="1" t="n">
        <v>46186</v>
      </c>
      <c r="D57" t="inlineStr">
        <is>
          <t>UPPSALA LÄN</t>
        </is>
      </c>
      <c r="E57" t="inlineStr">
        <is>
          <t>ENKÖPING</t>
        </is>
      </c>
      <c r="G57" t="n">
        <v>5.3</v>
      </c>
      <c r="H57" t="n">
        <v>0</v>
      </c>
      <c r="I57" t="n">
        <v>0</v>
      </c>
      <c r="J57" t="n">
        <v>0</v>
      </c>
      <c r="K57" t="n">
        <v>0</v>
      </c>
      <c r="L57" t="n">
        <v>0</v>
      </c>
      <c r="M57" t="n">
        <v>0</v>
      </c>
      <c r="N57" t="n">
        <v>0</v>
      </c>
      <c r="O57" t="n">
        <v>0</v>
      </c>
      <c r="P57" t="n">
        <v>0</v>
      </c>
      <c r="Q57" t="n">
        <v>0</v>
      </c>
      <c r="R57" s="2" t="inlineStr"/>
    </row>
    <row r="58" ht="15" customHeight="1">
      <c r="A58" t="inlineStr">
        <is>
          <t>A 1971-2022</t>
        </is>
      </c>
      <c r="B58" s="1" t="n">
        <v>44575</v>
      </c>
      <c r="C58" s="1" t="n">
        <v>46186</v>
      </c>
      <c r="D58" t="inlineStr">
        <is>
          <t>UPPSALA LÄN</t>
        </is>
      </c>
      <c r="E58" t="inlineStr">
        <is>
          <t>ENKÖPING</t>
        </is>
      </c>
      <c r="G58" t="n">
        <v>1.4</v>
      </c>
      <c r="H58" t="n">
        <v>0</v>
      </c>
      <c r="I58" t="n">
        <v>0</v>
      </c>
      <c r="J58" t="n">
        <v>0</v>
      </c>
      <c r="K58" t="n">
        <v>0</v>
      </c>
      <c r="L58" t="n">
        <v>0</v>
      </c>
      <c r="M58" t="n">
        <v>0</v>
      </c>
      <c r="N58" t="n">
        <v>0</v>
      </c>
      <c r="O58" t="n">
        <v>0</v>
      </c>
      <c r="P58" t="n">
        <v>0</v>
      </c>
      <c r="Q58" t="n">
        <v>0</v>
      </c>
      <c r="R58" s="2" t="inlineStr"/>
    </row>
    <row r="59" ht="15" customHeight="1">
      <c r="A59" t="inlineStr">
        <is>
          <t>A 15924-2022</t>
        </is>
      </c>
      <c r="B59" s="1" t="n">
        <v>44664</v>
      </c>
      <c r="C59" s="1" t="n">
        <v>46186</v>
      </c>
      <c r="D59" t="inlineStr">
        <is>
          <t>UPPSALA LÄN</t>
        </is>
      </c>
      <c r="E59" t="inlineStr">
        <is>
          <t>ENKÖPING</t>
        </is>
      </c>
      <c r="G59" t="n">
        <v>0.7</v>
      </c>
      <c r="H59" t="n">
        <v>0</v>
      </c>
      <c r="I59" t="n">
        <v>0</v>
      </c>
      <c r="J59" t="n">
        <v>0</v>
      </c>
      <c r="K59" t="n">
        <v>0</v>
      </c>
      <c r="L59" t="n">
        <v>0</v>
      </c>
      <c r="M59" t="n">
        <v>0</v>
      </c>
      <c r="N59" t="n">
        <v>0</v>
      </c>
      <c r="O59" t="n">
        <v>0</v>
      </c>
      <c r="P59" t="n">
        <v>0</v>
      </c>
      <c r="Q59" t="n">
        <v>0</v>
      </c>
      <c r="R59" s="2" t="inlineStr"/>
    </row>
    <row r="60" ht="15" customHeight="1">
      <c r="A60" t="inlineStr">
        <is>
          <t>A 15943-2022</t>
        </is>
      </c>
      <c r="B60" s="1" t="n">
        <v>44664.66428240741</v>
      </c>
      <c r="C60" s="1" t="n">
        <v>46186</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47106-2021</t>
        </is>
      </c>
      <c r="B61" s="1" t="n">
        <v>44446</v>
      </c>
      <c r="C61" s="1" t="n">
        <v>46186</v>
      </c>
      <c r="D61" t="inlineStr">
        <is>
          <t>UPPSALA LÄN</t>
        </is>
      </c>
      <c r="E61" t="inlineStr">
        <is>
          <t>ENKÖPING</t>
        </is>
      </c>
      <c r="G61" t="n">
        <v>7.6</v>
      </c>
      <c r="H61" t="n">
        <v>0</v>
      </c>
      <c r="I61" t="n">
        <v>0</v>
      </c>
      <c r="J61" t="n">
        <v>0</v>
      </c>
      <c r="K61" t="n">
        <v>0</v>
      </c>
      <c r="L61" t="n">
        <v>0</v>
      </c>
      <c r="M61" t="n">
        <v>0</v>
      </c>
      <c r="N61" t="n">
        <v>0</v>
      </c>
      <c r="O61" t="n">
        <v>0</v>
      </c>
      <c r="P61" t="n">
        <v>0</v>
      </c>
      <c r="Q61" t="n">
        <v>0</v>
      </c>
      <c r="R61" s="2" t="inlineStr"/>
    </row>
    <row r="62" ht="15" customHeight="1">
      <c r="A62" t="inlineStr">
        <is>
          <t>A 19731-2022</t>
        </is>
      </c>
      <c r="B62" s="1" t="n">
        <v>44694</v>
      </c>
      <c r="C62" s="1" t="n">
        <v>46186</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57043-2021</t>
        </is>
      </c>
      <c r="B63" s="1" t="n">
        <v>44482.53399305556</v>
      </c>
      <c r="C63" s="1" t="n">
        <v>46186</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24883-2022</t>
        </is>
      </c>
      <c r="B64" s="1" t="n">
        <v>44728</v>
      </c>
      <c r="C64" s="1" t="n">
        <v>46186</v>
      </c>
      <c r="D64" t="inlineStr">
        <is>
          <t>UPPSALA LÄN</t>
        </is>
      </c>
      <c r="E64" t="inlineStr">
        <is>
          <t>ENKÖPING</t>
        </is>
      </c>
      <c r="G64" t="n">
        <v>2.5</v>
      </c>
      <c r="H64" t="n">
        <v>0</v>
      </c>
      <c r="I64" t="n">
        <v>0</v>
      </c>
      <c r="J64" t="n">
        <v>0</v>
      </c>
      <c r="K64" t="n">
        <v>0</v>
      </c>
      <c r="L64" t="n">
        <v>0</v>
      </c>
      <c r="M64" t="n">
        <v>0</v>
      </c>
      <c r="N64" t="n">
        <v>0</v>
      </c>
      <c r="O64" t="n">
        <v>0</v>
      </c>
      <c r="P64" t="n">
        <v>0</v>
      </c>
      <c r="Q64" t="n">
        <v>0</v>
      </c>
      <c r="R64" s="2" t="inlineStr"/>
    </row>
    <row r="65" ht="15" customHeight="1">
      <c r="A65" t="inlineStr">
        <is>
          <t>A 68127-2021</t>
        </is>
      </c>
      <c r="B65" s="1" t="n">
        <v>44526.39513888889</v>
      </c>
      <c r="C65" s="1" t="n">
        <v>46186</v>
      </c>
      <c r="D65" t="inlineStr">
        <is>
          <t>UPPSALA LÄN</t>
        </is>
      </c>
      <c r="E65" t="inlineStr">
        <is>
          <t>ENKÖPING</t>
        </is>
      </c>
      <c r="G65" t="n">
        <v>0.8</v>
      </c>
      <c r="H65" t="n">
        <v>0</v>
      </c>
      <c r="I65" t="n">
        <v>0</v>
      </c>
      <c r="J65" t="n">
        <v>0</v>
      </c>
      <c r="K65" t="n">
        <v>0</v>
      </c>
      <c r="L65" t="n">
        <v>0</v>
      </c>
      <c r="M65" t="n">
        <v>0</v>
      </c>
      <c r="N65" t="n">
        <v>0</v>
      </c>
      <c r="O65" t="n">
        <v>0</v>
      </c>
      <c r="P65" t="n">
        <v>0</v>
      </c>
      <c r="Q65" t="n">
        <v>0</v>
      </c>
      <c r="R65" s="2" t="inlineStr"/>
    </row>
    <row r="66" ht="15" customHeight="1">
      <c r="A66" t="inlineStr">
        <is>
          <t>A 42021-2021</t>
        </is>
      </c>
      <c r="B66" s="1" t="n">
        <v>44426</v>
      </c>
      <c r="C66" s="1" t="n">
        <v>46186</v>
      </c>
      <c r="D66" t="inlineStr">
        <is>
          <t>UPPSALA LÄN</t>
        </is>
      </c>
      <c r="E66" t="inlineStr">
        <is>
          <t>ENKÖPING</t>
        </is>
      </c>
      <c r="G66" t="n">
        <v>2.2</v>
      </c>
      <c r="H66" t="n">
        <v>0</v>
      </c>
      <c r="I66" t="n">
        <v>0</v>
      </c>
      <c r="J66" t="n">
        <v>0</v>
      </c>
      <c r="K66" t="n">
        <v>0</v>
      </c>
      <c r="L66" t="n">
        <v>0</v>
      </c>
      <c r="M66" t="n">
        <v>0</v>
      </c>
      <c r="N66" t="n">
        <v>0</v>
      </c>
      <c r="O66" t="n">
        <v>0</v>
      </c>
      <c r="P66" t="n">
        <v>0</v>
      </c>
      <c r="Q66" t="n">
        <v>0</v>
      </c>
      <c r="R66" s="2" t="inlineStr"/>
    </row>
    <row r="67" ht="15" customHeight="1">
      <c r="A67" t="inlineStr">
        <is>
          <t>A 17467-2022</t>
        </is>
      </c>
      <c r="B67" s="1" t="n">
        <v>44679</v>
      </c>
      <c r="C67" s="1" t="n">
        <v>46186</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59121-2021</t>
        </is>
      </c>
      <c r="B68" s="1" t="n">
        <v>44490</v>
      </c>
      <c r="C68" s="1" t="n">
        <v>46186</v>
      </c>
      <c r="D68" t="inlineStr">
        <is>
          <t>UPPSALA LÄN</t>
        </is>
      </c>
      <c r="E68" t="inlineStr">
        <is>
          <t>ENKÖPING</t>
        </is>
      </c>
      <c r="G68" t="n">
        <v>2.4</v>
      </c>
      <c r="H68" t="n">
        <v>0</v>
      </c>
      <c r="I68" t="n">
        <v>0</v>
      </c>
      <c r="J68" t="n">
        <v>0</v>
      </c>
      <c r="K68" t="n">
        <v>0</v>
      </c>
      <c r="L68" t="n">
        <v>0</v>
      </c>
      <c r="M68" t="n">
        <v>0</v>
      </c>
      <c r="N68" t="n">
        <v>0</v>
      </c>
      <c r="O68" t="n">
        <v>0</v>
      </c>
      <c r="P68" t="n">
        <v>0</v>
      </c>
      <c r="Q68" t="n">
        <v>0</v>
      </c>
      <c r="R68" s="2" t="inlineStr"/>
    </row>
    <row r="69" ht="15" customHeight="1">
      <c r="A69" t="inlineStr">
        <is>
          <t>A 24815-2022</t>
        </is>
      </c>
      <c r="B69" s="1" t="n">
        <v>44728</v>
      </c>
      <c r="C69" s="1" t="n">
        <v>46186</v>
      </c>
      <c r="D69" t="inlineStr">
        <is>
          <t>UPPSALA LÄN</t>
        </is>
      </c>
      <c r="E69" t="inlineStr">
        <is>
          <t>ENKÖPING</t>
        </is>
      </c>
      <c r="G69" t="n">
        <v>1.8</v>
      </c>
      <c r="H69" t="n">
        <v>0</v>
      </c>
      <c r="I69" t="n">
        <v>0</v>
      </c>
      <c r="J69" t="n">
        <v>0</v>
      </c>
      <c r="K69" t="n">
        <v>0</v>
      </c>
      <c r="L69" t="n">
        <v>0</v>
      </c>
      <c r="M69" t="n">
        <v>0</v>
      </c>
      <c r="N69" t="n">
        <v>0</v>
      </c>
      <c r="O69" t="n">
        <v>0</v>
      </c>
      <c r="P69" t="n">
        <v>0</v>
      </c>
      <c r="Q69" t="n">
        <v>0</v>
      </c>
      <c r="R69" s="2" t="inlineStr"/>
    </row>
    <row r="70" ht="15" customHeight="1">
      <c r="A70" t="inlineStr">
        <is>
          <t>A 57078-2021</t>
        </is>
      </c>
      <c r="B70" s="1" t="n">
        <v>44482.57855324074</v>
      </c>
      <c r="C70" s="1" t="n">
        <v>46186</v>
      </c>
      <c r="D70" t="inlineStr">
        <is>
          <t>UPPSALA LÄN</t>
        </is>
      </c>
      <c r="E70" t="inlineStr">
        <is>
          <t>ENKÖPING</t>
        </is>
      </c>
      <c r="G70" t="n">
        <v>3</v>
      </c>
      <c r="H70" t="n">
        <v>0</v>
      </c>
      <c r="I70" t="n">
        <v>0</v>
      </c>
      <c r="J70" t="n">
        <v>0</v>
      </c>
      <c r="K70" t="n">
        <v>0</v>
      </c>
      <c r="L70" t="n">
        <v>0</v>
      </c>
      <c r="M70" t="n">
        <v>0</v>
      </c>
      <c r="N70" t="n">
        <v>0</v>
      </c>
      <c r="O70" t="n">
        <v>0</v>
      </c>
      <c r="P70" t="n">
        <v>0</v>
      </c>
      <c r="Q70" t="n">
        <v>0</v>
      </c>
      <c r="R70" s="2" t="inlineStr"/>
    </row>
    <row r="71" ht="15" customHeight="1">
      <c r="A71" t="inlineStr">
        <is>
          <t>A 29983-2021</t>
        </is>
      </c>
      <c r="B71" s="1" t="n">
        <v>44363</v>
      </c>
      <c r="C71" s="1" t="n">
        <v>46186</v>
      </c>
      <c r="D71" t="inlineStr">
        <is>
          <t>UPPSALA LÄN</t>
        </is>
      </c>
      <c r="E71" t="inlineStr">
        <is>
          <t>ENKÖPING</t>
        </is>
      </c>
      <c r="F71" t="inlineStr">
        <is>
          <t>Kommuner</t>
        </is>
      </c>
      <c r="G71" t="n">
        <v>3.1</v>
      </c>
      <c r="H71" t="n">
        <v>0</v>
      </c>
      <c r="I71" t="n">
        <v>0</v>
      </c>
      <c r="J71" t="n">
        <v>0</v>
      </c>
      <c r="K71" t="n">
        <v>0</v>
      </c>
      <c r="L71" t="n">
        <v>0</v>
      </c>
      <c r="M71" t="n">
        <v>0</v>
      </c>
      <c r="N71" t="n">
        <v>0</v>
      </c>
      <c r="O71" t="n">
        <v>0</v>
      </c>
      <c r="P71" t="n">
        <v>0</v>
      </c>
      <c r="Q71" t="n">
        <v>0</v>
      </c>
      <c r="R71" s="2" t="inlineStr"/>
    </row>
    <row r="72" ht="15" customHeight="1">
      <c r="A72" t="inlineStr">
        <is>
          <t>A 13853-2023</t>
        </is>
      </c>
      <c r="B72" s="1" t="n">
        <v>45007</v>
      </c>
      <c r="C72" s="1" t="n">
        <v>46186</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50747-2022</t>
        </is>
      </c>
      <c r="B73" s="1" t="n">
        <v>44867.40162037037</v>
      </c>
      <c r="C73" s="1" t="n">
        <v>46186</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17657-2025</t>
        </is>
      </c>
      <c r="B74" s="1" t="n">
        <v>45758.35006944444</v>
      </c>
      <c r="C74" s="1" t="n">
        <v>46186</v>
      </c>
      <c r="D74" t="inlineStr">
        <is>
          <t>UPPSALA LÄN</t>
        </is>
      </c>
      <c r="E74" t="inlineStr">
        <is>
          <t>ENKÖPING</t>
        </is>
      </c>
      <c r="G74" t="n">
        <v>3</v>
      </c>
      <c r="H74" t="n">
        <v>0</v>
      </c>
      <c r="I74" t="n">
        <v>0</v>
      </c>
      <c r="J74" t="n">
        <v>0</v>
      </c>
      <c r="K74" t="n">
        <v>0</v>
      </c>
      <c r="L74" t="n">
        <v>0</v>
      </c>
      <c r="M74" t="n">
        <v>0</v>
      </c>
      <c r="N74" t="n">
        <v>0</v>
      </c>
      <c r="O74" t="n">
        <v>0</v>
      </c>
      <c r="P74" t="n">
        <v>0</v>
      </c>
      <c r="Q74" t="n">
        <v>0</v>
      </c>
      <c r="R74" s="2" t="inlineStr"/>
    </row>
    <row r="75" ht="15" customHeight="1">
      <c r="A75" t="inlineStr">
        <is>
          <t>A 49568-2022</t>
        </is>
      </c>
      <c r="B75" s="1" t="n">
        <v>44862.32791666667</v>
      </c>
      <c r="C75" s="1" t="n">
        <v>46186</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47681-2024</t>
        </is>
      </c>
      <c r="B76" s="1" t="n">
        <v>45588</v>
      </c>
      <c r="C76" s="1" t="n">
        <v>46186</v>
      </c>
      <c r="D76" t="inlineStr">
        <is>
          <t>UPPSALA LÄN</t>
        </is>
      </c>
      <c r="E76" t="inlineStr">
        <is>
          <t>ENKÖPING</t>
        </is>
      </c>
      <c r="G76" t="n">
        <v>4.2</v>
      </c>
      <c r="H76" t="n">
        <v>0</v>
      </c>
      <c r="I76" t="n">
        <v>0</v>
      </c>
      <c r="J76" t="n">
        <v>0</v>
      </c>
      <c r="K76" t="n">
        <v>0</v>
      </c>
      <c r="L76" t="n">
        <v>0</v>
      </c>
      <c r="M76" t="n">
        <v>0</v>
      </c>
      <c r="N76" t="n">
        <v>0</v>
      </c>
      <c r="O76" t="n">
        <v>0</v>
      </c>
      <c r="P76" t="n">
        <v>0</v>
      </c>
      <c r="Q76" t="n">
        <v>0</v>
      </c>
      <c r="R76" s="2" t="inlineStr"/>
    </row>
    <row r="77" ht="15" customHeight="1">
      <c r="A77" t="inlineStr">
        <is>
          <t>A 15942-2022</t>
        </is>
      </c>
      <c r="B77" s="1" t="n">
        <v>44664</v>
      </c>
      <c r="C77" s="1" t="n">
        <v>46186</v>
      </c>
      <c r="D77" t="inlineStr">
        <is>
          <t>UPPSALA LÄN</t>
        </is>
      </c>
      <c r="E77" t="inlineStr">
        <is>
          <t>ENKÖPING</t>
        </is>
      </c>
      <c r="G77" t="n">
        <v>6.6</v>
      </c>
      <c r="H77" t="n">
        <v>0</v>
      </c>
      <c r="I77" t="n">
        <v>0</v>
      </c>
      <c r="J77" t="n">
        <v>0</v>
      </c>
      <c r="K77" t="n">
        <v>0</v>
      </c>
      <c r="L77" t="n">
        <v>0</v>
      </c>
      <c r="M77" t="n">
        <v>0</v>
      </c>
      <c r="N77" t="n">
        <v>0</v>
      </c>
      <c r="O77" t="n">
        <v>0</v>
      </c>
      <c r="P77" t="n">
        <v>0</v>
      </c>
      <c r="Q77" t="n">
        <v>0</v>
      </c>
      <c r="R77" s="2" t="inlineStr"/>
    </row>
    <row r="78" ht="15" customHeight="1">
      <c r="A78" t="inlineStr">
        <is>
          <t>A 53496-2022</t>
        </is>
      </c>
      <c r="B78" s="1" t="n">
        <v>44879.57217592592</v>
      </c>
      <c r="C78" s="1" t="n">
        <v>46186</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39439-2025</t>
        </is>
      </c>
      <c r="B79" s="1" t="n">
        <v>45889</v>
      </c>
      <c r="C79" s="1" t="n">
        <v>46186</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21017-2023</t>
        </is>
      </c>
      <c r="B80" s="1" t="n">
        <v>45061</v>
      </c>
      <c r="C80" s="1" t="n">
        <v>46186</v>
      </c>
      <c r="D80" t="inlineStr">
        <is>
          <t>UPPSALA LÄN</t>
        </is>
      </c>
      <c r="E80" t="inlineStr">
        <is>
          <t>ENKÖPING</t>
        </is>
      </c>
      <c r="G80" t="n">
        <v>4.8</v>
      </c>
      <c r="H80" t="n">
        <v>0</v>
      </c>
      <c r="I80" t="n">
        <v>0</v>
      </c>
      <c r="J80" t="n">
        <v>0</v>
      </c>
      <c r="K80" t="n">
        <v>0</v>
      </c>
      <c r="L80" t="n">
        <v>0</v>
      </c>
      <c r="M80" t="n">
        <v>0</v>
      </c>
      <c r="N80" t="n">
        <v>0</v>
      </c>
      <c r="O80" t="n">
        <v>0</v>
      </c>
      <c r="P80" t="n">
        <v>0</v>
      </c>
      <c r="Q80" t="n">
        <v>0</v>
      </c>
      <c r="R80" s="2" t="inlineStr"/>
    </row>
    <row r="81" ht="15" customHeight="1">
      <c r="A81" t="inlineStr">
        <is>
          <t>A 27786-2023</t>
        </is>
      </c>
      <c r="B81" s="1" t="n">
        <v>45098</v>
      </c>
      <c r="C81" s="1" t="n">
        <v>46186</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48678-2025</t>
        </is>
      </c>
      <c r="B82" s="1" t="n">
        <v>45936.59168981481</v>
      </c>
      <c r="C82" s="1" t="n">
        <v>46186</v>
      </c>
      <c r="D82" t="inlineStr">
        <is>
          <t>UPPSALA LÄN</t>
        </is>
      </c>
      <c r="E82" t="inlineStr">
        <is>
          <t>ENKÖPING</t>
        </is>
      </c>
      <c r="G82" t="n">
        <v>1.6</v>
      </c>
      <c r="H82" t="n">
        <v>0</v>
      </c>
      <c r="I82" t="n">
        <v>0</v>
      </c>
      <c r="J82" t="n">
        <v>0</v>
      </c>
      <c r="K82" t="n">
        <v>0</v>
      </c>
      <c r="L82" t="n">
        <v>0</v>
      </c>
      <c r="M82" t="n">
        <v>0</v>
      </c>
      <c r="N82" t="n">
        <v>0</v>
      </c>
      <c r="O82" t="n">
        <v>0</v>
      </c>
      <c r="P82" t="n">
        <v>0</v>
      </c>
      <c r="Q82" t="n">
        <v>0</v>
      </c>
      <c r="R82" s="2" t="inlineStr"/>
    </row>
    <row r="83" ht="15" customHeight="1">
      <c r="A83" t="inlineStr">
        <is>
          <t>A 49073-2025</t>
        </is>
      </c>
      <c r="B83" s="1" t="n">
        <v>45937.65512731481</v>
      </c>
      <c r="C83" s="1" t="n">
        <v>46186</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44131-2023</t>
        </is>
      </c>
      <c r="B84" s="1" t="n">
        <v>45188</v>
      </c>
      <c r="C84" s="1" t="n">
        <v>46186</v>
      </c>
      <c r="D84" t="inlineStr">
        <is>
          <t>UPPSALA LÄN</t>
        </is>
      </c>
      <c r="E84" t="inlineStr">
        <is>
          <t>ENKÖPING</t>
        </is>
      </c>
      <c r="G84" t="n">
        <v>0.3</v>
      </c>
      <c r="H84" t="n">
        <v>0</v>
      </c>
      <c r="I84" t="n">
        <v>0</v>
      </c>
      <c r="J84" t="n">
        <v>0</v>
      </c>
      <c r="K84" t="n">
        <v>0</v>
      </c>
      <c r="L84" t="n">
        <v>0</v>
      </c>
      <c r="M84" t="n">
        <v>0</v>
      </c>
      <c r="N84" t="n">
        <v>0</v>
      </c>
      <c r="O84" t="n">
        <v>0</v>
      </c>
      <c r="P84" t="n">
        <v>0</v>
      </c>
      <c r="Q84" t="n">
        <v>0</v>
      </c>
      <c r="R84" s="2" t="inlineStr"/>
    </row>
    <row r="85" ht="15" customHeight="1">
      <c r="A85" t="inlineStr">
        <is>
          <t>A 60533-2021</t>
        </is>
      </c>
      <c r="B85" s="1" t="n">
        <v>44496</v>
      </c>
      <c r="C85" s="1" t="n">
        <v>46186</v>
      </c>
      <c r="D85" t="inlineStr">
        <is>
          <t>UPPSALA LÄN</t>
        </is>
      </c>
      <c r="E85" t="inlineStr">
        <is>
          <t>ENKÖPING</t>
        </is>
      </c>
      <c r="G85" t="n">
        <v>2.2</v>
      </c>
      <c r="H85" t="n">
        <v>0</v>
      </c>
      <c r="I85" t="n">
        <v>0</v>
      </c>
      <c r="J85" t="n">
        <v>0</v>
      </c>
      <c r="K85" t="n">
        <v>0</v>
      </c>
      <c r="L85" t="n">
        <v>0</v>
      </c>
      <c r="M85" t="n">
        <v>0</v>
      </c>
      <c r="N85" t="n">
        <v>0</v>
      </c>
      <c r="O85" t="n">
        <v>0</v>
      </c>
      <c r="P85" t="n">
        <v>0</v>
      </c>
      <c r="Q85" t="n">
        <v>0</v>
      </c>
      <c r="R85" s="2" t="inlineStr"/>
    </row>
    <row r="86" ht="15" customHeight="1">
      <c r="A86" t="inlineStr">
        <is>
          <t>A 48864-2022</t>
        </is>
      </c>
      <c r="B86" s="1" t="n">
        <v>44859</v>
      </c>
      <c r="C86" s="1" t="n">
        <v>46186</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43103-2025</t>
        </is>
      </c>
      <c r="B87" s="1" t="n">
        <v>45909</v>
      </c>
      <c r="C87" s="1" t="n">
        <v>46186</v>
      </c>
      <c r="D87" t="inlineStr">
        <is>
          <t>UPPSALA LÄN</t>
        </is>
      </c>
      <c r="E87" t="inlineStr">
        <is>
          <t>ENKÖPING</t>
        </is>
      </c>
      <c r="G87" t="n">
        <v>2.3</v>
      </c>
      <c r="H87" t="n">
        <v>0</v>
      </c>
      <c r="I87" t="n">
        <v>0</v>
      </c>
      <c r="J87" t="n">
        <v>0</v>
      </c>
      <c r="K87" t="n">
        <v>0</v>
      </c>
      <c r="L87" t="n">
        <v>0</v>
      </c>
      <c r="M87" t="n">
        <v>0</v>
      </c>
      <c r="N87" t="n">
        <v>0</v>
      </c>
      <c r="O87" t="n">
        <v>0</v>
      </c>
      <c r="P87" t="n">
        <v>0</v>
      </c>
      <c r="Q87" t="n">
        <v>0</v>
      </c>
      <c r="R87" s="2" t="inlineStr"/>
    </row>
    <row r="88" ht="15" customHeight="1">
      <c r="A88" t="inlineStr">
        <is>
          <t>A 35052-2024</t>
        </is>
      </c>
      <c r="B88" s="1" t="n">
        <v>45527.6516087963</v>
      </c>
      <c r="C88" s="1" t="n">
        <v>46186</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6242-2025</t>
        </is>
      </c>
      <c r="B89" s="1" t="n">
        <v>45697</v>
      </c>
      <c r="C89" s="1" t="n">
        <v>46186</v>
      </c>
      <c r="D89" t="inlineStr">
        <is>
          <t>UPPSALA LÄN</t>
        </is>
      </c>
      <c r="E89" t="inlineStr">
        <is>
          <t>ENKÖPING</t>
        </is>
      </c>
      <c r="G89" t="n">
        <v>17.9</v>
      </c>
      <c r="H89" t="n">
        <v>0</v>
      </c>
      <c r="I89" t="n">
        <v>0</v>
      </c>
      <c r="J89" t="n">
        <v>0</v>
      </c>
      <c r="K89" t="n">
        <v>0</v>
      </c>
      <c r="L89" t="n">
        <v>0</v>
      </c>
      <c r="M89" t="n">
        <v>0</v>
      </c>
      <c r="N89" t="n">
        <v>0</v>
      </c>
      <c r="O89" t="n">
        <v>0</v>
      </c>
      <c r="P89" t="n">
        <v>0</v>
      </c>
      <c r="Q89" t="n">
        <v>0</v>
      </c>
      <c r="R89" s="2" t="inlineStr"/>
    </row>
    <row r="90" ht="15" customHeight="1">
      <c r="A90" t="inlineStr">
        <is>
          <t>A 42459-2024</t>
        </is>
      </c>
      <c r="B90" s="1" t="n">
        <v>45565</v>
      </c>
      <c r="C90" s="1" t="n">
        <v>46186</v>
      </c>
      <c r="D90" t="inlineStr">
        <is>
          <t>UPPSALA LÄN</t>
        </is>
      </c>
      <c r="E90" t="inlineStr">
        <is>
          <t>ENKÖPING</t>
        </is>
      </c>
      <c r="G90" t="n">
        <v>3.6</v>
      </c>
      <c r="H90" t="n">
        <v>0</v>
      </c>
      <c r="I90" t="n">
        <v>0</v>
      </c>
      <c r="J90" t="n">
        <v>0</v>
      </c>
      <c r="K90" t="n">
        <v>0</v>
      </c>
      <c r="L90" t="n">
        <v>0</v>
      </c>
      <c r="M90" t="n">
        <v>0</v>
      </c>
      <c r="N90" t="n">
        <v>0</v>
      </c>
      <c r="O90" t="n">
        <v>0</v>
      </c>
      <c r="P90" t="n">
        <v>0</v>
      </c>
      <c r="Q90" t="n">
        <v>0</v>
      </c>
      <c r="R90" s="2" t="inlineStr"/>
    </row>
    <row r="91" ht="15" customHeight="1">
      <c r="A91" t="inlineStr">
        <is>
          <t>A 51008-2024</t>
        </is>
      </c>
      <c r="B91" s="1" t="n">
        <v>45603.39041666667</v>
      </c>
      <c r="C91" s="1" t="n">
        <v>46186</v>
      </c>
      <c r="D91" t="inlineStr">
        <is>
          <t>UPPSALA LÄN</t>
        </is>
      </c>
      <c r="E91" t="inlineStr">
        <is>
          <t>ENKÖPING</t>
        </is>
      </c>
      <c r="G91" t="n">
        <v>2.4</v>
      </c>
      <c r="H91" t="n">
        <v>0</v>
      </c>
      <c r="I91" t="n">
        <v>0</v>
      </c>
      <c r="J91" t="n">
        <v>0</v>
      </c>
      <c r="K91" t="n">
        <v>0</v>
      </c>
      <c r="L91" t="n">
        <v>0</v>
      </c>
      <c r="M91" t="n">
        <v>0</v>
      </c>
      <c r="N91" t="n">
        <v>0</v>
      </c>
      <c r="O91" t="n">
        <v>0</v>
      </c>
      <c r="P91" t="n">
        <v>0</v>
      </c>
      <c r="Q91" t="n">
        <v>0</v>
      </c>
      <c r="R91" s="2" t="inlineStr"/>
    </row>
    <row r="92" ht="15" customHeight="1">
      <c r="A92" t="inlineStr">
        <is>
          <t>A 10468-2025</t>
        </is>
      </c>
      <c r="B92" s="1" t="n">
        <v>45720</v>
      </c>
      <c r="C92" s="1" t="n">
        <v>46186</v>
      </c>
      <c r="D92" t="inlineStr">
        <is>
          <t>UPPSALA LÄN</t>
        </is>
      </c>
      <c r="E92" t="inlineStr">
        <is>
          <t>ENKÖPING</t>
        </is>
      </c>
      <c r="G92" t="n">
        <v>1.6</v>
      </c>
      <c r="H92" t="n">
        <v>0</v>
      </c>
      <c r="I92" t="n">
        <v>0</v>
      </c>
      <c r="J92" t="n">
        <v>0</v>
      </c>
      <c r="K92" t="n">
        <v>0</v>
      </c>
      <c r="L92" t="n">
        <v>0</v>
      </c>
      <c r="M92" t="n">
        <v>0</v>
      </c>
      <c r="N92" t="n">
        <v>0</v>
      </c>
      <c r="O92" t="n">
        <v>0</v>
      </c>
      <c r="P92" t="n">
        <v>0</v>
      </c>
      <c r="Q92" t="n">
        <v>0</v>
      </c>
      <c r="R92" s="2" t="inlineStr"/>
    </row>
    <row r="93" ht="15" customHeight="1">
      <c r="A93" t="inlineStr">
        <is>
          <t>A 56176-2021</t>
        </is>
      </c>
      <c r="B93" s="1" t="n">
        <v>44477</v>
      </c>
      <c r="C93" s="1" t="n">
        <v>46186</v>
      </c>
      <c r="D93" t="inlineStr">
        <is>
          <t>UPPSALA LÄN</t>
        </is>
      </c>
      <c r="E93" t="inlineStr">
        <is>
          <t>ENKÖPING</t>
        </is>
      </c>
      <c r="G93" t="n">
        <v>2.9</v>
      </c>
      <c r="H93" t="n">
        <v>0</v>
      </c>
      <c r="I93" t="n">
        <v>0</v>
      </c>
      <c r="J93" t="n">
        <v>0</v>
      </c>
      <c r="K93" t="n">
        <v>0</v>
      </c>
      <c r="L93" t="n">
        <v>0</v>
      </c>
      <c r="M93" t="n">
        <v>0</v>
      </c>
      <c r="N93" t="n">
        <v>0</v>
      </c>
      <c r="O93" t="n">
        <v>0</v>
      </c>
      <c r="P93" t="n">
        <v>0</v>
      </c>
      <c r="Q93" t="n">
        <v>0</v>
      </c>
      <c r="R93" s="2" t="inlineStr"/>
    </row>
    <row r="94" ht="15" customHeight="1">
      <c r="A94" t="inlineStr">
        <is>
          <t>A 5211-2024</t>
        </is>
      </c>
      <c r="B94" s="1" t="n">
        <v>45330</v>
      </c>
      <c r="C94" s="1" t="n">
        <v>46186</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51162-2025</t>
        </is>
      </c>
      <c r="B95" s="1" t="n">
        <v>45947.58820601852</v>
      </c>
      <c r="C95" s="1" t="n">
        <v>46186</v>
      </c>
      <c r="D95" t="inlineStr">
        <is>
          <t>UPPSALA LÄN</t>
        </is>
      </c>
      <c r="E95" t="inlineStr">
        <is>
          <t>ENKÖPING</t>
        </is>
      </c>
      <c r="G95" t="n">
        <v>3.4</v>
      </c>
      <c r="H95" t="n">
        <v>0</v>
      </c>
      <c r="I95" t="n">
        <v>0</v>
      </c>
      <c r="J95" t="n">
        <v>0</v>
      </c>
      <c r="K95" t="n">
        <v>0</v>
      </c>
      <c r="L95" t="n">
        <v>0</v>
      </c>
      <c r="M95" t="n">
        <v>0</v>
      </c>
      <c r="N95" t="n">
        <v>0</v>
      </c>
      <c r="O95" t="n">
        <v>0</v>
      </c>
      <c r="P95" t="n">
        <v>0</v>
      </c>
      <c r="Q95" t="n">
        <v>0</v>
      </c>
      <c r="R95" s="2" t="inlineStr"/>
    </row>
    <row r="96" ht="15" customHeight="1">
      <c r="A96" t="inlineStr">
        <is>
          <t>A 10409-2025</t>
        </is>
      </c>
      <c r="B96" s="1" t="n">
        <v>45720.631875</v>
      </c>
      <c r="C96" s="1" t="n">
        <v>46186</v>
      </c>
      <c r="D96" t="inlineStr">
        <is>
          <t>UPPSALA LÄN</t>
        </is>
      </c>
      <c r="E96" t="inlineStr">
        <is>
          <t>ENKÖPING</t>
        </is>
      </c>
      <c r="G96" t="n">
        <v>2.2</v>
      </c>
      <c r="H96" t="n">
        <v>0</v>
      </c>
      <c r="I96" t="n">
        <v>0</v>
      </c>
      <c r="J96" t="n">
        <v>0</v>
      </c>
      <c r="K96" t="n">
        <v>0</v>
      </c>
      <c r="L96" t="n">
        <v>0</v>
      </c>
      <c r="M96" t="n">
        <v>0</v>
      </c>
      <c r="N96" t="n">
        <v>0</v>
      </c>
      <c r="O96" t="n">
        <v>0</v>
      </c>
      <c r="P96" t="n">
        <v>0</v>
      </c>
      <c r="Q96" t="n">
        <v>0</v>
      </c>
      <c r="R96" s="2" t="inlineStr"/>
    </row>
    <row r="97" ht="15" customHeight="1">
      <c r="A97" t="inlineStr">
        <is>
          <t>A 51133-2025</t>
        </is>
      </c>
      <c r="B97" s="1" t="n">
        <v>45947.55598379629</v>
      </c>
      <c r="C97" s="1" t="n">
        <v>46186</v>
      </c>
      <c r="D97" t="inlineStr">
        <is>
          <t>UPPSALA LÄN</t>
        </is>
      </c>
      <c r="E97" t="inlineStr">
        <is>
          <t>ENKÖPING</t>
        </is>
      </c>
      <c r="G97" t="n">
        <v>2.4</v>
      </c>
      <c r="H97" t="n">
        <v>0</v>
      </c>
      <c r="I97" t="n">
        <v>0</v>
      </c>
      <c r="J97" t="n">
        <v>0</v>
      </c>
      <c r="K97" t="n">
        <v>0</v>
      </c>
      <c r="L97" t="n">
        <v>0</v>
      </c>
      <c r="M97" t="n">
        <v>0</v>
      </c>
      <c r="N97" t="n">
        <v>0</v>
      </c>
      <c r="O97" t="n">
        <v>0</v>
      </c>
      <c r="P97" t="n">
        <v>0</v>
      </c>
      <c r="Q97" t="n">
        <v>0</v>
      </c>
      <c r="R97" s="2" t="inlineStr"/>
    </row>
    <row r="98" ht="15" customHeight="1">
      <c r="A98" t="inlineStr">
        <is>
          <t>A 18299-2025</t>
        </is>
      </c>
      <c r="B98" s="1" t="n">
        <v>45762</v>
      </c>
      <c r="C98" s="1" t="n">
        <v>46186</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21686-2022</t>
        </is>
      </c>
      <c r="B99" s="1" t="n">
        <v>44707</v>
      </c>
      <c r="C99" s="1" t="n">
        <v>46186</v>
      </c>
      <c r="D99" t="inlineStr">
        <is>
          <t>UPPSALA LÄN</t>
        </is>
      </c>
      <c r="E99" t="inlineStr">
        <is>
          <t>ENKÖPING</t>
        </is>
      </c>
      <c r="G99" t="n">
        <v>2.2</v>
      </c>
      <c r="H99" t="n">
        <v>0</v>
      </c>
      <c r="I99" t="n">
        <v>0</v>
      </c>
      <c r="J99" t="n">
        <v>0</v>
      </c>
      <c r="K99" t="n">
        <v>0</v>
      </c>
      <c r="L99" t="n">
        <v>0</v>
      </c>
      <c r="M99" t="n">
        <v>0</v>
      </c>
      <c r="N99" t="n">
        <v>0</v>
      </c>
      <c r="O99" t="n">
        <v>0</v>
      </c>
      <c r="P99" t="n">
        <v>0</v>
      </c>
      <c r="Q99" t="n">
        <v>0</v>
      </c>
      <c r="R99" s="2" t="inlineStr"/>
    </row>
    <row r="100" ht="15" customHeight="1">
      <c r="A100" t="inlineStr">
        <is>
          <t>A 18831-2023</t>
        </is>
      </c>
      <c r="B100" s="1" t="n">
        <v>45044.40798611111</v>
      </c>
      <c r="C100" s="1" t="n">
        <v>46186</v>
      </c>
      <c r="D100" t="inlineStr">
        <is>
          <t>UPPSALA LÄN</t>
        </is>
      </c>
      <c r="E100" t="inlineStr">
        <is>
          <t>ENKÖPING</t>
        </is>
      </c>
      <c r="G100" t="n">
        <v>4.3</v>
      </c>
      <c r="H100" t="n">
        <v>0</v>
      </c>
      <c r="I100" t="n">
        <v>0</v>
      </c>
      <c r="J100" t="n">
        <v>0</v>
      </c>
      <c r="K100" t="n">
        <v>0</v>
      </c>
      <c r="L100" t="n">
        <v>0</v>
      </c>
      <c r="M100" t="n">
        <v>0</v>
      </c>
      <c r="N100" t="n">
        <v>0</v>
      </c>
      <c r="O100" t="n">
        <v>0</v>
      </c>
      <c r="P100" t="n">
        <v>0</v>
      </c>
      <c r="Q100" t="n">
        <v>0</v>
      </c>
      <c r="R100" s="2" t="inlineStr"/>
    </row>
    <row r="101" ht="15" customHeight="1">
      <c r="A101" t="inlineStr">
        <is>
          <t>A 26017-2025</t>
        </is>
      </c>
      <c r="B101" s="1" t="n">
        <v>45804</v>
      </c>
      <c r="C101" s="1" t="n">
        <v>46186</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69344-2021</t>
        </is>
      </c>
      <c r="B102" s="1" t="n">
        <v>44531</v>
      </c>
      <c r="C102" s="1" t="n">
        <v>46186</v>
      </c>
      <c r="D102" t="inlineStr">
        <is>
          <t>UPPSALA LÄN</t>
        </is>
      </c>
      <c r="E102" t="inlineStr">
        <is>
          <t>ENKÖPING</t>
        </is>
      </c>
      <c r="G102" t="n">
        <v>2.9</v>
      </c>
      <c r="H102" t="n">
        <v>0</v>
      </c>
      <c r="I102" t="n">
        <v>0</v>
      </c>
      <c r="J102" t="n">
        <v>0</v>
      </c>
      <c r="K102" t="n">
        <v>0</v>
      </c>
      <c r="L102" t="n">
        <v>0</v>
      </c>
      <c r="M102" t="n">
        <v>0</v>
      </c>
      <c r="N102" t="n">
        <v>0</v>
      </c>
      <c r="O102" t="n">
        <v>0</v>
      </c>
      <c r="P102" t="n">
        <v>0</v>
      </c>
      <c r="Q102" t="n">
        <v>0</v>
      </c>
      <c r="R102" s="2" t="inlineStr"/>
    </row>
    <row r="103" ht="15" customHeight="1">
      <c r="A103" t="inlineStr">
        <is>
          <t>A 6172-2023</t>
        </is>
      </c>
      <c r="B103" s="1" t="n">
        <v>44964.68663194445</v>
      </c>
      <c r="C103" s="1" t="n">
        <v>46186</v>
      </c>
      <c r="D103" t="inlineStr">
        <is>
          <t>UPPSALA LÄN</t>
        </is>
      </c>
      <c r="E103" t="inlineStr">
        <is>
          <t>ENKÖPING</t>
        </is>
      </c>
      <c r="G103" t="n">
        <v>2.6</v>
      </c>
      <c r="H103" t="n">
        <v>0</v>
      </c>
      <c r="I103" t="n">
        <v>0</v>
      </c>
      <c r="J103" t="n">
        <v>0</v>
      </c>
      <c r="K103" t="n">
        <v>0</v>
      </c>
      <c r="L103" t="n">
        <v>0</v>
      </c>
      <c r="M103" t="n">
        <v>0</v>
      </c>
      <c r="N103" t="n">
        <v>0</v>
      </c>
      <c r="O103" t="n">
        <v>0</v>
      </c>
      <c r="P103" t="n">
        <v>0</v>
      </c>
      <c r="Q103" t="n">
        <v>0</v>
      </c>
      <c r="R103" s="2" t="inlineStr"/>
    </row>
    <row r="104" ht="15" customHeight="1">
      <c r="A104" t="inlineStr">
        <is>
          <t>A 27983-2024</t>
        </is>
      </c>
      <c r="B104" s="1" t="n">
        <v>45476</v>
      </c>
      <c r="C104" s="1" t="n">
        <v>46186</v>
      </c>
      <c r="D104" t="inlineStr">
        <is>
          <t>UPPSALA LÄN</t>
        </is>
      </c>
      <c r="E104" t="inlineStr">
        <is>
          <t>ENKÖPING</t>
        </is>
      </c>
      <c r="G104" t="n">
        <v>3.2</v>
      </c>
      <c r="H104" t="n">
        <v>0</v>
      </c>
      <c r="I104" t="n">
        <v>0</v>
      </c>
      <c r="J104" t="n">
        <v>0</v>
      </c>
      <c r="K104" t="n">
        <v>0</v>
      </c>
      <c r="L104" t="n">
        <v>0</v>
      </c>
      <c r="M104" t="n">
        <v>0</v>
      </c>
      <c r="N104" t="n">
        <v>0</v>
      </c>
      <c r="O104" t="n">
        <v>0</v>
      </c>
      <c r="P104" t="n">
        <v>0</v>
      </c>
      <c r="Q104" t="n">
        <v>0</v>
      </c>
      <c r="R104" s="2" t="inlineStr"/>
    </row>
    <row r="105" ht="15" customHeight="1">
      <c r="A105" t="inlineStr">
        <is>
          <t>A 19298-2023</t>
        </is>
      </c>
      <c r="B105" s="1" t="n">
        <v>45048</v>
      </c>
      <c r="C105" s="1" t="n">
        <v>46186</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2850-2025</t>
        </is>
      </c>
      <c r="B106" s="1" t="n">
        <v>45677</v>
      </c>
      <c r="C106" s="1" t="n">
        <v>46186</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15939-2022</t>
        </is>
      </c>
      <c r="B107" s="1" t="n">
        <v>44664</v>
      </c>
      <c r="C107" s="1" t="n">
        <v>46186</v>
      </c>
      <c r="D107" t="inlineStr">
        <is>
          <t>UPPSALA LÄN</t>
        </is>
      </c>
      <c r="E107" t="inlineStr">
        <is>
          <t>ENKÖPING</t>
        </is>
      </c>
      <c r="G107" t="n">
        <v>2</v>
      </c>
      <c r="H107" t="n">
        <v>0</v>
      </c>
      <c r="I107" t="n">
        <v>0</v>
      </c>
      <c r="J107" t="n">
        <v>0</v>
      </c>
      <c r="K107" t="n">
        <v>0</v>
      </c>
      <c r="L107" t="n">
        <v>0</v>
      </c>
      <c r="M107" t="n">
        <v>0</v>
      </c>
      <c r="N107" t="n">
        <v>0</v>
      </c>
      <c r="O107" t="n">
        <v>0</v>
      </c>
      <c r="P107" t="n">
        <v>0</v>
      </c>
      <c r="Q107" t="n">
        <v>0</v>
      </c>
      <c r="R107" s="2" t="inlineStr"/>
    </row>
    <row r="108" ht="15" customHeight="1">
      <c r="A108" t="inlineStr">
        <is>
          <t>A 57153-2021</t>
        </is>
      </c>
      <c r="B108" s="1" t="n">
        <v>44482</v>
      </c>
      <c r="C108" s="1" t="n">
        <v>46186</v>
      </c>
      <c r="D108" t="inlineStr">
        <is>
          <t>UPPSALA LÄN</t>
        </is>
      </c>
      <c r="E108" t="inlineStr">
        <is>
          <t>ENKÖPING</t>
        </is>
      </c>
      <c r="G108" t="n">
        <v>0.6</v>
      </c>
      <c r="H108" t="n">
        <v>0</v>
      </c>
      <c r="I108" t="n">
        <v>0</v>
      </c>
      <c r="J108" t="n">
        <v>0</v>
      </c>
      <c r="K108" t="n">
        <v>0</v>
      </c>
      <c r="L108" t="n">
        <v>0</v>
      </c>
      <c r="M108" t="n">
        <v>0</v>
      </c>
      <c r="N108" t="n">
        <v>0</v>
      </c>
      <c r="O108" t="n">
        <v>0</v>
      </c>
      <c r="P108" t="n">
        <v>0</v>
      </c>
      <c r="Q108" t="n">
        <v>0</v>
      </c>
      <c r="R108" s="2" t="inlineStr"/>
    </row>
    <row r="109" ht="15" customHeight="1">
      <c r="A109" t="inlineStr">
        <is>
          <t>A 45283-2022</t>
        </is>
      </c>
      <c r="B109" s="1" t="n">
        <v>44844</v>
      </c>
      <c r="C109" s="1" t="n">
        <v>46186</v>
      </c>
      <c r="D109" t="inlineStr">
        <is>
          <t>UPPSALA LÄN</t>
        </is>
      </c>
      <c r="E109" t="inlineStr">
        <is>
          <t>ENKÖPING</t>
        </is>
      </c>
      <c r="G109" t="n">
        <v>5.9</v>
      </c>
      <c r="H109" t="n">
        <v>0</v>
      </c>
      <c r="I109" t="n">
        <v>0</v>
      </c>
      <c r="J109" t="n">
        <v>0</v>
      </c>
      <c r="K109" t="n">
        <v>0</v>
      </c>
      <c r="L109" t="n">
        <v>0</v>
      </c>
      <c r="M109" t="n">
        <v>0</v>
      </c>
      <c r="N109" t="n">
        <v>0</v>
      </c>
      <c r="O109" t="n">
        <v>0</v>
      </c>
      <c r="P109" t="n">
        <v>0</v>
      </c>
      <c r="Q109" t="n">
        <v>0</v>
      </c>
      <c r="R109" s="2" t="inlineStr"/>
    </row>
    <row r="110" ht="15" customHeight="1">
      <c r="A110" t="inlineStr">
        <is>
          <t>A 41826-2024</t>
        </is>
      </c>
      <c r="B110" s="1" t="n">
        <v>45561</v>
      </c>
      <c r="C110" s="1" t="n">
        <v>46186</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54844-2025</t>
        </is>
      </c>
      <c r="B111" s="1" t="n">
        <v>45966.69570601852</v>
      </c>
      <c r="C111" s="1" t="n">
        <v>46186</v>
      </c>
      <c r="D111" t="inlineStr">
        <is>
          <t>UPPSALA LÄN</t>
        </is>
      </c>
      <c r="E111" t="inlineStr">
        <is>
          <t>ENKÖPING</t>
        </is>
      </c>
      <c r="G111" t="n">
        <v>5.5</v>
      </c>
      <c r="H111" t="n">
        <v>0</v>
      </c>
      <c r="I111" t="n">
        <v>0</v>
      </c>
      <c r="J111" t="n">
        <v>0</v>
      </c>
      <c r="K111" t="n">
        <v>0</v>
      </c>
      <c r="L111" t="n">
        <v>0</v>
      </c>
      <c r="M111" t="n">
        <v>0</v>
      </c>
      <c r="N111" t="n">
        <v>0</v>
      </c>
      <c r="O111" t="n">
        <v>0</v>
      </c>
      <c r="P111" t="n">
        <v>0</v>
      </c>
      <c r="Q111" t="n">
        <v>0</v>
      </c>
      <c r="R111" s="2" t="inlineStr"/>
    </row>
    <row r="112" ht="15" customHeight="1">
      <c r="A112" t="inlineStr">
        <is>
          <t>A 42589-2022</t>
        </is>
      </c>
      <c r="B112" s="1" t="n">
        <v>44831</v>
      </c>
      <c r="C112" s="1" t="n">
        <v>46186</v>
      </c>
      <c r="D112" t="inlineStr">
        <is>
          <t>UPPSALA LÄN</t>
        </is>
      </c>
      <c r="E112" t="inlineStr">
        <is>
          <t>ENKÖPING</t>
        </is>
      </c>
      <c r="G112" t="n">
        <v>20</v>
      </c>
      <c r="H112" t="n">
        <v>0</v>
      </c>
      <c r="I112" t="n">
        <v>0</v>
      </c>
      <c r="J112" t="n">
        <v>0</v>
      </c>
      <c r="K112" t="n">
        <v>0</v>
      </c>
      <c r="L112" t="n">
        <v>0</v>
      </c>
      <c r="M112" t="n">
        <v>0</v>
      </c>
      <c r="N112" t="n">
        <v>0</v>
      </c>
      <c r="O112" t="n">
        <v>0</v>
      </c>
      <c r="P112" t="n">
        <v>0</v>
      </c>
      <c r="Q112" t="n">
        <v>0</v>
      </c>
      <c r="R112" s="2" t="inlineStr"/>
    </row>
    <row r="113" ht="15" customHeight="1">
      <c r="A113" t="inlineStr">
        <is>
          <t>A 840-2025</t>
        </is>
      </c>
      <c r="B113" s="1" t="n">
        <v>45665</v>
      </c>
      <c r="C113" s="1" t="n">
        <v>46186</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42029-2025</t>
        </is>
      </c>
      <c r="B114" s="1" t="n">
        <v>45903</v>
      </c>
      <c r="C114" s="1" t="n">
        <v>46186</v>
      </c>
      <c r="D114" t="inlineStr">
        <is>
          <t>UPPSALA LÄN</t>
        </is>
      </c>
      <c r="E114" t="inlineStr">
        <is>
          <t>ENKÖPING</t>
        </is>
      </c>
      <c r="G114" t="n">
        <v>1.8</v>
      </c>
      <c r="H114" t="n">
        <v>0</v>
      </c>
      <c r="I114" t="n">
        <v>0</v>
      </c>
      <c r="J114" t="n">
        <v>0</v>
      </c>
      <c r="K114" t="n">
        <v>0</v>
      </c>
      <c r="L114" t="n">
        <v>0</v>
      </c>
      <c r="M114" t="n">
        <v>0</v>
      </c>
      <c r="N114" t="n">
        <v>0</v>
      </c>
      <c r="O114" t="n">
        <v>0</v>
      </c>
      <c r="P114" t="n">
        <v>0</v>
      </c>
      <c r="Q114" t="n">
        <v>0</v>
      </c>
      <c r="R114" s="2" t="inlineStr"/>
    </row>
    <row r="115" ht="15" customHeight="1">
      <c r="A115" t="inlineStr">
        <is>
          <t>A 30087-2024</t>
        </is>
      </c>
      <c r="B115" s="1" t="n">
        <v>45489.39447916667</v>
      </c>
      <c r="C115" s="1" t="n">
        <v>46186</v>
      </c>
      <c r="D115" t="inlineStr">
        <is>
          <t>UPPSALA LÄN</t>
        </is>
      </c>
      <c r="E115" t="inlineStr">
        <is>
          <t>ENKÖPING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54776-2024</t>
        </is>
      </c>
      <c r="B116" s="1" t="n">
        <v>45618</v>
      </c>
      <c r="C116" s="1" t="n">
        <v>46186</v>
      </c>
      <c r="D116" t="inlineStr">
        <is>
          <t>UPPSALA LÄN</t>
        </is>
      </c>
      <c r="E116" t="inlineStr">
        <is>
          <t>ENKÖPING</t>
        </is>
      </c>
      <c r="G116" t="n">
        <v>1.8</v>
      </c>
      <c r="H116" t="n">
        <v>0</v>
      </c>
      <c r="I116" t="n">
        <v>0</v>
      </c>
      <c r="J116" t="n">
        <v>0</v>
      </c>
      <c r="K116" t="n">
        <v>0</v>
      </c>
      <c r="L116" t="n">
        <v>0</v>
      </c>
      <c r="M116" t="n">
        <v>0</v>
      </c>
      <c r="N116" t="n">
        <v>0</v>
      </c>
      <c r="O116" t="n">
        <v>0</v>
      </c>
      <c r="P116" t="n">
        <v>0</v>
      </c>
      <c r="Q116" t="n">
        <v>0</v>
      </c>
      <c r="R116" s="2" t="inlineStr"/>
    </row>
    <row r="117" ht="15" customHeight="1">
      <c r="A117" t="inlineStr">
        <is>
          <t>A 14518-2025</t>
        </is>
      </c>
      <c r="B117" s="1" t="n">
        <v>45741</v>
      </c>
      <c r="C117" s="1" t="n">
        <v>46186</v>
      </c>
      <c r="D117" t="inlineStr">
        <is>
          <t>UPPSALA LÄN</t>
        </is>
      </c>
      <c r="E117" t="inlineStr">
        <is>
          <t>ENKÖPING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37115-2024</t>
        </is>
      </c>
      <c r="B118" s="1" t="n">
        <v>45539</v>
      </c>
      <c r="C118" s="1" t="n">
        <v>46186</v>
      </c>
      <c r="D118" t="inlineStr">
        <is>
          <t>UPPSALA LÄN</t>
        </is>
      </c>
      <c r="E118" t="inlineStr">
        <is>
          <t>ENKÖPING</t>
        </is>
      </c>
      <c r="G118" t="n">
        <v>1.8</v>
      </c>
      <c r="H118" t="n">
        <v>0</v>
      </c>
      <c r="I118" t="n">
        <v>0</v>
      </c>
      <c r="J118" t="n">
        <v>0</v>
      </c>
      <c r="K118" t="n">
        <v>0</v>
      </c>
      <c r="L118" t="n">
        <v>0</v>
      </c>
      <c r="M118" t="n">
        <v>0</v>
      </c>
      <c r="N118" t="n">
        <v>0</v>
      </c>
      <c r="O118" t="n">
        <v>0</v>
      </c>
      <c r="P118" t="n">
        <v>0</v>
      </c>
      <c r="Q118" t="n">
        <v>0</v>
      </c>
      <c r="R118" s="2" t="inlineStr"/>
    </row>
    <row r="119" ht="15" customHeight="1">
      <c r="A119" t="inlineStr">
        <is>
          <t>A 47516-2022</t>
        </is>
      </c>
      <c r="B119" s="1" t="n">
        <v>44853.68895833333</v>
      </c>
      <c r="C119" s="1" t="n">
        <v>46186</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22800-2025</t>
        </is>
      </c>
      <c r="B120" s="1" t="n">
        <v>45789.6669212963</v>
      </c>
      <c r="C120" s="1" t="n">
        <v>46186</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6981-2025</t>
        </is>
      </c>
      <c r="B121" s="1" t="n">
        <v>45701</v>
      </c>
      <c r="C121" s="1" t="n">
        <v>46186</v>
      </c>
      <c r="D121" t="inlineStr">
        <is>
          <t>UPPSALA LÄN</t>
        </is>
      </c>
      <c r="E121" t="inlineStr">
        <is>
          <t>ENKÖPING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68123-2021</t>
        </is>
      </c>
      <c r="B122" s="1" t="n">
        <v>44526.39126157408</v>
      </c>
      <c r="C122" s="1" t="n">
        <v>46186</v>
      </c>
      <c r="D122" t="inlineStr">
        <is>
          <t>UPPSALA LÄN</t>
        </is>
      </c>
      <c r="E122" t="inlineStr">
        <is>
          <t>ENKÖPING</t>
        </is>
      </c>
      <c r="G122" t="n">
        <v>0.9</v>
      </c>
      <c r="H122" t="n">
        <v>0</v>
      </c>
      <c r="I122" t="n">
        <v>0</v>
      </c>
      <c r="J122" t="n">
        <v>0</v>
      </c>
      <c r="K122" t="n">
        <v>0</v>
      </c>
      <c r="L122" t="n">
        <v>0</v>
      </c>
      <c r="M122" t="n">
        <v>0</v>
      </c>
      <c r="N122" t="n">
        <v>0</v>
      </c>
      <c r="O122" t="n">
        <v>0</v>
      </c>
      <c r="P122" t="n">
        <v>0</v>
      </c>
      <c r="Q122" t="n">
        <v>0</v>
      </c>
      <c r="R122" s="2" t="inlineStr"/>
    </row>
    <row r="123" ht="15" customHeight="1">
      <c r="A123" t="inlineStr">
        <is>
          <t>A 45142-2023</t>
        </is>
      </c>
      <c r="B123" s="1" t="n">
        <v>45191.4702662037</v>
      </c>
      <c r="C123" s="1" t="n">
        <v>46186</v>
      </c>
      <c r="D123" t="inlineStr">
        <is>
          <t>UPPSALA LÄN</t>
        </is>
      </c>
      <c r="E123" t="inlineStr">
        <is>
          <t>ENKÖPING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22680-2025</t>
        </is>
      </c>
      <c r="B124" s="1" t="n">
        <v>45789.5005787037</v>
      </c>
      <c r="C124" s="1" t="n">
        <v>46186</v>
      </c>
      <c r="D124" t="inlineStr">
        <is>
          <t>UPPSALA LÄN</t>
        </is>
      </c>
      <c r="E124" t="inlineStr">
        <is>
          <t>ENKÖPING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22802-2025</t>
        </is>
      </c>
      <c r="B125" s="1" t="n">
        <v>45789.6686574074</v>
      </c>
      <c r="C125" s="1" t="n">
        <v>46186</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31242-2024</t>
        </is>
      </c>
      <c r="B126" s="1" t="n">
        <v>45503</v>
      </c>
      <c r="C126" s="1" t="n">
        <v>46186</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22632-2025</t>
        </is>
      </c>
      <c r="B127" s="1" t="n">
        <v>45789.44361111111</v>
      </c>
      <c r="C127" s="1" t="n">
        <v>46186</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22795-2025</t>
        </is>
      </c>
      <c r="B128" s="1" t="n">
        <v>45789.65944444444</v>
      </c>
      <c r="C128" s="1" t="n">
        <v>46186</v>
      </c>
      <c r="D128" t="inlineStr">
        <is>
          <t>UPPSALA LÄN</t>
        </is>
      </c>
      <c r="E128" t="inlineStr">
        <is>
          <t>ENKÖPING</t>
        </is>
      </c>
      <c r="G128" t="n">
        <v>10.4</v>
      </c>
      <c r="H128" t="n">
        <v>0</v>
      </c>
      <c r="I128" t="n">
        <v>0</v>
      </c>
      <c r="J128" t="n">
        <v>0</v>
      </c>
      <c r="K128" t="n">
        <v>0</v>
      </c>
      <c r="L128" t="n">
        <v>0</v>
      </c>
      <c r="M128" t="n">
        <v>0</v>
      </c>
      <c r="N128" t="n">
        <v>0</v>
      </c>
      <c r="O128" t="n">
        <v>0</v>
      </c>
      <c r="P128" t="n">
        <v>0</v>
      </c>
      <c r="Q128" t="n">
        <v>0</v>
      </c>
      <c r="R128" s="2" t="inlineStr"/>
    </row>
    <row r="129" ht="15" customHeight="1">
      <c r="A129" t="inlineStr">
        <is>
          <t>A 845-2025</t>
        </is>
      </c>
      <c r="B129" s="1" t="n">
        <v>45665</v>
      </c>
      <c r="C129" s="1" t="n">
        <v>46186</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849-2025</t>
        </is>
      </c>
      <c r="B130" s="1" t="n">
        <v>45665</v>
      </c>
      <c r="C130" s="1" t="n">
        <v>46186</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57294-2025</t>
        </is>
      </c>
      <c r="B131" s="1" t="n">
        <v>45979</v>
      </c>
      <c r="C131" s="1" t="n">
        <v>46186</v>
      </c>
      <c r="D131" t="inlineStr">
        <is>
          <t>UPPSALA LÄN</t>
        </is>
      </c>
      <c r="E131" t="inlineStr">
        <is>
          <t>ENKÖPING</t>
        </is>
      </c>
      <c r="G131" t="n">
        <v>6.2</v>
      </c>
      <c r="H131" t="n">
        <v>0</v>
      </c>
      <c r="I131" t="n">
        <v>0</v>
      </c>
      <c r="J131" t="n">
        <v>0</v>
      </c>
      <c r="K131" t="n">
        <v>0</v>
      </c>
      <c r="L131" t="n">
        <v>0</v>
      </c>
      <c r="M131" t="n">
        <v>0</v>
      </c>
      <c r="N131" t="n">
        <v>0</v>
      </c>
      <c r="O131" t="n">
        <v>0</v>
      </c>
      <c r="P131" t="n">
        <v>0</v>
      </c>
      <c r="Q131" t="n">
        <v>0</v>
      </c>
      <c r="R131" s="2" t="inlineStr"/>
    </row>
    <row r="132" ht="15" customHeight="1">
      <c r="A132" t="inlineStr">
        <is>
          <t>A 62158-2023</t>
        </is>
      </c>
      <c r="B132" s="1" t="n">
        <v>45267</v>
      </c>
      <c r="C132" s="1" t="n">
        <v>46186</v>
      </c>
      <c r="D132" t="inlineStr">
        <is>
          <t>UPPSALA LÄN</t>
        </is>
      </c>
      <c r="E132" t="inlineStr">
        <is>
          <t>ENKÖPING</t>
        </is>
      </c>
      <c r="G132" t="n">
        <v>1.4</v>
      </c>
      <c r="H132" t="n">
        <v>0</v>
      </c>
      <c r="I132" t="n">
        <v>0</v>
      </c>
      <c r="J132" t="n">
        <v>0</v>
      </c>
      <c r="K132" t="n">
        <v>0</v>
      </c>
      <c r="L132" t="n">
        <v>0</v>
      </c>
      <c r="M132" t="n">
        <v>0</v>
      </c>
      <c r="N132" t="n">
        <v>0</v>
      </c>
      <c r="O132" t="n">
        <v>0</v>
      </c>
      <c r="P132" t="n">
        <v>0</v>
      </c>
      <c r="Q132" t="n">
        <v>0</v>
      </c>
      <c r="R132" s="2" t="inlineStr"/>
    </row>
    <row r="133" ht="15" customHeight="1">
      <c r="A133" t="inlineStr">
        <is>
          <t>A 60350-2022</t>
        </is>
      </c>
      <c r="B133" s="1" t="n">
        <v>44910</v>
      </c>
      <c r="C133" s="1" t="n">
        <v>46186</v>
      </c>
      <c r="D133" t="inlineStr">
        <is>
          <t>UPPSALA LÄN</t>
        </is>
      </c>
      <c r="E133" t="inlineStr">
        <is>
          <t>ENKÖPING</t>
        </is>
      </c>
      <c r="F133" t="inlineStr">
        <is>
          <t>Allmännings- och besparingsskogar</t>
        </is>
      </c>
      <c r="G133" t="n">
        <v>3.5</v>
      </c>
      <c r="H133" t="n">
        <v>0</v>
      </c>
      <c r="I133" t="n">
        <v>0</v>
      </c>
      <c r="J133" t="n">
        <v>0</v>
      </c>
      <c r="K133" t="n">
        <v>0</v>
      </c>
      <c r="L133" t="n">
        <v>0</v>
      </c>
      <c r="M133" t="n">
        <v>0</v>
      </c>
      <c r="N133" t="n">
        <v>0</v>
      </c>
      <c r="O133" t="n">
        <v>0</v>
      </c>
      <c r="P133" t="n">
        <v>0</v>
      </c>
      <c r="Q133" t="n">
        <v>0</v>
      </c>
      <c r="R133" s="2" t="inlineStr"/>
    </row>
    <row r="134" ht="15" customHeight="1">
      <c r="A134" t="inlineStr">
        <is>
          <t>A 35647-2021</t>
        </is>
      </c>
      <c r="B134" s="1" t="n">
        <v>44386</v>
      </c>
      <c r="C134" s="1" t="n">
        <v>46186</v>
      </c>
      <c r="D134" t="inlineStr">
        <is>
          <t>UPPSALA LÄN</t>
        </is>
      </c>
      <c r="E134" t="inlineStr">
        <is>
          <t>ENKÖPING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57188-2025</t>
        </is>
      </c>
      <c r="B135" s="1" t="n">
        <v>45979</v>
      </c>
      <c r="C135" s="1" t="n">
        <v>46186</v>
      </c>
      <c r="D135" t="inlineStr">
        <is>
          <t>UPPSALA LÄN</t>
        </is>
      </c>
      <c r="E135" t="inlineStr">
        <is>
          <t>ENKÖPING</t>
        </is>
      </c>
      <c r="G135" t="n">
        <v>1.7</v>
      </c>
      <c r="H135" t="n">
        <v>0</v>
      </c>
      <c r="I135" t="n">
        <v>0</v>
      </c>
      <c r="J135" t="n">
        <v>0</v>
      </c>
      <c r="K135" t="n">
        <v>0</v>
      </c>
      <c r="L135" t="n">
        <v>0</v>
      </c>
      <c r="M135" t="n">
        <v>0</v>
      </c>
      <c r="N135" t="n">
        <v>0</v>
      </c>
      <c r="O135" t="n">
        <v>0</v>
      </c>
      <c r="P135" t="n">
        <v>0</v>
      </c>
      <c r="Q135" t="n">
        <v>0</v>
      </c>
      <c r="R135" s="2" t="inlineStr"/>
    </row>
    <row r="136" ht="15" customHeight="1">
      <c r="A136" t="inlineStr">
        <is>
          <t>A 22981-2025</t>
        </is>
      </c>
      <c r="B136" s="1" t="n">
        <v>45790.56964120371</v>
      </c>
      <c r="C136" s="1" t="n">
        <v>46186</v>
      </c>
      <c r="D136" t="inlineStr">
        <is>
          <t>UPPSALA LÄN</t>
        </is>
      </c>
      <c r="E136" t="inlineStr">
        <is>
          <t>ENKÖPING</t>
        </is>
      </c>
      <c r="G136" t="n">
        <v>1.5</v>
      </c>
      <c r="H136" t="n">
        <v>0</v>
      </c>
      <c r="I136" t="n">
        <v>0</v>
      </c>
      <c r="J136" t="n">
        <v>0</v>
      </c>
      <c r="K136" t="n">
        <v>0</v>
      </c>
      <c r="L136" t="n">
        <v>0</v>
      </c>
      <c r="M136" t="n">
        <v>0</v>
      </c>
      <c r="N136" t="n">
        <v>0</v>
      </c>
      <c r="O136" t="n">
        <v>0</v>
      </c>
      <c r="P136" t="n">
        <v>0</v>
      </c>
      <c r="Q136" t="n">
        <v>0</v>
      </c>
      <c r="R136" s="2" t="inlineStr"/>
    </row>
    <row r="137" ht="15" customHeight="1">
      <c r="A137" t="inlineStr">
        <is>
          <t>A 45755-2025</t>
        </is>
      </c>
      <c r="B137" s="1" t="n">
        <v>45923.50240740741</v>
      </c>
      <c r="C137" s="1" t="n">
        <v>46186</v>
      </c>
      <c r="D137" t="inlineStr">
        <is>
          <t>UPPSALA LÄN</t>
        </is>
      </c>
      <c r="E137" t="inlineStr">
        <is>
          <t>ENKÖPING</t>
        </is>
      </c>
      <c r="G137" t="n">
        <v>2.2</v>
      </c>
      <c r="H137" t="n">
        <v>0</v>
      </c>
      <c r="I137" t="n">
        <v>0</v>
      </c>
      <c r="J137" t="n">
        <v>0</v>
      </c>
      <c r="K137" t="n">
        <v>0</v>
      </c>
      <c r="L137" t="n">
        <v>0</v>
      </c>
      <c r="M137" t="n">
        <v>0</v>
      </c>
      <c r="N137" t="n">
        <v>0</v>
      </c>
      <c r="O137" t="n">
        <v>0</v>
      </c>
      <c r="P137" t="n">
        <v>0</v>
      </c>
      <c r="Q137" t="n">
        <v>0</v>
      </c>
      <c r="R137" s="2" t="inlineStr"/>
    </row>
    <row r="138" ht="15" customHeight="1">
      <c r="A138" t="inlineStr">
        <is>
          <t>A 59668-2025</t>
        </is>
      </c>
      <c r="B138" s="1" t="n">
        <v>45992.45567129629</v>
      </c>
      <c r="C138" s="1" t="n">
        <v>46186</v>
      </c>
      <c r="D138" t="inlineStr">
        <is>
          <t>UPPSALA LÄN</t>
        </is>
      </c>
      <c r="E138" t="inlineStr">
        <is>
          <t>ENKÖPING</t>
        </is>
      </c>
      <c r="G138" t="n">
        <v>3.3</v>
      </c>
      <c r="H138" t="n">
        <v>0</v>
      </c>
      <c r="I138" t="n">
        <v>0</v>
      </c>
      <c r="J138" t="n">
        <v>0</v>
      </c>
      <c r="K138" t="n">
        <v>0</v>
      </c>
      <c r="L138" t="n">
        <v>0</v>
      </c>
      <c r="M138" t="n">
        <v>0</v>
      </c>
      <c r="N138" t="n">
        <v>0</v>
      </c>
      <c r="O138" t="n">
        <v>0</v>
      </c>
      <c r="P138" t="n">
        <v>0</v>
      </c>
      <c r="Q138" t="n">
        <v>0</v>
      </c>
      <c r="R138" s="2" t="inlineStr"/>
    </row>
    <row r="139" ht="15" customHeight="1">
      <c r="A139" t="inlineStr">
        <is>
          <t>A 59964-2025</t>
        </is>
      </c>
      <c r="B139" s="1" t="n">
        <v>45993.48043981481</v>
      </c>
      <c r="C139" s="1" t="n">
        <v>46186</v>
      </c>
      <c r="D139" t="inlineStr">
        <is>
          <t>UPPSALA LÄN</t>
        </is>
      </c>
      <c r="E139" t="inlineStr">
        <is>
          <t>ENKÖPING</t>
        </is>
      </c>
      <c r="G139" t="n">
        <v>2.1</v>
      </c>
      <c r="H139" t="n">
        <v>0</v>
      </c>
      <c r="I139" t="n">
        <v>0</v>
      </c>
      <c r="J139" t="n">
        <v>0</v>
      </c>
      <c r="K139" t="n">
        <v>0</v>
      </c>
      <c r="L139" t="n">
        <v>0</v>
      </c>
      <c r="M139" t="n">
        <v>0</v>
      </c>
      <c r="N139" t="n">
        <v>0</v>
      </c>
      <c r="O139" t="n">
        <v>0</v>
      </c>
      <c r="P139" t="n">
        <v>0</v>
      </c>
      <c r="Q139" t="n">
        <v>0</v>
      </c>
      <c r="R139" s="2" t="inlineStr"/>
    </row>
    <row r="140" ht="15" customHeight="1">
      <c r="A140" t="inlineStr">
        <is>
          <t>A 10458-2022</t>
        </is>
      </c>
      <c r="B140" s="1" t="n">
        <v>44623.56711805556</v>
      </c>
      <c r="C140" s="1" t="n">
        <v>46186</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44115-2024</t>
        </is>
      </c>
      <c r="B141" s="1" t="n">
        <v>45572</v>
      </c>
      <c r="C141" s="1" t="n">
        <v>46186</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60340-2025</t>
        </is>
      </c>
      <c r="B142" s="1" t="n">
        <v>45994.83415509259</v>
      </c>
      <c r="C142" s="1" t="n">
        <v>46186</v>
      </c>
      <c r="D142" t="inlineStr">
        <is>
          <t>UPPSALA LÄN</t>
        </is>
      </c>
      <c r="E142" t="inlineStr">
        <is>
          <t>ENKÖPING</t>
        </is>
      </c>
      <c r="G142" t="n">
        <v>5.6</v>
      </c>
      <c r="H142" t="n">
        <v>0</v>
      </c>
      <c r="I142" t="n">
        <v>0</v>
      </c>
      <c r="J142" t="n">
        <v>0</v>
      </c>
      <c r="K142" t="n">
        <v>0</v>
      </c>
      <c r="L142" t="n">
        <v>0</v>
      </c>
      <c r="M142" t="n">
        <v>0</v>
      </c>
      <c r="N142" t="n">
        <v>0</v>
      </c>
      <c r="O142" t="n">
        <v>0</v>
      </c>
      <c r="P142" t="n">
        <v>0</v>
      </c>
      <c r="Q142" t="n">
        <v>0</v>
      </c>
      <c r="R142" s="2" t="inlineStr"/>
    </row>
    <row r="143" ht="15" customHeight="1">
      <c r="A143" t="inlineStr">
        <is>
          <t>A 60174-2025</t>
        </is>
      </c>
      <c r="B143" s="1" t="n">
        <v>45994.45039351852</v>
      </c>
      <c r="C143" s="1" t="n">
        <v>46186</v>
      </c>
      <c r="D143" t="inlineStr">
        <is>
          <t>UPPSALA LÄN</t>
        </is>
      </c>
      <c r="E143" t="inlineStr">
        <is>
          <t>ENKÖPING</t>
        </is>
      </c>
      <c r="G143" t="n">
        <v>2.8</v>
      </c>
      <c r="H143" t="n">
        <v>0</v>
      </c>
      <c r="I143" t="n">
        <v>0</v>
      </c>
      <c r="J143" t="n">
        <v>0</v>
      </c>
      <c r="K143" t="n">
        <v>0</v>
      </c>
      <c r="L143" t="n">
        <v>0</v>
      </c>
      <c r="M143" t="n">
        <v>0</v>
      </c>
      <c r="N143" t="n">
        <v>0</v>
      </c>
      <c r="O143" t="n">
        <v>0</v>
      </c>
      <c r="P143" t="n">
        <v>0</v>
      </c>
      <c r="Q143" t="n">
        <v>0</v>
      </c>
      <c r="R143" s="2" t="inlineStr"/>
    </row>
    <row r="144" ht="15" customHeight="1">
      <c r="A144" t="inlineStr">
        <is>
          <t>A 60175-2025</t>
        </is>
      </c>
      <c r="B144" s="1" t="n">
        <v>45994.45378472222</v>
      </c>
      <c r="C144" s="1" t="n">
        <v>46186</v>
      </c>
      <c r="D144" t="inlineStr">
        <is>
          <t>UPPSALA LÄN</t>
        </is>
      </c>
      <c r="E144" t="inlineStr">
        <is>
          <t>ENKÖPING</t>
        </is>
      </c>
      <c r="G144" t="n">
        <v>2.4</v>
      </c>
      <c r="H144" t="n">
        <v>0</v>
      </c>
      <c r="I144" t="n">
        <v>0</v>
      </c>
      <c r="J144" t="n">
        <v>0</v>
      </c>
      <c r="K144" t="n">
        <v>0</v>
      </c>
      <c r="L144" t="n">
        <v>0</v>
      </c>
      <c r="M144" t="n">
        <v>0</v>
      </c>
      <c r="N144" t="n">
        <v>0</v>
      </c>
      <c r="O144" t="n">
        <v>0</v>
      </c>
      <c r="P144" t="n">
        <v>0</v>
      </c>
      <c r="Q144" t="n">
        <v>0</v>
      </c>
      <c r="R144" s="2" t="inlineStr"/>
    </row>
    <row r="145" ht="15" customHeight="1">
      <c r="A145" t="inlineStr">
        <is>
          <t>A 60947-2025</t>
        </is>
      </c>
      <c r="B145" s="1" t="n">
        <v>45999</v>
      </c>
      <c r="C145" s="1" t="n">
        <v>46186</v>
      </c>
      <c r="D145" t="inlineStr">
        <is>
          <t>UPPSALA LÄN</t>
        </is>
      </c>
      <c r="E145" t="inlineStr">
        <is>
          <t>ENKÖPING</t>
        </is>
      </c>
      <c r="G145" t="n">
        <v>4</v>
      </c>
      <c r="H145" t="n">
        <v>0</v>
      </c>
      <c r="I145" t="n">
        <v>0</v>
      </c>
      <c r="J145" t="n">
        <v>0</v>
      </c>
      <c r="K145" t="n">
        <v>0</v>
      </c>
      <c r="L145" t="n">
        <v>0</v>
      </c>
      <c r="M145" t="n">
        <v>0</v>
      </c>
      <c r="N145" t="n">
        <v>0</v>
      </c>
      <c r="O145" t="n">
        <v>0</v>
      </c>
      <c r="P145" t="n">
        <v>0</v>
      </c>
      <c r="Q145" t="n">
        <v>0</v>
      </c>
      <c r="R145" s="2" t="inlineStr"/>
    </row>
    <row r="146" ht="15" customHeight="1">
      <c r="A146" t="inlineStr">
        <is>
          <t>A 46590-2025</t>
        </is>
      </c>
      <c r="B146" s="1" t="n">
        <v>45926.39542824074</v>
      </c>
      <c r="C146" s="1" t="n">
        <v>46186</v>
      </c>
      <c r="D146" t="inlineStr">
        <is>
          <t>UPPSALA LÄN</t>
        </is>
      </c>
      <c r="E146" t="inlineStr">
        <is>
          <t>ENKÖPING</t>
        </is>
      </c>
      <c r="G146" t="n">
        <v>2.7</v>
      </c>
      <c r="H146" t="n">
        <v>0</v>
      </c>
      <c r="I146" t="n">
        <v>0</v>
      </c>
      <c r="J146" t="n">
        <v>0</v>
      </c>
      <c r="K146" t="n">
        <v>0</v>
      </c>
      <c r="L146" t="n">
        <v>0</v>
      </c>
      <c r="M146" t="n">
        <v>0</v>
      </c>
      <c r="N146" t="n">
        <v>0</v>
      </c>
      <c r="O146" t="n">
        <v>0</v>
      </c>
      <c r="P146" t="n">
        <v>0</v>
      </c>
      <c r="Q146" t="n">
        <v>0</v>
      </c>
      <c r="R146" s="2" t="inlineStr"/>
    </row>
    <row r="147" ht="15" customHeight="1">
      <c r="A147" t="inlineStr">
        <is>
          <t>A 60934-2025</t>
        </is>
      </c>
      <c r="B147" s="1" t="n">
        <v>45999</v>
      </c>
      <c r="C147" s="1" t="n">
        <v>46186</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61437-2025</t>
        </is>
      </c>
      <c r="B148" s="1" t="n">
        <v>46001.5659375</v>
      </c>
      <c r="C148" s="1" t="n">
        <v>46186</v>
      </c>
      <c r="D148" t="inlineStr">
        <is>
          <t>UPPSALA LÄN</t>
        </is>
      </c>
      <c r="E148" t="inlineStr">
        <is>
          <t>ENKÖPING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9957-2023</t>
        </is>
      </c>
      <c r="B149" s="1" t="n">
        <v>44978</v>
      </c>
      <c r="C149" s="1" t="n">
        <v>46186</v>
      </c>
      <c r="D149" t="inlineStr">
        <is>
          <t>UPPSALA LÄN</t>
        </is>
      </c>
      <c r="E149" t="inlineStr">
        <is>
          <t>ENKÖPING</t>
        </is>
      </c>
      <c r="G149" t="n">
        <v>5.9</v>
      </c>
      <c r="H149" t="n">
        <v>0</v>
      </c>
      <c r="I149" t="n">
        <v>0</v>
      </c>
      <c r="J149" t="n">
        <v>0</v>
      </c>
      <c r="K149" t="n">
        <v>0</v>
      </c>
      <c r="L149" t="n">
        <v>0</v>
      </c>
      <c r="M149" t="n">
        <v>0</v>
      </c>
      <c r="N149" t="n">
        <v>0</v>
      </c>
      <c r="O149" t="n">
        <v>0</v>
      </c>
      <c r="P149" t="n">
        <v>0</v>
      </c>
      <c r="Q149" t="n">
        <v>0</v>
      </c>
      <c r="R149" s="2" t="inlineStr"/>
    </row>
    <row r="150" ht="15" customHeight="1">
      <c r="A150" t="inlineStr">
        <is>
          <t>A 63402-2023</t>
        </is>
      </c>
      <c r="B150" s="1" t="n">
        <v>45274.50646990741</v>
      </c>
      <c r="C150" s="1" t="n">
        <v>46186</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61889-2025</t>
        </is>
      </c>
      <c r="B151" s="1" t="n">
        <v>46003.44765046296</v>
      </c>
      <c r="C151" s="1" t="n">
        <v>46186</v>
      </c>
      <c r="D151" t="inlineStr">
        <is>
          <t>UPPSALA LÄN</t>
        </is>
      </c>
      <c r="E151" t="inlineStr">
        <is>
          <t>ENKÖPING</t>
        </is>
      </c>
      <c r="G151" t="n">
        <v>2.3</v>
      </c>
      <c r="H151" t="n">
        <v>0</v>
      </c>
      <c r="I151" t="n">
        <v>0</v>
      </c>
      <c r="J151" t="n">
        <v>0</v>
      </c>
      <c r="K151" t="n">
        <v>0</v>
      </c>
      <c r="L151" t="n">
        <v>0</v>
      </c>
      <c r="M151" t="n">
        <v>0</v>
      </c>
      <c r="N151" t="n">
        <v>0</v>
      </c>
      <c r="O151" t="n">
        <v>0</v>
      </c>
      <c r="P151" t="n">
        <v>0</v>
      </c>
      <c r="Q151" t="n">
        <v>0</v>
      </c>
      <c r="R151" s="2" t="inlineStr"/>
    </row>
    <row r="152" ht="15" customHeight="1">
      <c r="A152" t="inlineStr">
        <is>
          <t>A 16916-2023</t>
        </is>
      </c>
      <c r="B152" s="1" t="n">
        <v>45033.58347222222</v>
      </c>
      <c r="C152" s="1" t="n">
        <v>46186</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56886-2023</t>
        </is>
      </c>
      <c r="B153" s="1" t="n">
        <v>45239</v>
      </c>
      <c r="C153" s="1" t="n">
        <v>46186</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62772-2025</t>
        </is>
      </c>
      <c r="B154" s="1" t="n">
        <v>46008.60365740741</v>
      </c>
      <c r="C154" s="1" t="n">
        <v>46186</v>
      </c>
      <c r="D154" t="inlineStr">
        <is>
          <t>UPPSALA LÄN</t>
        </is>
      </c>
      <c r="E154" t="inlineStr">
        <is>
          <t>ENKÖPING</t>
        </is>
      </c>
      <c r="G154" t="n">
        <v>1.1</v>
      </c>
      <c r="H154" t="n">
        <v>0</v>
      </c>
      <c r="I154" t="n">
        <v>0</v>
      </c>
      <c r="J154" t="n">
        <v>0</v>
      </c>
      <c r="K154" t="n">
        <v>0</v>
      </c>
      <c r="L154" t="n">
        <v>0</v>
      </c>
      <c r="M154" t="n">
        <v>0</v>
      </c>
      <c r="N154" t="n">
        <v>0</v>
      </c>
      <c r="O154" t="n">
        <v>0</v>
      </c>
      <c r="P154" t="n">
        <v>0</v>
      </c>
      <c r="Q154" t="n">
        <v>0</v>
      </c>
      <c r="R154" s="2" t="inlineStr"/>
    </row>
    <row r="155" ht="15" customHeight="1">
      <c r="A155" t="inlineStr">
        <is>
          <t>A 63128-2025</t>
        </is>
      </c>
      <c r="B155" s="1" t="n">
        <v>46009</v>
      </c>
      <c r="C155" s="1" t="n">
        <v>46186</v>
      </c>
      <c r="D155" t="inlineStr">
        <is>
          <t>UPPSALA LÄN</t>
        </is>
      </c>
      <c r="E155" t="inlineStr">
        <is>
          <t>ENKÖPING</t>
        </is>
      </c>
      <c r="G155" t="n">
        <v>0.9</v>
      </c>
      <c r="H155" t="n">
        <v>0</v>
      </c>
      <c r="I155" t="n">
        <v>0</v>
      </c>
      <c r="J155" t="n">
        <v>0</v>
      </c>
      <c r="K155" t="n">
        <v>0</v>
      </c>
      <c r="L155" t="n">
        <v>0</v>
      </c>
      <c r="M155" t="n">
        <v>0</v>
      </c>
      <c r="N155" t="n">
        <v>0</v>
      </c>
      <c r="O155" t="n">
        <v>0</v>
      </c>
      <c r="P155" t="n">
        <v>0</v>
      </c>
      <c r="Q155" t="n">
        <v>0</v>
      </c>
      <c r="R155" s="2" t="inlineStr"/>
    </row>
    <row r="156" ht="15" customHeight="1">
      <c r="A156" t="inlineStr">
        <is>
          <t>A 62600-2025</t>
        </is>
      </c>
      <c r="B156" s="1" t="n">
        <v>46007.92175925926</v>
      </c>
      <c r="C156" s="1" t="n">
        <v>46186</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62602-2025</t>
        </is>
      </c>
      <c r="B157" s="1" t="n">
        <v>46007.92581018519</v>
      </c>
      <c r="C157" s="1" t="n">
        <v>46186</v>
      </c>
      <c r="D157" t="inlineStr">
        <is>
          <t>UPPSALA LÄN</t>
        </is>
      </c>
      <c r="E157" t="inlineStr">
        <is>
          <t>ENKÖPING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62601-2025</t>
        </is>
      </c>
      <c r="B158" s="1" t="n">
        <v>46007.92395833333</v>
      </c>
      <c r="C158" s="1" t="n">
        <v>46186</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45956-2024</t>
        </is>
      </c>
      <c r="B159" s="1" t="n">
        <v>45580</v>
      </c>
      <c r="C159" s="1" t="n">
        <v>46186</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6356-2022</t>
        </is>
      </c>
      <c r="B160" s="1" t="n">
        <v>44600</v>
      </c>
      <c r="C160" s="1" t="n">
        <v>46186</v>
      </c>
      <c r="D160" t="inlineStr">
        <is>
          <t>UPPSALA LÄN</t>
        </is>
      </c>
      <c r="E160" t="inlineStr">
        <is>
          <t>ENKÖPING</t>
        </is>
      </c>
      <c r="G160" t="n">
        <v>1.2</v>
      </c>
      <c r="H160" t="n">
        <v>0</v>
      </c>
      <c r="I160" t="n">
        <v>0</v>
      </c>
      <c r="J160" t="n">
        <v>0</v>
      </c>
      <c r="K160" t="n">
        <v>0</v>
      </c>
      <c r="L160" t="n">
        <v>0</v>
      </c>
      <c r="M160" t="n">
        <v>0</v>
      </c>
      <c r="N160" t="n">
        <v>0</v>
      </c>
      <c r="O160" t="n">
        <v>0</v>
      </c>
      <c r="P160" t="n">
        <v>0</v>
      </c>
      <c r="Q160" t="n">
        <v>0</v>
      </c>
      <c r="R160" s="2" t="inlineStr"/>
    </row>
    <row r="161" ht="15" customHeight="1">
      <c r="A161" t="inlineStr">
        <is>
          <t>A 60848-2025</t>
        </is>
      </c>
      <c r="B161" s="1" t="n">
        <v>45999</v>
      </c>
      <c r="C161" s="1" t="n">
        <v>46186</v>
      </c>
      <c r="D161" t="inlineStr">
        <is>
          <t>UPPSALA LÄN</t>
        </is>
      </c>
      <c r="E161" t="inlineStr">
        <is>
          <t>ENKÖPING</t>
        </is>
      </c>
      <c r="G161" t="n">
        <v>2.5</v>
      </c>
      <c r="H161" t="n">
        <v>0</v>
      </c>
      <c r="I161" t="n">
        <v>0</v>
      </c>
      <c r="J161" t="n">
        <v>0</v>
      </c>
      <c r="K161" t="n">
        <v>0</v>
      </c>
      <c r="L161" t="n">
        <v>0</v>
      </c>
      <c r="M161" t="n">
        <v>0</v>
      </c>
      <c r="N161" t="n">
        <v>0</v>
      </c>
      <c r="O161" t="n">
        <v>0</v>
      </c>
      <c r="P161" t="n">
        <v>0</v>
      </c>
      <c r="Q161" t="n">
        <v>0</v>
      </c>
      <c r="R161" s="2" t="inlineStr"/>
    </row>
    <row r="162" ht="15" customHeight="1">
      <c r="A162" t="inlineStr">
        <is>
          <t>A 192-2026</t>
        </is>
      </c>
      <c r="B162" s="1" t="n">
        <v>46025</v>
      </c>
      <c r="C162" s="1" t="n">
        <v>46186</v>
      </c>
      <c r="D162" t="inlineStr">
        <is>
          <t>UPPSALA LÄN</t>
        </is>
      </c>
      <c r="E162" t="inlineStr">
        <is>
          <t>ENKÖPING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8020-2022</t>
        </is>
      </c>
      <c r="B163" s="1" t="n">
        <v>44609</v>
      </c>
      <c r="C163" s="1" t="n">
        <v>46186</v>
      </c>
      <c r="D163" t="inlineStr">
        <is>
          <t>UPPSALA LÄN</t>
        </is>
      </c>
      <c r="E163" t="inlineStr">
        <is>
          <t>ENKÖPING</t>
        </is>
      </c>
      <c r="G163" t="n">
        <v>6</v>
      </c>
      <c r="H163" t="n">
        <v>0</v>
      </c>
      <c r="I163" t="n">
        <v>0</v>
      </c>
      <c r="J163" t="n">
        <v>0</v>
      </c>
      <c r="K163" t="n">
        <v>0</v>
      </c>
      <c r="L163" t="n">
        <v>0</v>
      </c>
      <c r="M163" t="n">
        <v>0</v>
      </c>
      <c r="N163" t="n">
        <v>0</v>
      </c>
      <c r="O163" t="n">
        <v>0</v>
      </c>
      <c r="P163" t="n">
        <v>0</v>
      </c>
      <c r="Q163" t="n">
        <v>0</v>
      </c>
      <c r="R163" s="2" t="inlineStr"/>
    </row>
    <row r="164" ht="15" customHeight="1">
      <c r="A164" t="inlineStr">
        <is>
          <t>A 74090-2021</t>
        </is>
      </c>
      <c r="B164" s="1" t="n">
        <v>44557</v>
      </c>
      <c r="C164" s="1" t="n">
        <v>46186</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34805-2024</t>
        </is>
      </c>
      <c r="B165" s="1" t="n">
        <v>45526</v>
      </c>
      <c r="C165" s="1" t="n">
        <v>46186</v>
      </c>
      <c r="D165" t="inlineStr">
        <is>
          <t>UPPSALA LÄN</t>
        </is>
      </c>
      <c r="E165" t="inlineStr">
        <is>
          <t>ENKÖPING</t>
        </is>
      </c>
      <c r="G165" t="n">
        <v>3.6</v>
      </c>
      <c r="H165" t="n">
        <v>0</v>
      </c>
      <c r="I165" t="n">
        <v>0</v>
      </c>
      <c r="J165" t="n">
        <v>0</v>
      </c>
      <c r="K165" t="n">
        <v>0</v>
      </c>
      <c r="L165" t="n">
        <v>0</v>
      </c>
      <c r="M165" t="n">
        <v>0</v>
      </c>
      <c r="N165" t="n">
        <v>0</v>
      </c>
      <c r="O165" t="n">
        <v>0</v>
      </c>
      <c r="P165" t="n">
        <v>0</v>
      </c>
      <c r="Q165" t="n">
        <v>0</v>
      </c>
      <c r="R165" s="2" t="inlineStr"/>
    </row>
    <row r="166" ht="15" customHeight="1">
      <c r="A166" t="inlineStr">
        <is>
          <t>A 17729-2023</t>
        </is>
      </c>
      <c r="B166" s="1" t="n">
        <v>45037</v>
      </c>
      <c r="C166" s="1" t="n">
        <v>46186</v>
      </c>
      <c r="D166" t="inlineStr">
        <is>
          <t>UPPSALA LÄN</t>
        </is>
      </c>
      <c r="E166" t="inlineStr">
        <is>
          <t>ENKÖPING</t>
        </is>
      </c>
      <c r="G166" t="n">
        <v>10.2</v>
      </c>
      <c r="H166" t="n">
        <v>0</v>
      </c>
      <c r="I166" t="n">
        <v>0</v>
      </c>
      <c r="J166" t="n">
        <v>0</v>
      </c>
      <c r="K166" t="n">
        <v>0</v>
      </c>
      <c r="L166" t="n">
        <v>0</v>
      </c>
      <c r="M166" t="n">
        <v>0</v>
      </c>
      <c r="N166" t="n">
        <v>0</v>
      </c>
      <c r="O166" t="n">
        <v>0</v>
      </c>
      <c r="P166" t="n">
        <v>0</v>
      </c>
      <c r="Q166" t="n">
        <v>0</v>
      </c>
      <c r="R166" s="2" t="inlineStr"/>
    </row>
    <row r="167" ht="15" customHeight="1">
      <c r="A167" t="inlineStr">
        <is>
          <t>A 5712-2025</t>
        </is>
      </c>
      <c r="B167" s="1" t="n">
        <v>45694</v>
      </c>
      <c r="C167" s="1" t="n">
        <v>46186</v>
      </c>
      <c r="D167" t="inlineStr">
        <is>
          <t>UPPSALA LÄN</t>
        </is>
      </c>
      <c r="E167" t="inlineStr">
        <is>
          <t>ENKÖPING</t>
        </is>
      </c>
      <c r="G167" t="n">
        <v>5.1</v>
      </c>
      <c r="H167" t="n">
        <v>0</v>
      </c>
      <c r="I167" t="n">
        <v>0</v>
      </c>
      <c r="J167" t="n">
        <v>0</v>
      </c>
      <c r="K167" t="n">
        <v>0</v>
      </c>
      <c r="L167" t="n">
        <v>0</v>
      </c>
      <c r="M167" t="n">
        <v>0</v>
      </c>
      <c r="N167" t="n">
        <v>0</v>
      </c>
      <c r="O167" t="n">
        <v>0</v>
      </c>
      <c r="P167" t="n">
        <v>0</v>
      </c>
      <c r="Q167" t="n">
        <v>0</v>
      </c>
      <c r="R167" s="2" t="inlineStr"/>
    </row>
    <row r="168" ht="15" customHeight="1">
      <c r="A168" t="inlineStr">
        <is>
          <t>A 5749-2025</t>
        </is>
      </c>
      <c r="B168" s="1" t="n">
        <v>45694</v>
      </c>
      <c r="C168" s="1" t="n">
        <v>46186</v>
      </c>
      <c r="D168" t="inlineStr">
        <is>
          <t>UPPSALA LÄN</t>
        </is>
      </c>
      <c r="E168" t="inlineStr">
        <is>
          <t>ENKÖPING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861-2026</t>
        </is>
      </c>
      <c r="B169" s="1" t="n">
        <v>46030</v>
      </c>
      <c r="C169" s="1" t="n">
        <v>46186</v>
      </c>
      <c r="D169" t="inlineStr">
        <is>
          <t>UPPSALA LÄN</t>
        </is>
      </c>
      <c r="E169" t="inlineStr">
        <is>
          <t>ENKÖPING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314-2025</t>
        </is>
      </c>
      <c r="B170" s="1" t="n">
        <v>45656</v>
      </c>
      <c r="C170" s="1" t="n">
        <v>46186</v>
      </c>
      <c r="D170" t="inlineStr">
        <is>
          <t>UPPSALA LÄN</t>
        </is>
      </c>
      <c r="E170" t="inlineStr">
        <is>
          <t>ENKÖPING</t>
        </is>
      </c>
      <c r="G170" t="n">
        <v>9</v>
      </c>
      <c r="H170" t="n">
        <v>0</v>
      </c>
      <c r="I170" t="n">
        <v>0</v>
      </c>
      <c r="J170" t="n">
        <v>0</v>
      </c>
      <c r="K170" t="n">
        <v>0</v>
      </c>
      <c r="L170" t="n">
        <v>0</v>
      </c>
      <c r="M170" t="n">
        <v>0</v>
      </c>
      <c r="N170" t="n">
        <v>0</v>
      </c>
      <c r="O170" t="n">
        <v>0</v>
      </c>
      <c r="P170" t="n">
        <v>0</v>
      </c>
      <c r="Q170" t="n">
        <v>0</v>
      </c>
      <c r="R170" s="2" t="inlineStr"/>
    </row>
    <row r="171" ht="15" customHeight="1">
      <c r="A171" t="inlineStr">
        <is>
          <t>A 11627-2025</t>
        </is>
      </c>
      <c r="B171" s="1" t="n">
        <v>45727</v>
      </c>
      <c r="C171" s="1" t="n">
        <v>46186</v>
      </c>
      <c r="D171" t="inlineStr">
        <is>
          <t>UPPSALA LÄN</t>
        </is>
      </c>
      <c r="E171" t="inlineStr">
        <is>
          <t>ENKÖPING</t>
        </is>
      </c>
      <c r="G171" t="n">
        <v>5.5</v>
      </c>
      <c r="H171" t="n">
        <v>0</v>
      </c>
      <c r="I171" t="n">
        <v>0</v>
      </c>
      <c r="J171" t="n">
        <v>0</v>
      </c>
      <c r="K171" t="n">
        <v>0</v>
      </c>
      <c r="L171" t="n">
        <v>0</v>
      </c>
      <c r="M171" t="n">
        <v>0</v>
      </c>
      <c r="N171" t="n">
        <v>0</v>
      </c>
      <c r="O171" t="n">
        <v>0</v>
      </c>
      <c r="P171" t="n">
        <v>0</v>
      </c>
      <c r="Q171" t="n">
        <v>0</v>
      </c>
      <c r="R171" s="2" t="inlineStr"/>
    </row>
    <row r="172" ht="15" customHeight="1">
      <c r="A172" t="inlineStr">
        <is>
          <t>A 49614-2024</t>
        </is>
      </c>
      <c r="B172" s="1" t="n">
        <v>45596.57716435185</v>
      </c>
      <c r="C172" s="1" t="n">
        <v>46186</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24411-2024</t>
        </is>
      </c>
      <c r="B173" s="1" t="n">
        <v>45457</v>
      </c>
      <c r="C173" s="1" t="n">
        <v>46186</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29479-2022</t>
        </is>
      </c>
      <c r="B174" s="1" t="n">
        <v>44753.57265046296</v>
      </c>
      <c r="C174" s="1" t="n">
        <v>46186</v>
      </c>
      <c r="D174" t="inlineStr">
        <is>
          <t>UPPSALA LÄN</t>
        </is>
      </c>
      <c r="E174" t="inlineStr">
        <is>
          <t>ENKÖPING</t>
        </is>
      </c>
      <c r="G174" t="n">
        <v>0.9</v>
      </c>
      <c r="H174" t="n">
        <v>0</v>
      </c>
      <c r="I174" t="n">
        <v>0</v>
      </c>
      <c r="J174" t="n">
        <v>0</v>
      </c>
      <c r="K174" t="n">
        <v>0</v>
      </c>
      <c r="L174" t="n">
        <v>0</v>
      </c>
      <c r="M174" t="n">
        <v>0</v>
      </c>
      <c r="N174" t="n">
        <v>0</v>
      </c>
      <c r="O174" t="n">
        <v>0</v>
      </c>
      <c r="P174" t="n">
        <v>0</v>
      </c>
      <c r="Q174" t="n">
        <v>0</v>
      </c>
      <c r="R174" s="2" t="inlineStr"/>
    </row>
    <row r="175" ht="15" customHeight="1">
      <c r="A175" t="inlineStr">
        <is>
          <t>A 27538-2023</t>
        </is>
      </c>
      <c r="B175" s="1" t="n">
        <v>45097</v>
      </c>
      <c r="C175" s="1" t="n">
        <v>46186</v>
      </c>
      <c r="D175" t="inlineStr">
        <is>
          <t>UPPSALA LÄN</t>
        </is>
      </c>
      <c r="E175" t="inlineStr">
        <is>
          <t>ENKÖPING</t>
        </is>
      </c>
      <c r="G175" t="n">
        <v>5.8</v>
      </c>
      <c r="H175" t="n">
        <v>0</v>
      </c>
      <c r="I175" t="n">
        <v>0</v>
      </c>
      <c r="J175" t="n">
        <v>0</v>
      </c>
      <c r="K175" t="n">
        <v>0</v>
      </c>
      <c r="L175" t="n">
        <v>0</v>
      </c>
      <c r="M175" t="n">
        <v>0</v>
      </c>
      <c r="N175" t="n">
        <v>0</v>
      </c>
      <c r="O175" t="n">
        <v>0</v>
      </c>
      <c r="P175" t="n">
        <v>0</v>
      </c>
      <c r="Q175" t="n">
        <v>0</v>
      </c>
      <c r="R175" s="2" t="inlineStr"/>
    </row>
    <row r="176" ht="15" customHeight="1">
      <c r="A176" t="inlineStr">
        <is>
          <t>A 58092-2024</t>
        </is>
      </c>
      <c r="B176" s="1" t="n">
        <v>45632</v>
      </c>
      <c r="C176" s="1" t="n">
        <v>46186</v>
      </c>
      <c r="D176" t="inlineStr">
        <is>
          <t>UPPSALA LÄN</t>
        </is>
      </c>
      <c r="E176" t="inlineStr">
        <is>
          <t>ENKÖPING</t>
        </is>
      </c>
      <c r="G176" t="n">
        <v>4.8</v>
      </c>
      <c r="H176" t="n">
        <v>0</v>
      </c>
      <c r="I176" t="n">
        <v>0</v>
      </c>
      <c r="J176" t="n">
        <v>0</v>
      </c>
      <c r="K176" t="n">
        <v>0</v>
      </c>
      <c r="L176" t="n">
        <v>0</v>
      </c>
      <c r="M176" t="n">
        <v>0</v>
      </c>
      <c r="N176" t="n">
        <v>0</v>
      </c>
      <c r="O176" t="n">
        <v>0</v>
      </c>
      <c r="P176" t="n">
        <v>0</v>
      </c>
      <c r="Q176" t="n">
        <v>0</v>
      </c>
      <c r="R176" s="2" t="inlineStr"/>
    </row>
    <row r="177" ht="15" customHeight="1">
      <c r="A177" t="inlineStr">
        <is>
          <t>A 60874-2023</t>
        </is>
      </c>
      <c r="B177" s="1" t="n">
        <v>45261.06280092592</v>
      </c>
      <c r="C177" s="1" t="n">
        <v>46186</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50394-2024</t>
        </is>
      </c>
      <c r="B178" s="1" t="n">
        <v>45600</v>
      </c>
      <c r="C178" s="1" t="n">
        <v>46186</v>
      </c>
      <c r="D178" t="inlineStr">
        <is>
          <t>UPPSALA LÄN</t>
        </is>
      </c>
      <c r="E178" t="inlineStr">
        <is>
          <t>ENKÖPING</t>
        </is>
      </c>
      <c r="G178" t="n">
        <v>1.2</v>
      </c>
      <c r="H178" t="n">
        <v>0</v>
      </c>
      <c r="I178" t="n">
        <v>0</v>
      </c>
      <c r="J178" t="n">
        <v>0</v>
      </c>
      <c r="K178" t="n">
        <v>0</v>
      </c>
      <c r="L178" t="n">
        <v>0</v>
      </c>
      <c r="M178" t="n">
        <v>0</v>
      </c>
      <c r="N178" t="n">
        <v>0</v>
      </c>
      <c r="O178" t="n">
        <v>0</v>
      </c>
      <c r="P178" t="n">
        <v>0</v>
      </c>
      <c r="Q178" t="n">
        <v>0</v>
      </c>
      <c r="R178" s="2" t="inlineStr"/>
    </row>
    <row r="179" ht="15" customHeight="1">
      <c r="A179" t="inlineStr">
        <is>
          <t>A 51010-2024</t>
        </is>
      </c>
      <c r="B179" s="1" t="n">
        <v>45603.39285879629</v>
      </c>
      <c r="C179" s="1" t="n">
        <v>46186</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2218-2026</t>
        </is>
      </c>
      <c r="B180" s="1" t="n">
        <v>46036.50010416667</v>
      </c>
      <c r="C180" s="1" t="n">
        <v>46186</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26005-2025</t>
        </is>
      </c>
      <c r="B181" s="1" t="n">
        <v>45804.67055555555</v>
      </c>
      <c r="C181" s="1" t="n">
        <v>46186</v>
      </c>
      <c r="D181" t="inlineStr">
        <is>
          <t>UPPSALA LÄN</t>
        </is>
      </c>
      <c r="E181" t="inlineStr">
        <is>
          <t>ENKÖPING</t>
        </is>
      </c>
      <c r="G181" t="n">
        <v>0.3</v>
      </c>
      <c r="H181" t="n">
        <v>0</v>
      </c>
      <c r="I181" t="n">
        <v>0</v>
      </c>
      <c r="J181" t="n">
        <v>0</v>
      </c>
      <c r="K181" t="n">
        <v>0</v>
      </c>
      <c r="L181" t="n">
        <v>0</v>
      </c>
      <c r="M181" t="n">
        <v>0</v>
      </c>
      <c r="N181" t="n">
        <v>0</v>
      </c>
      <c r="O181" t="n">
        <v>0</v>
      </c>
      <c r="P181" t="n">
        <v>0</v>
      </c>
      <c r="Q181" t="n">
        <v>0</v>
      </c>
      <c r="R181" s="2" t="inlineStr"/>
    </row>
    <row r="182" ht="15" customHeight="1">
      <c r="A182" t="inlineStr">
        <is>
          <t>A 26030-2025</t>
        </is>
      </c>
      <c r="B182" s="1" t="n">
        <v>45804.68815972222</v>
      </c>
      <c r="C182" s="1" t="n">
        <v>46186</v>
      </c>
      <c r="D182" t="inlineStr">
        <is>
          <t>UPPSALA LÄN</t>
        </is>
      </c>
      <c r="E182" t="inlineStr">
        <is>
          <t>ENKÖPING</t>
        </is>
      </c>
      <c r="G182" t="n">
        <v>0.3</v>
      </c>
      <c r="H182" t="n">
        <v>0</v>
      </c>
      <c r="I182" t="n">
        <v>0</v>
      </c>
      <c r="J182" t="n">
        <v>0</v>
      </c>
      <c r="K182" t="n">
        <v>0</v>
      </c>
      <c r="L182" t="n">
        <v>0</v>
      </c>
      <c r="M182" t="n">
        <v>0</v>
      </c>
      <c r="N182" t="n">
        <v>0</v>
      </c>
      <c r="O182" t="n">
        <v>0</v>
      </c>
      <c r="P182" t="n">
        <v>0</v>
      </c>
      <c r="Q182" t="n">
        <v>0</v>
      </c>
      <c r="R182" s="2" t="inlineStr"/>
    </row>
    <row r="183" ht="15" customHeight="1">
      <c r="A183" t="inlineStr">
        <is>
          <t>A 25988-2025</t>
        </is>
      </c>
      <c r="B183" s="1" t="n">
        <v>45804.64814814815</v>
      </c>
      <c r="C183" s="1" t="n">
        <v>46186</v>
      </c>
      <c r="D183" t="inlineStr">
        <is>
          <t>UPPSALA LÄN</t>
        </is>
      </c>
      <c r="E183" t="inlineStr">
        <is>
          <t>ENKÖPING</t>
        </is>
      </c>
      <c r="G183" t="n">
        <v>4.7</v>
      </c>
      <c r="H183" t="n">
        <v>0</v>
      </c>
      <c r="I183" t="n">
        <v>0</v>
      </c>
      <c r="J183" t="n">
        <v>0</v>
      </c>
      <c r="K183" t="n">
        <v>0</v>
      </c>
      <c r="L183" t="n">
        <v>0</v>
      </c>
      <c r="M183" t="n">
        <v>0</v>
      </c>
      <c r="N183" t="n">
        <v>0</v>
      </c>
      <c r="O183" t="n">
        <v>0</v>
      </c>
      <c r="P183" t="n">
        <v>0</v>
      </c>
      <c r="Q183" t="n">
        <v>0</v>
      </c>
      <c r="R183" s="2" t="inlineStr"/>
    </row>
    <row r="184" ht="15" customHeight="1">
      <c r="A184" t="inlineStr">
        <is>
          <t>A 43016-2021</t>
        </is>
      </c>
      <c r="B184" s="1" t="n">
        <v>44431</v>
      </c>
      <c r="C184" s="1" t="n">
        <v>46186</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19147-2024</t>
        </is>
      </c>
      <c r="B185" s="1" t="n">
        <v>45428</v>
      </c>
      <c r="C185" s="1" t="n">
        <v>46186</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57209-2024</t>
        </is>
      </c>
      <c r="B186" s="1" t="n">
        <v>45629.49311342592</v>
      </c>
      <c r="C186" s="1" t="n">
        <v>46186</v>
      </c>
      <c r="D186" t="inlineStr">
        <is>
          <t>UPPSALA LÄN</t>
        </is>
      </c>
      <c r="E186" t="inlineStr">
        <is>
          <t>ENKÖPING</t>
        </is>
      </c>
      <c r="G186" t="n">
        <v>3.2</v>
      </c>
      <c r="H186" t="n">
        <v>0</v>
      </c>
      <c r="I186" t="n">
        <v>0</v>
      </c>
      <c r="J186" t="n">
        <v>0</v>
      </c>
      <c r="K186" t="n">
        <v>0</v>
      </c>
      <c r="L186" t="n">
        <v>0</v>
      </c>
      <c r="M186" t="n">
        <v>0</v>
      </c>
      <c r="N186" t="n">
        <v>0</v>
      </c>
      <c r="O186" t="n">
        <v>0</v>
      </c>
      <c r="P186" t="n">
        <v>0</v>
      </c>
      <c r="Q186" t="n">
        <v>0</v>
      </c>
      <c r="R186" s="2" t="inlineStr"/>
    </row>
    <row r="187" ht="15" customHeight="1">
      <c r="A187" t="inlineStr">
        <is>
          <t>A 51120-2023</t>
        </is>
      </c>
      <c r="B187" s="1" t="n">
        <v>45219.3088425926</v>
      </c>
      <c r="C187" s="1" t="n">
        <v>46186</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12878-2025</t>
        </is>
      </c>
      <c r="B188" s="1" t="n">
        <v>45733.68571759259</v>
      </c>
      <c r="C188" s="1" t="n">
        <v>46186</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35067-2024</t>
        </is>
      </c>
      <c r="B189" s="1" t="n">
        <v>45527.66153935185</v>
      </c>
      <c r="C189" s="1" t="n">
        <v>46186</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43896-2022</t>
        </is>
      </c>
      <c r="B190" s="1" t="n">
        <v>44838</v>
      </c>
      <c r="C190" s="1" t="n">
        <v>46186</v>
      </c>
      <c r="D190" t="inlineStr">
        <is>
          <t>UPPSALA LÄN</t>
        </is>
      </c>
      <c r="E190" t="inlineStr">
        <is>
          <t>ENKÖPING</t>
        </is>
      </c>
      <c r="G190" t="n">
        <v>5.3</v>
      </c>
      <c r="H190" t="n">
        <v>0</v>
      </c>
      <c r="I190" t="n">
        <v>0</v>
      </c>
      <c r="J190" t="n">
        <v>0</v>
      </c>
      <c r="K190" t="n">
        <v>0</v>
      </c>
      <c r="L190" t="n">
        <v>0</v>
      </c>
      <c r="M190" t="n">
        <v>0</v>
      </c>
      <c r="N190" t="n">
        <v>0</v>
      </c>
      <c r="O190" t="n">
        <v>0</v>
      </c>
      <c r="P190" t="n">
        <v>0</v>
      </c>
      <c r="Q190" t="n">
        <v>0</v>
      </c>
      <c r="R190" s="2" t="inlineStr"/>
    </row>
    <row r="191" ht="15" customHeight="1">
      <c r="A191" t="inlineStr">
        <is>
          <t>A 5104-2026</t>
        </is>
      </c>
      <c r="B191" s="1" t="n">
        <v>46049.56914351852</v>
      </c>
      <c r="C191" s="1" t="n">
        <v>46186</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7090-2022</t>
        </is>
      </c>
      <c r="B192" s="1" t="n">
        <v>44603.59520833333</v>
      </c>
      <c r="C192" s="1" t="n">
        <v>46186</v>
      </c>
      <c r="D192" t="inlineStr">
        <is>
          <t>UPPSALA LÄN</t>
        </is>
      </c>
      <c r="E192" t="inlineStr">
        <is>
          <t>ENKÖPING</t>
        </is>
      </c>
      <c r="G192" t="n">
        <v>2.8</v>
      </c>
      <c r="H192" t="n">
        <v>0</v>
      </c>
      <c r="I192" t="n">
        <v>0</v>
      </c>
      <c r="J192" t="n">
        <v>0</v>
      </c>
      <c r="K192" t="n">
        <v>0</v>
      </c>
      <c r="L192" t="n">
        <v>0</v>
      </c>
      <c r="M192" t="n">
        <v>0</v>
      </c>
      <c r="N192" t="n">
        <v>0</v>
      </c>
      <c r="O192" t="n">
        <v>0</v>
      </c>
      <c r="P192" t="n">
        <v>0</v>
      </c>
      <c r="Q192" t="n">
        <v>0</v>
      </c>
      <c r="R192" s="2" t="inlineStr"/>
    </row>
    <row r="193" ht="15" customHeight="1">
      <c r="A193" t="inlineStr">
        <is>
          <t>A 9487-2025</t>
        </is>
      </c>
      <c r="B193" s="1" t="n">
        <v>45715.49331018519</v>
      </c>
      <c r="C193" s="1" t="n">
        <v>46186</v>
      </c>
      <c r="D193" t="inlineStr">
        <is>
          <t>UPPSALA LÄN</t>
        </is>
      </c>
      <c r="E193" t="inlineStr">
        <is>
          <t>ENKÖPING</t>
        </is>
      </c>
      <c r="G193" t="n">
        <v>0.8</v>
      </c>
      <c r="H193" t="n">
        <v>0</v>
      </c>
      <c r="I193" t="n">
        <v>0</v>
      </c>
      <c r="J193" t="n">
        <v>0</v>
      </c>
      <c r="K193" t="n">
        <v>0</v>
      </c>
      <c r="L193" t="n">
        <v>0</v>
      </c>
      <c r="M193" t="n">
        <v>0</v>
      </c>
      <c r="N193" t="n">
        <v>0</v>
      </c>
      <c r="O193" t="n">
        <v>0</v>
      </c>
      <c r="P193" t="n">
        <v>0</v>
      </c>
      <c r="Q193" t="n">
        <v>0</v>
      </c>
      <c r="R193" s="2" t="inlineStr"/>
    </row>
    <row r="194" ht="15" customHeight="1">
      <c r="A194" t="inlineStr">
        <is>
          <t>A 6144-2024</t>
        </is>
      </c>
      <c r="B194" s="1" t="n">
        <v>45337.4684837963</v>
      </c>
      <c r="C194" s="1" t="n">
        <v>46186</v>
      </c>
      <c r="D194" t="inlineStr">
        <is>
          <t>UPPSALA LÄN</t>
        </is>
      </c>
      <c r="E194" t="inlineStr">
        <is>
          <t>ENKÖPING</t>
        </is>
      </c>
      <c r="G194" t="n">
        <v>13.8</v>
      </c>
      <c r="H194" t="n">
        <v>0</v>
      </c>
      <c r="I194" t="n">
        <v>0</v>
      </c>
      <c r="J194" t="n">
        <v>0</v>
      </c>
      <c r="K194" t="n">
        <v>0</v>
      </c>
      <c r="L194" t="n">
        <v>0</v>
      </c>
      <c r="M194" t="n">
        <v>0</v>
      </c>
      <c r="N194" t="n">
        <v>0</v>
      </c>
      <c r="O194" t="n">
        <v>0</v>
      </c>
      <c r="P194" t="n">
        <v>0</v>
      </c>
      <c r="Q194" t="n">
        <v>0</v>
      </c>
      <c r="R194" s="2" t="inlineStr"/>
    </row>
    <row r="195" ht="15" customHeight="1">
      <c r="A195" t="inlineStr">
        <is>
          <t>A 33955-2024</t>
        </is>
      </c>
      <c r="B195" s="1" t="n">
        <v>45523.46952546296</v>
      </c>
      <c r="C195" s="1" t="n">
        <v>46186</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5569-2026</t>
        </is>
      </c>
      <c r="B196" s="1" t="n">
        <v>46050.89431712963</v>
      </c>
      <c r="C196" s="1" t="n">
        <v>46186</v>
      </c>
      <c r="D196" t="inlineStr">
        <is>
          <t>UPPSALA LÄN</t>
        </is>
      </c>
      <c r="E196" t="inlineStr">
        <is>
          <t>ENKÖPING</t>
        </is>
      </c>
      <c r="G196" t="n">
        <v>1.6</v>
      </c>
      <c r="H196" t="n">
        <v>0</v>
      </c>
      <c r="I196" t="n">
        <v>0</v>
      </c>
      <c r="J196" t="n">
        <v>0</v>
      </c>
      <c r="K196" t="n">
        <v>0</v>
      </c>
      <c r="L196" t="n">
        <v>0</v>
      </c>
      <c r="M196" t="n">
        <v>0</v>
      </c>
      <c r="N196" t="n">
        <v>0</v>
      </c>
      <c r="O196" t="n">
        <v>0</v>
      </c>
      <c r="P196" t="n">
        <v>0</v>
      </c>
      <c r="Q196" t="n">
        <v>0</v>
      </c>
      <c r="R196" s="2" t="inlineStr"/>
    </row>
    <row r="197" ht="15" customHeight="1">
      <c r="A197" t="inlineStr">
        <is>
          <t>A 5948-2026</t>
        </is>
      </c>
      <c r="B197" s="1" t="n">
        <v>46052</v>
      </c>
      <c r="C197" s="1" t="n">
        <v>46186</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6031-2026</t>
        </is>
      </c>
      <c r="B198" s="1" t="n">
        <v>46052.61201388889</v>
      </c>
      <c r="C198" s="1" t="n">
        <v>46186</v>
      </c>
      <c r="D198" t="inlineStr">
        <is>
          <t>UPPSALA LÄN</t>
        </is>
      </c>
      <c r="E198" t="inlineStr">
        <is>
          <t>ENKÖPING</t>
        </is>
      </c>
      <c r="G198" t="n">
        <v>4.1</v>
      </c>
      <c r="H198" t="n">
        <v>0</v>
      </c>
      <c r="I198" t="n">
        <v>0</v>
      </c>
      <c r="J198" t="n">
        <v>0</v>
      </c>
      <c r="K198" t="n">
        <v>0</v>
      </c>
      <c r="L198" t="n">
        <v>0</v>
      </c>
      <c r="M198" t="n">
        <v>0</v>
      </c>
      <c r="N198" t="n">
        <v>0</v>
      </c>
      <c r="O198" t="n">
        <v>0</v>
      </c>
      <c r="P198" t="n">
        <v>0</v>
      </c>
      <c r="Q198" t="n">
        <v>0</v>
      </c>
      <c r="R198" s="2" t="inlineStr"/>
    </row>
    <row r="199" ht="15" customHeight="1">
      <c r="A199" t="inlineStr">
        <is>
          <t>A 6047-2026</t>
        </is>
      </c>
      <c r="B199" s="1" t="n">
        <v>46052.62738425926</v>
      </c>
      <c r="C199" s="1" t="n">
        <v>46186</v>
      </c>
      <c r="D199" t="inlineStr">
        <is>
          <t>UPPSALA LÄN</t>
        </is>
      </c>
      <c r="E199" t="inlineStr">
        <is>
          <t>ENKÖPING</t>
        </is>
      </c>
      <c r="G199" t="n">
        <v>0.9</v>
      </c>
      <c r="H199" t="n">
        <v>0</v>
      </c>
      <c r="I199" t="n">
        <v>0</v>
      </c>
      <c r="J199" t="n">
        <v>0</v>
      </c>
      <c r="K199" t="n">
        <v>0</v>
      </c>
      <c r="L199" t="n">
        <v>0</v>
      </c>
      <c r="M199" t="n">
        <v>0</v>
      </c>
      <c r="N199" t="n">
        <v>0</v>
      </c>
      <c r="O199" t="n">
        <v>0</v>
      </c>
      <c r="P199" t="n">
        <v>0</v>
      </c>
      <c r="Q199" t="n">
        <v>0</v>
      </c>
      <c r="R199" s="2" t="inlineStr"/>
    </row>
    <row r="200" ht="15" customHeight="1">
      <c r="A200" t="inlineStr">
        <is>
          <t>A 7008-2026</t>
        </is>
      </c>
      <c r="B200" s="1" t="n">
        <v>46057.63806712963</v>
      </c>
      <c r="C200" s="1" t="n">
        <v>46186</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16920-2023</t>
        </is>
      </c>
      <c r="B201" s="1" t="n">
        <v>45033.59030092593</v>
      </c>
      <c r="C201" s="1" t="n">
        <v>46186</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7003-2026</t>
        </is>
      </c>
      <c r="B202" s="1" t="n">
        <v>46057.63243055555</v>
      </c>
      <c r="C202" s="1" t="n">
        <v>46186</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39009-2024</t>
        </is>
      </c>
      <c r="B203" s="1" t="n">
        <v>45548</v>
      </c>
      <c r="C203" s="1" t="n">
        <v>46186</v>
      </c>
      <c r="D203" t="inlineStr">
        <is>
          <t>UPPSALA LÄN</t>
        </is>
      </c>
      <c r="E203" t="inlineStr">
        <is>
          <t>ENKÖPING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8537-2025</t>
        </is>
      </c>
      <c r="B204" s="1" t="n">
        <v>45709</v>
      </c>
      <c r="C204" s="1" t="n">
        <v>46186</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43506-2023</t>
        </is>
      </c>
      <c r="B205" s="1" t="n">
        <v>45181</v>
      </c>
      <c r="C205" s="1" t="n">
        <v>46186</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28855-2025</t>
        </is>
      </c>
      <c r="B206" s="1" t="n">
        <v>45820.58274305556</v>
      </c>
      <c r="C206" s="1" t="n">
        <v>46186</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46186-2023</t>
        </is>
      </c>
      <c r="B207" s="1" t="n">
        <v>45196</v>
      </c>
      <c r="C207" s="1" t="n">
        <v>46186</v>
      </c>
      <c r="D207" t="inlineStr">
        <is>
          <t>UPPSALA LÄN</t>
        </is>
      </c>
      <c r="E207" t="inlineStr">
        <is>
          <t>ENKÖPING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54595-2021</t>
        </is>
      </c>
      <c r="B208" s="1" t="n">
        <v>44473.58824074074</v>
      </c>
      <c r="C208" s="1" t="n">
        <v>46186</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54588-2024</t>
        </is>
      </c>
      <c r="B209" s="1" t="n">
        <v>45617</v>
      </c>
      <c r="C209" s="1" t="n">
        <v>46186</v>
      </c>
      <c r="D209" t="inlineStr">
        <is>
          <t>UPPSALA LÄN</t>
        </is>
      </c>
      <c r="E209" t="inlineStr">
        <is>
          <t>ENKÖPING</t>
        </is>
      </c>
      <c r="G209" t="n">
        <v>3.7</v>
      </c>
      <c r="H209" t="n">
        <v>0</v>
      </c>
      <c r="I209" t="n">
        <v>0</v>
      </c>
      <c r="J209" t="n">
        <v>0</v>
      </c>
      <c r="K209" t="n">
        <v>0</v>
      </c>
      <c r="L209" t="n">
        <v>0</v>
      </c>
      <c r="M209" t="n">
        <v>0</v>
      </c>
      <c r="N209" t="n">
        <v>0</v>
      </c>
      <c r="O209" t="n">
        <v>0</v>
      </c>
      <c r="P209" t="n">
        <v>0</v>
      </c>
      <c r="Q209" t="n">
        <v>0</v>
      </c>
      <c r="R209" s="2" t="inlineStr"/>
    </row>
    <row r="210" ht="15" customHeight="1">
      <c r="A210" t="inlineStr">
        <is>
          <t>A 8309-2026</t>
        </is>
      </c>
      <c r="B210" s="1" t="n">
        <v>46064.59081018518</v>
      </c>
      <c r="C210" s="1" t="n">
        <v>46186</v>
      </c>
      <c r="D210" t="inlineStr">
        <is>
          <t>UPPSALA LÄN</t>
        </is>
      </c>
      <c r="E210" t="inlineStr">
        <is>
          <t>ENKÖPING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47428-2023</t>
        </is>
      </c>
      <c r="B211" s="1" t="n">
        <v>45202.66664351852</v>
      </c>
      <c r="C211" s="1" t="n">
        <v>46186</v>
      </c>
      <c r="D211" t="inlineStr">
        <is>
          <t>UPPSALA LÄN</t>
        </is>
      </c>
      <c r="E211" t="inlineStr">
        <is>
          <t>ENKÖPING</t>
        </is>
      </c>
      <c r="G211" t="n">
        <v>3</v>
      </c>
      <c r="H211" t="n">
        <v>0</v>
      </c>
      <c r="I211" t="n">
        <v>0</v>
      </c>
      <c r="J211" t="n">
        <v>0</v>
      </c>
      <c r="K211" t="n">
        <v>0</v>
      </c>
      <c r="L211" t="n">
        <v>0</v>
      </c>
      <c r="M211" t="n">
        <v>0</v>
      </c>
      <c r="N211" t="n">
        <v>0</v>
      </c>
      <c r="O211" t="n">
        <v>0</v>
      </c>
      <c r="P211" t="n">
        <v>0</v>
      </c>
      <c r="Q211" t="n">
        <v>0</v>
      </c>
      <c r="R211" s="2" t="inlineStr"/>
    </row>
    <row r="212" ht="15" customHeight="1">
      <c r="A212" t="inlineStr">
        <is>
          <t>A 5892-2023</t>
        </is>
      </c>
      <c r="B212" s="1" t="n">
        <v>44963.64883101852</v>
      </c>
      <c r="C212" s="1" t="n">
        <v>46186</v>
      </c>
      <c r="D212" t="inlineStr">
        <is>
          <t>UPPSALA LÄN</t>
        </is>
      </c>
      <c r="E212" t="inlineStr">
        <is>
          <t>ENKÖPING</t>
        </is>
      </c>
      <c r="G212" t="n">
        <v>5.5</v>
      </c>
      <c r="H212" t="n">
        <v>0</v>
      </c>
      <c r="I212" t="n">
        <v>0</v>
      </c>
      <c r="J212" t="n">
        <v>0</v>
      </c>
      <c r="K212" t="n">
        <v>0</v>
      </c>
      <c r="L212" t="n">
        <v>0</v>
      </c>
      <c r="M212" t="n">
        <v>0</v>
      </c>
      <c r="N212" t="n">
        <v>0</v>
      </c>
      <c r="O212" t="n">
        <v>0</v>
      </c>
      <c r="P212" t="n">
        <v>0</v>
      </c>
      <c r="Q212" t="n">
        <v>0</v>
      </c>
      <c r="R212" s="2" t="inlineStr"/>
    </row>
    <row r="213" ht="15" customHeight="1">
      <c r="A213" t="inlineStr">
        <is>
          <t>A 671-2022</t>
        </is>
      </c>
      <c r="B213" s="1" t="n">
        <v>44568</v>
      </c>
      <c r="C213" s="1" t="n">
        <v>46186</v>
      </c>
      <c r="D213" t="inlineStr">
        <is>
          <t>UPPSALA LÄN</t>
        </is>
      </c>
      <c r="E213" t="inlineStr">
        <is>
          <t>ENKÖPING</t>
        </is>
      </c>
      <c r="G213" t="n">
        <v>3.5</v>
      </c>
      <c r="H213" t="n">
        <v>0</v>
      </c>
      <c r="I213" t="n">
        <v>0</v>
      </c>
      <c r="J213" t="n">
        <v>0</v>
      </c>
      <c r="K213" t="n">
        <v>0</v>
      </c>
      <c r="L213" t="n">
        <v>0</v>
      </c>
      <c r="M213" t="n">
        <v>0</v>
      </c>
      <c r="N213" t="n">
        <v>0</v>
      </c>
      <c r="O213" t="n">
        <v>0</v>
      </c>
      <c r="P213" t="n">
        <v>0</v>
      </c>
      <c r="Q213" t="n">
        <v>0</v>
      </c>
      <c r="R213" s="2" t="inlineStr"/>
    </row>
    <row r="214" ht="15" customHeight="1">
      <c r="A214" t="inlineStr">
        <is>
          <t>A 30837-2025</t>
        </is>
      </c>
      <c r="B214" s="1" t="n">
        <v>45831.7063425926</v>
      </c>
      <c r="C214" s="1" t="n">
        <v>46186</v>
      </c>
      <c r="D214" t="inlineStr">
        <is>
          <t>UPPSALA LÄN</t>
        </is>
      </c>
      <c r="E214" t="inlineStr">
        <is>
          <t>ENKÖPING</t>
        </is>
      </c>
      <c r="G214" t="n">
        <v>3.8</v>
      </c>
      <c r="H214" t="n">
        <v>0</v>
      </c>
      <c r="I214" t="n">
        <v>0</v>
      </c>
      <c r="J214" t="n">
        <v>0</v>
      </c>
      <c r="K214" t="n">
        <v>0</v>
      </c>
      <c r="L214" t="n">
        <v>0</v>
      </c>
      <c r="M214" t="n">
        <v>0</v>
      </c>
      <c r="N214" t="n">
        <v>0</v>
      </c>
      <c r="O214" t="n">
        <v>0</v>
      </c>
      <c r="P214" t="n">
        <v>0</v>
      </c>
      <c r="Q214" t="n">
        <v>0</v>
      </c>
      <c r="R214" s="2" t="inlineStr"/>
    </row>
    <row r="215" ht="15" customHeight="1">
      <c r="A215" t="inlineStr">
        <is>
          <t>A 43488-2023</t>
        </is>
      </c>
      <c r="B215" s="1" t="n">
        <v>45181</v>
      </c>
      <c r="C215" s="1" t="n">
        <v>46186</v>
      </c>
      <c r="D215" t="inlineStr">
        <is>
          <t>UPPSALA LÄN</t>
        </is>
      </c>
      <c r="E215" t="inlineStr">
        <is>
          <t>ENKÖPING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9171-2024</t>
        </is>
      </c>
      <c r="B216" s="1" t="n">
        <v>45358</v>
      </c>
      <c r="C216" s="1" t="n">
        <v>46186</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9474-2026</t>
        </is>
      </c>
      <c r="B217" s="1" t="n">
        <v>46071.52324074074</v>
      </c>
      <c r="C217" s="1" t="n">
        <v>46186</v>
      </c>
      <c r="D217" t="inlineStr">
        <is>
          <t>UPPSALA LÄN</t>
        </is>
      </c>
      <c r="E217" t="inlineStr">
        <is>
          <t>ENKÖPING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9467-2026</t>
        </is>
      </c>
      <c r="B218" s="1" t="n">
        <v>46071.50694444445</v>
      </c>
      <c r="C218" s="1" t="n">
        <v>46186</v>
      </c>
      <c r="D218" t="inlineStr">
        <is>
          <t>UPPSALA LÄN</t>
        </is>
      </c>
      <c r="E218" t="inlineStr">
        <is>
          <t>ENKÖPING</t>
        </is>
      </c>
      <c r="G218" t="n">
        <v>5.9</v>
      </c>
      <c r="H218" t="n">
        <v>0</v>
      </c>
      <c r="I218" t="n">
        <v>0</v>
      </c>
      <c r="J218" t="n">
        <v>0</v>
      </c>
      <c r="K218" t="n">
        <v>0</v>
      </c>
      <c r="L218" t="n">
        <v>0</v>
      </c>
      <c r="M218" t="n">
        <v>0</v>
      </c>
      <c r="N218" t="n">
        <v>0</v>
      </c>
      <c r="O218" t="n">
        <v>0</v>
      </c>
      <c r="P218" t="n">
        <v>0</v>
      </c>
      <c r="Q218" t="n">
        <v>0</v>
      </c>
      <c r="R218" s="2" t="inlineStr"/>
    </row>
    <row r="219" ht="15" customHeight="1">
      <c r="A219" t="inlineStr">
        <is>
          <t>A 9469-2026</t>
        </is>
      </c>
      <c r="B219" s="1" t="n">
        <v>46071.51248842593</v>
      </c>
      <c r="C219" s="1" t="n">
        <v>46186</v>
      </c>
      <c r="D219" t="inlineStr">
        <is>
          <t>UPPSALA LÄN</t>
        </is>
      </c>
      <c r="E219" t="inlineStr">
        <is>
          <t>ENKÖPING</t>
        </is>
      </c>
      <c r="G219" t="n">
        <v>3</v>
      </c>
      <c r="H219" t="n">
        <v>0</v>
      </c>
      <c r="I219" t="n">
        <v>0</v>
      </c>
      <c r="J219" t="n">
        <v>0</v>
      </c>
      <c r="K219" t="n">
        <v>0</v>
      </c>
      <c r="L219" t="n">
        <v>0</v>
      </c>
      <c r="M219" t="n">
        <v>0</v>
      </c>
      <c r="N219" t="n">
        <v>0</v>
      </c>
      <c r="O219" t="n">
        <v>0</v>
      </c>
      <c r="P219" t="n">
        <v>0</v>
      </c>
      <c r="Q219" t="n">
        <v>0</v>
      </c>
      <c r="R219" s="2" t="inlineStr"/>
    </row>
    <row r="220" ht="15" customHeight="1">
      <c r="A220" t="inlineStr">
        <is>
          <t>A 9148-2026</t>
        </is>
      </c>
      <c r="B220" s="1" t="n">
        <v>46070.30946759259</v>
      </c>
      <c r="C220" s="1" t="n">
        <v>46186</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43230-2023</t>
        </is>
      </c>
      <c r="B221" s="1" t="n">
        <v>45183</v>
      </c>
      <c r="C221" s="1" t="n">
        <v>46186</v>
      </c>
      <c r="D221" t="inlineStr">
        <is>
          <t>UPPSALA LÄN</t>
        </is>
      </c>
      <c r="E221" t="inlineStr">
        <is>
          <t>ENKÖPING</t>
        </is>
      </c>
      <c r="G221" t="n">
        <v>2.1</v>
      </c>
      <c r="H221" t="n">
        <v>0</v>
      </c>
      <c r="I221" t="n">
        <v>0</v>
      </c>
      <c r="J221" t="n">
        <v>0</v>
      </c>
      <c r="K221" t="n">
        <v>0</v>
      </c>
      <c r="L221" t="n">
        <v>0</v>
      </c>
      <c r="M221" t="n">
        <v>0</v>
      </c>
      <c r="N221" t="n">
        <v>0</v>
      </c>
      <c r="O221" t="n">
        <v>0</v>
      </c>
      <c r="P221" t="n">
        <v>0</v>
      </c>
      <c r="Q221" t="n">
        <v>0</v>
      </c>
      <c r="R221" s="2" t="inlineStr"/>
    </row>
    <row r="222" ht="15" customHeight="1">
      <c r="A222" t="inlineStr">
        <is>
          <t>A 45362-2022</t>
        </is>
      </c>
      <c r="B222" s="1" t="n">
        <v>44844.62366898148</v>
      </c>
      <c r="C222" s="1" t="n">
        <v>46186</v>
      </c>
      <c r="D222" t="inlineStr">
        <is>
          <t>UPPSALA LÄN</t>
        </is>
      </c>
      <c r="E222" t="inlineStr">
        <is>
          <t>ENKÖPING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72840-2021</t>
        </is>
      </c>
      <c r="B223" s="1" t="n">
        <v>44547</v>
      </c>
      <c r="C223" s="1" t="n">
        <v>46186</v>
      </c>
      <c r="D223" t="inlineStr">
        <is>
          <t>UPPSALA LÄN</t>
        </is>
      </c>
      <c r="E223" t="inlineStr">
        <is>
          <t>ENKÖPING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34617-2022</t>
        </is>
      </c>
      <c r="B224" s="1" t="n">
        <v>44795</v>
      </c>
      <c r="C224" s="1" t="n">
        <v>46186</v>
      </c>
      <c r="D224" t="inlineStr">
        <is>
          <t>UPPSALA LÄN</t>
        </is>
      </c>
      <c r="E224" t="inlineStr">
        <is>
          <t>ENKÖPING</t>
        </is>
      </c>
      <c r="G224" t="n">
        <v>0.7</v>
      </c>
      <c r="H224" t="n">
        <v>0</v>
      </c>
      <c r="I224" t="n">
        <v>0</v>
      </c>
      <c r="J224" t="n">
        <v>0</v>
      </c>
      <c r="K224" t="n">
        <v>0</v>
      </c>
      <c r="L224" t="n">
        <v>0</v>
      </c>
      <c r="M224" t="n">
        <v>0</v>
      </c>
      <c r="N224" t="n">
        <v>0</v>
      </c>
      <c r="O224" t="n">
        <v>0</v>
      </c>
      <c r="P224" t="n">
        <v>0</v>
      </c>
      <c r="Q224" t="n">
        <v>0</v>
      </c>
      <c r="R224" s="2" t="inlineStr"/>
    </row>
    <row r="225" ht="15" customHeight="1">
      <c r="A225" t="inlineStr">
        <is>
          <t>A 1992-2022</t>
        </is>
      </c>
      <c r="B225" s="1" t="n">
        <v>44575.56153935185</v>
      </c>
      <c r="C225" s="1" t="n">
        <v>46186</v>
      </c>
      <c r="D225" t="inlineStr">
        <is>
          <t>UPPSALA LÄN</t>
        </is>
      </c>
      <c r="E225" t="inlineStr">
        <is>
          <t>ENKÖPING</t>
        </is>
      </c>
      <c r="G225" t="n">
        <v>2.8</v>
      </c>
      <c r="H225" t="n">
        <v>0</v>
      </c>
      <c r="I225" t="n">
        <v>0</v>
      </c>
      <c r="J225" t="n">
        <v>0</v>
      </c>
      <c r="K225" t="n">
        <v>0</v>
      </c>
      <c r="L225" t="n">
        <v>0</v>
      </c>
      <c r="M225" t="n">
        <v>0</v>
      </c>
      <c r="N225" t="n">
        <v>0</v>
      </c>
      <c r="O225" t="n">
        <v>0</v>
      </c>
      <c r="P225" t="n">
        <v>0</v>
      </c>
      <c r="Q225" t="n">
        <v>0</v>
      </c>
      <c r="R225" s="2" t="inlineStr"/>
    </row>
    <row r="226" ht="15" customHeight="1">
      <c r="A226" t="inlineStr">
        <is>
          <t>A 1695-2025</t>
        </is>
      </c>
      <c r="B226" s="1" t="n">
        <v>45670</v>
      </c>
      <c r="C226" s="1" t="n">
        <v>46186</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54357-2023</t>
        </is>
      </c>
      <c r="B227" s="1" t="n">
        <v>45225</v>
      </c>
      <c r="C227" s="1" t="n">
        <v>46186</v>
      </c>
      <c r="D227" t="inlineStr">
        <is>
          <t>UPPSALA LÄN</t>
        </is>
      </c>
      <c r="E227" t="inlineStr">
        <is>
          <t>ENKÖPING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24962-2023</t>
        </is>
      </c>
      <c r="B228" s="1" t="n">
        <v>45085.60123842592</v>
      </c>
      <c r="C228" s="1" t="n">
        <v>46186</v>
      </c>
      <c r="D228" t="inlineStr">
        <is>
          <t>UPPSALA LÄN</t>
        </is>
      </c>
      <c r="E228" t="inlineStr">
        <is>
          <t>ENKÖPING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32111-2025</t>
        </is>
      </c>
      <c r="B229" s="1" t="n">
        <v>45835</v>
      </c>
      <c r="C229" s="1" t="n">
        <v>46186</v>
      </c>
      <c r="D229" t="inlineStr">
        <is>
          <t>UPPSALA LÄN</t>
        </is>
      </c>
      <c r="E229" t="inlineStr">
        <is>
          <t>ENKÖPING</t>
        </is>
      </c>
      <c r="G229" t="n">
        <v>1.7</v>
      </c>
      <c r="H229" t="n">
        <v>0</v>
      </c>
      <c r="I229" t="n">
        <v>0</v>
      </c>
      <c r="J229" t="n">
        <v>0</v>
      </c>
      <c r="K229" t="n">
        <v>0</v>
      </c>
      <c r="L229" t="n">
        <v>0</v>
      </c>
      <c r="M229" t="n">
        <v>0</v>
      </c>
      <c r="N229" t="n">
        <v>0</v>
      </c>
      <c r="O229" t="n">
        <v>0</v>
      </c>
      <c r="P229" t="n">
        <v>0</v>
      </c>
      <c r="Q229" t="n">
        <v>0</v>
      </c>
      <c r="R229" s="2" t="inlineStr"/>
    </row>
    <row r="230" ht="15" customHeight="1">
      <c r="A230" t="inlineStr">
        <is>
          <t>A 32031-2025</t>
        </is>
      </c>
      <c r="B230" s="1" t="n">
        <v>45835.41712962963</v>
      </c>
      <c r="C230" s="1" t="n">
        <v>46186</v>
      </c>
      <c r="D230" t="inlineStr">
        <is>
          <t>UPPSALA LÄN</t>
        </is>
      </c>
      <c r="E230" t="inlineStr">
        <is>
          <t>ENKÖPING</t>
        </is>
      </c>
      <c r="G230" t="n">
        <v>2.7</v>
      </c>
      <c r="H230" t="n">
        <v>0</v>
      </c>
      <c r="I230" t="n">
        <v>0</v>
      </c>
      <c r="J230" t="n">
        <v>0</v>
      </c>
      <c r="K230" t="n">
        <v>0</v>
      </c>
      <c r="L230" t="n">
        <v>0</v>
      </c>
      <c r="M230" t="n">
        <v>0</v>
      </c>
      <c r="N230" t="n">
        <v>0</v>
      </c>
      <c r="O230" t="n">
        <v>0</v>
      </c>
      <c r="P230" t="n">
        <v>0</v>
      </c>
      <c r="Q230" t="n">
        <v>0</v>
      </c>
      <c r="R230" s="2" t="inlineStr"/>
    </row>
    <row r="231" ht="15" customHeight="1">
      <c r="A231" t="inlineStr">
        <is>
          <t>A 15740-2025</t>
        </is>
      </c>
      <c r="B231" s="1" t="n">
        <v>45748</v>
      </c>
      <c r="C231" s="1" t="n">
        <v>46186</v>
      </c>
      <c r="D231" t="inlineStr">
        <is>
          <t>UPPSALA LÄN</t>
        </is>
      </c>
      <c r="E231" t="inlineStr">
        <is>
          <t>ENKÖPING</t>
        </is>
      </c>
      <c r="G231" t="n">
        <v>0.9</v>
      </c>
      <c r="H231" t="n">
        <v>0</v>
      </c>
      <c r="I231" t="n">
        <v>0</v>
      </c>
      <c r="J231" t="n">
        <v>0</v>
      </c>
      <c r="K231" t="n">
        <v>0</v>
      </c>
      <c r="L231" t="n">
        <v>0</v>
      </c>
      <c r="M231" t="n">
        <v>0</v>
      </c>
      <c r="N231" t="n">
        <v>0</v>
      </c>
      <c r="O231" t="n">
        <v>0</v>
      </c>
      <c r="P231" t="n">
        <v>0</v>
      </c>
      <c r="Q231" t="n">
        <v>0</v>
      </c>
      <c r="R231" s="2" t="inlineStr"/>
    </row>
    <row r="232" ht="15" customHeight="1">
      <c r="A232" t="inlineStr">
        <is>
          <t>A 12411-2026</t>
        </is>
      </c>
      <c r="B232" s="1" t="n">
        <v>46090.42670138889</v>
      </c>
      <c r="C232" s="1" t="n">
        <v>46186</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53595-2023</t>
        </is>
      </c>
      <c r="B233" s="1" t="n">
        <v>45223</v>
      </c>
      <c r="C233" s="1" t="n">
        <v>46186</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18994-2025</t>
        </is>
      </c>
      <c r="B234" s="1" t="n">
        <v>45764.57350694444</v>
      </c>
      <c r="C234" s="1" t="n">
        <v>46186</v>
      </c>
      <c r="D234" t="inlineStr">
        <is>
          <t>UPPSALA LÄN</t>
        </is>
      </c>
      <c r="E234" t="inlineStr">
        <is>
          <t>ENKÖPING</t>
        </is>
      </c>
      <c r="G234" t="n">
        <v>3.8</v>
      </c>
      <c r="H234" t="n">
        <v>0</v>
      </c>
      <c r="I234" t="n">
        <v>0</v>
      </c>
      <c r="J234" t="n">
        <v>0</v>
      </c>
      <c r="K234" t="n">
        <v>0</v>
      </c>
      <c r="L234" t="n">
        <v>0</v>
      </c>
      <c r="M234" t="n">
        <v>0</v>
      </c>
      <c r="N234" t="n">
        <v>0</v>
      </c>
      <c r="O234" t="n">
        <v>0</v>
      </c>
      <c r="P234" t="n">
        <v>0</v>
      </c>
      <c r="Q234" t="n">
        <v>0</v>
      </c>
      <c r="R234" s="2" t="inlineStr"/>
    </row>
    <row r="235" ht="15" customHeight="1">
      <c r="A235" t="inlineStr">
        <is>
          <t>A 57848-2024</t>
        </is>
      </c>
      <c r="B235" s="1" t="n">
        <v>45631.40947916666</v>
      </c>
      <c r="C235" s="1" t="n">
        <v>46186</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49601-2024</t>
        </is>
      </c>
      <c r="B236" s="1" t="n">
        <v>45596.56288194445</v>
      </c>
      <c r="C236" s="1" t="n">
        <v>46186</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15893-2024</t>
        </is>
      </c>
      <c r="B237" s="1" t="n">
        <v>45405</v>
      </c>
      <c r="C237" s="1" t="n">
        <v>46186</v>
      </c>
      <c r="D237" t="inlineStr">
        <is>
          <t>UPPSALA LÄN</t>
        </is>
      </c>
      <c r="E237" t="inlineStr">
        <is>
          <t>ENKÖPING</t>
        </is>
      </c>
      <c r="G237" t="n">
        <v>1.9</v>
      </c>
      <c r="H237" t="n">
        <v>0</v>
      </c>
      <c r="I237" t="n">
        <v>0</v>
      </c>
      <c r="J237" t="n">
        <v>0</v>
      </c>
      <c r="K237" t="n">
        <v>0</v>
      </c>
      <c r="L237" t="n">
        <v>0</v>
      </c>
      <c r="M237" t="n">
        <v>0</v>
      </c>
      <c r="N237" t="n">
        <v>0</v>
      </c>
      <c r="O237" t="n">
        <v>0</v>
      </c>
      <c r="P237" t="n">
        <v>0</v>
      </c>
      <c r="Q237" t="n">
        <v>0</v>
      </c>
      <c r="R237" s="2" t="inlineStr"/>
    </row>
    <row r="238" ht="15" customHeight="1">
      <c r="A238" t="inlineStr">
        <is>
          <t>A 18028-2023</t>
        </is>
      </c>
      <c r="B238" s="1" t="n">
        <v>45040</v>
      </c>
      <c r="C238" s="1" t="n">
        <v>46186</v>
      </c>
      <c r="D238" t="inlineStr">
        <is>
          <t>UPPSALA LÄN</t>
        </is>
      </c>
      <c r="E238" t="inlineStr">
        <is>
          <t>ENKÖPING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5953-2026</t>
        </is>
      </c>
      <c r="B239" s="1" t="n">
        <v>46052.49119212963</v>
      </c>
      <c r="C239" s="1" t="n">
        <v>46186</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12996-2026</t>
        </is>
      </c>
      <c r="B240" s="1" t="n">
        <v>46092.68149305556</v>
      </c>
      <c r="C240" s="1" t="n">
        <v>46186</v>
      </c>
      <c r="D240" t="inlineStr">
        <is>
          <t>UPPSALA LÄN</t>
        </is>
      </c>
      <c r="E240" t="inlineStr">
        <is>
          <t>ENKÖPING</t>
        </is>
      </c>
      <c r="G240" t="n">
        <v>2</v>
      </c>
      <c r="H240" t="n">
        <v>0</v>
      </c>
      <c r="I240" t="n">
        <v>0</v>
      </c>
      <c r="J240" t="n">
        <v>0</v>
      </c>
      <c r="K240" t="n">
        <v>0</v>
      </c>
      <c r="L240" t="n">
        <v>0</v>
      </c>
      <c r="M240" t="n">
        <v>0</v>
      </c>
      <c r="N240" t="n">
        <v>0</v>
      </c>
      <c r="O240" t="n">
        <v>0</v>
      </c>
      <c r="P240" t="n">
        <v>0</v>
      </c>
      <c r="Q240" t="n">
        <v>0</v>
      </c>
      <c r="R240" s="2" t="inlineStr"/>
    </row>
    <row r="241" ht="15" customHeight="1">
      <c r="A241" t="inlineStr">
        <is>
          <t>A 48843-2023</t>
        </is>
      </c>
      <c r="B241" s="1" t="n">
        <v>45209</v>
      </c>
      <c r="C241" s="1" t="n">
        <v>46186</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33670-2024</t>
        </is>
      </c>
      <c r="B242" s="1" t="n">
        <v>45520</v>
      </c>
      <c r="C242" s="1" t="n">
        <v>46186</v>
      </c>
      <c r="D242" t="inlineStr">
        <is>
          <t>UPPSALA LÄN</t>
        </is>
      </c>
      <c r="E242" t="inlineStr">
        <is>
          <t>ENKÖPING</t>
        </is>
      </c>
      <c r="G242" t="n">
        <v>1.9</v>
      </c>
      <c r="H242" t="n">
        <v>0</v>
      </c>
      <c r="I242" t="n">
        <v>0</v>
      </c>
      <c r="J242" t="n">
        <v>0</v>
      </c>
      <c r="K242" t="n">
        <v>0</v>
      </c>
      <c r="L242" t="n">
        <v>0</v>
      </c>
      <c r="M242" t="n">
        <v>0</v>
      </c>
      <c r="N242" t="n">
        <v>0</v>
      </c>
      <c r="O242" t="n">
        <v>0</v>
      </c>
      <c r="P242" t="n">
        <v>0</v>
      </c>
      <c r="Q242" t="n">
        <v>0</v>
      </c>
      <c r="R242" s="2" t="inlineStr"/>
    </row>
    <row r="243" ht="15" customHeight="1">
      <c r="A243" t="inlineStr">
        <is>
          <t>A 13590-2026</t>
        </is>
      </c>
      <c r="B243" s="1" t="n">
        <v>46096</v>
      </c>
      <c r="C243" s="1" t="n">
        <v>46186</v>
      </c>
      <c r="D243" t="inlineStr">
        <is>
          <t>UPPSALA LÄN</t>
        </is>
      </c>
      <c r="E243" t="inlineStr">
        <is>
          <t>ENKÖPING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19376-2024</t>
        </is>
      </c>
      <c r="B244" s="1" t="n">
        <v>45429</v>
      </c>
      <c r="C244" s="1" t="n">
        <v>46186</v>
      </c>
      <c r="D244" t="inlineStr">
        <is>
          <t>UPPSALA LÄN</t>
        </is>
      </c>
      <c r="E244" t="inlineStr">
        <is>
          <t>ENKÖPING</t>
        </is>
      </c>
      <c r="G244" t="n">
        <v>1.6</v>
      </c>
      <c r="H244" t="n">
        <v>0</v>
      </c>
      <c r="I244" t="n">
        <v>0</v>
      </c>
      <c r="J244" t="n">
        <v>0</v>
      </c>
      <c r="K244" t="n">
        <v>0</v>
      </c>
      <c r="L244" t="n">
        <v>0</v>
      </c>
      <c r="M244" t="n">
        <v>0</v>
      </c>
      <c r="N244" t="n">
        <v>0</v>
      </c>
      <c r="O244" t="n">
        <v>0</v>
      </c>
      <c r="P244" t="n">
        <v>0</v>
      </c>
      <c r="Q244" t="n">
        <v>0</v>
      </c>
      <c r="R244" s="2" t="inlineStr"/>
    </row>
    <row r="245" ht="15" customHeight="1">
      <c r="A245" t="inlineStr">
        <is>
          <t>A 14229-2026</t>
        </is>
      </c>
      <c r="B245" s="1" t="n">
        <v>46099</v>
      </c>
      <c r="C245" s="1" t="n">
        <v>46186</v>
      </c>
      <c r="D245" t="inlineStr">
        <is>
          <t>UPPSALA LÄN</t>
        </is>
      </c>
      <c r="E245" t="inlineStr">
        <is>
          <t>ENKÖPING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14296-2026</t>
        </is>
      </c>
      <c r="B246" s="1" t="n">
        <v>46099.7181712963</v>
      </c>
      <c r="C246" s="1" t="n">
        <v>46186</v>
      </c>
      <c r="D246" t="inlineStr">
        <is>
          <t>UPPSALA LÄN</t>
        </is>
      </c>
      <c r="E246" t="inlineStr">
        <is>
          <t>ENKÖPING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14260-2026</t>
        </is>
      </c>
      <c r="B247" s="1" t="n">
        <v>46099.63395833333</v>
      </c>
      <c r="C247" s="1" t="n">
        <v>46186</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14182-2026</t>
        </is>
      </c>
      <c r="B248" s="1" t="n">
        <v>46099.49839120371</v>
      </c>
      <c r="C248" s="1" t="n">
        <v>46186</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14298-2026</t>
        </is>
      </c>
      <c r="B249" s="1" t="n">
        <v>46099</v>
      </c>
      <c r="C249" s="1" t="n">
        <v>46186</v>
      </c>
      <c r="D249" t="inlineStr">
        <is>
          <t>UPPSALA LÄN</t>
        </is>
      </c>
      <c r="E249" t="inlineStr">
        <is>
          <t>ENKÖPING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17844-2025</t>
        </is>
      </c>
      <c r="B250" s="1" t="n">
        <v>45758.59920138889</v>
      </c>
      <c r="C250" s="1" t="n">
        <v>46186</v>
      </c>
      <c r="D250" t="inlineStr">
        <is>
          <t>UPPSALA LÄN</t>
        </is>
      </c>
      <c r="E250" t="inlineStr">
        <is>
          <t>ENKÖPING</t>
        </is>
      </c>
      <c r="G250" t="n">
        <v>1.4</v>
      </c>
      <c r="H250" t="n">
        <v>0</v>
      </c>
      <c r="I250" t="n">
        <v>0</v>
      </c>
      <c r="J250" t="n">
        <v>0</v>
      </c>
      <c r="K250" t="n">
        <v>0</v>
      </c>
      <c r="L250" t="n">
        <v>0</v>
      </c>
      <c r="M250" t="n">
        <v>0</v>
      </c>
      <c r="N250" t="n">
        <v>0</v>
      </c>
      <c r="O250" t="n">
        <v>0</v>
      </c>
      <c r="P250" t="n">
        <v>0</v>
      </c>
      <c r="Q250" t="n">
        <v>0</v>
      </c>
      <c r="R250" s="2" t="inlineStr"/>
    </row>
    <row r="251" ht="15" customHeight="1">
      <c r="A251" t="inlineStr">
        <is>
          <t>A 14178-2026</t>
        </is>
      </c>
      <c r="B251" s="1" t="n">
        <v>46099.49608796297</v>
      </c>
      <c r="C251" s="1" t="n">
        <v>46186</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15003-2026</t>
        </is>
      </c>
      <c r="B252" s="1" t="n">
        <v>46104.60931712963</v>
      </c>
      <c r="C252" s="1" t="n">
        <v>46186</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10465-2022</t>
        </is>
      </c>
      <c r="B253" s="1" t="n">
        <v>44623</v>
      </c>
      <c r="C253" s="1" t="n">
        <v>46186</v>
      </c>
      <c r="D253" t="inlineStr">
        <is>
          <t>UPPSALA LÄN</t>
        </is>
      </c>
      <c r="E253" t="inlineStr">
        <is>
          <t>ENKÖPING</t>
        </is>
      </c>
      <c r="G253" t="n">
        <v>1.7</v>
      </c>
      <c r="H253" t="n">
        <v>0</v>
      </c>
      <c r="I253" t="n">
        <v>0</v>
      </c>
      <c r="J253" t="n">
        <v>0</v>
      </c>
      <c r="K253" t="n">
        <v>0</v>
      </c>
      <c r="L253" t="n">
        <v>0</v>
      </c>
      <c r="M253" t="n">
        <v>0</v>
      </c>
      <c r="N253" t="n">
        <v>0</v>
      </c>
      <c r="O253" t="n">
        <v>0</v>
      </c>
      <c r="P253" t="n">
        <v>0</v>
      </c>
      <c r="Q253" t="n">
        <v>0</v>
      </c>
      <c r="R253" s="2" t="inlineStr"/>
    </row>
    <row r="254" ht="15" customHeight="1">
      <c r="A254" t="inlineStr">
        <is>
          <t>A 14332-2024</t>
        </is>
      </c>
      <c r="B254" s="1" t="n">
        <v>45393</v>
      </c>
      <c r="C254" s="1" t="n">
        <v>46186</v>
      </c>
      <c r="D254" t="inlineStr">
        <is>
          <t>UPPSALA LÄN</t>
        </is>
      </c>
      <c r="E254" t="inlineStr">
        <is>
          <t>ENKÖPING</t>
        </is>
      </c>
      <c r="G254" t="n">
        <v>0.9</v>
      </c>
      <c r="H254" t="n">
        <v>0</v>
      </c>
      <c r="I254" t="n">
        <v>0</v>
      </c>
      <c r="J254" t="n">
        <v>0</v>
      </c>
      <c r="K254" t="n">
        <v>0</v>
      </c>
      <c r="L254" t="n">
        <v>0</v>
      </c>
      <c r="M254" t="n">
        <v>0</v>
      </c>
      <c r="N254" t="n">
        <v>0</v>
      </c>
      <c r="O254" t="n">
        <v>0</v>
      </c>
      <c r="P254" t="n">
        <v>0</v>
      </c>
      <c r="Q254" t="n">
        <v>0</v>
      </c>
      <c r="R254" s="2" t="inlineStr"/>
    </row>
    <row r="255" ht="15" customHeight="1">
      <c r="A255" t="inlineStr">
        <is>
          <t>A 15547-2026</t>
        </is>
      </c>
      <c r="B255" s="1" t="n">
        <v>46106.52613425926</v>
      </c>
      <c r="C255" s="1" t="n">
        <v>46186</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40812-2022</t>
        </is>
      </c>
      <c r="B256" s="1" t="n">
        <v>44824.68791666667</v>
      </c>
      <c r="C256" s="1" t="n">
        <v>46186</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25333-2023</t>
        </is>
      </c>
      <c r="B257" s="1" t="n">
        <v>45083</v>
      </c>
      <c r="C257" s="1" t="n">
        <v>46186</v>
      </c>
      <c r="D257" t="inlineStr">
        <is>
          <t>UPPSALA LÄN</t>
        </is>
      </c>
      <c r="E257" t="inlineStr">
        <is>
          <t>ENKÖPING</t>
        </is>
      </c>
      <c r="G257" t="n">
        <v>2.7</v>
      </c>
      <c r="H257" t="n">
        <v>0</v>
      </c>
      <c r="I257" t="n">
        <v>0</v>
      </c>
      <c r="J257" t="n">
        <v>0</v>
      </c>
      <c r="K257" t="n">
        <v>0</v>
      </c>
      <c r="L257" t="n">
        <v>0</v>
      </c>
      <c r="M257" t="n">
        <v>0</v>
      </c>
      <c r="N257" t="n">
        <v>0</v>
      </c>
      <c r="O257" t="n">
        <v>0</v>
      </c>
      <c r="P257" t="n">
        <v>0</v>
      </c>
      <c r="Q257" t="n">
        <v>0</v>
      </c>
      <c r="R257" s="2" t="inlineStr"/>
    </row>
    <row r="258" ht="15" customHeight="1">
      <c r="A258" t="inlineStr">
        <is>
          <t>A 3300-2025</t>
        </is>
      </c>
      <c r="B258" s="1" t="n">
        <v>45679</v>
      </c>
      <c r="C258" s="1" t="n">
        <v>46186</v>
      </c>
      <c r="D258" t="inlineStr">
        <is>
          <t>UPPSALA LÄN</t>
        </is>
      </c>
      <c r="E258" t="inlineStr">
        <is>
          <t>ENKÖPING</t>
        </is>
      </c>
      <c r="G258" t="n">
        <v>8.9</v>
      </c>
      <c r="H258" t="n">
        <v>0</v>
      </c>
      <c r="I258" t="n">
        <v>0</v>
      </c>
      <c r="J258" t="n">
        <v>0</v>
      </c>
      <c r="K258" t="n">
        <v>0</v>
      </c>
      <c r="L258" t="n">
        <v>0</v>
      </c>
      <c r="M258" t="n">
        <v>0</v>
      </c>
      <c r="N258" t="n">
        <v>0</v>
      </c>
      <c r="O258" t="n">
        <v>0</v>
      </c>
      <c r="P258" t="n">
        <v>0</v>
      </c>
      <c r="Q258" t="n">
        <v>0</v>
      </c>
      <c r="R258" s="2" t="inlineStr"/>
    </row>
    <row r="259" ht="15" customHeight="1">
      <c r="A259" t="inlineStr">
        <is>
          <t>A 12754-2025</t>
        </is>
      </c>
      <c r="B259" s="1" t="n">
        <v>45733.56331018519</v>
      </c>
      <c r="C259" s="1" t="n">
        <v>46186</v>
      </c>
      <c r="D259" t="inlineStr">
        <is>
          <t>UPPSALA LÄN</t>
        </is>
      </c>
      <c r="E259" t="inlineStr">
        <is>
          <t>ENKÖPING</t>
        </is>
      </c>
      <c r="G259" t="n">
        <v>0.7</v>
      </c>
      <c r="H259" t="n">
        <v>0</v>
      </c>
      <c r="I259" t="n">
        <v>0</v>
      </c>
      <c r="J259" t="n">
        <v>0</v>
      </c>
      <c r="K259" t="n">
        <v>0</v>
      </c>
      <c r="L259" t="n">
        <v>0</v>
      </c>
      <c r="M259" t="n">
        <v>0</v>
      </c>
      <c r="N259" t="n">
        <v>0</v>
      </c>
      <c r="O259" t="n">
        <v>0</v>
      </c>
      <c r="P259" t="n">
        <v>0</v>
      </c>
      <c r="Q259" t="n">
        <v>0</v>
      </c>
      <c r="R259" s="2" t="inlineStr"/>
    </row>
    <row r="260" ht="15" customHeight="1">
      <c r="A260" t="inlineStr">
        <is>
          <t>A 21501-2025</t>
        </is>
      </c>
      <c r="B260" s="1" t="n">
        <v>45782</v>
      </c>
      <c r="C260" s="1" t="n">
        <v>46186</v>
      </c>
      <c r="D260" t="inlineStr">
        <is>
          <t>UPPSALA LÄN</t>
        </is>
      </c>
      <c r="E260" t="inlineStr">
        <is>
          <t>ENKÖPING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21862-2026</t>
        </is>
      </c>
      <c r="B261" s="1" t="n">
        <v>46150.55599537037</v>
      </c>
      <c r="C261" s="1" t="n">
        <v>46186</v>
      </c>
      <c r="D261" t="inlineStr">
        <is>
          <t>UPPSALA LÄN</t>
        </is>
      </c>
      <c r="E261" t="inlineStr">
        <is>
          <t>ENKÖPING</t>
        </is>
      </c>
      <c r="G261" t="n">
        <v>4.1</v>
      </c>
      <c r="H261" t="n">
        <v>0</v>
      </c>
      <c r="I261" t="n">
        <v>0</v>
      </c>
      <c r="J261" t="n">
        <v>0</v>
      </c>
      <c r="K261" t="n">
        <v>0</v>
      </c>
      <c r="L261" t="n">
        <v>0</v>
      </c>
      <c r="M261" t="n">
        <v>0</v>
      </c>
      <c r="N261" t="n">
        <v>0</v>
      </c>
      <c r="O261" t="n">
        <v>0</v>
      </c>
      <c r="P261" t="n">
        <v>0</v>
      </c>
      <c r="Q261" t="n">
        <v>0</v>
      </c>
      <c r="R261" s="2" t="inlineStr"/>
    </row>
    <row r="262" ht="15" customHeight="1">
      <c r="A262" t="inlineStr">
        <is>
          <t>A 56713-2024</t>
        </is>
      </c>
      <c r="B262" s="1" t="n">
        <v>45628</v>
      </c>
      <c r="C262" s="1" t="n">
        <v>46186</v>
      </c>
      <c r="D262" t="inlineStr">
        <is>
          <t>UPPSALA LÄN</t>
        </is>
      </c>
      <c r="E262" t="inlineStr">
        <is>
          <t>ENKÖPING</t>
        </is>
      </c>
      <c r="G262" t="n">
        <v>1.7</v>
      </c>
      <c r="H262" t="n">
        <v>0</v>
      </c>
      <c r="I262" t="n">
        <v>0</v>
      </c>
      <c r="J262" t="n">
        <v>0</v>
      </c>
      <c r="K262" t="n">
        <v>0</v>
      </c>
      <c r="L262" t="n">
        <v>0</v>
      </c>
      <c r="M262" t="n">
        <v>0</v>
      </c>
      <c r="N262" t="n">
        <v>0</v>
      </c>
      <c r="O262" t="n">
        <v>0</v>
      </c>
      <c r="P262" t="n">
        <v>0</v>
      </c>
      <c r="Q262" t="n">
        <v>0</v>
      </c>
      <c r="R262" s="2" t="inlineStr"/>
    </row>
    <row r="263" ht="15" customHeight="1">
      <c r="A263" t="inlineStr">
        <is>
          <t>A 37870-2023</t>
        </is>
      </c>
      <c r="B263" s="1" t="n">
        <v>45160.41996527778</v>
      </c>
      <c r="C263" s="1" t="n">
        <v>46186</v>
      </c>
      <c r="D263" t="inlineStr">
        <is>
          <t>UPPSALA LÄN</t>
        </is>
      </c>
      <c r="E263" t="inlineStr">
        <is>
          <t>ENKÖPING</t>
        </is>
      </c>
      <c r="G263" t="n">
        <v>3.5</v>
      </c>
      <c r="H263" t="n">
        <v>0</v>
      </c>
      <c r="I263" t="n">
        <v>0</v>
      </c>
      <c r="J263" t="n">
        <v>0</v>
      </c>
      <c r="K263" t="n">
        <v>0</v>
      </c>
      <c r="L263" t="n">
        <v>0</v>
      </c>
      <c r="M263" t="n">
        <v>0</v>
      </c>
      <c r="N263" t="n">
        <v>0</v>
      </c>
      <c r="O263" t="n">
        <v>0</v>
      </c>
      <c r="P263" t="n">
        <v>0</v>
      </c>
      <c r="Q263" t="n">
        <v>0</v>
      </c>
      <c r="R263" s="2" t="inlineStr"/>
    </row>
    <row r="264" ht="15" customHeight="1">
      <c r="A264" t="inlineStr">
        <is>
          <t>A 22094-2023</t>
        </is>
      </c>
      <c r="B264" s="1" t="n">
        <v>45069</v>
      </c>
      <c r="C264" s="1" t="n">
        <v>46186</v>
      </c>
      <c r="D264" t="inlineStr">
        <is>
          <t>UPPSALA LÄN</t>
        </is>
      </c>
      <c r="E264" t="inlineStr">
        <is>
          <t>ENKÖPING</t>
        </is>
      </c>
      <c r="G264" t="n">
        <v>2.1</v>
      </c>
      <c r="H264" t="n">
        <v>0</v>
      </c>
      <c r="I264" t="n">
        <v>0</v>
      </c>
      <c r="J264" t="n">
        <v>0</v>
      </c>
      <c r="K264" t="n">
        <v>0</v>
      </c>
      <c r="L264" t="n">
        <v>0</v>
      </c>
      <c r="M264" t="n">
        <v>0</v>
      </c>
      <c r="N264" t="n">
        <v>0</v>
      </c>
      <c r="O264" t="n">
        <v>0</v>
      </c>
      <c r="P264" t="n">
        <v>0</v>
      </c>
      <c r="Q264" t="n">
        <v>0</v>
      </c>
      <c r="R264" s="2" t="inlineStr"/>
    </row>
    <row r="265" ht="15" customHeight="1">
      <c r="A265" t="inlineStr">
        <is>
          <t>A 35079-2024</t>
        </is>
      </c>
      <c r="B265" s="1" t="n">
        <v>45527.66770833333</v>
      </c>
      <c r="C265" s="1" t="n">
        <v>46186</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33581-2023</t>
        </is>
      </c>
      <c r="B266" s="1" t="n">
        <v>45131</v>
      </c>
      <c r="C266" s="1" t="n">
        <v>46186</v>
      </c>
      <c r="D266" t="inlineStr">
        <is>
          <t>UPPSALA LÄN</t>
        </is>
      </c>
      <c r="E266" t="inlineStr">
        <is>
          <t>ENKÖPING</t>
        </is>
      </c>
      <c r="G266" t="n">
        <v>3.5</v>
      </c>
      <c r="H266" t="n">
        <v>0</v>
      </c>
      <c r="I266" t="n">
        <v>0</v>
      </c>
      <c r="J266" t="n">
        <v>0</v>
      </c>
      <c r="K266" t="n">
        <v>0</v>
      </c>
      <c r="L266" t="n">
        <v>0</v>
      </c>
      <c r="M266" t="n">
        <v>0</v>
      </c>
      <c r="N266" t="n">
        <v>0</v>
      </c>
      <c r="O266" t="n">
        <v>0</v>
      </c>
      <c r="P266" t="n">
        <v>0</v>
      </c>
      <c r="Q266" t="n">
        <v>0</v>
      </c>
      <c r="R266" s="2" t="inlineStr"/>
    </row>
    <row r="267" ht="15" customHeight="1">
      <c r="A267" t="inlineStr">
        <is>
          <t>A 56163-2021</t>
        </is>
      </c>
      <c r="B267" s="1" t="n">
        <v>44477</v>
      </c>
      <c r="C267" s="1" t="n">
        <v>46186</v>
      </c>
      <c r="D267" t="inlineStr">
        <is>
          <t>UPPSALA LÄN</t>
        </is>
      </c>
      <c r="E267" t="inlineStr">
        <is>
          <t>ENKÖPING</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47909-2024</t>
        </is>
      </c>
      <c r="B268" s="1" t="n">
        <v>45589.31866898148</v>
      </c>
      <c r="C268" s="1" t="n">
        <v>46186</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51932-2022</t>
        </is>
      </c>
      <c r="B269" s="1" t="n">
        <v>44872</v>
      </c>
      <c r="C269" s="1" t="n">
        <v>46186</v>
      </c>
      <c r="D269" t="inlineStr">
        <is>
          <t>UPPSALA LÄN</t>
        </is>
      </c>
      <c r="E269" t="inlineStr">
        <is>
          <t>ENKÖPING</t>
        </is>
      </c>
      <c r="G269" t="n">
        <v>5.5</v>
      </c>
      <c r="H269" t="n">
        <v>0</v>
      </c>
      <c r="I269" t="n">
        <v>0</v>
      </c>
      <c r="J269" t="n">
        <v>0</v>
      </c>
      <c r="K269" t="n">
        <v>0</v>
      </c>
      <c r="L269" t="n">
        <v>0</v>
      </c>
      <c r="M269" t="n">
        <v>0</v>
      </c>
      <c r="N269" t="n">
        <v>0</v>
      </c>
      <c r="O269" t="n">
        <v>0</v>
      </c>
      <c r="P269" t="n">
        <v>0</v>
      </c>
      <c r="Q269" t="n">
        <v>0</v>
      </c>
      <c r="R269" s="2" t="inlineStr"/>
    </row>
    <row r="270" ht="15" customHeight="1">
      <c r="A270" t="inlineStr">
        <is>
          <t>A 22315-2026</t>
        </is>
      </c>
      <c r="B270" s="1" t="n">
        <v>46154.49106481481</v>
      </c>
      <c r="C270" s="1" t="n">
        <v>46186</v>
      </c>
      <c r="D270" t="inlineStr">
        <is>
          <t>UPPSALA LÄN</t>
        </is>
      </c>
      <c r="E270" t="inlineStr">
        <is>
          <t>ENKÖPING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36350-2025</t>
        </is>
      </c>
      <c r="B271" s="1" t="n">
        <v>45868</v>
      </c>
      <c r="C271" s="1" t="n">
        <v>46186</v>
      </c>
      <c r="D271" t="inlineStr">
        <is>
          <t>UPPSALA LÄN</t>
        </is>
      </c>
      <c r="E271" t="inlineStr">
        <is>
          <t>ENKÖPING</t>
        </is>
      </c>
      <c r="G271" t="n">
        <v>1.9</v>
      </c>
      <c r="H271" t="n">
        <v>0</v>
      </c>
      <c r="I271" t="n">
        <v>0</v>
      </c>
      <c r="J271" t="n">
        <v>0</v>
      </c>
      <c r="K271" t="n">
        <v>0</v>
      </c>
      <c r="L271" t="n">
        <v>0</v>
      </c>
      <c r="M271" t="n">
        <v>0</v>
      </c>
      <c r="N271" t="n">
        <v>0</v>
      </c>
      <c r="O271" t="n">
        <v>0</v>
      </c>
      <c r="P271" t="n">
        <v>0</v>
      </c>
      <c r="Q271" t="n">
        <v>0</v>
      </c>
      <c r="R271" s="2" t="inlineStr"/>
    </row>
    <row r="272" ht="15" customHeight="1">
      <c r="A272" t="inlineStr">
        <is>
          <t>A 17418-2026</t>
        </is>
      </c>
      <c r="B272" s="1" t="n">
        <v>46120.3591087963</v>
      </c>
      <c r="C272" s="1" t="n">
        <v>46186</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59497-2022</t>
        </is>
      </c>
      <c r="B273" s="1" t="n">
        <v>44907.48258101852</v>
      </c>
      <c r="C273" s="1" t="n">
        <v>46186</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9041-2023</t>
        </is>
      </c>
      <c r="B274" s="1" t="n">
        <v>44979</v>
      </c>
      <c r="C274" s="1" t="n">
        <v>46186</v>
      </c>
      <c r="D274" t="inlineStr">
        <is>
          <t>UPPSALA LÄN</t>
        </is>
      </c>
      <c r="E274" t="inlineStr">
        <is>
          <t>ENKÖPING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23202-2026</t>
        </is>
      </c>
      <c r="B275" s="1" t="n">
        <v>46162.19833333333</v>
      </c>
      <c r="C275" s="1" t="n">
        <v>46186</v>
      </c>
      <c r="D275" t="inlineStr">
        <is>
          <t>UPPSALA LÄN</t>
        </is>
      </c>
      <c r="E275" t="inlineStr">
        <is>
          <t>ENKÖPING</t>
        </is>
      </c>
      <c r="G275" t="n">
        <v>1.2</v>
      </c>
      <c r="H275" t="n">
        <v>0</v>
      </c>
      <c r="I275" t="n">
        <v>0</v>
      </c>
      <c r="J275" t="n">
        <v>0</v>
      </c>
      <c r="K275" t="n">
        <v>0</v>
      </c>
      <c r="L275" t="n">
        <v>0</v>
      </c>
      <c r="M275" t="n">
        <v>0</v>
      </c>
      <c r="N275" t="n">
        <v>0</v>
      </c>
      <c r="O275" t="n">
        <v>0</v>
      </c>
      <c r="P275" t="n">
        <v>0</v>
      </c>
      <c r="Q275" t="n">
        <v>0</v>
      </c>
      <c r="R275" s="2" t="inlineStr"/>
    </row>
    <row r="276" ht="15" customHeight="1">
      <c r="A276" t="inlineStr">
        <is>
          <t>A 17419-2026</t>
        </is>
      </c>
      <c r="B276" s="1" t="n">
        <v>46120.36064814815</v>
      </c>
      <c r="C276" s="1" t="n">
        <v>46186</v>
      </c>
      <c r="D276" t="inlineStr">
        <is>
          <t>UPPSALA LÄN</t>
        </is>
      </c>
      <c r="E276" t="inlineStr">
        <is>
          <t>ENKÖPING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12755-2025</t>
        </is>
      </c>
      <c r="B277" s="1" t="n">
        <v>45733.56541666666</v>
      </c>
      <c r="C277" s="1" t="n">
        <v>46186</v>
      </c>
      <c r="D277" t="inlineStr">
        <is>
          <t>UPPSALA LÄN</t>
        </is>
      </c>
      <c r="E277" t="inlineStr">
        <is>
          <t>ENKÖPING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59027-2024</t>
        </is>
      </c>
      <c r="B278" s="1" t="n">
        <v>45636.68755787037</v>
      </c>
      <c r="C278" s="1" t="n">
        <v>46186</v>
      </c>
      <c r="D278" t="inlineStr">
        <is>
          <t>UPPSALA LÄN</t>
        </is>
      </c>
      <c r="E278" t="inlineStr">
        <is>
          <t>ENKÖPING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36599-2025</t>
        </is>
      </c>
      <c r="B279" s="1" t="n">
        <v>45870.51723379629</v>
      </c>
      <c r="C279" s="1" t="n">
        <v>46186</v>
      </c>
      <c r="D279" t="inlineStr">
        <is>
          <t>UPPSALA LÄN</t>
        </is>
      </c>
      <c r="E279" t="inlineStr">
        <is>
          <t>ENKÖPING</t>
        </is>
      </c>
      <c r="G279" t="n">
        <v>5.9</v>
      </c>
      <c r="H279" t="n">
        <v>0</v>
      </c>
      <c r="I279" t="n">
        <v>0</v>
      </c>
      <c r="J279" t="n">
        <v>0</v>
      </c>
      <c r="K279" t="n">
        <v>0</v>
      </c>
      <c r="L279" t="n">
        <v>0</v>
      </c>
      <c r="M279" t="n">
        <v>0</v>
      </c>
      <c r="N279" t="n">
        <v>0</v>
      </c>
      <c r="O279" t="n">
        <v>0</v>
      </c>
      <c r="P279" t="n">
        <v>0</v>
      </c>
      <c r="Q279" t="n">
        <v>0</v>
      </c>
      <c r="R279" s="2" t="inlineStr"/>
    </row>
    <row r="280" ht="15" customHeight="1">
      <c r="A280" t="inlineStr">
        <is>
          <t>A 25334-2023</t>
        </is>
      </c>
      <c r="B280" s="1" t="n">
        <v>45083</v>
      </c>
      <c r="C280" s="1" t="n">
        <v>46186</v>
      </c>
      <c r="D280" t="inlineStr">
        <is>
          <t>UPPSALA LÄN</t>
        </is>
      </c>
      <c r="E280" t="inlineStr">
        <is>
          <t>ENKÖPING</t>
        </is>
      </c>
      <c r="G280" t="n">
        <v>0.2</v>
      </c>
      <c r="H280" t="n">
        <v>0</v>
      </c>
      <c r="I280" t="n">
        <v>0</v>
      </c>
      <c r="J280" t="n">
        <v>0</v>
      </c>
      <c r="K280" t="n">
        <v>0</v>
      </c>
      <c r="L280" t="n">
        <v>0</v>
      </c>
      <c r="M280" t="n">
        <v>0</v>
      </c>
      <c r="N280" t="n">
        <v>0</v>
      </c>
      <c r="O280" t="n">
        <v>0</v>
      </c>
      <c r="P280" t="n">
        <v>0</v>
      </c>
      <c r="Q280" t="n">
        <v>0</v>
      </c>
      <c r="R280" s="2" t="inlineStr"/>
    </row>
    <row r="281" ht="15" customHeight="1">
      <c r="A281" t="inlineStr">
        <is>
          <t>A 56837-2024</t>
        </is>
      </c>
      <c r="B281" s="1" t="n">
        <v>45628</v>
      </c>
      <c r="C281" s="1" t="n">
        <v>46186</v>
      </c>
      <c r="D281" t="inlineStr">
        <is>
          <t>UPPSALA LÄN</t>
        </is>
      </c>
      <c r="E281" t="inlineStr">
        <is>
          <t>ENKÖPING</t>
        </is>
      </c>
      <c r="G281" t="n">
        <v>2.2</v>
      </c>
      <c r="H281" t="n">
        <v>0</v>
      </c>
      <c r="I281" t="n">
        <v>0</v>
      </c>
      <c r="J281" t="n">
        <v>0</v>
      </c>
      <c r="K281" t="n">
        <v>0</v>
      </c>
      <c r="L281" t="n">
        <v>0</v>
      </c>
      <c r="M281" t="n">
        <v>0</v>
      </c>
      <c r="N281" t="n">
        <v>0</v>
      </c>
      <c r="O281" t="n">
        <v>0</v>
      </c>
      <c r="P281" t="n">
        <v>0</v>
      </c>
      <c r="Q281" t="n">
        <v>0</v>
      </c>
      <c r="R281" s="2" t="inlineStr"/>
    </row>
    <row r="282" ht="15" customHeight="1">
      <c r="A282" t="inlineStr">
        <is>
          <t>A 23889-2026</t>
        </is>
      </c>
      <c r="B282" s="1" t="n">
        <v>46167.45914351852</v>
      </c>
      <c r="C282" s="1" t="n">
        <v>46186</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40773-2022</t>
        </is>
      </c>
      <c r="B283" s="1" t="n">
        <v>44824.61237268519</v>
      </c>
      <c r="C283" s="1" t="n">
        <v>46186</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49622-2024</t>
        </is>
      </c>
      <c r="B284" s="1" t="n">
        <v>45596.58372685185</v>
      </c>
      <c r="C284" s="1" t="n">
        <v>46186</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18821-2023</t>
        </is>
      </c>
      <c r="B285" s="1" t="n">
        <v>45044.3782175926</v>
      </c>
      <c r="C285" s="1" t="n">
        <v>46186</v>
      </c>
      <c r="D285" t="inlineStr">
        <is>
          <t>UPPSALA LÄN</t>
        </is>
      </c>
      <c r="E285" t="inlineStr">
        <is>
          <t>ENKÖPING</t>
        </is>
      </c>
      <c r="G285" t="n">
        <v>6</v>
      </c>
      <c r="H285" t="n">
        <v>0</v>
      </c>
      <c r="I285" t="n">
        <v>0</v>
      </c>
      <c r="J285" t="n">
        <v>0</v>
      </c>
      <c r="K285" t="n">
        <v>0</v>
      </c>
      <c r="L285" t="n">
        <v>0</v>
      </c>
      <c r="M285" t="n">
        <v>0</v>
      </c>
      <c r="N285" t="n">
        <v>0</v>
      </c>
      <c r="O285" t="n">
        <v>0</v>
      </c>
      <c r="P285" t="n">
        <v>0</v>
      </c>
      <c r="Q285" t="n">
        <v>0</v>
      </c>
      <c r="R285" s="2" t="inlineStr"/>
    </row>
    <row r="286" ht="15" customHeight="1">
      <c r="A286" t="inlineStr">
        <is>
          <t>A 62599-2025</t>
        </is>
      </c>
      <c r="B286" s="1" t="n">
        <v>46007.91961805556</v>
      </c>
      <c r="C286" s="1" t="n">
        <v>46186</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16967-2022</t>
        </is>
      </c>
      <c r="B287" s="1" t="n">
        <v>44676</v>
      </c>
      <c r="C287" s="1" t="n">
        <v>46186</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23882-2026</t>
        </is>
      </c>
      <c r="B288" s="1" t="n">
        <v>46167.448125</v>
      </c>
      <c r="C288" s="1" t="n">
        <v>46186</v>
      </c>
      <c r="D288" t="inlineStr">
        <is>
          <t>UPPSALA LÄN</t>
        </is>
      </c>
      <c r="E288" t="inlineStr">
        <is>
          <t>ENKÖPING</t>
        </is>
      </c>
      <c r="G288" t="n">
        <v>8.5</v>
      </c>
      <c r="H288" t="n">
        <v>0</v>
      </c>
      <c r="I288" t="n">
        <v>0</v>
      </c>
      <c r="J288" t="n">
        <v>0</v>
      </c>
      <c r="K288" t="n">
        <v>0</v>
      </c>
      <c r="L288" t="n">
        <v>0</v>
      </c>
      <c r="M288" t="n">
        <v>0</v>
      </c>
      <c r="N288" t="n">
        <v>0</v>
      </c>
      <c r="O288" t="n">
        <v>0</v>
      </c>
      <c r="P288" t="n">
        <v>0</v>
      </c>
      <c r="Q288" t="n">
        <v>0</v>
      </c>
      <c r="R288" s="2" t="inlineStr"/>
    </row>
    <row r="289" ht="15" customHeight="1">
      <c r="A289" t="inlineStr">
        <is>
          <t>A 53208-2023</t>
        </is>
      </c>
      <c r="B289" s="1" t="n">
        <v>45226</v>
      </c>
      <c r="C289" s="1" t="n">
        <v>46186</v>
      </c>
      <c r="D289" t="inlineStr">
        <is>
          <t>UPPSALA LÄN</t>
        </is>
      </c>
      <c r="E289" t="inlineStr">
        <is>
          <t>ENKÖPING</t>
        </is>
      </c>
      <c r="G289" t="n">
        <v>4.3</v>
      </c>
      <c r="H289" t="n">
        <v>0</v>
      </c>
      <c r="I289" t="n">
        <v>0</v>
      </c>
      <c r="J289" t="n">
        <v>0</v>
      </c>
      <c r="K289" t="n">
        <v>0</v>
      </c>
      <c r="L289" t="n">
        <v>0</v>
      </c>
      <c r="M289" t="n">
        <v>0</v>
      </c>
      <c r="N289" t="n">
        <v>0</v>
      </c>
      <c r="O289" t="n">
        <v>0</v>
      </c>
      <c r="P289" t="n">
        <v>0</v>
      </c>
      <c r="Q289" t="n">
        <v>0</v>
      </c>
      <c r="R289" s="2" t="inlineStr"/>
    </row>
    <row r="290" ht="15" customHeight="1">
      <c r="A290" t="inlineStr">
        <is>
          <t>A 9257-2026</t>
        </is>
      </c>
      <c r="B290" s="1" t="n">
        <v>46070.51166666667</v>
      </c>
      <c r="C290" s="1" t="n">
        <v>46186</v>
      </c>
      <c r="D290" t="inlineStr">
        <is>
          <t>UPPSALA LÄN</t>
        </is>
      </c>
      <c r="E290" t="inlineStr">
        <is>
          <t>ENKÖPING</t>
        </is>
      </c>
      <c r="G290" t="n">
        <v>2.6</v>
      </c>
      <c r="H290" t="n">
        <v>0</v>
      </c>
      <c r="I290" t="n">
        <v>0</v>
      </c>
      <c r="J290" t="n">
        <v>0</v>
      </c>
      <c r="K290" t="n">
        <v>0</v>
      </c>
      <c r="L290" t="n">
        <v>0</v>
      </c>
      <c r="M290" t="n">
        <v>0</v>
      </c>
      <c r="N290" t="n">
        <v>0</v>
      </c>
      <c r="O290" t="n">
        <v>0</v>
      </c>
      <c r="P290" t="n">
        <v>0</v>
      </c>
      <c r="Q290" t="n">
        <v>0</v>
      </c>
      <c r="R290" s="2" t="inlineStr"/>
    </row>
    <row r="291" ht="15" customHeight="1">
      <c r="A291" t="inlineStr">
        <is>
          <t>A 18644-2026</t>
        </is>
      </c>
      <c r="B291" s="1" t="n">
        <v>46128.33157407407</v>
      </c>
      <c r="C291" s="1" t="n">
        <v>46186</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19013-2025</t>
        </is>
      </c>
      <c r="B292" s="1" t="n">
        <v>45764.59533564815</v>
      </c>
      <c r="C292" s="1" t="n">
        <v>46186</v>
      </c>
      <c r="D292" t="inlineStr">
        <is>
          <t>UPPSALA LÄN</t>
        </is>
      </c>
      <c r="E292" t="inlineStr">
        <is>
          <t>ENKÖPING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18643-2026</t>
        </is>
      </c>
      <c r="B293" s="1" t="n">
        <v>46128.33024305556</v>
      </c>
      <c r="C293" s="1" t="n">
        <v>46186</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18806-2026</t>
        </is>
      </c>
      <c r="B294" s="1" t="n">
        <v>46128.63238425926</v>
      </c>
      <c r="C294" s="1" t="n">
        <v>46186</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2164-2023</t>
        </is>
      </c>
      <c r="B295" s="1" t="n">
        <v>44941</v>
      </c>
      <c r="C295" s="1" t="n">
        <v>46186</v>
      </c>
      <c r="D295" t="inlineStr">
        <is>
          <t>UPPSALA LÄN</t>
        </is>
      </c>
      <c r="E295" t="inlineStr">
        <is>
          <t>ENKÖPING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18565-2026</t>
        </is>
      </c>
      <c r="B296" s="1" t="n">
        <v>46127.5871412037</v>
      </c>
      <c r="C296" s="1" t="n">
        <v>46186</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6041-2026</t>
        </is>
      </c>
      <c r="B297" s="1" t="n">
        <v>46052.62184027778</v>
      </c>
      <c r="C297" s="1" t="n">
        <v>46186</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6044-2026</t>
        </is>
      </c>
      <c r="B298" s="1" t="n">
        <v>46052.62506944445</v>
      </c>
      <c r="C298" s="1" t="n">
        <v>46186</v>
      </c>
      <c r="D298" t="inlineStr">
        <is>
          <t>UPPSALA LÄN</t>
        </is>
      </c>
      <c r="E298" t="inlineStr">
        <is>
          <t>ENKÖPING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61952-2021</t>
        </is>
      </c>
      <c r="B299" s="1" t="n">
        <v>44502</v>
      </c>
      <c r="C299" s="1" t="n">
        <v>46186</v>
      </c>
      <c r="D299" t="inlineStr">
        <is>
          <t>UPPSALA LÄN</t>
        </is>
      </c>
      <c r="E299" t="inlineStr">
        <is>
          <t>ENKÖPING</t>
        </is>
      </c>
      <c r="G299" t="n">
        <v>2.3</v>
      </c>
      <c r="H299" t="n">
        <v>0</v>
      </c>
      <c r="I299" t="n">
        <v>0</v>
      </c>
      <c r="J299" t="n">
        <v>0</v>
      </c>
      <c r="K299" t="n">
        <v>0</v>
      </c>
      <c r="L299" t="n">
        <v>0</v>
      </c>
      <c r="M299" t="n">
        <v>0</v>
      </c>
      <c r="N299" t="n">
        <v>0</v>
      </c>
      <c r="O299" t="n">
        <v>0</v>
      </c>
      <c r="P299" t="n">
        <v>0</v>
      </c>
      <c r="Q299" t="n">
        <v>0</v>
      </c>
      <c r="R299" s="2" t="inlineStr"/>
    </row>
    <row r="300" ht="15" customHeight="1">
      <c r="A300" t="inlineStr">
        <is>
          <t>A 69879-2021</t>
        </is>
      </c>
      <c r="B300" s="1" t="n">
        <v>44532</v>
      </c>
      <c r="C300" s="1" t="n">
        <v>46186</v>
      </c>
      <c r="D300" t="inlineStr">
        <is>
          <t>UPPSALA LÄN</t>
        </is>
      </c>
      <c r="E300" t="inlineStr">
        <is>
          <t>ENKÖPING</t>
        </is>
      </c>
      <c r="G300" t="n">
        <v>4.2</v>
      </c>
      <c r="H300" t="n">
        <v>0</v>
      </c>
      <c r="I300" t="n">
        <v>0</v>
      </c>
      <c r="J300" t="n">
        <v>0</v>
      </c>
      <c r="K300" t="n">
        <v>0</v>
      </c>
      <c r="L300" t="n">
        <v>0</v>
      </c>
      <c r="M300" t="n">
        <v>0</v>
      </c>
      <c r="N300" t="n">
        <v>0</v>
      </c>
      <c r="O300" t="n">
        <v>0</v>
      </c>
      <c r="P300" t="n">
        <v>0</v>
      </c>
      <c r="Q300" t="n">
        <v>0</v>
      </c>
      <c r="R300" s="2" t="inlineStr"/>
    </row>
    <row r="301" ht="15" customHeight="1">
      <c r="A301" t="inlineStr">
        <is>
          <t>A 18562-2026</t>
        </is>
      </c>
      <c r="B301" s="1" t="n">
        <v>46127</v>
      </c>
      <c r="C301" s="1" t="n">
        <v>46186</v>
      </c>
      <c r="D301" t="inlineStr">
        <is>
          <t>UPPSALA LÄN</t>
        </is>
      </c>
      <c r="E301" t="inlineStr">
        <is>
          <t>ENKÖPING</t>
        </is>
      </c>
      <c r="G301" t="n">
        <v>4</v>
      </c>
      <c r="H301" t="n">
        <v>0</v>
      </c>
      <c r="I301" t="n">
        <v>0</v>
      </c>
      <c r="J301" t="n">
        <v>0</v>
      </c>
      <c r="K301" t="n">
        <v>0</v>
      </c>
      <c r="L301" t="n">
        <v>0</v>
      </c>
      <c r="M301" t="n">
        <v>0</v>
      </c>
      <c r="N301" t="n">
        <v>0</v>
      </c>
      <c r="O301" t="n">
        <v>0</v>
      </c>
      <c r="P301" t="n">
        <v>0</v>
      </c>
      <c r="Q301" t="n">
        <v>0</v>
      </c>
      <c r="R301" s="2" t="inlineStr"/>
    </row>
    <row r="302" ht="15" customHeight="1">
      <c r="A302" t="inlineStr">
        <is>
          <t>A 24887-2026</t>
        </is>
      </c>
      <c r="B302" s="1" t="n">
        <v>46174.45263888889</v>
      </c>
      <c r="C302" s="1" t="n">
        <v>46186</v>
      </c>
      <c r="D302" t="inlineStr">
        <is>
          <t>UPPSALA LÄN</t>
        </is>
      </c>
      <c r="E302" t="inlineStr">
        <is>
          <t>ENKÖPING</t>
        </is>
      </c>
      <c r="G302" t="n">
        <v>8</v>
      </c>
      <c r="H302" t="n">
        <v>0</v>
      </c>
      <c r="I302" t="n">
        <v>0</v>
      </c>
      <c r="J302" t="n">
        <v>0</v>
      </c>
      <c r="K302" t="n">
        <v>0</v>
      </c>
      <c r="L302" t="n">
        <v>0</v>
      </c>
      <c r="M302" t="n">
        <v>0</v>
      </c>
      <c r="N302" t="n">
        <v>0</v>
      </c>
      <c r="O302" t="n">
        <v>0</v>
      </c>
      <c r="P302" t="n">
        <v>0</v>
      </c>
      <c r="Q302" t="n">
        <v>0</v>
      </c>
      <c r="R302" s="2" t="inlineStr"/>
    </row>
    <row r="303" ht="15" customHeight="1">
      <c r="A303" t="inlineStr">
        <is>
          <t>A 15757-2023</t>
        </is>
      </c>
      <c r="B303" s="1" t="n">
        <v>45021</v>
      </c>
      <c r="C303" s="1" t="n">
        <v>46186</v>
      </c>
      <c r="D303" t="inlineStr">
        <is>
          <t>UPPSALA LÄN</t>
        </is>
      </c>
      <c r="E303" t="inlineStr">
        <is>
          <t>ENKÖPING</t>
        </is>
      </c>
      <c r="G303" t="n">
        <v>3</v>
      </c>
      <c r="H303" t="n">
        <v>0</v>
      </c>
      <c r="I303" t="n">
        <v>0</v>
      </c>
      <c r="J303" t="n">
        <v>0</v>
      </c>
      <c r="K303" t="n">
        <v>0</v>
      </c>
      <c r="L303" t="n">
        <v>0</v>
      </c>
      <c r="M303" t="n">
        <v>0</v>
      </c>
      <c r="N303" t="n">
        <v>0</v>
      </c>
      <c r="O303" t="n">
        <v>0</v>
      </c>
      <c r="P303" t="n">
        <v>0</v>
      </c>
      <c r="Q303" t="n">
        <v>0</v>
      </c>
      <c r="R303" s="2" t="inlineStr"/>
    </row>
    <row r="304" ht="15" customHeight="1">
      <c r="A304" t="inlineStr">
        <is>
          <t>A 2161-2023</t>
        </is>
      </c>
      <c r="B304" s="1" t="n">
        <v>44941</v>
      </c>
      <c r="C304" s="1" t="n">
        <v>46186</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2165-2023</t>
        </is>
      </c>
      <c r="B305" s="1" t="n">
        <v>44941</v>
      </c>
      <c r="C305" s="1" t="n">
        <v>46186</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20112-2024</t>
        </is>
      </c>
      <c r="B306" s="1" t="n">
        <v>45434</v>
      </c>
      <c r="C306" s="1" t="n">
        <v>46186</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2162-2023</t>
        </is>
      </c>
      <c r="B307" s="1" t="n">
        <v>44941</v>
      </c>
      <c r="C307" s="1" t="n">
        <v>46186</v>
      </c>
      <c r="D307" t="inlineStr">
        <is>
          <t>UPPSALA LÄN</t>
        </is>
      </c>
      <c r="E307" t="inlineStr">
        <is>
          <t>ENKÖPING</t>
        </is>
      </c>
      <c r="G307" t="n">
        <v>2.4</v>
      </c>
      <c r="H307" t="n">
        <v>0</v>
      </c>
      <c r="I307" t="n">
        <v>0</v>
      </c>
      <c r="J307" t="n">
        <v>0</v>
      </c>
      <c r="K307" t="n">
        <v>0</v>
      </c>
      <c r="L307" t="n">
        <v>0</v>
      </c>
      <c r="M307" t="n">
        <v>0</v>
      </c>
      <c r="N307" t="n">
        <v>0</v>
      </c>
      <c r="O307" t="n">
        <v>0</v>
      </c>
      <c r="P307" t="n">
        <v>0</v>
      </c>
      <c r="Q307" t="n">
        <v>0</v>
      </c>
      <c r="R307" s="2" t="inlineStr"/>
    </row>
    <row r="308" ht="15" customHeight="1">
      <c r="A308" t="inlineStr">
        <is>
          <t>A 32081-2024</t>
        </is>
      </c>
      <c r="B308" s="1" t="n">
        <v>45511.34605324074</v>
      </c>
      <c r="C308" s="1" t="n">
        <v>46186</v>
      </c>
      <c r="D308" t="inlineStr">
        <is>
          <t>UPPSALA LÄN</t>
        </is>
      </c>
      <c r="E308" t="inlineStr">
        <is>
          <t>ENKÖPING</t>
        </is>
      </c>
      <c r="G308" t="n">
        <v>5.4</v>
      </c>
      <c r="H308" t="n">
        <v>0</v>
      </c>
      <c r="I308" t="n">
        <v>0</v>
      </c>
      <c r="J308" t="n">
        <v>0</v>
      </c>
      <c r="K308" t="n">
        <v>0</v>
      </c>
      <c r="L308" t="n">
        <v>0</v>
      </c>
      <c r="M308" t="n">
        <v>0</v>
      </c>
      <c r="N308" t="n">
        <v>0</v>
      </c>
      <c r="O308" t="n">
        <v>0</v>
      </c>
      <c r="P308" t="n">
        <v>0</v>
      </c>
      <c r="Q308" t="n">
        <v>0</v>
      </c>
      <c r="R308" s="2" t="inlineStr"/>
    </row>
    <row r="309" ht="15" customHeight="1">
      <c r="A309" t="inlineStr">
        <is>
          <t>A 49525-2021</t>
        </is>
      </c>
      <c r="B309" s="1" t="n">
        <v>44455</v>
      </c>
      <c r="C309" s="1" t="n">
        <v>46186</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6959-2025</t>
        </is>
      </c>
      <c r="B310" s="1" t="n">
        <v>45701.49315972222</v>
      </c>
      <c r="C310" s="1" t="n">
        <v>46186</v>
      </c>
      <c r="D310" t="inlineStr">
        <is>
          <t>UPPSALA LÄN</t>
        </is>
      </c>
      <c r="E310" t="inlineStr">
        <is>
          <t>ENKÖPING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30437-2022</t>
        </is>
      </c>
      <c r="B311" s="1" t="n">
        <v>44761</v>
      </c>
      <c r="C311" s="1" t="n">
        <v>46186</v>
      </c>
      <c r="D311" t="inlineStr">
        <is>
          <t>UPPSALA LÄN</t>
        </is>
      </c>
      <c r="E311" t="inlineStr">
        <is>
          <t>ENKÖPING</t>
        </is>
      </c>
      <c r="G311" t="n">
        <v>3.4</v>
      </c>
      <c r="H311" t="n">
        <v>0</v>
      </c>
      <c r="I311" t="n">
        <v>0</v>
      </c>
      <c r="J311" t="n">
        <v>0</v>
      </c>
      <c r="K311" t="n">
        <v>0</v>
      </c>
      <c r="L311" t="n">
        <v>0</v>
      </c>
      <c r="M311" t="n">
        <v>0</v>
      </c>
      <c r="N311" t="n">
        <v>0</v>
      </c>
      <c r="O311" t="n">
        <v>0</v>
      </c>
      <c r="P311" t="n">
        <v>0</v>
      </c>
      <c r="Q311" t="n">
        <v>0</v>
      </c>
      <c r="R311" s="2" t="inlineStr"/>
    </row>
    <row r="312" ht="15" customHeight="1">
      <c r="A312" t="inlineStr">
        <is>
          <t>A 51011-2024</t>
        </is>
      </c>
      <c r="B312" s="1" t="n">
        <v>45603.39427083333</v>
      </c>
      <c r="C312" s="1" t="n">
        <v>46186</v>
      </c>
      <c r="D312" t="inlineStr">
        <is>
          <t>UPPSALA LÄN</t>
        </is>
      </c>
      <c r="E312" t="inlineStr">
        <is>
          <t>ENKÖPING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26319-2022</t>
        </is>
      </c>
      <c r="B313" s="1" t="n">
        <v>44735</v>
      </c>
      <c r="C313" s="1" t="n">
        <v>46186</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22729-2025</t>
        </is>
      </c>
      <c r="B314" s="1" t="n">
        <v>45789.57790509259</v>
      </c>
      <c r="C314" s="1" t="n">
        <v>46186</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29918-2023</t>
        </is>
      </c>
      <c r="B315" s="1" t="n">
        <v>45099</v>
      </c>
      <c r="C315" s="1" t="n">
        <v>46186</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24291-2024</t>
        </is>
      </c>
      <c r="B316" s="1" t="n">
        <v>45457.4584837963</v>
      </c>
      <c r="C316" s="1" t="n">
        <v>46186</v>
      </c>
      <c r="D316" t="inlineStr">
        <is>
          <t>UPPSALA LÄN</t>
        </is>
      </c>
      <c r="E316" t="inlineStr">
        <is>
          <t>ENKÖPING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61207-2023</t>
        </is>
      </c>
      <c r="B317" s="1" t="n">
        <v>45264.39444444444</v>
      </c>
      <c r="C317" s="1" t="n">
        <v>46186</v>
      </c>
      <c r="D317" t="inlineStr">
        <is>
          <t>UPPSALA LÄN</t>
        </is>
      </c>
      <c r="E317" t="inlineStr">
        <is>
          <t>ENKÖPING</t>
        </is>
      </c>
      <c r="G317" t="n">
        <v>10.8</v>
      </c>
      <c r="H317" t="n">
        <v>0</v>
      </c>
      <c r="I317" t="n">
        <v>0</v>
      </c>
      <c r="J317" t="n">
        <v>0</v>
      </c>
      <c r="K317" t="n">
        <v>0</v>
      </c>
      <c r="L317" t="n">
        <v>0</v>
      </c>
      <c r="M317" t="n">
        <v>0</v>
      </c>
      <c r="N317" t="n">
        <v>0</v>
      </c>
      <c r="O317" t="n">
        <v>0</v>
      </c>
      <c r="P317" t="n">
        <v>0</v>
      </c>
      <c r="Q317" t="n">
        <v>0</v>
      </c>
      <c r="R317" s="2" t="inlineStr"/>
    </row>
    <row r="318" ht="15" customHeight="1">
      <c r="A318" t="inlineStr">
        <is>
          <t>A 2833-2025</t>
        </is>
      </c>
      <c r="B318" s="1" t="n">
        <v>45677.63206018518</v>
      </c>
      <c r="C318" s="1" t="n">
        <v>46186</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29513-2025</t>
        </is>
      </c>
      <c r="B319" s="1" t="n">
        <v>45825</v>
      </c>
      <c r="C319" s="1" t="n">
        <v>46186</v>
      </c>
      <c r="D319" t="inlineStr">
        <is>
          <t>UPPSALA LÄN</t>
        </is>
      </c>
      <c r="E319" t="inlineStr">
        <is>
          <t>ENKÖPING</t>
        </is>
      </c>
      <c r="G319" t="n">
        <v>2.6</v>
      </c>
      <c r="H319" t="n">
        <v>0</v>
      </c>
      <c r="I319" t="n">
        <v>0</v>
      </c>
      <c r="J319" t="n">
        <v>0</v>
      </c>
      <c r="K319" t="n">
        <v>0</v>
      </c>
      <c r="L319" t="n">
        <v>0</v>
      </c>
      <c r="M319" t="n">
        <v>0</v>
      </c>
      <c r="N319" t="n">
        <v>0</v>
      </c>
      <c r="O319" t="n">
        <v>0</v>
      </c>
      <c r="P319" t="n">
        <v>0</v>
      </c>
      <c r="Q319" t="n">
        <v>0</v>
      </c>
      <c r="R319" s="2" t="inlineStr"/>
    </row>
    <row r="320" ht="15" customHeight="1">
      <c r="A320" t="inlineStr">
        <is>
          <t>A 25566-2026</t>
        </is>
      </c>
      <c r="B320" s="1" t="n">
        <v>46177.59635416666</v>
      </c>
      <c r="C320" s="1" t="n">
        <v>46186</v>
      </c>
      <c r="D320" t="inlineStr">
        <is>
          <t>UPPSALA LÄN</t>
        </is>
      </c>
      <c r="E320" t="inlineStr">
        <is>
          <t>ENKÖPING</t>
        </is>
      </c>
      <c r="G320" t="n">
        <v>1.7</v>
      </c>
      <c r="H320" t="n">
        <v>0</v>
      </c>
      <c r="I320" t="n">
        <v>0</v>
      </c>
      <c r="J320" t="n">
        <v>0</v>
      </c>
      <c r="K320" t="n">
        <v>0</v>
      </c>
      <c r="L320" t="n">
        <v>0</v>
      </c>
      <c r="M320" t="n">
        <v>0</v>
      </c>
      <c r="N320" t="n">
        <v>0</v>
      </c>
      <c r="O320" t="n">
        <v>0</v>
      </c>
      <c r="P320" t="n">
        <v>0</v>
      </c>
      <c r="Q320" t="n">
        <v>0</v>
      </c>
      <c r="R320" s="2" t="inlineStr"/>
    </row>
    <row r="321" ht="15" customHeight="1">
      <c r="A321" t="inlineStr">
        <is>
          <t>A 50006-2023</t>
        </is>
      </c>
      <c r="B321" s="1" t="n">
        <v>45215</v>
      </c>
      <c r="C321" s="1" t="n">
        <v>46186</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43691-2024</t>
        </is>
      </c>
      <c r="B322" s="1" t="n">
        <v>45569</v>
      </c>
      <c r="C322" s="1" t="n">
        <v>46186</v>
      </c>
      <c r="D322" t="inlineStr">
        <is>
          <t>UPPSALA LÄN</t>
        </is>
      </c>
      <c r="E322" t="inlineStr">
        <is>
          <t>ENKÖPING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56526-2022</t>
        </is>
      </c>
      <c r="B323" s="1" t="n">
        <v>44893</v>
      </c>
      <c r="C323" s="1" t="n">
        <v>46186</v>
      </c>
      <c r="D323" t="inlineStr">
        <is>
          <t>UPPSALA LÄN</t>
        </is>
      </c>
      <c r="E323" t="inlineStr">
        <is>
          <t>ENKÖPING</t>
        </is>
      </c>
      <c r="G323" t="n">
        <v>3.8</v>
      </c>
      <c r="H323" t="n">
        <v>0</v>
      </c>
      <c r="I323" t="n">
        <v>0</v>
      </c>
      <c r="J323" t="n">
        <v>0</v>
      </c>
      <c r="K323" t="n">
        <v>0</v>
      </c>
      <c r="L323" t="n">
        <v>0</v>
      </c>
      <c r="M323" t="n">
        <v>0</v>
      </c>
      <c r="N323" t="n">
        <v>0</v>
      </c>
      <c r="O323" t="n">
        <v>0</v>
      </c>
      <c r="P323" t="n">
        <v>0</v>
      </c>
      <c r="Q323" t="n">
        <v>0</v>
      </c>
      <c r="R323" s="2" t="inlineStr"/>
    </row>
    <row r="324" ht="15" customHeight="1">
      <c r="A324" t="inlineStr">
        <is>
          <t>A 39858-2024</t>
        </is>
      </c>
      <c r="B324" s="1" t="n">
        <v>45553</v>
      </c>
      <c r="C324" s="1" t="n">
        <v>46186</v>
      </c>
      <c r="D324" t="inlineStr">
        <is>
          <t>UPPSALA LÄN</t>
        </is>
      </c>
      <c r="E324" t="inlineStr">
        <is>
          <t>ENKÖPING</t>
        </is>
      </c>
      <c r="G324" t="n">
        <v>0.7</v>
      </c>
      <c r="H324" t="n">
        <v>0</v>
      </c>
      <c r="I324" t="n">
        <v>0</v>
      </c>
      <c r="J324" t="n">
        <v>0</v>
      </c>
      <c r="K324" t="n">
        <v>0</v>
      </c>
      <c r="L324" t="n">
        <v>0</v>
      </c>
      <c r="M324" t="n">
        <v>0</v>
      </c>
      <c r="N324" t="n">
        <v>0</v>
      </c>
      <c r="O324" t="n">
        <v>0</v>
      </c>
      <c r="P324" t="n">
        <v>0</v>
      </c>
      <c r="Q324" t="n">
        <v>0</v>
      </c>
      <c r="R324" s="2" t="inlineStr"/>
    </row>
    <row r="325" ht="15" customHeight="1">
      <c r="A325" t="inlineStr">
        <is>
          <t>A 60289-2022</t>
        </is>
      </c>
      <c r="B325" s="1" t="n">
        <v>44910.53026620371</v>
      </c>
      <c r="C325" s="1" t="n">
        <v>46186</v>
      </c>
      <c r="D325" t="inlineStr">
        <is>
          <t>UPPSALA LÄN</t>
        </is>
      </c>
      <c r="E325" t="inlineStr">
        <is>
          <t>ENKÖPING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13110-2023</t>
        </is>
      </c>
      <c r="B326" s="1" t="n">
        <v>45001</v>
      </c>
      <c r="C326" s="1" t="n">
        <v>46186</v>
      </c>
      <c r="D326" t="inlineStr">
        <is>
          <t>UPPSALA LÄN</t>
        </is>
      </c>
      <c r="E326" t="inlineStr">
        <is>
          <t>ENKÖPING</t>
        </is>
      </c>
      <c r="G326" t="n">
        <v>2.5</v>
      </c>
      <c r="H326" t="n">
        <v>0</v>
      </c>
      <c r="I326" t="n">
        <v>0</v>
      </c>
      <c r="J326" t="n">
        <v>0</v>
      </c>
      <c r="K326" t="n">
        <v>0</v>
      </c>
      <c r="L326" t="n">
        <v>0</v>
      </c>
      <c r="M326" t="n">
        <v>0</v>
      </c>
      <c r="N326" t="n">
        <v>0</v>
      </c>
      <c r="O326" t="n">
        <v>0</v>
      </c>
      <c r="P326" t="n">
        <v>0</v>
      </c>
      <c r="Q326" t="n">
        <v>0</v>
      </c>
      <c r="R326" s="2" t="inlineStr"/>
    </row>
    <row r="327" ht="15" customHeight="1">
      <c r="A327" t="inlineStr">
        <is>
          <t>A 58384-2022</t>
        </is>
      </c>
      <c r="B327" s="1" t="n">
        <v>44901</v>
      </c>
      <c r="C327" s="1" t="n">
        <v>46186</v>
      </c>
      <c r="D327" t="inlineStr">
        <is>
          <t>UPPSALA LÄN</t>
        </is>
      </c>
      <c r="E327" t="inlineStr">
        <is>
          <t>ENKÖPING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59602-2022</t>
        </is>
      </c>
      <c r="B328" s="1" t="n">
        <v>44907.72241898148</v>
      </c>
      <c r="C328" s="1" t="n">
        <v>46186</v>
      </c>
      <c r="D328" t="inlineStr">
        <is>
          <t>UPPSALA LÄN</t>
        </is>
      </c>
      <c r="E328" t="inlineStr">
        <is>
          <t>ENKÖPING</t>
        </is>
      </c>
      <c r="G328" t="n">
        <v>14.2</v>
      </c>
      <c r="H328" t="n">
        <v>0</v>
      </c>
      <c r="I328" t="n">
        <v>0</v>
      </c>
      <c r="J328" t="n">
        <v>0</v>
      </c>
      <c r="K328" t="n">
        <v>0</v>
      </c>
      <c r="L328" t="n">
        <v>0</v>
      </c>
      <c r="M328" t="n">
        <v>0</v>
      </c>
      <c r="N328" t="n">
        <v>0</v>
      </c>
      <c r="O328" t="n">
        <v>0</v>
      </c>
      <c r="P328" t="n">
        <v>0</v>
      </c>
      <c r="Q328" t="n">
        <v>0</v>
      </c>
      <c r="R328" s="2" t="inlineStr"/>
    </row>
    <row r="329" ht="15" customHeight="1">
      <c r="A329" t="inlineStr">
        <is>
          <t>A 31965-2021</t>
        </is>
      </c>
      <c r="B329" s="1" t="n">
        <v>44370.56901620371</v>
      </c>
      <c r="C329" s="1" t="n">
        <v>46186</v>
      </c>
      <c r="D329" t="inlineStr">
        <is>
          <t>UPPSALA LÄN</t>
        </is>
      </c>
      <c r="E329" t="inlineStr">
        <is>
          <t>ENKÖPING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67984-2021</t>
        </is>
      </c>
      <c r="B330" s="1" t="n">
        <v>44525.70237268518</v>
      </c>
      <c r="C330" s="1" t="n">
        <v>46186</v>
      </c>
      <c r="D330" t="inlineStr">
        <is>
          <t>UPPSALA LÄN</t>
        </is>
      </c>
      <c r="E330" t="inlineStr">
        <is>
          <t>ENKÖPING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33619-2022</t>
        </is>
      </c>
      <c r="B331" s="1" t="n">
        <v>44789</v>
      </c>
      <c r="C331" s="1" t="n">
        <v>46186</v>
      </c>
      <c r="D331" t="inlineStr">
        <is>
          <t>UPPSALA LÄN</t>
        </is>
      </c>
      <c r="E331" t="inlineStr">
        <is>
          <t>ENKÖPING</t>
        </is>
      </c>
      <c r="F331" t="inlineStr">
        <is>
          <t>Allmännings- och besparingsskogar</t>
        </is>
      </c>
      <c r="G331" t="n">
        <v>4.5</v>
      </c>
      <c r="H331" t="n">
        <v>0</v>
      </c>
      <c r="I331" t="n">
        <v>0</v>
      </c>
      <c r="J331" t="n">
        <v>0</v>
      </c>
      <c r="K331" t="n">
        <v>0</v>
      </c>
      <c r="L331" t="n">
        <v>0</v>
      </c>
      <c r="M331" t="n">
        <v>0</v>
      </c>
      <c r="N331" t="n">
        <v>0</v>
      </c>
      <c r="O331" t="n">
        <v>0</v>
      </c>
      <c r="P331" t="n">
        <v>0</v>
      </c>
      <c r="Q331" t="n">
        <v>0</v>
      </c>
      <c r="R331" s="2" t="inlineStr"/>
    </row>
    <row r="332" ht="15" customHeight="1">
      <c r="A332" t="inlineStr">
        <is>
          <t>A 43697-2024</t>
        </is>
      </c>
      <c r="B332" s="1" t="n">
        <v>45569</v>
      </c>
      <c r="C332" s="1" t="n">
        <v>46186</v>
      </c>
      <c r="D332" t="inlineStr">
        <is>
          <t>UPPSALA LÄN</t>
        </is>
      </c>
      <c r="E332" t="inlineStr">
        <is>
          <t>ENKÖPING</t>
        </is>
      </c>
      <c r="G332" t="n">
        <v>2.1</v>
      </c>
      <c r="H332" t="n">
        <v>0</v>
      </c>
      <c r="I332" t="n">
        <v>0</v>
      </c>
      <c r="J332" t="n">
        <v>0</v>
      </c>
      <c r="K332" t="n">
        <v>0</v>
      </c>
      <c r="L332" t="n">
        <v>0</v>
      </c>
      <c r="M332" t="n">
        <v>0</v>
      </c>
      <c r="N332" t="n">
        <v>0</v>
      </c>
      <c r="O332" t="n">
        <v>0</v>
      </c>
      <c r="P332" t="n">
        <v>0</v>
      </c>
      <c r="Q332" t="n">
        <v>0</v>
      </c>
      <c r="R332" s="2" t="inlineStr"/>
    </row>
    <row r="333" ht="15" customHeight="1">
      <c r="A333" t="inlineStr">
        <is>
          <t>A 10829-2024</t>
        </is>
      </c>
      <c r="B333" s="1" t="n">
        <v>45369</v>
      </c>
      <c r="C333" s="1" t="n">
        <v>46186</v>
      </c>
      <c r="D333" t="inlineStr">
        <is>
          <t>UPPSALA LÄN</t>
        </is>
      </c>
      <c r="E333" t="inlineStr">
        <is>
          <t>ENKÖPING</t>
        </is>
      </c>
      <c r="G333" t="n">
        <v>2.1</v>
      </c>
      <c r="H333" t="n">
        <v>0</v>
      </c>
      <c r="I333" t="n">
        <v>0</v>
      </c>
      <c r="J333" t="n">
        <v>0</v>
      </c>
      <c r="K333" t="n">
        <v>0</v>
      </c>
      <c r="L333" t="n">
        <v>0</v>
      </c>
      <c r="M333" t="n">
        <v>0</v>
      </c>
      <c r="N333" t="n">
        <v>0</v>
      </c>
      <c r="O333" t="n">
        <v>0</v>
      </c>
      <c r="P333" t="n">
        <v>0</v>
      </c>
      <c r="Q333" t="n">
        <v>0</v>
      </c>
      <c r="R333" s="2" t="inlineStr"/>
    </row>
    <row r="334" ht="15" customHeight="1">
      <c r="A334" t="inlineStr">
        <is>
          <t>A 67982-2021</t>
        </is>
      </c>
      <c r="B334" s="1" t="n">
        <v>44525</v>
      </c>
      <c r="C334" s="1" t="n">
        <v>46186</v>
      </c>
      <c r="D334" t="inlineStr">
        <is>
          <t>UPPSALA LÄN</t>
        </is>
      </c>
      <c r="E334" t="inlineStr">
        <is>
          <t>ENKÖPING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42564-2024</t>
        </is>
      </c>
      <c r="B335" s="1" t="n">
        <v>45565.63358796296</v>
      </c>
      <c r="C335" s="1" t="n">
        <v>46186</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11005-2023</t>
        </is>
      </c>
      <c r="B336" s="1" t="n">
        <v>44991</v>
      </c>
      <c r="C336" s="1" t="n">
        <v>46186</v>
      </c>
      <c r="D336" t="inlineStr">
        <is>
          <t>UPPSALA LÄN</t>
        </is>
      </c>
      <c r="E336" t="inlineStr">
        <is>
          <t>ENKÖPING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25557-2026</t>
        </is>
      </c>
      <c r="B337" s="1" t="n">
        <v>46177.5766087963</v>
      </c>
      <c r="C337" s="1" t="n">
        <v>46186</v>
      </c>
      <c r="D337" t="inlineStr">
        <is>
          <t>UPPSALA LÄN</t>
        </is>
      </c>
      <c r="E337" t="inlineStr">
        <is>
          <t>ENKÖPING</t>
        </is>
      </c>
      <c r="G337" t="n">
        <v>4.5</v>
      </c>
      <c r="H337" t="n">
        <v>0</v>
      </c>
      <c r="I337" t="n">
        <v>0</v>
      </c>
      <c r="J337" t="n">
        <v>0</v>
      </c>
      <c r="K337" t="n">
        <v>0</v>
      </c>
      <c r="L337" t="n">
        <v>0</v>
      </c>
      <c r="M337" t="n">
        <v>0</v>
      </c>
      <c r="N337" t="n">
        <v>0</v>
      </c>
      <c r="O337" t="n">
        <v>0</v>
      </c>
      <c r="P337" t="n">
        <v>0</v>
      </c>
      <c r="Q337" t="n">
        <v>0</v>
      </c>
      <c r="R337" s="2" t="inlineStr"/>
    </row>
    <row r="338" ht="15" customHeight="1">
      <c r="A338" t="inlineStr">
        <is>
          <t>A 37498-2025</t>
        </is>
      </c>
      <c r="B338" s="1" t="n">
        <v>45877</v>
      </c>
      <c r="C338" s="1" t="n">
        <v>46186</v>
      </c>
      <c r="D338" t="inlineStr">
        <is>
          <t>UPPSALA LÄN</t>
        </is>
      </c>
      <c r="E338" t="inlineStr">
        <is>
          <t>ENKÖPING</t>
        </is>
      </c>
      <c r="G338" t="n">
        <v>1.2</v>
      </c>
      <c r="H338" t="n">
        <v>0</v>
      </c>
      <c r="I338" t="n">
        <v>0</v>
      </c>
      <c r="J338" t="n">
        <v>0</v>
      </c>
      <c r="K338" t="n">
        <v>0</v>
      </c>
      <c r="L338" t="n">
        <v>0</v>
      </c>
      <c r="M338" t="n">
        <v>0</v>
      </c>
      <c r="N338" t="n">
        <v>0</v>
      </c>
      <c r="O338" t="n">
        <v>0</v>
      </c>
      <c r="P338" t="n">
        <v>0</v>
      </c>
      <c r="Q338" t="n">
        <v>0</v>
      </c>
      <c r="R338" s="2" t="inlineStr"/>
    </row>
    <row r="339" ht="15" customHeight="1">
      <c r="A339" t="inlineStr">
        <is>
          <t>A 57142-2021</t>
        </is>
      </c>
      <c r="B339" s="1" t="n">
        <v>44482</v>
      </c>
      <c r="C339" s="1" t="n">
        <v>46186</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57147-2021</t>
        </is>
      </c>
      <c r="B340" s="1" t="n">
        <v>44482</v>
      </c>
      <c r="C340" s="1" t="n">
        <v>46186</v>
      </c>
      <c r="D340" t="inlineStr">
        <is>
          <t>UPPSALA LÄN</t>
        </is>
      </c>
      <c r="E340" t="inlineStr">
        <is>
          <t>ENKÖPING</t>
        </is>
      </c>
      <c r="G340" t="n">
        <v>5.7</v>
      </c>
      <c r="H340" t="n">
        <v>0</v>
      </c>
      <c r="I340" t="n">
        <v>0</v>
      </c>
      <c r="J340" t="n">
        <v>0</v>
      </c>
      <c r="K340" t="n">
        <v>0</v>
      </c>
      <c r="L340" t="n">
        <v>0</v>
      </c>
      <c r="M340" t="n">
        <v>0</v>
      </c>
      <c r="N340" t="n">
        <v>0</v>
      </c>
      <c r="O340" t="n">
        <v>0</v>
      </c>
      <c r="P340" t="n">
        <v>0</v>
      </c>
      <c r="Q340" t="n">
        <v>0</v>
      </c>
      <c r="R340" s="2" t="inlineStr"/>
    </row>
    <row r="341" ht="15" customHeight="1">
      <c r="A341" t="inlineStr">
        <is>
          <t>A 7868-2024</t>
        </is>
      </c>
      <c r="B341" s="1" t="n">
        <v>45350.33020833333</v>
      </c>
      <c r="C341" s="1" t="n">
        <v>46186</v>
      </c>
      <c r="D341" t="inlineStr">
        <is>
          <t>UPPSALA LÄN</t>
        </is>
      </c>
      <c r="E341" t="inlineStr">
        <is>
          <t>ENKÖPING</t>
        </is>
      </c>
      <c r="G341" t="n">
        <v>0.3</v>
      </c>
      <c r="H341" t="n">
        <v>0</v>
      </c>
      <c r="I341" t="n">
        <v>0</v>
      </c>
      <c r="J341" t="n">
        <v>0</v>
      </c>
      <c r="K341" t="n">
        <v>0</v>
      </c>
      <c r="L341" t="n">
        <v>0</v>
      </c>
      <c r="M341" t="n">
        <v>0</v>
      </c>
      <c r="N341" t="n">
        <v>0</v>
      </c>
      <c r="O341" t="n">
        <v>0</v>
      </c>
      <c r="P341" t="n">
        <v>0</v>
      </c>
      <c r="Q341" t="n">
        <v>0</v>
      </c>
      <c r="R341" s="2" t="inlineStr"/>
    </row>
    <row r="342" ht="15" customHeight="1">
      <c r="A342" t="inlineStr">
        <is>
          <t>A 7870-2024</t>
        </is>
      </c>
      <c r="B342" s="1" t="n">
        <v>45350.33349537037</v>
      </c>
      <c r="C342" s="1" t="n">
        <v>46186</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9231-2023</t>
        </is>
      </c>
      <c r="B343" s="1" t="n">
        <v>44980</v>
      </c>
      <c r="C343" s="1" t="n">
        <v>46186</v>
      </c>
      <c r="D343" t="inlineStr">
        <is>
          <t>UPPSALA LÄN</t>
        </is>
      </c>
      <c r="E343" t="inlineStr">
        <is>
          <t>ENKÖPING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16916-2022</t>
        </is>
      </c>
      <c r="B344" s="1" t="n">
        <v>44676</v>
      </c>
      <c r="C344" s="1" t="n">
        <v>46186</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30514-2021</t>
        </is>
      </c>
      <c r="B345" s="1" t="n">
        <v>44364</v>
      </c>
      <c r="C345" s="1" t="n">
        <v>46186</v>
      </c>
      <c r="D345" t="inlineStr">
        <is>
          <t>UPPSALA LÄN</t>
        </is>
      </c>
      <c r="E345" t="inlineStr">
        <is>
          <t>ENKÖPING</t>
        </is>
      </c>
      <c r="G345" t="n">
        <v>1.4</v>
      </c>
      <c r="H345" t="n">
        <v>0</v>
      </c>
      <c r="I345" t="n">
        <v>0</v>
      </c>
      <c r="J345" t="n">
        <v>0</v>
      </c>
      <c r="K345" t="n">
        <v>0</v>
      </c>
      <c r="L345" t="n">
        <v>0</v>
      </c>
      <c r="M345" t="n">
        <v>0</v>
      </c>
      <c r="N345" t="n">
        <v>0</v>
      </c>
      <c r="O345" t="n">
        <v>0</v>
      </c>
      <c r="P345" t="n">
        <v>0</v>
      </c>
      <c r="Q345" t="n">
        <v>0</v>
      </c>
      <c r="R345" s="2" t="inlineStr"/>
    </row>
    <row r="346" ht="15" customHeight="1">
      <c r="A346" t="inlineStr">
        <is>
          <t>A 31604-2023</t>
        </is>
      </c>
      <c r="B346" s="1" t="n">
        <v>45117.50368055556</v>
      </c>
      <c r="C346" s="1" t="n">
        <v>46186</v>
      </c>
      <c r="D346" t="inlineStr">
        <is>
          <t>UPPSALA LÄN</t>
        </is>
      </c>
      <c r="E346" t="inlineStr">
        <is>
          <t>ENKÖPING</t>
        </is>
      </c>
      <c r="G346" t="n">
        <v>3.5</v>
      </c>
      <c r="H346" t="n">
        <v>0</v>
      </c>
      <c r="I346" t="n">
        <v>0</v>
      </c>
      <c r="J346" t="n">
        <v>0</v>
      </c>
      <c r="K346" t="n">
        <v>0</v>
      </c>
      <c r="L346" t="n">
        <v>0</v>
      </c>
      <c r="M346" t="n">
        <v>0</v>
      </c>
      <c r="N346" t="n">
        <v>0</v>
      </c>
      <c r="O346" t="n">
        <v>0</v>
      </c>
      <c r="P346" t="n">
        <v>0</v>
      </c>
      <c r="Q346" t="n">
        <v>0</v>
      </c>
      <c r="R346" s="2" t="inlineStr"/>
    </row>
    <row r="347" ht="15" customHeight="1">
      <c r="A347" t="inlineStr">
        <is>
          <t>A 15162-2025</t>
        </is>
      </c>
      <c r="B347" s="1" t="n">
        <v>45744</v>
      </c>
      <c r="C347" s="1" t="n">
        <v>46186</v>
      </c>
      <c r="D347" t="inlineStr">
        <is>
          <t>UPPSALA LÄN</t>
        </is>
      </c>
      <c r="E347" t="inlineStr">
        <is>
          <t>ENKÖPING</t>
        </is>
      </c>
      <c r="G347" t="n">
        <v>4.2</v>
      </c>
      <c r="H347" t="n">
        <v>0</v>
      </c>
      <c r="I347" t="n">
        <v>0</v>
      </c>
      <c r="J347" t="n">
        <v>0</v>
      </c>
      <c r="K347" t="n">
        <v>0</v>
      </c>
      <c r="L347" t="n">
        <v>0</v>
      </c>
      <c r="M347" t="n">
        <v>0</v>
      </c>
      <c r="N347" t="n">
        <v>0</v>
      </c>
      <c r="O347" t="n">
        <v>0</v>
      </c>
      <c r="P347" t="n">
        <v>0</v>
      </c>
      <c r="Q347" t="n">
        <v>0</v>
      </c>
      <c r="R347" s="2" t="inlineStr"/>
    </row>
    <row r="348" ht="15" customHeight="1">
      <c r="A348" t="inlineStr">
        <is>
          <t>A 52388-2024</t>
        </is>
      </c>
      <c r="B348" s="1" t="n">
        <v>45609.42939814815</v>
      </c>
      <c r="C348" s="1" t="n">
        <v>46186</v>
      </c>
      <c r="D348" t="inlineStr">
        <is>
          <t>UPPSALA LÄN</t>
        </is>
      </c>
      <c r="E348" t="inlineStr">
        <is>
          <t>ENKÖPING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53607-2023</t>
        </is>
      </c>
      <c r="B349" s="1" t="n">
        <v>45230</v>
      </c>
      <c r="C349" s="1" t="n">
        <v>46186</v>
      </c>
      <c r="D349" t="inlineStr">
        <is>
          <t>UPPSALA LÄN</t>
        </is>
      </c>
      <c r="E349" t="inlineStr">
        <is>
          <t>ENKÖPING</t>
        </is>
      </c>
      <c r="F349" t="inlineStr">
        <is>
          <t>Allmännings- och besparingsskogar</t>
        </is>
      </c>
      <c r="G349" t="n">
        <v>6.3</v>
      </c>
      <c r="H349" t="n">
        <v>0</v>
      </c>
      <c r="I349" t="n">
        <v>0</v>
      </c>
      <c r="J349" t="n">
        <v>0</v>
      </c>
      <c r="K349" t="n">
        <v>0</v>
      </c>
      <c r="L349" t="n">
        <v>0</v>
      </c>
      <c r="M349" t="n">
        <v>0</v>
      </c>
      <c r="N349" t="n">
        <v>0</v>
      </c>
      <c r="O349" t="n">
        <v>0</v>
      </c>
      <c r="P349" t="n">
        <v>0</v>
      </c>
      <c r="Q349" t="n">
        <v>0</v>
      </c>
      <c r="R349" s="2" t="inlineStr"/>
    </row>
    <row r="350" ht="15" customHeight="1">
      <c r="A350" t="inlineStr">
        <is>
          <t>A 40202-2024</t>
        </is>
      </c>
      <c r="B350" s="1" t="n">
        <v>45554</v>
      </c>
      <c r="C350" s="1" t="n">
        <v>46186</v>
      </c>
      <c r="D350" t="inlineStr">
        <is>
          <t>UPPSALA LÄN</t>
        </is>
      </c>
      <c r="E350" t="inlineStr">
        <is>
          <t>ENKÖPING</t>
        </is>
      </c>
      <c r="G350" t="n">
        <v>6.2</v>
      </c>
      <c r="H350" t="n">
        <v>0</v>
      </c>
      <c r="I350" t="n">
        <v>0</v>
      </c>
      <c r="J350" t="n">
        <v>0</v>
      </c>
      <c r="K350" t="n">
        <v>0</v>
      </c>
      <c r="L350" t="n">
        <v>0</v>
      </c>
      <c r="M350" t="n">
        <v>0</v>
      </c>
      <c r="N350" t="n">
        <v>0</v>
      </c>
      <c r="O350" t="n">
        <v>0</v>
      </c>
      <c r="P350" t="n">
        <v>0</v>
      </c>
      <c r="Q350" t="n">
        <v>0</v>
      </c>
      <c r="R350" s="2" t="inlineStr"/>
    </row>
    <row r="351" ht="15" customHeight="1">
      <c r="A351" t="inlineStr">
        <is>
          <t>A 57152-2021</t>
        </is>
      </c>
      <c r="B351" s="1" t="n">
        <v>44482</v>
      </c>
      <c r="C351" s="1" t="n">
        <v>46186</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34124-2021</t>
        </is>
      </c>
      <c r="B352" s="1" t="n">
        <v>44379</v>
      </c>
      <c r="C352" s="1" t="n">
        <v>46186</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28862-2025</t>
        </is>
      </c>
      <c r="B353" s="1" t="n">
        <v>45820.59189814814</v>
      </c>
      <c r="C353" s="1" t="n">
        <v>46186</v>
      </c>
      <c r="D353" t="inlineStr">
        <is>
          <t>UPPSALA LÄN</t>
        </is>
      </c>
      <c r="E353" t="inlineStr">
        <is>
          <t>ENKÖPING</t>
        </is>
      </c>
      <c r="G353" t="n">
        <v>2.2</v>
      </c>
      <c r="H353" t="n">
        <v>0</v>
      </c>
      <c r="I353" t="n">
        <v>0</v>
      </c>
      <c r="J353" t="n">
        <v>0</v>
      </c>
      <c r="K353" t="n">
        <v>0</v>
      </c>
      <c r="L353" t="n">
        <v>0</v>
      </c>
      <c r="M353" t="n">
        <v>0</v>
      </c>
      <c r="N353" t="n">
        <v>0</v>
      </c>
      <c r="O353" t="n">
        <v>0</v>
      </c>
      <c r="P353" t="n">
        <v>0</v>
      </c>
      <c r="Q353" t="n">
        <v>0</v>
      </c>
      <c r="R353" s="2" t="inlineStr"/>
    </row>
    <row r="354" ht="15" customHeight="1">
      <c r="A354" t="inlineStr">
        <is>
          <t>A 52299-2023</t>
        </is>
      </c>
      <c r="B354" s="1" t="n">
        <v>45224.61636574074</v>
      </c>
      <c r="C354" s="1" t="n">
        <v>46186</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30634-2022</t>
        </is>
      </c>
      <c r="B355" s="1" t="n">
        <v>44763.45711805556</v>
      </c>
      <c r="C355" s="1" t="n">
        <v>46186</v>
      </c>
      <c r="D355" t="inlineStr">
        <is>
          <t>UPPSALA LÄN</t>
        </is>
      </c>
      <c r="E355" t="inlineStr">
        <is>
          <t>ENKÖPING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14004-2023</t>
        </is>
      </c>
      <c r="B356" s="1" t="n">
        <v>45008</v>
      </c>
      <c r="C356" s="1" t="n">
        <v>46186</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43999-2025</t>
        </is>
      </c>
      <c r="B357" s="1" t="n">
        <v>45915.45158564814</v>
      </c>
      <c r="C357" s="1" t="n">
        <v>46186</v>
      </c>
      <c r="D357" t="inlineStr">
        <is>
          <t>UPPSALA LÄN</t>
        </is>
      </c>
      <c r="E357" t="inlineStr">
        <is>
          <t>ENKÖPING</t>
        </is>
      </c>
      <c r="G357" t="n">
        <v>4.1</v>
      </c>
      <c r="H357" t="n">
        <v>0</v>
      </c>
      <c r="I357" t="n">
        <v>0</v>
      </c>
      <c r="J357" t="n">
        <v>0</v>
      </c>
      <c r="K357" t="n">
        <v>0</v>
      </c>
      <c r="L357" t="n">
        <v>0</v>
      </c>
      <c r="M357" t="n">
        <v>0</v>
      </c>
      <c r="N357" t="n">
        <v>0</v>
      </c>
      <c r="O357" t="n">
        <v>0</v>
      </c>
      <c r="P357" t="n">
        <v>0</v>
      </c>
      <c r="Q357" t="n">
        <v>0</v>
      </c>
      <c r="R357" s="2" t="inlineStr"/>
    </row>
    <row r="358" ht="15" customHeight="1">
      <c r="A358" t="inlineStr">
        <is>
          <t>A 52005-2024</t>
        </is>
      </c>
      <c r="B358" s="1" t="n">
        <v>45607.7627662037</v>
      </c>
      <c r="C358" s="1" t="n">
        <v>46186</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1960-2022</t>
        </is>
      </c>
      <c r="B359" s="1" t="n">
        <v>44575</v>
      </c>
      <c r="C359" s="1" t="n">
        <v>46186</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49627-2024</t>
        </is>
      </c>
      <c r="B360" s="1" t="n">
        <v>45596.59140046296</v>
      </c>
      <c r="C360" s="1" t="n">
        <v>46186</v>
      </c>
      <c r="D360" t="inlineStr">
        <is>
          <t>UPPSALA LÄN</t>
        </is>
      </c>
      <c r="E360" t="inlineStr">
        <is>
          <t>ENKÖPING</t>
        </is>
      </c>
      <c r="G360" t="n">
        <v>0.4</v>
      </c>
      <c r="H360" t="n">
        <v>0</v>
      </c>
      <c r="I360" t="n">
        <v>0</v>
      </c>
      <c r="J360" t="n">
        <v>0</v>
      </c>
      <c r="K360" t="n">
        <v>0</v>
      </c>
      <c r="L360" t="n">
        <v>0</v>
      </c>
      <c r="M360" t="n">
        <v>0</v>
      </c>
      <c r="N360" t="n">
        <v>0</v>
      </c>
      <c r="O360" t="n">
        <v>0</v>
      </c>
      <c r="P360" t="n">
        <v>0</v>
      </c>
      <c r="Q360" t="n">
        <v>0</v>
      </c>
      <c r="R360" s="2" t="inlineStr"/>
    </row>
    <row r="361" ht="15" customHeight="1">
      <c r="A361" t="inlineStr">
        <is>
          <t>A 57998-2024</t>
        </is>
      </c>
      <c r="B361" s="1" t="n">
        <v>45631</v>
      </c>
      <c r="C361" s="1" t="n">
        <v>46186</v>
      </c>
      <c r="D361" t="inlineStr">
        <is>
          <t>UPPSALA LÄN</t>
        </is>
      </c>
      <c r="E361" t="inlineStr">
        <is>
          <t>ENKÖPING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12020-2024</t>
        </is>
      </c>
      <c r="B362" s="1" t="n">
        <v>45377</v>
      </c>
      <c r="C362" s="1" t="n">
        <v>46186</v>
      </c>
      <c r="D362" t="inlineStr">
        <is>
          <t>UPPSALA LÄN</t>
        </is>
      </c>
      <c r="E362" t="inlineStr">
        <is>
          <t>ENKÖPING</t>
        </is>
      </c>
      <c r="G362" t="n">
        <v>2</v>
      </c>
      <c r="H362" t="n">
        <v>0</v>
      </c>
      <c r="I362" t="n">
        <v>0</v>
      </c>
      <c r="J362" t="n">
        <v>0</v>
      </c>
      <c r="K362" t="n">
        <v>0</v>
      </c>
      <c r="L362" t="n">
        <v>0</v>
      </c>
      <c r="M362" t="n">
        <v>0</v>
      </c>
      <c r="N362" t="n">
        <v>0</v>
      </c>
      <c r="O362" t="n">
        <v>0</v>
      </c>
      <c r="P362" t="n">
        <v>0</v>
      </c>
      <c r="Q362" t="n">
        <v>0</v>
      </c>
      <c r="R362" s="2" t="inlineStr"/>
    </row>
    <row r="363" ht="15" customHeight="1">
      <c r="A363" t="inlineStr">
        <is>
          <t>A 9667-2024</t>
        </is>
      </c>
      <c r="B363" s="1" t="n">
        <v>45362.45130787037</v>
      </c>
      <c r="C363" s="1" t="n">
        <v>46186</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35645-2021</t>
        </is>
      </c>
      <c r="B364" s="1" t="n">
        <v>44386.42</v>
      </c>
      <c r="C364" s="1" t="n">
        <v>46186</v>
      </c>
      <c r="D364" t="inlineStr">
        <is>
          <t>UPPSALA LÄN</t>
        </is>
      </c>
      <c r="E364" t="inlineStr">
        <is>
          <t>ENKÖPING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28318-2024</t>
        </is>
      </c>
      <c r="B365" s="1" t="n">
        <v>45477</v>
      </c>
      <c r="C365" s="1" t="n">
        <v>46186</v>
      </c>
      <c r="D365" t="inlineStr">
        <is>
          <t>UPPSALA LÄN</t>
        </is>
      </c>
      <c r="E365" t="inlineStr">
        <is>
          <t>ENKÖPING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69344-2021</t>
        </is>
      </c>
      <c r="B366" s="1" t="n">
        <v>44531</v>
      </c>
      <c r="C366" s="1" t="n">
        <v>46186</v>
      </c>
      <c r="D366" t="inlineStr">
        <is>
          <t>UPPSALA LÄN</t>
        </is>
      </c>
      <c r="E366" t="inlineStr">
        <is>
          <t>ENKÖPING</t>
        </is>
      </c>
      <c r="G366" t="n">
        <v>2.9</v>
      </c>
      <c r="H366" t="n">
        <v>0</v>
      </c>
      <c r="I366" t="n">
        <v>0</v>
      </c>
      <c r="J366" t="n">
        <v>0</v>
      </c>
      <c r="K366" t="n">
        <v>0</v>
      </c>
      <c r="L366" t="n">
        <v>0</v>
      </c>
      <c r="M366" t="n">
        <v>0</v>
      </c>
      <c r="N366" t="n">
        <v>0</v>
      </c>
      <c r="O366" t="n">
        <v>0</v>
      </c>
      <c r="P366" t="n">
        <v>0</v>
      </c>
      <c r="Q366" t="n">
        <v>0</v>
      </c>
      <c r="R366" s="2" t="inlineStr"/>
    </row>
    <row r="367" ht="15" customHeight="1">
      <c r="A367" t="inlineStr">
        <is>
          <t>A 51524-2022</t>
        </is>
      </c>
      <c r="B367" s="1" t="n">
        <v>44869</v>
      </c>
      <c r="C367" s="1" t="n">
        <v>46186</v>
      </c>
      <c r="D367" t="inlineStr">
        <is>
          <t>UPPSALA LÄN</t>
        </is>
      </c>
      <c r="E367" t="inlineStr">
        <is>
          <t>ENKÖPING</t>
        </is>
      </c>
      <c r="G367" t="n">
        <v>6.6</v>
      </c>
      <c r="H367" t="n">
        <v>0</v>
      </c>
      <c r="I367" t="n">
        <v>0</v>
      </c>
      <c r="J367" t="n">
        <v>0</v>
      </c>
      <c r="K367" t="n">
        <v>0</v>
      </c>
      <c r="L367" t="n">
        <v>0</v>
      </c>
      <c r="M367" t="n">
        <v>0</v>
      </c>
      <c r="N367" t="n">
        <v>0</v>
      </c>
      <c r="O367" t="n">
        <v>0</v>
      </c>
      <c r="P367" t="n">
        <v>0</v>
      </c>
      <c r="Q367" t="n">
        <v>0</v>
      </c>
      <c r="R367" s="2" t="inlineStr"/>
    </row>
    <row r="368" ht="15" customHeight="1">
      <c r="A368" t="inlineStr">
        <is>
          <t>A 46103-2023</t>
        </is>
      </c>
      <c r="B368" s="1" t="n">
        <v>45190</v>
      </c>
      <c r="C368" s="1" t="n">
        <v>46186</v>
      </c>
      <c r="D368" t="inlineStr">
        <is>
          <t>UPPSALA LÄN</t>
        </is>
      </c>
      <c r="E368" t="inlineStr">
        <is>
          <t>ENKÖPING</t>
        </is>
      </c>
      <c r="G368" t="n">
        <v>4.6</v>
      </c>
      <c r="H368" t="n">
        <v>0</v>
      </c>
      <c r="I368" t="n">
        <v>0</v>
      </c>
      <c r="J368" t="n">
        <v>0</v>
      </c>
      <c r="K368" t="n">
        <v>0</v>
      </c>
      <c r="L368" t="n">
        <v>0</v>
      </c>
      <c r="M368" t="n">
        <v>0</v>
      </c>
      <c r="N368" t="n">
        <v>0</v>
      </c>
      <c r="O368" t="n">
        <v>0</v>
      </c>
      <c r="P368" t="n">
        <v>0</v>
      </c>
      <c r="Q368" t="n">
        <v>0</v>
      </c>
      <c r="R368" s="2" t="inlineStr"/>
    </row>
    <row r="369" ht="15" customHeight="1">
      <c r="A369" t="inlineStr">
        <is>
          <t>A 41737-2022</t>
        </is>
      </c>
      <c r="B369" s="1" t="n">
        <v>44827.63826388889</v>
      </c>
      <c r="C369" s="1" t="n">
        <v>46186</v>
      </c>
      <c r="D369" t="inlineStr">
        <is>
          <t>UPPSALA LÄN</t>
        </is>
      </c>
      <c r="E369" t="inlineStr">
        <is>
          <t>ENKÖPING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8137-2025</t>
        </is>
      </c>
      <c r="B370" s="1" t="n">
        <v>45707.8561574074</v>
      </c>
      <c r="C370" s="1" t="n">
        <v>46186</v>
      </c>
      <c r="D370" t="inlineStr">
        <is>
          <t>UPPSALA LÄN</t>
        </is>
      </c>
      <c r="E370" t="inlineStr">
        <is>
          <t>ENKÖPING</t>
        </is>
      </c>
      <c r="G370" t="n">
        <v>0.4</v>
      </c>
      <c r="H370" t="n">
        <v>0</v>
      </c>
      <c r="I370" t="n">
        <v>0</v>
      </c>
      <c r="J370" t="n">
        <v>0</v>
      </c>
      <c r="K370" t="n">
        <v>0</v>
      </c>
      <c r="L370" t="n">
        <v>0</v>
      </c>
      <c r="M370" t="n">
        <v>0</v>
      </c>
      <c r="N370" t="n">
        <v>0</v>
      </c>
      <c r="O370" t="n">
        <v>0</v>
      </c>
      <c r="P370" t="n">
        <v>0</v>
      </c>
      <c r="Q370" t="n">
        <v>0</v>
      </c>
      <c r="R370" s="2" t="inlineStr"/>
    </row>
    <row r="371" ht="15" customHeight="1">
      <c r="A371" t="inlineStr">
        <is>
          <t>A 23301-2024</t>
        </is>
      </c>
      <c r="B371" s="1" t="n">
        <v>45453.4396412037</v>
      </c>
      <c r="C371" s="1" t="n">
        <v>46186</v>
      </c>
      <c r="D371" t="inlineStr">
        <is>
          <t>UPPSALA LÄN</t>
        </is>
      </c>
      <c r="E371" t="inlineStr">
        <is>
          <t>ENKÖPING</t>
        </is>
      </c>
      <c r="G371" t="n">
        <v>4.3</v>
      </c>
      <c r="H371" t="n">
        <v>0</v>
      </c>
      <c r="I371" t="n">
        <v>0</v>
      </c>
      <c r="J371" t="n">
        <v>0</v>
      </c>
      <c r="K371" t="n">
        <v>0</v>
      </c>
      <c r="L371" t="n">
        <v>0</v>
      </c>
      <c r="M371" t="n">
        <v>0</v>
      </c>
      <c r="N371" t="n">
        <v>0</v>
      </c>
      <c r="O371" t="n">
        <v>0</v>
      </c>
      <c r="P371" t="n">
        <v>0</v>
      </c>
      <c r="Q371" t="n">
        <v>0</v>
      </c>
      <c r="R371" s="2" t="inlineStr"/>
    </row>
    <row r="372" ht="15" customHeight="1">
      <c r="A372" t="inlineStr">
        <is>
          <t>A 30098-2024</t>
        </is>
      </c>
      <c r="B372" s="1" t="n">
        <v>45489.41609953704</v>
      </c>
      <c r="C372" s="1" t="n">
        <v>46186</v>
      </c>
      <c r="D372" t="inlineStr">
        <is>
          <t>UPPSALA LÄN</t>
        </is>
      </c>
      <c r="E372" t="inlineStr">
        <is>
          <t>ENKÖPING</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34735-2023</t>
        </is>
      </c>
      <c r="B373" s="1" t="n">
        <v>45139</v>
      </c>
      <c r="C373" s="1" t="n">
        <v>46186</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57328-2024</t>
        </is>
      </c>
      <c r="B374" s="1" t="n">
        <v>45629.62798611111</v>
      </c>
      <c r="C374" s="1" t="n">
        <v>46186</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29482-2022</t>
        </is>
      </c>
      <c r="B375" s="1" t="n">
        <v>44753.57703703704</v>
      </c>
      <c r="C375" s="1" t="n">
        <v>46186</v>
      </c>
      <c r="D375" t="inlineStr">
        <is>
          <t>UPPSALA LÄN</t>
        </is>
      </c>
      <c r="E375" t="inlineStr">
        <is>
          <t>ENKÖPING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29483-2022</t>
        </is>
      </c>
      <c r="B376" s="1" t="n">
        <v>44753.57829861111</v>
      </c>
      <c r="C376" s="1" t="n">
        <v>46186</v>
      </c>
      <c r="D376" t="inlineStr">
        <is>
          <t>UPPSALA LÄN</t>
        </is>
      </c>
      <c r="E376" t="inlineStr">
        <is>
          <t>ENKÖPING</t>
        </is>
      </c>
      <c r="G376" t="n">
        <v>3.6</v>
      </c>
      <c r="H376" t="n">
        <v>0</v>
      </c>
      <c r="I376" t="n">
        <v>0</v>
      </c>
      <c r="J376" t="n">
        <v>0</v>
      </c>
      <c r="K376" t="n">
        <v>0</v>
      </c>
      <c r="L376" t="n">
        <v>0</v>
      </c>
      <c r="M376" t="n">
        <v>0</v>
      </c>
      <c r="N376" t="n">
        <v>0</v>
      </c>
      <c r="O376" t="n">
        <v>0</v>
      </c>
      <c r="P376" t="n">
        <v>0</v>
      </c>
      <c r="Q376" t="n">
        <v>0</v>
      </c>
      <c r="R376" s="2" t="inlineStr"/>
    </row>
    <row r="377" ht="15" customHeight="1">
      <c r="A377" t="inlineStr">
        <is>
          <t>A 44232-2022</t>
        </is>
      </c>
      <c r="B377" s="1" t="n">
        <v>44839</v>
      </c>
      <c r="C377" s="1" t="n">
        <v>46186</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61106-2022</t>
        </is>
      </c>
      <c r="B378" s="1" t="n">
        <v>44915.4128587963</v>
      </c>
      <c r="C378" s="1" t="n">
        <v>46186</v>
      </c>
      <c r="D378" t="inlineStr">
        <is>
          <t>UPPSALA LÄN</t>
        </is>
      </c>
      <c r="E378" t="inlineStr">
        <is>
          <t>ENKÖPING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39624-2023</t>
        </is>
      </c>
      <c r="B379" s="1" t="n">
        <v>45164</v>
      </c>
      <c r="C379" s="1" t="n">
        <v>46186</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20184-2023</t>
        </is>
      </c>
      <c r="B380" s="1" t="n">
        <v>45055.5670949074</v>
      </c>
      <c r="C380" s="1" t="n">
        <v>46186</v>
      </c>
      <c r="D380" t="inlineStr">
        <is>
          <t>UPPSALA LÄN</t>
        </is>
      </c>
      <c r="E380" t="inlineStr">
        <is>
          <t>ENKÖPING</t>
        </is>
      </c>
      <c r="G380" t="n">
        <v>3.2</v>
      </c>
      <c r="H380" t="n">
        <v>0</v>
      </c>
      <c r="I380" t="n">
        <v>0</v>
      </c>
      <c r="J380" t="n">
        <v>0</v>
      </c>
      <c r="K380" t="n">
        <v>0</v>
      </c>
      <c r="L380" t="n">
        <v>0</v>
      </c>
      <c r="M380" t="n">
        <v>0</v>
      </c>
      <c r="N380" t="n">
        <v>0</v>
      </c>
      <c r="O380" t="n">
        <v>0</v>
      </c>
      <c r="P380" t="n">
        <v>0</v>
      </c>
      <c r="Q380" t="n">
        <v>0</v>
      </c>
      <c r="R380" s="2" t="inlineStr"/>
    </row>
    <row r="381" ht="15" customHeight="1">
      <c r="A381" t="inlineStr">
        <is>
          <t>A 8152-2022</t>
        </is>
      </c>
      <c r="B381" s="1" t="n">
        <v>44609</v>
      </c>
      <c r="C381" s="1" t="n">
        <v>46186</v>
      </c>
      <c r="D381" t="inlineStr">
        <is>
          <t>UPPSALA LÄN</t>
        </is>
      </c>
      <c r="E381" t="inlineStr">
        <is>
          <t>ENKÖPING</t>
        </is>
      </c>
      <c r="F381" t="inlineStr">
        <is>
          <t>Kyrkan</t>
        </is>
      </c>
      <c r="G381" t="n">
        <v>1.3</v>
      </c>
      <c r="H381" t="n">
        <v>0</v>
      </c>
      <c r="I381" t="n">
        <v>0</v>
      </c>
      <c r="J381" t="n">
        <v>0</v>
      </c>
      <c r="K381" t="n">
        <v>0</v>
      </c>
      <c r="L381" t="n">
        <v>0</v>
      </c>
      <c r="M381" t="n">
        <v>0</v>
      </c>
      <c r="N381" t="n">
        <v>0</v>
      </c>
      <c r="O381" t="n">
        <v>0</v>
      </c>
      <c r="P381" t="n">
        <v>0</v>
      </c>
      <c r="Q381" t="n">
        <v>0</v>
      </c>
      <c r="R381" s="2" t="inlineStr"/>
    </row>
    <row r="382" ht="15" customHeight="1">
      <c r="A382" t="inlineStr">
        <is>
          <t>A 40223-2024</t>
        </is>
      </c>
      <c r="B382" s="1" t="n">
        <v>45554</v>
      </c>
      <c r="C382" s="1" t="n">
        <v>46186</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37035-2023</t>
        </is>
      </c>
      <c r="B383" s="1" t="n">
        <v>45155</v>
      </c>
      <c r="C383" s="1" t="n">
        <v>46186</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52889-2022</t>
        </is>
      </c>
      <c r="B384" s="1" t="n">
        <v>44875</v>
      </c>
      <c r="C384" s="1" t="n">
        <v>46186</v>
      </c>
      <c r="D384" t="inlineStr">
        <is>
          <t>UPPSALA LÄN</t>
        </is>
      </c>
      <c r="E384" t="inlineStr">
        <is>
          <t>ENKÖPING</t>
        </is>
      </c>
      <c r="G384" t="n">
        <v>1.7</v>
      </c>
      <c r="H384" t="n">
        <v>0</v>
      </c>
      <c r="I384" t="n">
        <v>0</v>
      </c>
      <c r="J384" t="n">
        <v>0</v>
      </c>
      <c r="K384" t="n">
        <v>0</v>
      </c>
      <c r="L384" t="n">
        <v>0</v>
      </c>
      <c r="M384" t="n">
        <v>0</v>
      </c>
      <c r="N384" t="n">
        <v>0</v>
      </c>
      <c r="O384" t="n">
        <v>0</v>
      </c>
      <c r="P384" t="n">
        <v>0</v>
      </c>
      <c r="Q384" t="n">
        <v>0</v>
      </c>
      <c r="R384" s="2" t="inlineStr"/>
    </row>
    <row r="385" ht="15" customHeight="1">
      <c r="A385" t="inlineStr">
        <is>
          <t>A 26292-2022</t>
        </is>
      </c>
      <c r="B385" s="1" t="n">
        <v>44735</v>
      </c>
      <c r="C385" s="1" t="n">
        <v>46186</v>
      </c>
      <c r="D385" t="inlineStr">
        <is>
          <t>UPPSALA LÄN</t>
        </is>
      </c>
      <c r="E385" t="inlineStr">
        <is>
          <t>ENKÖPING</t>
        </is>
      </c>
      <c r="F385" t="inlineStr">
        <is>
          <t>Kyrkan</t>
        </is>
      </c>
      <c r="G385" t="n">
        <v>4.6</v>
      </c>
      <c r="H385" t="n">
        <v>0</v>
      </c>
      <c r="I385" t="n">
        <v>0</v>
      </c>
      <c r="J385" t="n">
        <v>0</v>
      </c>
      <c r="K385" t="n">
        <v>0</v>
      </c>
      <c r="L385" t="n">
        <v>0</v>
      </c>
      <c r="M385" t="n">
        <v>0</v>
      </c>
      <c r="N385" t="n">
        <v>0</v>
      </c>
      <c r="O385" t="n">
        <v>0</v>
      </c>
      <c r="P385" t="n">
        <v>0</v>
      </c>
      <c r="Q385" t="n">
        <v>0</v>
      </c>
      <c r="R385" s="2" t="inlineStr"/>
    </row>
    <row r="386" ht="15" customHeight="1">
      <c r="A386" t="inlineStr">
        <is>
          <t>A 4044-2024</t>
        </is>
      </c>
      <c r="B386" s="1" t="n">
        <v>45323.45954861111</v>
      </c>
      <c r="C386" s="1" t="n">
        <v>46186</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22912-2024</t>
        </is>
      </c>
      <c r="B387" s="1" t="n">
        <v>45448.73118055556</v>
      </c>
      <c r="C387" s="1" t="n">
        <v>46186</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18302-2025</t>
        </is>
      </c>
      <c r="B388" s="1" t="n">
        <v>45762</v>
      </c>
      <c r="C388" s="1" t="n">
        <v>46186</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28243-2023</t>
        </is>
      </c>
      <c r="B389" s="1" t="n">
        <v>45099.58885416666</v>
      </c>
      <c r="C389" s="1" t="n">
        <v>46186</v>
      </c>
      <c r="D389" t="inlineStr">
        <is>
          <t>UPPSALA LÄN</t>
        </is>
      </c>
      <c r="E389" t="inlineStr">
        <is>
          <t>ENKÖPING</t>
        </is>
      </c>
      <c r="G389" t="n">
        <v>1.9</v>
      </c>
      <c r="H389" t="n">
        <v>0</v>
      </c>
      <c r="I389" t="n">
        <v>0</v>
      </c>
      <c r="J389" t="n">
        <v>0</v>
      </c>
      <c r="K389" t="n">
        <v>0</v>
      </c>
      <c r="L389" t="n">
        <v>0</v>
      </c>
      <c r="M389" t="n">
        <v>0</v>
      </c>
      <c r="N389" t="n">
        <v>0</v>
      </c>
      <c r="O389" t="n">
        <v>0</v>
      </c>
      <c r="P389" t="n">
        <v>0</v>
      </c>
      <c r="Q389" t="n">
        <v>0</v>
      </c>
      <c r="R389" s="2" t="inlineStr"/>
    </row>
    <row r="390" ht="15" customHeight="1">
      <c r="A390" t="inlineStr">
        <is>
          <t>A 3235-2025</t>
        </is>
      </c>
      <c r="B390" s="1" t="n">
        <v>45679</v>
      </c>
      <c r="C390" s="1" t="n">
        <v>46186</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1536-2024</t>
        </is>
      </c>
      <c r="B391" s="1" t="n">
        <v>45306</v>
      </c>
      <c r="C391" s="1" t="n">
        <v>46186</v>
      </c>
      <c r="D391" t="inlineStr">
        <is>
          <t>UPPSALA LÄN</t>
        </is>
      </c>
      <c r="E391" t="inlineStr">
        <is>
          <t>ENKÖPING</t>
        </is>
      </c>
      <c r="F391" t="inlineStr">
        <is>
          <t>Kyrkan</t>
        </is>
      </c>
      <c r="G391" t="n">
        <v>5.6</v>
      </c>
      <c r="H391" t="n">
        <v>0</v>
      </c>
      <c r="I391" t="n">
        <v>0</v>
      </c>
      <c r="J391" t="n">
        <v>0</v>
      </c>
      <c r="K391" t="n">
        <v>0</v>
      </c>
      <c r="L391" t="n">
        <v>0</v>
      </c>
      <c r="M391" t="n">
        <v>0</v>
      </c>
      <c r="N391" t="n">
        <v>0</v>
      </c>
      <c r="O391" t="n">
        <v>0</v>
      </c>
      <c r="P391" t="n">
        <v>0</v>
      </c>
      <c r="Q391" t="n">
        <v>0</v>
      </c>
      <c r="R391" s="2" t="inlineStr"/>
    </row>
    <row r="392" ht="15" customHeight="1">
      <c r="A392" t="inlineStr">
        <is>
          <t>A 43492-2023</t>
        </is>
      </c>
      <c r="B392" s="1" t="n">
        <v>45181</v>
      </c>
      <c r="C392" s="1" t="n">
        <v>46186</v>
      </c>
      <c r="D392" t="inlineStr">
        <is>
          <t>UPPSALA LÄN</t>
        </is>
      </c>
      <c r="E392" t="inlineStr">
        <is>
          <t>ENKÖPING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6626-2023</t>
        </is>
      </c>
      <c r="B393" s="1" t="n">
        <v>44966.55946759259</v>
      </c>
      <c r="C393" s="1" t="n">
        <v>46186</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37170-2021</t>
        </is>
      </c>
      <c r="B394" s="1" t="n">
        <v>44395</v>
      </c>
      <c r="C394" s="1" t="n">
        <v>46186</v>
      </c>
      <c r="D394" t="inlineStr">
        <is>
          <t>UPPSALA LÄN</t>
        </is>
      </c>
      <c r="E394" t="inlineStr">
        <is>
          <t>ENKÖPING</t>
        </is>
      </c>
      <c r="G394" t="n">
        <v>1.5</v>
      </c>
      <c r="H394" t="n">
        <v>0</v>
      </c>
      <c r="I394" t="n">
        <v>0</v>
      </c>
      <c r="J394" t="n">
        <v>0</v>
      </c>
      <c r="K394" t="n">
        <v>0</v>
      </c>
      <c r="L394" t="n">
        <v>0</v>
      </c>
      <c r="M394" t="n">
        <v>0</v>
      </c>
      <c r="N394" t="n">
        <v>0</v>
      </c>
      <c r="O394" t="n">
        <v>0</v>
      </c>
      <c r="P394" t="n">
        <v>0</v>
      </c>
      <c r="Q394" t="n">
        <v>0</v>
      </c>
      <c r="R394" s="2" t="inlineStr"/>
    </row>
    <row r="395" ht="15" customHeight="1">
      <c r="A395" t="inlineStr">
        <is>
          <t>A 58147-2024</t>
        </is>
      </c>
      <c r="B395" s="1" t="n">
        <v>45632.4334375</v>
      </c>
      <c r="C395" s="1" t="n">
        <v>46186</v>
      </c>
      <c r="D395" t="inlineStr">
        <is>
          <t>UPPSALA LÄN</t>
        </is>
      </c>
      <c r="E395" t="inlineStr">
        <is>
          <t>ENKÖPING</t>
        </is>
      </c>
      <c r="G395" t="n">
        <v>3</v>
      </c>
      <c r="H395" t="n">
        <v>0</v>
      </c>
      <c r="I395" t="n">
        <v>0</v>
      </c>
      <c r="J395" t="n">
        <v>0</v>
      </c>
      <c r="K395" t="n">
        <v>0</v>
      </c>
      <c r="L395" t="n">
        <v>0</v>
      </c>
      <c r="M395" t="n">
        <v>0</v>
      </c>
      <c r="N395" t="n">
        <v>0</v>
      </c>
      <c r="O395" t="n">
        <v>0</v>
      </c>
      <c r="P395" t="n">
        <v>0</v>
      </c>
      <c r="Q395" t="n">
        <v>0</v>
      </c>
      <c r="R395" s="2" t="inlineStr"/>
    </row>
    <row r="396" ht="15" customHeight="1">
      <c r="A396" t="inlineStr">
        <is>
          <t>A 3550-2023</t>
        </is>
      </c>
      <c r="B396" s="1" t="n">
        <v>44950</v>
      </c>
      <c r="C396" s="1" t="n">
        <v>46186</v>
      </c>
      <c r="D396" t="inlineStr">
        <is>
          <t>UPPSALA LÄN</t>
        </is>
      </c>
      <c r="E396" t="inlineStr">
        <is>
          <t>ENKÖPING</t>
        </is>
      </c>
      <c r="G396" t="n">
        <v>0.9</v>
      </c>
      <c r="H396" t="n">
        <v>0</v>
      </c>
      <c r="I396" t="n">
        <v>0</v>
      </c>
      <c r="J396" t="n">
        <v>0</v>
      </c>
      <c r="K396" t="n">
        <v>0</v>
      </c>
      <c r="L396" t="n">
        <v>0</v>
      </c>
      <c r="M396" t="n">
        <v>0</v>
      </c>
      <c r="N396" t="n">
        <v>0</v>
      </c>
      <c r="O396" t="n">
        <v>0</v>
      </c>
      <c r="P396" t="n">
        <v>0</v>
      </c>
      <c r="Q396" t="n">
        <v>0</v>
      </c>
      <c r="R396" s="2" t="inlineStr"/>
    </row>
    <row r="397" ht="15" customHeight="1">
      <c r="A397" t="inlineStr">
        <is>
          <t>A 19014-2025</t>
        </is>
      </c>
      <c r="B397" s="1" t="n">
        <v>45764.59631944444</v>
      </c>
      <c r="C397" s="1" t="n">
        <v>46186</v>
      </c>
      <c r="D397" t="inlineStr">
        <is>
          <t>UPPSALA LÄN</t>
        </is>
      </c>
      <c r="E397" t="inlineStr">
        <is>
          <t>ENKÖPING</t>
        </is>
      </c>
      <c r="G397" t="n">
        <v>0.2</v>
      </c>
      <c r="H397" t="n">
        <v>0</v>
      </c>
      <c r="I397" t="n">
        <v>0</v>
      </c>
      <c r="J397" t="n">
        <v>0</v>
      </c>
      <c r="K397" t="n">
        <v>0</v>
      </c>
      <c r="L397" t="n">
        <v>0</v>
      </c>
      <c r="M397" t="n">
        <v>0</v>
      </c>
      <c r="N397" t="n">
        <v>0</v>
      </c>
      <c r="O397" t="n">
        <v>0</v>
      </c>
      <c r="P397" t="n">
        <v>0</v>
      </c>
      <c r="Q397" t="n">
        <v>0</v>
      </c>
      <c r="R397" s="2" t="inlineStr"/>
    </row>
    <row r="398" ht="15" customHeight="1">
      <c r="A398" t="inlineStr">
        <is>
          <t>A 12958-2024</t>
        </is>
      </c>
      <c r="B398" s="1" t="n">
        <v>45385</v>
      </c>
      <c r="C398" s="1" t="n">
        <v>46186</v>
      </c>
      <c r="D398" t="inlineStr">
        <is>
          <t>UPPSALA LÄN</t>
        </is>
      </c>
      <c r="E398" t="inlineStr">
        <is>
          <t>ENKÖPING</t>
        </is>
      </c>
      <c r="G398" t="n">
        <v>2.1</v>
      </c>
      <c r="H398" t="n">
        <v>0</v>
      </c>
      <c r="I398" t="n">
        <v>0</v>
      </c>
      <c r="J398" t="n">
        <v>0</v>
      </c>
      <c r="K398" t="n">
        <v>0</v>
      </c>
      <c r="L398" t="n">
        <v>0</v>
      </c>
      <c r="M398" t="n">
        <v>0</v>
      </c>
      <c r="N398" t="n">
        <v>0</v>
      </c>
      <c r="O398" t="n">
        <v>0</v>
      </c>
      <c r="P398" t="n">
        <v>0</v>
      </c>
      <c r="Q398" t="n">
        <v>0</v>
      </c>
      <c r="R398" s="2" t="inlineStr"/>
    </row>
    <row r="399" ht="15" customHeight="1">
      <c r="A399" t="inlineStr">
        <is>
          <t>A 1651-2024</t>
        </is>
      </c>
      <c r="B399" s="1" t="n">
        <v>45306.73770833333</v>
      </c>
      <c r="C399" s="1" t="n">
        <v>46186</v>
      </c>
      <c r="D399" t="inlineStr">
        <is>
          <t>UPPSALA LÄN</t>
        </is>
      </c>
      <c r="E399" t="inlineStr">
        <is>
          <t>ENKÖPING</t>
        </is>
      </c>
      <c r="G399" t="n">
        <v>10.2</v>
      </c>
      <c r="H399" t="n">
        <v>0</v>
      </c>
      <c r="I399" t="n">
        <v>0</v>
      </c>
      <c r="J399" t="n">
        <v>0</v>
      </c>
      <c r="K399" t="n">
        <v>0</v>
      </c>
      <c r="L399" t="n">
        <v>0</v>
      </c>
      <c r="M399" t="n">
        <v>0</v>
      </c>
      <c r="N399" t="n">
        <v>0</v>
      </c>
      <c r="O399" t="n">
        <v>0</v>
      </c>
      <c r="P399" t="n">
        <v>0</v>
      </c>
      <c r="Q399" t="n">
        <v>0</v>
      </c>
      <c r="R399" s="2" t="inlineStr"/>
    </row>
    <row r="400" ht="15" customHeight="1">
      <c r="A400" t="inlineStr">
        <is>
          <t>A 57940-2022</t>
        </is>
      </c>
      <c r="B400" s="1" t="n">
        <v>44900</v>
      </c>
      <c r="C400" s="1" t="n">
        <v>46186</v>
      </c>
      <c r="D400" t="inlineStr">
        <is>
          <t>UPPSALA LÄN</t>
        </is>
      </c>
      <c r="E400" t="inlineStr">
        <is>
          <t>ENKÖPING</t>
        </is>
      </c>
      <c r="G400" t="n">
        <v>1.9</v>
      </c>
      <c r="H400" t="n">
        <v>0</v>
      </c>
      <c r="I400" t="n">
        <v>0</v>
      </c>
      <c r="J400" t="n">
        <v>0</v>
      </c>
      <c r="K400" t="n">
        <v>0</v>
      </c>
      <c r="L400" t="n">
        <v>0</v>
      </c>
      <c r="M400" t="n">
        <v>0</v>
      </c>
      <c r="N400" t="n">
        <v>0</v>
      </c>
      <c r="O400" t="n">
        <v>0</v>
      </c>
      <c r="P400" t="n">
        <v>0</v>
      </c>
      <c r="Q400" t="n">
        <v>0</v>
      </c>
      <c r="R400" s="2" t="inlineStr"/>
    </row>
    <row r="401" ht="15" customHeight="1">
      <c r="A401" t="inlineStr">
        <is>
          <t>A 63310-2021</t>
        </is>
      </c>
      <c r="B401" s="1" t="n">
        <v>44508</v>
      </c>
      <c r="C401" s="1" t="n">
        <v>46186</v>
      </c>
      <c r="D401" t="inlineStr">
        <is>
          <t>UPPSALA LÄN</t>
        </is>
      </c>
      <c r="E401" t="inlineStr">
        <is>
          <t>ENKÖPING</t>
        </is>
      </c>
      <c r="G401" t="n">
        <v>3.5</v>
      </c>
      <c r="H401" t="n">
        <v>0</v>
      </c>
      <c r="I401" t="n">
        <v>0</v>
      </c>
      <c r="J401" t="n">
        <v>0</v>
      </c>
      <c r="K401" t="n">
        <v>0</v>
      </c>
      <c r="L401" t="n">
        <v>0</v>
      </c>
      <c r="M401" t="n">
        <v>0</v>
      </c>
      <c r="N401" t="n">
        <v>0</v>
      </c>
      <c r="O401" t="n">
        <v>0</v>
      </c>
      <c r="P401" t="n">
        <v>0</v>
      </c>
      <c r="Q401" t="n">
        <v>0</v>
      </c>
      <c r="R401" s="2" t="inlineStr"/>
    </row>
    <row r="402" ht="15" customHeight="1">
      <c r="A402" t="inlineStr">
        <is>
          <t>A 20440-2025</t>
        </is>
      </c>
      <c r="B402" s="1" t="n">
        <v>45775</v>
      </c>
      <c r="C402" s="1" t="n">
        <v>46186</v>
      </c>
      <c r="D402" t="inlineStr">
        <is>
          <t>UPPSALA LÄN</t>
        </is>
      </c>
      <c r="E402" t="inlineStr">
        <is>
          <t>ENKÖPING</t>
        </is>
      </c>
      <c r="G402" t="n">
        <v>1.6</v>
      </c>
      <c r="H402" t="n">
        <v>0</v>
      </c>
      <c r="I402" t="n">
        <v>0</v>
      </c>
      <c r="J402" t="n">
        <v>0</v>
      </c>
      <c r="K402" t="n">
        <v>0</v>
      </c>
      <c r="L402" t="n">
        <v>0</v>
      </c>
      <c r="M402" t="n">
        <v>0</v>
      </c>
      <c r="N402" t="n">
        <v>0</v>
      </c>
      <c r="O402" t="n">
        <v>0</v>
      </c>
      <c r="P402" t="n">
        <v>0</v>
      </c>
      <c r="Q402" t="n">
        <v>0</v>
      </c>
      <c r="R402" s="2" t="inlineStr"/>
    </row>
    <row r="403" ht="15" customHeight="1">
      <c r="A403" t="inlineStr">
        <is>
          <t>A 19488-2022</t>
        </is>
      </c>
      <c r="B403" s="1" t="n">
        <v>44693</v>
      </c>
      <c r="C403" s="1" t="n">
        <v>46186</v>
      </c>
      <c r="D403" t="inlineStr">
        <is>
          <t>UPPSALA LÄN</t>
        </is>
      </c>
      <c r="E403" t="inlineStr">
        <is>
          <t>ENKÖPING</t>
        </is>
      </c>
      <c r="G403" t="n">
        <v>7.8</v>
      </c>
      <c r="H403" t="n">
        <v>0</v>
      </c>
      <c r="I403" t="n">
        <v>0</v>
      </c>
      <c r="J403" t="n">
        <v>0</v>
      </c>
      <c r="K403" t="n">
        <v>0</v>
      </c>
      <c r="L403" t="n">
        <v>0</v>
      </c>
      <c r="M403" t="n">
        <v>0</v>
      </c>
      <c r="N403" t="n">
        <v>0</v>
      </c>
      <c r="O403" t="n">
        <v>0</v>
      </c>
      <c r="P403" t="n">
        <v>0</v>
      </c>
      <c r="Q403" t="n">
        <v>0</v>
      </c>
      <c r="R403" s="2" t="inlineStr"/>
    </row>
    <row r="404" ht="15" customHeight="1">
      <c r="A404" t="inlineStr">
        <is>
          <t>A 5188-2022</t>
        </is>
      </c>
      <c r="B404" s="1" t="n">
        <v>44594.4471412037</v>
      </c>
      <c r="C404" s="1" t="n">
        <v>46186</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31622-2022</t>
        </is>
      </c>
      <c r="B405" s="1" t="n">
        <v>44775</v>
      </c>
      <c r="C405" s="1" t="n">
        <v>46186</v>
      </c>
      <c r="D405" t="inlineStr">
        <is>
          <t>UPPSALA LÄN</t>
        </is>
      </c>
      <c r="E405" t="inlineStr">
        <is>
          <t>ENKÖPING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12102-2024</t>
        </is>
      </c>
      <c r="B406" s="1" t="n">
        <v>45377</v>
      </c>
      <c r="C406" s="1" t="n">
        <v>46186</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c r="A407" t="inlineStr">
        <is>
          <t>A 59602-2024</t>
        </is>
      </c>
      <c r="B407" s="1" t="n">
        <v>45638</v>
      </c>
      <c r="C407" s="1" t="n">
        <v>46186</v>
      </c>
      <c r="D407" t="inlineStr">
        <is>
          <t>UPPSALA LÄN</t>
        </is>
      </c>
      <c r="E407" t="inlineStr">
        <is>
          <t>ENKÖPING</t>
        </is>
      </c>
      <c r="G407" t="n">
        <v>1.1</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2026-06-13T09:27:11Z</dcterms:created>
  <dcterms:modified xmlns:dcterms="http://purl.org/dc/terms/" xmlns:xsi="http://www.w3.org/2001/XMLSchema-instance" xsi:type="dcterms:W3CDTF">2026-06-13T09:27:12Z</dcterms:modified>
</cp:coreProperties>
</file>