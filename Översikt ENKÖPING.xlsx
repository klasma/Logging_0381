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46136</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46136</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46136</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46136</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46136</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46136</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46136</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46136</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46136</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46136</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46136</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46136</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46136</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46136</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46136</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46136</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46136</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46136</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46136</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4166-2026</t>
        </is>
      </c>
      <c r="B23" s="1" t="n">
        <v>46044.66402777778</v>
      </c>
      <c r="C23" s="1" t="n">
        <v>46136</v>
      </c>
      <c r="D23" t="inlineStr">
        <is>
          <t>UPPSALA LÄN</t>
        </is>
      </c>
      <c r="E23" t="inlineStr">
        <is>
          <t>ENKÖPING</t>
        </is>
      </c>
      <c r="G23" t="n">
        <v>1.7</v>
      </c>
      <c r="H23" t="n">
        <v>1</v>
      </c>
      <c r="I23" t="n">
        <v>0</v>
      </c>
      <c r="J23" t="n">
        <v>1</v>
      </c>
      <c r="K23" t="n">
        <v>0</v>
      </c>
      <c r="L23" t="n">
        <v>0</v>
      </c>
      <c r="M23" t="n">
        <v>0</v>
      </c>
      <c r="N23" t="n">
        <v>0</v>
      </c>
      <c r="O23" t="n">
        <v>1</v>
      </c>
      <c r="P23" t="n">
        <v>0</v>
      </c>
      <c r="Q23" t="n">
        <v>1</v>
      </c>
      <c r="R23" s="2" t="inlineStr">
        <is>
          <t>Gulsparv</t>
        </is>
      </c>
      <c r="S23">
        <f>HYPERLINK("https://klasma.github.io/Logging_0381/artfynd/A 4166-2026 artfynd.xlsx", "A 4166-2026")</f>
        <v/>
      </c>
      <c r="T23">
        <f>HYPERLINK("https://klasma.github.io/Logging_0381/kartor/A 4166-2026 karta.png", "A 4166-2026")</f>
        <v/>
      </c>
      <c r="V23">
        <f>HYPERLINK("https://klasma.github.io/Logging_0381/klagomål/A 4166-2026 FSC-klagomål.docx", "A 4166-2026")</f>
        <v/>
      </c>
      <c r="W23">
        <f>HYPERLINK("https://klasma.github.io/Logging_0381/klagomålsmail/A 4166-2026 FSC-klagomål mail.docx", "A 4166-2026")</f>
        <v/>
      </c>
      <c r="X23">
        <f>HYPERLINK("https://klasma.github.io/Logging_0381/tillsyn/A 4166-2026 tillsynsbegäran.docx", "A 4166-2026")</f>
        <v/>
      </c>
      <c r="Y23">
        <f>HYPERLINK("https://klasma.github.io/Logging_0381/tillsynsmail/A 4166-2026 tillsynsbegäran mail.docx", "A 4166-2026")</f>
        <v/>
      </c>
      <c r="Z23">
        <f>HYPERLINK("https://klasma.github.io/Logging_0381/fåglar/A 4166-2026 prioriterade fågelarter.docx", "A 4166-2026")</f>
        <v/>
      </c>
    </row>
    <row r="24" ht="15" customHeight="1">
      <c r="A24" t="inlineStr">
        <is>
          <t>A 23961-2022</t>
        </is>
      </c>
      <c r="B24" s="1" t="n">
        <v>44722</v>
      </c>
      <c r="C24" s="1" t="n">
        <v>46136</v>
      </c>
      <c r="D24" t="inlineStr">
        <is>
          <t>UPPSALA LÄN</t>
        </is>
      </c>
      <c r="E24" t="inlineStr">
        <is>
          <t>ENKÖPING</t>
        </is>
      </c>
      <c r="G24" t="n">
        <v>1.4</v>
      </c>
      <c r="H24" t="n">
        <v>1</v>
      </c>
      <c r="I24" t="n">
        <v>0</v>
      </c>
      <c r="J24" t="n">
        <v>0</v>
      </c>
      <c r="K24" t="n">
        <v>0</v>
      </c>
      <c r="L24" t="n">
        <v>0</v>
      </c>
      <c r="M24" t="n">
        <v>0</v>
      </c>
      <c r="N24" t="n">
        <v>0</v>
      </c>
      <c r="O24" t="n">
        <v>0</v>
      </c>
      <c r="P24" t="n">
        <v>0</v>
      </c>
      <c r="Q24" t="n">
        <v>1</v>
      </c>
      <c r="R24" s="2" t="inlineStr">
        <is>
          <t>Blåsippa</t>
        </is>
      </c>
      <c r="S24">
        <f>HYPERLINK("https://klasma.github.io/Logging_0381/artfynd/A 23961-2022 artfynd.xlsx", "A 23961-2022")</f>
        <v/>
      </c>
      <c r="T24">
        <f>HYPERLINK("https://klasma.github.io/Logging_0381/kartor/A 23961-2022 karta.png", "A 23961-2022")</f>
        <v/>
      </c>
      <c r="V24">
        <f>HYPERLINK("https://klasma.github.io/Logging_0381/klagomål/A 23961-2022 FSC-klagomål.docx", "A 23961-2022")</f>
        <v/>
      </c>
      <c r="W24">
        <f>HYPERLINK("https://klasma.github.io/Logging_0381/klagomålsmail/A 23961-2022 FSC-klagomål mail.docx", "A 23961-2022")</f>
        <v/>
      </c>
      <c r="X24">
        <f>HYPERLINK("https://klasma.github.io/Logging_0381/tillsyn/A 23961-2022 tillsynsbegäran.docx", "A 23961-2022")</f>
        <v/>
      </c>
      <c r="Y24">
        <f>HYPERLINK("https://klasma.github.io/Logging_0381/tillsynsmail/A 23961-2022 tillsynsbegäran mail.docx", "A 23961-2022")</f>
        <v/>
      </c>
    </row>
    <row r="25" ht="15" customHeight="1">
      <c r="A25" t="inlineStr">
        <is>
          <t>A 28900-2024</t>
        </is>
      </c>
      <c r="B25" s="1" t="n">
        <v>45480</v>
      </c>
      <c r="C25" s="1" t="n">
        <v>46136</v>
      </c>
      <c r="D25" t="inlineStr">
        <is>
          <t>UPPSALA LÄN</t>
        </is>
      </c>
      <c r="E25" t="inlineStr">
        <is>
          <t>ENKÖPING</t>
        </is>
      </c>
      <c r="G25" t="n">
        <v>8.6</v>
      </c>
      <c r="H25" t="n">
        <v>1</v>
      </c>
      <c r="I25" t="n">
        <v>0</v>
      </c>
      <c r="J25" t="n">
        <v>0</v>
      </c>
      <c r="K25" t="n">
        <v>0</v>
      </c>
      <c r="L25" t="n">
        <v>0</v>
      </c>
      <c r="M25" t="n">
        <v>0</v>
      </c>
      <c r="N25" t="n">
        <v>0</v>
      </c>
      <c r="O25" t="n">
        <v>0</v>
      </c>
      <c r="P25" t="n">
        <v>0</v>
      </c>
      <c r="Q25" t="n">
        <v>1</v>
      </c>
      <c r="R25" s="2" t="inlineStr">
        <is>
          <t>Blåsippa</t>
        </is>
      </c>
      <c r="S25">
        <f>HYPERLINK("https://klasma.github.io/Logging_0381/artfynd/A 28900-2024 artfynd.xlsx", "A 28900-2024")</f>
        <v/>
      </c>
      <c r="T25">
        <f>HYPERLINK("https://klasma.github.io/Logging_0381/kartor/A 28900-2024 karta.png", "A 28900-2024")</f>
        <v/>
      </c>
      <c r="V25">
        <f>HYPERLINK("https://klasma.github.io/Logging_0381/klagomål/A 28900-2024 FSC-klagomål.docx", "A 28900-2024")</f>
        <v/>
      </c>
      <c r="W25">
        <f>HYPERLINK("https://klasma.github.io/Logging_0381/klagomålsmail/A 28900-2024 FSC-klagomål mail.docx", "A 28900-2024")</f>
        <v/>
      </c>
      <c r="X25">
        <f>HYPERLINK("https://klasma.github.io/Logging_0381/tillsyn/A 28900-2024 tillsynsbegäran.docx", "A 28900-2024")</f>
        <v/>
      </c>
      <c r="Y25">
        <f>HYPERLINK("https://klasma.github.io/Logging_0381/tillsynsmail/A 28900-2024 tillsynsbegäran mail.docx", "A 28900-2024")</f>
        <v/>
      </c>
    </row>
    <row r="26" ht="15" customHeight="1">
      <c r="A26" t="inlineStr">
        <is>
          <t>A 17942-2024</t>
        </is>
      </c>
      <c r="B26" s="1" t="n">
        <v>45419</v>
      </c>
      <c r="C26" s="1" t="n">
        <v>46136</v>
      </c>
      <c r="D26" t="inlineStr">
        <is>
          <t>UPPSALA LÄN</t>
        </is>
      </c>
      <c r="E26" t="inlineStr">
        <is>
          <t>ENKÖPING</t>
        </is>
      </c>
      <c r="G26" t="n">
        <v>0.8</v>
      </c>
      <c r="H26" t="n">
        <v>0</v>
      </c>
      <c r="I26" t="n">
        <v>0</v>
      </c>
      <c r="J26" t="n">
        <v>1</v>
      </c>
      <c r="K26" t="n">
        <v>0</v>
      </c>
      <c r="L26" t="n">
        <v>0</v>
      </c>
      <c r="M26" t="n">
        <v>0</v>
      </c>
      <c r="N26" t="n">
        <v>0</v>
      </c>
      <c r="O26" t="n">
        <v>1</v>
      </c>
      <c r="P26" t="n">
        <v>0</v>
      </c>
      <c r="Q26" t="n">
        <v>1</v>
      </c>
      <c r="R26" s="2" t="inlineStr">
        <is>
          <t>Ängsskära</t>
        </is>
      </c>
      <c r="S26">
        <f>HYPERLINK("https://klasma.github.io/Logging_0381/artfynd/A 17942-2024 artfynd.xlsx", "A 17942-2024")</f>
        <v/>
      </c>
      <c r="T26">
        <f>HYPERLINK("https://klasma.github.io/Logging_0381/kartor/A 17942-2024 karta.png", "A 17942-2024")</f>
        <v/>
      </c>
      <c r="V26">
        <f>HYPERLINK("https://klasma.github.io/Logging_0381/klagomål/A 17942-2024 FSC-klagomål.docx", "A 17942-2024")</f>
        <v/>
      </c>
      <c r="W26">
        <f>HYPERLINK("https://klasma.github.io/Logging_0381/klagomålsmail/A 17942-2024 FSC-klagomål mail.docx", "A 17942-2024")</f>
        <v/>
      </c>
      <c r="X26">
        <f>HYPERLINK("https://klasma.github.io/Logging_0381/tillsyn/A 17942-2024 tillsynsbegäran.docx", "A 17942-2024")</f>
        <v/>
      </c>
      <c r="Y26">
        <f>HYPERLINK("https://klasma.github.io/Logging_0381/tillsynsmail/A 17942-2024 tillsynsbegäran mail.docx", "A 17942-2024")</f>
        <v/>
      </c>
    </row>
    <row r="27" ht="15" customHeight="1">
      <c r="A27" t="inlineStr">
        <is>
          <t>A 1524-2023</t>
        </is>
      </c>
      <c r="B27" s="1" t="n">
        <v>44935</v>
      </c>
      <c r="C27" s="1" t="n">
        <v>46136</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29510-2025</t>
        </is>
      </c>
      <c r="B28" s="1" t="n">
        <v>45825</v>
      </c>
      <c r="C28" s="1" t="n">
        <v>46136</v>
      </c>
      <c r="D28" t="inlineStr">
        <is>
          <t>UPPSALA LÄN</t>
        </is>
      </c>
      <c r="E28" t="inlineStr">
        <is>
          <t>ENKÖPING</t>
        </is>
      </c>
      <c r="G28" t="n">
        <v>2.4</v>
      </c>
      <c r="H28" t="n">
        <v>0</v>
      </c>
      <c r="I28" t="n">
        <v>0</v>
      </c>
      <c r="J28" t="n">
        <v>0</v>
      </c>
      <c r="K28" t="n">
        <v>1</v>
      </c>
      <c r="L28" t="n">
        <v>0</v>
      </c>
      <c r="M28" t="n">
        <v>0</v>
      </c>
      <c r="N28" t="n">
        <v>0</v>
      </c>
      <c r="O28" t="n">
        <v>1</v>
      </c>
      <c r="P28" t="n">
        <v>1</v>
      </c>
      <c r="Q28" t="n">
        <v>1</v>
      </c>
      <c r="R28" s="2" t="inlineStr">
        <is>
          <t>Toppjungfrulin</t>
        </is>
      </c>
      <c r="S28">
        <f>HYPERLINK("https://klasma.github.io/Logging_0381/artfynd/A 29510-2025 artfynd.xlsx", "A 29510-2025")</f>
        <v/>
      </c>
      <c r="T28">
        <f>HYPERLINK("https://klasma.github.io/Logging_0381/kartor/A 29510-2025 karta.png", "A 29510-2025")</f>
        <v/>
      </c>
      <c r="V28">
        <f>HYPERLINK("https://klasma.github.io/Logging_0381/klagomål/A 29510-2025 FSC-klagomål.docx", "A 29510-2025")</f>
        <v/>
      </c>
      <c r="W28">
        <f>HYPERLINK("https://klasma.github.io/Logging_0381/klagomålsmail/A 29510-2025 FSC-klagomål mail.docx", "A 29510-2025")</f>
        <v/>
      </c>
      <c r="X28">
        <f>HYPERLINK("https://klasma.github.io/Logging_0381/tillsyn/A 29510-2025 tillsynsbegäran.docx", "A 29510-2025")</f>
        <v/>
      </c>
      <c r="Y28">
        <f>HYPERLINK("https://klasma.github.io/Logging_0381/tillsynsmail/A 29510-2025 tillsynsbegäran mail.docx", "A 29510-2025")</f>
        <v/>
      </c>
    </row>
    <row r="29" ht="15" customHeight="1">
      <c r="A29" t="inlineStr">
        <is>
          <t>A 33339-2024</t>
        </is>
      </c>
      <c r="B29" s="1" t="n">
        <v>45519</v>
      </c>
      <c r="C29" s="1" t="n">
        <v>46136</v>
      </c>
      <c r="D29" t="inlineStr">
        <is>
          <t>UPPSALA LÄN</t>
        </is>
      </c>
      <c r="E29" t="inlineStr">
        <is>
          <t>ENKÖPING</t>
        </is>
      </c>
      <c r="G29" t="n">
        <v>2.3</v>
      </c>
      <c r="H29" t="n">
        <v>0</v>
      </c>
      <c r="I29" t="n">
        <v>0</v>
      </c>
      <c r="J29" t="n">
        <v>1</v>
      </c>
      <c r="K29" t="n">
        <v>0</v>
      </c>
      <c r="L29" t="n">
        <v>0</v>
      </c>
      <c r="M29" t="n">
        <v>0</v>
      </c>
      <c r="N29" t="n">
        <v>0</v>
      </c>
      <c r="O29" t="n">
        <v>1</v>
      </c>
      <c r="P29" t="n">
        <v>0</v>
      </c>
      <c r="Q29" t="n">
        <v>1</v>
      </c>
      <c r="R29" s="2" t="inlineStr">
        <is>
          <t>Ullticka</t>
        </is>
      </c>
      <c r="S29">
        <f>HYPERLINK("https://klasma.github.io/Logging_0381/artfynd/A 33339-2024 artfynd.xlsx", "A 33339-2024")</f>
        <v/>
      </c>
      <c r="T29">
        <f>HYPERLINK("https://klasma.github.io/Logging_0381/kartor/A 33339-2024 karta.png", "A 33339-2024")</f>
        <v/>
      </c>
      <c r="V29">
        <f>HYPERLINK("https://klasma.github.io/Logging_0381/klagomål/A 33339-2024 FSC-klagomål.docx", "A 33339-2024")</f>
        <v/>
      </c>
      <c r="W29">
        <f>HYPERLINK("https://klasma.github.io/Logging_0381/klagomålsmail/A 33339-2024 FSC-klagomål mail.docx", "A 33339-2024")</f>
        <v/>
      </c>
      <c r="X29">
        <f>HYPERLINK("https://klasma.github.io/Logging_0381/tillsyn/A 33339-2024 tillsynsbegäran.docx", "A 33339-2024")</f>
        <v/>
      </c>
      <c r="Y29">
        <f>HYPERLINK("https://klasma.github.io/Logging_0381/tillsynsmail/A 33339-2024 tillsynsbegäran mail.docx", "A 33339-2024")</f>
        <v/>
      </c>
    </row>
    <row r="30" ht="15" customHeight="1">
      <c r="A30" t="inlineStr">
        <is>
          <t>A 52439-2025</t>
        </is>
      </c>
      <c r="B30" s="1" t="n">
        <v>45954.40697916667</v>
      </c>
      <c r="C30" s="1" t="n">
        <v>46136</v>
      </c>
      <c r="D30" t="inlineStr">
        <is>
          <t>UPPSALA LÄN</t>
        </is>
      </c>
      <c r="E30" t="inlineStr">
        <is>
          <t>ENKÖPING</t>
        </is>
      </c>
      <c r="F30" t="inlineStr">
        <is>
          <t>Allmännings- och besparingsskogar</t>
        </is>
      </c>
      <c r="G30" t="n">
        <v>2.2</v>
      </c>
      <c r="H30" t="n">
        <v>0</v>
      </c>
      <c r="I30" t="n">
        <v>0</v>
      </c>
      <c r="J30" t="n">
        <v>1</v>
      </c>
      <c r="K30" t="n">
        <v>0</v>
      </c>
      <c r="L30" t="n">
        <v>0</v>
      </c>
      <c r="M30" t="n">
        <v>0</v>
      </c>
      <c r="N30" t="n">
        <v>0</v>
      </c>
      <c r="O30" t="n">
        <v>1</v>
      </c>
      <c r="P30" t="n">
        <v>0</v>
      </c>
      <c r="Q30" t="n">
        <v>1</v>
      </c>
      <c r="R30" s="2" t="inlineStr">
        <is>
          <t>Igelkott</t>
        </is>
      </c>
      <c r="S30">
        <f>HYPERLINK("https://klasma.github.io/Logging_0381/artfynd/A 52439-2025 artfynd.xlsx", "A 52439-2025")</f>
        <v/>
      </c>
      <c r="T30">
        <f>HYPERLINK("https://klasma.github.io/Logging_0381/kartor/A 52439-2025 karta.png", "A 52439-2025")</f>
        <v/>
      </c>
      <c r="V30">
        <f>HYPERLINK("https://klasma.github.io/Logging_0381/klagomål/A 52439-2025 FSC-klagomål.docx", "A 52439-2025")</f>
        <v/>
      </c>
      <c r="W30">
        <f>HYPERLINK("https://klasma.github.io/Logging_0381/klagomålsmail/A 52439-2025 FSC-klagomål mail.docx", "A 52439-2025")</f>
        <v/>
      </c>
      <c r="X30">
        <f>HYPERLINK("https://klasma.github.io/Logging_0381/tillsyn/A 52439-2025 tillsynsbegäran.docx", "A 52439-2025")</f>
        <v/>
      </c>
      <c r="Y30">
        <f>HYPERLINK("https://klasma.github.io/Logging_0381/tillsynsmail/A 52439-2025 tillsynsbegäran mail.docx", "A 52439-2025")</f>
        <v/>
      </c>
    </row>
    <row r="31" ht="15" customHeight="1">
      <c r="A31" t="inlineStr">
        <is>
          <t>A 45116-2023</t>
        </is>
      </c>
      <c r="B31" s="1" t="n">
        <v>45191</v>
      </c>
      <c r="C31" s="1" t="n">
        <v>46136</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46136</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46136</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46136</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46136</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22058-2021</t>
        </is>
      </c>
      <c r="B37" s="1" t="n">
        <v>44323</v>
      </c>
      <c r="C37" s="1" t="n">
        <v>46136</v>
      </c>
      <c r="D37" t="inlineStr">
        <is>
          <t>UPPSALA LÄN</t>
        </is>
      </c>
      <c r="E37" t="inlineStr">
        <is>
          <t>ENKÖPING</t>
        </is>
      </c>
      <c r="G37" t="n">
        <v>0.7</v>
      </c>
      <c r="H37" t="n">
        <v>0</v>
      </c>
      <c r="I37" t="n">
        <v>0</v>
      </c>
      <c r="J37" t="n">
        <v>0</v>
      </c>
      <c r="K37" t="n">
        <v>0</v>
      </c>
      <c r="L37" t="n">
        <v>0</v>
      </c>
      <c r="M37" t="n">
        <v>0</v>
      </c>
      <c r="N37" t="n">
        <v>0</v>
      </c>
      <c r="O37" t="n">
        <v>0</v>
      </c>
      <c r="P37" t="n">
        <v>0</v>
      </c>
      <c r="Q37" t="n">
        <v>0</v>
      </c>
      <c r="R37" s="2" t="inlineStr"/>
    </row>
    <row r="38" ht="15" customHeight="1">
      <c r="A38" t="inlineStr">
        <is>
          <t>A 37570-2021</t>
        </is>
      </c>
      <c r="B38" s="1" t="n">
        <v>44399</v>
      </c>
      <c r="C38" s="1" t="n">
        <v>46136</v>
      </c>
      <c r="D38" t="inlineStr">
        <is>
          <t>UPPSALA LÄN</t>
        </is>
      </c>
      <c r="E38" t="inlineStr">
        <is>
          <t>ENKÖPING</t>
        </is>
      </c>
      <c r="G38" t="n">
        <v>0.4</v>
      </c>
      <c r="H38" t="n">
        <v>0</v>
      </c>
      <c r="I38" t="n">
        <v>0</v>
      </c>
      <c r="J38" t="n">
        <v>0</v>
      </c>
      <c r="K38" t="n">
        <v>0</v>
      </c>
      <c r="L38" t="n">
        <v>0</v>
      </c>
      <c r="M38" t="n">
        <v>0</v>
      </c>
      <c r="N38" t="n">
        <v>0</v>
      </c>
      <c r="O38" t="n">
        <v>0</v>
      </c>
      <c r="P38" t="n">
        <v>0</v>
      </c>
      <c r="Q38" t="n">
        <v>0</v>
      </c>
      <c r="R38" s="2" t="inlineStr"/>
    </row>
    <row r="39" ht="15" customHeight="1">
      <c r="A39" t="inlineStr">
        <is>
          <t>A 37571-2021</t>
        </is>
      </c>
      <c r="B39" s="1" t="n">
        <v>44399.58929398148</v>
      </c>
      <c r="C39" s="1" t="n">
        <v>46136</v>
      </c>
      <c r="D39" t="inlineStr">
        <is>
          <t>UPPSALA LÄN</t>
        </is>
      </c>
      <c r="E39" t="inlineStr">
        <is>
          <t>ENKÖPING</t>
        </is>
      </c>
      <c r="G39" t="n">
        <v>4.6</v>
      </c>
      <c r="H39" t="n">
        <v>0</v>
      </c>
      <c r="I39" t="n">
        <v>0</v>
      </c>
      <c r="J39" t="n">
        <v>0</v>
      </c>
      <c r="K39" t="n">
        <v>0</v>
      </c>
      <c r="L39" t="n">
        <v>0</v>
      </c>
      <c r="M39" t="n">
        <v>0</v>
      </c>
      <c r="N39" t="n">
        <v>0</v>
      </c>
      <c r="O39" t="n">
        <v>0</v>
      </c>
      <c r="P39" t="n">
        <v>0</v>
      </c>
      <c r="Q39" t="n">
        <v>0</v>
      </c>
      <c r="R39" s="2" t="inlineStr"/>
    </row>
    <row r="40" ht="15" customHeight="1">
      <c r="A40" t="inlineStr">
        <is>
          <t>A 57066-2021</t>
        </is>
      </c>
      <c r="B40" s="1" t="n">
        <v>44482.5663425926</v>
      </c>
      <c r="C40" s="1" t="n">
        <v>46136</v>
      </c>
      <c r="D40" t="inlineStr">
        <is>
          <t>UPPSALA LÄN</t>
        </is>
      </c>
      <c r="E40" t="inlineStr">
        <is>
          <t>ENKÖPING</t>
        </is>
      </c>
      <c r="G40" t="n">
        <v>1.5</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46136</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32748-2021</t>
        </is>
      </c>
      <c r="B42" s="1" t="n">
        <v>44375.53055555555</v>
      </c>
      <c r="C42" s="1" t="n">
        <v>46136</v>
      </c>
      <c r="D42" t="inlineStr">
        <is>
          <t>UPPSALA LÄN</t>
        </is>
      </c>
      <c r="E42" t="inlineStr">
        <is>
          <t>ENKÖPING</t>
        </is>
      </c>
      <c r="G42" t="n">
        <v>1.1</v>
      </c>
      <c r="H42" t="n">
        <v>0</v>
      </c>
      <c r="I42" t="n">
        <v>0</v>
      </c>
      <c r="J42" t="n">
        <v>0</v>
      </c>
      <c r="K42" t="n">
        <v>0</v>
      </c>
      <c r="L42" t="n">
        <v>0</v>
      </c>
      <c r="M42" t="n">
        <v>0</v>
      </c>
      <c r="N42" t="n">
        <v>0</v>
      </c>
      <c r="O42" t="n">
        <v>0</v>
      </c>
      <c r="P42" t="n">
        <v>0</v>
      </c>
      <c r="Q42" t="n">
        <v>0</v>
      </c>
      <c r="R42" s="2" t="inlineStr"/>
    </row>
    <row r="43" ht="15" customHeight="1">
      <c r="A43" t="inlineStr">
        <is>
          <t>A 54433-2021</t>
        </is>
      </c>
      <c r="B43" s="1" t="n">
        <v>44473</v>
      </c>
      <c r="C43" s="1" t="n">
        <v>46136</v>
      </c>
      <c r="D43" t="inlineStr">
        <is>
          <t>UPPSALA LÄN</t>
        </is>
      </c>
      <c r="E43" t="inlineStr">
        <is>
          <t>ENKÖPING</t>
        </is>
      </c>
      <c r="G43" t="n">
        <v>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46136</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46136</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46136</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46136</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46749-2022</t>
        </is>
      </c>
      <c r="B48" s="1" t="n">
        <v>44851</v>
      </c>
      <c r="C48" s="1" t="n">
        <v>46136</v>
      </c>
      <c r="D48" t="inlineStr">
        <is>
          <t>UPPSALA LÄN</t>
        </is>
      </c>
      <c r="E48" t="inlineStr">
        <is>
          <t>ENKÖPING</t>
        </is>
      </c>
      <c r="G48" t="n">
        <v>6.6</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46136</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46136</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46136</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46136</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46136</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46136</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46136</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46136</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46136</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46136</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46136</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46136</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46136</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46136</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46136</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46136</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46136</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46136</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46136</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46136</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46136</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46136</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49375-2021</t>
        </is>
      </c>
      <c r="B71" s="1" t="n">
        <v>44454</v>
      </c>
      <c r="C71" s="1" t="n">
        <v>46136</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46136</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46136</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46136</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46136</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46136</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46136</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46136</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46136</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46136</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24883-2022</t>
        </is>
      </c>
      <c r="B84" s="1" t="n">
        <v>44728</v>
      </c>
      <c r="C84" s="1" t="n">
        <v>46136</v>
      </c>
      <c r="D84" t="inlineStr">
        <is>
          <t>UPPSALA LÄN</t>
        </is>
      </c>
      <c r="E84" t="inlineStr">
        <is>
          <t>ENKÖPING</t>
        </is>
      </c>
      <c r="G84" t="n">
        <v>2.5</v>
      </c>
      <c r="H84" t="n">
        <v>0</v>
      </c>
      <c r="I84" t="n">
        <v>0</v>
      </c>
      <c r="J84" t="n">
        <v>0</v>
      </c>
      <c r="K84" t="n">
        <v>0</v>
      </c>
      <c r="L84" t="n">
        <v>0</v>
      </c>
      <c r="M84" t="n">
        <v>0</v>
      </c>
      <c r="N84" t="n">
        <v>0</v>
      </c>
      <c r="O84" t="n">
        <v>0</v>
      </c>
      <c r="P84" t="n">
        <v>0</v>
      </c>
      <c r="Q84" t="n">
        <v>0</v>
      </c>
      <c r="R84" s="2" t="inlineStr"/>
    </row>
    <row r="85" ht="15" customHeight="1">
      <c r="A85" t="inlineStr">
        <is>
          <t>A 19630-2021</t>
        </is>
      </c>
      <c r="B85" s="1" t="n">
        <v>44312.61876157407</v>
      </c>
      <c r="C85" s="1" t="n">
        <v>46136</v>
      </c>
      <c r="D85" t="inlineStr">
        <is>
          <t>UPPSALA LÄN</t>
        </is>
      </c>
      <c r="E85" t="inlineStr">
        <is>
          <t>ENKÖPING</t>
        </is>
      </c>
      <c r="G85" t="n">
        <v>2.7</v>
      </c>
      <c r="H85" t="n">
        <v>0</v>
      </c>
      <c r="I85" t="n">
        <v>0</v>
      </c>
      <c r="J85" t="n">
        <v>0</v>
      </c>
      <c r="K85" t="n">
        <v>0</v>
      </c>
      <c r="L85" t="n">
        <v>0</v>
      </c>
      <c r="M85" t="n">
        <v>0</v>
      </c>
      <c r="N85" t="n">
        <v>0</v>
      </c>
      <c r="O85" t="n">
        <v>0</v>
      </c>
      <c r="P85" t="n">
        <v>0</v>
      </c>
      <c r="Q85" t="n">
        <v>0</v>
      </c>
      <c r="R85" s="2" t="inlineStr"/>
    </row>
    <row r="86" ht="15" customHeight="1">
      <c r="A86" t="inlineStr">
        <is>
          <t>A 68127-2021</t>
        </is>
      </c>
      <c r="B86" s="1" t="n">
        <v>44526.39513888889</v>
      </c>
      <c r="C86" s="1" t="n">
        <v>46136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42021-2021</t>
        </is>
      </c>
      <c r="B87" s="1" t="n">
        <v>44426</v>
      </c>
      <c r="C87" s="1" t="n">
        <v>46136</v>
      </c>
      <c r="D87" t="inlineStr">
        <is>
          <t>UPPSALA LÄN</t>
        </is>
      </c>
      <c r="E87" t="inlineStr">
        <is>
          <t>ENKÖPING</t>
        </is>
      </c>
      <c r="G87" t="n">
        <v>2.2</v>
      </c>
      <c r="H87" t="n">
        <v>0</v>
      </c>
      <c r="I87" t="n">
        <v>0</v>
      </c>
      <c r="J87" t="n">
        <v>0</v>
      </c>
      <c r="K87" t="n">
        <v>0</v>
      </c>
      <c r="L87" t="n">
        <v>0</v>
      </c>
      <c r="M87" t="n">
        <v>0</v>
      </c>
      <c r="N87" t="n">
        <v>0</v>
      </c>
      <c r="O87" t="n">
        <v>0</v>
      </c>
      <c r="P87" t="n">
        <v>0</v>
      </c>
      <c r="Q87" t="n">
        <v>0</v>
      </c>
      <c r="R87" s="2" t="inlineStr"/>
    </row>
    <row r="88" ht="15" customHeight="1">
      <c r="A88" t="inlineStr">
        <is>
          <t>A 17467-2022</t>
        </is>
      </c>
      <c r="B88" s="1" t="n">
        <v>44679</v>
      </c>
      <c r="C88" s="1" t="n">
        <v>46136</v>
      </c>
      <c r="D88" t="inlineStr">
        <is>
          <t>UPPSALA LÄN</t>
        </is>
      </c>
      <c r="E88" t="inlineStr">
        <is>
          <t>ENKÖPING</t>
        </is>
      </c>
      <c r="G88" t="n">
        <v>0.7</v>
      </c>
      <c r="H88" t="n">
        <v>0</v>
      </c>
      <c r="I88" t="n">
        <v>0</v>
      </c>
      <c r="J88" t="n">
        <v>0</v>
      </c>
      <c r="K88" t="n">
        <v>0</v>
      </c>
      <c r="L88" t="n">
        <v>0</v>
      </c>
      <c r="M88" t="n">
        <v>0</v>
      </c>
      <c r="N88" t="n">
        <v>0</v>
      </c>
      <c r="O88" t="n">
        <v>0</v>
      </c>
      <c r="P88" t="n">
        <v>0</v>
      </c>
      <c r="Q88" t="n">
        <v>0</v>
      </c>
      <c r="R88" s="2" t="inlineStr"/>
    </row>
    <row r="89" ht="15" customHeight="1">
      <c r="A89" t="inlineStr">
        <is>
          <t>A 59121-2021</t>
        </is>
      </c>
      <c r="B89" s="1" t="n">
        <v>44490</v>
      </c>
      <c r="C89" s="1" t="n">
        <v>46136</v>
      </c>
      <c r="D89" t="inlineStr">
        <is>
          <t>UPPSALA LÄN</t>
        </is>
      </c>
      <c r="E89" t="inlineStr">
        <is>
          <t>ENKÖPING</t>
        </is>
      </c>
      <c r="G89" t="n">
        <v>2.4</v>
      </c>
      <c r="H89" t="n">
        <v>0</v>
      </c>
      <c r="I89" t="n">
        <v>0</v>
      </c>
      <c r="J89" t="n">
        <v>0</v>
      </c>
      <c r="K89" t="n">
        <v>0</v>
      </c>
      <c r="L89" t="n">
        <v>0</v>
      </c>
      <c r="M89" t="n">
        <v>0</v>
      </c>
      <c r="N89" t="n">
        <v>0</v>
      </c>
      <c r="O89" t="n">
        <v>0</v>
      </c>
      <c r="P89" t="n">
        <v>0</v>
      </c>
      <c r="Q89" t="n">
        <v>0</v>
      </c>
      <c r="R89" s="2" t="inlineStr"/>
    </row>
    <row r="90" ht="15" customHeight="1">
      <c r="A90" t="inlineStr">
        <is>
          <t>A 57078-2021</t>
        </is>
      </c>
      <c r="B90" s="1" t="n">
        <v>44482.57855324074</v>
      </c>
      <c r="C90" s="1" t="n">
        <v>46136</v>
      </c>
      <c r="D90" t="inlineStr">
        <is>
          <t>UPPSALA LÄN</t>
        </is>
      </c>
      <c r="E90" t="inlineStr">
        <is>
          <t>ENKÖPING</t>
        </is>
      </c>
      <c r="G90" t="n">
        <v>3</v>
      </c>
      <c r="H90" t="n">
        <v>0</v>
      </c>
      <c r="I90" t="n">
        <v>0</v>
      </c>
      <c r="J90" t="n">
        <v>0</v>
      </c>
      <c r="K90" t="n">
        <v>0</v>
      </c>
      <c r="L90" t="n">
        <v>0</v>
      </c>
      <c r="M90" t="n">
        <v>0</v>
      </c>
      <c r="N90" t="n">
        <v>0</v>
      </c>
      <c r="O90" t="n">
        <v>0</v>
      </c>
      <c r="P90" t="n">
        <v>0</v>
      </c>
      <c r="Q90" t="n">
        <v>0</v>
      </c>
      <c r="R90" s="2" t="inlineStr"/>
    </row>
    <row r="91" ht="15" customHeight="1">
      <c r="A91" t="inlineStr">
        <is>
          <t>A 24815-2022</t>
        </is>
      </c>
      <c r="B91" s="1" t="n">
        <v>44728</v>
      </c>
      <c r="C91" s="1" t="n">
        <v>46136</v>
      </c>
      <c r="D91" t="inlineStr">
        <is>
          <t>UPPSALA LÄN</t>
        </is>
      </c>
      <c r="E91" t="inlineStr">
        <is>
          <t>ENKÖPING</t>
        </is>
      </c>
      <c r="G91" t="n">
        <v>1.8</v>
      </c>
      <c r="H91" t="n">
        <v>0</v>
      </c>
      <c r="I91" t="n">
        <v>0</v>
      </c>
      <c r="J91" t="n">
        <v>0</v>
      </c>
      <c r="K91" t="n">
        <v>0</v>
      </c>
      <c r="L91" t="n">
        <v>0</v>
      </c>
      <c r="M91" t="n">
        <v>0</v>
      </c>
      <c r="N91" t="n">
        <v>0</v>
      </c>
      <c r="O91" t="n">
        <v>0</v>
      </c>
      <c r="P91" t="n">
        <v>0</v>
      </c>
      <c r="Q91" t="n">
        <v>0</v>
      </c>
      <c r="R91" s="2" t="inlineStr"/>
    </row>
    <row r="92" ht="15" customHeight="1">
      <c r="A92" t="inlineStr">
        <is>
          <t>A 29983-2021</t>
        </is>
      </c>
      <c r="B92" s="1" t="n">
        <v>44363</v>
      </c>
      <c r="C92" s="1" t="n">
        <v>46136</v>
      </c>
      <c r="D92" t="inlineStr">
        <is>
          <t>UPPSALA LÄN</t>
        </is>
      </c>
      <c r="E92" t="inlineStr">
        <is>
          <t>ENKÖPING</t>
        </is>
      </c>
      <c r="F92" t="inlineStr">
        <is>
          <t>Kommuner</t>
        </is>
      </c>
      <c r="G92" t="n">
        <v>3.1</v>
      </c>
      <c r="H92" t="n">
        <v>0</v>
      </c>
      <c r="I92" t="n">
        <v>0</v>
      </c>
      <c r="J92" t="n">
        <v>0</v>
      </c>
      <c r="K92" t="n">
        <v>0</v>
      </c>
      <c r="L92" t="n">
        <v>0</v>
      </c>
      <c r="M92" t="n">
        <v>0</v>
      </c>
      <c r="N92" t="n">
        <v>0</v>
      </c>
      <c r="O92" t="n">
        <v>0</v>
      </c>
      <c r="P92" t="n">
        <v>0</v>
      </c>
      <c r="Q92" t="n">
        <v>0</v>
      </c>
      <c r="R92" s="2" t="inlineStr"/>
    </row>
    <row r="93" ht="15" customHeight="1">
      <c r="A93" t="inlineStr">
        <is>
          <t>A 31965-2021</t>
        </is>
      </c>
      <c r="B93" s="1" t="n">
        <v>44370.56901620371</v>
      </c>
      <c r="C93" s="1" t="n">
        <v>46136</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5211-2024</t>
        </is>
      </c>
      <c r="B94" s="1" t="n">
        <v>45330</v>
      </c>
      <c r="C94" s="1" t="n">
        <v>46136</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10468-2025</t>
        </is>
      </c>
      <c r="B95" s="1" t="n">
        <v>45720</v>
      </c>
      <c r="C95" s="1" t="n">
        <v>46136</v>
      </c>
      <c r="D95" t="inlineStr">
        <is>
          <t>UPPSALA LÄN</t>
        </is>
      </c>
      <c r="E95" t="inlineStr">
        <is>
          <t>ENKÖPING</t>
        </is>
      </c>
      <c r="G95" t="n">
        <v>1.6</v>
      </c>
      <c r="H95" t="n">
        <v>0</v>
      </c>
      <c r="I95" t="n">
        <v>0</v>
      </c>
      <c r="J95" t="n">
        <v>0</v>
      </c>
      <c r="K95" t="n">
        <v>0</v>
      </c>
      <c r="L95" t="n">
        <v>0</v>
      </c>
      <c r="M95" t="n">
        <v>0</v>
      </c>
      <c r="N95" t="n">
        <v>0</v>
      </c>
      <c r="O95" t="n">
        <v>0</v>
      </c>
      <c r="P95" t="n">
        <v>0</v>
      </c>
      <c r="Q95" t="n">
        <v>0</v>
      </c>
      <c r="R95" s="2" t="inlineStr"/>
    </row>
    <row r="96" ht="15" customHeight="1">
      <c r="A96" t="inlineStr">
        <is>
          <t>A 43488-2023</t>
        </is>
      </c>
      <c r="B96" s="1" t="n">
        <v>45181</v>
      </c>
      <c r="C96" s="1" t="n">
        <v>46136</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4044-2024</t>
        </is>
      </c>
      <c r="B97" s="1" t="n">
        <v>45323.45954861111</v>
      </c>
      <c r="C97" s="1" t="n">
        <v>46136</v>
      </c>
      <c r="D97" t="inlineStr">
        <is>
          <t>UPPSALA LÄN</t>
        </is>
      </c>
      <c r="E97" t="inlineStr">
        <is>
          <t>ENKÖPING</t>
        </is>
      </c>
      <c r="G97" t="n">
        <v>2.1</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46136</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30437-2022</t>
        </is>
      </c>
      <c r="B99" s="1" t="n">
        <v>44761</v>
      </c>
      <c r="C99" s="1" t="n">
        <v>46136</v>
      </c>
      <c r="D99" t="inlineStr">
        <is>
          <t>UPPSALA LÄN</t>
        </is>
      </c>
      <c r="E99" t="inlineStr">
        <is>
          <t>ENKÖPING</t>
        </is>
      </c>
      <c r="G99" t="n">
        <v>3.4</v>
      </c>
      <c r="H99" t="n">
        <v>0</v>
      </c>
      <c r="I99" t="n">
        <v>0</v>
      </c>
      <c r="J99" t="n">
        <v>0</v>
      </c>
      <c r="K99" t="n">
        <v>0</v>
      </c>
      <c r="L99" t="n">
        <v>0</v>
      </c>
      <c r="M99" t="n">
        <v>0</v>
      </c>
      <c r="N99" t="n">
        <v>0</v>
      </c>
      <c r="O99" t="n">
        <v>0</v>
      </c>
      <c r="P99" t="n">
        <v>0</v>
      </c>
      <c r="Q99" t="n">
        <v>0</v>
      </c>
      <c r="R99" s="2" t="inlineStr"/>
    </row>
    <row r="100" ht="15" customHeight="1">
      <c r="A100" t="inlineStr">
        <is>
          <t>A 50747-2022</t>
        </is>
      </c>
      <c r="B100" s="1" t="n">
        <v>44867.40162037037</v>
      </c>
      <c r="C100" s="1" t="n">
        <v>46136</v>
      </c>
      <c r="D100" t="inlineStr">
        <is>
          <t>UPPSALA LÄN</t>
        </is>
      </c>
      <c r="E100" t="inlineStr">
        <is>
          <t>ENKÖPING</t>
        </is>
      </c>
      <c r="G100" t="n">
        <v>1.5</v>
      </c>
      <c r="H100" t="n">
        <v>0</v>
      </c>
      <c r="I100" t="n">
        <v>0</v>
      </c>
      <c r="J100" t="n">
        <v>0</v>
      </c>
      <c r="K100" t="n">
        <v>0</v>
      </c>
      <c r="L100" t="n">
        <v>0</v>
      </c>
      <c r="M100" t="n">
        <v>0</v>
      </c>
      <c r="N100" t="n">
        <v>0</v>
      </c>
      <c r="O100" t="n">
        <v>0</v>
      </c>
      <c r="P100" t="n">
        <v>0</v>
      </c>
      <c r="Q100" t="n">
        <v>0</v>
      </c>
      <c r="R100" s="2" t="inlineStr"/>
    </row>
    <row r="101" ht="15" customHeight="1">
      <c r="A101" t="inlineStr">
        <is>
          <t>A 57152-2021</t>
        </is>
      </c>
      <c r="B101" s="1" t="n">
        <v>44482</v>
      </c>
      <c r="C101" s="1" t="n">
        <v>46136</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20112-2024</t>
        </is>
      </c>
      <c r="B102" s="1" t="n">
        <v>45434</v>
      </c>
      <c r="C102" s="1" t="n">
        <v>46136</v>
      </c>
      <c r="D102" t="inlineStr">
        <is>
          <t>UPPSALA LÄN</t>
        </is>
      </c>
      <c r="E102" t="inlineStr">
        <is>
          <t>ENKÖPING</t>
        </is>
      </c>
      <c r="G102" t="n">
        <v>1.8</v>
      </c>
      <c r="H102" t="n">
        <v>0</v>
      </c>
      <c r="I102" t="n">
        <v>0</v>
      </c>
      <c r="J102" t="n">
        <v>0</v>
      </c>
      <c r="K102" t="n">
        <v>0</v>
      </c>
      <c r="L102" t="n">
        <v>0</v>
      </c>
      <c r="M102" t="n">
        <v>0</v>
      </c>
      <c r="N102" t="n">
        <v>0</v>
      </c>
      <c r="O102" t="n">
        <v>0</v>
      </c>
      <c r="P102" t="n">
        <v>0</v>
      </c>
      <c r="Q102" t="n">
        <v>0</v>
      </c>
      <c r="R102" s="2" t="inlineStr"/>
    </row>
    <row r="103" ht="15" customHeight="1">
      <c r="A103" t="inlineStr">
        <is>
          <t>A 46103-2023</t>
        </is>
      </c>
      <c r="B103" s="1" t="n">
        <v>45190</v>
      </c>
      <c r="C103" s="1" t="n">
        <v>46136</v>
      </c>
      <c r="D103" t="inlineStr">
        <is>
          <t>UPPSALA LÄN</t>
        </is>
      </c>
      <c r="E103" t="inlineStr">
        <is>
          <t>ENKÖPING</t>
        </is>
      </c>
      <c r="G103" t="n">
        <v>4.6</v>
      </c>
      <c r="H103" t="n">
        <v>0</v>
      </c>
      <c r="I103" t="n">
        <v>0</v>
      </c>
      <c r="J103" t="n">
        <v>0</v>
      </c>
      <c r="K103" t="n">
        <v>0</v>
      </c>
      <c r="L103" t="n">
        <v>0</v>
      </c>
      <c r="M103" t="n">
        <v>0</v>
      </c>
      <c r="N103" t="n">
        <v>0</v>
      </c>
      <c r="O103" t="n">
        <v>0</v>
      </c>
      <c r="P103" t="n">
        <v>0</v>
      </c>
      <c r="Q103" t="n">
        <v>0</v>
      </c>
      <c r="R103" s="2" t="inlineStr"/>
    </row>
    <row r="104" ht="15" customHeight="1">
      <c r="A104" t="inlineStr">
        <is>
          <t>A 51932-2022</t>
        </is>
      </c>
      <c r="B104" s="1" t="n">
        <v>44872</v>
      </c>
      <c r="C104" s="1" t="n">
        <v>46136</v>
      </c>
      <c r="D104" t="inlineStr">
        <is>
          <t>UPPSALA LÄN</t>
        </is>
      </c>
      <c r="E104" t="inlineStr">
        <is>
          <t>ENKÖPING</t>
        </is>
      </c>
      <c r="G104" t="n">
        <v>5.5</v>
      </c>
      <c r="H104" t="n">
        <v>0</v>
      </c>
      <c r="I104" t="n">
        <v>0</v>
      </c>
      <c r="J104" t="n">
        <v>0</v>
      </c>
      <c r="K104" t="n">
        <v>0</v>
      </c>
      <c r="L104" t="n">
        <v>0</v>
      </c>
      <c r="M104" t="n">
        <v>0</v>
      </c>
      <c r="N104" t="n">
        <v>0</v>
      </c>
      <c r="O104" t="n">
        <v>0</v>
      </c>
      <c r="P104" t="n">
        <v>0</v>
      </c>
      <c r="Q104" t="n">
        <v>0</v>
      </c>
      <c r="R104" s="2" t="inlineStr"/>
    </row>
    <row r="105" ht="15" customHeight="1">
      <c r="A105" t="inlineStr">
        <is>
          <t>A 25333-2023</t>
        </is>
      </c>
      <c r="B105" s="1" t="n">
        <v>45083</v>
      </c>
      <c r="C105" s="1" t="n">
        <v>46136</v>
      </c>
      <c r="D105" t="inlineStr">
        <is>
          <t>UPPSALA LÄN</t>
        </is>
      </c>
      <c r="E105" t="inlineStr">
        <is>
          <t>ENKÖPING</t>
        </is>
      </c>
      <c r="G105" t="n">
        <v>2.7</v>
      </c>
      <c r="H105" t="n">
        <v>0</v>
      </c>
      <c r="I105" t="n">
        <v>0</v>
      </c>
      <c r="J105" t="n">
        <v>0</v>
      </c>
      <c r="K105" t="n">
        <v>0</v>
      </c>
      <c r="L105" t="n">
        <v>0</v>
      </c>
      <c r="M105" t="n">
        <v>0</v>
      </c>
      <c r="N105" t="n">
        <v>0</v>
      </c>
      <c r="O105" t="n">
        <v>0</v>
      </c>
      <c r="P105" t="n">
        <v>0</v>
      </c>
      <c r="Q105" t="n">
        <v>0</v>
      </c>
      <c r="R105" s="2" t="inlineStr"/>
    </row>
    <row r="106" ht="15" customHeight="1">
      <c r="A106" t="inlineStr">
        <is>
          <t>A 12958-2024</t>
        </is>
      </c>
      <c r="B106" s="1" t="n">
        <v>45385</v>
      </c>
      <c r="C106" s="1" t="n">
        <v>46136</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40812-2022</t>
        </is>
      </c>
      <c r="B107" s="1" t="n">
        <v>44824.68791666667</v>
      </c>
      <c r="C107" s="1" t="n">
        <v>46136</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24291-2024</t>
        </is>
      </c>
      <c r="B108" s="1" t="n">
        <v>45457.4584837963</v>
      </c>
      <c r="C108" s="1" t="n">
        <v>46136</v>
      </c>
      <c r="D108" t="inlineStr">
        <is>
          <t>UPPSALA LÄN</t>
        </is>
      </c>
      <c r="E108" t="inlineStr">
        <is>
          <t>ENKÖPING</t>
        </is>
      </c>
      <c r="G108" t="n">
        <v>0.5</v>
      </c>
      <c r="H108" t="n">
        <v>0</v>
      </c>
      <c r="I108" t="n">
        <v>0</v>
      </c>
      <c r="J108" t="n">
        <v>0</v>
      </c>
      <c r="K108" t="n">
        <v>0</v>
      </c>
      <c r="L108" t="n">
        <v>0</v>
      </c>
      <c r="M108" t="n">
        <v>0</v>
      </c>
      <c r="N108" t="n">
        <v>0</v>
      </c>
      <c r="O108" t="n">
        <v>0</v>
      </c>
      <c r="P108" t="n">
        <v>0</v>
      </c>
      <c r="Q108" t="n">
        <v>0</v>
      </c>
      <c r="R108" s="2" t="inlineStr"/>
    </row>
    <row r="109" ht="15" customHeight="1">
      <c r="A109" t="inlineStr">
        <is>
          <t>A 47428-2023</t>
        </is>
      </c>
      <c r="B109" s="1" t="n">
        <v>45202.66664351852</v>
      </c>
      <c r="C109" s="1" t="n">
        <v>46136</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44232-2022</t>
        </is>
      </c>
      <c r="B110" s="1" t="n">
        <v>44839</v>
      </c>
      <c r="C110" s="1" t="n">
        <v>46136</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45362-2022</t>
        </is>
      </c>
      <c r="B111" s="1" t="n">
        <v>44844.62366898148</v>
      </c>
      <c r="C111" s="1" t="n">
        <v>46136</v>
      </c>
      <c r="D111" t="inlineStr">
        <is>
          <t>UPPSALA LÄN</t>
        </is>
      </c>
      <c r="E111" t="inlineStr">
        <is>
          <t>ENKÖPING</t>
        </is>
      </c>
      <c r="G111" t="n">
        <v>1.8</v>
      </c>
      <c r="H111" t="n">
        <v>0</v>
      </c>
      <c r="I111" t="n">
        <v>0</v>
      </c>
      <c r="J111" t="n">
        <v>0</v>
      </c>
      <c r="K111" t="n">
        <v>0</v>
      </c>
      <c r="L111" t="n">
        <v>0</v>
      </c>
      <c r="M111" t="n">
        <v>0</v>
      </c>
      <c r="N111" t="n">
        <v>0</v>
      </c>
      <c r="O111" t="n">
        <v>0</v>
      </c>
      <c r="P111" t="n">
        <v>0</v>
      </c>
      <c r="Q111" t="n">
        <v>0</v>
      </c>
      <c r="R111" s="2" t="inlineStr"/>
    </row>
    <row r="112" ht="15" customHeight="1">
      <c r="A112" t="inlineStr">
        <is>
          <t>A 56526-2022</t>
        </is>
      </c>
      <c r="B112" s="1" t="n">
        <v>44893</v>
      </c>
      <c r="C112" s="1" t="n">
        <v>46136</v>
      </c>
      <c r="D112" t="inlineStr">
        <is>
          <t>UPPSALA LÄN</t>
        </is>
      </c>
      <c r="E112" t="inlineStr">
        <is>
          <t>ENKÖPING</t>
        </is>
      </c>
      <c r="G112" t="n">
        <v>3.8</v>
      </c>
      <c r="H112" t="n">
        <v>0</v>
      </c>
      <c r="I112" t="n">
        <v>0</v>
      </c>
      <c r="J112" t="n">
        <v>0</v>
      </c>
      <c r="K112" t="n">
        <v>0</v>
      </c>
      <c r="L112" t="n">
        <v>0</v>
      </c>
      <c r="M112" t="n">
        <v>0</v>
      </c>
      <c r="N112" t="n">
        <v>0</v>
      </c>
      <c r="O112" t="n">
        <v>0</v>
      </c>
      <c r="P112" t="n">
        <v>0</v>
      </c>
      <c r="Q112" t="n">
        <v>0</v>
      </c>
      <c r="R112" s="2" t="inlineStr"/>
    </row>
    <row r="113" ht="15" customHeight="1">
      <c r="A113" t="inlineStr">
        <is>
          <t>A 60350-2022</t>
        </is>
      </c>
      <c r="B113" s="1" t="n">
        <v>44910</v>
      </c>
      <c r="C113" s="1" t="n">
        <v>46136</v>
      </c>
      <c r="D113" t="inlineStr">
        <is>
          <t>UPPSALA LÄN</t>
        </is>
      </c>
      <c r="E113" t="inlineStr">
        <is>
          <t>ENKÖPING</t>
        </is>
      </c>
      <c r="F113" t="inlineStr">
        <is>
          <t>Allmännings- och besparingsskogar</t>
        </is>
      </c>
      <c r="G113" t="n">
        <v>3.5</v>
      </c>
      <c r="H113" t="n">
        <v>0</v>
      </c>
      <c r="I113" t="n">
        <v>0</v>
      </c>
      <c r="J113" t="n">
        <v>0</v>
      </c>
      <c r="K113" t="n">
        <v>0</v>
      </c>
      <c r="L113" t="n">
        <v>0</v>
      </c>
      <c r="M113" t="n">
        <v>0</v>
      </c>
      <c r="N113" t="n">
        <v>0</v>
      </c>
      <c r="O113" t="n">
        <v>0</v>
      </c>
      <c r="P113" t="n">
        <v>0</v>
      </c>
      <c r="Q113" t="n">
        <v>0</v>
      </c>
      <c r="R113" s="2" t="inlineStr"/>
    </row>
    <row r="114" ht="15" customHeight="1">
      <c r="A114" t="inlineStr">
        <is>
          <t>A 28518-2024</t>
        </is>
      </c>
      <c r="B114" s="1" t="n">
        <v>45477</v>
      </c>
      <c r="C114" s="1" t="n">
        <v>46136</v>
      </c>
      <c r="D114" t="inlineStr">
        <is>
          <t>UPPSALA LÄN</t>
        </is>
      </c>
      <c r="E114" t="inlineStr">
        <is>
          <t>ENKÖPING</t>
        </is>
      </c>
      <c r="G114" t="n">
        <v>3.4</v>
      </c>
      <c r="H114" t="n">
        <v>0</v>
      </c>
      <c r="I114" t="n">
        <v>0</v>
      </c>
      <c r="J114" t="n">
        <v>0</v>
      </c>
      <c r="K114" t="n">
        <v>0</v>
      </c>
      <c r="L114" t="n">
        <v>0</v>
      </c>
      <c r="M114" t="n">
        <v>0</v>
      </c>
      <c r="N114" t="n">
        <v>0</v>
      </c>
      <c r="O114" t="n">
        <v>0</v>
      </c>
      <c r="P114" t="n">
        <v>0</v>
      </c>
      <c r="Q114" t="n">
        <v>0</v>
      </c>
      <c r="R114" s="2" t="inlineStr"/>
    </row>
    <row r="115" ht="15" customHeight="1">
      <c r="A115" t="inlineStr">
        <is>
          <t>A 30098-2024</t>
        </is>
      </c>
      <c r="B115" s="1" t="n">
        <v>45489.41609953704</v>
      </c>
      <c r="C115" s="1" t="n">
        <v>46136</v>
      </c>
      <c r="D115" t="inlineStr">
        <is>
          <t>UPPSALA LÄN</t>
        </is>
      </c>
      <c r="E115" t="inlineStr">
        <is>
          <t>ENKÖPING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60289-2022</t>
        </is>
      </c>
      <c r="B116" s="1" t="n">
        <v>44910.53026620371</v>
      </c>
      <c r="C116" s="1" t="n">
        <v>46136</v>
      </c>
      <c r="D116" t="inlineStr">
        <is>
          <t>UPPSALA LÄN</t>
        </is>
      </c>
      <c r="E116" t="inlineStr">
        <is>
          <t>ENKÖPING</t>
        </is>
      </c>
      <c r="G116" t="n">
        <v>3.2</v>
      </c>
      <c r="H116" t="n">
        <v>0</v>
      </c>
      <c r="I116" t="n">
        <v>0</v>
      </c>
      <c r="J116" t="n">
        <v>0</v>
      </c>
      <c r="K116" t="n">
        <v>0</v>
      </c>
      <c r="L116" t="n">
        <v>0</v>
      </c>
      <c r="M116" t="n">
        <v>0</v>
      </c>
      <c r="N116" t="n">
        <v>0</v>
      </c>
      <c r="O116" t="n">
        <v>0</v>
      </c>
      <c r="P116" t="n">
        <v>0</v>
      </c>
      <c r="Q116" t="n">
        <v>0</v>
      </c>
      <c r="R116" s="2" t="inlineStr"/>
    </row>
    <row r="117" ht="15" customHeight="1">
      <c r="A117" t="inlineStr">
        <is>
          <t>A 1651-2024</t>
        </is>
      </c>
      <c r="B117" s="1" t="n">
        <v>45306.73770833333</v>
      </c>
      <c r="C117" s="1" t="n">
        <v>46136</v>
      </c>
      <c r="D117" t="inlineStr">
        <is>
          <t>UPPSALA LÄN</t>
        </is>
      </c>
      <c r="E117" t="inlineStr">
        <is>
          <t>ENKÖPING</t>
        </is>
      </c>
      <c r="G117" t="n">
        <v>10.2</v>
      </c>
      <c r="H117" t="n">
        <v>0</v>
      </c>
      <c r="I117" t="n">
        <v>0</v>
      </c>
      <c r="J117" t="n">
        <v>0</v>
      </c>
      <c r="K117" t="n">
        <v>0</v>
      </c>
      <c r="L117" t="n">
        <v>0</v>
      </c>
      <c r="M117" t="n">
        <v>0</v>
      </c>
      <c r="N117" t="n">
        <v>0</v>
      </c>
      <c r="O117" t="n">
        <v>0</v>
      </c>
      <c r="P117" t="n">
        <v>0</v>
      </c>
      <c r="Q117" t="n">
        <v>0</v>
      </c>
      <c r="R117" s="2" t="inlineStr"/>
    </row>
    <row r="118" ht="15" customHeight="1">
      <c r="A118" t="inlineStr">
        <is>
          <t>A 2162-2023</t>
        </is>
      </c>
      <c r="B118" s="1" t="n">
        <v>44941</v>
      </c>
      <c r="C118" s="1" t="n">
        <v>46136</v>
      </c>
      <c r="D118" t="inlineStr">
        <is>
          <t>UPPSALA LÄN</t>
        </is>
      </c>
      <c r="E118" t="inlineStr">
        <is>
          <t>ENKÖPING</t>
        </is>
      </c>
      <c r="G118" t="n">
        <v>2.4</v>
      </c>
      <c r="H118" t="n">
        <v>0</v>
      </c>
      <c r="I118" t="n">
        <v>0</v>
      </c>
      <c r="J118" t="n">
        <v>0</v>
      </c>
      <c r="K118" t="n">
        <v>0</v>
      </c>
      <c r="L118" t="n">
        <v>0</v>
      </c>
      <c r="M118" t="n">
        <v>0</v>
      </c>
      <c r="N118" t="n">
        <v>0</v>
      </c>
      <c r="O118" t="n">
        <v>0</v>
      </c>
      <c r="P118" t="n">
        <v>0</v>
      </c>
      <c r="Q118" t="n">
        <v>0</v>
      </c>
      <c r="R118" s="2" t="inlineStr"/>
    </row>
    <row r="119" ht="15" customHeight="1">
      <c r="A119" t="inlineStr">
        <is>
          <t>A 28318-2024</t>
        </is>
      </c>
      <c r="B119" s="1" t="n">
        <v>45477</v>
      </c>
      <c r="C119" s="1" t="n">
        <v>46136</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56163-2021</t>
        </is>
      </c>
      <c r="B120" s="1" t="n">
        <v>44477</v>
      </c>
      <c r="C120" s="1" t="n">
        <v>46136</v>
      </c>
      <c r="D120" t="inlineStr">
        <is>
          <t>UPPSALA LÄN</t>
        </is>
      </c>
      <c r="E120" t="inlineStr">
        <is>
          <t>ENKÖPING</t>
        </is>
      </c>
      <c r="F120" t="inlineStr">
        <is>
          <t>Allmännings- och besparingsskogar</t>
        </is>
      </c>
      <c r="G120" t="n">
        <v>0.6</v>
      </c>
      <c r="H120" t="n">
        <v>0</v>
      </c>
      <c r="I120" t="n">
        <v>0</v>
      </c>
      <c r="J120" t="n">
        <v>0</v>
      </c>
      <c r="K120" t="n">
        <v>0</v>
      </c>
      <c r="L120" t="n">
        <v>0</v>
      </c>
      <c r="M120" t="n">
        <v>0</v>
      </c>
      <c r="N120" t="n">
        <v>0</v>
      </c>
      <c r="O120" t="n">
        <v>0</v>
      </c>
      <c r="P120" t="n">
        <v>0</v>
      </c>
      <c r="Q120" t="n">
        <v>0</v>
      </c>
      <c r="R120" s="2" t="inlineStr"/>
    </row>
    <row r="121" ht="15" customHeight="1">
      <c r="A121" t="inlineStr">
        <is>
          <t>A 31242-2024</t>
        </is>
      </c>
      <c r="B121" s="1" t="n">
        <v>45503</v>
      </c>
      <c r="C121" s="1" t="n">
        <v>46136</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14402-2023</t>
        </is>
      </c>
      <c r="B122" s="1" t="n">
        <v>45012</v>
      </c>
      <c r="C122" s="1" t="n">
        <v>46136</v>
      </c>
      <c r="D122" t="inlineStr">
        <is>
          <t>UPPSALA LÄN</t>
        </is>
      </c>
      <c r="E122" t="inlineStr">
        <is>
          <t>ENKÖPING</t>
        </is>
      </c>
      <c r="G122" t="n">
        <v>9.5</v>
      </c>
      <c r="H122" t="n">
        <v>0</v>
      </c>
      <c r="I122" t="n">
        <v>0</v>
      </c>
      <c r="J122" t="n">
        <v>0</v>
      </c>
      <c r="K122" t="n">
        <v>0</v>
      </c>
      <c r="L122" t="n">
        <v>0</v>
      </c>
      <c r="M122" t="n">
        <v>0</v>
      </c>
      <c r="N122" t="n">
        <v>0</v>
      </c>
      <c r="O122" t="n">
        <v>0</v>
      </c>
      <c r="P122" t="n">
        <v>0</v>
      </c>
      <c r="Q122" t="n">
        <v>0</v>
      </c>
      <c r="R122" s="2" t="inlineStr"/>
    </row>
    <row r="123" ht="15" customHeight="1">
      <c r="A123" t="inlineStr">
        <is>
          <t>A 39115-2024</t>
        </is>
      </c>
      <c r="B123" s="1" t="n">
        <v>45548</v>
      </c>
      <c r="C123" s="1" t="n">
        <v>46136</v>
      </c>
      <c r="D123" t="inlineStr">
        <is>
          <t>UPPSALA LÄN</t>
        </is>
      </c>
      <c r="E123" t="inlineStr">
        <is>
          <t>ENKÖPING</t>
        </is>
      </c>
      <c r="G123" t="n">
        <v>1.3</v>
      </c>
      <c r="H123" t="n">
        <v>0</v>
      </c>
      <c r="I123" t="n">
        <v>0</v>
      </c>
      <c r="J123" t="n">
        <v>0</v>
      </c>
      <c r="K123" t="n">
        <v>0</v>
      </c>
      <c r="L123" t="n">
        <v>0</v>
      </c>
      <c r="M123" t="n">
        <v>0</v>
      </c>
      <c r="N123" t="n">
        <v>0</v>
      </c>
      <c r="O123" t="n">
        <v>0</v>
      </c>
      <c r="P123" t="n">
        <v>0</v>
      </c>
      <c r="Q123" t="n">
        <v>0</v>
      </c>
      <c r="R123" s="2" t="inlineStr"/>
    </row>
    <row r="124" ht="15" customHeight="1">
      <c r="A124" t="inlineStr">
        <is>
          <t>A 12020-2024</t>
        </is>
      </c>
      <c r="B124" s="1" t="n">
        <v>45377</v>
      </c>
      <c r="C124" s="1" t="n">
        <v>46136</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58092-2024</t>
        </is>
      </c>
      <c r="B125" s="1" t="n">
        <v>45632</v>
      </c>
      <c r="C125" s="1" t="n">
        <v>46136</v>
      </c>
      <c r="D125" t="inlineStr">
        <is>
          <t>UPPSALA LÄN</t>
        </is>
      </c>
      <c r="E125" t="inlineStr">
        <is>
          <t>ENKÖPING</t>
        </is>
      </c>
      <c r="G125" t="n">
        <v>4.8</v>
      </c>
      <c r="H125" t="n">
        <v>0</v>
      </c>
      <c r="I125" t="n">
        <v>0</v>
      </c>
      <c r="J125" t="n">
        <v>0</v>
      </c>
      <c r="K125" t="n">
        <v>0</v>
      </c>
      <c r="L125" t="n">
        <v>0</v>
      </c>
      <c r="M125" t="n">
        <v>0</v>
      </c>
      <c r="N125" t="n">
        <v>0</v>
      </c>
      <c r="O125" t="n">
        <v>0</v>
      </c>
      <c r="P125" t="n">
        <v>0</v>
      </c>
      <c r="Q125" t="n">
        <v>0</v>
      </c>
      <c r="R125" s="2" t="inlineStr"/>
    </row>
    <row r="126" ht="15" customHeight="1">
      <c r="A126" t="inlineStr">
        <is>
          <t>A 192-2026</t>
        </is>
      </c>
      <c r="B126" s="1" t="n">
        <v>46025</v>
      </c>
      <c r="C126" s="1" t="n">
        <v>46136</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24411-2024</t>
        </is>
      </c>
      <c r="B127" s="1" t="n">
        <v>45457</v>
      </c>
      <c r="C127" s="1" t="n">
        <v>46136</v>
      </c>
      <c r="D127" t="inlineStr">
        <is>
          <t>UPPSALA LÄN</t>
        </is>
      </c>
      <c r="E127" t="inlineStr">
        <is>
          <t>ENKÖPING</t>
        </is>
      </c>
      <c r="G127" t="n">
        <v>0.7</v>
      </c>
      <c r="H127" t="n">
        <v>0</v>
      </c>
      <c r="I127" t="n">
        <v>0</v>
      </c>
      <c r="J127" t="n">
        <v>0</v>
      </c>
      <c r="K127" t="n">
        <v>0</v>
      </c>
      <c r="L127" t="n">
        <v>0</v>
      </c>
      <c r="M127" t="n">
        <v>0</v>
      </c>
      <c r="N127" t="n">
        <v>0</v>
      </c>
      <c r="O127" t="n">
        <v>0</v>
      </c>
      <c r="P127" t="n">
        <v>0</v>
      </c>
      <c r="Q127" t="n">
        <v>0</v>
      </c>
      <c r="R127" s="2" t="inlineStr"/>
    </row>
    <row r="128" ht="15" customHeight="1">
      <c r="A128" t="inlineStr">
        <is>
          <t>A 25988-2025</t>
        </is>
      </c>
      <c r="B128" s="1" t="n">
        <v>45804.64814814815</v>
      </c>
      <c r="C128" s="1" t="n">
        <v>46136</v>
      </c>
      <c r="D128" t="inlineStr">
        <is>
          <t>UPPSALA LÄN</t>
        </is>
      </c>
      <c r="E128" t="inlineStr">
        <is>
          <t>ENKÖPING</t>
        </is>
      </c>
      <c r="G128" t="n">
        <v>4.7</v>
      </c>
      <c r="H128" t="n">
        <v>0</v>
      </c>
      <c r="I128" t="n">
        <v>0</v>
      </c>
      <c r="J128" t="n">
        <v>0</v>
      </c>
      <c r="K128" t="n">
        <v>0</v>
      </c>
      <c r="L128" t="n">
        <v>0</v>
      </c>
      <c r="M128" t="n">
        <v>0</v>
      </c>
      <c r="N128" t="n">
        <v>0</v>
      </c>
      <c r="O128" t="n">
        <v>0</v>
      </c>
      <c r="P128" t="n">
        <v>0</v>
      </c>
      <c r="Q128" t="n">
        <v>0</v>
      </c>
      <c r="R128" s="2" t="inlineStr"/>
    </row>
    <row r="129" ht="15" customHeight="1">
      <c r="A129" t="inlineStr">
        <is>
          <t>A 26024-2025</t>
        </is>
      </c>
      <c r="B129" s="1" t="n">
        <v>45804.6831712963</v>
      </c>
      <c r="C129" s="1" t="n">
        <v>46136</v>
      </c>
      <c r="D129" t="inlineStr">
        <is>
          <t>UPPSALA LÄN</t>
        </is>
      </c>
      <c r="E129" t="inlineStr">
        <is>
          <t>ENKÖPING</t>
        </is>
      </c>
      <c r="G129" t="n">
        <v>0.8</v>
      </c>
      <c r="H129" t="n">
        <v>0</v>
      </c>
      <c r="I129" t="n">
        <v>0</v>
      </c>
      <c r="J129" t="n">
        <v>0</v>
      </c>
      <c r="K129" t="n">
        <v>0</v>
      </c>
      <c r="L129" t="n">
        <v>0</v>
      </c>
      <c r="M129" t="n">
        <v>0</v>
      </c>
      <c r="N129" t="n">
        <v>0</v>
      </c>
      <c r="O129" t="n">
        <v>0</v>
      </c>
      <c r="P129" t="n">
        <v>0</v>
      </c>
      <c r="Q129" t="n">
        <v>0</v>
      </c>
      <c r="R129" s="2" t="inlineStr"/>
    </row>
    <row r="130" ht="15" customHeight="1">
      <c r="A130" t="inlineStr">
        <is>
          <t>A 26042-2025</t>
        </is>
      </c>
      <c r="B130" s="1" t="n">
        <v>45804.70018518518</v>
      </c>
      <c r="C130" s="1" t="n">
        <v>46136</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69344-2021</t>
        </is>
      </c>
      <c r="B131" s="1" t="n">
        <v>44531</v>
      </c>
      <c r="C131" s="1" t="n">
        <v>46136</v>
      </c>
      <c r="D131" t="inlineStr">
        <is>
          <t>UPPSALA LÄN</t>
        </is>
      </c>
      <c r="E131" t="inlineStr">
        <is>
          <t>ENKÖPING</t>
        </is>
      </c>
      <c r="G131" t="n">
        <v>2.9</v>
      </c>
      <c r="H131" t="n">
        <v>0</v>
      </c>
      <c r="I131" t="n">
        <v>0</v>
      </c>
      <c r="J131" t="n">
        <v>0</v>
      </c>
      <c r="K131" t="n">
        <v>0</v>
      </c>
      <c r="L131" t="n">
        <v>0</v>
      </c>
      <c r="M131" t="n">
        <v>0</v>
      </c>
      <c r="N131" t="n">
        <v>0</v>
      </c>
      <c r="O131" t="n">
        <v>0</v>
      </c>
      <c r="P131" t="n">
        <v>0</v>
      </c>
      <c r="Q131" t="n">
        <v>0</v>
      </c>
      <c r="R131" s="2" t="inlineStr"/>
    </row>
    <row r="132" ht="15" customHeight="1">
      <c r="A132" t="inlineStr">
        <is>
          <t>A 26030-2025</t>
        </is>
      </c>
      <c r="B132" s="1" t="n">
        <v>45804.68815972222</v>
      </c>
      <c r="C132" s="1" t="n">
        <v>46136</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46136</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26026-2025</t>
        </is>
      </c>
      <c r="B134" s="1" t="n">
        <v>45804.68510416667</v>
      </c>
      <c r="C134" s="1" t="n">
        <v>46136</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861-2026</t>
        </is>
      </c>
      <c r="B135" s="1" t="n">
        <v>46030</v>
      </c>
      <c r="C135" s="1" t="n">
        <v>46136</v>
      </c>
      <c r="D135" t="inlineStr">
        <is>
          <t>UPPSALA LÄN</t>
        </is>
      </c>
      <c r="E135" t="inlineStr">
        <is>
          <t>ENKÖPING</t>
        </is>
      </c>
      <c r="G135" t="n">
        <v>1.1</v>
      </c>
      <c r="H135" t="n">
        <v>0</v>
      </c>
      <c r="I135" t="n">
        <v>0</v>
      </c>
      <c r="J135" t="n">
        <v>0</v>
      </c>
      <c r="K135" t="n">
        <v>0</v>
      </c>
      <c r="L135" t="n">
        <v>0</v>
      </c>
      <c r="M135" t="n">
        <v>0</v>
      </c>
      <c r="N135" t="n">
        <v>0</v>
      </c>
      <c r="O135" t="n">
        <v>0</v>
      </c>
      <c r="P135" t="n">
        <v>0</v>
      </c>
      <c r="Q135" t="n">
        <v>0</v>
      </c>
      <c r="R135" s="2" t="inlineStr"/>
    </row>
    <row r="136" ht="15" customHeight="1">
      <c r="A136" t="inlineStr">
        <is>
          <t>A 26047-2025</t>
        </is>
      </c>
      <c r="B136" s="1" t="n">
        <v>45804.70835648148</v>
      </c>
      <c r="C136" s="1" t="n">
        <v>46136</v>
      </c>
      <c r="D136" t="inlineStr">
        <is>
          <t>UPPSALA LÄN</t>
        </is>
      </c>
      <c r="E136" t="inlineStr">
        <is>
          <t>ENKÖPING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34124-2021</t>
        </is>
      </c>
      <c r="B137" s="1" t="n">
        <v>44379</v>
      </c>
      <c r="C137" s="1" t="n">
        <v>46136</v>
      </c>
      <c r="D137" t="inlineStr">
        <is>
          <t>UPPSALA LÄN</t>
        </is>
      </c>
      <c r="E137" t="inlineStr">
        <is>
          <t>ENKÖPING</t>
        </is>
      </c>
      <c r="G137" t="n">
        <v>2.2</v>
      </c>
      <c r="H137" t="n">
        <v>0</v>
      </c>
      <c r="I137" t="n">
        <v>0</v>
      </c>
      <c r="J137" t="n">
        <v>0</v>
      </c>
      <c r="K137" t="n">
        <v>0</v>
      </c>
      <c r="L137" t="n">
        <v>0</v>
      </c>
      <c r="M137" t="n">
        <v>0</v>
      </c>
      <c r="N137" t="n">
        <v>0</v>
      </c>
      <c r="O137" t="n">
        <v>0</v>
      </c>
      <c r="P137" t="n">
        <v>0</v>
      </c>
      <c r="Q137" t="n">
        <v>0</v>
      </c>
      <c r="R137" s="2" t="inlineStr"/>
    </row>
    <row r="138" ht="15" customHeight="1">
      <c r="A138" t="inlineStr">
        <is>
          <t>A 43697-2024</t>
        </is>
      </c>
      <c r="B138" s="1" t="n">
        <v>45569</v>
      </c>
      <c r="C138" s="1" t="n">
        <v>46136</v>
      </c>
      <c r="D138" t="inlineStr">
        <is>
          <t>UPPSALA LÄN</t>
        </is>
      </c>
      <c r="E138" t="inlineStr">
        <is>
          <t>ENKÖPING</t>
        </is>
      </c>
      <c r="G138" t="n">
        <v>2.1</v>
      </c>
      <c r="H138" t="n">
        <v>0</v>
      </c>
      <c r="I138" t="n">
        <v>0</v>
      </c>
      <c r="J138" t="n">
        <v>0</v>
      </c>
      <c r="K138" t="n">
        <v>0</v>
      </c>
      <c r="L138" t="n">
        <v>0</v>
      </c>
      <c r="M138" t="n">
        <v>0</v>
      </c>
      <c r="N138" t="n">
        <v>0</v>
      </c>
      <c r="O138" t="n">
        <v>0</v>
      </c>
      <c r="P138" t="n">
        <v>0</v>
      </c>
      <c r="Q138" t="n">
        <v>0</v>
      </c>
      <c r="R138" s="2" t="inlineStr"/>
    </row>
    <row r="139" ht="15" customHeight="1">
      <c r="A139" t="inlineStr">
        <is>
          <t>A 25847-2025</t>
        </is>
      </c>
      <c r="B139" s="1" t="n">
        <v>45804</v>
      </c>
      <c r="C139" s="1" t="n">
        <v>46136</v>
      </c>
      <c r="D139" t="inlineStr">
        <is>
          <t>UPPSALA LÄN</t>
        </is>
      </c>
      <c r="E139" t="inlineStr">
        <is>
          <t>ENKÖPING</t>
        </is>
      </c>
      <c r="G139" t="n">
        <v>3.6</v>
      </c>
      <c r="H139" t="n">
        <v>0</v>
      </c>
      <c r="I139" t="n">
        <v>0</v>
      </c>
      <c r="J139" t="n">
        <v>0</v>
      </c>
      <c r="K139" t="n">
        <v>0</v>
      </c>
      <c r="L139" t="n">
        <v>0</v>
      </c>
      <c r="M139" t="n">
        <v>0</v>
      </c>
      <c r="N139" t="n">
        <v>0</v>
      </c>
      <c r="O139" t="n">
        <v>0</v>
      </c>
      <c r="P139" t="n">
        <v>0</v>
      </c>
      <c r="Q139" t="n">
        <v>0</v>
      </c>
      <c r="R139" s="2" t="inlineStr"/>
    </row>
    <row r="140" ht="15" customHeight="1">
      <c r="A140" t="inlineStr">
        <is>
          <t>A 26005-2025</t>
        </is>
      </c>
      <c r="B140" s="1" t="n">
        <v>45804.67055555555</v>
      </c>
      <c r="C140" s="1" t="n">
        <v>46136</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26031-2025</t>
        </is>
      </c>
      <c r="B141" s="1" t="n">
        <v>45804.69050925926</v>
      </c>
      <c r="C141" s="1" t="n">
        <v>46136</v>
      </c>
      <c r="D141" t="inlineStr">
        <is>
          <t>UPPSALA LÄN</t>
        </is>
      </c>
      <c r="E141" t="inlineStr">
        <is>
          <t>ENKÖPING</t>
        </is>
      </c>
      <c r="G141" t="n">
        <v>0.5</v>
      </c>
      <c r="H141" t="n">
        <v>0</v>
      </c>
      <c r="I141" t="n">
        <v>0</v>
      </c>
      <c r="J141" t="n">
        <v>0</v>
      </c>
      <c r="K141" t="n">
        <v>0</v>
      </c>
      <c r="L141" t="n">
        <v>0</v>
      </c>
      <c r="M141" t="n">
        <v>0</v>
      </c>
      <c r="N141" t="n">
        <v>0</v>
      </c>
      <c r="O141" t="n">
        <v>0</v>
      </c>
      <c r="P141" t="n">
        <v>0</v>
      </c>
      <c r="Q141" t="n">
        <v>0</v>
      </c>
      <c r="R141" s="2" t="inlineStr"/>
    </row>
    <row r="142" ht="15" customHeight="1">
      <c r="A142" t="inlineStr">
        <is>
          <t>A 26041-2025</t>
        </is>
      </c>
      <c r="B142" s="1" t="n">
        <v>45804.69883101852</v>
      </c>
      <c r="C142" s="1" t="n">
        <v>46136</v>
      </c>
      <c r="D142" t="inlineStr">
        <is>
          <t>UPPSALA LÄN</t>
        </is>
      </c>
      <c r="E142" t="inlineStr">
        <is>
          <t>ENKÖPING</t>
        </is>
      </c>
      <c r="G142" t="n">
        <v>0.8</v>
      </c>
      <c r="H142" t="n">
        <v>0</v>
      </c>
      <c r="I142" t="n">
        <v>0</v>
      </c>
      <c r="J142" t="n">
        <v>0</v>
      </c>
      <c r="K142" t="n">
        <v>0</v>
      </c>
      <c r="L142" t="n">
        <v>0</v>
      </c>
      <c r="M142" t="n">
        <v>0</v>
      </c>
      <c r="N142" t="n">
        <v>0</v>
      </c>
      <c r="O142" t="n">
        <v>0</v>
      </c>
      <c r="P142" t="n">
        <v>0</v>
      </c>
      <c r="Q142" t="n">
        <v>0</v>
      </c>
      <c r="R142" s="2" t="inlineStr"/>
    </row>
    <row r="143" ht="15" customHeight="1">
      <c r="A143" t="inlineStr">
        <is>
          <t>A 26022-2025</t>
        </is>
      </c>
      <c r="B143" s="1" t="n">
        <v>45804.68006944445</v>
      </c>
      <c r="C143" s="1" t="n">
        <v>46136</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27983-2024</t>
        </is>
      </c>
      <c r="B144" s="1" t="n">
        <v>45476</v>
      </c>
      <c r="C144" s="1" t="n">
        <v>46136</v>
      </c>
      <c r="D144" t="inlineStr">
        <is>
          <t>UPPSALA LÄN</t>
        </is>
      </c>
      <c r="E144" t="inlineStr">
        <is>
          <t>ENKÖPING</t>
        </is>
      </c>
      <c r="G144" t="n">
        <v>3.2</v>
      </c>
      <c r="H144" t="n">
        <v>0</v>
      </c>
      <c r="I144" t="n">
        <v>0</v>
      </c>
      <c r="J144" t="n">
        <v>0</v>
      </c>
      <c r="K144" t="n">
        <v>0</v>
      </c>
      <c r="L144" t="n">
        <v>0</v>
      </c>
      <c r="M144" t="n">
        <v>0</v>
      </c>
      <c r="N144" t="n">
        <v>0</v>
      </c>
      <c r="O144" t="n">
        <v>0</v>
      </c>
      <c r="P144" t="n">
        <v>0</v>
      </c>
      <c r="Q144" t="n">
        <v>0</v>
      </c>
      <c r="R144" s="2" t="inlineStr"/>
    </row>
    <row r="145" ht="15" customHeight="1">
      <c r="A145" t="inlineStr">
        <is>
          <t>A 51010-2024</t>
        </is>
      </c>
      <c r="B145" s="1" t="n">
        <v>45603.39285879629</v>
      </c>
      <c r="C145" s="1" t="n">
        <v>46136</v>
      </c>
      <c r="D145" t="inlineStr">
        <is>
          <t>UPPSALA LÄN</t>
        </is>
      </c>
      <c r="E145" t="inlineStr">
        <is>
          <t>ENKÖPING</t>
        </is>
      </c>
      <c r="G145" t="n">
        <v>1.7</v>
      </c>
      <c r="H145" t="n">
        <v>0</v>
      </c>
      <c r="I145" t="n">
        <v>0</v>
      </c>
      <c r="J145" t="n">
        <v>0</v>
      </c>
      <c r="K145" t="n">
        <v>0</v>
      </c>
      <c r="L145" t="n">
        <v>0</v>
      </c>
      <c r="M145" t="n">
        <v>0</v>
      </c>
      <c r="N145" t="n">
        <v>0</v>
      </c>
      <c r="O145" t="n">
        <v>0</v>
      </c>
      <c r="P145" t="n">
        <v>0</v>
      </c>
      <c r="Q145" t="n">
        <v>0</v>
      </c>
      <c r="R145" s="2" t="inlineStr"/>
    </row>
    <row r="146" ht="15" customHeight="1">
      <c r="A146" t="inlineStr">
        <is>
          <t>A 35067-2024</t>
        </is>
      </c>
      <c r="B146" s="1" t="n">
        <v>45527.66153935185</v>
      </c>
      <c r="C146" s="1" t="n">
        <v>46136</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22912-2024</t>
        </is>
      </c>
      <c r="B147" s="1" t="n">
        <v>45448.73118055556</v>
      </c>
      <c r="C147" s="1" t="n">
        <v>46136</v>
      </c>
      <c r="D147" t="inlineStr">
        <is>
          <t>UPPSALA LÄN</t>
        </is>
      </c>
      <c r="E147" t="inlineStr">
        <is>
          <t>ENKÖPING</t>
        </is>
      </c>
      <c r="G147" t="n">
        <v>2.8</v>
      </c>
      <c r="H147" t="n">
        <v>0</v>
      </c>
      <c r="I147" t="n">
        <v>0</v>
      </c>
      <c r="J147" t="n">
        <v>0</v>
      </c>
      <c r="K147" t="n">
        <v>0</v>
      </c>
      <c r="L147" t="n">
        <v>0</v>
      </c>
      <c r="M147" t="n">
        <v>0</v>
      </c>
      <c r="N147" t="n">
        <v>0</v>
      </c>
      <c r="O147" t="n">
        <v>0</v>
      </c>
      <c r="P147" t="n">
        <v>0</v>
      </c>
      <c r="Q147" t="n">
        <v>0</v>
      </c>
      <c r="R147" s="2" t="inlineStr"/>
    </row>
    <row r="148" ht="15" customHeight="1">
      <c r="A148" t="inlineStr">
        <is>
          <t>A 2218-2026</t>
        </is>
      </c>
      <c r="B148" s="1" t="n">
        <v>46036.50010416667</v>
      </c>
      <c r="C148" s="1" t="n">
        <v>46136</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9667-2024</t>
        </is>
      </c>
      <c r="B149" s="1" t="n">
        <v>45362.45130787037</v>
      </c>
      <c r="C149" s="1" t="n">
        <v>46136</v>
      </c>
      <c r="D149" t="inlineStr">
        <is>
          <t>UPPSALA LÄN</t>
        </is>
      </c>
      <c r="E149" t="inlineStr">
        <is>
          <t>ENKÖPING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2258-2026</t>
        </is>
      </c>
      <c r="B150" s="1" t="n">
        <v>46036</v>
      </c>
      <c r="C150" s="1" t="n">
        <v>46136</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43506-2023</t>
        </is>
      </c>
      <c r="B151" s="1" t="n">
        <v>45181</v>
      </c>
      <c r="C151" s="1" t="n">
        <v>46136</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14004-2023</t>
        </is>
      </c>
      <c r="B152" s="1" t="n">
        <v>45008</v>
      </c>
      <c r="C152" s="1" t="n">
        <v>46136</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51012-2024</t>
        </is>
      </c>
      <c r="B153" s="1" t="n">
        <v>45603.39686342593</v>
      </c>
      <c r="C153" s="1" t="n">
        <v>46136</v>
      </c>
      <c r="D153" t="inlineStr">
        <is>
          <t>UPPSALA LÄN</t>
        </is>
      </c>
      <c r="E153" t="inlineStr">
        <is>
          <t>ENKÖPING</t>
        </is>
      </c>
      <c r="G153" t="n">
        <v>2.7</v>
      </c>
      <c r="H153" t="n">
        <v>0</v>
      </c>
      <c r="I153" t="n">
        <v>0</v>
      </c>
      <c r="J153" t="n">
        <v>0</v>
      </c>
      <c r="K153" t="n">
        <v>0</v>
      </c>
      <c r="L153" t="n">
        <v>0</v>
      </c>
      <c r="M153" t="n">
        <v>0</v>
      </c>
      <c r="N153" t="n">
        <v>0</v>
      </c>
      <c r="O153" t="n">
        <v>0</v>
      </c>
      <c r="P153" t="n">
        <v>0</v>
      </c>
      <c r="Q153" t="n">
        <v>0</v>
      </c>
      <c r="R153" s="2" t="inlineStr"/>
    </row>
    <row r="154" ht="15" customHeight="1">
      <c r="A154" t="inlineStr">
        <is>
          <t>A 27829-2025</t>
        </is>
      </c>
      <c r="B154" s="1" t="n">
        <v>45817</v>
      </c>
      <c r="C154" s="1" t="n">
        <v>46136</v>
      </c>
      <c r="D154" t="inlineStr">
        <is>
          <t>UPPSALA LÄN</t>
        </is>
      </c>
      <c r="E154" t="inlineStr">
        <is>
          <t>ENKÖPING</t>
        </is>
      </c>
      <c r="G154" t="n">
        <v>2.1</v>
      </c>
      <c r="H154" t="n">
        <v>0</v>
      </c>
      <c r="I154" t="n">
        <v>0</v>
      </c>
      <c r="J154" t="n">
        <v>0</v>
      </c>
      <c r="K154" t="n">
        <v>0</v>
      </c>
      <c r="L154" t="n">
        <v>0</v>
      </c>
      <c r="M154" t="n">
        <v>0</v>
      </c>
      <c r="N154" t="n">
        <v>0</v>
      </c>
      <c r="O154" t="n">
        <v>0</v>
      </c>
      <c r="P154" t="n">
        <v>0</v>
      </c>
      <c r="Q154" t="n">
        <v>0</v>
      </c>
      <c r="R154" s="2" t="inlineStr"/>
    </row>
    <row r="155" ht="15" customHeight="1">
      <c r="A155" t="inlineStr">
        <is>
          <t>A 41828-2024</t>
        </is>
      </c>
      <c r="B155" s="1" t="n">
        <v>45561</v>
      </c>
      <c r="C155" s="1" t="n">
        <v>46136</v>
      </c>
      <c r="D155" t="inlineStr">
        <is>
          <t>UPPSALA LÄN</t>
        </is>
      </c>
      <c r="E155" t="inlineStr">
        <is>
          <t>ENKÖPING</t>
        </is>
      </c>
      <c r="G155" t="n">
        <v>2.5</v>
      </c>
      <c r="H155" t="n">
        <v>0</v>
      </c>
      <c r="I155" t="n">
        <v>0</v>
      </c>
      <c r="J155" t="n">
        <v>0</v>
      </c>
      <c r="K155" t="n">
        <v>0</v>
      </c>
      <c r="L155" t="n">
        <v>0</v>
      </c>
      <c r="M155" t="n">
        <v>0</v>
      </c>
      <c r="N155" t="n">
        <v>0</v>
      </c>
      <c r="O155" t="n">
        <v>0</v>
      </c>
      <c r="P155" t="n">
        <v>0</v>
      </c>
      <c r="Q155" t="n">
        <v>0</v>
      </c>
      <c r="R155" s="2" t="inlineStr"/>
    </row>
    <row r="156" ht="15" customHeight="1">
      <c r="A156" t="inlineStr">
        <is>
          <t>A 10465-2022</t>
        </is>
      </c>
      <c r="B156" s="1" t="n">
        <v>44623</v>
      </c>
      <c r="C156" s="1" t="n">
        <v>46136</v>
      </c>
      <c r="D156" t="inlineStr">
        <is>
          <t>UPPSALA LÄN</t>
        </is>
      </c>
      <c r="E156" t="inlineStr">
        <is>
          <t>ENKÖPING</t>
        </is>
      </c>
      <c r="G156" t="n">
        <v>1.7</v>
      </c>
      <c r="H156" t="n">
        <v>0</v>
      </c>
      <c r="I156" t="n">
        <v>0</v>
      </c>
      <c r="J156" t="n">
        <v>0</v>
      </c>
      <c r="K156" t="n">
        <v>0</v>
      </c>
      <c r="L156" t="n">
        <v>0</v>
      </c>
      <c r="M156" t="n">
        <v>0</v>
      </c>
      <c r="N156" t="n">
        <v>0</v>
      </c>
      <c r="O156" t="n">
        <v>0</v>
      </c>
      <c r="P156" t="n">
        <v>0</v>
      </c>
      <c r="Q156" t="n">
        <v>0</v>
      </c>
      <c r="R156" s="2" t="inlineStr"/>
    </row>
    <row r="157" ht="15" customHeight="1">
      <c r="A157" t="inlineStr">
        <is>
          <t>A 28855-2025</t>
        </is>
      </c>
      <c r="B157" s="1" t="n">
        <v>45820.58274305556</v>
      </c>
      <c r="C157" s="1" t="n">
        <v>46136</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28758-2025</t>
        </is>
      </c>
      <c r="B158" s="1" t="n">
        <v>45820.41212962963</v>
      </c>
      <c r="C158" s="1" t="n">
        <v>46136</v>
      </c>
      <c r="D158" t="inlineStr">
        <is>
          <t>UPPSALA LÄN</t>
        </is>
      </c>
      <c r="E158" t="inlineStr">
        <is>
          <t>ENKÖPING</t>
        </is>
      </c>
      <c r="G158" t="n">
        <v>2.4</v>
      </c>
      <c r="H158" t="n">
        <v>0</v>
      </c>
      <c r="I158" t="n">
        <v>0</v>
      </c>
      <c r="J158" t="n">
        <v>0</v>
      </c>
      <c r="K158" t="n">
        <v>0</v>
      </c>
      <c r="L158" t="n">
        <v>0</v>
      </c>
      <c r="M158" t="n">
        <v>0</v>
      </c>
      <c r="N158" t="n">
        <v>0</v>
      </c>
      <c r="O158" t="n">
        <v>0</v>
      </c>
      <c r="P158" t="n">
        <v>0</v>
      </c>
      <c r="Q158" t="n">
        <v>0</v>
      </c>
      <c r="R158" s="2" t="inlineStr"/>
    </row>
    <row r="159" ht="15" customHeight="1">
      <c r="A159" t="inlineStr">
        <is>
          <t>A 39009-2024</t>
        </is>
      </c>
      <c r="B159" s="1" t="n">
        <v>45548</v>
      </c>
      <c r="C159" s="1" t="n">
        <v>46136</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8537-2025</t>
        </is>
      </c>
      <c r="B160" s="1" t="n">
        <v>45709</v>
      </c>
      <c r="C160" s="1" t="n">
        <v>46136</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28862-2025</t>
        </is>
      </c>
      <c r="B161" s="1" t="n">
        <v>45820.59189814814</v>
      </c>
      <c r="C161" s="1" t="n">
        <v>46136</v>
      </c>
      <c r="D161" t="inlineStr">
        <is>
          <t>UPPSALA LÄN</t>
        </is>
      </c>
      <c r="E161" t="inlineStr">
        <is>
          <t>ENKÖPING</t>
        </is>
      </c>
      <c r="G161" t="n">
        <v>2.2</v>
      </c>
      <c r="H161" t="n">
        <v>0</v>
      </c>
      <c r="I161" t="n">
        <v>0</v>
      </c>
      <c r="J161" t="n">
        <v>0</v>
      </c>
      <c r="K161" t="n">
        <v>0</v>
      </c>
      <c r="L161" t="n">
        <v>0</v>
      </c>
      <c r="M161" t="n">
        <v>0</v>
      </c>
      <c r="N161" t="n">
        <v>0</v>
      </c>
      <c r="O161" t="n">
        <v>0</v>
      </c>
      <c r="P161" t="n">
        <v>0</v>
      </c>
      <c r="Q161" t="n">
        <v>0</v>
      </c>
      <c r="R161" s="2" t="inlineStr"/>
    </row>
    <row r="162" ht="15" customHeight="1">
      <c r="A162" t="inlineStr">
        <is>
          <t>A 25989-2025</t>
        </is>
      </c>
      <c r="B162" s="1" t="n">
        <v>45804.65050925926</v>
      </c>
      <c r="C162" s="1" t="n">
        <v>46136</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5013-2025</t>
        </is>
      </c>
      <c r="B163" s="1" t="n">
        <v>45691</v>
      </c>
      <c r="C163" s="1" t="n">
        <v>46136</v>
      </c>
      <c r="D163" t="inlineStr">
        <is>
          <t>UPPSALA LÄN</t>
        </is>
      </c>
      <c r="E163" t="inlineStr">
        <is>
          <t>ENKÖPING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11503-2024</t>
        </is>
      </c>
      <c r="B164" s="1" t="n">
        <v>45372.68020833333</v>
      </c>
      <c r="C164" s="1" t="n">
        <v>46136</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25990-2025</t>
        </is>
      </c>
      <c r="B165" s="1" t="n">
        <v>45804.65229166667</v>
      </c>
      <c r="C165" s="1" t="n">
        <v>46136</v>
      </c>
      <c r="D165" t="inlineStr">
        <is>
          <t>UPPSALA LÄN</t>
        </is>
      </c>
      <c r="E165" t="inlineStr">
        <is>
          <t>ENKÖPING</t>
        </is>
      </c>
      <c r="G165" t="n">
        <v>1.8</v>
      </c>
      <c r="H165" t="n">
        <v>0</v>
      </c>
      <c r="I165" t="n">
        <v>0</v>
      </c>
      <c r="J165" t="n">
        <v>0</v>
      </c>
      <c r="K165" t="n">
        <v>0</v>
      </c>
      <c r="L165" t="n">
        <v>0</v>
      </c>
      <c r="M165" t="n">
        <v>0</v>
      </c>
      <c r="N165" t="n">
        <v>0</v>
      </c>
      <c r="O165" t="n">
        <v>0</v>
      </c>
      <c r="P165" t="n">
        <v>0</v>
      </c>
      <c r="Q165" t="n">
        <v>0</v>
      </c>
      <c r="R165" s="2" t="inlineStr"/>
    </row>
    <row r="166" ht="15" customHeight="1">
      <c r="A166" t="inlineStr">
        <is>
          <t>A 5104-2026</t>
        </is>
      </c>
      <c r="B166" s="1" t="n">
        <v>46049.56914351852</v>
      </c>
      <c r="C166" s="1" t="n">
        <v>46136</v>
      </c>
      <c r="D166" t="inlineStr">
        <is>
          <t>UPPSALA LÄN</t>
        </is>
      </c>
      <c r="E166" t="inlineStr">
        <is>
          <t>ENKÖPING</t>
        </is>
      </c>
      <c r="G166" t="n">
        <v>2.3</v>
      </c>
      <c r="H166" t="n">
        <v>0</v>
      </c>
      <c r="I166" t="n">
        <v>0</v>
      </c>
      <c r="J166" t="n">
        <v>0</v>
      </c>
      <c r="K166" t="n">
        <v>0</v>
      </c>
      <c r="L166" t="n">
        <v>0</v>
      </c>
      <c r="M166" t="n">
        <v>0</v>
      </c>
      <c r="N166" t="n">
        <v>0</v>
      </c>
      <c r="O166" t="n">
        <v>0</v>
      </c>
      <c r="P166" t="n">
        <v>0</v>
      </c>
      <c r="Q166" t="n">
        <v>0</v>
      </c>
      <c r="R166" s="2" t="inlineStr"/>
    </row>
    <row r="167" ht="15" customHeight="1">
      <c r="A167" t="inlineStr">
        <is>
          <t>A 5569-2026</t>
        </is>
      </c>
      <c r="B167" s="1" t="n">
        <v>46050.89431712963</v>
      </c>
      <c r="C167" s="1" t="n">
        <v>46136</v>
      </c>
      <c r="D167" t="inlineStr">
        <is>
          <t>UPPSALA LÄN</t>
        </is>
      </c>
      <c r="E167" t="inlineStr">
        <is>
          <t>ENKÖPING</t>
        </is>
      </c>
      <c r="G167" t="n">
        <v>1.6</v>
      </c>
      <c r="H167" t="n">
        <v>0</v>
      </c>
      <c r="I167" t="n">
        <v>0</v>
      </c>
      <c r="J167" t="n">
        <v>0</v>
      </c>
      <c r="K167" t="n">
        <v>0</v>
      </c>
      <c r="L167" t="n">
        <v>0</v>
      </c>
      <c r="M167" t="n">
        <v>0</v>
      </c>
      <c r="N167" t="n">
        <v>0</v>
      </c>
      <c r="O167" t="n">
        <v>0</v>
      </c>
      <c r="P167" t="n">
        <v>0</v>
      </c>
      <c r="Q167" t="n">
        <v>0</v>
      </c>
      <c r="R167" s="2" t="inlineStr"/>
    </row>
    <row r="168" ht="15" customHeight="1">
      <c r="A168" t="inlineStr">
        <is>
          <t>A 6049-2026</t>
        </is>
      </c>
      <c r="B168" s="1" t="n">
        <v>46052.63005787037</v>
      </c>
      <c r="C168" s="1" t="n">
        <v>46136</v>
      </c>
      <c r="D168" t="inlineStr">
        <is>
          <t>UPPSALA LÄN</t>
        </is>
      </c>
      <c r="E168" t="inlineStr">
        <is>
          <t>ENKÖPING</t>
        </is>
      </c>
      <c r="G168" t="n">
        <v>1.5</v>
      </c>
      <c r="H168" t="n">
        <v>0</v>
      </c>
      <c r="I168" t="n">
        <v>0</v>
      </c>
      <c r="J168" t="n">
        <v>0</v>
      </c>
      <c r="K168" t="n">
        <v>0</v>
      </c>
      <c r="L168" t="n">
        <v>0</v>
      </c>
      <c r="M168" t="n">
        <v>0</v>
      </c>
      <c r="N168" t="n">
        <v>0</v>
      </c>
      <c r="O168" t="n">
        <v>0</v>
      </c>
      <c r="P168" t="n">
        <v>0</v>
      </c>
      <c r="Q168" t="n">
        <v>0</v>
      </c>
      <c r="R168" s="2" t="inlineStr"/>
    </row>
    <row r="169" ht="15" customHeight="1">
      <c r="A169" t="inlineStr">
        <is>
          <t>A 29093-2025</t>
        </is>
      </c>
      <c r="B169" s="1" t="n">
        <v>45821.55743055556</v>
      </c>
      <c r="C169" s="1" t="n">
        <v>46136</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6044-2026</t>
        </is>
      </c>
      <c r="B170" s="1" t="n">
        <v>46052.62506944445</v>
      </c>
      <c r="C170" s="1" t="n">
        <v>46136</v>
      </c>
      <c r="D170" t="inlineStr">
        <is>
          <t>UPPSALA LÄN</t>
        </is>
      </c>
      <c r="E170" t="inlineStr">
        <is>
          <t>ENKÖPING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2164-2023</t>
        </is>
      </c>
      <c r="B171" s="1" t="n">
        <v>44941</v>
      </c>
      <c r="C171" s="1" t="n">
        <v>46136</v>
      </c>
      <c r="D171" t="inlineStr">
        <is>
          <t>UPPSALA LÄN</t>
        </is>
      </c>
      <c r="E171" t="inlineStr">
        <is>
          <t>ENKÖPING</t>
        </is>
      </c>
      <c r="G171" t="n">
        <v>2.5</v>
      </c>
      <c r="H171" t="n">
        <v>0</v>
      </c>
      <c r="I171" t="n">
        <v>0</v>
      </c>
      <c r="J171" t="n">
        <v>0</v>
      </c>
      <c r="K171" t="n">
        <v>0</v>
      </c>
      <c r="L171" t="n">
        <v>0</v>
      </c>
      <c r="M171" t="n">
        <v>0</v>
      </c>
      <c r="N171" t="n">
        <v>0</v>
      </c>
      <c r="O171" t="n">
        <v>0</v>
      </c>
      <c r="P171" t="n">
        <v>0</v>
      </c>
      <c r="Q171" t="n">
        <v>0</v>
      </c>
      <c r="R171" s="2" t="inlineStr"/>
    </row>
    <row r="172" ht="15" customHeight="1">
      <c r="A172" t="inlineStr">
        <is>
          <t>A 5948-2026</t>
        </is>
      </c>
      <c r="B172" s="1" t="n">
        <v>46052</v>
      </c>
      <c r="C172" s="1" t="n">
        <v>46136</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6041-2026</t>
        </is>
      </c>
      <c r="B173" s="1" t="n">
        <v>46052.62184027778</v>
      </c>
      <c r="C173" s="1" t="n">
        <v>46136</v>
      </c>
      <c r="D173" t="inlineStr">
        <is>
          <t>UPPSALA LÄN</t>
        </is>
      </c>
      <c r="E173" t="inlineStr">
        <is>
          <t>ENKÖPING</t>
        </is>
      </c>
      <c r="G173" t="n">
        <v>4</v>
      </c>
      <c r="H173" t="n">
        <v>0</v>
      </c>
      <c r="I173" t="n">
        <v>0</v>
      </c>
      <c r="J173" t="n">
        <v>0</v>
      </c>
      <c r="K173" t="n">
        <v>0</v>
      </c>
      <c r="L173" t="n">
        <v>0</v>
      </c>
      <c r="M173" t="n">
        <v>0</v>
      </c>
      <c r="N173" t="n">
        <v>0</v>
      </c>
      <c r="O173" t="n">
        <v>0</v>
      </c>
      <c r="P173" t="n">
        <v>0</v>
      </c>
      <c r="Q173" t="n">
        <v>0</v>
      </c>
      <c r="R173" s="2" t="inlineStr"/>
    </row>
    <row r="174" ht="15" customHeight="1">
      <c r="A174" t="inlineStr">
        <is>
          <t>A 6031-2026</t>
        </is>
      </c>
      <c r="B174" s="1" t="n">
        <v>46052.61201388889</v>
      </c>
      <c r="C174" s="1" t="n">
        <v>46136</v>
      </c>
      <c r="D174" t="inlineStr">
        <is>
          <t>UPPSALA LÄN</t>
        </is>
      </c>
      <c r="E174" t="inlineStr">
        <is>
          <t>ENKÖPING</t>
        </is>
      </c>
      <c r="G174" t="n">
        <v>4.1</v>
      </c>
      <c r="H174" t="n">
        <v>0</v>
      </c>
      <c r="I174" t="n">
        <v>0</v>
      </c>
      <c r="J174" t="n">
        <v>0</v>
      </c>
      <c r="K174" t="n">
        <v>0</v>
      </c>
      <c r="L174" t="n">
        <v>0</v>
      </c>
      <c r="M174" t="n">
        <v>0</v>
      </c>
      <c r="N174" t="n">
        <v>0</v>
      </c>
      <c r="O174" t="n">
        <v>0</v>
      </c>
      <c r="P174" t="n">
        <v>0</v>
      </c>
      <c r="Q174" t="n">
        <v>0</v>
      </c>
      <c r="R174" s="2" t="inlineStr"/>
    </row>
    <row r="175" ht="15" customHeight="1">
      <c r="A175" t="inlineStr">
        <is>
          <t>A 6047-2026</t>
        </is>
      </c>
      <c r="B175" s="1" t="n">
        <v>46052.62738425926</v>
      </c>
      <c r="C175" s="1" t="n">
        <v>46136</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33955-2024</t>
        </is>
      </c>
      <c r="B176" s="1" t="n">
        <v>45523.46952546296</v>
      </c>
      <c r="C176" s="1" t="n">
        <v>46136</v>
      </c>
      <c r="D176" t="inlineStr">
        <is>
          <t>UPPSALA LÄN</t>
        </is>
      </c>
      <c r="E176" t="inlineStr">
        <is>
          <t>ENKÖPING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6172-2023</t>
        </is>
      </c>
      <c r="B177" s="1" t="n">
        <v>44964.68663194445</v>
      </c>
      <c r="C177" s="1" t="n">
        <v>46136</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10409-2025</t>
        </is>
      </c>
      <c r="B178" s="1" t="n">
        <v>45720.631875</v>
      </c>
      <c r="C178" s="1" t="n">
        <v>46136</v>
      </c>
      <c r="D178" t="inlineStr">
        <is>
          <t>UPPSALA LÄN</t>
        </is>
      </c>
      <c r="E178" t="inlineStr">
        <is>
          <t>ENKÖPING</t>
        </is>
      </c>
      <c r="G178" t="n">
        <v>2.2</v>
      </c>
      <c r="H178" t="n">
        <v>0</v>
      </c>
      <c r="I178" t="n">
        <v>0</v>
      </c>
      <c r="J178" t="n">
        <v>0</v>
      </c>
      <c r="K178" t="n">
        <v>0</v>
      </c>
      <c r="L178" t="n">
        <v>0</v>
      </c>
      <c r="M178" t="n">
        <v>0</v>
      </c>
      <c r="N178" t="n">
        <v>0</v>
      </c>
      <c r="O178" t="n">
        <v>0</v>
      </c>
      <c r="P178" t="n">
        <v>0</v>
      </c>
      <c r="Q178" t="n">
        <v>0</v>
      </c>
      <c r="R178" s="2" t="inlineStr"/>
    </row>
    <row r="179" ht="15" customHeight="1">
      <c r="A179" t="inlineStr">
        <is>
          <t>A 30837-2025</t>
        </is>
      </c>
      <c r="B179" s="1" t="n">
        <v>45831.7063425926</v>
      </c>
      <c r="C179" s="1" t="n">
        <v>46136</v>
      </c>
      <c r="D179" t="inlineStr">
        <is>
          <t>UPPSALA LÄN</t>
        </is>
      </c>
      <c r="E179" t="inlineStr">
        <is>
          <t>ENKÖPING</t>
        </is>
      </c>
      <c r="G179" t="n">
        <v>3.8</v>
      </c>
      <c r="H179" t="n">
        <v>0</v>
      </c>
      <c r="I179" t="n">
        <v>0</v>
      </c>
      <c r="J179" t="n">
        <v>0</v>
      </c>
      <c r="K179" t="n">
        <v>0</v>
      </c>
      <c r="L179" t="n">
        <v>0</v>
      </c>
      <c r="M179" t="n">
        <v>0</v>
      </c>
      <c r="N179" t="n">
        <v>0</v>
      </c>
      <c r="O179" t="n">
        <v>0</v>
      </c>
      <c r="P179" t="n">
        <v>0</v>
      </c>
      <c r="Q179" t="n">
        <v>0</v>
      </c>
      <c r="R179" s="2" t="inlineStr"/>
    </row>
    <row r="180" ht="15" customHeight="1">
      <c r="A180" t="inlineStr">
        <is>
          <t>A 13590-2026</t>
        </is>
      </c>
      <c r="B180" s="1" t="n">
        <v>46096</v>
      </c>
      <c r="C180" s="1" t="n">
        <v>46136</v>
      </c>
      <c r="D180" t="inlineStr">
        <is>
          <t>UPPSALA LÄN</t>
        </is>
      </c>
      <c r="E180" t="inlineStr">
        <is>
          <t>ENKÖPING</t>
        </is>
      </c>
      <c r="G180" t="n">
        <v>2.3</v>
      </c>
      <c r="H180" t="n">
        <v>0</v>
      </c>
      <c r="I180" t="n">
        <v>0</v>
      </c>
      <c r="J180" t="n">
        <v>0</v>
      </c>
      <c r="K180" t="n">
        <v>0</v>
      </c>
      <c r="L180" t="n">
        <v>0</v>
      </c>
      <c r="M180" t="n">
        <v>0</v>
      </c>
      <c r="N180" t="n">
        <v>0</v>
      </c>
      <c r="O180" t="n">
        <v>0</v>
      </c>
      <c r="P180" t="n">
        <v>0</v>
      </c>
      <c r="Q180" t="n">
        <v>0</v>
      </c>
      <c r="R180" s="2" t="inlineStr"/>
    </row>
    <row r="181" ht="15" customHeight="1">
      <c r="A181" t="inlineStr">
        <is>
          <t>A 21686-2022</t>
        </is>
      </c>
      <c r="B181" s="1" t="n">
        <v>44707</v>
      </c>
      <c r="C181" s="1" t="n">
        <v>46136</v>
      </c>
      <c r="D181" t="inlineStr">
        <is>
          <t>UPPSALA LÄN</t>
        </is>
      </c>
      <c r="E181" t="inlineStr">
        <is>
          <t>ENKÖPING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29479-2022</t>
        </is>
      </c>
      <c r="B182" s="1" t="n">
        <v>44753.57265046296</v>
      </c>
      <c r="C182" s="1" t="n">
        <v>46136</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7003-2026</t>
        </is>
      </c>
      <c r="B183" s="1" t="n">
        <v>46057.63243055555</v>
      </c>
      <c r="C183" s="1" t="n">
        <v>46136</v>
      </c>
      <c r="D183" t="inlineStr">
        <is>
          <t>UPPSALA LÄN</t>
        </is>
      </c>
      <c r="E183" t="inlineStr">
        <is>
          <t>ENKÖPING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14260-2026</t>
        </is>
      </c>
      <c r="B184" s="1" t="n">
        <v>46099.63395833333</v>
      </c>
      <c r="C184" s="1" t="n">
        <v>46136</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7175-2026</t>
        </is>
      </c>
      <c r="B185" s="1" t="n">
        <v>46058.46399305556</v>
      </c>
      <c r="C185" s="1" t="n">
        <v>46136</v>
      </c>
      <c r="D185" t="inlineStr">
        <is>
          <t>UPPSALA LÄN</t>
        </is>
      </c>
      <c r="E185" t="inlineStr">
        <is>
          <t>ENKÖPING</t>
        </is>
      </c>
      <c r="G185" t="n">
        <v>2</v>
      </c>
      <c r="H185" t="n">
        <v>0</v>
      </c>
      <c r="I185" t="n">
        <v>0</v>
      </c>
      <c r="J185" t="n">
        <v>0</v>
      </c>
      <c r="K185" t="n">
        <v>0</v>
      </c>
      <c r="L185" t="n">
        <v>0</v>
      </c>
      <c r="M185" t="n">
        <v>0</v>
      </c>
      <c r="N185" t="n">
        <v>0</v>
      </c>
      <c r="O185" t="n">
        <v>0</v>
      </c>
      <c r="P185" t="n">
        <v>0</v>
      </c>
      <c r="Q185" t="n">
        <v>0</v>
      </c>
      <c r="R185" s="2" t="inlineStr"/>
    </row>
    <row r="186" ht="15" customHeight="1">
      <c r="A186" t="inlineStr">
        <is>
          <t>A 49525-2021</t>
        </is>
      </c>
      <c r="B186" s="1" t="n">
        <v>44455</v>
      </c>
      <c r="C186" s="1" t="n">
        <v>46136</v>
      </c>
      <c r="D186" t="inlineStr">
        <is>
          <t>UPPSALA LÄN</t>
        </is>
      </c>
      <c r="E186" t="inlineStr">
        <is>
          <t>ENKÖPING</t>
        </is>
      </c>
      <c r="G186" t="n">
        <v>1.8</v>
      </c>
      <c r="H186" t="n">
        <v>0</v>
      </c>
      <c r="I186" t="n">
        <v>0</v>
      </c>
      <c r="J186" t="n">
        <v>0</v>
      </c>
      <c r="K186" t="n">
        <v>0</v>
      </c>
      <c r="L186" t="n">
        <v>0</v>
      </c>
      <c r="M186" t="n">
        <v>0</v>
      </c>
      <c r="N186" t="n">
        <v>0</v>
      </c>
      <c r="O186" t="n">
        <v>0</v>
      </c>
      <c r="P186" t="n">
        <v>0</v>
      </c>
      <c r="Q186" t="n">
        <v>0</v>
      </c>
      <c r="R186" s="2" t="inlineStr"/>
    </row>
    <row r="187" ht="15" customHeight="1">
      <c r="A187" t="inlineStr">
        <is>
          <t>A 14296-2026</t>
        </is>
      </c>
      <c r="B187" s="1" t="n">
        <v>46099.7181712963</v>
      </c>
      <c r="C187" s="1" t="n">
        <v>46136</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7008-2026</t>
        </is>
      </c>
      <c r="B188" s="1" t="n">
        <v>46057.63806712963</v>
      </c>
      <c r="C188" s="1" t="n">
        <v>46136</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14182-2026</t>
        </is>
      </c>
      <c r="B189" s="1" t="n">
        <v>46099.49839120371</v>
      </c>
      <c r="C189" s="1" t="n">
        <v>46136</v>
      </c>
      <c r="D189" t="inlineStr">
        <is>
          <t>UPPSALA LÄN</t>
        </is>
      </c>
      <c r="E189" t="inlineStr">
        <is>
          <t>ENKÖPING</t>
        </is>
      </c>
      <c r="G189" t="n">
        <v>1.6</v>
      </c>
      <c r="H189" t="n">
        <v>0</v>
      </c>
      <c r="I189" t="n">
        <v>0</v>
      </c>
      <c r="J189" t="n">
        <v>0</v>
      </c>
      <c r="K189" t="n">
        <v>0</v>
      </c>
      <c r="L189" t="n">
        <v>0</v>
      </c>
      <c r="M189" t="n">
        <v>0</v>
      </c>
      <c r="N189" t="n">
        <v>0</v>
      </c>
      <c r="O189" t="n">
        <v>0</v>
      </c>
      <c r="P189" t="n">
        <v>0</v>
      </c>
      <c r="Q189" t="n">
        <v>0</v>
      </c>
      <c r="R189" s="2" t="inlineStr"/>
    </row>
    <row r="190" ht="15" customHeight="1">
      <c r="A190" t="inlineStr">
        <is>
          <t>A 14178-2026</t>
        </is>
      </c>
      <c r="B190" s="1" t="n">
        <v>46099.49608796297</v>
      </c>
      <c r="C190" s="1" t="n">
        <v>46136</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32031-2025</t>
        </is>
      </c>
      <c r="B191" s="1" t="n">
        <v>45835.41712962963</v>
      </c>
      <c r="C191" s="1" t="n">
        <v>46136</v>
      </c>
      <c r="D191" t="inlineStr">
        <is>
          <t>UPPSALA LÄN</t>
        </is>
      </c>
      <c r="E191" t="inlineStr">
        <is>
          <t>ENKÖPING</t>
        </is>
      </c>
      <c r="G191" t="n">
        <v>2.7</v>
      </c>
      <c r="H191" t="n">
        <v>0</v>
      </c>
      <c r="I191" t="n">
        <v>0</v>
      </c>
      <c r="J191" t="n">
        <v>0</v>
      </c>
      <c r="K191" t="n">
        <v>0</v>
      </c>
      <c r="L191" t="n">
        <v>0</v>
      </c>
      <c r="M191" t="n">
        <v>0</v>
      </c>
      <c r="N191" t="n">
        <v>0</v>
      </c>
      <c r="O191" t="n">
        <v>0</v>
      </c>
      <c r="P191" t="n">
        <v>0</v>
      </c>
      <c r="Q191" t="n">
        <v>0</v>
      </c>
      <c r="R191" s="2" t="inlineStr"/>
    </row>
    <row r="192" ht="15" customHeight="1">
      <c r="A192" t="inlineStr">
        <is>
          <t>A 32111-2025</t>
        </is>
      </c>
      <c r="B192" s="1" t="n">
        <v>45835</v>
      </c>
      <c r="C192" s="1" t="n">
        <v>46136</v>
      </c>
      <c r="D192" t="inlineStr">
        <is>
          <t>UPPSALA LÄN</t>
        </is>
      </c>
      <c r="E192" t="inlineStr">
        <is>
          <t>ENKÖPING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15003-2026</t>
        </is>
      </c>
      <c r="B193" s="1" t="n">
        <v>46104.60931712963</v>
      </c>
      <c r="C193" s="1" t="n">
        <v>46136</v>
      </c>
      <c r="D193" t="inlineStr">
        <is>
          <t>UPPSALA LÄN</t>
        </is>
      </c>
      <c r="E193" t="inlineStr">
        <is>
          <t>ENKÖPING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57328-2024</t>
        </is>
      </c>
      <c r="B194" s="1" t="n">
        <v>45629.62798611111</v>
      </c>
      <c r="C194" s="1" t="n">
        <v>46136</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14229-2026</t>
        </is>
      </c>
      <c r="B195" s="1" t="n">
        <v>46099</v>
      </c>
      <c r="C195" s="1" t="n">
        <v>46136</v>
      </c>
      <c r="D195" t="inlineStr">
        <is>
          <t>UPPSALA LÄN</t>
        </is>
      </c>
      <c r="E195" t="inlineStr">
        <is>
          <t>ENKÖPING</t>
        </is>
      </c>
      <c r="G195" t="n">
        <v>0.7</v>
      </c>
      <c r="H195" t="n">
        <v>0</v>
      </c>
      <c r="I195" t="n">
        <v>0</v>
      </c>
      <c r="J195" t="n">
        <v>0</v>
      </c>
      <c r="K195" t="n">
        <v>0</v>
      </c>
      <c r="L195" t="n">
        <v>0</v>
      </c>
      <c r="M195" t="n">
        <v>0</v>
      </c>
      <c r="N195" t="n">
        <v>0</v>
      </c>
      <c r="O195" t="n">
        <v>0</v>
      </c>
      <c r="P195" t="n">
        <v>0</v>
      </c>
      <c r="Q195" t="n">
        <v>0</v>
      </c>
      <c r="R195" s="2" t="inlineStr"/>
    </row>
    <row r="196" ht="15" customHeight="1">
      <c r="A196" t="inlineStr">
        <is>
          <t>A 15547-2026</t>
        </is>
      </c>
      <c r="B196" s="1" t="n">
        <v>46106.52613425926</v>
      </c>
      <c r="C196" s="1" t="n">
        <v>46136</v>
      </c>
      <c r="D196" t="inlineStr">
        <is>
          <t>UPPSALA LÄN</t>
        </is>
      </c>
      <c r="E196" t="inlineStr">
        <is>
          <t>ENKÖPING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8309-2026</t>
        </is>
      </c>
      <c r="B197" s="1" t="n">
        <v>46064.59081018518</v>
      </c>
      <c r="C197" s="1" t="n">
        <v>46136</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56837-2024</t>
        </is>
      </c>
      <c r="B198" s="1" t="n">
        <v>45628</v>
      </c>
      <c r="C198" s="1" t="n">
        <v>46136</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39746-2025</t>
        </is>
      </c>
      <c r="B199" s="1" t="n">
        <v>45891</v>
      </c>
      <c r="C199" s="1" t="n">
        <v>46136</v>
      </c>
      <c r="D199" t="inlineStr">
        <is>
          <t>UPPSALA LÄN</t>
        </is>
      </c>
      <c r="E199" t="inlineStr">
        <is>
          <t>ENKÖPING</t>
        </is>
      </c>
      <c r="G199" t="n">
        <v>7.4</v>
      </c>
      <c r="H199" t="n">
        <v>0</v>
      </c>
      <c r="I199" t="n">
        <v>0</v>
      </c>
      <c r="J199" t="n">
        <v>0</v>
      </c>
      <c r="K199" t="n">
        <v>0</v>
      </c>
      <c r="L199" t="n">
        <v>0</v>
      </c>
      <c r="M199" t="n">
        <v>0</v>
      </c>
      <c r="N199" t="n">
        <v>0</v>
      </c>
      <c r="O199" t="n">
        <v>0</v>
      </c>
      <c r="P199" t="n">
        <v>0</v>
      </c>
      <c r="Q199" t="n">
        <v>0</v>
      </c>
      <c r="R199" s="2" t="inlineStr"/>
    </row>
    <row r="200" ht="15" customHeight="1">
      <c r="A200" t="inlineStr">
        <is>
          <t>A 55876-2024</t>
        </is>
      </c>
      <c r="B200" s="1" t="n">
        <v>45623.5546412037</v>
      </c>
      <c r="C200" s="1" t="n">
        <v>46136</v>
      </c>
      <c r="D200" t="inlineStr">
        <is>
          <t>UPPSALA LÄN</t>
        </is>
      </c>
      <c r="E200" t="inlineStr">
        <is>
          <t>ENKÖPING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25334-2023</t>
        </is>
      </c>
      <c r="B201" s="1" t="n">
        <v>45083</v>
      </c>
      <c r="C201" s="1" t="n">
        <v>46136</v>
      </c>
      <c r="D201" t="inlineStr">
        <is>
          <t>UPPSALA LÄN</t>
        </is>
      </c>
      <c r="E201" t="inlineStr">
        <is>
          <t>ENKÖPING</t>
        </is>
      </c>
      <c r="G201" t="n">
        <v>0.2</v>
      </c>
      <c r="H201" t="n">
        <v>0</v>
      </c>
      <c r="I201" t="n">
        <v>0</v>
      </c>
      <c r="J201" t="n">
        <v>0</v>
      </c>
      <c r="K201" t="n">
        <v>0</v>
      </c>
      <c r="L201" t="n">
        <v>0</v>
      </c>
      <c r="M201" t="n">
        <v>0</v>
      </c>
      <c r="N201" t="n">
        <v>0</v>
      </c>
      <c r="O201" t="n">
        <v>0</v>
      </c>
      <c r="P201" t="n">
        <v>0</v>
      </c>
      <c r="Q201" t="n">
        <v>0</v>
      </c>
      <c r="R201" s="2" t="inlineStr"/>
    </row>
    <row r="202" ht="15" customHeight="1">
      <c r="A202" t="inlineStr">
        <is>
          <t>A 15740-2025</t>
        </is>
      </c>
      <c r="B202" s="1" t="n">
        <v>45748</v>
      </c>
      <c r="C202" s="1" t="n">
        <v>46136</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41618-2025</t>
        </is>
      </c>
      <c r="B203" s="1" t="n">
        <v>45901.70085648148</v>
      </c>
      <c r="C203" s="1" t="n">
        <v>46136</v>
      </c>
      <c r="D203" t="inlineStr">
        <is>
          <t>UPPSALA LÄN</t>
        </is>
      </c>
      <c r="E203" t="inlineStr">
        <is>
          <t>ENKÖPING</t>
        </is>
      </c>
      <c r="F203" t="inlineStr">
        <is>
          <t>Allmännings- och besparingsskogar</t>
        </is>
      </c>
      <c r="G203" t="n">
        <v>5.3</v>
      </c>
      <c r="H203" t="n">
        <v>0</v>
      </c>
      <c r="I203" t="n">
        <v>0</v>
      </c>
      <c r="J203" t="n">
        <v>0</v>
      </c>
      <c r="K203" t="n">
        <v>0</v>
      </c>
      <c r="L203" t="n">
        <v>0</v>
      </c>
      <c r="M203" t="n">
        <v>0</v>
      </c>
      <c r="N203" t="n">
        <v>0</v>
      </c>
      <c r="O203" t="n">
        <v>0</v>
      </c>
      <c r="P203" t="n">
        <v>0</v>
      </c>
      <c r="Q203" t="n">
        <v>0</v>
      </c>
      <c r="R203" s="2" t="inlineStr"/>
    </row>
    <row r="204" ht="15" customHeight="1">
      <c r="A204" t="inlineStr">
        <is>
          <t>A 33349-2024</t>
        </is>
      </c>
      <c r="B204" s="1" t="n">
        <v>45519</v>
      </c>
      <c r="C204" s="1" t="n">
        <v>46136</v>
      </c>
      <c r="D204" t="inlineStr">
        <is>
          <t>UPPSALA LÄN</t>
        </is>
      </c>
      <c r="E204" t="inlineStr">
        <is>
          <t>ENKÖPING</t>
        </is>
      </c>
      <c r="G204" t="n">
        <v>3.6</v>
      </c>
      <c r="H204" t="n">
        <v>0</v>
      </c>
      <c r="I204" t="n">
        <v>0</v>
      </c>
      <c r="J204" t="n">
        <v>0</v>
      </c>
      <c r="K204" t="n">
        <v>0</v>
      </c>
      <c r="L204" t="n">
        <v>0</v>
      </c>
      <c r="M204" t="n">
        <v>0</v>
      </c>
      <c r="N204" t="n">
        <v>0</v>
      </c>
      <c r="O204" t="n">
        <v>0</v>
      </c>
      <c r="P204" t="n">
        <v>0</v>
      </c>
      <c r="Q204" t="n">
        <v>0</v>
      </c>
      <c r="R204" s="2" t="inlineStr"/>
    </row>
    <row r="205" ht="15" customHeight="1">
      <c r="A205" t="inlineStr">
        <is>
          <t>A 57848-2024</t>
        </is>
      </c>
      <c r="B205" s="1" t="n">
        <v>45631.40947916666</v>
      </c>
      <c r="C205" s="1" t="n">
        <v>46136</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18994-2025</t>
        </is>
      </c>
      <c r="B206" s="1" t="n">
        <v>45764.57350694444</v>
      </c>
      <c r="C206" s="1" t="n">
        <v>46136</v>
      </c>
      <c r="D206" t="inlineStr">
        <is>
          <t>UPPSALA LÄN</t>
        </is>
      </c>
      <c r="E206" t="inlineStr">
        <is>
          <t>ENKÖPING</t>
        </is>
      </c>
      <c r="G206" t="n">
        <v>3.8</v>
      </c>
      <c r="H206" t="n">
        <v>0</v>
      </c>
      <c r="I206" t="n">
        <v>0</v>
      </c>
      <c r="J206" t="n">
        <v>0</v>
      </c>
      <c r="K206" t="n">
        <v>0</v>
      </c>
      <c r="L206" t="n">
        <v>0</v>
      </c>
      <c r="M206" t="n">
        <v>0</v>
      </c>
      <c r="N206" t="n">
        <v>0</v>
      </c>
      <c r="O206" t="n">
        <v>0</v>
      </c>
      <c r="P206" t="n">
        <v>0</v>
      </c>
      <c r="Q206" t="n">
        <v>0</v>
      </c>
      <c r="R206" s="2" t="inlineStr"/>
    </row>
    <row r="207" ht="15" customHeight="1">
      <c r="A207" t="inlineStr">
        <is>
          <t>A 49601-2024</t>
        </is>
      </c>
      <c r="B207" s="1" t="n">
        <v>45596.56288194445</v>
      </c>
      <c r="C207" s="1" t="n">
        <v>46136</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14298-2026</t>
        </is>
      </c>
      <c r="B208" s="1" t="n">
        <v>46099</v>
      </c>
      <c r="C208" s="1" t="n">
        <v>46136</v>
      </c>
      <c r="D208" t="inlineStr">
        <is>
          <t>UPPSALA LÄN</t>
        </is>
      </c>
      <c r="E208" t="inlineStr">
        <is>
          <t>ENKÖPING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53587-2024</t>
        </is>
      </c>
      <c r="B209" s="1" t="n">
        <v>45614.66953703704</v>
      </c>
      <c r="C209" s="1" t="n">
        <v>46136</v>
      </c>
      <c r="D209" t="inlineStr">
        <is>
          <t>UPPSALA LÄN</t>
        </is>
      </c>
      <c r="E209" t="inlineStr">
        <is>
          <t>ENKÖPING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17844-2025</t>
        </is>
      </c>
      <c r="B210" s="1" t="n">
        <v>45758.59920138889</v>
      </c>
      <c r="C210" s="1" t="n">
        <v>46136</v>
      </c>
      <c r="D210" t="inlineStr">
        <is>
          <t>UPPSALA LÄN</t>
        </is>
      </c>
      <c r="E210" t="inlineStr">
        <is>
          <t>ENKÖPING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41765-2025</t>
        </is>
      </c>
      <c r="B211" s="1" t="n">
        <v>45902</v>
      </c>
      <c r="C211" s="1" t="n">
        <v>46136</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41616-2025</t>
        </is>
      </c>
      <c r="B212" s="1" t="n">
        <v>45901.69684027778</v>
      </c>
      <c r="C212" s="1" t="n">
        <v>46136</v>
      </c>
      <c r="D212" t="inlineStr">
        <is>
          <t>UPPSALA LÄN</t>
        </is>
      </c>
      <c r="E212" t="inlineStr">
        <is>
          <t>ENKÖPING</t>
        </is>
      </c>
      <c r="F212" t="inlineStr">
        <is>
          <t>Allmännings- och besparingsskogar</t>
        </is>
      </c>
      <c r="G212" t="n">
        <v>17.3</v>
      </c>
      <c r="H212" t="n">
        <v>0</v>
      </c>
      <c r="I212" t="n">
        <v>0</v>
      </c>
      <c r="J212" t="n">
        <v>0</v>
      </c>
      <c r="K212" t="n">
        <v>0</v>
      </c>
      <c r="L212" t="n">
        <v>0</v>
      </c>
      <c r="M212" t="n">
        <v>0</v>
      </c>
      <c r="N212" t="n">
        <v>0</v>
      </c>
      <c r="O212" t="n">
        <v>0</v>
      </c>
      <c r="P212" t="n">
        <v>0</v>
      </c>
      <c r="Q212" t="n">
        <v>0</v>
      </c>
      <c r="R212" s="2" t="inlineStr"/>
    </row>
    <row r="213" ht="15" customHeight="1">
      <c r="A213" t="inlineStr">
        <is>
          <t>A 29513-2025</t>
        </is>
      </c>
      <c r="B213" s="1" t="n">
        <v>45825</v>
      </c>
      <c r="C213" s="1" t="n">
        <v>46136</v>
      </c>
      <c r="D213" t="inlineStr">
        <is>
          <t>UPPSALA LÄN</t>
        </is>
      </c>
      <c r="E213" t="inlineStr">
        <is>
          <t>ENKÖPING</t>
        </is>
      </c>
      <c r="G213" t="n">
        <v>2.6</v>
      </c>
      <c r="H213" t="n">
        <v>0</v>
      </c>
      <c r="I213" t="n">
        <v>0</v>
      </c>
      <c r="J213" t="n">
        <v>0</v>
      </c>
      <c r="K213" t="n">
        <v>0</v>
      </c>
      <c r="L213" t="n">
        <v>0</v>
      </c>
      <c r="M213" t="n">
        <v>0</v>
      </c>
      <c r="N213" t="n">
        <v>0</v>
      </c>
      <c r="O213" t="n">
        <v>0</v>
      </c>
      <c r="P213" t="n">
        <v>0</v>
      </c>
      <c r="Q213" t="n">
        <v>0</v>
      </c>
      <c r="R213" s="2" t="inlineStr"/>
    </row>
    <row r="214" ht="15" customHeight="1">
      <c r="A214" t="inlineStr">
        <is>
          <t>A 1695-2025</t>
        </is>
      </c>
      <c r="B214" s="1" t="n">
        <v>45670</v>
      </c>
      <c r="C214" s="1" t="n">
        <v>46136</v>
      </c>
      <c r="D214" t="inlineStr">
        <is>
          <t>UPPSALA LÄN</t>
        </is>
      </c>
      <c r="E214" t="inlineStr">
        <is>
          <t>ENKÖPING</t>
        </is>
      </c>
      <c r="G214" t="n">
        <v>0.5</v>
      </c>
      <c r="H214" t="n">
        <v>0</v>
      </c>
      <c r="I214" t="n">
        <v>0</v>
      </c>
      <c r="J214" t="n">
        <v>0</v>
      </c>
      <c r="K214" t="n">
        <v>0</v>
      </c>
      <c r="L214" t="n">
        <v>0</v>
      </c>
      <c r="M214" t="n">
        <v>0</v>
      </c>
      <c r="N214" t="n">
        <v>0</v>
      </c>
      <c r="O214" t="n">
        <v>0</v>
      </c>
      <c r="P214" t="n">
        <v>0</v>
      </c>
      <c r="Q214" t="n">
        <v>0</v>
      </c>
      <c r="R214" s="2" t="inlineStr"/>
    </row>
    <row r="215" ht="15" customHeight="1">
      <c r="A215" t="inlineStr">
        <is>
          <t>A 59027-2024</t>
        </is>
      </c>
      <c r="B215" s="1" t="n">
        <v>45636.68755787037</v>
      </c>
      <c r="C215" s="1" t="n">
        <v>46136</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9257-2026</t>
        </is>
      </c>
      <c r="B216" s="1" t="n">
        <v>46070.51166666667</v>
      </c>
      <c r="C216" s="1" t="n">
        <v>46136</v>
      </c>
      <c r="D216" t="inlineStr">
        <is>
          <t>UPPSALA LÄN</t>
        </is>
      </c>
      <c r="E216" t="inlineStr">
        <is>
          <t>ENKÖPING</t>
        </is>
      </c>
      <c r="G216" t="n">
        <v>2.6</v>
      </c>
      <c r="H216" t="n">
        <v>0</v>
      </c>
      <c r="I216" t="n">
        <v>0</v>
      </c>
      <c r="J216" t="n">
        <v>0</v>
      </c>
      <c r="K216" t="n">
        <v>0</v>
      </c>
      <c r="L216" t="n">
        <v>0</v>
      </c>
      <c r="M216" t="n">
        <v>0</v>
      </c>
      <c r="N216" t="n">
        <v>0</v>
      </c>
      <c r="O216" t="n">
        <v>0</v>
      </c>
      <c r="P216" t="n">
        <v>0</v>
      </c>
      <c r="Q216" t="n">
        <v>0</v>
      </c>
      <c r="R216" s="2" t="inlineStr"/>
    </row>
    <row r="217" ht="15" customHeight="1">
      <c r="A217" t="inlineStr">
        <is>
          <t>A 42564-2024</t>
        </is>
      </c>
      <c r="B217" s="1" t="n">
        <v>45565.63358796296</v>
      </c>
      <c r="C217" s="1" t="n">
        <v>46136</v>
      </c>
      <c r="D217" t="inlineStr">
        <is>
          <t>UPPSALA LÄN</t>
        </is>
      </c>
      <c r="E217" t="inlineStr">
        <is>
          <t>ENKÖPING</t>
        </is>
      </c>
      <c r="G217" t="n">
        <v>1.7</v>
      </c>
      <c r="H217" t="n">
        <v>0</v>
      </c>
      <c r="I217" t="n">
        <v>0</v>
      </c>
      <c r="J217" t="n">
        <v>0</v>
      </c>
      <c r="K217" t="n">
        <v>0</v>
      </c>
      <c r="L217" t="n">
        <v>0</v>
      </c>
      <c r="M217" t="n">
        <v>0</v>
      </c>
      <c r="N217" t="n">
        <v>0</v>
      </c>
      <c r="O217" t="n">
        <v>0</v>
      </c>
      <c r="P217" t="n">
        <v>0</v>
      </c>
      <c r="Q217" t="n">
        <v>0</v>
      </c>
      <c r="R217" s="2" t="inlineStr"/>
    </row>
    <row r="218" ht="15" customHeight="1">
      <c r="A218" t="inlineStr">
        <is>
          <t>A 21501-2025</t>
        </is>
      </c>
      <c r="B218" s="1" t="n">
        <v>45782</v>
      </c>
      <c r="C218" s="1" t="n">
        <v>46136</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9148-2026</t>
        </is>
      </c>
      <c r="B219" s="1" t="n">
        <v>46070.30946759259</v>
      </c>
      <c r="C219" s="1" t="n">
        <v>46136</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3235-2025</t>
        </is>
      </c>
      <c r="B220" s="1" t="n">
        <v>45679</v>
      </c>
      <c r="C220" s="1" t="n">
        <v>46136</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34987-2025</t>
        </is>
      </c>
      <c r="B221" s="1" t="n">
        <v>45849</v>
      </c>
      <c r="C221" s="1" t="n">
        <v>46136</v>
      </c>
      <c r="D221" t="inlineStr">
        <is>
          <t>UPPSALA LÄN</t>
        </is>
      </c>
      <c r="E221" t="inlineStr">
        <is>
          <t>ENKÖPING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15711-2025</t>
        </is>
      </c>
      <c r="B222" s="1" t="n">
        <v>45748</v>
      </c>
      <c r="C222" s="1" t="n">
        <v>46136</v>
      </c>
      <c r="D222" t="inlineStr">
        <is>
          <t>UPPSALA LÄN</t>
        </is>
      </c>
      <c r="E222" t="inlineStr">
        <is>
          <t>ENKÖPING</t>
        </is>
      </c>
      <c r="G222" t="n">
        <v>1.3</v>
      </c>
      <c r="H222" t="n">
        <v>0</v>
      </c>
      <c r="I222" t="n">
        <v>0</v>
      </c>
      <c r="J222" t="n">
        <v>0</v>
      </c>
      <c r="K222" t="n">
        <v>0</v>
      </c>
      <c r="L222" t="n">
        <v>0</v>
      </c>
      <c r="M222" t="n">
        <v>0</v>
      </c>
      <c r="N222" t="n">
        <v>0</v>
      </c>
      <c r="O222" t="n">
        <v>0</v>
      </c>
      <c r="P222" t="n">
        <v>0</v>
      </c>
      <c r="Q222" t="n">
        <v>0</v>
      </c>
      <c r="R222" s="2" t="inlineStr"/>
    </row>
    <row r="223" ht="15" customHeight="1">
      <c r="A223" t="inlineStr">
        <is>
          <t>A 34988-2025</t>
        </is>
      </c>
      <c r="B223" s="1" t="n">
        <v>45849</v>
      </c>
      <c r="C223" s="1" t="n">
        <v>46136</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41637-2025</t>
        </is>
      </c>
      <c r="B224" s="1" t="n">
        <v>45901</v>
      </c>
      <c r="C224" s="1" t="n">
        <v>46136</v>
      </c>
      <c r="D224" t="inlineStr">
        <is>
          <t>UPPSALA LÄN</t>
        </is>
      </c>
      <c r="E224" t="inlineStr">
        <is>
          <t>ENKÖPING</t>
        </is>
      </c>
      <c r="F224" t="inlineStr">
        <is>
          <t>Allmännings- och besparingsskogar</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9467-2026</t>
        </is>
      </c>
      <c r="B225" s="1" t="n">
        <v>46071.50694444445</v>
      </c>
      <c r="C225" s="1" t="n">
        <v>46136</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6959-2025</t>
        </is>
      </c>
      <c r="B226" s="1" t="n">
        <v>45701.49315972222</v>
      </c>
      <c r="C226" s="1" t="n">
        <v>46136</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9474-2026</t>
        </is>
      </c>
      <c r="B227" s="1" t="n">
        <v>46071.52324074074</v>
      </c>
      <c r="C227" s="1" t="n">
        <v>46136</v>
      </c>
      <c r="D227" t="inlineStr">
        <is>
          <t>UPPSALA LÄN</t>
        </is>
      </c>
      <c r="E227" t="inlineStr">
        <is>
          <t>ENKÖPING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17165-2025</t>
        </is>
      </c>
      <c r="B228" s="1" t="n">
        <v>45756</v>
      </c>
      <c r="C228" s="1" t="n">
        <v>46136</v>
      </c>
      <c r="D228" t="inlineStr">
        <is>
          <t>UPPSALA LÄN</t>
        </is>
      </c>
      <c r="E228" t="inlineStr">
        <is>
          <t>ENKÖPING</t>
        </is>
      </c>
      <c r="G228" t="n">
        <v>0.9</v>
      </c>
      <c r="H228" t="n">
        <v>0</v>
      </c>
      <c r="I228" t="n">
        <v>0</v>
      </c>
      <c r="J228" t="n">
        <v>0</v>
      </c>
      <c r="K228" t="n">
        <v>0</v>
      </c>
      <c r="L228" t="n">
        <v>0</v>
      </c>
      <c r="M228" t="n">
        <v>0</v>
      </c>
      <c r="N228" t="n">
        <v>0</v>
      </c>
      <c r="O228" t="n">
        <v>0</v>
      </c>
      <c r="P228" t="n">
        <v>0</v>
      </c>
      <c r="Q228" t="n">
        <v>0</v>
      </c>
      <c r="R228" s="2" t="inlineStr"/>
    </row>
    <row r="229" ht="15" customHeight="1">
      <c r="A229" t="inlineStr">
        <is>
          <t>A 36350-2025</t>
        </is>
      </c>
      <c r="B229" s="1" t="n">
        <v>45868</v>
      </c>
      <c r="C229" s="1" t="n">
        <v>46136</v>
      </c>
      <c r="D229" t="inlineStr">
        <is>
          <t>UPPSALA LÄN</t>
        </is>
      </c>
      <c r="E229" t="inlineStr">
        <is>
          <t>ENKÖPING</t>
        </is>
      </c>
      <c r="G229" t="n">
        <v>1.9</v>
      </c>
      <c r="H229" t="n">
        <v>0</v>
      </c>
      <c r="I229" t="n">
        <v>0</v>
      </c>
      <c r="J229" t="n">
        <v>0</v>
      </c>
      <c r="K229" t="n">
        <v>0</v>
      </c>
      <c r="L229" t="n">
        <v>0</v>
      </c>
      <c r="M229" t="n">
        <v>0</v>
      </c>
      <c r="N229" t="n">
        <v>0</v>
      </c>
      <c r="O229" t="n">
        <v>0</v>
      </c>
      <c r="P229" t="n">
        <v>0</v>
      </c>
      <c r="Q229" t="n">
        <v>0</v>
      </c>
      <c r="R229" s="2" t="inlineStr"/>
    </row>
    <row r="230" ht="15" customHeight="1">
      <c r="A230" t="inlineStr">
        <is>
          <t>A 36599-2025</t>
        </is>
      </c>
      <c r="B230" s="1" t="n">
        <v>45870.51723379629</v>
      </c>
      <c r="C230" s="1" t="n">
        <v>46136</v>
      </c>
      <c r="D230" t="inlineStr">
        <is>
          <t>UPPSALA LÄN</t>
        </is>
      </c>
      <c r="E230" t="inlineStr">
        <is>
          <t>ENKÖPING</t>
        </is>
      </c>
      <c r="G230" t="n">
        <v>5.9</v>
      </c>
      <c r="H230" t="n">
        <v>0</v>
      </c>
      <c r="I230" t="n">
        <v>0</v>
      </c>
      <c r="J230" t="n">
        <v>0</v>
      </c>
      <c r="K230" t="n">
        <v>0</v>
      </c>
      <c r="L230" t="n">
        <v>0</v>
      </c>
      <c r="M230" t="n">
        <v>0</v>
      </c>
      <c r="N230" t="n">
        <v>0</v>
      </c>
      <c r="O230" t="n">
        <v>0</v>
      </c>
      <c r="P230" t="n">
        <v>0</v>
      </c>
      <c r="Q230" t="n">
        <v>0</v>
      </c>
      <c r="R230" s="2" t="inlineStr"/>
    </row>
    <row r="231" ht="15" customHeight="1">
      <c r="A231" t="inlineStr">
        <is>
          <t>A 36492-2025</t>
        </is>
      </c>
      <c r="B231" s="1" t="n">
        <v>45869</v>
      </c>
      <c r="C231" s="1" t="n">
        <v>46136</v>
      </c>
      <c r="D231" t="inlineStr">
        <is>
          <t>UPPSALA LÄN</t>
        </is>
      </c>
      <c r="E231" t="inlineStr">
        <is>
          <t>ENKÖPING</t>
        </is>
      </c>
      <c r="G231" t="n">
        <v>6.3</v>
      </c>
      <c r="H231" t="n">
        <v>0</v>
      </c>
      <c r="I231" t="n">
        <v>0</v>
      </c>
      <c r="J231" t="n">
        <v>0</v>
      </c>
      <c r="K231" t="n">
        <v>0</v>
      </c>
      <c r="L231" t="n">
        <v>0</v>
      </c>
      <c r="M231" t="n">
        <v>0</v>
      </c>
      <c r="N231" t="n">
        <v>0</v>
      </c>
      <c r="O231" t="n">
        <v>0</v>
      </c>
      <c r="P231" t="n">
        <v>0</v>
      </c>
      <c r="Q231" t="n">
        <v>0</v>
      </c>
      <c r="R231" s="2" t="inlineStr"/>
    </row>
    <row r="232" ht="15" customHeight="1">
      <c r="A232" t="inlineStr">
        <is>
          <t>A 9469-2026</t>
        </is>
      </c>
      <c r="B232" s="1" t="n">
        <v>46071.51248842593</v>
      </c>
      <c r="C232" s="1" t="n">
        <v>46136</v>
      </c>
      <c r="D232" t="inlineStr">
        <is>
          <t>UPPSALA LÄN</t>
        </is>
      </c>
      <c r="E232" t="inlineStr">
        <is>
          <t>ENKÖPING</t>
        </is>
      </c>
      <c r="G232" t="n">
        <v>3</v>
      </c>
      <c r="H232" t="n">
        <v>0</v>
      </c>
      <c r="I232" t="n">
        <v>0</v>
      </c>
      <c r="J232" t="n">
        <v>0</v>
      </c>
      <c r="K232" t="n">
        <v>0</v>
      </c>
      <c r="L232" t="n">
        <v>0</v>
      </c>
      <c r="M232" t="n">
        <v>0</v>
      </c>
      <c r="N232" t="n">
        <v>0</v>
      </c>
      <c r="O232" t="n">
        <v>0</v>
      </c>
      <c r="P232" t="n">
        <v>0</v>
      </c>
      <c r="Q232" t="n">
        <v>0</v>
      </c>
      <c r="R232" s="2" t="inlineStr"/>
    </row>
    <row r="233" ht="15" customHeight="1">
      <c r="A233" t="inlineStr">
        <is>
          <t>A 52299-2023</t>
        </is>
      </c>
      <c r="B233" s="1" t="n">
        <v>45224.61636574074</v>
      </c>
      <c r="C233" s="1" t="n">
        <v>46136</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25598-2021</t>
        </is>
      </c>
      <c r="B234" s="1" t="n">
        <v>44343.4558912037</v>
      </c>
      <c r="C234" s="1" t="n">
        <v>46136</v>
      </c>
      <c r="D234" t="inlineStr">
        <is>
          <t>UPPSALA LÄN</t>
        </is>
      </c>
      <c r="E234" t="inlineStr">
        <is>
          <t>ENKÖPING</t>
        </is>
      </c>
      <c r="G234" t="n">
        <v>0.7</v>
      </c>
      <c r="H234" t="n">
        <v>0</v>
      </c>
      <c r="I234" t="n">
        <v>0</v>
      </c>
      <c r="J234" t="n">
        <v>0</v>
      </c>
      <c r="K234" t="n">
        <v>0</v>
      </c>
      <c r="L234" t="n">
        <v>0</v>
      </c>
      <c r="M234" t="n">
        <v>0</v>
      </c>
      <c r="N234" t="n">
        <v>0</v>
      </c>
      <c r="O234" t="n">
        <v>0</v>
      </c>
      <c r="P234" t="n">
        <v>0</v>
      </c>
      <c r="Q234" t="n">
        <v>0</v>
      </c>
      <c r="R234" s="2" t="inlineStr"/>
    </row>
    <row r="235" ht="15" customHeight="1">
      <c r="A235" t="inlineStr">
        <is>
          <t>A 32081-2024</t>
        </is>
      </c>
      <c r="B235" s="1" t="n">
        <v>45511.34605324074</v>
      </c>
      <c r="C235" s="1" t="n">
        <v>46136</v>
      </c>
      <c r="D235" t="inlineStr">
        <is>
          <t>UPPSALA LÄN</t>
        </is>
      </c>
      <c r="E235" t="inlineStr">
        <is>
          <t>ENKÖPING</t>
        </is>
      </c>
      <c r="G235" t="n">
        <v>5.4</v>
      </c>
      <c r="H235" t="n">
        <v>0</v>
      </c>
      <c r="I235" t="n">
        <v>0</v>
      </c>
      <c r="J235" t="n">
        <v>0</v>
      </c>
      <c r="K235" t="n">
        <v>0</v>
      </c>
      <c r="L235" t="n">
        <v>0</v>
      </c>
      <c r="M235" t="n">
        <v>0</v>
      </c>
      <c r="N235" t="n">
        <v>0</v>
      </c>
      <c r="O235" t="n">
        <v>0</v>
      </c>
      <c r="P235" t="n">
        <v>0</v>
      </c>
      <c r="Q235" t="n">
        <v>0</v>
      </c>
      <c r="R235" s="2" t="inlineStr"/>
    </row>
    <row r="236" ht="15" customHeight="1">
      <c r="A236" t="inlineStr">
        <is>
          <t>A 20184-2023</t>
        </is>
      </c>
      <c r="B236" s="1" t="n">
        <v>45055.5670949074</v>
      </c>
      <c r="C236" s="1" t="n">
        <v>46136</v>
      </c>
      <c r="D236" t="inlineStr">
        <is>
          <t>UPPSALA LÄN</t>
        </is>
      </c>
      <c r="E236" t="inlineStr">
        <is>
          <t>ENKÖPING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60125-2024</t>
        </is>
      </c>
      <c r="B237" s="1" t="n">
        <v>45642</v>
      </c>
      <c r="C237" s="1" t="n">
        <v>46136</v>
      </c>
      <c r="D237" t="inlineStr">
        <is>
          <t>UPPSALA LÄN</t>
        </is>
      </c>
      <c r="E237" t="inlineStr">
        <is>
          <t>ENKÖPING</t>
        </is>
      </c>
      <c r="G237" t="n">
        <v>2.1</v>
      </c>
      <c r="H237" t="n">
        <v>0</v>
      </c>
      <c r="I237" t="n">
        <v>0</v>
      </c>
      <c r="J237" t="n">
        <v>0</v>
      </c>
      <c r="K237" t="n">
        <v>0</v>
      </c>
      <c r="L237" t="n">
        <v>0</v>
      </c>
      <c r="M237" t="n">
        <v>0</v>
      </c>
      <c r="N237" t="n">
        <v>0</v>
      </c>
      <c r="O237" t="n">
        <v>0</v>
      </c>
      <c r="P237" t="n">
        <v>0</v>
      </c>
      <c r="Q237" t="n">
        <v>0</v>
      </c>
      <c r="R237" s="2" t="inlineStr"/>
    </row>
    <row r="238" ht="15" customHeight="1">
      <c r="A238" t="inlineStr">
        <is>
          <t>A 61952-2021</t>
        </is>
      </c>
      <c r="B238" s="1" t="n">
        <v>44502</v>
      </c>
      <c r="C238" s="1" t="n">
        <v>46136</v>
      </c>
      <c r="D238" t="inlineStr">
        <is>
          <t>UPPSALA LÄN</t>
        </is>
      </c>
      <c r="E238" t="inlineStr">
        <is>
          <t>ENKÖPING</t>
        </is>
      </c>
      <c r="G238" t="n">
        <v>2.3</v>
      </c>
      <c r="H238" t="n">
        <v>0</v>
      </c>
      <c r="I238" t="n">
        <v>0</v>
      </c>
      <c r="J238" t="n">
        <v>0</v>
      </c>
      <c r="K238" t="n">
        <v>0</v>
      </c>
      <c r="L238" t="n">
        <v>0</v>
      </c>
      <c r="M238" t="n">
        <v>0</v>
      </c>
      <c r="N238" t="n">
        <v>0</v>
      </c>
      <c r="O238" t="n">
        <v>0</v>
      </c>
      <c r="P238" t="n">
        <v>0</v>
      </c>
      <c r="Q238" t="n">
        <v>0</v>
      </c>
      <c r="R238" s="2" t="inlineStr"/>
    </row>
    <row r="239" ht="15" customHeight="1">
      <c r="A239" t="inlineStr">
        <is>
          <t>A 37319-2025</t>
        </is>
      </c>
      <c r="B239" s="1" t="n">
        <v>45876</v>
      </c>
      <c r="C239" s="1" t="n">
        <v>46136</v>
      </c>
      <c r="D239" t="inlineStr">
        <is>
          <t>UPPSALA LÄN</t>
        </is>
      </c>
      <c r="E239" t="inlineStr">
        <is>
          <t>ENKÖPING</t>
        </is>
      </c>
      <c r="G239" t="n">
        <v>9.5</v>
      </c>
      <c r="H239" t="n">
        <v>0</v>
      </c>
      <c r="I239" t="n">
        <v>0</v>
      </c>
      <c r="J239" t="n">
        <v>0</v>
      </c>
      <c r="K239" t="n">
        <v>0</v>
      </c>
      <c r="L239" t="n">
        <v>0</v>
      </c>
      <c r="M239" t="n">
        <v>0</v>
      </c>
      <c r="N239" t="n">
        <v>0</v>
      </c>
      <c r="O239" t="n">
        <v>0</v>
      </c>
      <c r="P239" t="n">
        <v>0</v>
      </c>
      <c r="Q239" t="n">
        <v>0</v>
      </c>
      <c r="R239" s="2" t="inlineStr"/>
    </row>
    <row r="240" ht="15" customHeight="1">
      <c r="A240" t="inlineStr">
        <is>
          <t>A 37296-2025</t>
        </is>
      </c>
      <c r="B240" s="1" t="n">
        <v>45876</v>
      </c>
      <c r="C240" s="1" t="n">
        <v>46136</v>
      </c>
      <c r="D240" t="inlineStr">
        <is>
          <t>UPPSALA LÄN</t>
        </is>
      </c>
      <c r="E240" t="inlineStr">
        <is>
          <t>ENKÖPING</t>
        </is>
      </c>
      <c r="G240" t="n">
        <v>9.5</v>
      </c>
      <c r="H240" t="n">
        <v>0</v>
      </c>
      <c r="I240" t="n">
        <v>0</v>
      </c>
      <c r="J240" t="n">
        <v>0</v>
      </c>
      <c r="K240" t="n">
        <v>0</v>
      </c>
      <c r="L240" t="n">
        <v>0</v>
      </c>
      <c r="M240" t="n">
        <v>0</v>
      </c>
      <c r="N240" t="n">
        <v>0</v>
      </c>
      <c r="O240" t="n">
        <v>0</v>
      </c>
      <c r="P240" t="n">
        <v>0</v>
      </c>
      <c r="Q240" t="n">
        <v>0</v>
      </c>
      <c r="R240" s="2" t="inlineStr"/>
    </row>
    <row r="241" ht="15" customHeight="1">
      <c r="A241" t="inlineStr">
        <is>
          <t>A 47516-2022</t>
        </is>
      </c>
      <c r="B241" s="1" t="n">
        <v>44853.68895833333</v>
      </c>
      <c r="C241" s="1" t="n">
        <v>46136</v>
      </c>
      <c r="D241" t="inlineStr">
        <is>
          <t>UPPSALA LÄN</t>
        </is>
      </c>
      <c r="E241" t="inlineStr">
        <is>
          <t>ENKÖPING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37498-2025</t>
        </is>
      </c>
      <c r="B242" s="1" t="n">
        <v>45877</v>
      </c>
      <c r="C242" s="1" t="n">
        <v>46136</v>
      </c>
      <c r="D242" t="inlineStr">
        <is>
          <t>UPPSALA LÄN</t>
        </is>
      </c>
      <c r="E242" t="inlineStr">
        <is>
          <t>ENKÖPING</t>
        </is>
      </c>
      <c r="G242" t="n">
        <v>1.2</v>
      </c>
      <c r="H242" t="n">
        <v>0</v>
      </c>
      <c r="I242" t="n">
        <v>0</v>
      </c>
      <c r="J242" t="n">
        <v>0</v>
      </c>
      <c r="K242" t="n">
        <v>0</v>
      </c>
      <c r="L242" t="n">
        <v>0</v>
      </c>
      <c r="M242" t="n">
        <v>0</v>
      </c>
      <c r="N242" t="n">
        <v>0</v>
      </c>
      <c r="O242" t="n">
        <v>0</v>
      </c>
      <c r="P242" t="n">
        <v>0</v>
      </c>
      <c r="Q242" t="n">
        <v>0</v>
      </c>
      <c r="R242" s="2" t="inlineStr"/>
    </row>
    <row r="243" ht="15" customHeight="1">
      <c r="A243" t="inlineStr">
        <is>
          <t>A 17418-2026</t>
        </is>
      </c>
      <c r="B243" s="1" t="n">
        <v>46120.3591087963</v>
      </c>
      <c r="C243" s="1" t="n">
        <v>46136</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17419-2026</t>
        </is>
      </c>
      <c r="B244" s="1" t="n">
        <v>46120.36064814815</v>
      </c>
      <c r="C244" s="1" t="n">
        <v>46136</v>
      </c>
      <c r="D244" t="inlineStr">
        <is>
          <t>UPPSALA LÄN</t>
        </is>
      </c>
      <c r="E244" t="inlineStr">
        <is>
          <t>ENKÖPING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49622-2024</t>
        </is>
      </c>
      <c r="B245" s="1" t="n">
        <v>45596.58372685185</v>
      </c>
      <c r="C245" s="1" t="n">
        <v>46136</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59602-2022</t>
        </is>
      </c>
      <c r="B246" s="1" t="n">
        <v>44907.72241898148</v>
      </c>
      <c r="C246" s="1" t="n">
        <v>46136</v>
      </c>
      <c r="D246" t="inlineStr">
        <is>
          <t>UPPSALA LÄN</t>
        </is>
      </c>
      <c r="E246" t="inlineStr">
        <is>
          <t>ENKÖPING</t>
        </is>
      </c>
      <c r="G246" t="n">
        <v>14.2</v>
      </c>
      <c r="H246" t="n">
        <v>0</v>
      </c>
      <c r="I246" t="n">
        <v>0</v>
      </c>
      <c r="J246" t="n">
        <v>0</v>
      </c>
      <c r="K246" t="n">
        <v>0</v>
      </c>
      <c r="L246" t="n">
        <v>0</v>
      </c>
      <c r="M246" t="n">
        <v>0</v>
      </c>
      <c r="N246" t="n">
        <v>0</v>
      </c>
      <c r="O246" t="n">
        <v>0</v>
      </c>
      <c r="P246" t="n">
        <v>0</v>
      </c>
      <c r="Q246" t="n">
        <v>0</v>
      </c>
      <c r="R246" s="2" t="inlineStr"/>
    </row>
    <row r="247" ht="15" customHeight="1">
      <c r="A247" t="inlineStr">
        <is>
          <t>A 42589-2022</t>
        </is>
      </c>
      <c r="B247" s="1" t="n">
        <v>44831</v>
      </c>
      <c r="C247" s="1" t="n">
        <v>46136</v>
      </c>
      <c r="D247" t="inlineStr">
        <is>
          <t>UPPSALA LÄN</t>
        </is>
      </c>
      <c r="E247" t="inlineStr">
        <is>
          <t>ENKÖPING</t>
        </is>
      </c>
      <c r="G247" t="n">
        <v>20</v>
      </c>
      <c r="H247" t="n">
        <v>0</v>
      </c>
      <c r="I247" t="n">
        <v>0</v>
      </c>
      <c r="J247" t="n">
        <v>0</v>
      </c>
      <c r="K247" t="n">
        <v>0</v>
      </c>
      <c r="L247" t="n">
        <v>0</v>
      </c>
      <c r="M247" t="n">
        <v>0</v>
      </c>
      <c r="N247" t="n">
        <v>0</v>
      </c>
      <c r="O247" t="n">
        <v>0</v>
      </c>
      <c r="P247" t="n">
        <v>0</v>
      </c>
      <c r="Q247" t="n">
        <v>0</v>
      </c>
      <c r="R247" s="2" t="inlineStr"/>
    </row>
    <row r="248" ht="15" customHeight="1">
      <c r="A248" t="inlineStr">
        <is>
          <t>A 35645-2021</t>
        </is>
      </c>
      <c r="B248" s="1" t="n">
        <v>44386.42</v>
      </c>
      <c r="C248" s="1" t="n">
        <v>46136</v>
      </c>
      <c r="D248" t="inlineStr">
        <is>
          <t>UPPSALA LÄN</t>
        </is>
      </c>
      <c r="E248" t="inlineStr">
        <is>
          <t>ENKÖPING</t>
        </is>
      </c>
      <c r="G248" t="n">
        <v>2.7</v>
      </c>
      <c r="H248" t="n">
        <v>0</v>
      </c>
      <c r="I248" t="n">
        <v>0</v>
      </c>
      <c r="J248" t="n">
        <v>0</v>
      </c>
      <c r="K248" t="n">
        <v>0</v>
      </c>
      <c r="L248" t="n">
        <v>0</v>
      </c>
      <c r="M248" t="n">
        <v>0</v>
      </c>
      <c r="N248" t="n">
        <v>0</v>
      </c>
      <c r="O248" t="n">
        <v>0</v>
      </c>
      <c r="P248" t="n">
        <v>0</v>
      </c>
      <c r="Q248" t="n">
        <v>0</v>
      </c>
      <c r="R248" s="2" t="inlineStr"/>
    </row>
    <row r="249" ht="15" customHeight="1">
      <c r="A249" t="inlineStr">
        <is>
          <t>A 2968-2025</t>
        </is>
      </c>
      <c r="B249" s="1" t="n">
        <v>45678</v>
      </c>
      <c r="C249" s="1" t="n">
        <v>46136</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42029-2025</t>
        </is>
      </c>
      <c r="B250" s="1" t="n">
        <v>45903</v>
      </c>
      <c r="C250" s="1" t="n">
        <v>46136</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9487-2025</t>
        </is>
      </c>
      <c r="B251" s="1" t="n">
        <v>45715.49331018519</v>
      </c>
      <c r="C251" s="1" t="n">
        <v>46136</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16176-2025</t>
        </is>
      </c>
      <c r="B252" s="1" t="n">
        <v>45750</v>
      </c>
      <c r="C252" s="1" t="n">
        <v>46136</v>
      </c>
      <c r="D252" t="inlineStr">
        <is>
          <t>UPPSALA LÄN</t>
        </is>
      </c>
      <c r="E252" t="inlineStr">
        <is>
          <t>ENKÖPING</t>
        </is>
      </c>
      <c r="G252" t="n">
        <v>3.9</v>
      </c>
      <c r="H252" t="n">
        <v>0</v>
      </c>
      <c r="I252" t="n">
        <v>0</v>
      </c>
      <c r="J252" t="n">
        <v>0</v>
      </c>
      <c r="K252" t="n">
        <v>0</v>
      </c>
      <c r="L252" t="n">
        <v>0</v>
      </c>
      <c r="M252" t="n">
        <v>0</v>
      </c>
      <c r="N252" t="n">
        <v>0</v>
      </c>
      <c r="O252" t="n">
        <v>0</v>
      </c>
      <c r="P252" t="n">
        <v>0</v>
      </c>
      <c r="Q252" t="n">
        <v>0</v>
      </c>
      <c r="R252" s="2" t="inlineStr"/>
    </row>
    <row r="253" ht="15" customHeight="1">
      <c r="A253" t="inlineStr">
        <is>
          <t>A 37035-2023</t>
        </is>
      </c>
      <c r="B253" s="1" t="n">
        <v>45155</v>
      </c>
      <c r="C253" s="1" t="n">
        <v>46136</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21017-2023</t>
        </is>
      </c>
      <c r="B254" s="1" t="n">
        <v>45061</v>
      </c>
      <c r="C254" s="1" t="n">
        <v>46136</v>
      </c>
      <c r="D254" t="inlineStr">
        <is>
          <t>UPPSALA LÄN</t>
        </is>
      </c>
      <c r="E254" t="inlineStr">
        <is>
          <t>ENKÖPING</t>
        </is>
      </c>
      <c r="G254" t="n">
        <v>4.8</v>
      </c>
      <c r="H254" t="n">
        <v>0</v>
      </c>
      <c r="I254" t="n">
        <v>0</v>
      </c>
      <c r="J254" t="n">
        <v>0</v>
      </c>
      <c r="K254" t="n">
        <v>0</v>
      </c>
      <c r="L254" t="n">
        <v>0</v>
      </c>
      <c r="M254" t="n">
        <v>0</v>
      </c>
      <c r="N254" t="n">
        <v>0</v>
      </c>
      <c r="O254" t="n">
        <v>0</v>
      </c>
      <c r="P254" t="n">
        <v>0</v>
      </c>
      <c r="Q254" t="n">
        <v>0</v>
      </c>
      <c r="R254" s="2" t="inlineStr"/>
    </row>
    <row r="255" ht="15" customHeight="1">
      <c r="A255" t="inlineStr">
        <is>
          <t>A 42756-2025</t>
        </is>
      </c>
      <c r="B255" s="1" t="n">
        <v>45908</v>
      </c>
      <c r="C255" s="1" t="n">
        <v>46136</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46186-2023</t>
        </is>
      </c>
      <c r="B256" s="1" t="n">
        <v>45196</v>
      </c>
      <c r="C256" s="1" t="n">
        <v>46136</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15162-2025</t>
        </is>
      </c>
      <c r="B257" s="1" t="n">
        <v>45744</v>
      </c>
      <c r="C257" s="1" t="n">
        <v>46136</v>
      </c>
      <c r="D257" t="inlineStr">
        <is>
          <t>UPPSALA LÄN</t>
        </is>
      </c>
      <c r="E257" t="inlineStr">
        <is>
          <t>ENKÖPING</t>
        </is>
      </c>
      <c r="G257" t="n">
        <v>4.2</v>
      </c>
      <c r="H257" t="n">
        <v>0</v>
      </c>
      <c r="I257" t="n">
        <v>0</v>
      </c>
      <c r="J257" t="n">
        <v>0</v>
      </c>
      <c r="K257" t="n">
        <v>0</v>
      </c>
      <c r="L257" t="n">
        <v>0</v>
      </c>
      <c r="M257" t="n">
        <v>0</v>
      </c>
      <c r="N257" t="n">
        <v>0</v>
      </c>
      <c r="O257" t="n">
        <v>0</v>
      </c>
      <c r="P257" t="n">
        <v>0</v>
      </c>
      <c r="Q257" t="n">
        <v>0</v>
      </c>
      <c r="R257" s="2" t="inlineStr"/>
    </row>
    <row r="258" ht="15" customHeight="1">
      <c r="A258" t="inlineStr">
        <is>
          <t>A 56176-2021</t>
        </is>
      </c>
      <c r="B258" s="1" t="n">
        <v>44477</v>
      </c>
      <c r="C258" s="1" t="n">
        <v>46136</v>
      </c>
      <c r="D258" t="inlineStr">
        <is>
          <t>UPPSALA LÄN</t>
        </is>
      </c>
      <c r="E258" t="inlineStr">
        <is>
          <t>ENKÖPING</t>
        </is>
      </c>
      <c r="G258" t="n">
        <v>2.9</v>
      </c>
      <c r="H258" t="n">
        <v>0</v>
      </c>
      <c r="I258" t="n">
        <v>0</v>
      </c>
      <c r="J258" t="n">
        <v>0</v>
      </c>
      <c r="K258" t="n">
        <v>0</v>
      </c>
      <c r="L258" t="n">
        <v>0</v>
      </c>
      <c r="M258" t="n">
        <v>0</v>
      </c>
      <c r="N258" t="n">
        <v>0</v>
      </c>
      <c r="O258" t="n">
        <v>0</v>
      </c>
      <c r="P258" t="n">
        <v>0</v>
      </c>
      <c r="Q258" t="n">
        <v>0</v>
      </c>
      <c r="R258" s="2" t="inlineStr"/>
    </row>
    <row r="259" ht="15" customHeight="1">
      <c r="A259" t="inlineStr">
        <is>
          <t>A 18299-2025</t>
        </is>
      </c>
      <c r="B259" s="1" t="n">
        <v>45762</v>
      </c>
      <c r="C259" s="1" t="n">
        <v>46136</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6242-2025</t>
        </is>
      </c>
      <c r="B260" s="1" t="n">
        <v>45697</v>
      </c>
      <c r="C260" s="1" t="n">
        <v>46136</v>
      </c>
      <c r="D260" t="inlineStr">
        <is>
          <t>UPPSALA LÄN</t>
        </is>
      </c>
      <c r="E260" t="inlineStr">
        <is>
          <t>ENKÖPING</t>
        </is>
      </c>
      <c r="G260" t="n">
        <v>17.9</v>
      </c>
      <c r="H260" t="n">
        <v>0</v>
      </c>
      <c r="I260" t="n">
        <v>0</v>
      </c>
      <c r="J260" t="n">
        <v>0</v>
      </c>
      <c r="K260" t="n">
        <v>0</v>
      </c>
      <c r="L260" t="n">
        <v>0</v>
      </c>
      <c r="M260" t="n">
        <v>0</v>
      </c>
      <c r="N260" t="n">
        <v>0</v>
      </c>
      <c r="O260" t="n">
        <v>0</v>
      </c>
      <c r="P260" t="n">
        <v>0</v>
      </c>
      <c r="Q260" t="n">
        <v>0</v>
      </c>
      <c r="R260" s="2" t="inlineStr"/>
    </row>
    <row r="261" ht="15" customHeight="1">
      <c r="A261" t="inlineStr">
        <is>
          <t>A 6144-2024</t>
        </is>
      </c>
      <c r="B261" s="1" t="n">
        <v>45337.4684837963</v>
      </c>
      <c r="C261" s="1" t="n">
        <v>46136</v>
      </c>
      <c r="D261" t="inlineStr">
        <is>
          <t>UPPSALA LÄN</t>
        </is>
      </c>
      <c r="E261" t="inlineStr">
        <is>
          <t>ENKÖPING</t>
        </is>
      </c>
      <c r="G261" t="n">
        <v>13.8</v>
      </c>
      <c r="H261" t="n">
        <v>0</v>
      </c>
      <c r="I261" t="n">
        <v>0</v>
      </c>
      <c r="J261" t="n">
        <v>0</v>
      </c>
      <c r="K261" t="n">
        <v>0</v>
      </c>
      <c r="L261" t="n">
        <v>0</v>
      </c>
      <c r="M261" t="n">
        <v>0</v>
      </c>
      <c r="N261" t="n">
        <v>0</v>
      </c>
      <c r="O261" t="n">
        <v>0</v>
      </c>
      <c r="P261" t="n">
        <v>0</v>
      </c>
      <c r="Q261" t="n">
        <v>0</v>
      </c>
      <c r="R261" s="2" t="inlineStr"/>
    </row>
    <row r="262" ht="15" customHeight="1">
      <c r="A262" t="inlineStr">
        <is>
          <t>A 67984-2021</t>
        </is>
      </c>
      <c r="B262" s="1" t="n">
        <v>44525.70237268518</v>
      </c>
      <c r="C262" s="1" t="n">
        <v>46136</v>
      </c>
      <c r="D262" t="inlineStr">
        <is>
          <t>UPPSALA LÄN</t>
        </is>
      </c>
      <c r="E262" t="inlineStr">
        <is>
          <t>ENKÖPING</t>
        </is>
      </c>
      <c r="G262" t="n">
        <v>1.4</v>
      </c>
      <c r="H262" t="n">
        <v>0</v>
      </c>
      <c r="I262" t="n">
        <v>0</v>
      </c>
      <c r="J262" t="n">
        <v>0</v>
      </c>
      <c r="K262" t="n">
        <v>0</v>
      </c>
      <c r="L262" t="n">
        <v>0</v>
      </c>
      <c r="M262" t="n">
        <v>0</v>
      </c>
      <c r="N262" t="n">
        <v>0</v>
      </c>
      <c r="O262" t="n">
        <v>0</v>
      </c>
      <c r="P262" t="n">
        <v>0</v>
      </c>
      <c r="Q262" t="n">
        <v>0</v>
      </c>
      <c r="R262" s="2" t="inlineStr"/>
    </row>
    <row r="263" ht="15" customHeight="1">
      <c r="A263" t="inlineStr">
        <is>
          <t>A 18565-2026</t>
        </is>
      </c>
      <c r="B263" s="1" t="n">
        <v>46127.5871412037</v>
      </c>
      <c r="C263" s="1" t="n">
        <v>46136</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11918-2025</t>
        </is>
      </c>
      <c r="B264" s="1" t="n">
        <v>45728.49331018519</v>
      </c>
      <c r="C264" s="1" t="n">
        <v>46136</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18562-2026</t>
        </is>
      </c>
      <c r="B265" s="1" t="n">
        <v>46127</v>
      </c>
      <c r="C265" s="1" t="n">
        <v>46136</v>
      </c>
      <c r="D265" t="inlineStr">
        <is>
          <t>UPPSALA LÄN</t>
        </is>
      </c>
      <c r="E265" t="inlineStr">
        <is>
          <t>ENKÖPING</t>
        </is>
      </c>
      <c r="G265" t="n">
        <v>4</v>
      </c>
      <c r="H265" t="n">
        <v>0</v>
      </c>
      <c r="I265" t="n">
        <v>0</v>
      </c>
      <c r="J265" t="n">
        <v>0</v>
      </c>
      <c r="K265" t="n">
        <v>0</v>
      </c>
      <c r="L265" t="n">
        <v>0</v>
      </c>
      <c r="M265" t="n">
        <v>0</v>
      </c>
      <c r="N265" t="n">
        <v>0</v>
      </c>
      <c r="O265" t="n">
        <v>0</v>
      </c>
      <c r="P265" t="n">
        <v>0</v>
      </c>
      <c r="Q265" t="n">
        <v>0</v>
      </c>
      <c r="R265" s="2" t="inlineStr"/>
    </row>
    <row r="266" ht="15" customHeight="1">
      <c r="A266" t="inlineStr">
        <is>
          <t>A 41764-2025</t>
        </is>
      </c>
      <c r="B266" s="1" t="n">
        <v>45902</v>
      </c>
      <c r="C266" s="1" t="n">
        <v>46136</v>
      </c>
      <c r="D266" t="inlineStr">
        <is>
          <t>UPPSALA LÄN</t>
        </is>
      </c>
      <c r="E266" t="inlineStr">
        <is>
          <t>ENKÖPING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51042-2024</t>
        </is>
      </c>
      <c r="B267" s="1" t="n">
        <v>45603.4342824074</v>
      </c>
      <c r="C267" s="1" t="n">
        <v>46136</v>
      </c>
      <c r="D267" t="inlineStr">
        <is>
          <t>UPPSALA LÄN</t>
        </is>
      </c>
      <c r="E267" t="inlineStr">
        <is>
          <t>ENKÖPING</t>
        </is>
      </c>
      <c r="G267" t="n">
        <v>4.6</v>
      </c>
      <c r="H267" t="n">
        <v>0</v>
      </c>
      <c r="I267" t="n">
        <v>0</v>
      </c>
      <c r="J267" t="n">
        <v>0</v>
      </c>
      <c r="K267" t="n">
        <v>0</v>
      </c>
      <c r="L267" t="n">
        <v>0</v>
      </c>
      <c r="M267" t="n">
        <v>0</v>
      </c>
      <c r="N267" t="n">
        <v>0</v>
      </c>
      <c r="O267" t="n">
        <v>0</v>
      </c>
      <c r="P267" t="n">
        <v>0</v>
      </c>
      <c r="Q267" t="n">
        <v>0</v>
      </c>
      <c r="R267" s="2" t="inlineStr"/>
    </row>
    <row r="268" ht="15" customHeight="1">
      <c r="A268" t="inlineStr">
        <is>
          <t>A 22632-2025</t>
        </is>
      </c>
      <c r="B268" s="1" t="n">
        <v>45789.44361111111</v>
      </c>
      <c r="C268" s="1" t="n">
        <v>46136</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51037-2024</t>
        </is>
      </c>
      <c r="B269" s="1" t="n">
        <v>45603.43005787037</v>
      </c>
      <c r="C269" s="1" t="n">
        <v>46136</v>
      </c>
      <c r="D269" t="inlineStr">
        <is>
          <t>UPPSALA LÄN</t>
        </is>
      </c>
      <c r="E269" t="inlineStr">
        <is>
          <t>ENKÖPING</t>
        </is>
      </c>
      <c r="G269" t="n">
        <v>5.7</v>
      </c>
      <c r="H269" t="n">
        <v>0</v>
      </c>
      <c r="I269" t="n">
        <v>0</v>
      </c>
      <c r="J269" t="n">
        <v>0</v>
      </c>
      <c r="K269" t="n">
        <v>0</v>
      </c>
      <c r="L269" t="n">
        <v>0</v>
      </c>
      <c r="M269" t="n">
        <v>0</v>
      </c>
      <c r="N269" t="n">
        <v>0</v>
      </c>
      <c r="O269" t="n">
        <v>0</v>
      </c>
      <c r="P269" t="n">
        <v>0</v>
      </c>
      <c r="Q269" t="n">
        <v>0</v>
      </c>
      <c r="R269" s="2" t="inlineStr"/>
    </row>
    <row r="270" ht="15" customHeight="1">
      <c r="A270" t="inlineStr">
        <is>
          <t>A 18643-2026</t>
        </is>
      </c>
      <c r="B270" s="1" t="n">
        <v>46128.33024305556</v>
      </c>
      <c r="C270" s="1" t="n">
        <v>46136</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18806-2026</t>
        </is>
      </c>
      <c r="B271" s="1" t="n">
        <v>46128.63238425926</v>
      </c>
      <c r="C271" s="1" t="n">
        <v>46136</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51027-2024</t>
        </is>
      </c>
      <c r="B272" s="1" t="n">
        <v>45603</v>
      </c>
      <c r="C272" s="1" t="n">
        <v>46136</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18644-2026</t>
        </is>
      </c>
      <c r="B273" s="1" t="n">
        <v>46128.33157407407</v>
      </c>
      <c r="C273" s="1" t="n">
        <v>46136</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43896-2022</t>
        </is>
      </c>
      <c r="B274" s="1" t="n">
        <v>44838</v>
      </c>
      <c r="C274" s="1" t="n">
        <v>46136</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20440-2025</t>
        </is>
      </c>
      <c r="B275" s="1" t="n">
        <v>45775</v>
      </c>
      <c r="C275" s="1" t="n">
        <v>46136</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41737-2022</t>
        </is>
      </c>
      <c r="B276" s="1" t="n">
        <v>44827.63826388889</v>
      </c>
      <c r="C276" s="1" t="n">
        <v>46136</v>
      </c>
      <c r="D276" t="inlineStr">
        <is>
          <t>UPPSALA LÄN</t>
        </is>
      </c>
      <c r="E276" t="inlineStr">
        <is>
          <t>ENKÖPING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44419-2025</t>
        </is>
      </c>
      <c r="B277" s="1" t="n">
        <v>45916.54671296296</v>
      </c>
      <c r="C277" s="1" t="n">
        <v>46136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54595-2021</t>
        </is>
      </c>
      <c r="B278" s="1" t="n">
        <v>44473.58824074074</v>
      </c>
      <c r="C278" s="1" t="n">
        <v>46136</v>
      </c>
      <c r="D278" t="inlineStr">
        <is>
          <t>UPPSALA LÄN</t>
        </is>
      </c>
      <c r="E278" t="inlineStr">
        <is>
          <t>ENKÖPING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43999-2025</t>
        </is>
      </c>
      <c r="B279" s="1" t="n">
        <v>45915.45158564814</v>
      </c>
      <c r="C279" s="1" t="n">
        <v>46136</v>
      </c>
      <c r="D279" t="inlineStr">
        <is>
          <t>UPPSALA LÄN</t>
        </is>
      </c>
      <c r="E279" t="inlineStr">
        <is>
          <t>ENKÖPING</t>
        </is>
      </c>
      <c r="G279" t="n">
        <v>4.1</v>
      </c>
      <c r="H279" t="n">
        <v>0</v>
      </c>
      <c r="I279" t="n">
        <v>0</v>
      </c>
      <c r="J279" t="n">
        <v>0</v>
      </c>
      <c r="K279" t="n">
        <v>0</v>
      </c>
      <c r="L279" t="n">
        <v>0</v>
      </c>
      <c r="M279" t="n">
        <v>0</v>
      </c>
      <c r="N279" t="n">
        <v>0</v>
      </c>
      <c r="O279" t="n">
        <v>0</v>
      </c>
      <c r="P279" t="n">
        <v>0</v>
      </c>
      <c r="Q279" t="n">
        <v>0</v>
      </c>
      <c r="R279" s="2" t="inlineStr"/>
    </row>
    <row r="280" ht="15" customHeight="1">
      <c r="A280" t="inlineStr">
        <is>
          <t>A 22094-2023</t>
        </is>
      </c>
      <c r="B280" s="1" t="n">
        <v>45069</v>
      </c>
      <c r="C280" s="1" t="n">
        <v>46136</v>
      </c>
      <c r="D280" t="inlineStr">
        <is>
          <t>UPPSALA LÄN</t>
        </is>
      </c>
      <c r="E280" t="inlineStr">
        <is>
          <t>ENKÖPING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32477-2025</t>
        </is>
      </c>
      <c r="B281" s="1" t="n">
        <v>45838.43098379629</v>
      </c>
      <c r="C281" s="1" t="n">
        <v>46136</v>
      </c>
      <c r="D281" t="inlineStr">
        <is>
          <t>UPPSALA LÄN</t>
        </is>
      </c>
      <c r="E281" t="inlineStr">
        <is>
          <t>ENKÖPING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12411-2026</t>
        </is>
      </c>
      <c r="B282" s="1" t="n">
        <v>46090.42670138889</v>
      </c>
      <c r="C282" s="1" t="n">
        <v>46136</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35647-2021</t>
        </is>
      </c>
      <c r="B283" s="1" t="n">
        <v>44386</v>
      </c>
      <c r="C283" s="1" t="n">
        <v>46136</v>
      </c>
      <c r="D283" t="inlineStr">
        <is>
          <t>UPPSALA LÄN</t>
        </is>
      </c>
      <c r="E283" t="inlineStr">
        <is>
          <t>ENKÖPING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27837-2025</t>
        </is>
      </c>
      <c r="B284" s="1" t="n">
        <v>45817.37207175926</v>
      </c>
      <c r="C284" s="1" t="n">
        <v>46136</v>
      </c>
      <c r="D284" t="inlineStr">
        <is>
          <t>UPPSALA LÄN</t>
        </is>
      </c>
      <c r="E284" t="inlineStr">
        <is>
          <t>ENKÖPING</t>
        </is>
      </c>
      <c r="G284" t="n">
        <v>7.3</v>
      </c>
      <c r="H284" t="n">
        <v>0</v>
      </c>
      <c r="I284" t="n">
        <v>0</v>
      </c>
      <c r="J284" t="n">
        <v>0</v>
      </c>
      <c r="K284" t="n">
        <v>0</v>
      </c>
      <c r="L284" t="n">
        <v>0</v>
      </c>
      <c r="M284" t="n">
        <v>0</v>
      </c>
      <c r="N284" t="n">
        <v>0</v>
      </c>
      <c r="O284" t="n">
        <v>0</v>
      </c>
      <c r="P284" t="n">
        <v>0</v>
      </c>
      <c r="Q284" t="n">
        <v>0</v>
      </c>
      <c r="R284" s="2" t="inlineStr"/>
    </row>
    <row r="285" ht="15" customHeight="1">
      <c r="A285" t="inlineStr">
        <is>
          <t>A 24962-2023</t>
        </is>
      </c>
      <c r="B285" s="1" t="n">
        <v>45085.60123842592</v>
      </c>
      <c r="C285" s="1" t="n">
        <v>46136</v>
      </c>
      <c r="D285" t="inlineStr">
        <is>
          <t>UPPSALA LÄN</t>
        </is>
      </c>
      <c r="E285" t="inlineStr">
        <is>
          <t>ENKÖPING</t>
        </is>
      </c>
      <c r="G285" t="n">
        <v>2.8</v>
      </c>
      <c r="H285" t="n">
        <v>0</v>
      </c>
      <c r="I285" t="n">
        <v>0</v>
      </c>
      <c r="J285" t="n">
        <v>0</v>
      </c>
      <c r="K285" t="n">
        <v>0</v>
      </c>
      <c r="L285" t="n">
        <v>0</v>
      </c>
      <c r="M285" t="n">
        <v>0</v>
      </c>
      <c r="N285" t="n">
        <v>0</v>
      </c>
      <c r="O285" t="n">
        <v>0</v>
      </c>
      <c r="P285" t="n">
        <v>0</v>
      </c>
      <c r="Q285" t="n">
        <v>0</v>
      </c>
      <c r="R285" s="2" t="inlineStr"/>
    </row>
    <row r="286" ht="15" customHeight="1">
      <c r="A286" t="inlineStr">
        <is>
          <t>A 44131-2023</t>
        </is>
      </c>
      <c r="B286" s="1" t="n">
        <v>45188</v>
      </c>
      <c r="C286" s="1" t="n">
        <v>46136</v>
      </c>
      <c r="D286" t="inlineStr">
        <is>
          <t>UPPSALA LÄN</t>
        </is>
      </c>
      <c r="E286" t="inlineStr">
        <is>
          <t>ENKÖPING</t>
        </is>
      </c>
      <c r="G286" t="n">
        <v>0.3</v>
      </c>
      <c r="H286" t="n">
        <v>0</v>
      </c>
      <c r="I286" t="n">
        <v>0</v>
      </c>
      <c r="J286" t="n">
        <v>0</v>
      </c>
      <c r="K286" t="n">
        <v>0</v>
      </c>
      <c r="L286" t="n">
        <v>0</v>
      </c>
      <c r="M286" t="n">
        <v>0</v>
      </c>
      <c r="N286" t="n">
        <v>0</v>
      </c>
      <c r="O286" t="n">
        <v>0</v>
      </c>
      <c r="P286" t="n">
        <v>0</v>
      </c>
      <c r="Q286" t="n">
        <v>0</v>
      </c>
      <c r="R286" s="2" t="inlineStr"/>
    </row>
    <row r="287" ht="15" customHeight="1">
      <c r="A287" t="inlineStr">
        <is>
          <t>A 29482-2022</t>
        </is>
      </c>
      <c r="B287" s="1" t="n">
        <v>44753.57703703704</v>
      </c>
      <c r="C287" s="1" t="n">
        <v>46136</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29483-2022</t>
        </is>
      </c>
      <c r="B288" s="1" t="n">
        <v>44753.57829861111</v>
      </c>
      <c r="C288" s="1" t="n">
        <v>46136</v>
      </c>
      <c r="D288" t="inlineStr">
        <is>
          <t>UPPSALA LÄN</t>
        </is>
      </c>
      <c r="E288" t="inlineStr">
        <is>
          <t>ENKÖPING</t>
        </is>
      </c>
      <c r="G288" t="n">
        <v>3.6</v>
      </c>
      <c r="H288" t="n">
        <v>0</v>
      </c>
      <c r="I288" t="n">
        <v>0</v>
      </c>
      <c r="J288" t="n">
        <v>0</v>
      </c>
      <c r="K288" t="n">
        <v>0</v>
      </c>
      <c r="L288" t="n">
        <v>0</v>
      </c>
      <c r="M288" t="n">
        <v>0</v>
      </c>
      <c r="N288" t="n">
        <v>0</v>
      </c>
      <c r="O288" t="n">
        <v>0</v>
      </c>
      <c r="P288" t="n">
        <v>0</v>
      </c>
      <c r="Q288" t="n">
        <v>0</v>
      </c>
      <c r="R288" s="2" t="inlineStr"/>
    </row>
    <row r="289" ht="15" customHeight="1">
      <c r="A289" t="inlineStr">
        <is>
          <t>A 37170-2021</t>
        </is>
      </c>
      <c r="B289" s="1" t="n">
        <v>44395</v>
      </c>
      <c r="C289" s="1" t="n">
        <v>46136</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7167-2026</t>
        </is>
      </c>
      <c r="B290" s="1" t="n">
        <v>46058.45677083333</v>
      </c>
      <c r="C290" s="1" t="n">
        <v>46136</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7168-2026</t>
        </is>
      </c>
      <c r="B291" s="1" t="n">
        <v>46058.45831018518</v>
      </c>
      <c r="C291" s="1" t="n">
        <v>46136</v>
      </c>
      <c r="D291" t="inlineStr">
        <is>
          <t>UPPSALA LÄN</t>
        </is>
      </c>
      <c r="E291" t="inlineStr">
        <is>
          <t>ENKÖPING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7172-2026</t>
        </is>
      </c>
      <c r="B292" s="1" t="n">
        <v>46058.46113425926</v>
      </c>
      <c r="C292" s="1" t="n">
        <v>46136</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53496-2022</t>
        </is>
      </c>
      <c r="B293" s="1" t="n">
        <v>44879.57217592592</v>
      </c>
      <c r="C293" s="1" t="n">
        <v>46136</v>
      </c>
      <c r="D293" t="inlineStr">
        <is>
          <t>UPPSALA LÄN</t>
        </is>
      </c>
      <c r="E293" t="inlineStr">
        <is>
          <t>ENKÖPING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12997-2026</t>
        </is>
      </c>
      <c r="B294" s="1" t="n">
        <v>46092.6834375</v>
      </c>
      <c r="C294" s="1" t="n">
        <v>46136</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5953-2026</t>
        </is>
      </c>
      <c r="B295" s="1" t="n">
        <v>46052.49119212963</v>
      </c>
      <c r="C295" s="1" t="n">
        <v>46136</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7870-2024</t>
        </is>
      </c>
      <c r="B296" s="1" t="n">
        <v>45350.33349537037</v>
      </c>
      <c r="C296" s="1" t="n">
        <v>46136</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28243-2023</t>
        </is>
      </c>
      <c r="B297" s="1" t="n">
        <v>45099.58885416666</v>
      </c>
      <c r="C297" s="1" t="n">
        <v>46136</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45755-2025</t>
        </is>
      </c>
      <c r="B298" s="1" t="n">
        <v>45923.50240740741</v>
      </c>
      <c r="C298" s="1" t="n">
        <v>46136</v>
      </c>
      <c r="D298" t="inlineStr">
        <is>
          <t>UPPSALA LÄN</t>
        </is>
      </c>
      <c r="E298" t="inlineStr">
        <is>
          <t>ENKÖPING</t>
        </is>
      </c>
      <c r="G298" t="n">
        <v>2.2</v>
      </c>
      <c r="H298" t="n">
        <v>0</v>
      </c>
      <c r="I298" t="n">
        <v>0</v>
      </c>
      <c r="J298" t="n">
        <v>0</v>
      </c>
      <c r="K298" t="n">
        <v>0</v>
      </c>
      <c r="L298" t="n">
        <v>0</v>
      </c>
      <c r="M298" t="n">
        <v>0</v>
      </c>
      <c r="N298" t="n">
        <v>0</v>
      </c>
      <c r="O298" t="n">
        <v>0</v>
      </c>
      <c r="P298" t="n">
        <v>0</v>
      </c>
      <c r="Q298" t="n">
        <v>0</v>
      </c>
      <c r="R298" s="2" t="inlineStr"/>
    </row>
    <row r="299" ht="15" customHeight="1">
      <c r="A299" t="inlineStr">
        <is>
          <t>A 10829-2024</t>
        </is>
      </c>
      <c r="B299" s="1" t="n">
        <v>45369</v>
      </c>
      <c r="C299" s="1" t="n">
        <v>46136</v>
      </c>
      <c r="D299" t="inlineStr">
        <is>
          <t>UPPSALA LÄN</t>
        </is>
      </c>
      <c r="E299" t="inlineStr">
        <is>
          <t>ENKÖPING</t>
        </is>
      </c>
      <c r="G299" t="n">
        <v>2.1</v>
      </c>
      <c r="H299" t="n">
        <v>0</v>
      </c>
      <c r="I299" t="n">
        <v>0</v>
      </c>
      <c r="J299" t="n">
        <v>0</v>
      </c>
      <c r="K299" t="n">
        <v>0</v>
      </c>
      <c r="L299" t="n">
        <v>0</v>
      </c>
      <c r="M299" t="n">
        <v>0</v>
      </c>
      <c r="N299" t="n">
        <v>0</v>
      </c>
      <c r="O299" t="n">
        <v>0</v>
      </c>
      <c r="P299" t="n">
        <v>0</v>
      </c>
      <c r="Q299" t="n">
        <v>0</v>
      </c>
      <c r="R299" s="2" t="inlineStr"/>
    </row>
    <row r="300" ht="15" customHeight="1">
      <c r="A300" t="inlineStr">
        <is>
          <t>A 46590-2025</t>
        </is>
      </c>
      <c r="B300" s="1" t="n">
        <v>45926.39542824074</v>
      </c>
      <c r="C300" s="1" t="n">
        <v>46136</v>
      </c>
      <c r="D300" t="inlineStr">
        <is>
          <t>UPPSALA LÄN</t>
        </is>
      </c>
      <c r="E300" t="inlineStr">
        <is>
          <t>ENKÖPING</t>
        </is>
      </c>
      <c r="G300" t="n">
        <v>2.7</v>
      </c>
      <c r="H300" t="n">
        <v>0</v>
      </c>
      <c r="I300" t="n">
        <v>0</v>
      </c>
      <c r="J300" t="n">
        <v>0</v>
      </c>
      <c r="K300" t="n">
        <v>0</v>
      </c>
      <c r="L300" t="n">
        <v>0</v>
      </c>
      <c r="M300" t="n">
        <v>0</v>
      </c>
      <c r="N300" t="n">
        <v>0</v>
      </c>
      <c r="O300" t="n">
        <v>0</v>
      </c>
      <c r="P300" t="n">
        <v>0</v>
      </c>
      <c r="Q300" t="n">
        <v>0</v>
      </c>
      <c r="R300" s="2" t="inlineStr"/>
    </row>
    <row r="301" ht="15" customHeight="1">
      <c r="A301" t="inlineStr">
        <is>
          <t>A 12996-2026</t>
        </is>
      </c>
      <c r="B301" s="1" t="n">
        <v>46092.68149305556</v>
      </c>
      <c r="C301" s="1" t="n">
        <v>46136</v>
      </c>
      <c r="D301" t="inlineStr">
        <is>
          <t>UPPSALA LÄN</t>
        </is>
      </c>
      <c r="E301" t="inlineStr">
        <is>
          <t>ENKÖPING</t>
        </is>
      </c>
      <c r="G301" t="n">
        <v>2</v>
      </c>
      <c r="H301" t="n">
        <v>0</v>
      </c>
      <c r="I301" t="n">
        <v>0</v>
      </c>
      <c r="J301" t="n">
        <v>0</v>
      </c>
      <c r="K301" t="n">
        <v>0</v>
      </c>
      <c r="L301" t="n">
        <v>0</v>
      </c>
      <c r="M301" t="n">
        <v>0</v>
      </c>
      <c r="N301" t="n">
        <v>0</v>
      </c>
      <c r="O301" t="n">
        <v>0</v>
      </c>
      <c r="P301" t="n">
        <v>0</v>
      </c>
      <c r="Q301" t="n">
        <v>0</v>
      </c>
      <c r="R301" s="2" t="inlineStr"/>
    </row>
    <row r="302" ht="15" customHeight="1">
      <c r="A302" t="inlineStr">
        <is>
          <t>A 2161-2023</t>
        </is>
      </c>
      <c r="B302" s="1" t="n">
        <v>44941</v>
      </c>
      <c r="C302" s="1" t="n">
        <v>46136</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2165-2023</t>
        </is>
      </c>
      <c r="B303" s="1" t="n">
        <v>44941</v>
      </c>
      <c r="C303" s="1" t="n">
        <v>46136</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34989-2025</t>
        </is>
      </c>
      <c r="B304" s="1" t="n">
        <v>45849</v>
      </c>
      <c r="C304" s="1" t="n">
        <v>46136</v>
      </c>
      <c r="D304" t="inlineStr">
        <is>
          <t>UPPSALA LÄN</t>
        </is>
      </c>
      <c r="E304" t="inlineStr">
        <is>
          <t>ENKÖPING</t>
        </is>
      </c>
      <c r="G304" t="n">
        <v>2.4</v>
      </c>
      <c r="H304" t="n">
        <v>0</v>
      </c>
      <c r="I304" t="n">
        <v>0</v>
      </c>
      <c r="J304" t="n">
        <v>0</v>
      </c>
      <c r="K304" t="n">
        <v>0</v>
      </c>
      <c r="L304" t="n">
        <v>0</v>
      </c>
      <c r="M304" t="n">
        <v>0</v>
      </c>
      <c r="N304" t="n">
        <v>0</v>
      </c>
      <c r="O304" t="n">
        <v>0</v>
      </c>
      <c r="P304" t="n">
        <v>0</v>
      </c>
      <c r="Q304" t="n">
        <v>0</v>
      </c>
      <c r="R304" s="2" t="inlineStr"/>
    </row>
    <row r="305" ht="15" customHeight="1">
      <c r="A305" t="inlineStr">
        <is>
          <t>A 34990-2025</t>
        </is>
      </c>
      <c r="B305" s="1" t="n">
        <v>45849.78916666667</v>
      </c>
      <c r="C305" s="1" t="n">
        <v>46136</v>
      </c>
      <c r="D305" t="inlineStr">
        <is>
          <t>UPPSALA LÄN</t>
        </is>
      </c>
      <c r="E305" t="inlineStr">
        <is>
          <t>ENKÖPING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47441-2025</t>
        </is>
      </c>
      <c r="B306" s="1" t="n">
        <v>45930.63986111111</v>
      </c>
      <c r="C306" s="1" t="n">
        <v>46136</v>
      </c>
      <c r="D306" t="inlineStr">
        <is>
          <t>UPPSALA LÄN</t>
        </is>
      </c>
      <c r="E306" t="inlineStr">
        <is>
          <t>ENKÖPING</t>
        </is>
      </c>
      <c r="F306" t="inlineStr">
        <is>
          <t>Allmännings- och besparingsskogar</t>
        </is>
      </c>
      <c r="G306" t="n">
        <v>11.5</v>
      </c>
      <c r="H306" t="n">
        <v>0</v>
      </c>
      <c r="I306" t="n">
        <v>0</v>
      </c>
      <c r="J306" t="n">
        <v>0</v>
      </c>
      <c r="K306" t="n">
        <v>0</v>
      </c>
      <c r="L306" t="n">
        <v>0</v>
      </c>
      <c r="M306" t="n">
        <v>0</v>
      </c>
      <c r="N306" t="n">
        <v>0</v>
      </c>
      <c r="O306" t="n">
        <v>0</v>
      </c>
      <c r="P306" t="n">
        <v>0</v>
      </c>
      <c r="Q306" t="n">
        <v>0</v>
      </c>
      <c r="R306" s="2" t="inlineStr"/>
    </row>
    <row r="307" ht="15" customHeight="1">
      <c r="A307" t="inlineStr">
        <is>
          <t>A 46940-2025</t>
        </is>
      </c>
      <c r="B307" s="1" t="n">
        <v>45929.45483796296</v>
      </c>
      <c r="C307" s="1" t="n">
        <v>46136</v>
      </c>
      <c r="D307" t="inlineStr">
        <is>
          <t>UPPSALA LÄN</t>
        </is>
      </c>
      <c r="E307" t="inlineStr">
        <is>
          <t>ENKÖPING</t>
        </is>
      </c>
      <c r="G307" t="n">
        <v>5.3</v>
      </c>
      <c r="H307" t="n">
        <v>0</v>
      </c>
      <c r="I307" t="n">
        <v>0</v>
      </c>
      <c r="J307" t="n">
        <v>0</v>
      </c>
      <c r="K307" t="n">
        <v>0</v>
      </c>
      <c r="L307" t="n">
        <v>0</v>
      </c>
      <c r="M307" t="n">
        <v>0</v>
      </c>
      <c r="N307" t="n">
        <v>0</v>
      </c>
      <c r="O307" t="n">
        <v>0</v>
      </c>
      <c r="P307" t="n">
        <v>0</v>
      </c>
      <c r="Q307" t="n">
        <v>0</v>
      </c>
      <c r="R307" s="2" t="inlineStr"/>
    </row>
    <row r="308" ht="15" customHeight="1">
      <c r="A308" t="inlineStr">
        <is>
          <t>A 48423-2025</t>
        </is>
      </c>
      <c r="B308" s="1" t="n">
        <v>45934.68024305555</v>
      </c>
      <c r="C308" s="1" t="n">
        <v>46136</v>
      </c>
      <c r="D308" t="inlineStr">
        <is>
          <t>UPPSALA LÄN</t>
        </is>
      </c>
      <c r="E308" t="inlineStr">
        <is>
          <t>ENKÖPING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48424-2025</t>
        </is>
      </c>
      <c r="B309" s="1" t="n">
        <v>45934.69131944444</v>
      </c>
      <c r="C309" s="1" t="n">
        <v>46136</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13853-2023</t>
        </is>
      </c>
      <c r="B310" s="1" t="n">
        <v>45007</v>
      </c>
      <c r="C310" s="1" t="n">
        <v>46136</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48678-2025</t>
        </is>
      </c>
      <c r="B311" s="1" t="n">
        <v>45936.59168981481</v>
      </c>
      <c r="C311" s="1" t="n">
        <v>46136</v>
      </c>
      <c r="D311" t="inlineStr">
        <is>
          <t>UPPSALA LÄN</t>
        </is>
      </c>
      <c r="E311" t="inlineStr">
        <is>
          <t>ENKÖPING</t>
        </is>
      </c>
      <c r="G311" t="n">
        <v>1.6</v>
      </c>
      <c r="H311" t="n">
        <v>0</v>
      </c>
      <c r="I311" t="n">
        <v>0</v>
      </c>
      <c r="J311" t="n">
        <v>0</v>
      </c>
      <c r="K311" t="n">
        <v>0</v>
      </c>
      <c r="L311" t="n">
        <v>0</v>
      </c>
      <c r="M311" t="n">
        <v>0</v>
      </c>
      <c r="N311" t="n">
        <v>0</v>
      </c>
      <c r="O311" t="n">
        <v>0</v>
      </c>
      <c r="P311" t="n">
        <v>0</v>
      </c>
      <c r="Q311" t="n">
        <v>0</v>
      </c>
      <c r="R311" s="2" t="inlineStr"/>
    </row>
    <row r="312" ht="15" customHeight="1">
      <c r="A312" t="inlineStr">
        <is>
          <t>A 49068-2025</t>
        </is>
      </c>
      <c r="B312" s="1" t="n">
        <v>45937.64766203704</v>
      </c>
      <c r="C312" s="1" t="n">
        <v>46136</v>
      </c>
      <c r="D312" t="inlineStr">
        <is>
          <t>UPPSALA LÄN</t>
        </is>
      </c>
      <c r="E312" t="inlineStr">
        <is>
          <t>ENKÖPING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39439-2025</t>
        </is>
      </c>
      <c r="B313" s="1" t="n">
        <v>45889</v>
      </c>
      <c r="C313" s="1" t="n">
        <v>46136</v>
      </c>
      <c r="D313" t="inlineStr">
        <is>
          <t>UPPSALA LÄN</t>
        </is>
      </c>
      <c r="E313" t="inlineStr">
        <is>
          <t>ENKÖPING</t>
        </is>
      </c>
      <c r="G313" t="n">
        <v>0.4</v>
      </c>
      <c r="H313" t="n">
        <v>0</v>
      </c>
      <c r="I313" t="n">
        <v>0</v>
      </c>
      <c r="J313" t="n">
        <v>0</v>
      </c>
      <c r="K313" t="n">
        <v>0</v>
      </c>
      <c r="L313" t="n">
        <v>0</v>
      </c>
      <c r="M313" t="n">
        <v>0</v>
      </c>
      <c r="N313" t="n">
        <v>0</v>
      </c>
      <c r="O313" t="n">
        <v>0</v>
      </c>
      <c r="P313" t="n">
        <v>0</v>
      </c>
      <c r="Q313" t="n">
        <v>0</v>
      </c>
      <c r="R313" s="2" t="inlineStr"/>
    </row>
    <row r="314" ht="15" customHeight="1">
      <c r="A314" t="inlineStr">
        <is>
          <t>A 63310-2021</t>
        </is>
      </c>
      <c r="B314" s="1" t="n">
        <v>44508</v>
      </c>
      <c r="C314" s="1" t="n">
        <v>46136</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43103-2025</t>
        </is>
      </c>
      <c r="B315" s="1" t="n">
        <v>45909</v>
      </c>
      <c r="C315" s="1" t="n">
        <v>46136</v>
      </c>
      <c r="D315" t="inlineStr">
        <is>
          <t>UPPSALA LÄN</t>
        </is>
      </c>
      <c r="E315" t="inlineStr">
        <is>
          <t>ENKÖPING</t>
        </is>
      </c>
      <c r="G315" t="n">
        <v>2.3</v>
      </c>
      <c r="H315" t="n">
        <v>0</v>
      </c>
      <c r="I315" t="n">
        <v>0</v>
      </c>
      <c r="J315" t="n">
        <v>0</v>
      </c>
      <c r="K315" t="n">
        <v>0</v>
      </c>
      <c r="L315" t="n">
        <v>0</v>
      </c>
      <c r="M315" t="n">
        <v>0</v>
      </c>
      <c r="N315" t="n">
        <v>0</v>
      </c>
      <c r="O315" t="n">
        <v>0</v>
      </c>
      <c r="P315" t="n">
        <v>0</v>
      </c>
      <c r="Q315" t="n">
        <v>0</v>
      </c>
      <c r="R315" s="2" t="inlineStr"/>
    </row>
    <row r="316" ht="15" customHeight="1">
      <c r="A316" t="inlineStr">
        <is>
          <t>A 61106-2022</t>
        </is>
      </c>
      <c r="B316" s="1" t="n">
        <v>44915.4128587963</v>
      </c>
      <c r="C316" s="1" t="n">
        <v>46136</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9171-2024</t>
        </is>
      </c>
      <c r="B317" s="1" t="n">
        <v>45358</v>
      </c>
      <c r="C317" s="1" t="n">
        <v>46136</v>
      </c>
      <c r="D317" t="inlineStr">
        <is>
          <t>UPPSALA LÄN</t>
        </is>
      </c>
      <c r="E317" t="inlineStr">
        <is>
          <t>ENKÖPING</t>
        </is>
      </c>
      <c r="G317" t="n">
        <v>1.8</v>
      </c>
      <c r="H317" t="n">
        <v>0</v>
      </c>
      <c r="I317" t="n">
        <v>0</v>
      </c>
      <c r="J317" t="n">
        <v>0</v>
      </c>
      <c r="K317" t="n">
        <v>0</v>
      </c>
      <c r="L317" t="n">
        <v>0</v>
      </c>
      <c r="M317" t="n">
        <v>0</v>
      </c>
      <c r="N317" t="n">
        <v>0</v>
      </c>
      <c r="O317" t="n">
        <v>0</v>
      </c>
      <c r="P317" t="n">
        <v>0</v>
      </c>
      <c r="Q317" t="n">
        <v>0</v>
      </c>
      <c r="R317" s="2" t="inlineStr"/>
    </row>
    <row r="318" ht="15" customHeight="1">
      <c r="A318" t="inlineStr">
        <is>
          <t>A 671-2022</t>
        </is>
      </c>
      <c r="B318" s="1" t="n">
        <v>44568</v>
      </c>
      <c r="C318" s="1" t="n">
        <v>46136</v>
      </c>
      <c r="D318" t="inlineStr">
        <is>
          <t>UPPSALA LÄN</t>
        </is>
      </c>
      <c r="E318" t="inlineStr">
        <is>
          <t>ENKÖPING</t>
        </is>
      </c>
      <c r="G318" t="n">
        <v>3.5</v>
      </c>
      <c r="H318" t="n">
        <v>0</v>
      </c>
      <c r="I318" t="n">
        <v>0</v>
      </c>
      <c r="J318" t="n">
        <v>0</v>
      </c>
      <c r="K318" t="n">
        <v>0</v>
      </c>
      <c r="L318" t="n">
        <v>0</v>
      </c>
      <c r="M318" t="n">
        <v>0</v>
      </c>
      <c r="N318" t="n">
        <v>0</v>
      </c>
      <c r="O318" t="n">
        <v>0</v>
      </c>
      <c r="P318" t="n">
        <v>0</v>
      </c>
      <c r="Q318" t="n">
        <v>0</v>
      </c>
      <c r="R318" s="2" t="inlineStr"/>
    </row>
    <row r="319" ht="15" customHeight="1">
      <c r="A319" t="inlineStr">
        <is>
          <t>A 49073-2025</t>
        </is>
      </c>
      <c r="B319" s="1" t="n">
        <v>45937.65512731481</v>
      </c>
      <c r="C319" s="1" t="n">
        <v>46136</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11005-2023</t>
        </is>
      </c>
      <c r="B320" s="1" t="n">
        <v>44991</v>
      </c>
      <c r="C320" s="1" t="n">
        <v>46136</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29918-2023</t>
        </is>
      </c>
      <c r="B321" s="1" t="n">
        <v>45099</v>
      </c>
      <c r="C321" s="1" t="n">
        <v>46136</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58384-2022</t>
        </is>
      </c>
      <c r="B322" s="1" t="n">
        <v>44901</v>
      </c>
      <c r="C322" s="1" t="n">
        <v>46136</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43016-2021</t>
        </is>
      </c>
      <c r="B323" s="1" t="n">
        <v>44431</v>
      </c>
      <c r="C323" s="1" t="n">
        <v>46136</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15893-2024</t>
        </is>
      </c>
      <c r="B324" s="1" t="n">
        <v>45405</v>
      </c>
      <c r="C324" s="1" t="n">
        <v>46136</v>
      </c>
      <c r="D324" t="inlineStr">
        <is>
          <t>UPPSALA LÄN</t>
        </is>
      </c>
      <c r="E324" t="inlineStr">
        <is>
          <t>ENKÖPING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33343-2024</t>
        </is>
      </c>
      <c r="B325" s="1" t="n">
        <v>45519</v>
      </c>
      <c r="C325" s="1" t="n">
        <v>46136</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57142-2021</t>
        </is>
      </c>
      <c r="B326" s="1" t="n">
        <v>44482</v>
      </c>
      <c r="C326" s="1" t="n">
        <v>46136</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57153-2021</t>
        </is>
      </c>
      <c r="B327" s="1" t="n">
        <v>44482</v>
      </c>
      <c r="C327" s="1" t="n">
        <v>46136</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5188-2022</t>
        </is>
      </c>
      <c r="B328" s="1" t="n">
        <v>44594.4471412037</v>
      </c>
      <c r="C328" s="1" t="n">
        <v>46136</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19014-2025</t>
        </is>
      </c>
      <c r="B329" s="1" t="n">
        <v>45764.59631944444</v>
      </c>
      <c r="C329" s="1" t="n">
        <v>46136</v>
      </c>
      <c r="D329" t="inlineStr">
        <is>
          <t>UPPSALA LÄN</t>
        </is>
      </c>
      <c r="E329" t="inlineStr">
        <is>
          <t>ENKÖPING</t>
        </is>
      </c>
      <c r="G329" t="n">
        <v>0.2</v>
      </c>
      <c r="H329" t="n">
        <v>0</v>
      </c>
      <c r="I329" t="n">
        <v>0</v>
      </c>
      <c r="J329" t="n">
        <v>0</v>
      </c>
      <c r="K329" t="n">
        <v>0</v>
      </c>
      <c r="L329" t="n">
        <v>0</v>
      </c>
      <c r="M329" t="n">
        <v>0</v>
      </c>
      <c r="N329" t="n">
        <v>0</v>
      </c>
      <c r="O329" t="n">
        <v>0</v>
      </c>
      <c r="P329" t="n">
        <v>0</v>
      </c>
      <c r="Q329" t="n">
        <v>0</v>
      </c>
      <c r="R329" s="2" t="inlineStr"/>
    </row>
    <row r="330" ht="15" customHeight="1">
      <c r="A330" t="inlineStr">
        <is>
          <t>A 43691-2024</t>
        </is>
      </c>
      <c r="B330" s="1" t="n">
        <v>45569</v>
      </c>
      <c r="C330" s="1" t="n">
        <v>46136</v>
      </c>
      <c r="D330" t="inlineStr">
        <is>
          <t>UPPSALA LÄN</t>
        </is>
      </c>
      <c r="E330" t="inlineStr">
        <is>
          <t>ENKÖPING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51162-2025</t>
        </is>
      </c>
      <c r="B331" s="1" t="n">
        <v>45947.58820601852</v>
      </c>
      <c r="C331" s="1" t="n">
        <v>46136</v>
      </c>
      <c r="D331" t="inlineStr">
        <is>
          <t>UPPSALA LÄN</t>
        </is>
      </c>
      <c r="E331" t="inlineStr">
        <is>
          <t>ENKÖPING</t>
        </is>
      </c>
      <c r="G331" t="n">
        <v>3.4</v>
      </c>
      <c r="H331" t="n">
        <v>0</v>
      </c>
      <c r="I331" t="n">
        <v>0</v>
      </c>
      <c r="J331" t="n">
        <v>0</v>
      </c>
      <c r="K331" t="n">
        <v>0</v>
      </c>
      <c r="L331" t="n">
        <v>0</v>
      </c>
      <c r="M331" t="n">
        <v>0</v>
      </c>
      <c r="N331" t="n">
        <v>0</v>
      </c>
      <c r="O331" t="n">
        <v>0</v>
      </c>
      <c r="P331" t="n">
        <v>0</v>
      </c>
      <c r="Q331" t="n">
        <v>0</v>
      </c>
      <c r="R331" s="2" t="inlineStr"/>
    </row>
    <row r="332" ht="15" customHeight="1">
      <c r="A332" t="inlineStr">
        <is>
          <t>A 19376-2024</t>
        </is>
      </c>
      <c r="B332" s="1" t="n">
        <v>45429</v>
      </c>
      <c r="C332" s="1" t="n">
        <v>46136</v>
      </c>
      <c r="D332" t="inlineStr">
        <is>
          <t>UPPSALA LÄN</t>
        </is>
      </c>
      <c r="E332" t="inlineStr">
        <is>
          <t>ENKÖPING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51133-2025</t>
        </is>
      </c>
      <c r="B333" s="1" t="n">
        <v>45947.55598379629</v>
      </c>
      <c r="C333" s="1" t="n">
        <v>46136</v>
      </c>
      <c r="D333" t="inlineStr">
        <is>
          <t>UPPSALA LÄN</t>
        </is>
      </c>
      <c r="E333" t="inlineStr">
        <is>
          <t>ENKÖPING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33670-2024</t>
        </is>
      </c>
      <c r="B334" s="1" t="n">
        <v>45520</v>
      </c>
      <c r="C334" s="1" t="n">
        <v>46136</v>
      </c>
      <c r="D334" t="inlineStr">
        <is>
          <t>UPPSALA LÄN</t>
        </is>
      </c>
      <c r="E334" t="inlineStr">
        <is>
          <t>ENKÖPING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19147-2024</t>
        </is>
      </c>
      <c r="B335" s="1" t="n">
        <v>45428</v>
      </c>
      <c r="C335" s="1" t="n">
        <v>46136</v>
      </c>
      <c r="D335" t="inlineStr">
        <is>
          <t>UPPSALA LÄN</t>
        </is>
      </c>
      <c r="E335" t="inlineStr">
        <is>
          <t>ENKÖPING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67982-2021</t>
        </is>
      </c>
      <c r="B336" s="1" t="n">
        <v>44525</v>
      </c>
      <c r="C336" s="1" t="n">
        <v>46136</v>
      </c>
      <c r="D336" t="inlineStr">
        <is>
          <t>UPPSALA LÄN</t>
        </is>
      </c>
      <c r="E336" t="inlineStr">
        <is>
          <t>ENKÖPING</t>
        </is>
      </c>
      <c r="G336" t="n">
        <v>1.7</v>
      </c>
      <c r="H336" t="n">
        <v>0</v>
      </c>
      <c r="I336" t="n">
        <v>0</v>
      </c>
      <c r="J336" t="n">
        <v>0</v>
      </c>
      <c r="K336" t="n">
        <v>0</v>
      </c>
      <c r="L336" t="n">
        <v>0</v>
      </c>
      <c r="M336" t="n">
        <v>0</v>
      </c>
      <c r="N336" t="n">
        <v>0</v>
      </c>
      <c r="O336" t="n">
        <v>0</v>
      </c>
      <c r="P336" t="n">
        <v>0</v>
      </c>
      <c r="Q336" t="n">
        <v>0</v>
      </c>
      <c r="R336" s="2" t="inlineStr"/>
    </row>
    <row r="337" ht="15" customHeight="1">
      <c r="A337" t="inlineStr">
        <is>
          <t>A 26017-2025</t>
        </is>
      </c>
      <c r="B337" s="1" t="n">
        <v>45804</v>
      </c>
      <c r="C337" s="1" t="n">
        <v>46136</v>
      </c>
      <c r="D337" t="inlineStr">
        <is>
          <t>UPPSALA LÄN</t>
        </is>
      </c>
      <c r="E337" t="inlineStr">
        <is>
          <t>ENKÖPING</t>
        </is>
      </c>
      <c r="G337" t="n">
        <v>0.4</v>
      </c>
      <c r="H337" t="n">
        <v>0</v>
      </c>
      <c r="I337" t="n">
        <v>0</v>
      </c>
      <c r="J337" t="n">
        <v>0</v>
      </c>
      <c r="K337" t="n">
        <v>0</v>
      </c>
      <c r="L337" t="n">
        <v>0</v>
      </c>
      <c r="M337" t="n">
        <v>0</v>
      </c>
      <c r="N337" t="n">
        <v>0</v>
      </c>
      <c r="O337" t="n">
        <v>0</v>
      </c>
      <c r="P337" t="n">
        <v>0</v>
      </c>
      <c r="Q337" t="n">
        <v>0</v>
      </c>
      <c r="R337" s="2" t="inlineStr"/>
    </row>
    <row r="338" ht="15" customHeight="1">
      <c r="A338" t="inlineStr">
        <is>
          <t>A 57835-2024</t>
        </is>
      </c>
      <c r="B338" s="1" t="n">
        <v>45631.39947916667</v>
      </c>
      <c r="C338" s="1" t="n">
        <v>46136</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21612-2023</t>
        </is>
      </c>
      <c r="B339" s="1" t="n">
        <v>45063</v>
      </c>
      <c r="C339" s="1" t="n">
        <v>46136</v>
      </c>
      <c r="D339" t="inlineStr">
        <is>
          <t>UPPSALA LÄN</t>
        </is>
      </c>
      <c r="E339" t="inlineStr">
        <is>
          <t>ENKÖPING</t>
        </is>
      </c>
      <c r="F339" t="inlineStr">
        <is>
          <t>Allmännings- och besparingsskogar</t>
        </is>
      </c>
      <c r="G339" t="n">
        <v>1</v>
      </c>
      <c r="H339" t="n">
        <v>0</v>
      </c>
      <c r="I339" t="n">
        <v>0</v>
      </c>
      <c r="J339" t="n">
        <v>0</v>
      </c>
      <c r="K339" t="n">
        <v>0</v>
      </c>
      <c r="L339" t="n">
        <v>0</v>
      </c>
      <c r="M339" t="n">
        <v>0</v>
      </c>
      <c r="N339" t="n">
        <v>0</v>
      </c>
      <c r="O339" t="n">
        <v>0</v>
      </c>
      <c r="P339" t="n">
        <v>0</v>
      </c>
      <c r="Q339" t="n">
        <v>0</v>
      </c>
      <c r="R339" s="2" t="inlineStr"/>
    </row>
    <row r="340" ht="15" customHeight="1">
      <c r="A340" t="inlineStr">
        <is>
          <t>A 39624-2023</t>
        </is>
      </c>
      <c r="B340" s="1" t="n">
        <v>45164</v>
      </c>
      <c r="C340" s="1" t="n">
        <v>46136</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5892-2023</t>
        </is>
      </c>
      <c r="B341" s="1" t="n">
        <v>44963.64883101852</v>
      </c>
      <c r="C341" s="1" t="n">
        <v>46136</v>
      </c>
      <c r="D341" t="inlineStr">
        <is>
          <t>UPPSALA LÄN</t>
        </is>
      </c>
      <c r="E341" t="inlineStr">
        <is>
          <t>ENKÖPING</t>
        </is>
      </c>
      <c r="G341" t="n">
        <v>5.5</v>
      </c>
      <c r="H341" t="n">
        <v>0</v>
      </c>
      <c r="I341" t="n">
        <v>0</v>
      </c>
      <c r="J341" t="n">
        <v>0</v>
      </c>
      <c r="K341" t="n">
        <v>0</v>
      </c>
      <c r="L341" t="n">
        <v>0</v>
      </c>
      <c r="M341" t="n">
        <v>0</v>
      </c>
      <c r="N341" t="n">
        <v>0</v>
      </c>
      <c r="O341" t="n">
        <v>0</v>
      </c>
      <c r="P341" t="n">
        <v>0</v>
      </c>
      <c r="Q341" t="n">
        <v>0</v>
      </c>
      <c r="R341" s="2" t="inlineStr"/>
    </row>
    <row r="342" ht="15" customHeight="1">
      <c r="A342" t="inlineStr">
        <is>
          <t>A 39858-2024</t>
        </is>
      </c>
      <c r="B342" s="1" t="n">
        <v>45553</v>
      </c>
      <c r="C342" s="1" t="n">
        <v>46136</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26011-2025</t>
        </is>
      </c>
      <c r="B343" s="1" t="n">
        <v>45804.67412037037</v>
      </c>
      <c r="C343" s="1" t="n">
        <v>46136</v>
      </c>
      <c r="D343" t="inlineStr">
        <is>
          <t>UPPSALA LÄN</t>
        </is>
      </c>
      <c r="E343" t="inlineStr">
        <is>
          <t>ENKÖPING</t>
        </is>
      </c>
      <c r="G343" t="n">
        <v>1.3</v>
      </c>
      <c r="H343" t="n">
        <v>0</v>
      </c>
      <c r="I343" t="n">
        <v>0</v>
      </c>
      <c r="J343" t="n">
        <v>0</v>
      </c>
      <c r="K343" t="n">
        <v>0</v>
      </c>
      <c r="L343" t="n">
        <v>0</v>
      </c>
      <c r="M343" t="n">
        <v>0</v>
      </c>
      <c r="N343" t="n">
        <v>0</v>
      </c>
      <c r="O343" t="n">
        <v>0</v>
      </c>
      <c r="P343" t="n">
        <v>0</v>
      </c>
      <c r="Q343" t="n">
        <v>0</v>
      </c>
      <c r="R343" s="2" t="inlineStr"/>
    </row>
    <row r="344" ht="15" customHeight="1">
      <c r="A344" t="inlineStr">
        <is>
          <t>A 9957-2023</t>
        </is>
      </c>
      <c r="B344" s="1" t="n">
        <v>44978</v>
      </c>
      <c r="C344" s="1" t="n">
        <v>46136</v>
      </c>
      <c r="D344" t="inlineStr">
        <is>
          <t>UPPSALA LÄN</t>
        </is>
      </c>
      <c r="E344" t="inlineStr">
        <is>
          <t>ENKÖPING</t>
        </is>
      </c>
      <c r="G344" t="n">
        <v>5.9</v>
      </c>
      <c r="H344" t="n">
        <v>0</v>
      </c>
      <c r="I344" t="n">
        <v>0</v>
      </c>
      <c r="J344" t="n">
        <v>0</v>
      </c>
      <c r="K344" t="n">
        <v>0</v>
      </c>
      <c r="L344" t="n">
        <v>0</v>
      </c>
      <c r="M344" t="n">
        <v>0</v>
      </c>
      <c r="N344" t="n">
        <v>0</v>
      </c>
      <c r="O344" t="n">
        <v>0</v>
      </c>
      <c r="P344" t="n">
        <v>0</v>
      </c>
      <c r="Q344" t="n">
        <v>0</v>
      </c>
      <c r="R344" s="2" t="inlineStr"/>
    </row>
    <row r="345" ht="15" customHeight="1">
      <c r="A345" t="inlineStr">
        <is>
          <t>A 8152-2022</t>
        </is>
      </c>
      <c r="B345" s="1" t="n">
        <v>44609</v>
      </c>
      <c r="C345" s="1" t="n">
        <v>46136</v>
      </c>
      <c r="D345" t="inlineStr">
        <is>
          <t>UPPSALA LÄN</t>
        </is>
      </c>
      <c r="E345" t="inlineStr">
        <is>
          <t>ENKÖPING</t>
        </is>
      </c>
      <c r="F345" t="inlineStr">
        <is>
          <t>Kyrkan</t>
        </is>
      </c>
      <c r="G345" t="n">
        <v>1.3</v>
      </c>
      <c r="H345" t="n">
        <v>0</v>
      </c>
      <c r="I345" t="n">
        <v>0</v>
      </c>
      <c r="J345" t="n">
        <v>0</v>
      </c>
      <c r="K345" t="n">
        <v>0</v>
      </c>
      <c r="L345" t="n">
        <v>0</v>
      </c>
      <c r="M345" t="n">
        <v>0</v>
      </c>
      <c r="N345" t="n">
        <v>0</v>
      </c>
      <c r="O345" t="n">
        <v>0</v>
      </c>
      <c r="P345" t="n">
        <v>0</v>
      </c>
      <c r="Q345" t="n">
        <v>0</v>
      </c>
      <c r="R345" s="2" t="inlineStr"/>
    </row>
    <row r="346" ht="15" customHeight="1">
      <c r="A346" t="inlineStr">
        <is>
          <t>A 54263-2025</t>
        </is>
      </c>
      <c r="B346" s="1" t="n">
        <v>45964.66271990741</v>
      </c>
      <c r="C346" s="1" t="n">
        <v>46136</v>
      </c>
      <c r="D346" t="inlineStr">
        <is>
          <t>UPPSALA LÄN</t>
        </is>
      </c>
      <c r="E346" t="inlineStr">
        <is>
          <t>ENKÖPING</t>
        </is>
      </c>
      <c r="G346" t="n">
        <v>0.6</v>
      </c>
      <c r="H346" t="n">
        <v>0</v>
      </c>
      <c r="I346" t="n">
        <v>0</v>
      </c>
      <c r="J346" t="n">
        <v>0</v>
      </c>
      <c r="K346" t="n">
        <v>0</v>
      </c>
      <c r="L346" t="n">
        <v>0</v>
      </c>
      <c r="M346" t="n">
        <v>0</v>
      </c>
      <c r="N346" t="n">
        <v>0</v>
      </c>
      <c r="O346" t="n">
        <v>0</v>
      </c>
      <c r="P346" t="n">
        <v>0</v>
      </c>
      <c r="Q346" t="n">
        <v>0</v>
      </c>
      <c r="R346" s="2" t="inlineStr"/>
    </row>
    <row r="347" ht="15" customHeight="1">
      <c r="A347" t="inlineStr">
        <is>
          <t>A 2850-2025</t>
        </is>
      </c>
      <c r="B347" s="1" t="n">
        <v>45677</v>
      </c>
      <c r="C347" s="1" t="n">
        <v>46136</v>
      </c>
      <c r="D347" t="inlineStr">
        <is>
          <t>UPPSALA LÄN</t>
        </is>
      </c>
      <c r="E347" t="inlineStr">
        <is>
          <t>ENKÖPING</t>
        </is>
      </c>
      <c r="G347" t="n">
        <v>0.3</v>
      </c>
      <c r="H347" t="n">
        <v>0</v>
      </c>
      <c r="I347" t="n">
        <v>0</v>
      </c>
      <c r="J347" t="n">
        <v>0</v>
      </c>
      <c r="K347" t="n">
        <v>0</v>
      </c>
      <c r="L347" t="n">
        <v>0</v>
      </c>
      <c r="M347" t="n">
        <v>0</v>
      </c>
      <c r="N347" t="n">
        <v>0</v>
      </c>
      <c r="O347" t="n">
        <v>0</v>
      </c>
      <c r="P347" t="n">
        <v>0</v>
      </c>
      <c r="Q347" t="n">
        <v>0</v>
      </c>
      <c r="R347" s="2" t="inlineStr"/>
    </row>
    <row r="348" ht="15" customHeight="1">
      <c r="A348" t="inlineStr">
        <is>
          <t>A 17657-2025</t>
        </is>
      </c>
      <c r="B348" s="1" t="n">
        <v>45758.35006944444</v>
      </c>
      <c r="C348" s="1" t="n">
        <v>46136</v>
      </c>
      <c r="D348" t="inlineStr">
        <is>
          <t>UPPSALA LÄN</t>
        </is>
      </c>
      <c r="E348" t="inlineStr">
        <is>
          <t>ENKÖPING</t>
        </is>
      </c>
      <c r="G348" t="n">
        <v>3</v>
      </c>
      <c r="H348" t="n">
        <v>0</v>
      </c>
      <c r="I348" t="n">
        <v>0</v>
      </c>
      <c r="J348" t="n">
        <v>0</v>
      </c>
      <c r="K348" t="n">
        <v>0</v>
      </c>
      <c r="L348" t="n">
        <v>0</v>
      </c>
      <c r="M348" t="n">
        <v>0</v>
      </c>
      <c r="N348" t="n">
        <v>0</v>
      </c>
      <c r="O348" t="n">
        <v>0</v>
      </c>
      <c r="P348" t="n">
        <v>0</v>
      </c>
      <c r="Q348" t="n">
        <v>0</v>
      </c>
      <c r="R348" s="2" t="inlineStr"/>
    </row>
    <row r="349" ht="15" customHeight="1">
      <c r="A349" t="inlineStr">
        <is>
          <t>A 54844-2025</t>
        </is>
      </c>
      <c r="B349" s="1" t="n">
        <v>45966.69570601852</v>
      </c>
      <c r="C349" s="1" t="n">
        <v>46136</v>
      </c>
      <c r="D349" t="inlineStr">
        <is>
          <t>UPPSALA LÄN</t>
        </is>
      </c>
      <c r="E349" t="inlineStr">
        <is>
          <t>ENKÖPING</t>
        </is>
      </c>
      <c r="G349" t="n">
        <v>5.5</v>
      </c>
      <c r="H349" t="n">
        <v>0</v>
      </c>
      <c r="I349" t="n">
        <v>0</v>
      </c>
      <c r="J349" t="n">
        <v>0</v>
      </c>
      <c r="K349" t="n">
        <v>0</v>
      </c>
      <c r="L349" t="n">
        <v>0</v>
      </c>
      <c r="M349" t="n">
        <v>0</v>
      </c>
      <c r="N349" t="n">
        <v>0</v>
      </c>
      <c r="O349" t="n">
        <v>0</v>
      </c>
      <c r="P349" t="n">
        <v>0</v>
      </c>
      <c r="Q349" t="n">
        <v>0</v>
      </c>
      <c r="R349" s="2" t="inlineStr"/>
    </row>
    <row r="350" ht="15" customHeight="1">
      <c r="A350" t="inlineStr">
        <is>
          <t>A 54758-2025</t>
        </is>
      </c>
      <c r="B350" s="1" t="n">
        <v>45966.59737268519</v>
      </c>
      <c r="C350" s="1" t="n">
        <v>46136</v>
      </c>
      <c r="D350" t="inlineStr">
        <is>
          <t>UPPSALA LÄN</t>
        </is>
      </c>
      <c r="E350" t="inlineStr">
        <is>
          <t>ENKÖPING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54541-2025</t>
        </is>
      </c>
      <c r="B351" s="1" t="n">
        <v>45965.64733796296</v>
      </c>
      <c r="C351" s="1" t="n">
        <v>46136</v>
      </c>
      <c r="D351" t="inlineStr">
        <is>
          <t>UPPSALA LÄN</t>
        </is>
      </c>
      <c r="E351" t="inlineStr">
        <is>
          <t>ENKÖPING</t>
        </is>
      </c>
      <c r="G351" t="n">
        <v>3.1</v>
      </c>
      <c r="H351" t="n">
        <v>0</v>
      </c>
      <c r="I351" t="n">
        <v>0</v>
      </c>
      <c r="J351" t="n">
        <v>0</v>
      </c>
      <c r="K351" t="n">
        <v>0</v>
      </c>
      <c r="L351" t="n">
        <v>0</v>
      </c>
      <c r="M351" t="n">
        <v>0</v>
      </c>
      <c r="N351" t="n">
        <v>0</v>
      </c>
      <c r="O351" t="n">
        <v>0</v>
      </c>
      <c r="P351" t="n">
        <v>0</v>
      </c>
      <c r="Q351" t="n">
        <v>0</v>
      </c>
      <c r="R351" s="2" t="inlineStr"/>
    </row>
    <row r="352" ht="15" customHeight="1">
      <c r="A352" t="inlineStr">
        <is>
          <t>A 15939-2022</t>
        </is>
      </c>
      <c r="B352" s="1" t="n">
        <v>44664</v>
      </c>
      <c r="C352" s="1" t="n">
        <v>46136</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50394-2024</t>
        </is>
      </c>
      <c r="B353" s="1" t="n">
        <v>45600</v>
      </c>
      <c r="C353" s="1" t="n">
        <v>46136</v>
      </c>
      <c r="D353" t="inlineStr">
        <is>
          <t>UPPSALA LÄN</t>
        </is>
      </c>
      <c r="E353" t="inlineStr">
        <is>
          <t>ENKÖPING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72840-2021</t>
        </is>
      </c>
      <c r="B354" s="1" t="n">
        <v>44547</v>
      </c>
      <c r="C354" s="1" t="n">
        <v>46136</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55567-2025</t>
        </is>
      </c>
      <c r="B355" s="1" t="n">
        <v>45971.65589120371</v>
      </c>
      <c r="C355" s="1" t="n">
        <v>46136</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37870-2023</t>
        </is>
      </c>
      <c r="B356" s="1" t="n">
        <v>45160.41996527778</v>
      </c>
      <c r="C356" s="1" t="n">
        <v>46136</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7090-2022</t>
        </is>
      </c>
      <c r="B357" s="1" t="n">
        <v>44603.59520833333</v>
      </c>
      <c r="C357" s="1" t="n">
        <v>46136</v>
      </c>
      <c r="D357" t="inlineStr">
        <is>
          <t>UPPSALA LÄN</t>
        </is>
      </c>
      <c r="E357" t="inlineStr">
        <is>
          <t>ENKÖPING</t>
        </is>
      </c>
      <c r="G357" t="n">
        <v>2.8</v>
      </c>
      <c r="H357" t="n">
        <v>0</v>
      </c>
      <c r="I357" t="n">
        <v>0</v>
      </c>
      <c r="J357" t="n">
        <v>0</v>
      </c>
      <c r="K357" t="n">
        <v>0</v>
      </c>
      <c r="L357" t="n">
        <v>0</v>
      </c>
      <c r="M357" t="n">
        <v>0</v>
      </c>
      <c r="N357" t="n">
        <v>0</v>
      </c>
      <c r="O357" t="n">
        <v>0</v>
      </c>
      <c r="P357" t="n">
        <v>0</v>
      </c>
      <c r="Q357" t="n">
        <v>0</v>
      </c>
      <c r="R357" s="2" t="inlineStr"/>
    </row>
    <row r="358" ht="15" customHeight="1">
      <c r="A358" t="inlineStr">
        <is>
          <t>A 49063-2024</t>
        </is>
      </c>
      <c r="B358" s="1" t="n">
        <v>45594.59869212963</v>
      </c>
      <c r="C358" s="1" t="n">
        <v>46136</v>
      </c>
      <c r="D358" t="inlineStr">
        <is>
          <t>UPPSALA LÄN</t>
        </is>
      </c>
      <c r="E358" t="inlineStr">
        <is>
          <t>ENKÖPING</t>
        </is>
      </c>
      <c r="G358" t="n">
        <v>1.5</v>
      </c>
      <c r="H358" t="n">
        <v>0</v>
      </c>
      <c r="I358" t="n">
        <v>0</v>
      </c>
      <c r="J358" t="n">
        <v>0</v>
      </c>
      <c r="K358" t="n">
        <v>0</v>
      </c>
      <c r="L358" t="n">
        <v>0</v>
      </c>
      <c r="M358" t="n">
        <v>0</v>
      </c>
      <c r="N358" t="n">
        <v>0</v>
      </c>
      <c r="O358" t="n">
        <v>0</v>
      </c>
      <c r="P358" t="n">
        <v>0</v>
      </c>
      <c r="Q358" t="n">
        <v>0</v>
      </c>
      <c r="R358" s="2" t="inlineStr"/>
    </row>
    <row r="359" ht="15" customHeight="1">
      <c r="A359" t="inlineStr">
        <is>
          <t>A 14083-2025</t>
        </is>
      </c>
      <c r="B359" s="1" t="n">
        <v>45740</v>
      </c>
      <c r="C359" s="1" t="n">
        <v>46136</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19298-2023</t>
        </is>
      </c>
      <c r="B360" s="1" t="n">
        <v>45048</v>
      </c>
      <c r="C360" s="1" t="n">
        <v>46136</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15409-2025</t>
        </is>
      </c>
      <c r="B361" s="1" t="n">
        <v>45747</v>
      </c>
      <c r="C361" s="1" t="n">
        <v>46136</v>
      </c>
      <c r="D361" t="inlineStr">
        <is>
          <t>UPPSALA LÄN</t>
        </is>
      </c>
      <c r="E361" t="inlineStr">
        <is>
          <t>ENKÖPING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56625-2025</t>
        </is>
      </c>
      <c r="B362" s="1" t="n">
        <v>45975.60608796297</v>
      </c>
      <c r="C362" s="1" t="n">
        <v>46136</v>
      </c>
      <c r="D362" t="inlineStr">
        <is>
          <t>UPPSALA LÄN</t>
        </is>
      </c>
      <c r="E362" t="inlineStr">
        <is>
          <t>ENKÖPING</t>
        </is>
      </c>
      <c r="G362" t="n">
        <v>0.7</v>
      </c>
      <c r="H362" t="n">
        <v>0</v>
      </c>
      <c r="I362" t="n">
        <v>0</v>
      </c>
      <c r="J362" t="n">
        <v>0</v>
      </c>
      <c r="K362" t="n">
        <v>0</v>
      </c>
      <c r="L362" t="n">
        <v>0</v>
      </c>
      <c r="M362" t="n">
        <v>0</v>
      </c>
      <c r="N362" t="n">
        <v>0</v>
      </c>
      <c r="O362" t="n">
        <v>0</v>
      </c>
      <c r="P362" t="n">
        <v>0</v>
      </c>
      <c r="Q362" t="n">
        <v>0</v>
      </c>
      <c r="R362" s="2" t="inlineStr"/>
    </row>
    <row r="363" ht="15" customHeight="1">
      <c r="A363" t="inlineStr">
        <is>
          <t>A 57294-2025</t>
        </is>
      </c>
      <c r="B363" s="1" t="n">
        <v>45979</v>
      </c>
      <c r="C363" s="1" t="n">
        <v>46136</v>
      </c>
      <c r="D363" t="inlineStr">
        <is>
          <t>UPPSALA LÄN</t>
        </is>
      </c>
      <c r="E363" t="inlineStr">
        <is>
          <t>ENKÖPING</t>
        </is>
      </c>
      <c r="G363" t="n">
        <v>6.2</v>
      </c>
      <c r="H363" t="n">
        <v>0</v>
      </c>
      <c r="I363" t="n">
        <v>0</v>
      </c>
      <c r="J363" t="n">
        <v>0</v>
      </c>
      <c r="K363" t="n">
        <v>0</v>
      </c>
      <c r="L363" t="n">
        <v>0</v>
      </c>
      <c r="M363" t="n">
        <v>0</v>
      </c>
      <c r="N363" t="n">
        <v>0</v>
      </c>
      <c r="O363" t="n">
        <v>0</v>
      </c>
      <c r="P363" t="n">
        <v>0</v>
      </c>
      <c r="Q363" t="n">
        <v>0</v>
      </c>
      <c r="R363" s="2" t="inlineStr"/>
    </row>
    <row r="364" ht="15" customHeight="1">
      <c r="A364" t="inlineStr">
        <is>
          <t>A 34617-2022</t>
        </is>
      </c>
      <c r="B364" s="1" t="n">
        <v>44795</v>
      </c>
      <c r="C364" s="1" t="n">
        <v>46136</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58025-2025</t>
        </is>
      </c>
      <c r="B365" s="1" t="n">
        <v>45982</v>
      </c>
      <c r="C365" s="1" t="n">
        <v>46136</v>
      </c>
      <c r="D365" t="inlineStr">
        <is>
          <t>UPPSALA LÄN</t>
        </is>
      </c>
      <c r="E365" t="inlineStr">
        <is>
          <t>ENKÖPING</t>
        </is>
      </c>
      <c r="G365" t="n">
        <v>3.2</v>
      </c>
      <c r="H365" t="n">
        <v>0</v>
      </c>
      <c r="I365" t="n">
        <v>0</v>
      </c>
      <c r="J365" t="n">
        <v>0</v>
      </c>
      <c r="K365" t="n">
        <v>0</v>
      </c>
      <c r="L365" t="n">
        <v>0</v>
      </c>
      <c r="M365" t="n">
        <v>0</v>
      </c>
      <c r="N365" t="n">
        <v>0</v>
      </c>
      <c r="O365" t="n">
        <v>0</v>
      </c>
      <c r="P365" t="n">
        <v>0</v>
      </c>
      <c r="Q365" t="n">
        <v>0</v>
      </c>
      <c r="R365" s="2" t="inlineStr"/>
    </row>
    <row r="366" ht="15" customHeight="1">
      <c r="A366" t="inlineStr">
        <is>
          <t>A 40202-2024</t>
        </is>
      </c>
      <c r="B366" s="1" t="n">
        <v>45554</v>
      </c>
      <c r="C366" s="1" t="n">
        <v>46136</v>
      </c>
      <c r="D366" t="inlineStr">
        <is>
          <t>UPPSALA LÄN</t>
        </is>
      </c>
      <c r="E366" t="inlineStr">
        <is>
          <t>ENKÖPING</t>
        </is>
      </c>
      <c r="G366" t="n">
        <v>6.2</v>
      </c>
      <c r="H366" t="n">
        <v>0</v>
      </c>
      <c r="I366" t="n">
        <v>0</v>
      </c>
      <c r="J366" t="n">
        <v>0</v>
      </c>
      <c r="K366" t="n">
        <v>0</v>
      </c>
      <c r="L366" t="n">
        <v>0</v>
      </c>
      <c r="M366" t="n">
        <v>0</v>
      </c>
      <c r="N366" t="n">
        <v>0</v>
      </c>
      <c r="O366" t="n">
        <v>0</v>
      </c>
      <c r="P366" t="n">
        <v>0</v>
      </c>
      <c r="Q366" t="n">
        <v>0</v>
      </c>
      <c r="R366" s="2" t="inlineStr"/>
    </row>
    <row r="367" ht="15" customHeight="1">
      <c r="A367" t="inlineStr">
        <is>
          <t>A 40223-2024</t>
        </is>
      </c>
      <c r="B367" s="1" t="n">
        <v>45554</v>
      </c>
      <c r="C367" s="1" t="n">
        <v>46136</v>
      </c>
      <c r="D367" t="inlineStr">
        <is>
          <t>UPPSALA LÄN</t>
        </is>
      </c>
      <c r="E367" t="inlineStr">
        <is>
          <t>ENKÖPING</t>
        </is>
      </c>
      <c r="G367" t="n">
        <v>1.9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46136</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19013-2025</t>
        </is>
      </c>
      <c r="B369" s="1" t="n">
        <v>45764.59533564815</v>
      </c>
      <c r="C369" s="1" t="n">
        <v>46136</v>
      </c>
      <c r="D369" t="inlineStr">
        <is>
          <t>UPPSALA LÄN</t>
        </is>
      </c>
      <c r="E369" t="inlineStr">
        <is>
          <t>ENKÖPING</t>
        </is>
      </c>
      <c r="G369" t="n">
        <v>1</v>
      </c>
      <c r="H369" t="n">
        <v>0</v>
      </c>
      <c r="I369" t="n">
        <v>0</v>
      </c>
      <c r="J369" t="n">
        <v>0</v>
      </c>
      <c r="K369" t="n">
        <v>0</v>
      </c>
      <c r="L369" t="n">
        <v>0</v>
      </c>
      <c r="M369" t="n">
        <v>0</v>
      </c>
      <c r="N369" t="n">
        <v>0</v>
      </c>
      <c r="O369" t="n">
        <v>0</v>
      </c>
      <c r="P369" t="n">
        <v>0</v>
      </c>
      <c r="Q369" t="n">
        <v>0</v>
      </c>
      <c r="R369" s="2" t="inlineStr"/>
    </row>
    <row r="370" ht="15" customHeight="1">
      <c r="A370" t="inlineStr">
        <is>
          <t>A 57335-2024</t>
        </is>
      </c>
      <c r="B370" s="1" t="n">
        <v>45629.63302083333</v>
      </c>
      <c r="C370" s="1" t="n">
        <v>46136</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23301-2024</t>
        </is>
      </c>
      <c r="B371" s="1" t="n">
        <v>45453.4396412037</v>
      </c>
      <c r="C371" s="1" t="n">
        <v>46136</v>
      </c>
      <c r="D371" t="inlineStr">
        <is>
          <t>UPPSALA LÄN</t>
        </is>
      </c>
      <c r="E371" t="inlineStr">
        <is>
          <t>ENKÖPING</t>
        </is>
      </c>
      <c r="G371" t="n">
        <v>4.3</v>
      </c>
      <c r="H371" t="n">
        <v>0</v>
      </c>
      <c r="I371" t="n">
        <v>0</v>
      </c>
      <c r="J371" t="n">
        <v>0</v>
      </c>
      <c r="K371" t="n">
        <v>0</v>
      </c>
      <c r="L371" t="n">
        <v>0</v>
      </c>
      <c r="M371" t="n">
        <v>0</v>
      </c>
      <c r="N371" t="n">
        <v>0</v>
      </c>
      <c r="O371" t="n">
        <v>0</v>
      </c>
      <c r="P371" t="n">
        <v>0</v>
      </c>
      <c r="Q371" t="n">
        <v>0</v>
      </c>
      <c r="R371" s="2" t="inlineStr"/>
    </row>
    <row r="372" ht="15" customHeight="1">
      <c r="A372" t="inlineStr">
        <is>
          <t>A 2833-2025</t>
        </is>
      </c>
      <c r="B372" s="1" t="n">
        <v>45677.63206018518</v>
      </c>
      <c r="C372" s="1" t="n">
        <v>46136</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57188-2025</t>
        </is>
      </c>
      <c r="B373" s="1" t="n">
        <v>45979</v>
      </c>
      <c r="C373" s="1" t="n">
        <v>46136</v>
      </c>
      <c r="D373" t="inlineStr">
        <is>
          <t>UPPSALA LÄN</t>
        </is>
      </c>
      <c r="E373" t="inlineStr">
        <is>
          <t>ENKÖPING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33619-2022</t>
        </is>
      </c>
      <c r="B374" s="1" t="n">
        <v>44789</v>
      </c>
      <c r="C374" s="1" t="n">
        <v>46136</v>
      </c>
      <c r="D374" t="inlineStr">
        <is>
          <t>UPPSALA LÄN</t>
        </is>
      </c>
      <c r="E374" t="inlineStr">
        <is>
          <t>ENKÖPING</t>
        </is>
      </c>
      <c r="F374" t="inlineStr">
        <is>
          <t>Allmännings- och besparingsskogar</t>
        </is>
      </c>
      <c r="G374" t="n">
        <v>4.5</v>
      </c>
      <c r="H374" t="n">
        <v>0</v>
      </c>
      <c r="I374" t="n">
        <v>0</v>
      </c>
      <c r="J374" t="n">
        <v>0</v>
      </c>
      <c r="K374" t="n">
        <v>0</v>
      </c>
      <c r="L374" t="n">
        <v>0</v>
      </c>
      <c r="M374" t="n">
        <v>0</v>
      </c>
      <c r="N374" t="n">
        <v>0</v>
      </c>
      <c r="O374" t="n">
        <v>0</v>
      </c>
      <c r="P374" t="n">
        <v>0</v>
      </c>
      <c r="Q374" t="n">
        <v>0</v>
      </c>
      <c r="R374" s="2" t="inlineStr"/>
    </row>
    <row r="375" ht="15" customHeight="1">
      <c r="A375" t="inlineStr">
        <is>
          <t>A 31604-2023</t>
        </is>
      </c>
      <c r="B375" s="1" t="n">
        <v>45117.50368055556</v>
      </c>
      <c r="C375" s="1" t="n">
        <v>46136</v>
      </c>
      <c r="D375" t="inlineStr">
        <is>
          <t>UPPSALA LÄN</t>
        </is>
      </c>
      <c r="E375" t="inlineStr">
        <is>
          <t>ENKÖPING</t>
        </is>
      </c>
      <c r="G375" t="n">
        <v>3.5</v>
      </c>
      <c r="H375" t="n">
        <v>0</v>
      </c>
      <c r="I375" t="n">
        <v>0</v>
      </c>
      <c r="J375" t="n">
        <v>0</v>
      </c>
      <c r="K375" t="n">
        <v>0</v>
      </c>
      <c r="L375" t="n">
        <v>0</v>
      </c>
      <c r="M375" t="n">
        <v>0</v>
      </c>
      <c r="N375" t="n">
        <v>0</v>
      </c>
      <c r="O375" t="n">
        <v>0</v>
      </c>
      <c r="P375" t="n">
        <v>0</v>
      </c>
      <c r="Q375" t="n">
        <v>0</v>
      </c>
      <c r="R375" s="2" t="inlineStr"/>
    </row>
    <row r="376" ht="15" customHeight="1">
      <c r="A376" t="inlineStr">
        <is>
          <t>A 59602-2024</t>
        </is>
      </c>
      <c r="B376" s="1" t="n">
        <v>45638</v>
      </c>
      <c r="C376" s="1" t="n">
        <v>46136</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59668-2025</t>
        </is>
      </c>
      <c r="B377" s="1" t="n">
        <v>45992.45567129629</v>
      </c>
      <c r="C377" s="1" t="n">
        <v>46136</v>
      </c>
      <c r="D377" t="inlineStr">
        <is>
          <t>UPPSALA LÄN</t>
        </is>
      </c>
      <c r="E377" t="inlineStr">
        <is>
          <t>ENKÖPING</t>
        </is>
      </c>
      <c r="G377" t="n">
        <v>3.3</v>
      </c>
      <c r="H377" t="n">
        <v>0</v>
      </c>
      <c r="I377" t="n">
        <v>0</v>
      </c>
      <c r="J377" t="n">
        <v>0</v>
      </c>
      <c r="K377" t="n">
        <v>0</v>
      </c>
      <c r="L377" t="n">
        <v>0</v>
      </c>
      <c r="M377" t="n">
        <v>0</v>
      </c>
      <c r="N377" t="n">
        <v>0</v>
      </c>
      <c r="O377" t="n">
        <v>0</v>
      </c>
      <c r="P377" t="n">
        <v>0</v>
      </c>
      <c r="Q377" t="n">
        <v>0</v>
      </c>
      <c r="R377" s="2" t="inlineStr"/>
    </row>
    <row r="378" ht="15" customHeight="1">
      <c r="A378" t="inlineStr">
        <is>
          <t>A 14243-2025</t>
        </is>
      </c>
      <c r="B378" s="1" t="n">
        <v>45740.61288194444</v>
      </c>
      <c r="C378" s="1" t="n">
        <v>46136</v>
      </c>
      <c r="D378" t="inlineStr">
        <is>
          <t>UPPSALA LÄN</t>
        </is>
      </c>
      <c r="E378" t="inlineStr">
        <is>
          <t>ENKÖPING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19488-2022</t>
        </is>
      </c>
      <c r="B379" s="1" t="n">
        <v>44693</v>
      </c>
      <c r="C379" s="1" t="n">
        <v>46136</v>
      </c>
      <c r="D379" t="inlineStr">
        <is>
          <t>UPPSALA LÄN</t>
        </is>
      </c>
      <c r="E379" t="inlineStr">
        <is>
          <t>ENKÖPING</t>
        </is>
      </c>
      <c r="G379" t="n">
        <v>7.8</v>
      </c>
      <c r="H379" t="n">
        <v>0</v>
      </c>
      <c r="I379" t="n">
        <v>0</v>
      </c>
      <c r="J379" t="n">
        <v>0</v>
      </c>
      <c r="K379" t="n">
        <v>0</v>
      </c>
      <c r="L379" t="n">
        <v>0</v>
      </c>
      <c r="M379" t="n">
        <v>0</v>
      </c>
      <c r="N379" t="n">
        <v>0</v>
      </c>
      <c r="O379" t="n">
        <v>0</v>
      </c>
      <c r="P379" t="n">
        <v>0</v>
      </c>
      <c r="Q379" t="n">
        <v>0</v>
      </c>
      <c r="R379" s="2" t="inlineStr"/>
    </row>
    <row r="380" ht="15" customHeight="1">
      <c r="A380" t="inlineStr">
        <is>
          <t>A 59964-2025</t>
        </is>
      </c>
      <c r="B380" s="1" t="n">
        <v>45993.48043981481</v>
      </c>
      <c r="C380" s="1" t="n">
        <v>46136</v>
      </c>
      <c r="D380" t="inlineStr">
        <is>
          <t>UPPSALA LÄN</t>
        </is>
      </c>
      <c r="E380" t="inlineStr">
        <is>
          <t>ENKÖPING</t>
        </is>
      </c>
      <c r="G380" t="n">
        <v>2.1</v>
      </c>
      <c r="H380" t="n">
        <v>0</v>
      </c>
      <c r="I380" t="n">
        <v>0</v>
      </c>
      <c r="J380" t="n">
        <v>0</v>
      </c>
      <c r="K380" t="n">
        <v>0</v>
      </c>
      <c r="L380" t="n">
        <v>0</v>
      </c>
      <c r="M380" t="n">
        <v>0</v>
      </c>
      <c r="N380" t="n">
        <v>0</v>
      </c>
      <c r="O380" t="n">
        <v>0</v>
      </c>
      <c r="P380" t="n">
        <v>0</v>
      </c>
      <c r="Q380" t="n">
        <v>0</v>
      </c>
      <c r="R380" s="2" t="inlineStr"/>
    </row>
    <row r="381" ht="15" customHeight="1">
      <c r="A381" t="inlineStr">
        <is>
          <t>A 41826-2024</t>
        </is>
      </c>
      <c r="B381" s="1" t="n">
        <v>45561</v>
      </c>
      <c r="C381" s="1" t="n">
        <v>46136</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60174-2025</t>
        </is>
      </c>
      <c r="B382" s="1" t="n">
        <v>45994.45039351852</v>
      </c>
      <c r="C382" s="1" t="n">
        <v>46136</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60175-2025</t>
        </is>
      </c>
      <c r="B383" s="1" t="n">
        <v>45994.45378472222</v>
      </c>
      <c r="C383" s="1" t="n">
        <v>46136</v>
      </c>
      <c r="D383" t="inlineStr">
        <is>
          <t>UPPSALA LÄN</t>
        </is>
      </c>
      <c r="E383" t="inlineStr">
        <is>
          <t>ENKÖPING</t>
        </is>
      </c>
      <c r="G383" t="n">
        <v>2.4</v>
      </c>
      <c r="H383" t="n">
        <v>0</v>
      </c>
      <c r="I383" t="n">
        <v>0</v>
      </c>
      <c r="J383" t="n">
        <v>0</v>
      </c>
      <c r="K383" t="n">
        <v>0</v>
      </c>
      <c r="L383" t="n">
        <v>0</v>
      </c>
      <c r="M383" t="n">
        <v>0</v>
      </c>
      <c r="N383" t="n">
        <v>0</v>
      </c>
      <c r="O383" t="n">
        <v>0</v>
      </c>
      <c r="P383" t="n">
        <v>0</v>
      </c>
      <c r="Q383" t="n">
        <v>0</v>
      </c>
      <c r="R383" s="2" t="inlineStr"/>
    </row>
    <row r="384" ht="15" customHeight="1">
      <c r="A384" t="inlineStr">
        <is>
          <t>A 16916-2022</t>
        </is>
      </c>
      <c r="B384" s="1" t="n">
        <v>44676</v>
      </c>
      <c r="C384" s="1" t="n">
        <v>46136</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44115-2024</t>
        </is>
      </c>
      <c r="B385" s="1" t="n">
        <v>45572</v>
      </c>
      <c r="C385" s="1" t="n">
        <v>46136</v>
      </c>
      <c r="D385" t="inlineStr">
        <is>
          <t>UPPSALA LÄN</t>
        </is>
      </c>
      <c r="E385" t="inlineStr">
        <is>
          <t>ENKÖPING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60340-2025</t>
        </is>
      </c>
      <c r="B386" s="1" t="n">
        <v>45994.83415509259</v>
      </c>
      <c r="C386" s="1" t="n">
        <v>46136</v>
      </c>
      <c r="D386" t="inlineStr">
        <is>
          <t>UPPSALA LÄN</t>
        </is>
      </c>
      <c r="E386" t="inlineStr">
        <is>
          <t>ENKÖPING</t>
        </is>
      </c>
      <c r="G386" t="n">
        <v>5.6</v>
      </c>
      <c r="H386" t="n">
        <v>0</v>
      </c>
      <c r="I386" t="n">
        <v>0</v>
      </c>
      <c r="J386" t="n">
        <v>0</v>
      </c>
      <c r="K386" t="n">
        <v>0</v>
      </c>
      <c r="L386" t="n">
        <v>0</v>
      </c>
      <c r="M386" t="n">
        <v>0</v>
      </c>
      <c r="N386" t="n">
        <v>0</v>
      </c>
      <c r="O386" t="n">
        <v>0</v>
      </c>
      <c r="P386" t="n">
        <v>0</v>
      </c>
      <c r="Q386" t="n">
        <v>0</v>
      </c>
      <c r="R386" s="2" t="inlineStr"/>
    </row>
    <row r="387" ht="15" customHeight="1">
      <c r="A387" t="inlineStr">
        <is>
          <t>A 30634-2022</t>
        </is>
      </c>
      <c r="B387" s="1" t="n">
        <v>44763.45711805556</v>
      </c>
      <c r="C387" s="1" t="n">
        <v>46136</v>
      </c>
      <c r="D387" t="inlineStr">
        <is>
          <t>UPPSALA LÄN</t>
        </is>
      </c>
      <c r="E387" t="inlineStr">
        <is>
          <t>ENKÖPING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60947-2025</t>
        </is>
      </c>
      <c r="B388" s="1" t="n">
        <v>45999</v>
      </c>
      <c r="C388" s="1" t="n">
        <v>46136</v>
      </c>
      <c r="D388" t="inlineStr">
        <is>
          <t>UPPSALA LÄN</t>
        </is>
      </c>
      <c r="E388" t="inlineStr">
        <is>
          <t>ENKÖPING</t>
        </is>
      </c>
      <c r="G388" t="n">
        <v>4</v>
      </c>
      <c r="H388" t="n">
        <v>0</v>
      </c>
      <c r="I388" t="n">
        <v>0</v>
      </c>
      <c r="J388" t="n">
        <v>0</v>
      </c>
      <c r="K388" t="n">
        <v>0</v>
      </c>
      <c r="L388" t="n">
        <v>0</v>
      </c>
      <c r="M388" t="n">
        <v>0</v>
      </c>
      <c r="N388" t="n">
        <v>0</v>
      </c>
      <c r="O388" t="n">
        <v>0</v>
      </c>
      <c r="P388" t="n">
        <v>0</v>
      </c>
      <c r="Q388" t="n">
        <v>0</v>
      </c>
      <c r="R388" s="2" t="inlineStr"/>
    </row>
    <row r="389" ht="15" customHeight="1">
      <c r="A389" t="inlineStr">
        <is>
          <t>A 29477-2025</t>
        </is>
      </c>
      <c r="B389" s="1" t="n">
        <v>45824.71537037037</v>
      </c>
      <c r="C389" s="1" t="n">
        <v>46136</v>
      </c>
      <c r="D389" t="inlineStr">
        <is>
          <t>UPPSALA LÄN</t>
        </is>
      </c>
      <c r="E389" t="inlineStr">
        <is>
          <t>ENKÖPING</t>
        </is>
      </c>
      <c r="G389" t="n">
        <v>13.4</v>
      </c>
      <c r="H389" t="n">
        <v>0</v>
      </c>
      <c r="I389" t="n">
        <v>0</v>
      </c>
      <c r="J389" t="n">
        <v>0</v>
      </c>
      <c r="K389" t="n">
        <v>0</v>
      </c>
      <c r="L389" t="n">
        <v>0</v>
      </c>
      <c r="M389" t="n">
        <v>0</v>
      </c>
      <c r="N389" t="n">
        <v>0</v>
      </c>
      <c r="O389" t="n">
        <v>0</v>
      </c>
      <c r="P389" t="n">
        <v>0</v>
      </c>
      <c r="Q389" t="n">
        <v>0</v>
      </c>
      <c r="R389" s="2" t="inlineStr"/>
    </row>
    <row r="390" ht="15" customHeight="1">
      <c r="A390" t="inlineStr">
        <is>
          <t>A 60934-2025</t>
        </is>
      </c>
      <c r="B390" s="1" t="n">
        <v>45999</v>
      </c>
      <c r="C390" s="1" t="n">
        <v>46136</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46136</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61437-2025</t>
        </is>
      </c>
      <c r="B392" s="1" t="n">
        <v>46001.5659375</v>
      </c>
      <c r="C392" s="1" t="n">
        <v>46136</v>
      </c>
      <c r="D392" t="inlineStr">
        <is>
          <t>UPPSALA LÄN</t>
        </is>
      </c>
      <c r="E392" t="inlineStr">
        <is>
          <t>ENKÖPING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38941-2025</t>
        </is>
      </c>
      <c r="B393" s="1" t="n">
        <v>45887</v>
      </c>
      <c r="C393" s="1" t="n">
        <v>46136</v>
      </c>
      <c r="D393" t="inlineStr">
        <is>
          <t>UPPSALA LÄN</t>
        </is>
      </c>
      <c r="E393" t="inlineStr">
        <is>
          <t>ENKÖPING</t>
        </is>
      </c>
      <c r="F393" t="inlineStr">
        <is>
          <t>Övriga statliga verk och myndigheter</t>
        </is>
      </c>
      <c r="G393" t="n">
        <v>0.6</v>
      </c>
      <c r="H393" t="n">
        <v>0</v>
      </c>
      <c r="I393" t="n">
        <v>0</v>
      </c>
      <c r="J393" t="n">
        <v>0</v>
      </c>
      <c r="K393" t="n">
        <v>0</v>
      </c>
      <c r="L393" t="n">
        <v>0</v>
      </c>
      <c r="M393" t="n">
        <v>0</v>
      </c>
      <c r="N393" t="n">
        <v>0</v>
      </c>
      <c r="O393" t="n">
        <v>0</v>
      </c>
      <c r="P393" t="n">
        <v>0</v>
      </c>
      <c r="Q393" t="n">
        <v>0</v>
      </c>
      <c r="R393" s="2" t="inlineStr"/>
    </row>
    <row r="394" ht="15" customHeight="1">
      <c r="A394" t="inlineStr">
        <is>
          <t>A 61778-2025</t>
        </is>
      </c>
      <c r="B394" s="1" t="n">
        <v>46002.66555555556</v>
      </c>
      <c r="C394" s="1" t="n">
        <v>46136</v>
      </c>
      <c r="D394" t="inlineStr">
        <is>
          <t>UPPSALA LÄN</t>
        </is>
      </c>
      <c r="E394" t="inlineStr">
        <is>
          <t>ENKÖPING</t>
        </is>
      </c>
      <c r="G394" t="n">
        <v>3.2</v>
      </c>
      <c r="H394" t="n">
        <v>0</v>
      </c>
      <c r="I394" t="n">
        <v>0</v>
      </c>
      <c r="J394" t="n">
        <v>0</v>
      </c>
      <c r="K394" t="n">
        <v>0</v>
      </c>
      <c r="L394" t="n">
        <v>0</v>
      </c>
      <c r="M394" t="n">
        <v>0</v>
      </c>
      <c r="N394" t="n">
        <v>0</v>
      </c>
      <c r="O394" t="n">
        <v>0</v>
      </c>
      <c r="P394" t="n">
        <v>0</v>
      </c>
      <c r="Q394" t="n">
        <v>0</v>
      </c>
      <c r="R394" s="2" t="inlineStr"/>
    </row>
    <row r="395" ht="15" customHeight="1">
      <c r="A395" t="inlineStr">
        <is>
          <t>A 51120-2023</t>
        </is>
      </c>
      <c r="B395" s="1" t="n">
        <v>45219.3088425926</v>
      </c>
      <c r="C395" s="1" t="n">
        <v>46136</v>
      </c>
      <c r="D395" t="inlineStr">
        <is>
          <t>UPPSALA LÄN</t>
        </is>
      </c>
      <c r="E395" t="inlineStr">
        <is>
          <t>ENKÖPING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26319-2022</t>
        </is>
      </c>
      <c r="B396" s="1" t="n">
        <v>44735</v>
      </c>
      <c r="C396" s="1" t="n">
        <v>46136</v>
      </c>
      <c r="D396" t="inlineStr">
        <is>
          <t>UPPSALA LÄN</t>
        </is>
      </c>
      <c r="E396" t="inlineStr">
        <is>
          <t>ENKÖPING</t>
        </is>
      </c>
      <c r="G396" t="n">
        <v>1.8</v>
      </c>
      <c r="H396" t="n">
        <v>0</v>
      </c>
      <c r="I396" t="n">
        <v>0</v>
      </c>
      <c r="J396" t="n">
        <v>0</v>
      </c>
      <c r="K396" t="n">
        <v>0</v>
      </c>
      <c r="L396" t="n">
        <v>0</v>
      </c>
      <c r="M396" t="n">
        <v>0</v>
      </c>
      <c r="N396" t="n">
        <v>0</v>
      </c>
      <c r="O396" t="n">
        <v>0</v>
      </c>
      <c r="P396" t="n">
        <v>0</v>
      </c>
      <c r="Q396" t="n">
        <v>0</v>
      </c>
      <c r="R396" s="2" t="inlineStr"/>
    </row>
    <row r="397" ht="15" customHeight="1">
      <c r="A397" t="inlineStr">
        <is>
          <t>A 61811-2025</t>
        </is>
      </c>
      <c r="B397" s="1" t="n">
        <v>46002.90059027778</v>
      </c>
      <c r="C397" s="1" t="n">
        <v>46136</v>
      </c>
      <c r="D397" t="inlineStr">
        <is>
          <t>UPPSALA LÄN</t>
        </is>
      </c>
      <c r="E397" t="inlineStr">
        <is>
          <t>ENKÖPING</t>
        </is>
      </c>
      <c r="F397" t="inlineStr">
        <is>
          <t>Allmännings- och besparingsskogar</t>
        </is>
      </c>
      <c r="G397" t="n">
        <v>4.7</v>
      </c>
      <c r="H397" t="n">
        <v>0</v>
      </c>
      <c r="I397" t="n">
        <v>0</v>
      </c>
      <c r="J397" t="n">
        <v>0</v>
      </c>
      <c r="K397" t="n">
        <v>0</v>
      </c>
      <c r="L397" t="n">
        <v>0</v>
      </c>
      <c r="M397" t="n">
        <v>0</v>
      </c>
      <c r="N397" t="n">
        <v>0</v>
      </c>
      <c r="O397" t="n">
        <v>0</v>
      </c>
      <c r="P397" t="n">
        <v>0</v>
      </c>
      <c r="Q397" t="n">
        <v>0</v>
      </c>
      <c r="R397" s="2" t="inlineStr"/>
    </row>
    <row r="398" ht="15" customHeight="1">
      <c r="A398" t="inlineStr">
        <is>
          <t>A 54357-2023</t>
        </is>
      </c>
      <c r="B398" s="1" t="n">
        <v>45225</v>
      </c>
      <c r="C398" s="1" t="n">
        <v>46136</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63402-2023</t>
        </is>
      </c>
      <c r="B399" s="1" t="n">
        <v>45274.50646990741</v>
      </c>
      <c r="C399" s="1" t="n">
        <v>46136</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61889-2025</t>
        </is>
      </c>
      <c r="B400" s="1" t="n">
        <v>46003.44765046296</v>
      </c>
      <c r="C400" s="1" t="n">
        <v>46136</v>
      </c>
      <c r="D400" t="inlineStr">
        <is>
          <t>UPPSALA LÄN</t>
        </is>
      </c>
      <c r="E400" t="inlineStr">
        <is>
          <t>ENKÖPING</t>
        </is>
      </c>
      <c r="G400" t="n">
        <v>2.3</v>
      </c>
      <c r="H400" t="n">
        <v>0</v>
      </c>
      <c r="I400" t="n">
        <v>0</v>
      </c>
      <c r="J400" t="n">
        <v>0</v>
      </c>
      <c r="K400" t="n">
        <v>0</v>
      </c>
      <c r="L400" t="n">
        <v>0</v>
      </c>
      <c r="M400" t="n">
        <v>0</v>
      </c>
      <c r="N400" t="n">
        <v>0</v>
      </c>
      <c r="O400" t="n">
        <v>0</v>
      </c>
      <c r="P400" t="n">
        <v>0</v>
      </c>
      <c r="Q400" t="n">
        <v>0</v>
      </c>
      <c r="R400" s="2" t="inlineStr"/>
    </row>
    <row r="401" ht="15" customHeight="1">
      <c r="A401" t="inlineStr">
        <is>
          <t>A 53208-2023</t>
        </is>
      </c>
      <c r="B401" s="1" t="n">
        <v>45226</v>
      </c>
      <c r="C401" s="1" t="n">
        <v>46136</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62772-2025</t>
        </is>
      </c>
      <c r="B402" s="1" t="n">
        <v>46008.60365740741</v>
      </c>
      <c r="C402" s="1" t="n">
        <v>46136</v>
      </c>
      <c r="D402" t="inlineStr">
        <is>
          <t>UPPSALA LÄN</t>
        </is>
      </c>
      <c r="E402" t="inlineStr">
        <is>
          <t>ENKÖPING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62599-2025</t>
        </is>
      </c>
      <c r="B403" s="1" t="n">
        <v>46007.91961805556</v>
      </c>
      <c r="C403" s="1" t="n">
        <v>46136</v>
      </c>
      <c r="D403" t="inlineStr">
        <is>
          <t>UPPSALA LÄN</t>
        </is>
      </c>
      <c r="E403" t="inlineStr">
        <is>
          <t>ENKÖPING</t>
        </is>
      </c>
      <c r="G403" t="n">
        <v>1.6</v>
      </c>
      <c r="H403" t="n">
        <v>0</v>
      </c>
      <c r="I403" t="n">
        <v>0</v>
      </c>
      <c r="J403" t="n">
        <v>0</v>
      </c>
      <c r="K403" t="n">
        <v>0</v>
      </c>
      <c r="L403" t="n">
        <v>0</v>
      </c>
      <c r="M403" t="n">
        <v>0</v>
      </c>
      <c r="N403" t="n">
        <v>0</v>
      </c>
      <c r="O403" t="n">
        <v>0</v>
      </c>
      <c r="P403" t="n">
        <v>0</v>
      </c>
      <c r="Q403" t="n">
        <v>0</v>
      </c>
      <c r="R403" s="2" t="inlineStr"/>
    </row>
    <row r="404" ht="15" customHeight="1">
      <c r="A404" t="inlineStr">
        <is>
          <t>A 62601-2025</t>
        </is>
      </c>
      <c r="B404" s="1" t="n">
        <v>46007.92395833333</v>
      </c>
      <c r="C404" s="1" t="n">
        <v>46136</v>
      </c>
      <c r="D404" t="inlineStr">
        <is>
          <t>UPPSALA LÄN</t>
        </is>
      </c>
      <c r="E404" t="inlineStr">
        <is>
          <t>ENKÖPING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62602-2025</t>
        </is>
      </c>
      <c r="B405" s="1" t="n">
        <v>46007.92581018519</v>
      </c>
      <c r="C405" s="1" t="n">
        <v>46136</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62600-2025</t>
        </is>
      </c>
      <c r="B406" s="1" t="n">
        <v>46007.92175925926</v>
      </c>
      <c r="C406" s="1" t="n">
        <v>46136</v>
      </c>
      <c r="D406" t="inlineStr">
        <is>
          <t>UPPSALA LÄN</t>
        </is>
      </c>
      <c r="E406" t="inlineStr">
        <is>
          <t>ENKÖPING</t>
        </is>
      </c>
      <c r="G406" t="n">
        <v>2</v>
      </c>
      <c r="H406" t="n">
        <v>0</v>
      </c>
      <c r="I406" t="n">
        <v>0</v>
      </c>
      <c r="J406" t="n">
        <v>0</v>
      </c>
      <c r="K406" t="n">
        <v>0</v>
      </c>
      <c r="L406" t="n">
        <v>0</v>
      </c>
      <c r="M406" t="n">
        <v>0</v>
      </c>
      <c r="N406" t="n">
        <v>0</v>
      </c>
      <c r="O406" t="n">
        <v>0</v>
      </c>
      <c r="P406" t="n">
        <v>0</v>
      </c>
      <c r="Q406" t="n">
        <v>0</v>
      </c>
      <c r="R406" s="2" t="inlineStr"/>
    </row>
    <row r="407" ht="15" customHeight="1">
      <c r="A407" t="inlineStr">
        <is>
          <t>A 63128-2025</t>
        </is>
      </c>
      <c r="B407" s="1" t="n">
        <v>46009</v>
      </c>
      <c r="C407" s="1" t="n">
        <v>46136</v>
      </c>
      <c r="D407" t="inlineStr">
        <is>
          <t>UPPSALA LÄN</t>
        </is>
      </c>
      <c r="E407" t="inlineStr">
        <is>
          <t>ENKÖPING</t>
        </is>
      </c>
      <c r="G407" t="n">
        <v>0.9</v>
      </c>
      <c r="H407" t="n">
        <v>0</v>
      </c>
      <c r="I407" t="n">
        <v>0</v>
      </c>
      <c r="J407" t="n">
        <v>0</v>
      </c>
      <c r="K407" t="n">
        <v>0</v>
      </c>
      <c r="L407" t="n">
        <v>0</v>
      </c>
      <c r="M407" t="n">
        <v>0</v>
      </c>
      <c r="N407" t="n">
        <v>0</v>
      </c>
      <c r="O407" t="n">
        <v>0</v>
      </c>
      <c r="P407" t="n">
        <v>0</v>
      </c>
      <c r="Q407" t="n">
        <v>0</v>
      </c>
      <c r="R407" s="2" t="inlineStr"/>
    </row>
    <row r="408" ht="15" customHeight="1">
      <c r="A408" t="inlineStr">
        <is>
          <t>A 18259-2025</t>
        </is>
      </c>
      <c r="B408" s="1" t="n">
        <v>45762</v>
      </c>
      <c r="C408" s="1" t="n">
        <v>46136</v>
      </c>
      <c r="D408" t="inlineStr">
        <is>
          <t>UPPSALA LÄN</t>
        </is>
      </c>
      <c r="E408" t="inlineStr">
        <is>
          <t>ENKÖPING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62158-2023</t>
        </is>
      </c>
      <c r="B409" s="1" t="n">
        <v>45267</v>
      </c>
      <c r="C409" s="1" t="n">
        <v>46136</v>
      </c>
      <c r="D409" t="inlineStr">
        <is>
          <t>UPPSALA LÄN</t>
        </is>
      </c>
      <c r="E409" t="inlineStr">
        <is>
          <t>ENKÖPING</t>
        </is>
      </c>
      <c r="G409" t="n">
        <v>1.4</v>
      </c>
      <c r="H409" t="n">
        <v>0</v>
      </c>
      <c r="I409" t="n">
        <v>0</v>
      </c>
      <c r="J409" t="n">
        <v>0</v>
      </c>
      <c r="K409" t="n">
        <v>0</v>
      </c>
      <c r="L409" t="n">
        <v>0</v>
      </c>
      <c r="M409" t="n">
        <v>0</v>
      </c>
      <c r="N409" t="n">
        <v>0</v>
      </c>
      <c r="O409" t="n">
        <v>0</v>
      </c>
      <c r="P409" t="n">
        <v>0</v>
      </c>
      <c r="Q409" t="n">
        <v>0</v>
      </c>
      <c r="R409" s="2" t="inlineStr"/>
    </row>
    <row r="410" ht="15" customHeight="1">
      <c r="A410" t="inlineStr">
        <is>
          <t>A 60874-2023</t>
        </is>
      </c>
      <c r="B410" s="1" t="n">
        <v>45261.06280092592</v>
      </c>
      <c r="C410" s="1" t="n">
        <v>46136</v>
      </c>
      <c r="D410" t="inlineStr">
        <is>
          <t>UPPSALA LÄN</t>
        </is>
      </c>
      <c r="E410" t="inlineStr">
        <is>
          <t>ENKÖPING</t>
        </is>
      </c>
      <c r="G410" t="n">
        <v>1.5</v>
      </c>
      <c r="H410" t="n">
        <v>0</v>
      </c>
      <c r="I410" t="n">
        <v>0</v>
      </c>
      <c r="J410" t="n">
        <v>0</v>
      </c>
      <c r="K410" t="n">
        <v>0</v>
      </c>
      <c r="L410" t="n">
        <v>0</v>
      </c>
      <c r="M410" t="n">
        <v>0</v>
      </c>
      <c r="N410" t="n">
        <v>0</v>
      </c>
      <c r="O410" t="n">
        <v>0</v>
      </c>
      <c r="P410" t="n">
        <v>0</v>
      </c>
      <c r="Q410" t="n">
        <v>0</v>
      </c>
      <c r="R410" s="2" t="inlineStr"/>
    </row>
    <row r="411" ht="15" customHeight="1">
      <c r="A411" t="inlineStr">
        <is>
          <t>A 60848-2025</t>
        </is>
      </c>
      <c r="B411" s="1" t="n">
        <v>45999</v>
      </c>
      <c r="C411" s="1" t="n">
        <v>46136</v>
      </c>
      <c r="D411" t="inlineStr">
        <is>
          <t>UPPSALA LÄN</t>
        </is>
      </c>
      <c r="E411" t="inlineStr">
        <is>
          <t>ENKÖPING</t>
        </is>
      </c>
      <c r="G411" t="n">
        <v>2.5</v>
      </c>
      <c r="H411" t="n">
        <v>0</v>
      </c>
      <c r="I411" t="n">
        <v>0</v>
      </c>
      <c r="J411" t="n">
        <v>0</v>
      </c>
      <c r="K411" t="n">
        <v>0</v>
      </c>
      <c r="L411" t="n">
        <v>0</v>
      </c>
      <c r="M411" t="n">
        <v>0</v>
      </c>
      <c r="N411" t="n">
        <v>0</v>
      </c>
      <c r="O411" t="n">
        <v>0</v>
      </c>
      <c r="P411" t="n">
        <v>0</v>
      </c>
      <c r="Q411" t="n">
        <v>0</v>
      </c>
      <c r="R411" s="2" t="inlineStr"/>
    </row>
    <row r="412" ht="15" customHeight="1">
      <c r="A412" t="inlineStr">
        <is>
          <t>A 3550-2023</t>
        </is>
      </c>
      <c r="B412" s="1" t="n">
        <v>44950</v>
      </c>
      <c r="C412" s="1" t="n">
        <v>46136</v>
      </c>
      <c r="D412" t="inlineStr">
        <is>
          <t>UPPSALA LÄN</t>
        </is>
      </c>
      <c r="E412" t="inlineStr">
        <is>
          <t>ENKÖPING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46136</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61207-2023</t>
        </is>
      </c>
      <c r="B414" s="1" t="n">
        <v>45264.39444444444</v>
      </c>
      <c r="C414" s="1" t="n">
        <v>46136</v>
      </c>
      <c r="D414" t="inlineStr">
        <is>
          <t>UPPSALA LÄN</t>
        </is>
      </c>
      <c r="E414" t="inlineStr">
        <is>
          <t>ENKÖPING</t>
        </is>
      </c>
      <c r="G414" t="n">
        <v>10.8</v>
      </c>
      <c r="H414" t="n">
        <v>0</v>
      </c>
      <c r="I414" t="n">
        <v>0</v>
      </c>
      <c r="J414" t="n">
        <v>0</v>
      </c>
      <c r="K414" t="n">
        <v>0</v>
      </c>
      <c r="L414" t="n">
        <v>0</v>
      </c>
      <c r="M414" t="n">
        <v>0</v>
      </c>
      <c r="N414" t="n">
        <v>0</v>
      </c>
      <c r="O414" t="n">
        <v>0</v>
      </c>
      <c r="P414" t="n">
        <v>0</v>
      </c>
      <c r="Q414" t="n">
        <v>0</v>
      </c>
      <c r="R414" s="2" t="inlineStr"/>
    </row>
    <row r="415" ht="15" customHeight="1">
      <c r="A415" t="inlineStr">
        <is>
          <t>A 840-2025</t>
        </is>
      </c>
      <c r="B415" s="1" t="n">
        <v>45665</v>
      </c>
      <c r="C415" s="1" t="n">
        <v>46136</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10458-2022</t>
        </is>
      </c>
      <c r="B416" s="1" t="n">
        <v>44623.56711805556</v>
      </c>
      <c r="C416" s="1" t="n">
        <v>46136</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45142-2023</t>
        </is>
      </c>
      <c r="B417" s="1" t="n">
        <v>45191.4702662037</v>
      </c>
      <c r="C417" s="1" t="n">
        <v>46136</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57998-2024</t>
        </is>
      </c>
      <c r="B418" s="1" t="n">
        <v>45631</v>
      </c>
      <c r="C418" s="1" t="n">
        <v>46136</v>
      </c>
      <c r="D418" t="inlineStr">
        <is>
          <t>UPPSALA LÄN</t>
        </is>
      </c>
      <c r="E418" t="inlineStr">
        <is>
          <t>ENKÖPING</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14332-2024</t>
        </is>
      </c>
      <c r="B419" s="1" t="n">
        <v>45393</v>
      </c>
      <c r="C419" s="1" t="n">
        <v>46136</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18831-2023</t>
        </is>
      </c>
      <c r="B420" s="1" t="n">
        <v>45044.40798611111</v>
      </c>
      <c r="C420" s="1" t="n">
        <v>46136</v>
      </c>
      <c r="D420" t="inlineStr">
        <is>
          <t>UPPSALA LÄN</t>
        </is>
      </c>
      <c r="E420" t="inlineStr">
        <is>
          <t>ENKÖPING</t>
        </is>
      </c>
      <c r="G420" t="n">
        <v>4.3</v>
      </c>
      <c r="H420" t="n">
        <v>0</v>
      </c>
      <c r="I420" t="n">
        <v>0</v>
      </c>
      <c r="J420" t="n">
        <v>0</v>
      </c>
      <c r="K420" t="n">
        <v>0</v>
      </c>
      <c r="L420" t="n">
        <v>0</v>
      </c>
      <c r="M420" t="n">
        <v>0</v>
      </c>
      <c r="N420" t="n">
        <v>0</v>
      </c>
      <c r="O420" t="n">
        <v>0</v>
      </c>
      <c r="P420" t="n">
        <v>0</v>
      </c>
      <c r="Q420" t="n">
        <v>0</v>
      </c>
      <c r="R420" s="2" t="inlineStr"/>
    </row>
    <row r="421" ht="15" customHeight="1">
      <c r="A421" t="inlineStr">
        <is>
          <t>A 33581-2023</t>
        </is>
      </c>
      <c r="B421" s="1" t="n">
        <v>45131</v>
      </c>
      <c r="C421" s="1" t="n">
        <v>46136</v>
      </c>
      <c r="D421" t="inlineStr">
        <is>
          <t>UPPSALA LÄN</t>
        </is>
      </c>
      <c r="E421" t="inlineStr">
        <is>
          <t>ENKÖPING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37115-2024</t>
        </is>
      </c>
      <c r="B422" s="1" t="n">
        <v>45539</v>
      </c>
      <c r="C422" s="1" t="n">
        <v>46136</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1960-2022</t>
        </is>
      </c>
      <c r="B423" s="1" t="n">
        <v>44575</v>
      </c>
      <c r="C423" s="1" t="n">
        <v>46136</v>
      </c>
      <c r="D423" t="inlineStr">
        <is>
          <t>UPPSALA LÄN</t>
        </is>
      </c>
      <c r="E423" t="inlineStr">
        <is>
          <t>ENKÖPING</t>
        </is>
      </c>
      <c r="G423" t="n">
        <v>1.3</v>
      </c>
      <c r="H423" t="n">
        <v>0</v>
      </c>
      <c r="I423" t="n">
        <v>0</v>
      </c>
      <c r="J423" t="n">
        <v>0</v>
      </c>
      <c r="K423" t="n">
        <v>0</v>
      </c>
      <c r="L423" t="n">
        <v>0</v>
      </c>
      <c r="M423" t="n">
        <v>0</v>
      </c>
      <c r="N423" t="n">
        <v>0</v>
      </c>
      <c r="O423" t="n">
        <v>0</v>
      </c>
      <c r="P423" t="n">
        <v>0</v>
      </c>
      <c r="Q423" t="n">
        <v>0</v>
      </c>
      <c r="R423" s="2" t="inlineStr"/>
    </row>
    <row r="424" ht="15" customHeight="1">
      <c r="A424" t="inlineStr">
        <is>
          <t>A 18028-2023</t>
        </is>
      </c>
      <c r="B424" s="1" t="n">
        <v>45040</v>
      </c>
      <c r="C424" s="1" t="n">
        <v>46136</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49568-2022</t>
        </is>
      </c>
      <c r="B425" s="1" t="n">
        <v>44862.32791666667</v>
      </c>
      <c r="C425" s="1" t="n">
        <v>46136</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42459-2024</t>
        </is>
      </c>
      <c r="B426" s="1" t="n">
        <v>45565</v>
      </c>
      <c r="C426" s="1" t="n">
        <v>46136</v>
      </c>
      <c r="D426" t="inlineStr">
        <is>
          <t>UPPSALA LÄN</t>
        </is>
      </c>
      <c r="E426" t="inlineStr">
        <is>
          <t>ENKÖPING</t>
        </is>
      </c>
      <c r="G426" t="n">
        <v>3.6</v>
      </c>
      <c r="H426" t="n">
        <v>0</v>
      </c>
      <c r="I426" t="n">
        <v>0</v>
      </c>
      <c r="J426" t="n">
        <v>0</v>
      </c>
      <c r="K426" t="n">
        <v>0</v>
      </c>
      <c r="L426" t="n">
        <v>0</v>
      </c>
      <c r="M426" t="n">
        <v>0</v>
      </c>
      <c r="N426" t="n">
        <v>0</v>
      </c>
      <c r="O426" t="n">
        <v>0</v>
      </c>
      <c r="P426" t="n">
        <v>0</v>
      </c>
      <c r="Q426" t="n">
        <v>0</v>
      </c>
      <c r="R426" s="2" t="inlineStr"/>
    </row>
    <row r="427" ht="15" customHeight="1">
      <c r="A427" t="inlineStr">
        <is>
          <t>A 48864-2022</t>
        </is>
      </c>
      <c r="B427" s="1" t="n">
        <v>44859</v>
      </c>
      <c r="C427" s="1" t="n">
        <v>46136</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46136</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6356-2022</t>
        </is>
      </c>
      <c r="B429" s="1" t="n">
        <v>44600</v>
      </c>
      <c r="C429" s="1" t="n">
        <v>46136</v>
      </c>
      <c r="D429" t="inlineStr">
        <is>
          <t>UPPSALA LÄN</t>
        </is>
      </c>
      <c r="E429" t="inlineStr">
        <is>
          <t>ENKÖPING</t>
        </is>
      </c>
      <c r="G429" t="n">
        <v>1.2</v>
      </c>
      <c r="H429" t="n">
        <v>0</v>
      </c>
      <c r="I429" t="n">
        <v>0</v>
      </c>
      <c r="J429" t="n">
        <v>0</v>
      </c>
      <c r="K429" t="n">
        <v>0</v>
      </c>
      <c r="L429" t="n">
        <v>0</v>
      </c>
      <c r="M429" t="n">
        <v>0</v>
      </c>
      <c r="N429" t="n">
        <v>0</v>
      </c>
      <c r="O429" t="n">
        <v>0</v>
      </c>
      <c r="P429" t="n">
        <v>0</v>
      </c>
      <c r="Q429" t="n">
        <v>0</v>
      </c>
      <c r="R429" s="2" t="inlineStr"/>
    </row>
    <row r="430" ht="15" customHeight="1">
      <c r="A430" t="inlineStr">
        <is>
          <t>A 57147-2021</t>
        </is>
      </c>
      <c r="B430" s="1" t="n">
        <v>44482</v>
      </c>
      <c r="C430" s="1" t="n">
        <v>46136</v>
      </c>
      <c r="D430" t="inlineStr">
        <is>
          <t>UPPSALA LÄN</t>
        </is>
      </c>
      <c r="E430" t="inlineStr">
        <is>
          <t>ENKÖPING</t>
        </is>
      </c>
      <c r="G430" t="n">
        <v>5.7</v>
      </c>
      <c r="H430" t="n">
        <v>0</v>
      </c>
      <c r="I430" t="n">
        <v>0</v>
      </c>
      <c r="J430" t="n">
        <v>0</v>
      </c>
      <c r="K430" t="n">
        <v>0</v>
      </c>
      <c r="L430" t="n">
        <v>0</v>
      </c>
      <c r="M430" t="n">
        <v>0</v>
      </c>
      <c r="N430" t="n">
        <v>0</v>
      </c>
      <c r="O430" t="n">
        <v>0</v>
      </c>
      <c r="P430" t="n">
        <v>0</v>
      </c>
      <c r="Q430" t="n">
        <v>0</v>
      </c>
      <c r="R430" s="2" t="inlineStr"/>
    </row>
    <row r="431" ht="15" customHeight="1">
      <c r="A431" t="inlineStr">
        <is>
          <t>A 47909-2024</t>
        </is>
      </c>
      <c r="B431" s="1" t="n">
        <v>45589.31866898148</v>
      </c>
      <c r="C431" s="1" t="n">
        <v>46136</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52005-2024</t>
        </is>
      </c>
      <c r="B432" s="1" t="n">
        <v>45607.7627662037</v>
      </c>
      <c r="C432" s="1" t="n">
        <v>46136</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53586-2024</t>
        </is>
      </c>
      <c r="B433" s="1" t="n">
        <v>45614</v>
      </c>
      <c r="C433" s="1" t="n">
        <v>46136</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51034-2024</t>
        </is>
      </c>
      <c r="B434" s="1" t="n">
        <v>45603.4262037037</v>
      </c>
      <c r="C434" s="1" t="n">
        <v>46136</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51036-2024</t>
        </is>
      </c>
      <c r="B435" s="1" t="n">
        <v>45603.42839120371</v>
      </c>
      <c r="C435" s="1" t="n">
        <v>46136</v>
      </c>
      <c r="D435" t="inlineStr">
        <is>
          <t>UPPSALA LÄN</t>
        </is>
      </c>
      <c r="E435" t="inlineStr">
        <is>
          <t>ENKÖPING</t>
        </is>
      </c>
      <c r="G435" t="n">
        <v>2.6</v>
      </c>
      <c r="H435" t="n">
        <v>0</v>
      </c>
      <c r="I435" t="n">
        <v>0</v>
      </c>
      <c r="J435" t="n">
        <v>0</v>
      </c>
      <c r="K435" t="n">
        <v>0</v>
      </c>
      <c r="L435" t="n">
        <v>0</v>
      </c>
      <c r="M435" t="n">
        <v>0</v>
      </c>
      <c r="N435" t="n">
        <v>0</v>
      </c>
      <c r="O435" t="n">
        <v>0</v>
      </c>
      <c r="P435" t="n">
        <v>0</v>
      </c>
      <c r="Q435" t="n">
        <v>0</v>
      </c>
      <c r="R435" s="2" t="inlineStr"/>
    </row>
    <row r="436" ht="15" customHeight="1">
      <c r="A436" t="inlineStr">
        <is>
          <t>A 43492-2023</t>
        </is>
      </c>
      <c r="B436" s="1" t="n">
        <v>45181</v>
      </c>
      <c r="C436" s="1" t="n">
        <v>46136</v>
      </c>
      <c r="D436" t="inlineStr">
        <is>
          <t>UPPSALA LÄN</t>
        </is>
      </c>
      <c r="E436" t="inlineStr">
        <is>
          <t>ENKÖPING</t>
        </is>
      </c>
      <c r="G436" t="n">
        <v>1.6</v>
      </c>
      <c r="H436" t="n">
        <v>0</v>
      </c>
      <c r="I436" t="n">
        <v>0</v>
      </c>
      <c r="J436" t="n">
        <v>0</v>
      </c>
      <c r="K436" t="n">
        <v>0</v>
      </c>
      <c r="L436" t="n">
        <v>0</v>
      </c>
      <c r="M436" t="n">
        <v>0</v>
      </c>
      <c r="N436" t="n">
        <v>0</v>
      </c>
      <c r="O436" t="n">
        <v>0</v>
      </c>
      <c r="P436" t="n">
        <v>0</v>
      </c>
      <c r="Q436" t="n">
        <v>0</v>
      </c>
      <c r="R436" s="2" t="inlineStr"/>
    </row>
    <row r="437" ht="15" customHeight="1">
      <c r="A437" t="inlineStr">
        <is>
          <t>A 1536-2024</t>
        </is>
      </c>
      <c r="B437" s="1" t="n">
        <v>45306</v>
      </c>
      <c r="C437" s="1" t="n">
        <v>46136</v>
      </c>
      <c r="D437" t="inlineStr">
        <is>
          <t>UPPSALA LÄN</t>
        </is>
      </c>
      <c r="E437" t="inlineStr">
        <is>
          <t>ENKÖPING</t>
        </is>
      </c>
      <c r="F437" t="inlineStr">
        <is>
          <t>Kyrkan</t>
        </is>
      </c>
      <c r="G437" t="n">
        <v>5.6</v>
      </c>
      <c r="H437" t="n">
        <v>0</v>
      </c>
      <c r="I437" t="n">
        <v>0</v>
      </c>
      <c r="J437" t="n">
        <v>0</v>
      </c>
      <c r="K437" t="n">
        <v>0</v>
      </c>
      <c r="L437" t="n">
        <v>0</v>
      </c>
      <c r="M437" t="n">
        <v>0</v>
      </c>
      <c r="N437" t="n">
        <v>0</v>
      </c>
      <c r="O437" t="n">
        <v>0</v>
      </c>
      <c r="P437" t="n">
        <v>0</v>
      </c>
      <c r="Q437" t="n">
        <v>0</v>
      </c>
      <c r="R437" s="2" t="inlineStr"/>
    </row>
    <row r="438" ht="15" customHeight="1">
      <c r="A438" t="inlineStr">
        <is>
          <t>A 2974-2025</t>
        </is>
      </c>
      <c r="B438" s="1" t="n">
        <v>45678.47168981482</v>
      </c>
      <c r="C438" s="1" t="n">
        <v>46136</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16916-2023</t>
        </is>
      </c>
      <c r="B439" s="1" t="n">
        <v>45033.58347222222</v>
      </c>
      <c r="C439" s="1" t="n">
        <v>46136</v>
      </c>
      <c r="D439" t="inlineStr">
        <is>
          <t>UPPSALA LÄN</t>
        </is>
      </c>
      <c r="E439" t="inlineStr">
        <is>
          <t>ENKÖPING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16920-2023</t>
        </is>
      </c>
      <c r="B440" s="1" t="n">
        <v>45033.59030092593</v>
      </c>
      <c r="C440" s="1" t="n">
        <v>46136</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52388-2024</t>
        </is>
      </c>
      <c r="B441" s="1" t="n">
        <v>45609.42939814815</v>
      </c>
      <c r="C441" s="1" t="n">
        <v>46136</v>
      </c>
      <c r="D441" t="inlineStr">
        <is>
          <t>UPPSALA LÄN</t>
        </is>
      </c>
      <c r="E441" t="inlineStr">
        <is>
          <t>ENKÖPING</t>
        </is>
      </c>
      <c r="G441" t="n">
        <v>1.8</v>
      </c>
      <c r="H441" t="n">
        <v>0</v>
      </c>
      <c r="I441" t="n">
        <v>0</v>
      </c>
      <c r="J441" t="n">
        <v>0</v>
      </c>
      <c r="K441" t="n">
        <v>0</v>
      </c>
      <c r="L441" t="n">
        <v>0</v>
      </c>
      <c r="M441" t="n">
        <v>0</v>
      </c>
      <c r="N441" t="n">
        <v>0</v>
      </c>
      <c r="O441" t="n">
        <v>0</v>
      </c>
      <c r="P441" t="n">
        <v>0</v>
      </c>
      <c r="Q441" t="n">
        <v>0</v>
      </c>
      <c r="R441" s="2" t="inlineStr"/>
    </row>
    <row r="442" ht="15" customHeight="1">
      <c r="A442" t="inlineStr">
        <is>
          <t>A 1992-2022</t>
        </is>
      </c>
      <c r="B442" s="1" t="n">
        <v>44575.56153935185</v>
      </c>
      <c r="C442" s="1" t="n">
        <v>46136</v>
      </c>
      <c r="D442" t="inlineStr">
        <is>
          <t>UPPSALA LÄN</t>
        </is>
      </c>
      <c r="E442" t="inlineStr">
        <is>
          <t>ENKÖPING</t>
        </is>
      </c>
      <c r="G442" t="n">
        <v>2.8</v>
      </c>
      <c r="H442" t="n">
        <v>0</v>
      </c>
      <c r="I442" t="n">
        <v>0</v>
      </c>
      <c r="J442" t="n">
        <v>0</v>
      </c>
      <c r="K442" t="n">
        <v>0</v>
      </c>
      <c r="L442" t="n">
        <v>0</v>
      </c>
      <c r="M442" t="n">
        <v>0</v>
      </c>
      <c r="N442" t="n">
        <v>0</v>
      </c>
      <c r="O442" t="n">
        <v>0</v>
      </c>
      <c r="P442" t="n">
        <v>0</v>
      </c>
      <c r="Q442" t="n">
        <v>0</v>
      </c>
      <c r="R442" s="2" t="inlineStr"/>
    </row>
    <row r="443" ht="15" customHeight="1">
      <c r="A443" t="inlineStr">
        <is>
          <t>A 6626-2023</t>
        </is>
      </c>
      <c r="B443" s="1" t="n">
        <v>44966.55946759259</v>
      </c>
      <c r="C443" s="1" t="n">
        <v>46136</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48843-2023</t>
        </is>
      </c>
      <c r="B444" s="1" t="n">
        <v>45209</v>
      </c>
      <c r="C444" s="1" t="n">
        <v>46136</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57940-2022</t>
        </is>
      </c>
      <c r="B445" s="1" t="n">
        <v>44900</v>
      </c>
      <c r="C445" s="1" t="n">
        <v>46136</v>
      </c>
      <c r="D445" t="inlineStr">
        <is>
          <t>UPPSALA LÄN</t>
        </is>
      </c>
      <c r="E445" t="inlineStr">
        <is>
          <t>ENKÖPING</t>
        </is>
      </c>
      <c r="G445" t="n">
        <v>1.9</v>
      </c>
      <c r="H445" t="n">
        <v>0</v>
      </c>
      <c r="I445" t="n">
        <v>0</v>
      </c>
      <c r="J445" t="n">
        <v>0</v>
      </c>
      <c r="K445" t="n">
        <v>0</v>
      </c>
      <c r="L445" t="n">
        <v>0</v>
      </c>
      <c r="M445" t="n">
        <v>0</v>
      </c>
      <c r="N445" t="n">
        <v>0</v>
      </c>
      <c r="O445" t="n">
        <v>0</v>
      </c>
      <c r="P445" t="n">
        <v>0</v>
      </c>
      <c r="Q445" t="n">
        <v>0</v>
      </c>
      <c r="R445" s="2" t="inlineStr"/>
    </row>
    <row r="446" ht="15" customHeight="1">
      <c r="A446" t="inlineStr">
        <is>
          <t>A 35079-2024</t>
        </is>
      </c>
      <c r="B446" s="1" t="n">
        <v>45527.66770833333</v>
      </c>
      <c r="C446" s="1" t="n">
        <v>46136</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53595-2023</t>
        </is>
      </c>
      <c r="B447" s="1" t="n">
        <v>45223</v>
      </c>
      <c r="C447" s="1" t="n">
        <v>46136</v>
      </c>
      <c r="D447" t="inlineStr">
        <is>
          <t>UPPSALA LÄN</t>
        </is>
      </c>
      <c r="E447" t="inlineStr">
        <is>
          <t>ENKÖPING</t>
        </is>
      </c>
      <c r="G447" t="n">
        <v>2.6</v>
      </c>
      <c r="H447" t="n">
        <v>0</v>
      </c>
      <c r="I447" t="n">
        <v>0</v>
      </c>
      <c r="J447" t="n">
        <v>0</v>
      </c>
      <c r="K447" t="n">
        <v>0</v>
      </c>
      <c r="L447" t="n">
        <v>0</v>
      </c>
      <c r="M447" t="n">
        <v>0</v>
      </c>
      <c r="N447" t="n">
        <v>0</v>
      </c>
      <c r="O447" t="n">
        <v>0</v>
      </c>
      <c r="P447" t="n">
        <v>0</v>
      </c>
      <c r="Q447" t="n">
        <v>0</v>
      </c>
      <c r="R447" s="2" t="inlineStr"/>
    </row>
    <row r="448" ht="15" customHeight="1">
      <c r="A448" t="inlineStr">
        <is>
          <t>A 60533-2021</t>
        </is>
      </c>
      <c r="B448" s="1" t="n">
        <v>44496</v>
      </c>
      <c r="C448" s="1" t="n">
        <v>46136</v>
      </c>
      <c r="D448" t="inlineStr">
        <is>
          <t>UPPSALA LÄN</t>
        </is>
      </c>
      <c r="E448" t="inlineStr">
        <is>
          <t>ENKÖPING</t>
        </is>
      </c>
      <c r="G448" t="n">
        <v>2.2</v>
      </c>
      <c r="H448" t="n">
        <v>0</v>
      </c>
      <c r="I448" t="n">
        <v>0</v>
      </c>
      <c r="J448" t="n">
        <v>0</v>
      </c>
      <c r="K448" t="n">
        <v>0</v>
      </c>
      <c r="L448" t="n">
        <v>0</v>
      </c>
      <c r="M448" t="n">
        <v>0</v>
      </c>
      <c r="N448" t="n">
        <v>0</v>
      </c>
      <c r="O448" t="n">
        <v>0</v>
      </c>
      <c r="P448" t="n">
        <v>0</v>
      </c>
      <c r="Q448" t="n">
        <v>0</v>
      </c>
      <c r="R448" s="2" t="inlineStr"/>
    </row>
    <row r="449" ht="15" customHeight="1">
      <c r="A449" t="inlineStr">
        <is>
          <t>A 15757-2023</t>
        </is>
      </c>
      <c r="B449" s="1" t="n">
        <v>45021</v>
      </c>
      <c r="C449" s="1" t="n">
        <v>46136</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43230-2023</t>
        </is>
      </c>
      <c r="B450" s="1" t="n">
        <v>45183</v>
      </c>
      <c r="C450" s="1" t="n">
        <v>46136</v>
      </c>
      <c r="D450" t="inlineStr">
        <is>
          <t>UPPSALA LÄN</t>
        </is>
      </c>
      <c r="E450" t="inlineStr">
        <is>
          <t>ENKÖPING</t>
        </is>
      </c>
      <c r="G450" t="n">
        <v>2.1</v>
      </c>
      <c r="H450" t="n">
        <v>0</v>
      </c>
      <c r="I450" t="n">
        <v>0</v>
      </c>
      <c r="J450" t="n">
        <v>0</v>
      </c>
      <c r="K450" t="n">
        <v>0</v>
      </c>
      <c r="L450" t="n">
        <v>0</v>
      </c>
      <c r="M450" t="n">
        <v>0</v>
      </c>
      <c r="N450" t="n">
        <v>0</v>
      </c>
      <c r="O450" t="n">
        <v>0</v>
      </c>
      <c r="P450" t="n">
        <v>0</v>
      </c>
      <c r="Q450" t="n">
        <v>0</v>
      </c>
      <c r="R450" s="2" t="inlineStr"/>
    </row>
    <row r="451" ht="15" customHeight="1">
      <c r="A451" t="inlineStr">
        <is>
          <t>A 56886-2023</t>
        </is>
      </c>
      <c r="B451" s="1" t="n">
        <v>45239</v>
      </c>
      <c r="C451" s="1" t="n">
        <v>46136</v>
      </c>
      <c r="D451" t="inlineStr">
        <is>
          <t>UPPSALA LÄN</t>
        </is>
      </c>
      <c r="E451" t="inlineStr">
        <is>
          <t>ENKÖPING</t>
        </is>
      </c>
      <c r="G451" t="n">
        <v>2</v>
      </c>
      <c r="H451" t="n">
        <v>0</v>
      </c>
      <c r="I451" t="n">
        <v>0</v>
      </c>
      <c r="J451" t="n">
        <v>0</v>
      </c>
      <c r="K451" t="n">
        <v>0</v>
      </c>
      <c r="L451" t="n">
        <v>0</v>
      </c>
      <c r="M451" t="n">
        <v>0</v>
      </c>
      <c r="N451" t="n">
        <v>0</v>
      </c>
      <c r="O451" t="n">
        <v>0</v>
      </c>
      <c r="P451" t="n">
        <v>0</v>
      </c>
      <c r="Q451" t="n">
        <v>0</v>
      </c>
      <c r="R451" s="2" t="inlineStr"/>
    </row>
    <row r="452" ht="15" customHeight="1">
      <c r="A452" t="inlineStr">
        <is>
          <t>A 51011-2024</t>
        </is>
      </c>
      <c r="B452" s="1" t="n">
        <v>45603.39427083333</v>
      </c>
      <c r="C452" s="1" t="n">
        <v>46136</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12102-2024</t>
        </is>
      </c>
      <c r="B453" s="1" t="n">
        <v>45377</v>
      </c>
      <c r="C453" s="1" t="n">
        <v>46136</v>
      </c>
      <c r="D453" t="inlineStr">
        <is>
          <t>UPPSALA LÄN</t>
        </is>
      </c>
      <c r="E453" t="inlineStr">
        <is>
          <t>ENKÖPING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58961-2024</t>
        </is>
      </c>
      <c r="B454" s="1" t="n">
        <v>45636.585</v>
      </c>
      <c r="C454" s="1" t="n">
        <v>46136</v>
      </c>
      <c r="D454" t="inlineStr">
        <is>
          <t>UPPSALA LÄN</t>
        </is>
      </c>
      <c r="E454" t="inlineStr">
        <is>
          <t>ENKÖPING</t>
        </is>
      </c>
      <c r="G454" t="n">
        <v>4</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46136</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845-2025</t>
        </is>
      </c>
      <c r="B456" s="1" t="n">
        <v>45665</v>
      </c>
      <c r="C456" s="1" t="n">
        <v>46136</v>
      </c>
      <c r="D456" t="inlineStr">
        <is>
          <t>UPPSALA LÄN</t>
        </is>
      </c>
      <c r="E456" t="inlineStr">
        <is>
          <t>ENKÖPING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849-2025</t>
        </is>
      </c>
      <c r="B457" s="1" t="n">
        <v>45665</v>
      </c>
      <c r="C457" s="1" t="n">
        <v>46136</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58147-2024</t>
        </is>
      </c>
      <c r="B458" s="1" t="n">
        <v>45632.4334375</v>
      </c>
      <c r="C458" s="1" t="n">
        <v>46136</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18302-2025</t>
        </is>
      </c>
      <c r="B459" s="1" t="n">
        <v>45762</v>
      </c>
      <c r="C459" s="1" t="n">
        <v>46136</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34735-2023</t>
        </is>
      </c>
      <c r="B460" s="1" t="n">
        <v>45139</v>
      </c>
      <c r="C460" s="1" t="n">
        <v>46136</v>
      </c>
      <c r="D460" t="inlineStr">
        <is>
          <t>UPPSALA LÄN</t>
        </is>
      </c>
      <c r="E460" t="inlineStr">
        <is>
          <t>ENKÖPING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30514-2021</t>
        </is>
      </c>
      <c r="B461" s="1" t="n">
        <v>44364</v>
      </c>
      <c r="C461" s="1" t="n">
        <v>46136</v>
      </c>
      <c r="D461" t="inlineStr">
        <is>
          <t>UPPSALA LÄN</t>
        </is>
      </c>
      <c r="E461" t="inlineStr">
        <is>
          <t>ENKÖPING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57209-2024</t>
        </is>
      </c>
      <c r="B462" s="1" t="n">
        <v>45629.49311342592</v>
      </c>
      <c r="C462" s="1" t="n">
        <v>46136</v>
      </c>
      <c r="D462" t="inlineStr">
        <is>
          <t>UPPSALA LÄN</t>
        </is>
      </c>
      <c r="E462" t="inlineStr">
        <is>
          <t>ENKÖPING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13110-2023</t>
        </is>
      </c>
      <c r="B463" s="1" t="n">
        <v>45001</v>
      </c>
      <c r="C463" s="1" t="n">
        <v>46136</v>
      </c>
      <c r="D463" t="inlineStr">
        <is>
          <t>UPPSALA LÄN</t>
        </is>
      </c>
      <c r="E463" t="inlineStr">
        <is>
          <t>ENKÖPING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49627-2024</t>
        </is>
      </c>
      <c r="B464" s="1" t="n">
        <v>45596.59140046296</v>
      </c>
      <c r="C464" s="1" t="n">
        <v>46136</v>
      </c>
      <c r="D464" t="inlineStr">
        <is>
          <t>UPPSALA LÄN</t>
        </is>
      </c>
      <c r="E464" t="inlineStr">
        <is>
          <t>ENKÖPING</t>
        </is>
      </c>
      <c r="G464" t="n">
        <v>0.4</v>
      </c>
      <c r="H464" t="n">
        <v>0</v>
      </c>
      <c r="I464" t="n">
        <v>0</v>
      </c>
      <c r="J464" t="n">
        <v>0</v>
      </c>
      <c r="K464" t="n">
        <v>0</v>
      </c>
      <c r="L464" t="n">
        <v>0</v>
      </c>
      <c r="M464" t="n">
        <v>0</v>
      </c>
      <c r="N464" t="n">
        <v>0</v>
      </c>
      <c r="O464" t="n">
        <v>0</v>
      </c>
      <c r="P464" t="n">
        <v>0</v>
      </c>
      <c r="Q464" t="n">
        <v>0</v>
      </c>
      <c r="R464" s="2" t="inlineStr"/>
    </row>
    <row r="465" ht="15" customHeight="1">
      <c r="A465" t="inlineStr">
        <is>
          <t>A 9231-2023</t>
        </is>
      </c>
      <c r="B465" s="1" t="n">
        <v>44980</v>
      </c>
      <c r="C465" s="1" t="n">
        <v>46136</v>
      </c>
      <c r="D465" t="inlineStr">
        <is>
          <t>UPPSALA LÄN</t>
        </is>
      </c>
      <c r="E465" t="inlineStr">
        <is>
          <t>ENKÖPING</t>
        </is>
      </c>
      <c r="G465" t="n">
        <v>1.5</v>
      </c>
      <c r="H465" t="n">
        <v>0</v>
      </c>
      <c r="I465" t="n">
        <v>0</v>
      </c>
      <c r="J465" t="n">
        <v>0</v>
      </c>
      <c r="K465" t="n">
        <v>0</v>
      </c>
      <c r="L465" t="n">
        <v>0</v>
      </c>
      <c r="M465" t="n">
        <v>0</v>
      </c>
      <c r="N465" t="n">
        <v>0</v>
      </c>
      <c r="O465" t="n">
        <v>0</v>
      </c>
      <c r="P465" t="n">
        <v>0</v>
      </c>
      <c r="Q465" t="n">
        <v>0</v>
      </c>
      <c r="R465" s="2" t="inlineStr"/>
    </row>
    <row r="466" ht="15" customHeight="1">
      <c r="A466" t="inlineStr">
        <is>
          <t>A 27538-2023</t>
        </is>
      </c>
      <c r="B466" s="1" t="n">
        <v>45097</v>
      </c>
      <c r="C466" s="1" t="n">
        <v>46136</v>
      </c>
      <c r="D466" t="inlineStr">
        <is>
          <t>UPPSALA LÄN</t>
        </is>
      </c>
      <c r="E466" t="inlineStr">
        <is>
          <t>ENKÖPING</t>
        </is>
      </c>
      <c r="G466" t="n">
        <v>5.8</v>
      </c>
      <c r="H466" t="n">
        <v>0</v>
      </c>
      <c r="I466" t="n">
        <v>0</v>
      </c>
      <c r="J466" t="n">
        <v>0</v>
      </c>
      <c r="K466" t="n">
        <v>0</v>
      </c>
      <c r="L466" t="n">
        <v>0</v>
      </c>
      <c r="M466" t="n">
        <v>0</v>
      </c>
      <c r="N466" t="n">
        <v>0</v>
      </c>
      <c r="O466" t="n">
        <v>0</v>
      </c>
      <c r="P466" t="n">
        <v>0</v>
      </c>
      <c r="Q466" t="n">
        <v>0</v>
      </c>
      <c r="R466" s="2" t="inlineStr"/>
    </row>
    <row r="467" ht="15" customHeight="1">
      <c r="A467" t="inlineStr">
        <is>
          <t>A 18821-2023</t>
        </is>
      </c>
      <c r="B467" s="1" t="n">
        <v>45044.3782175926</v>
      </c>
      <c r="C467" s="1" t="n">
        <v>46136</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52380-2024</t>
        </is>
      </c>
      <c r="B468" s="1" t="n">
        <v>45609</v>
      </c>
      <c r="C468" s="1" t="n">
        <v>46136</v>
      </c>
      <c r="D468" t="inlineStr">
        <is>
          <t>UPPSALA LÄN</t>
        </is>
      </c>
      <c r="E468" t="inlineStr">
        <is>
          <t>ENKÖPING</t>
        </is>
      </c>
      <c r="G468" t="n">
        <v>1.8</v>
      </c>
      <c r="H468" t="n">
        <v>0</v>
      </c>
      <c r="I468" t="n">
        <v>0</v>
      </c>
      <c r="J468" t="n">
        <v>0</v>
      </c>
      <c r="K468" t="n">
        <v>0</v>
      </c>
      <c r="L468" t="n">
        <v>0</v>
      </c>
      <c r="M468" t="n">
        <v>0</v>
      </c>
      <c r="N468" t="n">
        <v>0</v>
      </c>
      <c r="O468" t="n">
        <v>0</v>
      </c>
      <c r="P468" t="n">
        <v>0</v>
      </c>
      <c r="Q468" t="n">
        <v>0</v>
      </c>
      <c r="R468" s="2" t="inlineStr"/>
    </row>
    <row r="469" ht="15" customHeight="1">
      <c r="A469" t="inlineStr">
        <is>
          <t>A 9041-2023</t>
        </is>
      </c>
      <c r="B469" s="1" t="n">
        <v>44979</v>
      </c>
      <c r="C469" s="1" t="n">
        <v>46136</v>
      </c>
      <c r="D469" t="inlineStr">
        <is>
          <t>UPPSALA LÄN</t>
        </is>
      </c>
      <c r="E469" t="inlineStr">
        <is>
          <t>ENKÖPING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27786-2023</t>
        </is>
      </c>
      <c r="B470" s="1" t="n">
        <v>45098</v>
      </c>
      <c r="C470" s="1" t="n">
        <v>46136</v>
      </c>
      <c r="D470" t="inlineStr">
        <is>
          <t>UPPSALA LÄN</t>
        </is>
      </c>
      <c r="E470" t="inlineStr">
        <is>
          <t>ENKÖPING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15942-2022</t>
        </is>
      </c>
      <c r="B471" s="1" t="n">
        <v>44664</v>
      </c>
      <c r="C471" s="1" t="n">
        <v>46136</v>
      </c>
      <c r="D471" t="inlineStr">
        <is>
          <t>UPPSALA LÄN</t>
        </is>
      </c>
      <c r="E471" t="inlineStr">
        <is>
          <t>ENKÖPING</t>
        </is>
      </c>
      <c r="G471" t="n">
        <v>6.6</v>
      </c>
      <c r="H471" t="n">
        <v>0</v>
      </c>
      <c r="I471" t="n">
        <v>0</v>
      </c>
      <c r="J471" t="n">
        <v>0</v>
      </c>
      <c r="K471" t="n">
        <v>0</v>
      </c>
      <c r="L471" t="n">
        <v>0</v>
      </c>
      <c r="M471" t="n">
        <v>0</v>
      </c>
      <c r="N471" t="n">
        <v>0</v>
      </c>
      <c r="O471" t="n">
        <v>0</v>
      </c>
      <c r="P471" t="n">
        <v>0</v>
      </c>
      <c r="Q471" t="n">
        <v>0</v>
      </c>
      <c r="R471" s="2" t="inlineStr"/>
    </row>
    <row r="472" ht="15" customHeight="1">
      <c r="A472" t="inlineStr">
        <is>
          <t>A 50006-2023</t>
        </is>
      </c>
      <c r="B472" s="1" t="n">
        <v>45215</v>
      </c>
      <c r="C472" s="1" t="n">
        <v>46136</v>
      </c>
      <c r="D472" t="inlineStr">
        <is>
          <t>UPPSALA LÄN</t>
        </is>
      </c>
      <c r="E472" t="inlineStr">
        <is>
          <t>ENKÖPING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53607-2023</t>
        </is>
      </c>
      <c r="B473" s="1" t="n">
        <v>45230</v>
      </c>
      <c r="C473" s="1" t="n">
        <v>46136</v>
      </c>
      <c r="D473" t="inlineStr">
        <is>
          <t>UPPSALA LÄN</t>
        </is>
      </c>
      <c r="E473" t="inlineStr">
        <is>
          <t>ENKÖPING</t>
        </is>
      </c>
      <c r="F473" t="inlineStr">
        <is>
          <t>Allmännings- och besparingsskogar</t>
        </is>
      </c>
      <c r="G473" t="n">
        <v>6.3</v>
      </c>
      <c r="H473" t="n">
        <v>0</v>
      </c>
      <c r="I473" t="n">
        <v>0</v>
      </c>
      <c r="J473" t="n">
        <v>0</v>
      </c>
      <c r="K473" t="n">
        <v>0</v>
      </c>
      <c r="L473" t="n">
        <v>0</v>
      </c>
      <c r="M473" t="n">
        <v>0</v>
      </c>
      <c r="N473" t="n">
        <v>0</v>
      </c>
      <c r="O473" t="n">
        <v>0</v>
      </c>
      <c r="P473" t="n">
        <v>0</v>
      </c>
      <c r="Q473" t="n">
        <v>0</v>
      </c>
      <c r="R473" s="2" t="inlineStr"/>
    </row>
    <row r="474" ht="15" customHeight="1">
      <c r="A474" t="inlineStr">
        <is>
          <t>A 59497-2022</t>
        </is>
      </c>
      <c r="B474" s="1" t="n">
        <v>44907.48258101852</v>
      </c>
      <c r="C474" s="1" t="n">
        <v>46136</v>
      </c>
      <c r="D474" t="inlineStr">
        <is>
          <t>UPPSALA LÄN</t>
        </is>
      </c>
      <c r="E474" t="inlineStr">
        <is>
          <t>ENKÖPING</t>
        </is>
      </c>
      <c r="G474" t="n">
        <v>1.1</v>
      </c>
      <c r="H474" t="n">
        <v>0</v>
      </c>
      <c r="I474" t="n">
        <v>0</v>
      </c>
      <c r="J474" t="n">
        <v>0</v>
      </c>
      <c r="K474" t="n">
        <v>0</v>
      </c>
      <c r="L474" t="n">
        <v>0</v>
      </c>
      <c r="M474" t="n">
        <v>0</v>
      </c>
      <c r="N474" t="n">
        <v>0</v>
      </c>
      <c r="O474" t="n">
        <v>0</v>
      </c>
      <c r="P474" t="n">
        <v>0</v>
      </c>
      <c r="Q474" t="n">
        <v>0</v>
      </c>
      <c r="R474" s="2" t="inlineStr"/>
    </row>
    <row r="475" ht="15" customHeight="1">
      <c r="A475" t="inlineStr">
        <is>
          <t>A 49614-2024</t>
        </is>
      </c>
      <c r="B475" s="1" t="n">
        <v>45596.57716435185</v>
      </c>
      <c r="C475" s="1" t="n">
        <v>46136</v>
      </c>
      <c r="D475" t="inlineStr">
        <is>
          <t>UPPSALA LÄN</t>
        </is>
      </c>
      <c r="E475" t="inlineStr">
        <is>
          <t>ENKÖPING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49632-2024</t>
        </is>
      </c>
      <c r="B476" s="1" t="n">
        <v>45596</v>
      </c>
      <c r="C476" s="1" t="n">
        <v>46136</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51030-2024</t>
        </is>
      </c>
      <c r="B477" s="1" t="n">
        <v>45603</v>
      </c>
      <c r="C477" s="1" t="n">
        <v>46136</v>
      </c>
      <c r="D477" t="inlineStr">
        <is>
          <t>UPPSALA LÄN</t>
        </is>
      </c>
      <c r="E477" t="inlineStr">
        <is>
          <t>ENKÖPING</t>
        </is>
      </c>
      <c r="G477" t="n">
        <v>2</v>
      </c>
      <c r="H477" t="n">
        <v>0</v>
      </c>
      <c r="I477" t="n">
        <v>0</v>
      </c>
      <c r="J477" t="n">
        <v>0</v>
      </c>
      <c r="K477" t="n">
        <v>0</v>
      </c>
      <c r="L477" t="n">
        <v>0</v>
      </c>
      <c r="M477" t="n">
        <v>0</v>
      </c>
      <c r="N477" t="n">
        <v>0</v>
      </c>
      <c r="O477" t="n">
        <v>0</v>
      </c>
      <c r="P477" t="n">
        <v>0</v>
      </c>
      <c r="Q477" t="n">
        <v>0</v>
      </c>
      <c r="R477" s="2" t="inlineStr"/>
    </row>
    <row r="478" ht="15" customHeight="1">
      <c r="A478" t="inlineStr">
        <is>
          <t>A 15405-2025</t>
        </is>
      </c>
      <c r="B478" s="1" t="n">
        <v>45747.44670138889</v>
      </c>
      <c r="C478" s="1" t="n">
        <v>46136</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12878-2025</t>
        </is>
      </c>
      <c r="B479" s="1" t="n">
        <v>45733.68571759259</v>
      </c>
      <c r="C479" s="1" t="n">
        <v>46136</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46136</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47681-2024</t>
        </is>
      </c>
      <c r="B481" s="1" t="n">
        <v>45588</v>
      </c>
      <c r="C481" s="1" t="n">
        <v>46136</v>
      </c>
      <c r="D481" t="inlineStr">
        <is>
          <t>UPPSALA LÄN</t>
        </is>
      </c>
      <c r="E481" t="inlineStr">
        <is>
          <t>ENKÖPING</t>
        </is>
      </c>
      <c r="G481" t="n">
        <v>4.2</v>
      </c>
      <c r="H481" t="n">
        <v>0</v>
      </c>
      <c r="I481" t="n">
        <v>0</v>
      </c>
      <c r="J481" t="n">
        <v>0</v>
      </c>
      <c r="K481" t="n">
        <v>0</v>
      </c>
      <c r="L481" t="n">
        <v>0</v>
      </c>
      <c r="M481" t="n">
        <v>0</v>
      </c>
      <c r="N481" t="n">
        <v>0</v>
      </c>
      <c r="O481" t="n">
        <v>0</v>
      </c>
      <c r="P481" t="n">
        <v>0</v>
      </c>
      <c r="Q481" t="n">
        <v>0</v>
      </c>
      <c r="R481" s="2" t="inlineStr"/>
    </row>
    <row r="482" ht="15" customHeight="1">
      <c r="A482" t="inlineStr">
        <is>
          <t>A 12754-2025</t>
        </is>
      </c>
      <c r="B482" s="1" t="n">
        <v>45733.56331018519</v>
      </c>
      <c r="C482" s="1" t="n">
        <v>46136</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54588-2024</t>
        </is>
      </c>
      <c r="B483" s="1" t="n">
        <v>45617</v>
      </c>
      <c r="C483" s="1" t="n">
        <v>46136</v>
      </c>
      <c r="D483" t="inlineStr">
        <is>
          <t>UPPSALA LÄN</t>
        </is>
      </c>
      <c r="E483" t="inlineStr">
        <is>
          <t>ENKÖPING</t>
        </is>
      </c>
      <c r="G483" t="n">
        <v>3.7</v>
      </c>
      <c r="H483" t="n">
        <v>0</v>
      </c>
      <c r="I483" t="n">
        <v>0</v>
      </c>
      <c r="J483" t="n">
        <v>0</v>
      </c>
      <c r="K483" t="n">
        <v>0</v>
      </c>
      <c r="L483" t="n">
        <v>0</v>
      </c>
      <c r="M483" t="n">
        <v>0</v>
      </c>
      <c r="N483" t="n">
        <v>0</v>
      </c>
      <c r="O483" t="n">
        <v>0</v>
      </c>
      <c r="P483" t="n">
        <v>0</v>
      </c>
      <c r="Q483" t="n">
        <v>0</v>
      </c>
      <c r="R483" s="2" t="inlineStr"/>
    </row>
    <row r="484" ht="15" customHeight="1">
      <c r="A484" t="inlineStr">
        <is>
          <t>A 56713-2024</t>
        </is>
      </c>
      <c r="B484" s="1" t="n">
        <v>45628</v>
      </c>
      <c r="C484" s="1" t="n">
        <v>46136</v>
      </c>
      <c r="D484" t="inlineStr">
        <is>
          <t>UPPSALA LÄN</t>
        </is>
      </c>
      <c r="E484" t="inlineStr">
        <is>
          <t>ENKÖPING</t>
        </is>
      </c>
      <c r="G484" t="n">
        <v>1.7</v>
      </c>
      <c r="H484" t="n">
        <v>0</v>
      </c>
      <c r="I484" t="n">
        <v>0</v>
      </c>
      <c r="J484" t="n">
        <v>0</v>
      </c>
      <c r="K484" t="n">
        <v>0</v>
      </c>
      <c r="L484" t="n">
        <v>0</v>
      </c>
      <c r="M484" t="n">
        <v>0</v>
      </c>
      <c r="N484" t="n">
        <v>0</v>
      </c>
      <c r="O484" t="n">
        <v>0</v>
      </c>
      <c r="P484" t="n">
        <v>0</v>
      </c>
      <c r="Q484" t="n">
        <v>0</v>
      </c>
      <c r="R484" s="2" t="inlineStr"/>
    </row>
    <row r="485" ht="15" customHeight="1">
      <c r="A485" t="inlineStr">
        <is>
          <t>A 51524-2022</t>
        </is>
      </c>
      <c r="B485" s="1" t="n">
        <v>44869</v>
      </c>
      <c r="C485" s="1" t="n">
        <v>46136</v>
      </c>
      <c r="D485" t="inlineStr">
        <is>
          <t>UPPSALA LÄN</t>
        </is>
      </c>
      <c r="E485" t="inlineStr">
        <is>
          <t>ENKÖPING</t>
        </is>
      </c>
      <c r="G485" t="n">
        <v>6.6</v>
      </c>
      <c r="H485" t="n">
        <v>0</v>
      </c>
      <c r="I485" t="n">
        <v>0</v>
      </c>
      <c r="J485" t="n">
        <v>0</v>
      </c>
      <c r="K485" t="n">
        <v>0</v>
      </c>
      <c r="L485" t="n">
        <v>0</v>
      </c>
      <c r="M485" t="n">
        <v>0</v>
      </c>
      <c r="N485" t="n">
        <v>0</v>
      </c>
      <c r="O485" t="n">
        <v>0</v>
      </c>
      <c r="P485" t="n">
        <v>0</v>
      </c>
      <c r="Q485" t="n">
        <v>0</v>
      </c>
      <c r="R485" s="2" t="inlineStr"/>
    </row>
    <row r="486" ht="15" customHeight="1">
      <c r="A486" t="inlineStr">
        <is>
          <t>A 8137-2025</t>
        </is>
      </c>
      <c r="B486" s="1" t="n">
        <v>45707.8561574074</v>
      </c>
      <c r="C486" s="1" t="n">
        <v>46136</v>
      </c>
      <c r="D486" t="inlineStr">
        <is>
          <t>UPPSALA LÄN</t>
        </is>
      </c>
      <c r="E486" t="inlineStr">
        <is>
          <t>ENKÖPING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7868-2024</t>
        </is>
      </c>
      <c r="B487" s="1" t="n">
        <v>45350.33020833333</v>
      </c>
      <c r="C487" s="1" t="n">
        <v>46136</v>
      </c>
      <c r="D487" t="inlineStr">
        <is>
          <t>UPPSALA LÄN</t>
        </is>
      </c>
      <c r="E487" t="inlineStr">
        <is>
          <t>ENKÖPING</t>
        </is>
      </c>
      <c r="G487" t="n">
        <v>0.3</v>
      </c>
      <c r="H487" t="n">
        <v>0</v>
      </c>
      <c r="I487" t="n">
        <v>0</v>
      </c>
      <c r="J487" t="n">
        <v>0</v>
      </c>
      <c r="K487" t="n">
        <v>0</v>
      </c>
      <c r="L487" t="n">
        <v>0</v>
      </c>
      <c r="M487" t="n">
        <v>0</v>
      </c>
      <c r="N487" t="n">
        <v>0</v>
      </c>
      <c r="O487" t="n">
        <v>0</v>
      </c>
      <c r="P487" t="n">
        <v>0</v>
      </c>
      <c r="Q487" t="n">
        <v>0</v>
      </c>
      <c r="R487" s="2" t="inlineStr"/>
    </row>
    <row r="488" ht="15" customHeight="1">
      <c r="A488" t="inlineStr">
        <is>
          <t>A 51008-2024</t>
        </is>
      </c>
      <c r="B488" s="1" t="n">
        <v>45603.39041666667</v>
      </c>
      <c r="C488" s="1" t="n">
        <v>46136</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ht="15" customHeight="1">
      <c r="A489" t="inlineStr">
        <is>
          <t>A 35052-2024</t>
        </is>
      </c>
      <c r="B489" s="1" t="n">
        <v>45527.6516087963</v>
      </c>
      <c r="C489" s="1" t="n">
        <v>46136</v>
      </c>
      <c r="D489" t="inlineStr">
        <is>
          <t>UPPSALA LÄN</t>
        </is>
      </c>
      <c r="E489" t="inlineStr">
        <is>
          <t>ENKÖPING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14518-2025</t>
        </is>
      </c>
      <c r="B490" s="1" t="n">
        <v>45741</v>
      </c>
      <c r="C490" s="1" t="n">
        <v>46136</v>
      </c>
      <c r="D490" t="inlineStr">
        <is>
          <t>UPPSALA LÄN</t>
        </is>
      </c>
      <c r="E490" t="inlineStr">
        <is>
          <t>ENKÖPING</t>
        </is>
      </c>
      <c r="G490" t="n">
        <v>2</v>
      </c>
      <c r="H490" t="n">
        <v>0</v>
      </c>
      <c r="I490" t="n">
        <v>0</v>
      </c>
      <c r="J490" t="n">
        <v>0</v>
      </c>
      <c r="K490" t="n">
        <v>0</v>
      </c>
      <c r="L490" t="n">
        <v>0</v>
      </c>
      <c r="M490" t="n">
        <v>0</v>
      </c>
      <c r="N490" t="n">
        <v>0</v>
      </c>
      <c r="O490" t="n">
        <v>0</v>
      </c>
      <c r="P490" t="n">
        <v>0</v>
      </c>
      <c r="Q490" t="n">
        <v>0</v>
      </c>
      <c r="R490" s="2" t="inlineStr"/>
    </row>
    <row r="491" ht="15" customHeight="1">
      <c r="A491" t="inlineStr">
        <is>
          <t>A 54776-2024</t>
        </is>
      </c>
      <c r="B491" s="1" t="n">
        <v>45618</v>
      </c>
      <c r="C491" s="1" t="n">
        <v>46136</v>
      </c>
      <c r="D491" t="inlineStr">
        <is>
          <t>UPPSALA LÄN</t>
        </is>
      </c>
      <c r="E491" t="inlineStr">
        <is>
          <t>ENKÖPING</t>
        </is>
      </c>
      <c r="G491" t="n">
        <v>1.8</v>
      </c>
      <c r="H491" t="n">
        <v>0</v>
      </c>
      <c r="I491" t="n">
        <v>0</v>
      </c>
      <c r="J491" t="n">
        <v>0</v>
      </c>
      <c r="K491" t="n">
        <v>0</v>
      </c>
      <c r="L491" t="n">
        <v>0</v>
      </c>
      <c r="M491" t="n">
        <v>0</v>
      </c>
      <c r="N491" t="n">
        <v>0</v>
      </c>
      <c r="O491" t="n">
        <v>0</v>
      </c>
      <c r="P491" t="n">
        <v>0</v>
      </c>
      <c r="Q491" t="n">
        <v>0</v>
      </c>
      <c r="R491" s="2" t="inlineStr"/>
    </row>
    <row r="492" ht="15" customHeight="1">
      <c r="A492" t="inlineStr">
        <is>
          <t>A 22150-2025</t>
        </is>
      </c>
      <c r="B492" s="1" t="n">
        <v>45785.56398148148</v>
      </c>
      <c r="C492" s="1" t="n">
        <v>46136</v>
      </c>
      <c r="D492" t="inlineStr">
        <is>
          <t>UPPSALA LÄN</t>
        </is>
      </c>
      <c r="E492" t="inlineStr">
        <is>
          <t>ENKÖPING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22156-2025</t>
        </is>
      </c>
      <c r="B493" s="1" t="n">
        <v>45785.57512731481</v>
      </c>
      <c r="C493" s="1" t="n">
        <v>46136</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30087-2024</t>
        </is>
      </c>
      <c r="B494" s="1" t="n">
        <v>45489.39447916667</v>
      </c>
      <c r="C494" s="1" t="n">
        <v>46136</v>
      </c>
      <c r="D494" t="inlineStr">
        <is>
          <t>UPPSALA LÄN</t>
        </is>
      </c>
      <c r="E494" t="inlineStr">
        <is>
          <t>ENKÖPING</t>
        </is>
      </c>
      <c r="G494" t="n">
        <v>1.4</v>
      </c>
      <c r="H494" t="n">
        <v>0</v>
      </c>
      <c r="I494" t="n">
        <v>0</v>
      </c>
      <c r="J494" t="n">
        <v>0</v>
      </c>
      <c r="K494" t="n">
        <v>0</v>
      </c>
      <c r="L494" t="n">
        <v>0</v>
      </c>
      <c r="M494" t="n">
        <v>0</v>
      </c>
      <c r="N494" t="n">
        <v>0</v>
      </c>
      <c r="O494" t="n">
        <v>0</v>
      </c>
      <c r="P494" t="n">
        <v>0</v>
      </c>
      <c r="Q494" t="n">
        <v>0</v>
      </c>
      <c r="R494" s="2" t="inlineStr"/>
    </row>
    <row r="495" ht="15" customHeight="1">
      <c r="A495" t="inlineStr">
        <is>
          <t>A 22677-2025</t>
        </is>
      </c>
      <c r="B495" s="1" t="n">
        <v>45789.49515046296</v>
      </c>
      <c r="C495" s="1" t="n">
        <v>46136</v>
      </c>
      <c r="D495" t="inlineStr">
        <is>
          <t>UPPSALA LÄN</t>
        </is>
      </c>
      <c r="E495" t="inlineStr">
        <is>
          <t>ENKÖPING</t>
        </is>
      </c>
      <c r="G495" t="n">
        <v>1</v>
      </c>
      <c r="H495" t="n">
        <v>0</v>
      </c>
      <c r="I495" t="n">
        <v>0</v>
      </c>
      <c r="J495" t="n">
        <v>0</v>
      </c>
      <c r="K495" t="n">
        <v>0</v>
      </c>
      <c r="L495" t="n">
        <v>0</v>
      </c>
      <c r="M495" t="n">
        <v>0</v>
      </c>
      <c r="N495" t="n">
        <v>0</v>
      </c>
      <c r="O495" t="n">
        <v>0</v>
      </c>
      <c r="P495" t="n">
        <v>0</v>
      </c>
      <c r="Q495" t="n">
        <v>0</v>
      </c>
      <c r="R495" s="2" t="inlineStr"/>
    </row>
    <row r="496" ht="15" customHeight="1">
      <c r="A496" t="inlineStr">
        <is>
          <t>A 22679-2025</t>
        </is>
      </c>
      <c r="B496" s="1" t="n">
        <v>45789.49747685185</v>
      </c>
      <c r="C496" s="1" t="n">
        <v>46136</v>
      </c>
      <c r="D496" t="inlineStr">
        <is>
          <t>UPPSALA LÄN</t>
        </is>
      </c>
      <c r="E496" t="inlineStr">
        <is>
          <t>ENKÖPING</t>
        </is>
      </c>
      <c r="G496" t="n">
        <v>1.1</v>
      </c>
      <c r="H496" t="n">
        <v>0</v>
      </c>
      <c r="I496" t="n">
        <v>0</v>
      </c>
      <c r="J496" t="n">
        <v>0</v>
      </c>
      <c r="K496" t="n">
        <v>0</v>
      </c>
      <c r="L496" t="n">
        <v>0</v>
      </c>
      <c r="M496" t="n">
        <v>0</v>
      </c>
      <c r="N496" t="n">
        <v>0</v>
      </c>
      <c r="O496" t="n">
        <v>0</v>
      </c>
      <c r="P496" t="n">
        <v>0</v>
      </c>
      <c r="Q496" t="n">
        <v>0</v>
      </c>
      <c r="R496" s="2" t="inlineStr"/>
    </row>
    <row r="497" ht="15" customHeight="1">
      <c r="A497" t="inlineStr">
        <is>
          <t>A 22729-2025</t>
        </is>
      </c>
      <c r="B497" s="1" t="n">
        <v>45789.57790509259</v>
      </c>
      <c r="C497" s="1" t="n">
        <v>46136</v>
      </c>
      <c r="D497" t="inlineStr">
        <is>
          <t>UPPSALA LÄN</t>
        </is>
      </c>
      <c r="E497" t="inlineStr">
        <is>
          <t>ENKÖPING</t>
        </is>
      </c>
      <c r="G497" t="n">
        <v>0.7</v>
      </c>
      <c r="H497" t="n">
        <v>0</v>
      </c>
      <c r="I497" t="n">
        <v>0</v>
      </c>
      <c r="J497" t="n">
        <v>0</v>
      </c>
      <c r="K497" t="n">
        <v>0</v>
      </c>
      <c r="L497" t="n">
        <v>0</v>
      </c>
      <c r="M497" t="n">
        <v>0</v>
      </c>
      <c r="N497" t="n">
        <v>0</v>
      </c>
      <c r="O497" t="n">
        <v>0</v>
      </c>
      <c r="P497" t="n">
        <v>0</v>
      </c>
      <c r="Q497" t="n">
        <v>0</v>
      </c>
      <c r="R497" s="2" t="inlineStr"/>
    </row>
    <row r="498" ht="15" customHeight="1">
      <c r="A498" t="inlineStr">
        <is>
          <t>A 22786-2025</t>
        </is>
      </c>
      <c r="B498" s="1" t="n">
        <v>45789.64643518518</v>
      </c>
      <c r="C498" s="1" t="n">
        <v>46136</v>
      </c>
      <c r="D498" t="inlineStr">
        <is>
          <t>UPPSALA LÄN</t>
        </is>
      </c>
      <c r="E498" t="inlineStr">
        <is>
          <t>ENKÖPING</t>
        </is>
      </c>
      <c r="G498" t="n">
        <v>0.9</v>
      </c>
      <c r="H498" t="n">
        <v>0</v>
      </c>
      <c r="I498" t="n">
        <v>0</v>
      </c>
      <c r="J498" t="n">
        <v>0</v>
      </c>
      <c r="K498" t="n">
        <v>0</v>
      </c>
      <c r="L498" t="n">
        <v>0</v>
      </c>
      <c r="M498" t="n">
        <v>0</v>
      </c>
      <c r="N498" t="n">
        <v>0</v>
      </c>
      <c r="O498" t="n">
        <v>0</v>
      </c>
      <c r="P498" t="n">
        <v>0</v>
      </c>
      <c r="Q498" t="n">
        <v>0</v>
      </c>
      <c r="R498" s="2" t="inlineStr"/>
    </row>
    <row r="499" ht="15" customHeight="1">
      <c r="A499" t="inlineStr">
        <is>
          <t>A 22795-2025</t>
        </is>
      </c>
      <c r="B499" s="1" t="n">
        <v>45789.65944444444</v>
      </c>
      <c r="C499" s="1" t="n">
        <v>46136</v>
      </c>
      <c r="D499" t="inlineStr">
        <is>
          <t>UPPSALA LÄN</t>
        </is>
      </c>
      <c r="E499" t="inlineStr">
        <is>
          <t>ENKÖPING</t>
        </is>
      </c>
      <c r="G499" t="n">
        <v>10.4</v>
      </c>
      <c r="H499" t="n">
        <v>0</v>
      </c>
      <c r="I499" t="n">
        <v>0</v>
      </c>
      <c r="J499" t="n">
        <v>0</v>
      </c>
      <c r="K499" t="n">
        <v>0</v>
      </c>
      <c r="L499" t="n">
        <v>0</v>
      </c>
      <c r="M499" t="n">
        <v>0</v>
      </c>
      <c r="N499" t="n">
        <v>0</v>
      </c>
      <c r="O499" t="n">
        <v>0</v>
      </c>
      <c r="P499" t="n">
        <v>0</v>
      </c>
      <c r="Q499" t="n">
        <v>0</v>
      </c>
      <c r="R499" s="2" t="inlineStr"/>
    </row>
    <row r="500" ht="15" customHeight="1">
      <c r="A500" t="inlineStr">
        <is>
          <t>A 22802-2025</t>
        </is>
      </c>
      <c r="B500" s="1" t="n">
        <v>45789.6686574074</v>
      </c>
      <c r="C500" s="1" t="n">
        <v>46136</v>
      </c>
      <c r="D500" t="inlineStr">
        <is>
          <t>UPPSALA LÄN</t>
        </is>
      </c>
      <c r="E500" t="inlineStr">
        <is>
          <t>ENKÖPING</t>
        </is>
      </c>
      <c r="G500" t="n">
        <v>0.5</v>
      </c>
      <c r="H500" t="n">
        <v>0</v>
      </c>
      <c r="I500" t="n">
        <v>0</v>
      </c>
      <c r="J500" t="n">
        <v>0</v>
      </c>
      <c r="K500" t="n">
        <v>0</v>
      </c>
      <c r="L500" t="n">
        <v>0</v>
      </c>
      <c r="M500" t="n">
        <v>0</v>
      </c>
      <c r="N500" t="n">
        <v>0</v>
      </c>
      <c r="O500" t="n">
        <v>0</v>
      </c>
      <c r="P500" t="n">
        <v>0</v>
      </c>
      <c r="Q500" t="n">
        <v>0</v>
      </c>
      <c r="R500" s="2" t="inlineStr"/>
    </row>
    <row r="501" ht="15" customHeight="1">
      <c r="A501" t="inlineStr">
        <is>
          <t>A 22680-2025</t>
        </is>
      </c>
      <c r="B501" s="1" t="n">
        <v>45789.5005787037</v>
      </c>
      <c r="C501" s="1" t="n">
        <v>46136</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6981-2025</t>
        </is>
      </c>
      <c r="B502" s="1" t="n">
        <v>45701</v>
      </c>
      <c r="C502" s="1" t="n">
        <v>46136</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22770-2025</t>
        </is>
      </c>
      <c r="B503" s="1" t="n">
        <v>45789.63454861111</v>
      </c>
      <c r="C503" s="1" t="n">
        <v>46136</v>
      </c>
      <c r="D503" t="inlineStr">
        <is>
          <t>UPPSALA LÄN</t>
        </is>
      </c>
      <c r="E503" t="inlineStr">
        <is>
          <t>ENKÖPING</t>
        </is>
      </c>
      <c r="G503" t="n">
        <v>4.5</v>
      </c>
      <c r="H503" t="n">
        <v>0</v>
      </c>
      <c r="I503" t="n">
        <v>0</v>
      </c>
      <c r="J503" t="n">
        <v>0</v>
      </c>
      <c r="K503" t="n">
        <v>0</v>
      </c>
      <c r="L503" t="n">
        <v>0</v>
      </c>
      <c r="M503" t="n">
        <v>0</v>
      </c>
      <c r="N503" t="n">
        <v>0</v>
      </c>
      <c r="O503" t="n">
        <v>0</v>
      </c>
      <c r="P503" t="n">
        <v>0</v>
      </c>
      <c r="Q503" t="n">
        <v>0</v>
      </c>
      <c r="R503" s="2" t="inlineStr"/>
    </row>
    <row r="504" ht="15" customHeight="1">
      <c r="A504" t="inlineStr">
        <is>
          <t>A 22725-2025</t>
        </is>
      </c>
      <c r="B504" s="1" t="n">
        <v>45789.57371527778</v>
      </c>
      <c r="C504" s="1" t="n">
        <v>46136</v>
      </c>
      <c r="D504" t="inlineStr">
        <is>
          <t>UPPSALA LÄN</t>
        </is>
      </c>
      <c r="E504" t="inlineStr">
        <is>
          <t>ENKÖPING</t>
        </is>
      </c>
      <c r="G504" t="n">
        <v>4.8</v>
      </c>
      <c r="H504" t="n">
        <v>0</v>
      </c>
      <c r="I504" t="n">
        <v>0</v>
      </c>
      <c r="J504" t="n">
        <v>0</v>
      </c>
      <c r="K504" t="n">
        <v>0</v>
      </c>
      <c r="L504" t="n">
        <v>0</v>
      </c>
      <c r="M504" t="n">
        <v>0</v>
      </c>
      <c r="N504" t="n">
        <v>0</v>
      </c>
      <c r="O504" t="n">
        <v>0</v>
      </c>
      <c r="P504" t="n">
        <v>0</v>
      </c>
      <c r="Q504" t="n">
        <v>0</v>
      </c>
      <c r="R504" s="2" t="inlineStr"/>
    </row>
    <row r="505" ht="15" customHeight="1">
      <c r="A505" t="inlineStr">
        <is>
          <t>A 22981-2025</t>
        </is>
      </c>
      <c r="B505" s="1" t="n">
        <v>45790.56964120371</v>
      </c>
      <c r="C505" s="1" t="n">
        <v>46136</v>
      </c>
      <c r="D505" t="inlineStr">
        <is>
          <t>UPPSALA LÄN</t>
        </is>
      </c>
      <c r="E505" t="inlineStr">
        <is>
          <t>ENKÖPING</t>
        </is>
      </c>
      <c r="G505" t="n">
        <v>1.5</v>
      </c>
      <c r="H505" t="n">
        <v>0</v>
      </c>
      <c r="I505" t="n">
        <v>0</v>
      </c>
      <c r="J505" t="n">
        <v>0</v>
      </c>
      <c r="K505" t="n">
        <v>0</v>
      </c>
      <c r="L505" t="n">
        <v>0</v>
      </c>
      <c r="M505" t="n">
        <v>0</v>
      </c>
      <c r="N505" t="n">
        <v>0</v>
      </c>
      <c r="O505" t="n">
        <v>0</v>
      </c>
      <c r="P505" t="n">
        <v>0</v>
      </c>
      <c r="Q505" t="n">
        <v>0</v>
      </c>
      <c r="R505" s="2" t="inlineStr"/>
    </row>
    <row r="506" ht="15" customHeight="1">
      <c r="A506" t="inlineStr">
        <is>
          <t>A 68123-2021</t>
        </is>
      </c>
      <c r="B506" s="1" t="n">
        <v>44526.39126157408</v>
      </c>
      <c r="C506" s="1" t="n">
        <v>46136</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22793-2025</t>
        </is>
      </c>
      <c r="B507" s="1" t="n">
        <v>45789.65693287037</v>
      </c>
      <c r="C507" s="1" t="n">
        <v>46136</v>
      </c>
      <c r="D507" t="inlineStr">
        <is>
          <t>UPPSALA LÄN</t>
        </is>
      </c>
      <c r="E507" t="inlineStr">
        <is>
          <t>ENKÖPING</t>
        </is>
      </c>
      <c r="G507" t="n">
        <v>3.2</v>
      </c>
      <c r="H507" t="n">
        <v>0</v>
      </c>
      <c r="I507" t="n">
        <v>0</v>
      </c>
      <c r="J507" t="n">
        <v>0</v>
      </c>
      <c r="K507" t="n">
        <v>0</v>
      </c>
      <c r="L507" t="n">
        <v>0</v>
      </c>
      <c r="M507" t="n">
        <v>0</v>
      </c>
      <c r="N507" t="n">
        <v>0</v>
      </c>
      <c r="O507" t="n">
        <v>0</v>
      </c>
      <c r="P507" t="n">
        <v>0</v>
      </c>
      <c r="Q507" t="n">
        <v>0</v>
      </c>
      <c r="R507" s="2" t="inlineStr"/>
    </row>
    <row r="508" ht="15" customHeight="1">
      <c r="A508" t="inlineStr">
        <is>
          <t>A 22800-2025</t>
        </is>
      </c>
      <c r="B508" s="1" t="n">
        <v>45789.6669212963</v>
      </c>
      <c r="C508" s="1" t="n">
        <v>46136</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17729-2023</t>
        </is>
      </c>
      <c r="B509" s="1" t="n">
        <v>45037</v>
      </c>
      <c r="C509" s="1" t="n">
        <v>46136</v>
      </c>
      <c r="D509" t="inlineStr">
        <is>
          <t>UPPSALA LÄN</t>
        </is>
      </c>
      <c r="E509" t="inlineStr">
        <is>
          <t>ENKÖPING</t>
        </is>
      </c>
      <c r="G509" t="n">
        <v>10.2</v>
      </c>
      <c r="H509" t="n">
        <v>0</v>
      </c>
      <c r="I509" t="n">
        <v>0</v>
      </c>
      <c r="J509" t="n">
        <v>0</v>
      </c>
      <c r="K509" t="n">
        <v>0</v>
      </c>
      <c r="L509" t="n">
        <v>0</v>
      </c>
      <c r="M509" t="n">
        <v>0</v>
      </c>
      <c r="N509" t="n">
        <v>0</v>
      </c>
      <c r="O509" t="n">
        <v>0</v>
      </c>
      <c r="P509" t="n">
        <v>0</v>
      </c>
      <c r="Q509" t="n">
        <v>0</v>
      </c>
      <c r="R509" s="2" t="inlineStr"/>
    </row>
    <row r="510" ht="15" customHeight="1">
      <c r="A510" t="inlineStr">
        <is>
          <t>A 5749-2025</t>
        </is>
      </c>
      <c r="B510" s="1" t="n">
        <v>45694</v>
      </c>
      <c r="C510" s="1" t="n">
        <v>46136</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8020-2022</t>
        </is>
      </c>
      <c r="B511" s="1" t="n">
        <v>44609</v>
      </c>
      <c r="C511" s="1" t="n">
        <v>46136</v>
      </c>
      <c r="D511" t="inlineStr">
        <is>
          <t>UPPSALA LÄN</t>
        </is>
      </c>
      <c r="E511" t="inlineStr">
        <is>
          <t>ENKÖPING</t>
        </is>
      </c>
      <c r="G511" t="n">
        <v>6</v>
      </c>
      <c r="H511" t="n">
        <v>0</v>
      </c>
      <c r="I511" t="n">
        <v>0</v>
      </c>
      <c r="J511" t="n">
        <v>0</v>
      </c>
      <c r="K511" t="n">
        <v>0</v>
      </c>
      <c r="L511" t="n">
        <v>0</v>
      </c>
      <c r="M511" t="n">
        <v>0</v>
      </c>
      <c r="N511" t="n">
        <v>0</v>
      </c>
      <c r="O511" t="n">
        <v>0</v>
      </c>
      <c r="P511" t="n">
        <v>0</v>
      </c>
      <c r="Q511" t="n">
        <v>0</v>
      </c>
      <c r="R511" s="2" t="inlineStr"/>
    </row>
    <row r="512" ht="15" customHeight="1">
      <c r="A512" t="inlineStr">
        <is>
          <t>A 34805-2024</t>
        </is>
      </c>
      <c r="B512" s="1" t="n">
        <v>45526</v>
      </c>
      <c r="C512" s="1" t="n">
        <v>46136</v>
      </c>
      <c r="D512" t="inlineStr">
        <is>
          <t>UPPSALA LÄN</t>
        </is>
      </c>
      <c r="E512" t="inlineStr">
        <is>
          <t>ENKÖPING</t>
        </is>
      </c>
      <c r="G512" t="n">
        <v>3.6</v>
      </c>
      <c r="H512" t="n">
        <v>0</v>
      </c>
      <c r="I512" t="n">
        <v>0</v>
      </c>
      <c r="J512" t="n">
        <v>0</v>
      </c>
      <c r="K512" t="n">
        <v>0</v>
      </c>
      <c r="L512" t="n">
        <v>0</v>
      </c>
      <c r="M512" t="n">
        <v>0</v>
      </c>
      <c r="N512" t="n">
        <v>0</v>
      </c>
      <c r="O512" t="n">
        <v>0</v>
      </c>
      <c r="P512" t="n">
        <v>0</v>
      </c>
      <c r="Q512" t="n">
        <v>0</v>
      </c>
      <c r="R512" s="2" t="inlineStr"/>
    </row>
    <row r="513" ht="15" customHeight="1">
      <c r="A513" t="inlineStr">
        <is>
          <t>A 314-2025</t>
        </is>
      </c>
      <c r="B513" s="1" t="n">
        <v>45656</v>
      </c>
      <c r="C513" s="1" t="n">
        <v>46136</v>
      </c>
      <c r="D513" t="inlineStr">
        <is>
          <t>UPPSALA LÄN</t>
        </is>
      </c>
      <c r="E513" t="inlineStr">
        <is>
          <t>ENKÖPING</t>
        </is>
      </c>
      <c r="G513" t="n">
        <v>9</v>
      </c>
      <c r="H513" t="n">
        <v>0</v>
      </c>
      <c r="I513" t="n">
        <v>0</v>
      </c>
      <c r="J513" t="n">
        <v>0</v>
      </c>
      <c r="K513" t="n">
        <v>0</v>
      </c>
      <c r="L513" t="n">
        <v>0</v>
      </c>
      <c r="M513" t="n">
        <v>0</v>
      </c>
      <c r="N513" t="n">
        <v>0</v>
      </c>
      <c r="O513" t="n">
        <v>0</v>
      </c>
      <c r="P513" t="n">
        <v>0</v>
      </c>
      <c r="Q513" t="n">
        <v>0</v>
      </c>
      <c r="R513" s="2" t="inlineStr"/>
    </row>
    <row r="514" ht="15" customHeight="1">
      <c r="A514" t="inlineStr">
        <is>
          <t>A 10831-2024</t>
        </is>
      </c>
      <c r="B514" s="1" t="n">
        <v>45369</v>
      </c>
      <c r="C514" s="1" t="n">
        <v>46136</v>
      </c>
      <c r="D514" t="inlineStr">
        <is>
          <t>UPPSALA LÄN</t>
        </is>
      </c>
      <c r="E514" t="inlineStr">
        <is>
          <t>ENKÖPING</t>
        </is>
      </c>
      <c r="G514" t="n">
        <v>2.9</v>
      </c>
      <c r="H514" t="n">
        <v>0</v>
      </c>
      <c r="I514" t="n">
        <v>0</v>
      </c>
      <c r="J514" t="n">
        <v>0</v>
      </c>
      <c r="K514" t="n">
        <v>0</v>
      </c>
      <c r="L514" t="n">
        <v>0</v>
      </c>
      <c r="M514" t="n">
        <v>0</v>
      </c>
      <c r="N514" t="n">
        <v>0</v>
      </c>
      <c r="O514" t="n">
        <v>0</v>
      </c>
      <c r="P514" t="n">
        <v>0</v>
      </c>
      <c r="Q514" t="n">
        <v>0</v>
      </c>
      <c r="R514" s="2" t="inlineStr"/>
    </row>
    <row r="515" ht="15" customHeight="1">
      <c r="A515" t="inlineStr">
        <is>
          <t>A 5712-2025</t>
        </is>
      </c>
      <c r="B515" s="1" t="n">
        <v>45694</v>
      </c>
      <c r="C515" s="1" t="n">
        <v>46136</v>
      </c>
      <c r="D515" t="inlineStr">
        <is>
          <t>UPPSALA LÄN</t>
        </is>
      </c>
      <c r="E515" t="inlineStr">
        <is>
          <t>ENKÖPING</t>
        </is>
      </c>
      <c r="G515" t="n">
        <v>5.1</v>
      </c>
      <c r="H515" t="n">
        <v>0</v>
      </c>
      <c r="I515" t="n">
        <v>0</v>
      </c>
      <c r="J515" t="n">
        <v>0</v>
      </c>
      <c r="K515" t="n">
        <v>0</v>
      </c>
      <c r="L515" t="n">
        <v>0</v>
      </c>
      <c r="M515" t="n">
        <v>0</v>
      </c>
      <c r="N515" t="n">
        <v>0</v>
      </c>
      <c r="O515" t="n">
        <v>0</v>
      </c>
      <c r="P515" t="n">
        <v>0</v>
      </c>
      <c r="Q515" t="n">
        <v>0</v>
      </c>
      <c r="R515" s="2" t="inlineStr"/>
    </row>
    <row r="516" ht="15" customHeight="1">
      <c r="A516" t="inlineStr">
        <is>
          <t>A 45956-2024</t>
        </is>
      </c>
      <c r="B516" s="1" t="n">
        <v>45580</v>
      </c>
      <c r="C516" s="1" t="n">
        <v>46136</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11627-2025</t>
        </is>
      </c>
      <c r="B517" s="1" t="n">
        <v>45727</v>
      </c>
      <c r="C517" s="1" t="n">
        <v>46136</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c r="A518" t="inlineStr">
        <is>
          <t>A 74090-2021</t>
        </is>
      </c>
      <c r="B518" s="1" t="n">
        <v>44557</v>
      </c>
      <c r="C518" s="1" t="n">
        <v>46136</v>
      </c>
      <c r="D518" t="inlineStr">
        <is>
          <t>UPPSALA LÄN</t>
        </is>
      </c>
      <c r="E518" t="inlineStr">
        <is>
          <t>ENKÖPING</t>
        </is>
      </c>
      <c r="G518" t="n">
        <v>2.1</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2026-04-24T10:51:27Z</dcterms:created>
  <dcterms:modified xmlns:dcterms="http://purl.org/dc/terms/" xmlns:xsi="http://www.w3.org/2001/XMLSchema-instance" xsi:type="dcterms:W3CDTF">2026-04-24T10:51:28Z</dcterms:modified>
</cp:coreProperties>
</file>