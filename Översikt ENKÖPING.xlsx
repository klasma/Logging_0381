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45886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45886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45886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45886</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45886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45886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27073-2025</t>
        </is>
      </c>
      <c r="B14" s="1" t="n">
        <v>45811.64190972222</v>
      </c>
      <c r="C14" s="1" t="n">
        <v>45886</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52092-2022</t>
        </is>
      </c>
      <c r="B15" s="1" t="n">
        <v>44873</v>
      </c>
      <c r="C15" s="1" t="n">
        <v>45886</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45886</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45886</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45886</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45886</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45886</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45886</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21970-2025</t>
        </is>
      </c>
      <c r="B22" s="1" t="n">
        <v>45784.63335648148</v>
      </c>
      <c r="C22" s="1" t="n">
        <v>45886</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11015-2025</t>
        </is>
      </c>
      <c r="B23" s="1" t="n">
        <v>45723.46288194445</v>
      </c>
      <c r="C23" s="1" t="n">
        <v>45886</v>
      </c>
      <c r="D23" t="inlineStr">
        <is>
          <t>UPPSALA LÄN</t>
        </is>
      </c>
      <c r="E23" t="inlineStr">
        <is>
          <t>ENKÖPING</t>
        </is>
      </c>
      <c r="G23" t="n">
        <v>1.3</v>
      </c>
      <c r="H23" t="n">
        <v>0</v>
      </c>
      <c r="I23" t="n">
        <v>1</v>
      </c>
      <c r="J23" t="n">
        <v>0</v>
      </c>
      <c r="K23" t="n">
        <v>0</v>
      </c>
      <c r="L23" t="n">
        <v>0</v>
      </c>
      <c r="M23" t="n">
        <v>0</v>
      </c>
      <c r="N23" t="n">
        <v>0</v>
      </c>
      <c r="O23" t="n">
        <v>0</v>
      </c>
      <c r="P23" t="n">
        <v>0</v>
      </c>
      <c r="Q23" t="n">
        <v>1</v>
      </c>
      <c r="R23" s="2" t="inlineStr">
        <is>
          <t>Svart trolldruva</t>
        </is>
      </c>
      <c r="S23">
        <f>HYPERLINK("https://klasma.github.io/Logging_0381/artfynd/A 11015-2025 artfynd.xlsx", "A 11015-2025")</f>
        <v/>
      </c>
      <c r="T23">
        <f>HYPERLINK("https://klasma.github.io/Logging_0381/kartor/A 11015-2025 karta.png", "A 11015-2025")</f>
        <v/>
      </c>
      <c r="V23">
        <f>HYPERLINK("https://klasma.github.io/Logging_0381/klagomål/A 11015-2025 FSC-klagomål.docx", "A 11015-2025")</f>
        <v/>
      </c>
      <c r="W23">
        <f>HYPERLINK("https://klasma.github.io/Logging_0381/klagomålsmail/A 11015-2025 FSC-klagomål mail.docx", "A 11015-2025")</f>
        <v/>
      </c>
      <c r="X23">
        <f>HYPERLINK("https://klasma.github.io/Logging_0381/tillsyn/A 11015-2025 tillsynsbegäran.docx", "A 11015-2025")</f>
        <v/>
      </c>
      <c r="Y23">
        <f>HYPERLINK("https://klasma.github.io/Logging_0381/tillsynsmail/A 11015-2025 tillsynsbegäran mail.docx", "A 11015-2025")</f>
        <v/>
      </c>
    </row>
    <row r="24" ht="15" customHeight="1">
      <c r="A24" t="inlineStr">
        <is>
          <t>A 11018-2025</t>
        </is>
      </c>
      <c r="B24" s="1" t="n">
        <v>45723.46591435185</v>
      </c>
      <c r="C24" s="1" t="n">
        <v>45886</v>
      </c>
      <c r="D24" t="inlineStr">
        <is>
          <t>UPPSALA LÄN</t>
        </is>
      </c>
      <c r="E24" t="inlineStr">
        <is>
          <t>ENKÖPING</t>
        </is>
      </c>
      <c r="G24" t="n">
        <v>1.6</v>
      </c>
      <c r="H24" t="n">
        <v>0</v>
      </c>
      <c r="I24" t="n">
        <v>0</v>
      </c>
      <c r="J24" t="n">
        <v>0</v>
      </c>
      <c r="K24" t="n">
        <v>0</v>
      </c>
      <c r="L24" t="n">
        <v>1</v>
      </c>
      <c r="M24" t="n">
        <v>0</v>
      </c>
      <c r="N24" t="n">
        <v>0</v>
      </c>
      <c r="O24" t="n">
        <v>1</v>
      </c>
      <c r="P24" t="n">
        <v>1</v>
      </c>
      <c r="Q24" t="n">
        <v>1</v>
      </c>
      <c r="R24" s="2" t="inlineStr">
        <is>
          <t>Ask</t>
        </is>
      </c>
      <c r="S24">
        <f>HYPERLINK("https://klasma.github.io/Logging_0381/artfynd/A 11018-2025 artfynd.xlsx", "A 11018-2025")</f>
        <v/>
      </c>
      <c r="T24">
        <f>HYPERLINK("https://klasma.github.io/Logging_0381/kartor/A 11018-2025 karta.png", "A 11018-2025")</f>
        <v/>
      </c>
      <c r="V24">
        <f>HYPERLINK("https://klasma.github.io/Logging_0381/klagomål/A 11018-2025 FSC-klagomål.docx", "A 11018-2025")</f>
        <v/>
      </c>
      <c r="W24">
        <f>HYPERLINK("https://klasma.github.io/Logging_0381/klagomålsmail/A 11018-2025 FSC-klagomål mail.docx", "A 11018-2025")</f>
        <v/>
      </c>
      <c r="X24">
        <f>HYPERLINK("https://klasma.github.io/Logging_0381/tillsyn/A 11018-2025 tillsynsbegäran.docx", "A 11018-2025")</f>
        <v/>
      </c>
      <c r="Y24">
        <f>HYPERLINK("https://klasma.github.io/Logging_0381/tillsynsmail/A 11018-2025 tillsynsbegäran mail.docx", "A 11018-2025")</f>
        <v/>
      </c>
    </row>
    <row r="25" ht="15" customHeight="1">
      <c r="A25" t="inlineStr">
        <is>
          <t>A 26347-2025</t>
        </is>
      </c>
      <c r="B25" s="1" t="n">
        <v>45805.7403125</v>
      </c>
      <c r="C25" s="1" t="n">
        <v>45886</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45116-2023</t>
        </is>
      </c>
      <c r="B26" s="1" t="n">
        <v>45191</v>
      </c>
      <c r="C26" s="1" t="n">
        <v>45886</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27060-2025</t>
        </is>
      </c>
      <c r="B27" s="1" t="n">
        <v>45811.63590277778</v>
      </c>
      <c r="C27" s="1" t="n">
        <v>45886</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29510-2025</t>
        </is>
      </c>
      <c r="B28" s="1" t="n">
        <v>45825</v>
      </c>
      <c r="C28" s="1" t="n">
        <v>45886</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23961-2022</t>
        </is>
      </c>
      <c r="B29" s="1" t="n">
        <v>44722</v>
      </c>
      <c r="C29" s="1" t="n">
        <v>45886</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28900-2024</t>
        </is>
      </c>
      <c r="B30" s="1" t="n">
        <v>45480</v>
      </c>
      <c r="C30" s="1" t="n">
        <v>45886</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17942-2024</t>
        </is>
      </c>
      <c r="B31" s="1" t="n">
        <v>45419</v>
      </c>
      <c r="C31" s="1" t="n">
        <v>45886</v>
      </c>
      <c r="D31" t="inlineStr">
        <is>
          <t>UPPSALA LÄN</t>
        </is>
      </c>
      <c r="E31" t="inlineStr">
        <is>
          <t>ENKÖPING</t>
        </is>
      </c>
      <c r="G31" t="n">
        <v>0.8</v>
      </c>
      <c r="H31" t="n">
        <v>0</v>
      </c>
      <c r="I31" t="n">
        <v>0</v>
      </c>
      <c r="J31" t="n">
        <v>1</v>
      </c>
      <c r="K31" t="n">
        <v>0</v>
      </c>
      <c r="L31" t="n">
        <v>0</v>
      </c>
      <c r="M31" t="n">
        <v>0</v>
      </c>
      <c r="N31" t="n">
        <v>0</v>
      </c>
      <c r="O31" t="n">
        <v>1</v>
      </c>
      <c r="P31" t="n">
        <v>0</v>
      </c>
      <c r="Q31" t="n">
        <v>1</v>
      </c>
      <c r="R31" s="2" t="inlineStr">
        <is>
          <t>Ängsskära</t>
        </is>
      </c>
      <c r="S31">
        <f>HYPERLINK("https://klasma.github.io/Logging_0381/artfynd/A 17942-2024 artfynd.xlsx", "A 17942-2024")</f>
        <v/>
      </c>
      <c r="T31">
        <f>HYPERLINK("https://klasma.github.io/Logging_0381/kartor/A 17942-2024 karta.png", "A 17942-2024")</f>
        <v/>
      </c>
      <c r="V31">
        <f>HYPERLINK("https://klasma.github.io/Logging_0381/klagomål/A 17942-2024 FSC-klagomål.docx", "A 17942-2024")</f>
        <v/>
      </c>
      <c r="W31">
        <f>HYPERLINK("https://klasma.github.io/Logging_0381/klagomålsmail/A 17942-2024 FSC-klagomål mail.docx", "A 17942-2024")</f>
        <v/>
      </c>
      <c r="X31">
        <f>HYPERLINK("https://klasma.github.io/Logging_0381/tillsyn/A 17942-2024 tillsynsbegäran.docx", "A 17942-2024")</f>
        <v/>
      </c>
      <c r="Y31">
        <f>HYPERLINK("https://klasma.github.io/Logging_0381/tillsynsmail/A 17942-2024 tillsynsbegäran mail.docx", "A 17942-2024")</f>
        <v/>
      </c>
    </row>
    <row r="32" ht="15" customHeight="1">
      <c r="A32" t="inlineStr">
        <is>
          <t>A 1524-2023</t>
        </is>
      </c>
      <c r="B32" s="1" t="n">
        <v>44935</v>
      </c>
      <c r="C32" s="1" t="n">
        <v>45886</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46749-2024</t>
        </is>
      </c>
      <c r="B33" s="1" t="n">
        <v>45583.48347222222</v>
      </c>
      <c r="C33" s="1" t="n">
        <v>45886</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45886</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45886</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45886</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45886</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45886</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45886</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45886</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45886</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45886</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45886</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45886</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45886</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45886</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45886</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45886</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45886</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45886</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45886</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45886</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45886</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45886</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45886</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45886</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45886</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45886</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45886</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45886</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45886</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16967-2022</t>
        </is>
      </c>
      <c r="B63" s="1" t="n">
        <v>44676</v>
      </c>
      <c r="C63" s="1" t="n">
        <v>45886</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45886</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45886</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45886</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45886</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45886</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45886</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45886</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4775-2021</t>
        </is>
      </c>
      <c r="B71" s="1" t="n">
        <v>44225</v>
      </c>
      <c r="C71" s="1" t="n">
        <v>45886</v>
      </c>
      <c r="D71" t="inlineStr">
        <is>
          <t>UPPSALA LÄN</t>
        </is>
      </c>
      <c r="E71" t="inlineStr">
        <is>
          <t>ENKÖPING</t>
        </is>
      </c>
      <c r="F71" t="inlineStr">
        <is>
          <t>Allmännings- och besparingsskogar</t>
        </is>
      </c>
      <c r="G71" t="n">
        <v>3.5</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45886</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45886</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45886</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45886</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45886</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45886</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45886</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45886</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45886</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45886</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45886</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45886</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45886</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45886</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45886</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45886</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40773-2022</t>
        </is>
      </c>
      <c r="B88" s="1" t="n">
        <v>44824.61237268519</v>
      </c>
      <c r="C88" s="1" t="n">
        <v>45886</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11688-2021</t>
        </is>
      </c>
      <c r="B89" s="1" t="n">
        <v>44264</v>
      </c>
      <c r="C89" s="1" t="n">
        <v>45886</v>
      </c>
      <c r="D89" t="inlineStr">
        <is>
          <t>UPPSALA LÄN</t>
        </is>
      </c>
      <c r="E89" t="inlineStr">
        <is>
          <t>ENKÖPING</t>
        </is>
      </c>
      <c r="G89" t="n">
        <v>4.7</v>
      </c>
      <c r="H89" t="n">
        <v>0</v>
      </c>
      <c r="I89" t="n">
        <v>0</v>
      </c>
      <c r="J89" t="n">
        <v>0</v>
      </c>
      <c r="K89" t="n">
        <v>0</v>
      </c>
      <c r="L89" t="n">
        <v>0</v>
      </c>
      <c r="M89" t="n">
        <v>0</v>
      </c>
      <c r="N89" t="n">
        <v>0</v>
      </c>
      <c r="O89" t="n">
        <v>0</v>
      </c>
      <c r="P89" t="n">
        <v>0</v>
      </c>
      <c r="Q89" t="n">
        <v>0</v>
      </c>
      <c r="R89" s="2" t="inlineStr"/>
    </row>
    <row r="90" ht="15" customHeight="1">
      <c r="A90" t="inlineStr">
        <is>
          <t>A 12538-2021</t>
        </is>
      </c>
      <c r="B90" s="1" t="n">
        <v>44269</v>
      </c>
      <c r="C90" s="1" t="n">
        <v>45886</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62046-2021</t>
        </is>
      </c>
      <c r="B91" s="1" t="n">
        <v>44502</v>
      </c>
      <c r="C91" s="1" t="n">
        <v>45886</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45886</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45886</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45886</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45886</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45886</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45886</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45886</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60874-2021</t>
        </is>
      </c>
      <c r="B99" s="1" t="n">
        <v>44497</v>
      </c>
      <c r="C99" s="1" t="n">
        <v>45886</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45886</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45886</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45886</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45886</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45886</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45886</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45886</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45886</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45886</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47516-2022</t>
        </is>
      </c>
      <c r="B109" s="1" t="n">
        <v>44853.68895833333</v>
      </c>
      <c r="C109" s="1" t="n">
        <v>45886</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45886</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58798-2020</t>
        </is>
      </c>
      <c r="B111" s="1" t="n">
        <v>44146</v>
      </c>
      <c r="C111" s="1" t="n">
        <v>45886</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57802-2020</t>
        </is>
      </c>
      <c r="B112" s="1" t="n">
        <v>44141</v>
      </c>
      <c r="C112" s="1" t="n">
        <v>45886</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52464-2020</t>
        </is>
      </c>
      <c r="B113" s="1" t="n">
        <v>44118</v>
      </c>
      <c r="C113" s="1" t="n">
        <v>45886</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42021-2021</t>
        </is>
      </c>
      <c r="B114" s="1" t="n">
        <v>44426</v>
      </c>
      <c r="C114" s="1" t="n">
        <v>45886</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31013-2022</t>
        </is>
      </c>
      <c r="B115" s="1" t="n">
        <v>44768</v>
      </c>
      <c r="C115" s="1" t="n">
        <v>45886</v>
      </c>
      <c r="D115" t="inlineStr">
        <is>
          <t>UPPSALA LÄN</t>
        </is>
      </c>
      <c r="E115" t="inlineStr">
        <is>
          <t>ENKÖPING</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29983-2021</t>
        </is>
      </c>
      <c r="B116" s="1" t="n">
        <v>44363</v>
      </c>
      <c r="C116" s="1" t="n">
        <v>45886</v>
      </c>
      <c r="D116" t="inlineStr">
        <is>
          <t>UPPSALA LÄN</t>
        </is>
      </c>
      <c r="E116" t="inlineStr">
        <is>
          <t>ENKÖPING</t>
        </is>
      </c>
      <c r="F116" t="inlineStr">
        <is>
          <t>Kommuner</t>
        </is>
      </c>
      <c r="G116" t="n">
        <v>3.1</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45886</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42029-2021</t>
        </is>
      </c>
      <c r="B118" s="1" t="n">
        <v>44426</v>
      </c>
      <c r="C118" s="1" t="n">
        <v>45886</v>
      </c>
      <c r="D118" t="inlineStr">
        <is>
          <t>UPPSALA LÄN</t>
        </is>
      </c>
      <c r="E118" t="inlineStr">
        <is>
          <t>ENKÖPING</t>
        </is>
      </c>
      <c r="G118" t="n">
        <v>5.3</v>
      </c>
      <c r="H118" t="n">
        <v>0</v>
      </c>
      <c r="I118" t="n">
        <v>0</v>
      </c>
      <c r="J118" t="n">
        <v>0</v>
      </c>
      <c r="K118" t="n">
        <v>0</v>
      </c>
      <c r="L118" t="n">
        <v>0</v>
      </c>
      <c r="M118" t="n">
        <v>0</v>
      </c>
      <c r="N118" t="n">
        <v>0</v>
      </c>
      <c r="O118" t="n">
        <v>0</v>
      </c>
      <c r="P118" t="n">
        <v>0</v>
      </c>
      <c r="Q118" t="n">
        <v>0</v>
      </c>
      <c r="R118" s="2" t="inlineStr"/>
    </row>
    <row r="119" ht="15" customHeight="1">
      <c r="A119" t="inlineStr">
        <is>
          <t>A 24883-2022</t>
        </is>
      </c>
      <c r="B119" s="1" t="n">
        <v>44728</v>
      </c>
      <c r="C119" s="1" t="n">
        <v>45886</v>
      </c>
      <c r="D119" t="inlineStr">
        <is>
          <t>UPPSALA LÄN</t>
        </is>
      </c>
      <c r="E119" t="inlineStr">
        <is>
          <t>ENKÖPING</t>
        </is>
      </c>
      <c r="G119" t="n">
        <v>2.5</v>
      </c>
      <c r="H119" t="n">
        <v>0</v>
      </c>
      <c r="I119" t="n">
        <v>0</v>
      </c>
      <c r="J119" t="n">
        <v>0</v>
      </c>
      <c r="K119" t="n">
        <v>0</v>
      </c>
      <c r="L119" t="n">
        <v>0</v>
      </c>
      <c r="M119" t="n">
        <v>0</v>
      </c>
      <c r="N119" t="n">
        <v>0</v>
      </c>
      <c r="O119" t="n">
        <v>0</v>
      </c>
      <c r="P119" t="n">
        <v>0</v>
      </c>
      <c r="Q119" t="n">
        <v>0</v>
      </c>
      <c r="R119" s="2" t="inlineStr"/>
    </row>
    <row r="120" ht="15" customHeight="1">
      <c r="A120" t="inlineStr">
        <is>
          <t>A 19630-2021</t>
        </is>
      </c>
      <c r="B120" s="1" t="n">
        <v>44312.61876157407</v>
      </c>
      <c r="C120" s="1" t="n">
        <v>45886</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31965-2021</t>
        </is>
      </c>
      <c r="B121" s="1" t="n">
        <v>44370.56901620371</v>
      </c>
      <c r="C121" s="1" t="n">
        <v>45886</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45886</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45886</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43488-2023</t>
        </is>
      </c>
      <c r="B124" s="1" t="n">
        <v>45181</v>
      </c>
      <c r="C124" s="1" t="n">
        <v>45886</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12755-2025</t>
        </is>
      </c>
      <c r="B125" s="1" t="n">
        <v>45733.56541666666</v>
      </c>
      <c r="C125" s="1" t="n">
        <v>45886</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57152-2021</t>
        </is>
      </c>
      <c r="B126" s="1" t="n">
        <v>44482</v>
      </c>
      <c r="C126" s="1" t="n">
        <v>45886</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1971-2022</t>
        </is>
      </c>
      <c r="B127" s="1" t="n">
        <v>44575</v>
      </c>
      <c r="C127" s="1" t="n">
        <v>45886</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30437-2022</t>
        </is>
      </c>
      <c r="B128" s="1" t="n">
        <v>44761</v>
      </c>
      <c r="C128" s="1" t="n">
        <v>45886</v>
      </c>
      <c r="D128" t="inlineStr">
        <is>
          <t>UPPSALA LÄN</t>
        </is>
      </c>
      <c r="E128" t="inlineStr">
        <is>
          <t>ENKÖPING</t>
        </is>
      </c>
      <c r="G128" t="n">
        <v>3.4</v>
      </c>
      <c r="H128" t="n">
        <v>0</v>
      </c>
      <c r="I128" t="n">
        <v>0</v>
      </c>
      <c r="J128" t="n">
        <v>0</v>
      </c>
      <c r="K128" t="n">
        <v>0</v>
      </c>
      <c r="L128" t="n">
        <v>0</v>
      </c>
      <c r="M128" t="n">
        <v>0</v>
      </c>
      <c r="N128" t="n">
        <v>0</v>
      </c>
      <c r="O128" t="n">
        <v>0</v>
      </c>
      <c r="P128" t="n">
        <v>0</v>
      </c>
      <c r="Q128" t="n">
        <v>0</v>
      </c>
      <c r="R128" s="2" t="inlineStr"/>
    </row>
    <row r="129" ht="15" customHeight="1">
      <c r="A129" t="inlineStr">
        <is>
          <t>A 12572-2021</t>
        </is>
      </c>
      <c r="B129" s="1" t="n">
        <v>44270.36438657407</v>
      </c>
      <c r="C129" s="1" t="n">
        <v>45886</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20067-2021</t>
        </is>
      </c>
      <c r="B130" s="1" t="n">
        <v>44314</v>
      </c>
      <c r="C130" s="1" t="n">
        <v>45886</v>
      </c>
      <c r="D130" t="inlineStr">
        <is>
          <t>UPPSALA LÄN</t>
        </is>
      </c>
      <c r="E130" t="inlineStr">
        <is>
          <t>ENKÖPING</t>
        </is>
      </c>
      <c r="G130" t="n">
        <v>0.9</v>
      </c>
      <c r="H130" t="n">
        <v>0</v>
      </c>
      <c r="I130" t="n">
        <v>0</v>
      </c>
      <c r="J130" t="n">
        <v>0</v>
      </c>
      <c r="K130" t="n">
        <v>0</v>
      </c>
      <c r="L130" t="n">
        <v>0</v>
      </c>
      <c r="M130" t="n">
        <v>0</v>
      </c>
      <c r="N130" t="n">
        <v>0</v>
      </c>
      <c r="O130" t="n">
        <v>0</v>
      </c>
      <c r="P130" t="n">
        <v>0</v>
      </c>
      <c r="Q130" t="n">
        <v>0</v>
      </c>
      <c r="R130" s="2" t="inlineStr"/>
    </row>
    <row r="131" ht="15" customHeight="1">
      <c r="A131" t="inlineStr">
        <is>
          <t>A 4044-2024</t>
        </is>
      </c>
      <c r="B131" s="1" t="n">
        <v>45323.45954861111</v>
      </c>
      <c r="C131" s="1" t="n">
        <v>45886</v>
      </c>
      <c r="D131" t="inlineStr">
        <is>
          <t>UPPSALA LÄN</t>
        </is>
      </c>
      <c r="E131" t="inlineStr">
        <is>
          <t>ENKÖPING</t>
        </is>
      </c>
      <c r="G131" t="n">
        <v>2.1</v>
      </c>
      <c r="H131" t="n">
        <v>0</v>
      </c>
      <c r="I131" t="n">
        <v>0</v>
      </c>
      <c r="J131" t="n">
        <v>0</v>
      </c>
      <c r="K131" t="n">
        <v>0</v>
      </c>
      <c r="L131" t="n">
        <v>0</v>
      </c>
      <c r="M131" t="n">
        <v>0</v>
      </c>
      <c r="N131" t="n">
        <v>0</v>
      </c>
      <c r="O131" t="n">
        <v>0</v>
      </c>
      <c r="P131" t="n">
        <v>0</v>
      </c>
      <c r="Q131" t="n">
        <v>0</v>
      </c>
      <c r="R131" s="2" t="inlineStr"/>
    </row>
    <row r="132" ht="15" customHeight="1">
      <c r="A132" t="inlineStr">
        <is>
          <t>A 63310-2021</t>
        </is>
      </c>
      <c r="B132" s="1" t="n">
        <v>44508</v>
      </c>
      <c r="C132" s="1" t="n">
        <v>45886</v>
      </c>
      <c r="D132" t="inlineStr">
        <is>
          <t>UPPSALA LÄN</t>
        </is>
      </c>
      <c r="E132" t="inlineStr">
        <is>
          <t>ENKÖPING</t>
        </is>
      </c>
      <c r="G132" t="n">
        <v>3.5</v>
      </c>
      <c r="H132" t="n">
        <v>0</v>
      </c>
      <c r="I132" t="n">
        <v>0</v>
      </c>
      <c r="J132" t="n">
        <v>0</v>
      </c>
      <c r="K132" t="n">
        <v>0</v>
      </c>
      <c r="L132" t="n">
        <v>0</v>
      </c>
      <c r="M132" t="n">
        <v>0</v>
      </c>
      <c r="N132" t="n">
        <v>0</v>
      </c>
      <c r="O132" t="n">
        <v>0</v>
      </c>
      <c r="P132" t="n">
        <v>0</v>
      </c>
      <c r="Q132" t="n">
        <v>0</v>
      </c>
      <c r="R132" s="2" t="inlineStr"/>
    </row>
    <row r="133" ht="15" customHeight="1">
      <c r="A133" t="inlineStr">
        <is>
          <t>A 12878-2025</t>
        </is>
      </c>
      <c r="B133" s="1" t="n">
        <v>45733.68571759259</v>
      </c>
      <c r="C133" s="1" t="n">
        <v>45886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5211-2024</t>
        </is>
      </c>
      <c r="B134" s="1" t="n">
        <v>45330</v>
      </c>
      <c r="C134" s="1" t="n">
        <v>45886</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61106-2022</t>
        </is>
      </c>
      <c r="B135" s="1" t="n">
        <v>44915.4128587963</v>
      </c>
      <c r="C135" s="1" t="n">
        <v>45886</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20112-2024</t>
        </is>
      </c>
      <c r="B136" s="1" t="n">
        <v>45434</v>
      </c>
      <c r="C136" s="1" t="n">
        <v>45886</v>
      </c>
      <c r="D136" t="inlineStr">
        <is>
          <t>UPPSALA LÄN</t>
        </is>
      </c>
      <c r="E136" t="inlineStr">
        <is>
          <t>ENKÖPING</t>
        </is>
      </c>
      <c r="G136" t="n">
        <v>1.8</v>
      </c>
      <c r="H136" t="n">
        <v>0</v>
      </c>
      <c r="I136" t="n">
        <v>0</v>
      </c>
      <c r="J136" t="n">
        <v>0</v>
      </c>
      <c r="K136" t="n">
        <v>0</v>
      </c>
      <c r="L136" t="n">
        <v>0</v>
      </c>
      <c r="M136" t="n">
        <v>0</v>
      </c>
      <c r="N136" t="n">
        <v>0</v>
      </c>
      <c r="O136" t="n">
        <v>0</v>
      </c>
      <c r="P136" t="n">
        <v>0</v>
      </c>
      <c r="Q136" t="n">
        <v>0</v>
      </c>
      <c r="R136" s="2" t="inlineStr"/>
    </row>
    <row r="137" ht="15" customHeight="1">
      <c r="A137" t="inlineStr">
        <is>
          <t>A 46103-2023</t>
        </is>
      </c>
      <c r="B137" s="1" t="n">
        <v>45190</v>
      </c>
      <c r="C137" s="1" t="n">
        <v>45886</v>
      </c>
      <c r="D137" t="inlineStr">
        <is>
          <t>UPPSALA LÄN</t>
        </is>
      </c>
      <c r="E137" t="inlineStr">
        <is>
          <t>ENKÖPING</t>
        </is>
      </c>
      <c r="G137" t="n">
        <v>4.6</v>
      </c>
      <c r="H137" t="n">
        <v>0</v>
      </c>
      <c r="I137" t="n">
        <v>0</v>
      </c>
      <c r="J137" t="n">
        <v>0</v>
      </c>
      <c r="K137" t="n">
        <v>0</v>
      </c>
      <c r="L137" t="n">
        <v>0</v>
      </c>
      <c r="M137" t="n">
        <v>0</v>
      </c>
      <c r="N137" t="n">
        <v>0</v>
      </c>
      <c r="O137" t="n">
        <v>0</v>
      </c>
      <c r="P137" t="n">
        <v>0</v>
      </c>
      <c r="Q137" t="n">
        <v>0</v>
      </c>
      <c r="R137" s="2" t="inlineStr"/>
    </row>
    <row r="138" ht="15" customHeight="1">
      <c r="A138" t="inlineStr">
        <is>
          <t>A 52889-2022</t>
        </is>
      </c>
      <c r="B138" s="1" t="n">
        <v>44875</v>
      </c>
      <c r="C138" s="1" t="n">
        <v>45886</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9171-2024</t>
        </is>
      </c>
      <c r="B139" s="1" t="n">
        <v>45358</v>
      </c>
      <c r="C139" s="1" t="n">
        <v>45886</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51932-2022</t>
        </is>
      </c>
      <c r="B140" s="1" t="n">
        <v>44872</v>
      </c>
      <c r="C140" s="1" t="n">
        <v>45886</v>
      </c>
      <c r="D140" t="inlineStr">
        <is>
          <t>UPPSALA LÄN</t>
        </is>
      </c>
      <c r="E140" t="inlineStr">
        <is>
          <t>ENKÖPING</t>
        </is>
      </c>
      <c r="G140" t="n">
        <v>5.5</v>
      </c>
      <c r="H140" t="n">
        <v>0</v>
      </c>
      <c r="I140" t="n">
        <v>0</v>
      </c>
      <c r="J140" t="n">
        <v>0</v>
      </c>
      <c r="K140" t="n">
        <v>0</v>
      </c>
      <c r="L140" t="n">
        <v>0</v>
      </c>
      <c r="M140" t="n">
        <v>0</v>
      </c>
      <c r="N140" t="n">
        <v>0</v>
      </c>
      <c r="O140" t="n">
        <v>0</v>
      </c>
      <c r="P140" t="n">
        <v>0</v>
      </c>
      <c r="Q140" t="n">
        <v>0</v>
      </c>
      <c r="R140" s="2" t="inlineStr"/>
    </row>
    <row r="141" ht="15" customHeight="1">
      <c r="A141" t="inlineStr">
        <is>
          <t>A 671-2022</t>
        </is>
      </c>
      <c r="B141" s="1" t="n">
        <v>44568</v>
      </c>
      <c r="C141" s="1" t="n">
        <v>45886</v>
      </c>
      <c r="D141" t="inlineStr">
        <is>
          <t>UPPSALA LÄN</t>
        </is>
      </c>
      <c r="E141" t="inlineStr">
        <is>
          <t>ENKÖPING</t>
        </is>
      </c>
      <c r="G141" t="n">
        <v>3.5</v>
      </c>
      <c r="H141" t="n">
        <v>0</v>
      </c>
      <c r="I141" t="n">
        <v>0</v>
      </c>
      <c r="J141" t="n">
        <v>0</v>
      </c>
      <c r="K141" t="n">
        <v>0</v>
      </c>
      <c r="L141" t="n">
        <v>0</v>
      </c>
      <c r="M141" t="n">
        <v>0</v>
      </c>
      <c r="N141" t="n">
        <v>0</v>
      </c>
      <c r="O141" t="n">
        <v>0</v>
      </c>
      <c r="P141" t="n">
        <v>0</v>
      </c>
      <c r="Q141" t="n">
        <v>0</v>
      </c>
      <c r="R141" s="2" t="inlineStr"/>
    </row>
    <row r="142" ht="15" customHeight="1">
      <c r="A142" t="inlineStr">
        <is>
          <t>A 11005-2023</t>
        </is>
      </c>
      <c r="B142" s="1" t="n">
        <v>44991</v>
      </c>
      <c r="C142" s="1" t="n">
        <v>45886</v>
      </c>
      <c r="D142" t="inlineStr">
        <is>
          <t>UPPSALA LÄN</t>
        </is>
      </c>
      <c r="E142" t="inlineStr">
        <is>
          <t>ENKÖPING</t>
        </is>
      </c>
      <c r="G142" t="n">
        <v>1.1</v>
      </c>
      <c r="H142" t="n">
        <v>0</v>
      </c>
      <c r="I142" t="n">
        <v>0</v>
      </c>
      <c r="J142" t="n">
        <v>0</v>
      </c>
      <c r="K142" t="n">
        <v>0</v>
      </c>
      <c r="L142" t="n">
        <v>0</v>
      </c>
      <c r="M142" t="n">
        <v>0</v>
      </c>
      <c r="N142" t="n">
        <v>0</v>
      </c>
      <c r="O142" t="n">
        <v>0</v>
      </c>
      <c r="P142" t="n">
        <v>0</v>
      </c>
      <c r="Q142" t="n">
        <v>0</v>
      </c>
      <c r="R142" s="2" t="inlineStr"/>
    </row>
    <row r="143" ht="15" customHeight="1">
      <c r="A143" t="inlineStr">
        <is>
          <t>A 47681-2024</t>
        </is>
      </c>
      <c r="B143" s="1" t="n">
        <v>45588</v>
      </c>
      <c r="C143" s="1" t="n">
        <v>45886</v>
      </c>
      <c r="D143" t="inlineStr">
        <is>
          <t>UPPSALA LÄN</t>
        </is>
      </c>
      <c r="E143" t="inlineStr">
        <is>
          <t>ENKÖPING</t>
        </is>
      </c>
      <c r="G143" t="n">
        <v>4.2</v>
      </c>
      <c r="H143" t="n">
        <v>0</v>
      </c>
      <c r="I143" t="n">
        <v>0</v>
      </c>
      <c r="J143" t="n">
        <v>0</v>
      </c>
      <c r="K143" t="n">
        <v>0</v>
      </c>
      <c r="L143" t="n">
        <v>0</v>
      </c>
      <c r="M143" t="n">
        <v>0</v>
      </c>
      <c r="N143" t="n">
        <v>0</v>
      </c>
      <c r="O143" t="n">
        <v>0</v>
      </c>
      <c r="P143" t="n">
        <v>0</v>
      </c>
      <c r="Q143" t="n">
        <v>0</v>
      </c>
      <c r="R143" s="2" t="inlineStr"/>
    </row>
    <row r="144" ht="15" customHeight="1">
      <c r="A144" t="inlineStr">
        <is>
          <t>A 12754-2025</t>
        </is>
      </c>
      <c r="B144" s="1" t="n">
        <v>45733.56331018519</v>
      </c>
      <c r="C144" s="1" t="n">
        <v>45886</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12958-2024</t>
        </is>
      </c>
      <c r="B145" s="1" t="n">
        <v>45385</v>
      </c>
      <c r="C145" s="1" t="n">
        <v>45886</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54588-2024</t>
        </is>
      </c>
      <c r="B146" s="1" t="n">
        <v>45617</v>
      </c>
      <c r="C146" s="1" t="n">
        <v>45886</v>
      </c>
      <c r="D146" t="inlineStr">
        <is>
          <t>UPPSALA LÄN</t>
        </is>
      </c>
      <c r="E146" t="inlineStr">
        <is>
          <t>ENKÖPING</t>
        </is>
      </c>
      <c r="G146" t="n">
        <v>3.7</v>
      </c>
      <c r="H146" t="n">
        <v>0</v>
      </c>
      <c r="I146" t="n">
        <v>0</v>
      </c>
      <c r="J146" t="n">
        <v>0</v>
      </c>
      <c r="K146" t="n">
        <v>0</v>
      </c>
      <c r="L146" t="n">
        <v>0</v>
      </c>
      <c r="M146" t="n">
        <v>0</v>
      </c>
      <c r="N146" t="n">
        <v>0</v>
      </c>
      <c r="O146" t="n">
        <v>0</v>
      </c>
      <c r="P146" t="n">
        <v>0</v>
      </c>
      <c r="Q146" t="n">
        <v>0</v>
      </c>
      <c r="R146" s="2" t="inlineStr"/>
    </row>
    <row r="147" ht="15" customHeight="1">
      <c r="A147" t="inlineStr">
        <is>
          <t>A 56713-2024</t>
        </is>
      </c>
      <c r="B147" s="1" t="n">
        <v>45628</v>
      </c>
      <c r="C147" s="1" t="n">
        <v>45886</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51524-2022</t>
        </is>
      </c>
      <c r="B148" s="1" t="n">
        <v>44869</v>
      </c>
      <c r="C148" s="1" t="n">
        <v>45886</v>
      </c>
      <c r="D148" t="inlineStr">
        <is>
          <t>UPPSALA LÄN</t>
        </is>
      </c>
      <c r="E148" t="inlineStr">
        <is>
          <t>ENKÖPING</t>
        </is>
      </c>
      <c r="G148" t="n">
        <v>6.6</v>
      </c>
      <c r="H148" t="n">
        <v>0</v>
      </c>
      <c r="I148" t="n">
        <v>0</v>
      </c>
      <c r="J148" t="n">
        <v>0</v>
      </c>
      <c r="K148" t="n">
        <v>0</v>
      </c>
      <c r="L148" t="n">
        <v>0</v>
      </c>
      <c r="M148" t="n">
        <v>0</v>
      </c>
      <c r="N148" t="n">
        <v>0</v>
      </c>
      <c r="O148" t="n">
        <v>0</v>
      </c>
      <c r="P148" t="n">
        <v>0</v>
      </c>
      <c r="Q148" t="n">
        <v>0</v>
      </c>
      <c r="R148" s="2" t="inlineStr"/>
    </row>
    <row r="149" ht="15" customHeight="1">
      <c r="A149" t="inlineStr">
        <is>
          <t>A 29918-2023</t>
        </is>
      </c>
      <c r="B149" s="1" t="n">
        <v>45099</v>
      </c>
      <c r="C149" s="1" t="n">
        <v>45886</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8137-2025</t>
        </is>
      </c>
      <c r="B150" s="1" t="n">
        <v>45707.8561574074</v>
      </c>
      <c r="C150" s="1" t="n">
        <v>45886</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7868-2024</t>
        </is>
      </c>
      <c r="B151" s="1" t="n">
        <v>45350.33020833333</v>
      </c>
      <c r="C151" s="1" t="n">
        <v>45886</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25333-2023</t>
        </is>
      </c>
      <c r="B152" s="1" t="n">
        <v>45083</v>
      </c>
      <c r="C152" s="1" t="n">
        <v>45886</v>
      </c>
      <c r="D152" t="inlineStr">
        <is>
          <t>UPPSALA LÄN</t>
        </is>
      </c>
      <c r="E152" t="inlineStr">
        <is>
          <t>ENKÖPING</t>
        </is>
      </c>
      <c r="G152" t="n">
        <v>2.7</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45886</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45886</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45886</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45886</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40812-2022</t>
        </is>
      </c>
      <c r="B157" s="1" t="n">
        <v>44824.68791666667</v>
      </c>
      <c r="C157" s="1" t="n">
        <v>45886</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51008-2024</t>
        </is>
      </c>
      <c r="B158" s="1" t="n">
        <v>45603.39041666667</v>
      </c>
      <c r="C158" s="1" t="n">
        <v>45886</v>
      </c>
      <c r="D158" t="inlineStr">
        <is>
          <t>UPPSALA LÄN</t>
        </is>
      </c>
      <c r="E158" t="inlineStr">
        <is>
          <t>ENKÖPING</t>
        </is>
      </c>
      <c r="G158" t="n">
        <v>2.4</v>
      </c>
      <c r="H158" t="n">
        <v>0</v>
      </c>
      <c r="I158" t="n">
        <v>0</v>
      </c>
      <c r="J158" t="n">
        <v>0</v>
      </c>
      <c r="K158" t="n">
        <v>0</v>
      </c>
      <c r="L158" t="n">
        <v>0</v>
      </c>
      <c r="M158" t="n">
        <v>0</v>
      </c>
      <c r="N158" t="n">
        <v>0</v>
      </c>
      <c r="O158" t="n">
        <v>0</v>
      </c>
      <c r="P158" t="n">
        <v>0</v>
      </c>
      <c r="Q158" t="n">
        <v>0</v>
      </c>
      <c r="R158" s="2" t="inlineStr"/>
    </row>
    <row r="159" ht="15" customHeight="1">
      <c r="A159" t="inlineStr">
        <is>
          <t>A 35052-2024</t>
        </is>
      </c>
      <c r="B159" s="1" t="n">
        <v>45527.6516087963</v>
      </c>
      <c r="C159" s="1" t="n">
        <v>45886</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57142-2021</t>
        </is>
      </c>
      <c r="B160" s="1" t="n">
        <v>44482</v>
      </c>
      <c r="C160" s="1" t="n">
        <v>45886</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45886</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5188-2022</t>
        </is>
      </c>
      <c r="B162" s="1" t="n">
        <v>44594.4471412037</v>
      </c>
      <c r="C162" s="1" t="n">
        <v>45886</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19014-2025</t>
        </is>
      </c>
      <c r="B163" s="1" t="n">
        <v>45764.59631944444</v>
      </c>
      <c r="C163" s="1" t="n">
        <v>45886</v>
      </c>
      <c r="D163" t="inlineStr">
        <is>
          <t>UPPSALA LÄN</t>
        </is>
      </c>
      <c r="E163" t="inlineStr">
        <is>
          <t>ENKÖPING</t>
        </is>
      </c>
      <c r="G163" t="n">
        <v>0.2</v>
      </c>
      <c r="H163" t="n">
        <v>0</v>
      </c>
      <c r="I163" t="n">
        <v>0</v>
      </c>
      <c r="J163" t="n">
        <v>0</v>
      </c>
      <c r="K163" t="n">
        <v>0</v>
      </c>
      <c r="L163" t="n">
        <v>0</v>
      </c>
      <c r="M163" t="n">
        <v>0</v>
      </c>
      <c r="N163" t="n">
        <v>0</v>
      </c>
      <c r="O163" t="n">
        <v>0</v>
      </c>
      <c r="P163" t="n">
        <v>0</v>
      </c>
      <c r="Q163" t="n">
        <v>0</v>
      </c>
      <c r="R163" s="2" t="inlineStr"/>
    </row>
    <row r="164" ht="15" customHeight="1">
      <c r="A164" t="inlineStr">
        <is>
          <t>A 24291-2024</t>
        </is>
      </c>
      <c r="B164" s="1" t="n">
        <v>45457.4584837963</v>
      </c>
      <c r="C164" s="1" t="n">
        <v>45886</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43691-2024</t>
        </is>
      </c>
      <c r="B165" s="1" t="n">
        <v>45569</v>
      </c>
      <c r="C165" s="1" t="n">
        <v>45886</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21017-2023</t>
        </is>
      </c>
      <c r="B166" s="1" t="n">
        <v>45061</v>
      </c>
      <c r="C166" s="1" t="n">
        <v>45886</v>
      </c>
      <c r="D166" t="inlineStr">
        <is>
          <t>UPPSALA LÄN</t>
        </is>
      </c>
      <c r="E166" t="inlineStr">
        <is>
          <t>ENKÖPING</t>
        </is>
      </c>
      <c r="G166" t="n">
        <v>4.8</v>
      </c>
      <c r="H166" t="n">
        <v>0</v>
      </c>
      <c r="I166" t="n">
        <v>0</v>
      </c>
      <c r="J166" t="n">
        <v>0</v>
      </c>
      <c r="K166" t="n">
        <v>0</v>
      </c>
      <c r="L166" t="n">
        <v>0</v>
      </c>
      <c r="M166" t="n">
        <v>0</v>
      </c>
      <c r="N166" t="n">
        <v>0</v>
      </c>
      <c r="O166" t="n">
        <v>0</v>
      </c>
      <c r="P166" t="n">
        <v>0</v>
      </c>
      <c r="Q166" t="n">
        <v>0</v>
      </c>
      <c r="R166" s="2" t="inlineStr"/>
    </row>
    <row r="167" ht="15" customHeight="1">
      <c r="A167" t="inlineStr">
        <is>
          <t>A 19376-2024</t>
        </is>
      </c>
      <c r="B167" s="1" t="n">
        <v>45429</v>
      </c>
      <c r="C167" s="1" t="n">
        <v>45886</v>
      </c>
      <c r="D167" t="inlineStr">
        <is>
          <t>UPPSALA LÄN</t>
        </is>
      </c>
      <c r="E167" t="inlineStr">
        <is>
          <t>ENKÖPING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33670-2024</t>
        </is>
      </c>
      <c r="B168" s="1" t="n">
        <v>45520</v>
      </c>
      <c r="C168" s="1" t="n">
        <v>45886</v>
      </c>
      <c r="D168" t="inlineStr">
        <is>
          <t>UPPSALA LÄN</t>
        </is>
      </c>
      <c r="E168" t="inlineStr">
        <is>
          <t>ENKÖPING</t>
        </is>
      </c>
      <c r="G168" t="n">
        <v>1.9</v>
      </c>
      <c r="H168" t="n">
        <v>0</v>
      </c>
      <c r="I168" t="n">
        <v>0</v>
      </c>
      <c r="J168" t="n">
        <v>0</v>
      </c>
      <c r="K168" t="n">
        <v>0</v>
      </c>
      <c r="L168" t="n">
        <v>0</v>
      </c>
      <c r="M168" t="n">
        <v>0</v>
      </c>
      <c r="N168" t="n">
        <v>0</v>
      </c>
      <c r="O168" t="n">
        <v>0</v>
      </c>
      <c r="P168" t="n">
        <v>0</v>
      </c>
      <c r="Q168" t="n">
        <v>0</v>
      </c>
      <c r="R168" s="2" t="inlineStr"/>
    </row>
    <row r="169" ht="15" customHeight="1">
      <c r="A169" t="inlineStr">
        <is>
          <t>A 19147-2024</t>
        </is>
      </c>
      <c r="B169" s="1" t="n">
        <v>45428</v>
      </c>
      <c r="C169" s="1" t="n">
        <v>45886</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67982-2021</t>
        </is>
      </c>
      <c r="B170" s="1" t="n">
        <v>44525</v>
      </c>
      <c r="C170" s="1" t="n">
        <v>45886</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14518-2025</t>
        </is>
      </c>
      <c r="B171" s="1" t="n">
        <v>45741</v>
      </c>
      <c r="C171" s="1" t="n">
        <v>45886</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57831-2024</t>
        </is>
      </c>
      <c r="B172" s="1" t="n">
        <v>45631.39107638889</v>
      </c>
      <c r="C172" s="1" t="n">
        <v>45886</v>
      </c>
      <c r="D172" t="inlineStr">
        <is>
          <t>UPPSALA LÄN</t>
        </is>
      </c>
      <c r="E172" t="inlineStr">
        <is>
          <t>ENKÖPING</t>
        </is>
      </c>
      <c r="G172" t="n">
        <v>7.2</v>
      </c>
      <c r="H172" t="n">
        <v>0</v>
      </c>
      <c r="I172" t="n">
        <v>0</v>
      </c>
      <c r="J172" t="n">
        <v>0</v>
      </c>
      <c r="K172" t="n">
        <v>0</v>
      </c>
      <c r="L172" t="n">
        <v>0</v>
      </c>
      <c r="M172" t="n">
        <v>0</v>
      </c>
      <c r="N172" t="n">
        <v>0</v>
      </c>
      <c r="O172" t="n">
        <v>0</v>
      </c>
      <c r="P172" t="n">
        <v>0</v>
      </c>
      <c r="Q172" t="n">
        <v>0</v>
      </c>
      <c r="R172" s="2" t="inlineStr"/>
    </row>
    <row r="173" ht="15" customHeight="1">
      <c r="A173" t="inlineStr">
        <is>
          <t>A 57835-2024</t>
        </is>
      </c>
      <c r="B173" s="1" t="n">
        <v>45631.39947916667</v>
      </c>
      <c r="C173" s="1" t="n">
        <v>45886</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57848-2024</t>
        </is>
      </c>
      <c r="B174" s="1" t="n">
        <v>45631.40947916666</v>
      </c>
      <c r="C174" s="1" t="n">
        <v>45886</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54776-2024</t>
        </is>
      </c>
      <c r="B175" s="1" t="n">
        <v>45618</v>
      </c>
      <c r="C175" s="1" t="n">
        <v>45886</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21612-2023</t>
        </is>
      </c>
      <c r="B176" s="1" t="n">
        <v>45063</v>
      </c>
      <c r="C176" s="1" t="n">
        <v>45886</v>
      </c>
      <c r="D176" t="inlineStr">
        <is>
          <t>UPPSALA LÄN</t>
        </is>
      </c>
      <c r="E176" t="inlineStr">
        <is>
          <t>ENKÖPING</t>
        </is>
      </c>
      <c r="F176" t="inlineStr">
        <is>
          <t>Allmännings- och besparingsskogar</t>
        </is>
      </c>
      <c r="G176" t="n">
        <v>1</v>
      </c>
      <c r="H176" t="n">
        <v>0</v>
      </c>
      <c r="I176" t="n">
        <v>0</v>
      </c>
      <c r="J176" t="n">
        <v>0</v>
      </c>
      <c r="K176" t="n">
        <v>0</v>
      </c>
      <c r="L176" t="n">
        <v>0</v>
      </c>
      <c r="M176" t="n">
        <v>0</v>
      </c>
      <c r="N176" t="n">
        <v>0</v>
      </c>
      <c r="O176" t="n">
        <v>0</v>
      </c>
      <c r="P176" t="n">
        <v>0</v>
      </c>
      <c r="Q176" t="n">
        <v>0</v>
      </c>
      <c r="R176" s="2" t="inlineStr"/>
    </row>
    <row r="177" ht="15" customHeight="1">
      <c r="A177" t="inlineStr">
        <is>
          <t>A 22150-2025</t>
        </is>
      </c>
      <c r="B177" s="1" t="n">
        <v>45785.56398148148</v>
      </c>
      <c r="C177" s="1" t="n">
        <v>45886</v>
      </c>
      <c r="D177" t="inlineStr">
        <is>
          <t>UPPSALA LÄN</t>
        </is>
      </c>
      <c r="E177" t="inlineStr">
        <is>
          <t>ENKÖPING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39624-2023</t>
        </is>
      </c>
      <c r="B178" s="1" t="n">
        <v>45164</v>
      </c>
      <c r="C178" s="1" t="n">
        <v>45886</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22156-2025</t>
        </is>
      </c>
      <c r="B179" s="1" t="n">
        <v>45785.57512731481</v>
      </c>
      <c r="C179" s="1" t="n">
        <v>45886</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5892-2023</t>
        </is>
      </c>
      <c r="B180" s="1" t="n">
        <v>44963.64883101852</v>
      </c>
      <c r="C180" s="1" t="n">
        <v>45886</v>
      </c>
      <c r="D180" t="inlineStr">
        <is>
          <t>UPPSALA LÄN</t>
        </is>
      </c>
      <c r="E180" t="inlineStr">
        <is>
          <t>ENKÖPING</t>
        </is>
      </c>
      <c r="G180" t="n">
        <v>5.5</v>
      </c>
      <c r="H180" t="n">
        <v>0</v>
      </c>
      <c r="I180" t="n">
        <v>0</v>
      </c>
      <c r="J180" t="n">
        <v>0</v>
      </c>
      <c r="K180" t="n">
        <v>0</v>
      </c>
      <c r="L180" t="n">
        <v>0</v>
      </c>
      <c r="M180" t="n">
        <v>0</v>
      </c>
      <c r="N180" t="n">
        <v>0</v>
      </c>
      <c r="O180" t="n">
        <v>0</v>
      </c>
      <c r="P180" t="n">
        <v>0</v>
      </c>
      <c r="Q180" t="n">
        <v>0</v>
      </c>
      <c r="R180" s="2" t="inlineStr"/>
    </row>
    <row r="181" ht="15" customHeight="1">
      <c r="A181" t="inlineStr">
        <is>
          <t>A 30087-2024</t>
        </is>
      </c>
      <c r="B181" s="1" t="n">
        <v>45489.39447916667</v>
      </c>
      <c r="C181" s="1" t="n">
        <v>45886</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39858-2024</t>
        </is>
      </c>
      <c r="B182" s="1" t="n">
        <v>45553</v>
      </c>
      <c r="C182" s="1" t="n">
        <v>45886</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22632-2025</t>
        </is>
      </c>
      <c r="B183" s="1" t="n">
        <v>45789.44361111111</v>
      </c>
      <c r="C183" s="1" t="n">
        <v>45886</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22677-2025</t>
        </is>
      </c>
      <c r="B184" s="1" t="n">
        <v>45789.49515046296</v>
      </c>
      <c r="C184" s="1" t="n">
        <v>45886</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22679-2025</t>
        </is>
      </c>
      <c r="B185" s="1" t="n">
        <v>45789.49747685185</v>
      </c>
      <c r="C185" s="1" t="n">
        <v>45886</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22729-2025</t>
        </is>
      </c>
      <c r="B186" s="1" t="n">
        <v>45789.57790509259</v>
      </c>
      <c r="C186" s="1" t="n">
        <v>45886</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22786-2025</t>
        </is>
      </c>
      <c r="B187" s="1" t="n">
        <v>45789.64643518518</v>
      </c>
      <c r="C187" s="1" t="n">
        <v>45886</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22795-2025</t>
        </is>
      </c>
      <c r="B188" s="1" t="n">
        <v>45789.65944444444</v>
      </c>
      <c r="C188" s="1" t="n">
        <v>45886</v>
      </c>
      <c r="D188" t="inlineStr">
        <is>
          <t>UPPSALA LÄN</t>
        </is>
      </c>
      <c r="E188" t="inlineStr">
        <is>
          <t>ENKÖPING</t>
        </is>
      </c>
      <c r="G188" t="n">
        <v>10.4</v>
      </c>
      <c r="H188" t="n">
        <v>0</v>
      </c>
      <c r="I188" t="n">
        <v>0</v>
      </c>
      <c r="J188" t="n">
        <v>0</v>
      </c>
      <c r="K188" t="n">
        <v>0</v>
      </c>
      <c r="L188" t="n">
        <v>0</v>
      </c>
      <c r="M188" t="n">
        <v>0</v>
      </c>
      <c r="N188" t="n">
        <v>0</v>
      </c>
      <c r="O188" t="n">
        <v>0</v>
      </c>
      <c r="P188" t="n">
        <v>0</v>
      </c>
      <c r="Q188" t="n">
        <v>0</v>
      </c>
      <c r="R188" s="2" t="inlineStr"/>
    </row>
    <row r="189" ht="15" customHeight="1">
      <c r="A189" t="inlineStr">
        <is>
          <t>A 22802-2025</t>
        </is>
      </c>
      <c r="B189" s="1" t="n">
        <v>45789.6686574074</v>
      </c>
      <c r="C189" s="1" t="n">
        <v>45886</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49597-2024</t>
        </is>
      </c>
      <c r="B190" s="1" t="n">
        <v>45596.5589699074</v>
      </c>
      <c r="C190" s="1" t="n">
        <v>45886</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22680-2025</t>
        </is>
      </c>
      <c r="B191" s="1" t="n">
        <v>45789.5005787037</v>
      </c>
      <c r="C191" s="1" t="n">
        <v>45886</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6981-2025</t>
        </is>
      </c>
      <c r="B192" s="1" t="n">
        <v>45701</v>
      </c>
      <c r="C192" s="1" t="n">
        <v>45886</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9957-2023</t>
        </is>
      </c>
      <c r="B193" s="1" t="n">
        <v>44978</v>
      </c>
      <c r="C193" s="1" t="n">
        <v>45886</v>
      </c>
      <c r="D193" t="inlineStr">
        <is>
          <t>UPPSALA LÄN</t>
        </is>
      </c>
      <c r="E193" t="inlineStr">
        <is>
          <t>ENKÖPING</t>
        </is>
      </c>
      <c r="G193" t="n">
        <v>5.9</v>
      </c>
      <c r="H193" t="n">
        <v>0</v>
      </c>
      <c r="I193" t="n">
        <v>0</v>
      </c>
      <c r="J193" t="n">
        <v>0</v>
      </c>
      <c r="K193" t="n">
        <v>0</v>
      </c>
      <c r="L193" t="n">
        <v>0</v>
      </c>
      <c r="M193" t="n">
        <v>0</v>
      </c>
      <c r="N193" t="n">
        <v>0</v>
      </c>
      <c r="O193" t="n">
        <v>0</v>
      </c>
      <c r="P193" t="n">
        <v>0</v>
      </c>
      <c r="Q193" t="n">
        <v>0</v>
      </c>
      <c r="R193" s="2" t="inlineStr"/>
    </row>
    <row r="194" ht="15" customHeight="1">
      <c r="A194" t="inlineStr">
        <is>
          <t>A 22770-2025</t>
        </is>
      </c>
      <c r="B194" s="1" t="n">
        <v>45789.63454861111</v>
      </c>
      <c r="C194" s="1" t="n">
        <v>45886</v>
      </c>
      <c r="D194" t="inlineStr">
        <is>
          <t>UPPSALA LÄN</t>
        </is>
      </c>
      <c r="E194" t="inlineStr">
        <is>
          <t>ENKÖPING</t>
        </is>
      </c>
      <c r="G194" t="n">
        <v>4.5</v>
      </c>
      <c r="H194" t="n">
        <v>0</v>
      </c>
      <c r="I194" t="n">
        <v>0</v>
      </c>
      <c r="J194" t="n">
        <v>0</v>
      </c>
      <c r="K194" t="n">
        <v>0</v>
      </c>
      <c r="L194" t="n">
        <v>0</v>
      </c>
      <c r="M194" t="n">
        <v>0</v>
      </c>
      <c r="N194" t="n">
        <v>0</v>
      </c>
      <c r="O194" t="n">
        <v>0</v>
      </c>
      <c r="P194" t="n">
        <v>0</v>
      </c>
      <c r="Q194" t="n">
        <v>0</v>
      </c>
      <c r="R194" s="2" t="inlineStr"/>
    </row>
    <row r="195" ht="15" customHeight="1">
      <c r="A195" t="inlineStr">
        <is>
          <t>A 22725-2025</t>
        </is>
      </c>
      <c r="B195" s="1" t="n">
        <v>45789.57371527778</v>
      </c>
      <c r="C195" s="1" t="n">
        <v>45886</v>
      </c>
      <c r="D195" t="inlineStr">
        <is>
          <t>UPPSALA LÄN</t>
        </is>
      </c>
      <c r="E195" t="inlineStr">
        <is>
          <t>ENKÖPING</t>
        </is>
      </c>
      <c r="G195" t="n">
        <v>4.8</v>
      </c>
      <c r="H195" t="n">
        <v>0</v>
      </c>
      <c r="I195" t="n">
        <v>0</v>
      </c>
      <c r="J195" t="n">
        <v>0</v>
      </c>
      <c r="K195" t="n">
        <v>0</v>
      </c>
      <c r="L195" t="n">
        <v>0</v>
      </c>
      <c r="M195" t="n">
        <v>0</v>
      </c>
      <c r="N195" t="n">
        <v>0</v>
      </c>
      <c r="O195" t="n">
        <v>0</v>
      </c>
      <c r="P195" t="n">
        <v>0</v>
      </c>
      <c r="Q195" t="n">
        <v>0</v>
      </c>
      <c r="R195" s="2" t="inlineStr"/>
    </row>
    <row r="196" ht="15" customHeight="1">
      <c r="A196" t="inlineStr">
        <is>
          <t>A 22981-2025</t>
        </is>
      </c>
      <c r="B196" s="1" t="n">
        <v>45790.56964120371</v>
      </c>
      <c r="C196" s="1" t="n">
        <v>45886</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23020-2025</t>
        </is>
      </c>
      <c r="B197" s="1" t="n">
        <v>45790.64706018518</v>
      </c>
      <c r="C197" s="1" t="n">
        <v>45886</v>
      </c>
      <c r="D197" t="inlineStr">
        <is>
          <t>UPPSALA LÄN</t>
        </is>
      </c>
      <c r="E197" t="inlineStr">
        <is>
          <t>ENKÖPING</t>
        </is>
      </c>
      <c r="G197" t="n">
        <v>5.2</v>
      </c>
      <c r="H197" t="n">
        <v>0</v>
      </c>
      <c r="I197" t="n">
        <v>0</v>
      </c>
      <c r="J197" t="n">
        <v>0</v>
      </c>
      <c r="K197" t="n">
        <v>0</v>
      </c>
      <c r="L197" t="n">
        <v>0</v>
      </c>
      <c r="M197" t="n">
        <v>0</v>
      </c>
      <c r="N197" t="n">
        <v>0</v>
      </c>
      <c r="O197" t="n">
        <v>0</v>
      </c>
      <c r="P197" t="n">
        <v>0</v>
      </c>
      <c r="Q197" t="n">
        <v>0</v>
      </c>
      <c r="R197" s="2" t="inlineStr"/>
    </row>
    <row r="198" ht="15" customHeight="1">
      <c r="A198" t="inlineStr">
        <is>
          <t>A 68123-2021</t>
        </is>
      </c>
      <c r="B198" s="1" t="n">
        <v>44526.39126157408</v>
      </c>
      <c r="C198" s="1" t="n">
        <v>45886</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22793-2025</t>
        </is>
      </c>
      <c r="B199" s="1" t="n">
        <v>45789.65693287037</v>
      </c>
      <c r="C199" s="1" t="n">
        <v>45886</v>
      </c>
      <c r="D199" t="inlineStr">
        <is>
          <t>UPPSALA LÄN</t>
        </is>
      </c>
      <c r="E199" t="inlineStr">
        <is>
          <t>ENKÖPING</t>
        </is>
      </c>
      <c r="G199" t="n">
        <v>3.2</v>
      </c>
      <c r="H199" t="n">
        <v>0</v>
      </c>
      <c r="I199" t="n">
        <v>0</v>
      </c>
      <c r="J199" t="n">
        <v>0</v>
      </c>
      <c r="K199" t="n">
        <v>0</v>
      </c>
      <c r="L199" t="n">
        <v>0</v>
      </c>
      <c r="M199" t="n">
        <v>0</v>
      </c>
      <c r="N199" t="n">
        <v>0</v>
      </c>
      <c r="O199" t="n">
        <v>0</v>
      </c>
      <c r="P199" t="n">
        <v>0</v>
      </c>
      <c r="Q199" t="n">
        <v>0</v>
      </c>
      <c r="R199" s="2" t="inlineStr"/>
    </row>
    <row r="200" ht="15" customHeight="1">
      <c r="A200" t="inlineStr">
        <is>
          <t>A 22800-2025</t>
        </is>
      </c>
      <c r="B200" s="1" t="n">
        <v>45789.6669212963</v>
      </c>
      <c r="C200" s="1" t="n">
        <v>45886</v>
      </c>
      <c r="D200" t="inlineStr">
        <is>
          <t>UPPSALA LÄN</t>
        </is>
      </c>
      <c r="E200" t="inlineStr">
        <is>
          <t>ENKÖPING</t>
        </is>
      </c>
      <c r="G200" t="n">
        <v>2</v>
      </c>
      <c r="H200" t="n">
        <v>0</v>
      </c>
      <c r="I200" t="n">
        <v>0</v>
      </c>
      <c r="J200" t="n">
        <v>0</v>
      </c>
      <c r="K200" t="n">
        <v>0</v>
      </c>
      <c r="L200" t="n">
        <v>0</v>
      </c>
      <c r="M200" t="n">
        <v>0</v>
      </c>
      <c r="N200" t="n">
        <v>0</v>
      </c>
      <c r="O200" t="n">
        <v>0</v>
      </c>
      <c r="P200" t="n">
        <v>0</v>
      </c>
      <c r="Q200" t="n">
        <v>0</v>
      </c>
      <c r="R200" s="2" t="inlineStr"/>
    </row>
    <row r="201" ht="15" customHeight="1">
      <c r="A201" t="inlineStr">
        <is>
          <t>A 8152-2022</t>
        </is>
      </c>
      <c r="B201" s="1" t="n">
        <v>44609</v>
      </c>
      <c r="C201" s="1" t="n">
        <v>45886</v>
      </c>
      <c r="D201" t="inlineStr">
        <is>
          <t>UPPSALA LÄN</t>
        </is>
      </c>
      <c r="E201" t="inlineStr">
        <is>
          <t>ENKÖPING</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44232-2022</t>
        </is>
      </c>
      <c r="B202" s="1" t="n">
        <v>44839</v>
      </c>
      <c r="C202" s="1" t="n">
        <v>45886</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17657-2025</t>
        </is>
      </c>
      <c r="B203" s="1" t="n">
        <v>45758.35006944444</v>
      </c>
      <c r="C203" s="1" t="n">
        <v>45886</v>
      </c>
      <c r="D203" t="inlineStr">
        <is>
          <t>UPPSALA LÄN</t>
        </is>
      </c>
      <c r="E203" t="inlineStr">
        <is>
          <t>ENKÖPING</t>
        </is>
      </c>
      <c r="G203" t="n">
        <v>3</v>
      </c>
      <c r="H203" t="n">
        <v>0</v>
      </c>
      <c r="I203" t="n">
        <v>0</v>
      </c>
      <c r="J203" t="n">
        <v>0</v>
      </c>
      <c r="K203" t="n">
        <v>0</v>
      </c>
      <c r="L203" t="n">
        <v>0</v>
      </c>
      <c r="M203" t="n">
        <v>0</v>
      </c>
      <c r="N203" t="n">
        <v>0</v>
      </c>
      <c r="O203" t="n">
        <v>0</v>
      </c>
      <c r="P203" t="n">
        <v>0</v>
      </c>
      <c r="Q203" t="n">
        <v>0</v>
      </c>
      <c r="R203" s="2" t="inlineStr"/>
    </row>
    <row r="204" ht="15" customHeight="1">
      <c r="A204" t="inlineStr">
        <is>
          <t>A 17729-2023</t>
        </is>
      </c>
      <c r="B204" s="1" t="n">
        <v>45037</v>
      </c>
      <c r="C204" s="1" t="n">
        <v>45886</v>
      </c>
      <c r="D204" t="inlineStr">
        <is>
          <t>UPPSALA LÄN</t>
        </is>
      </c>
      <c r="E204" t="inlineStr">
        <is>
          <t>ENKÖPING</t>
        </is>
      </c>
      <c r="G204" t="n">
        <v>10.2</v>
      </c>
      <c r="H204" t="n">
        <v>0</v>
      </c>
      <c r="I204" t="n">
        <v>0</v>
      </c>
      <c r="J204" t="n">
        <v>0</v>
      </c>
      <c r="K204" t="n">
        <v>0</v>
      </c>
      <c r="L204" t="n">
        <v>0</v>
      </c>
      <c r="M204" t="n">
        <v>0</v>
      </c>
      <c r="N204" t="n">
        <v>0</v>
      </c>
      <c r="O204" t="n">
        <v>0</v>
      </c>
      <c r="P204" t="n">
        <v>0</v>
      </c>
      <c r="Q204" t="n">
        <v>0</v>
      </c>
      <c r="R204" s="2" t="inlineStr"/>
    </row>
    <row r="205" ht="15" customHeight="1">
      <c r="A205" t="inlineStr">
        <is>
          <t>A 5749-2025</t>
        </is>
      </c>
      <c r="B205" s="1" t="n">
        <v>45694</v>
      </c>
      <c r="C205" s="1" t="n">
        <v>45886</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47428-2023</t>
        </is>
      </c>
      <c r="B206" s="1" t="n">
        <v>45202.66664351852</v>
      </c>
      <c r="C206" s="1" t="n">
        <v>45886</v>
      </c>
      <c r="D206" t="inlineStr">
        <is>
          <t>UPPSALA LÄN</t>
        </is>
      </c>
      <c r="E206" t="inlineStr">
        <is>
          <t>ENKÖPING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8020-2022</t>
        </is>
      </c>
      <c r="B207" s="1" t="n">
        <v>44609</v>
      </c>
      <c r="C207" s="1" t="n">
        <v>45886</v>
      </c>
      <c r="D207" t="inlineStr">
        <is>
          <t>UPPSALA LÄN</t>
        </is>
      </c>
      <c r="E207" t="inlineStr">
        <is>
          <t>ENKÖPING</t>
        </is>
      </c>
      <c r="G207" t="n">
        <v>6</v>
      </c>
      <c r="H207" t="n">
        <v>0</v>
      </c>
      <c r="I207" t="n">
        <v>0</v>
      </c>
      <c r="J207" t="n">
        <v>0</v>
      </c>
      <c r="K207" t="n">
        <v>0</v>
      </c>
      <c r="L207" t="n">
        <v>0</v>
      </c>
      <c r="M207" t="n">
        <v>0</v>
      </c>
      <c r="N207" t="n">
        <v>0</v>
      </c>
      <c r="O207" t="n">
        <v>0</v>
      </c>
      <c r="P207" t="n">
        <v>0</v>
      </c>
      <c r="Q207" t="n">
        <v>0</v>
      </c>
      <c r="R207" s="2" t="inlineStr"/>
    </row>
    <row r="208" ht="15" customHeight="1">
      <c r="A208" t="inlineStr">
        <is>
          <t>A 34805-2024</t>
        </is>
      </c>
      <c r="B208" s="1" t="n">
        <v>45526</v>
      </c>
      <c r="C208" s="1" t="n">
        <v>45886</v>
      </c>
      <c r="D208" t="inlineStr">
        <is>
          <t>UPPSALA LÄN</t>
        </is>
      </c>
      <c r="E208" t="inlineStr">
        <is>
          <t>ENKÖPING</t>
        </is>
      </c>
      <c r="G208" t="n">
        <v>3.6</v>
      </c>
      <c r="H208" t="n">
        <v>0</v>
      </c>
      <c r="I208" t="n">
        <v>0</v>
      </c>
      <c r="J208" t="n">
        <v>0</v>
      </c>
      <c r="K208" t="n">
        <v>0</v>
      </c>
      <c r="L208" t="n">
        <v>0</v>
      </c>
      <c r="M208" t="n">
        <v>0</v>
      </c>
      <c r="N208" t="n">
        <v>0</v>
      </c>
      <c r="O208" t="n">
        <v>0</v>
      </c>
      <c r="P208" t="n">
        <v>0</v>
      </c>
      <c r="Q208" t="n">
        <v>0</v>
      </c>
      <c r="R208" s="2" t="inlineStr"/>
    </row>
    <row r="209" ht="15" customHeight="1">
      <c r="A209" t="inlineStr">
        <is>
          <t>A 314-2025</t>
        </is>
      </c>
      <c r="B209" s="1" t="n">
        <v>45656</v>
      </c>
      <c r="C209" s="1" t="n">
        <v>45886</v>
      </c>
      <c r="D209" t="inlineStr">
        <is>
          <t>UPPSALA LÄN</t>
        </is>
      </c>
      <c r="E209" t="inlineStr">
        <is>
          <t>ENKÖPING</t>
        </is>
      </c>
      <c r="G209" t="n">
        <v>9</v>
      </c>
      <c r="H209" t="n">
        <v>0</v>
      </c>
      <c r="I209" t="n">
        <v>0</v>
      </c>
      <c r="J209" t="n">
        <v>0</v>
      </c>
      <c r="K209" t="n">
        <v>0</v>
      </c>
      <c r="L209" t="n">
        <v>0</v>
      </c>
      <c r="M209" t="n">
        <v>0</v>
      </c>
      <c r="N209" t="n">
        <v>0</v>
      </c>
      <c r="O209" t="n">
        <v>0</v>
      </c>
      <c r="P209" t="n">
        <v>0</v>
      </c>
      <c r="Q209" t="n">
        <v>0</v>
      </c>
      <c r="R209" s="2" t="inlineStr"/>
    </row>
    <row r="210" ht="15" customHeight="1">
      <c r="A210" t="inlineStr">
        <is>
          <t>A 10831-2024</t>
        </is>
      </c>
      <c r="B210" s="1" t="n">
        <v>45369</v>
      </c>
      <c r="C210" s="1" t="n">
        <v>45886</v>
      </c>
      <c r="D210" t="inlineStr">
        <is>
          <t>UPPSALA LÄN</t>
        </is>
      </c>
      <c r="E210" t="inlineStr">
        <is>
          <t>ENKÖPING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5712-2025</t>
        </is>
      </c>
      <c r="B211" s="1" t="n">
        <v>45694</v>
      </c>
      <c r="C211" s="1" t="n">
        <v>45886</v>
      </c>
      <c r="D211" t="inlineStr">
        <is>
          <t>UPPSALA LÄN</t>
        </is>
      </c>
      <c r="E211" t="inlineStr">
        <is>
          <t>ENKÖPING</t>
        </is>
      </c>
      <c r="G211" t="n">
        <v>5.1</v>
      </c>
      <c r="H211" t="n">
        <v>0</v>
      </c>
      <c r="I211" t="n">
        <v>0</v>
      </c>
      <c r="J211" t="n">
        <v>0</v>
      </c>
      <c r="K211" t="n">
        <v>0</v>
      </c>
      <c r="L211" t="n">
        <v>0</v>
      </c>
      <c r="M211" t="n">
        <v>0</v>
      </c>
      <c r="N211" t="n">
        <v>0</v>
      </c>
      <c r="O211" t="n">
        <v>0</v>
      </c>
      <c r="P211" t="n">
        <v>0</v>
      </c>
      <c r="Q211" t="n">
        <v>0</v>
      </c>
      <c r="R211" s="2" t="inlineStr"/>
    </row>
    <row r="212" ht="15" customHeight="1">
      <c r="A212" t="inlineStr">
        <is>
          <t>A 15939-2022</t>
        </is>
      </c>
      <c r="B212" s="1" t="n">
        <v>44664</v>
      </c>
      <c r="C212" s="1" t="n">
        <v>45886</v>
      </c>
      <c r="D212" t="inlineStr">
        <is>
          <t>UPPSALA LÄN</t>
        </is>
      </c>
      <c r="E212" t="inlineStr">
        <is>
          <t>ENKÖPING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50394-2024</t>
        </is>
      </c>
      <c r="B213" s="1" t="n">
        <v>45600</v>
      </c>
      <c r="C213" s="1" t="n">
        <v>45886</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45956-2024</t>
        </is>
      </c>
      <c r="B214" s="1" t="n">
        <v>45580</v>
      </c>
      <c r="C214" s="1" t="n">
        <v>45886</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11627-2025</t>
        </is>
      </c>
      <c r="B215" s="1" t="n">
        <v>45727</v>
      </c>
      <c r="C215" s="1" t="n">
        <v>45886</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74090-2021</t>
        </is>
      </c>
      <c r="B216" s="1" t="n">
        <v>44557</v>
      </c>
      <c r="C216" s="1" t="n">
        <v>45886</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72840-2021</t>
        </is>
      </c>
      <c r="B217" s="1" t="n">
        <v>44547</v>
      </c>
      <c r="C217" s="1" t="n">
        <v>45886</v>
      </c>
      <c r="D217" t="inlineStr">
        <is>
          <t>UPPSALA LÄN</t>
        </is>
      </c>
      <c r="E217" t="inlineStr">
        <is>
          <t>ENKÖPING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57841-2024</t>
        </is>
      </c>
      <c r="B218" s="1" t="n">
        <v>45631.40591435185</v>
      </c>
      <c r="C218" s="1" t="n">
        <v>45886</v>
      </c>
      <c r="D218" t="inlineStr">
        <is>
          <t>UPPSALA LÄN</t>
        </is>
      </c>
      <c r="E218" t="inlineStr">
        <is>
          <t>ENKÖPING</t>
        </is>
      </c>
      <c r="G218" t="n">
        <v>3.4</v>
      </c>
      <c r="H218" t="n">
        <v>0</v>
      </c>
      <c r="I218" t="n">
        <v>0</v>
      </c>
      <c r="J218" t="n">
        <v>0</v>
      </c>
      <c r="K218" t="n">
        <v>0</v>
      </c>
      <c r="L218" t="n">
        <v>0</v>
      </c>
      <c r="M218" t="n">
        <v>0</v>
      </c>
      <c r="N218" t="n">
        <v>0</v>
      </c>
      <c r="O218" t="n">
        <v>0</v>
      </c>
      <c r="P218" t="n">
        <v>0</v>
      </c>
      <c r="Q218" t="n">
        <v>0</v>
      </c>
      <c r="R218" s="2" t="inlineStr"/>
    </row>
    <row r="219" ht="15" customHeight="1">
      <c r="A219" t="inlineStr">
        <is>
          <t>A 37870-2023</t>
        </is>
      </c>
      <c r="B219" s="1" t="n">
        <v>45160.41996527778</v>
      </c>
      <c r="C219" s="1" t="n">
        <v>45886</v>
      </c>
      <c r="D219" t="inlineStr">
        <is>
          <t>UPPSALA LÄN</t>
        </is>
      </c>
      <c r="E219" t="inlineStr">
        <is>
          <t>ENKÖPING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7090-2022</t>
        </is>
      </c>
      <c r="B220" s="1" t="n">
        <v>44603.59520833333</v>
      </c>
      <c r="C220" s="1" t="n">
        <v>45886</v>
      </c>
      <c r="D220" t="inlineStr">
        <is>
          <t>UPPSALA LÄN</t>
        </is>
      </c>
      <c r="E220" t="inlineStr">
        <is>
          <t>ENKÖPING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49063-2024</t>
        </is>
      </c>
      <c r="B221" s="1" t="n">
        <v>45594.59869212963</v>
      </c>
      <c r="C221" s="1" t="n">
        <v>45886</v>
      </c>
      <c r="D221" t="inlineStr">
        <is>
          <t>UPPSALA LÄN</t>
        </is>
      </c>
      <c r="E221" t="inlineStr">
        <is>
          <t>ENKÖPING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14083-2025</t>
        </is>
      </c>
      <c r="B222" s="1" t="n">
        <v>45740</v>
      </c>
      <c r="C222" s="1" t="n">
        <v>45886</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58092-2024</t>
        </is>
      </c>
      <c r="B223" s="1" t="n">
        <v>45632</v>
      </c>
      <c r="C223" s="1" t="n">
        <v>45886</v>
      </c>
      <c r="D223" t="inlineStr">
        <is>
          <t>UPPSALA LÄN</t>
        </is>
      </c>
      <c r="E223" t="inlineStr">
        <is>
          <t>ENKÖPING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19298-2023</t>
        </is>
      </c>
      <c r="B224" s="1" t="n">
        <v>45048</v>
      </c>
      <c r="C224" s="1" t="n">
        <v>45886</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24411-2024</t>
        </is>
      </c>
      <c r="B225" s="1" t="n">
        <v>45457</v>
      </c>
      <c r="C225" s="1" t="n">
        <v>45886</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18986-2025</t>
        </is>
      </c>
      <c r="B226" s="1" t="n">
        <v>45764.56089120371</v>
      </c>
      <c r="C226" s="1" t="n">
        <v>45886</v>
      </c>
      <c r="D226" t="inlineStr">
        <is>
          <t>UPPSALA LÄN</t>
        </is>
      </c>
      <c r="E226" t="inlineStr">
        <is>
          <t>ENKÖPING</t>
        </is>
      </c>
      <c r="G226" t="n">
        <v>6.9</v>
      </c>
      <c r="H226" t="n">
        <v>0</v>
      </c>
      <c r="I226" t="n">
        <v>0</v>
      </c>
      <c r="J226" t="n">
        <v>0</v>
      </c>
      <c r="K226" t="n">
        <v>0</v>
      </c>
      <c r="L226" t="n">
        <v>0</v>
      </c>
      <c r="M226" t="n">
        <v>0</v>
      </c>
      <c r="N226" t="n">
        <v>0</v>
      </c>
      <c r="O226" t="n">
        <v>0</v>
      </c>
      <c r="P226" t="n">
        <v>0</v>
      </c>
      <c r="Q226" t="n">
        <v>0</v>
      </c>
      <c r="R226" s="2" t="inlineStr"/>
    </row>
    <row r="227" ht="15" customHeight="1">
      <c r="A227" t="inlineStr">
        <is>
          <t>A 25988-2025</t>
        </is>
      </c>
      <c r="B227" s="1" t="n">
        <v>45804.64814814815</v>
      </c>
      <c r="C227" s="1" t="n">
        <v>45886</v>
      </c>
      <c r="D227" t="inlineStr">
        <is>
          <t>UPPSALA LÄN</t>
        </is>
      </c>
      <c r="E227" t="inlineStr">
        <is>
          <t>ENKÖPING</t>
        </is>
      </c>
      <c r="G227" t="n">
        <v>4.7</v>
      </c>
      <c r="H227" t="n">
        <v>0</v>
      </c>
      <c r="I227" t="n">
        <v>0</v>
      </c>
      <c r="J227" t="n">
        <v>0</v>
      </c>
      <c r="K227" t="n">
        <v>0</v>
      </c>
      <c r="L227" t="n">
        <v>0</v>
      </c>
      <c r="M227" t="n">
        <v>0</v>
      </c>
      <c r="N227" t="n">
        <v>0</v>
      </c>
      <c r="O227" t="n">
        <v>0</v>
      </c>
      <c r="P227" t="n">
        <v>0</v>
      </c>
      <c r="Q227" t="n">
        <v>0</v>
      </c>
      <c r="R227" s="2" t="inlineStr"/>
    </row>
    <row r="228" ht="15" customHeight="1">
      <c r="A228" t="inlineStr">
        <is>
          <t>A 15409-2025</t>
        </is>
      </c>
      <c r="B228" s="1" t="n">
        <v>45747</v>
      </c>
      <c r="C228" s="1" t="n">
        <v>45886</v>
      </c>
      <c r="D228" t="inlineStr">
        <is>
          <t>UPPSALA LÄN</t>
        </is>
      </c>
      <c r="E228" t="inlineStr">
        <is>
          <t>ENKÖPING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26017-2025</t>
        </is>
      </c>
      <c r="B229" s="1" t="n">
        <v>45804</v>
      </c>
      <c r="C229" s="1" t="n">
        <v>45886</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26024-2025</t>
        </is>
      </c>
      <c r="B230" s="1" t="n">
        <v>45804.6831712963</v>
      </c>
      <c r="C230" s="1" t="n">
        <v>45886</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26042-2025</t>
        </is>
      </c>
      <c r="B231" s="1" t="n">
        <v>45804.70018518518</v>
      </c>
      <c r="C231" s="1" t="n">
        <v>45886</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25990-2025</t>
        </is>
      </c>
      <c r="B232" s="1" t="n">
        <v>45804.65229166667</v>
      </c>
      <c r="C232" s="1" t="n">
        <v>45886</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26030-2025</t>
        </is>
      </c>
      <c r="B233" s="1" t="n">
        <v>45804.68815972222</v>
      </c>
      <c r="C233" s="1" t="n">
        <v>45886</v>
      </c>
      <c r="D233" t="inlineStr">
        <is>
          <t>UPPSALA LÄN</t>
        </is>
      </c>
      <c r="E233" t="inlineStr">
        <is>
          <t>ENKÖPING</t>
        </is>
      </c>
      <c r="G233" t="n">
        <v>0.3</v>
      </c>
      <c r="H233" t="n">
        <v>0</v>
      </c>
      <c r="I233" t="n">
        <v>0</v>
      </c>
      <c r="J233" t="n">
        <v>0</v>
      </c>
      <c r="K233" t="n">
        <v>0</v>
      </c>
      <c r="L233" t="n">
        <v>0</v>
      </c>
      <c r="M233" t="n">
        <v>0</v>
      </c>
      <c r="N233" t="n">
        <v>0</v>
      </c>
      <c r="O233" t="n">
        <v>0</v>
      </c>
      <c r="P233" t="n">
        <v>0</v>
      </c>
      <c r="Q233" t="n">
        <v>0</v>
      </c>
      <c r="R233" s="2" t="inlineStr"/>
    </row>
    <row r="234" ht="15" customHeight="1">
      <c r="A234" t="inlineStr">
        <is>
          <t>A 21501-2025</t>
        </is>
      </c>
      <c r="B234" s="1" t="n">
        <v>45782</v>
      </c>
      <c r="C234" s="1" t="n">
        <v>45886</v>
      </c>
      <c r="D234" t="inlineStr">
        <is>
          <t>UPPSALA LÄN</t>
        </is>
      </c>
      <c r="E234" t="inlineStr">
        <is>
          <t>ENKÖPING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26026-2025</t>
        </is>
      </c>
      <c r="B235" s="1" t="n">
        <v>45804.68510416667</v>
      </c>
      <c r="C235" s="1" t="n">
        <v>45886</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26047-2025</t>
        </is>
      </c>
      <c r="B236" s="1" t="n">
        <v>45804.70835648148</v>
      </c>
      <c r="C236" s="1" t="n">
        <v>45886</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25989-2025</t>
        </is>
      </c>
      <c r="B237" s="1" t="n">
        <v>45804.65050925926</v>
      </c>
      <c r="C237" s="1" t="n">
        <v>45886</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25847-2025</t>
        </is>
      </c>
      <c r="B238" s="1" t="n">
        <v>45804</v>
      </c>
      <c r="C238" s="1" t="n">
        <v>45886</v>
      </c>
      <c r="D238" t="inlineStr">
        <is>
          <t>UPPSALA LÄN</t>
        </is>
      </c>
      <c r="E238" t="inlineStr">
        <is>
          <t>ENKÖPING</t>
        </is>
      </c>
      <c r="G238" t="n">
        <v>3.6</v>
      </c>
      <c r="H238" t="n">
        <v>0</v>
      </c>
      <c r="I238" t="n">
        <v>0</v>
      </c>
      <c r="J238" t="n">
        <v>0</v>
      </c>
      <c r="K238" t="n">
        <v>0</v>
      </c>
      <c r="L238" t="n">
        <v>0</v>
      </c>
      <c r="M238" t="n">
        <v>0</v>
      </c>
      <c r="N238" t="n">
        <v>0</v>
      </c>
      <c r="O238" t="n">
        <v>0</v>
      </c>
      <c r="P238" t="n">
        <v>0</v>
      </c>
      <c r="Q238" t="n">
        <v>0</v>
      </c>
      <c r="R238" s="2" t="inlineStr"/>
    </row>
    <row r="239" ht="15" customHeight="1">
      <c r="A239" t="inlineStr">
        <is>
          <t>A 26005-2025</t>
        </is>
      </c>
      <c r="B239" s="1" t="n">
        <v>45804.67055555555</v>
      </c>
      <c r="C239" s="1" t="n">
        <v>45886</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26031-2025</t>
        </is>
      </c>
      <c r="B240" s="1" t="n">
        <v>45804.69050925926</v>
      </c>
      <c r="C240" s="1" t="n">
        <v>45886</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26041-2025</t>
        </is>
      </c>
      <c r="B241" s="1" t="n">
        <v>45804.69883101852</v>
      </c>
      <c r="C241" s="1" t="n">
        <v>45886</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26022-2025</t>
        </is>
      </c>
      <c r="B242" s="1" t="n">
        <v>45804.68006944445</v>
      </c>
      <c r="C242" s="1" t="n">
        <v>45886</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26011-2025</t>
        </is>
      </c>
      <c r="B243" s="1" t="n">
        <v>45804.67412037037</v>
      </c>
      <c r="C243" s="1" t="n">
        <v>45886</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29513-2025</t>
        </is>
      </c>
      <c r="B244" s="1" t="n">
        <v>45825</v>
      </c>
      <c r="C244" s="1" t="n">
        <v>45886</v>
      </c>
      <c r="D244" t="inlineStr">
        <is>
          <t>UPPSALA LÄN</t>
        </is>
      </c>
      <c r="E244" t="inlineStr">
        <is>
          <t>ENKÖPING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20186-2023</t>
        </is>
      </c>
      <c r="B245" s="1" t="n">
        <v>45055.56934027778</v>
      </c>
      <c r="C245" s="1" t="n">
        <v>45886</v>
      </c>
      <c r="D245" t="inlineStr">
        <is>
          <t>UPPSALA LÄN</t>
        </is>
      </c>
      <c r="E245" t="inlineStr">
        <is>
          <t>ENKÖPING</t>
        </is>
      </c>
      <c r="G245" t="n">
        <v>4.3</v>
      </c>
      <c r="H245" t="n">
        <v>0</v>
      </c>
      <c r="I245" t="n">
        <v>0</v>
      </c>
      <c r="J245" t="n">
        <v>0</v>
      </c>
      <c r="K245" t="n">
        <v>0</v>
      </c>
      <c r="L245" t="n">
        <v>0</v>
      </c>
      <c r="M245" t="n">
        <v>0</v>
      </c>
      <c r="N245" t="n">
        <v>0</v>
      </c>
      <c r="O245" t="n">
        <v>0</v>
      </c>
      <c r="P245" t="n">
        <v>0</v>
      </c>
      <c r="Q245" t="n">
        <v>0</v>
      </c>
      <c r="R245" s="2" t="inlineStr"/>
    </row>
    <row r="246" ht="15" customHeight="1">
      <c r="A246" t="inlineStr">
        <is>
          <t>A 45362-2022</t>
        </is>
      </c>
      <c r="B246" s="1" t="n">
        <v>44844.62366898148</v>
      </c>
      <c r="C246" s="1" t="n">
        <v>45886</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56526-2022</t>
        </is>
      </c>
      <c r="B247" s="1" t="n">
        <v>44893</v>
      </c>
      <c r="C247" s="1" t="n">
        <v>45886</v>
      </c>
      <c r="D247" t="inlineStr">
        <is>
          <t>UPPSALA LÄN</t>
        </is>
      </c>
      <c r="E247" t="inlineStr">
        <is>
          <t>ENKÖPING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34617-2022</t>
        </is>
      </c>
      <c r="B248" s="1" t="n">
        <v>44795</v>
      </c>
      <c r="C248" s="1" t="n">
        <v>45886</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60350-2022</t>
        </is>
      </c>
      <c r="B249" s="1" t="n">
        <v>44910</v>
      </c>
      <c r="C249" s="1" t="n">
        <v>45886</v>
      </c>
      <c r="D249" t="inlineStr">
        <is>
          <t>UPPSALA LÄN</t>
        </is>
      </c>
      <c r="E249" t="inlineStr">
        <is>
          <t>ENKÖPING</t>
        </is>
      </c>
      <c r="F249" t="inlineStr">
        <is>
          <t>Allmännings- och besparingsskogar</t>
        </is>
      </c>
      <c r="G249" t="n">
        <v>3.5</v>
      </c>
      <c r="H249" t="n">
        <v>0</v>
      </c>
      <c r="I249" t="n">
        <v>0</v>
      </c>
      <c r="J249" t="n">
        <v>0</v>
      </c>
      <c r="K249" t="n">
        <v>0</v>
      </c>
      <c r="L249" t="n">
        <v>0</v>
      </c>
      <c r="M249" t="n">
        <v>0</v>
      </c>
      <c r="N249" t="n">
        <v>0</v>
      </c>
      <c r="O249" t="n">
        <v>0</v>
      </c>
      <c r="P249" t="n">
        <v>0</v>
      </c>
      <c r="Q249" t="n">
        <v>0</v>
      </c>
      <c r="R249" s="2" t="inlineStr"/>
    </row>
    <row r="250" ht="15" customHeight="1">
      <c r="A250" t="inlineStr">
        <is>
          <t>A 40202-2024</t>
        </is>
      </c>
      <c r="B250" s="1" t="n">
        <v>45554</v>
      </c>
      <c r="C250" s="1" t="n">
        <v>45886</v>
      </c>
      <c r="D250" t="inlineStr">
        <is>
          <t>UPPSALA LÄN</t>
        </is>
      </c>
      <c r="E250" t="inlineStr">
        <is>
          <t>ENKÖPING</t>
        </is>
      </c>
      <c r="G250" t="n">
        <v>6.2</v>
      </c>
      <c r="H250" t="n">
        <v>0</v>
      </c>
      <c r="I250" t="n">
        <v>0</v>
      </c>
      <c r="J250" t="n">
        <v>0</v>
      </c>
      <c r="K250" t="n">
        <v>0</v>
      </c>
      <c r="L250" t="n">
        <v>0</v>
      </c>
      <c r="M250" t="n">
        <v>0</v>
      </c>
      <c r="N250" t="n">
        <v>0</v>
      </c>
      <c r="O250" t="n">
        <v>0</v>
      </c>
      <c r="P250" t="n">
        <v>0</v>
      </c>
      <c r="Q250" t="n">
        <v>0</v>
      </c>
      <c r="R250" s="2" t="inlineStr"/>
    </row>
    <row r="251" ht="15" customHeight="1">
      <c r="A251" t="inlineStr">
        <is>
          <t>A 40223-2024</t>
        </is>
      </c>
      <c r="B251" s="1" t="n">
        <v>45554</v>
      </c>
      <c r="C251" s="1" t="n">
        <v>45886</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28518-2024</t>
        </is>
      </c>
      <c r="B252" s="1" t="n">
        <v>45477</v>
      </c>
      <c r="C252" s="1" t="n">
        <v>45886</v>
      </c>
      <c r="D252" t="inlineStr">
        <is>
          <t>UPPSALA LÄN</t>
        </is>
      </c>
      <c r="E252" t="inlineStr">
        <is>
          <t>ENKÖPING</t>
        </is>
      </c>
      <c r="G252" t="n">
        <v>3.4</v>
      </c>
      <c r="H252" t="n">
        <v>0</v>
      </c>
      <c r="I252" t="n">
        <v>0</v>
      </c>
      <c r="J252" t="n">
        <v>0</v>
      </c>
      <c r="K252" t="n">
        <v>0</v>
      </c>
      <c r="L252" t="n">
        <v>0</v>
      </c>
      <c r="M252" t="n">
        <v>0</v>
      </c>
      <c r="N252" t="n">
        <v>0</v>
      </c>
      <c r="O252" t="n">
        <v>0</v>
      </c>
      <c r="P252" t="n">
        <v>0</v>
      </c>
      <c r="Q252" t="n">
        <v>0</v>
      </c>
      <c r="R252" s="2" t="inlineStr"/>
    </row>
    <row r="253" ht="15" customHeight="1">
      <c r="A253" t="inlineStr">
        <is>
          <t>A 69879-2021</t>
        </is>
      </c>
      <c r="B253" s="1" t="n">
        <v>44532</v>
      </c>
      <c r="C253" s="1" t="n">
        <v>45886</v>
      </c>
      <c r="D253" t="inlineStr">
        <is>
          <t>UPPSALA LÄN</t>
        </is>
      </c>
      <c r="E253" t="inlineStr">
        <is>
          <t>ENKÖPING</t>
        </is>
      </c>
      <c r="G253" t="n">
        <v>4.2</v>
      </c>
      <c r="H253" t="n">
        <v>0</v>
      </c>
      <c r="I253" t="n">
        <v>0</v>
      </c>
      <c r="J253" t="n">
        <v>0</v>
      </c>
      <c r="K253" t="n">
        <v>0</v>
      </c>
      <c r="L253" t="n">
        <v>0</v>
      </c>
      <c r="M253" t="n">
        <v>0</v>
      </c>
      <c r="N253" t="n">
        <v>0</v>
      </c>
      <c r="O253" t="n">
        <v>0</v>
      </c>
      <c r="P253" t="n">
        <v>0</v>
      </c>
      <c r="Q253" t="n">
        <v>0</v>
      </c>
      <c r="R253" s="2" t="inlineStr"/>
    </row>
    <row r="254" ht="15" customHeight="1">
      <c r="A254" t="inlineStr">
        <is>
          <t>A 19013-2025</t>
        </is>
      </c>
      <c r="B254" s="1" t="n">
        <v>45764.59533564815</v>
      </c>
      <c r="C254" s="1" t="n">
        <v>45886</v>
      </c>
      <c r="D254" t="inlineStr">
        <is>
          <t>UPPSALA LÄN</t>
        </is>
      </c>
      <c r="E254" t="inlineStr">
        <is>
          <t>ENKÖPING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57335-2024</t>
        </is>
      </c>
      <c r="B255" s="1" t="n">
        <v>45629.63302083333</v>
      </c>
      <c r="C255" s="1" t="n">
        <v>45886</v>
      </c>
      <c r="D255" t="inlineStr">
        <is>
          <t>UPPSALA LÄN</t>
        </is>
      </c>
      <c r="E255" t="inlineStr">
        <is>
          <t>ENKÖPING</t>
        </is>
      </c>
      <c r="G255" t="n">
        <v>2.1</v>
      </c>
      <c r="H255" t="n">
        <v>0</v>
      </c>
      <c r="I255" t="n">
        <v>0</v>
      </c>
      <c r="J255" t="n">
        <v>0</v>
      </c>
      <c r="K255" t="n">
        <v>0</v>
      </c>
      <c r="L255" t="n">
        <v>0</v>
      </c>
      <c r="M255" t="n">
        <v>0</v>
      </c>
      <c r="N255" t="n">
        <v>0</v>
      </c>
      <c r="O255" t="n">
        <v>0</v>
      </c>
      <c r="P255" t="n">
        <v>0</v>
      </c>
      <c r="Q255" t="n">
        <v>0</v>
      </c>
      <c r="R255" s="2" t="inlineStr"/>
    </row>
    <row r="256" ht="15" customHeight="1">
      <c r="A256" t="inlineStr">
        <is>
          <t>A 9662-2025</t>
        </is>
      </c>
      <c r="B256" s="1" t="n">
        <v>45716</v>
      </c>
      <c r="C256" s="1" t="n">
        <v>45886</v>
      </c>
      <c r="D256" t="inlineStr">
        <is>
          <t>UPPSALA LÄN</t>
        </is>
      </c>
      <c r="E256" t="inlineStr">
        <is>
          <t>ENKÖPING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30098-2024</t>
        </is>
      </c>
      <c r="B257" s="1" t="n">
        <v>45489.41609953704</v>
      </c>
      <c r="C257" s="1" t="n">
        <v>45886</v>
      </c>
      <c r="D257" t="inlineStr">
        <is>
          <t>UPPSALA LÄN</t>
        </is>
      </c>
      <c r="E257" t="inlineStr">
        <is>
          <t>ENKÖPING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23301-2024</t>
        </is>
      </c>
      <c r="B258" s="1" t="n">
        <v>45453.4396412037</v>
      </c>
      <c r="C258" s="1" t="n">
        <v>45886</v>
      </c>
      <c r="D258" t="inlineStr">
        <is>
          <t>UPPSALA LÄN</t>
        </is>
      </c>
      <c r="E258" t="inlineStr">
        <is>
          <t>ENKÖPING</t>
        </is>
      </c>
      <c r="G258" t="n">
        <v>4.3</v>
      </c>
      <c r="H258" t="n">
        <v>0</v>
      </c>
      <c r="I258" t="n">
        <v>0</v>
      </c>
      <c r="J258" t="n">
        <v>0</v>
      </c>
      <c r="K258" t="n">
        <v>0</v>
      </c>
      <c r="L258" t="n">
        <v>0</v>
      </c>
      <c r="M258" t="n">
        <v>0</v>
      </c>
      <c r="N258" t="n">
        <v>0</v>
      </c>
      <c r="O258" t="n">
        <v>0</v>
      </c>
      <c r="P258" t="n">
        <v>0</v>
      </c>
      <c r="Q258" t="n">
        <v>0</v>
      </c>
      <c r="R258" s="2" t="inlineStr"/>
    </row>
    <row r="259" ht="15" customHeight="1">
      <c r="A259" t="inlineStr">
        <is>
          <t>A 2833-2025</t>
        </is>
      </c>
      <c r="B259" s="1" t="n">
        <v>45677.63206018518</v>
      </c>
      <c r="C259" s="1" t="n">
        <v>45886</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27837-2025</t>
        </is>
      </c>
      <c r="B260" s="1" t="n">
        <v>45817.37207175926</v>
      </c>
      <c r="C260" s="1" t="n">
        <v>45886</v>
      </c>
      <c r="D260" t="inlineStr">
        <is>
          <t>UPPSALA LÄN</t>
        </is>
      </c>
      <c r="E260" t="inlineStr">
        <is>
          <t>ENKÖPING</t>
        </is>
      </c>
      <c r="G260" t="n">
        <v>7.3</v>
      </c>
      <c r="H260" t="n">
        <v>0</v>
      </c>
      <c r="I260" t="n">
        <v>0</v>
      </c>
      <c r="J260" t="n">
        <v>0</v>
      </c>
      <c r="K260" t="n">
        <v>0</v>
      </c>
      <c r="L260" t="n">
        <v>0</v>
      </c>
      <c r="M260" t="n">
        <v>0</v>
      </c>
      <c r="N260" t="n">
        <v>0</v>
      </c>
      <c r="O260" t="n">
        <v>0</v>
      </c>
      <c r="P260" t="n">
        <v>0</v>
      </c>
      <c r="Q260" t="n">
        <v>0</v>
      </c>
      <c r="R260" s="2" t="inlineStr"/>
    </row>
    <row r="261" ht="15" customHeight="1">
      <c r="A261" t="inlineStr">
        <is>
          <t>A 1651-2024</t>
        </is>
      </c>
      <c r="B261" s="1" t="n">
        <v>45306.73770833333</v>
      </c>
      <c r="C261" s="1" t="n">
        <v>45886</v>
      </c>
      <c r="D261" t="inlineStr">
        <is>
          <t>UPPSALA LÄN</t>
        </is>
      </c>
      <c r="E261" t="inlineStr">
        <is>
          <t>ENKÖPING</t>
        </is>
      </c>
      <c r="G261" t="n">
        <v>10.2</v>
      </c>
      <c r="H261" t="n">
        <v>0</v>
      </c>
      <c r="I261" t="n">
        <v>0</v>
      </c>
      <c r="J261" t="n">
        <v>0</v>
      </c>
      <c r="K261" t="n">
        <v>0</v>
      </c>
      <c r="L261" t="n">
        <v>0</v>
      </c>
      <c r="M261" t="n">
        <v>0</v>
      </c>
      <c r="N261" t="n">
        <v>0</v>
      </c>
      <c r="O261" t="n">
        <v>0</v>
      </c>
      <c r="P261" t="n">
        <v>0</v>
      </c>
      <c r="Q261" t="n">
        <v>0</v>
      </c>
      <c r="R261" s="2" t="inlineStr"/>
    </row>
    <row r="262" ht="15" customHeight="1">
      <c r="A262" t="inlineStr">
        <is>
          <t>A 60289-2022</t>
        </is>
      </c>
      <c r="B262" s="1" t="n">
        <v>44910.53026620371</v>
      </c>
      <c r="C262" s="1" t="n">
        <v>45886</v>
      </c>
      <c r="D262" t="inlineStr">
        <is>
          <t>UPPSALA LÄN</t>
        </is>
      </c>
      <c r="E262" t="inlineStr">
        <is>
          <t>ENKÖPING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35067-2024</t>
        </is>
      </c>
      <c r="B263" s="1" t="n">
        <v>45527.66153935185</v>
      </c>
      <c r="C263" s="1" t="n">
        <v>45886</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33619-2022</t>
        </is>
      </c>
      <c r="B264" s="1" t="n">
        <v>44789</v>
      </c>
      <c r="C264" s="1" t="n">
        <v>45886</v>
      </c>
      <c r="D264" t="inlineStr">
        <is>
          <t>UPPSALA LÄN</t>
        </is>
      </c>
      <c r="E264" t="inlineStr">
        <is>
          <t>ENKÖPING</t>
        </is>
      </c>
      <c r="F264" t="inlineStr">
        <is>
          <t>Allmännings- och besparingsskogar</t>
        </is>
      </c>
      <c r="G264" t="n">
        <v>4.5</v>
      </c>
      <c r="H264" t="n">
        <v>0</v>
      </c>
      <c r="I264" t="n">
        <v>0</v>
      </c>
      <c r="J264" t="n">
        <v>0</v>
      </c>
      <c r="K264" t="n">
        <v>0</v>
      </c>
      <c r="L264" t="n">
        <v>0</v>
      </c>
      <c r="M264" t="n">
        <v>0</v>
      </c>
      <c r="N264" t="n">
        <v>0</v>
      </c>
      <c r="O264" t="n">
        <v>0</v>
      </c>
      <c r="P264" t="n">
        <v>0</v>
      </c>
      <c r="Q264" t="n">
        <v>0</v>
      </c>
      <c r="R264" s="2" t="inlineStr"/>
    </row>
    <row r="265" ht="15" customHeight="1">
      <c r="A265" t="inlineStr">
        <is>
          <t>A 31604-2023</t>
        </is>
      </c>
      <c r="B265" s="1" t="n">
        <v>45117.50368055556</v>
      </c>
      <c r="C265" s="1" t="n">
        <v>45886</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59602-2024</t>
        </is>
      </c>
      <c r="B266" s="1" t="n">
        <v>45638</v>
      </c>
      <c r="C266" s="1" t="n">
        <v>45886</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31242-2024</t>
        </is>
      </c>
      <c r="B267" s="1" t="n">
        <v>45503</v>
      </c>
      <c r="C267" s="1" t="n">
        <v>45886</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14243-2025</t>
        </is>
      </c>
      <c r="B268" s="1" t="n">
        <v>45740.61288194444</v>
      </c>
      <c r="C268" s="1" t="n">
        <v>45886</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19488-2022</t>
        </is>
      </c>
      <c r="B269" s="1" t="n">
        <v>44693</v>
      </c>
      <c r="C269" s="1" t="n">
        <v>45886</v>
      </c>
      <c r="D269" t="inlineStr">
        <is>
          <t>UPPSALA LÄN</t>
        </is>
      </c>
      <c r="E269" t="inlineStr">
        <is>
          <t>ENKÖPING</t>
        </is>
      </c>
      <c r="G269" t="n">
        <v>7.8</v>
      </c>
      <c r="H269" t="n">
        <v>0</v>
      </c>
      <c r="I269" t="n">
        <v>0</v>
      </c>
      <c r="J269" t="n">
        <v>0</v>
      </c>
      <c r="K269" t="n">
        <v>0</v>
      </c>
      <c r="L269" t="n">
        <v>0</v>
      </c>
      <c r="M269" t="n">
        <v>0</v>
      </c>
      <c r="N269" t="n">
        <v>0</v>
      </c>
      <c r="O269" t="n">
        <v>0</v>
      </c>
      <c r="P269" t="n">
        <v>0</v>
      </c>
      <c r="Q269" t="n">
        <v>0</v>
      </c>
      <c r="R269" s="2" t="inlineStr"/>
    </row>
    <row r="270" ht="15" customHeight="1">
      <c r="A270" t="inlineStr">
        <is>
          <t>A 2162-2023</t>
        </is>
      </c>
      <c r="B270" s="1" t="n">
        <v>44941</v>
      </c>
      <c r="C270" s="1" t="n">
        <v>45886</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56163-2021</t>
        </is>
      </c>
      <c r="B271" s="1" t="n">
        <v>44477</v>
      </c>
      <c r="C271" s="1" t="n">
        <v>45886</v>
      </c>
      <c r="D271" t="inlineStr">
        <is>
          <t>UPPSALA LÄN</t>
        </is>
      </c>
      <c r="E271" t="inlineStr">
        <is>
          <t>ENKÖPING</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28318-2024</t>
        </is>
      </c>
      <c r="B272" s="1" t="n">
        <v>45477</v>
      </c>
      <c r="C272" s="1" t="n">
        <v>45886</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41826-2024</t>
        </is>
      </c>
      <c r="B273" s="1" t="n">
        <v>45561</v>
      </c>
      <c r="C273" s="1" t="n">
        <v>45886</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16916-2022</t>
        </is>
      </c>
      <c r="B274" s="1" t="n">
        <v>44676</v>
      </c>
      <c r="C274" s="1" t="n">
        <v>45886</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45378-2020</t>
        </is>
      </c>
      <c r="B275" s="1" t="n">
        <v>44089</v>
      </c>
      <c r="C275" s="1" t="n">
        <v>45886</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44115-2024</t>
        </is>
      </c>
      <c r="B276" s="1" t="n">
        <v>45572</v>
      </c>
      <c r="C276" s="1" t="n">
        <v>45886</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17844-2025</t>
        </is>
      </c>
      <c r="B277" s="1" t="n">
        <v>45758.59920138889</v>
      </c>
      <c r="C277" s="1" t="n">
        <v>45886</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14402-2023</t>
        </is>
      </c>
      <c r="B278" s="1" t="n">
        <v>45012</v>
      </c>
      <c r="C278" s="1" t="n">
        <v>45886</v>
      </c>
      <c r="D278" t="inlineStr">
        <is>
          <t>UPPSALA LÄN</t>
        </is>
      </c>
      <c r="E278" t="inlineStr">
        <is>
          <t>ENKÖPING</t>
        </is>
      </c>
      <c r="G278" t="n">
        <v>9.5</v>
      </c>
      <c r="H278" t="n">
        <v>0</v>
      </c>
      <c r="I278" t="n">
        <v>0</v>
      </c>
      <c r="J278" t="n">
        <v>0</v>
      </c>
      <c r="K278" t="n">
        <v>0</v>
      </c>
      <c r="L278" t="n">
        <v>0</v>
      </c>
      <c r="M278" t="n">
        <v>0</v>
      </c>
      <c r="N278" t="n">
        <v>0</v>
      </c>
      <c r="O278" t="n">
        <v>0</v>
      </c>
      <c r="P278" t="n">
        <v>0</v>
      </c>
      <c r="Q278" t="n">
        <v>0</v>
      </c>
      <c r="R278" s="2" t="inlineStr"/>
    </row>
    <row r="279" ht="15" customHeight="1">
      <c r="A279" t="inlineStr">
        <is>
          <t>A 39115-2024</t>
        </is>
      </c>
      <c r="B279" s="1" t="n">
        <v>45548</v>
      </c>
      <c r="C279" s="1" t="n">
        <v>45886</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12020-2024</t>
        </is>
      </c>
      <c r="B280" s="1" t="n">
        <v>45377</v>
      </c>
      <c r="C280" s="1" t="n">
        <v>45886</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30634-2022</t>
        </is>
      </c>
      <c r="B281" s="1" t="n">
        <v>44763.45711805556</v>
      </c>
      <c r="C281" s="1" t="n">
        <v>45886</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51092-2020</t>
        </is>
      </c>
      <c r="B282" s="1" t="n">
        <v>44112</v>
      </c>
      <c r="C282" s="1" t="n">
        <v>45886</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34990-2025</t>
        </is>
      </c>
      <c r="B283" s="1" t="n">
        <v>45849.78916666667</v>
      </c>
      <c r="C283" s="1" t="n">
        <v>45886</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69344-2021</t>
        </is>
      </c>
      <c r="B284" s="1" t="n">
        <v>44531</v>
      </c>
      <c r="C284" s="1" t="n">
        <v>45886</v>
      </c>
      <c r="D284" t="inlineStr">
        <is>
          <t>UPPSALA LÄN</t>
        </is>
      </c>
      <c r="E284" t="inlineStr">
        <is>
          <t>ENKÖPING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34124-2021</t>
        </is>
      </c>
      <c r="B285" s="1" t="n">
        <v>44379</v>
      </c>
      <c r="C285" s="1" t="n">
        <v>45886</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43697-2024</t>
        </is>
      </c>
      <c r="B286" s="1" t="n">
        <v>45569</v>
      </c>
      <c r="C286" s="1" t="n">
        <v>45886</v>
      </c>
      <c r="D286" t="inlineStr">
        <is>
          <t>UPPSALA LÄN</t>
        </is>
      </c>
      <c r="E286" t="inlineStr">
        <is>
          <t>ENKÖPING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27829-2025</t>
        </is>
      </c>
      <c r="B287" s="1" t="n">
        <v>45817</v>
      </c>
      <c r="C287" s="1" t="n">
        <v>45886</v>
      </c>
      <c r="D287" t="inlineStr">
        <is>
          <t>UPPSALA LÄN</t>
        </is>
      </c>
      <c r="E287" t="inlineStr">
        <is>
          <t>ENKÖPING</t>
        </is>
      </c>
      <c r="G287" t="n">
        <v>2.1</v>
      </c>
      <c r="H287" t="n">
        <v>0</v>
      </c>
      <c r="I287" t="n">
        <v>0</v>
      </c>
      <c r="J287" t="n">
        <v>0</v>
      </c>
      <c r="K287" t="n">
        <v>0</v>
      </c>
      <c r="L287" t="n">
        <v>0</v>
      </c>
      <c r="M287" t="n">
        <v>0</v>
      </c>
      <c r="N287" t="n">
        <v>0</v>
      </c>
      <c r="O287" t="n">
        <v>0</v>
      </c>
      <c r="P287" t="n">
        <v>0</v>
      </c>
      <c r="Q287" t="n">
        <v>0</v>
      </c>
      <c r="R287" s="2" t="inlineStr"/>
    </row>
    <row r="288" ht="15" customHeight="1">
      <c r="A288" t="inlineStr">
        <is>
          <t>A 27983-2024</t>
        </is>
      </c>
      <c r="B288" s="1" t="n">
        <v>45476</v>
      </c>
      <c r="C288" s="1" t="n">
        <v>45886</v>
      </c>
      <c r="D288" t="inlineStr">
        <is>
          <t>UPPSALA LÄN</t>
        </is>
      </c>
      <c r="E288" t="inlineStr">
        <is>
          <t>ENKÖPING</t>
        </is>
      </c>
      <c r="G288" t="n">
        <v>3.2</v>
      </c>
      <c r="H288" t="n">
        <v>0</v>
      </c>
      <c r="I288" t="n">
        <v>0</v>
      </c>
      <c r="J288" t="n">
        <v>0</v>
      </c>
      <c r="K288" t="n">
        <v>0</v>
      </c>
      <c r="L288" t="n">
        <v>0</v>
      </c>
      <c r="M288" t="n">
        <v>0</v>
      </c>
      <c r="N288" t="n">
        <v>0</v>
      </c>
      <c r="O288" t="n">
        <v>0</v>
      </c>
      <c r="P288" t="n">
        <v>0</v>
      </c>
      <c r="Q288" t="n">
        <v>0</v>
      </c>
      <c r="R288" s="2" t="inlineStr"/>
    </row>
    <row r="289" ht="15" customHeight="1">
      <c r="A289" t="inlineStr">
        <is>
          <t>A 3300-2025</t>
        </is>
      </c>
      <c r="B289" s="1" t="n">
        <v>45679</v>
      </c>
      <c r="C289" s="1" t="n">
        <v>45886</v>
      </c>
      <c r="D289" t="inlineStr">
        <is>
          <t>UPPSALA LÄN</t>
        </is>
      </c>
      <c r="E289" t="inlineStr">
        <is>
          <t>ENKÖPING</t>
        </is>
      </c>
      <c r="G289" t="n">
        <v>8.9</v>
      </c>
      <c r="H289" t="n">
        <v>0</v>
      </c>
      <c r="I289" t="n">
        <v>0</v>
      </c>
      <c r="J289" t="n">
        <v>0</v>
      </c>
      <c r="K289" t="n">
        <v>0</v>
      </c>
      <c r="L289" t="n">
        <v>0</v>
      </c>
      <c r="M289" t="n">
        <v>0</v>
      </c>
      <c r="N289" t="n">
        <v>0</v>
      </c>
      <c r="O289" t="n">
        <v>0</v>
      </c>
      <c r="P289" t="n">
        <v>0</v>
      </c>
      <c r="Q289" t="n">
        <v>0</v>
      </c>
      <c r="R289" s="2" t="inlineStr"/>
    </row>
    <row r="290" ht="15" customHeight="1">
      <c r="A290" t="inlineStr">
        <is>
          <t>A 51010-2024</t>
        </is>
      </c>
      <c r="B290" s="1" t="n">
        <v>45603.39285879629</v>
      </c>
      <c r="C290" s="1" t="n">
        <v>45886</v>
      </c>
      <c r="D290" t="inlineStr">
        <is>
          <t>UPPSALA LÄN</t>
        </is>
      </c>
      <c r="E290" t="inlineStr">
        <is>
          <t>ENKÖPING</t>
        </is>
      </c>
      <c r="G290" t="n">
        <v>1.7</v>
      </c>
      <c r="H290" t="n">
        <v>0</v>
      </c>
      <c r="I290" t="n">
        <v>0</v>
      </c>
      <c r="J290" t="n">
        <v>0</v>
      </c>
      <c r="K290" t="n">
        <v>0</v>
      </c>
      <c r="L290" t="n">
        <v>0</v>
      </c>
      <c r="M290" t="n">
        <v>0</v>
      </c>
      <c r="N290" t="n">
        <v>0</v>
      </c>
      <c r="O290" t="n">
        <v>0</v>
      </c>
      <c r="P290" t="n">
        <v>0</v>
      </c>
      <c r="Q290" t="n">
        <v>0</v>
      </c>
      <c r="R290" s="2" t="inlineStr"/>
    </row>
    <row r="291" ht="15" customHeight="1">
      <c r="A291" t="inlineStr">
        <is>
          <t>A 51042-2024</t>
        </is>
      </c>
      <c r="B291" s="1" t="n">
        <v>45603.4342824074</v>
      </c>
      <c r="C291" s="1" t="n">
        <v>45886</v>
      </c>
      <c r="D291" t="inlineStr">
        <is>
          <t>UPPSALA LÄN</t>
        </is>
      </c>
      <c r="E291" t="inlineStr">
        <is>
          <t>ENKÖPING</t>
        </is>
      </c>
      <c r="G291" t="n">
        <v>4.6</v>
      </c>
      <c r="H291" t="n">
        <v>0</v>
      </c>
      <c r="I291" t="n">
        <v>0</v>
      </c>
      <c r="J291" t="n">
        <v>0</v>
      </c>
      <c r="K291" t="n">
        <v>0</v>
      </c>
      <c r="L291" t="n">
        <v>0</v>
      </c>
      <c r="M291" t="n">
        <v>0</v>
      </c>
      <c r="N291" t="n">
        <v>0</v>
      </c>
      <c r="O291" t="n">
        <v>0</v>
      </c>
      <c r="P291" t="n">
        <v>0</v>
      </c>
      <c r="Q291" t="n">
        <v>0</v>
      </c>
      <c r="R291" s="2" t="inlineStr"/>
    </row>
    <row r="292" ht="15" customHeight="1">
      <c r="A292" t="inlineStr">
        <is>
          <t>A 22912-2024</t>
        </is>
      </c>
      <c r="B292" s="1" t="n">
        <v>45448.73118055556</v>
      </c>
      <c r="C292" s="1" t="n">
        <v>45886</v>
      </c>
      <c r="D292" t="inlineStr">
        <is>
          <t>UPPSALA LÄN</t>
        </is>
      </c>
      <c r="E292" t="inlineStr">
        <is>
          <t>ENKÖPING</t>
        </is>
      </c>
      <c r="G292" t="n">
        <v>2.8</v>
      </c>
      <c r="H292" t="n">
        <v>0</v>
      </c>
      <c r="I292" t="n">
        <v>0</v>
      </c>
      <c r="J292" t="n">
        <v>0</v>
      </c>
      <c r="K292" t="n">
        <v>0</v>
      </c>
      <c r="L292" t="n">
        <v>0</v>
      </c>
      <c r="M292" t="n">
        <v>0</v>
      </c>
      <c r="N292" t="n">
        <v>0</v>
      </c>
      <c r="O292" t="n">
        <v>0</v>
      </c>
      <c r="P292" t="n">
        <v>0</v>
      </c>
      <c r="Q292" t="n">
        <v>0</v>
      </c>
      <c r="R292" s="2" t="inlineStr"/>
    </row>
    <row r="293" ht="15" customHeight="1">
      <c r="A293" t="inlineStr">
        <is>
          <t>A 53149-2020</t>
        </is>
      </c>
      <c r="B293" s="1" t="n">
        <v>44120</v>
      </c>
      <c r="C293" s="1" t="n">
        <v>45886</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9667-2024</t>
        </is>
      </c>
      <c r="B294" s="1" t="n">
        <v>45362.45130787037</v>
      </c>
      <c r="C294" s="1" t="n">
        <v>45886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28855-2025</t>
        </is>
      </c>
      <c r="B295" s="1" t="n">
        <v>45820.58274305556</v>
      </c>
      <c r="C295" s="1" t="n">
        <v>45886</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51120-2023</t>
        </is>
      </c>
      <c r="B296" s="1" t="n">
        <v>45219.3088425926</v>
      </c>
      <c r="C296" s="1" t="n">
        <v>45886</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26319-2022</t>
        </is>
      </c>
      <c r="B297" s="1" t="n">
        <v>44735</v>
      </c>
      <c r="C297" s="1" t="n">
        <v>45886</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54357-2023</t>
        </is>
      </c>
      <c r="B298" s="1" t="n">
        <v>45225</v>
      </c>
      <c r="C298" s="1" t="n">
        <v>45886</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28758-2025</t>
        </is>
      </c>
      <c r="B299" s="1" t="n">
        <v>45820.41212962963</v>
      </c>
      <c r="C299" s="1" t="n">
        <v>45886</v>
      </c>
      <c r="D299" t="inlineStr">
        <is>
          <t>UPPSALA LÄN</t>
        </is>
      </c>
      <c r="E299" t="inlineStr">
        <is>
          <t>ENKÖPING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4203-2021</t>
        </is>
      </c>
      <c r="B300" s="1" t="n">
        <v>44223</v>
      </c>
      <c r="C300" s="1" t="n">
        <v>45886</v>
      </c>
      <c r="D300" t="inlineStr">
        <is>
          <t>UPPSALA LÄN</t>
        </is>
      </c>
      <c r="E300" t="inlineStr">
        <is>
          <t>ENKÖPING</t>
        </is>
      </c>
      <c r="G300" t="n">
        <v>11.6</v>
      </c>
      <c r="H300" t="n">
        <v>0</v>
      </c>
      <c r="I300" t="n">
        <v>0</v>
      </c>
      <c r="J300" t="n">
        <v>0</v>
      </c>
      <c r="K300" t="n">
        <v>0</v>
      </c>
      <c r="L300" t="n">
        <v>0</v>
      </c>
      <c r="M300" t="n">
        <v>0</v>
      </c>
      <c r="N300" t="n">
        <v>0</v>
      </c>
      <c r="O300" t="n">
        <v>0</v>
      </c>
      <c r="P300" t="n">
        <v>0</v>
      </c>
      <c r="Q300" t="n">
        <v>0</v>
      </c>
      <c r="R300" s="2" t="inlineStr"/>
    </row>
    <row r="301" ht="15" customHeight="1">
      <c r="A301" t="inlineStr">
        <is>
          <t>A 39009-2024</t>
        </is>
      </c>
      <c r="B301" s="1" t="n">
        <v>45548</v>
      </c>
      <c r="C301" s="1" t="n">
        <v>45886</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8537-2025</t>
        </is>
      </c>
      <c r="B302" s="1" t="n">
        <v>45709</v>
      </c>
      <c r="C302" s="1" t="n">
        <v>45886</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28862-2025</t>
        </is>
      </c>
      <c r="B303" s="1" t="n">
        <v>45820.59189814814</v>
      </c>
      <c r="C303" s="1" t="n">
        <v>45886</v>
      </c>
      <c r="D303" t="inlineStr">
        <is>
          <t>UPPSALA LÄN</t>
        </is>
      </c>
      <c r="E303" t="inlineStr">
        <is>
          <t>ENKÖPING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13816-2021</t>
        </is>
      </c>
      <c r="B304" s="1" t="n">
        <v>44276</v>
      </c>
      <c r="C304" s="1" t="n">
        <v>45886</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63402-2023</t>
        </is>
      </c>
      <c r="B305" s="1" t="n">
        <v>45274.50646990741</v>
      </c>
      <c r="C305" s="1" t="n">
        <v>45886</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34988-2025</t>
        </is>
      </c>
      <c r="B306" s="1" t="n">
        <v>45849</v>
      </c>
      <c r="C306" s="1" t="n">
        <v>45886</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34987-2025</t>
        </is>
      </c>
      <c r="B307" s="1" t="n">
        <v>45849</v>
      </c>
      <c r="C307" s="1" t="n">
        <v>45886</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34989-2025</t>
        </is>
      </c>
      <c r="B308" s="1" t="n">
        <v>45849</v>
      </c>
      <c r="C308" s="1" t="n">
        <v>45886</v>
      </c>
      <c r="D308" t="inlineStr">
        <is>
          <t>UPPSALA LÄN</t>
        </is>
      </c>
      <c r="E308" t="inlineStr">
        <is>
          <t>ENKÖPING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29093-2025</t>
        </is>
      </c>
      <c r="B309" s="1" t="n">
        <v>45821.55743055556</v>
      </c>
      <c r="C309" s="1" t="n">
        <v>45886</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53208-2023</t>
        </is>
      </c>
      <c r="B310" s="1" t="n">
        <v>45226</v>
      </c>
      <c r="C310" s="1" t="n">
        <v>45886</v>
      </c>
      <c r="D310" t="inlineStr">
        <is>
          <t>UPPSALA LÄN</t>
        </is>
      </c>
      <c r="E310" t="inlineStr">
        <is>
          <t>ENKÖPING</t>
        </is>
      </c>
      <c r="G310" t="n">
        <v>4.3</v>
      </c>
      <c r="H310" t="n">
        <v>0</v>
      </c>
      <c r="I310" t="n">
        <v>0</v>
      </c>
      <c r="J310" t="n">
        <v>0</v>
      </c>
      <c r="K310" t="n">
        <v>0</v>
      </c>
      <c r="L310" t="n">
        <v>0</v>
      </c>
      <c r="M310" t="n">
        <v>0</v>
      </c>
      <c r="N310" t="n">
        <v>0</v>
      </c>
      <c r="O310" t="n">
        <v>0</v>
      </c>
      <c r="P310" t="n">
        <v>0</v>
      </c>
      <c r="Q310" t="n">
        <v>0</v>
      </c>
      <c r="R310" s="2" t="inlineStr"/>
    </row>
    <row r="311" ht="15" customHeight="1">
      <c r="A311" t="inlineStr">
        <is>
          <t>A 29477-2025</t>
        </is>
      </c>
      <c r="B311" s="1" t="n">
        <v>45824.71537037037</v>
      </c>
      <c r="C311" s="1" t="n">
        <v>45886</v>
      </c>
      <c r="D311" t="inlineStr">
        <is>
          <t>UPPSALA LÄN</t>
        </is>
      </c>
      <c r="E311" t="inlineStr">
        <is>
          <t>ENKÖPING</t>
        </is>
      </c>
      <c r="G311" t="n">
        <v>13.4</v>
      </c>
      <c r="H311" t="n">
        <v>0</v>
      </c>
      <c r="I311" t="n">
        <v>0</v>
      </c>
      <c r="J311" t="n">
        <v>0</v>
      </c>
      <c r="K311" t="n">
        <v>0</v>
      </c>
      <c r="L311" t="n">
        <v>0</v>
      </c>
      <c r="M311" t="n">
        <v>0</v>
      </c>
      <c r="N311" t="n">
        <v>0</v>
      </c>
      <c r="O311" t="n">
        <v>0</v>
      </c>
      <c r="P311" t="n">
        <v>0</v>
      </c>
      <c r="Q311" t="n">
        <v>0</v>
      </c>
      <c r="R311" s="2" t="inlineStr"/>
    </row>
    <row r="312" ht="15" customHeight="1">
      <c r="A312" t="inlineStr">
        <is>
          <t>A 36350-2025</t>
        </is>
      </c>
      <c r="B312" s="1" t="n">
        <v>45868</v>
      </c>
      <c r="C312" s="1" t="n">
        <v>45886</v>
      </c>
      <c r="D312" t="inlineStr">
        <is>
          <t>UPPSALA LÄN</t>
        </is>
      </c>
      <c r="E312" t="inlineStr">
        <is>
          <t>ENKÖPING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43506-2023</t>
        </is>
      </c>
      <c r="B313" s="1" t="n">
        <v>45181</v>
      </c>
      <c r="C313" s="1" t="n">
        <v>45886</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14004-2023</t>
        </is>
      </c>
      <c r="B314" s="1" t="n">
        <v>45008</v>
      </c>
      <c r="C314" s="1" t="n">
        <v>45886</v>
      </c>
      <c r="D314" t="inlineStr">
        <is>
          <t>UPPSALA LÄN</t>
        </is>
      </c>
      <c r="E314" t="inlineStr">
        <is>
          <t>ENKÖPING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51012-2024</t>
        </is>
      </c>
      <c r="B315" s="1" t="n">
        <v>45603.39686342593</v>
      </c>
      <c r="C315" s="1" t="n">
        <v>45886</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51037-2024</t>
        </is>
      </c>
      <c r="B316" s="1" t="n">
        <v>45603.43005787037</v>
      </c>
      <c r="C316" s="1" t="n">
        <v>45886</v>
      </c>
      <c r="D316" t="inlineStr">
        <is>
          <t>UPPSALA LÄN</t>
        </is>
      </c>
      <c r="E316" t="inlineStr">
        <is>
          <t>ENKÖPING</t>
        </is>
      </c>
      <c r="G316" t="n">
        <v>5.7</v>
      </c>
      <c r="H316" t="n">
        <v>0</v>
      </c>
      <c r="I316" t="n">
        <v>0</v>
      </c>
      <c r="J316" t="n">
        <v>0</v>
      </c>
      <c r="K316" t="n">
        <v>0</v>
      </c>
      <c r="L316" t="n">
        <v>0</v>
      </c>
      <c r="M316" t="n">
        <v>0</v>
      </c>
      <c r="N316" t="n">
        <v>0</v>
      </c>
      <c r="O316" t="n">
        <v>0</v>
      </c>
      <c r="P316" t="n">
        <v>0</v>
      </c>
      <c r="Q316" t="n">
        <v>0</v>
      </c>
      <c r="R316" s="2" t="inlineStr"/>
    </row>
    <row r="317" ht="15" customHeight="1">
      <c r="A317" t="inlineStr">
        <is>
          <t>A 36368-2025</t>
        </is>
      </c>
      <c r="B317" s="1" t="n">
        <v>45868</v>
      </c>
      <c r="C317" s="1" t="n">
        <v>45886</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36492-2025</t>
        </is>
      </c>
      <c r="B318" s="1" t="n">
        <v>45869</v>
      </c>
      <c r="C318" s="1" t="n">
        <v>45886</v>
      </c>
      <c r="D318" t="inlineStr">
        <is>
          <t>UPPSALA LÄN</t>
        </is>
      </c>
      <c r="E318" t="inlineStr">
        <is>
          <t>ENKÖPING</t>
        </is>
      </c>
      <c r="G318" t="n">
        <v>6.3</v>
      </c>
      <c r="H318" t="n">
        <v>0</v>
      </c>
      <c r="I318" t="n">
        <v>0</v>
      </c>
      <c r="J318" t="n">
        <v>0</v>
      </c>
      <c r="K318" t="n">
        <v>0</v>
      </c>
      <c r="L318" t="n">
        <v>0</v>
      </c>
      <c r="M318" t="n">
        <v>0</v>
      </c>
      <c r="N318" t="n">
        <v>0</v>
      </c>
      <c r="O318" t="n">
        <v>0</v>
      </c>
      <c r="P318" t="n">
        <v>0</v>
      </c>
      <c r="Q318" t="n">
        <v>0</v>
      </c>
      <c r="R318" s="2" t="inlineStr"/>
    </row>
    <row r="319" ht="15" customHeight="1">
      <c r="A319" t="inlineStr">
        <is>
          <t>A 41828-2024</t>
        </is>
      </c>
      <c r="B319" s="1" t="n">
        <v>45561</v>
      </c>
      <c r="C319" s="1" t="n">
        <v>45886</v>
      </c>
      <c r="D319" t="inlineStr">
        <is>
          <t>UPPSALA LÄN</t>
        </is>
      </c>
      <c r="E319" t="inlineStr">
        <is>
          <t>ENKÖPING</t>
        </is>
      </c>
      <c r="G319" t="n">
        <v>2.5</v>
      </c>
      <c r="H319" t="n">
        <v>0</v>
      </c>
      <c r="I319" t="n">
        <v>0</v>
      </c>
      <c r="J319" t="n">
        <v>0</v>
      </c>
      <c r="K319" t="n">
        <v>0</v>
      </c>
      <c r="L319" t="n">
        <v>0</v>
      </c>
      <c r="M319" t="n">
        <v>0</v>
      </c>
      <c r="N319" t="n">
        <v>0</v>
      </c>
      <c r="O319" t="n">
        <v>0</v>
      </c>
      <c r="P319" t="n">
        <v>0</v>
      </c>
      <c r="Q319" t="n">
        <v>0</v>
      </c>
      <c r="R319" s="2" t="inlineStr"/>
    </row>
    <row r="320" ht="15" customHeight="1">
      <c r="A320" t="inlineStr">
        <is>
          <t>A 36599-2025</t>
        </is>
      </c>
      <c r="B320" s="1" t="n">
        <v>45870.51723379629</v>
      </c>
      <c r="C320" s="1" t="n">
        <v>45886</v>
      </c>
      <c r="D320" t="inlineStr">
        <is>
          <t>UPPSALA LÄN</t>
        </is>
      </c>
      <c r="E320" t="inlineStr">
        <is>
          <t>ENKÖPING</t>
        </is>
      </c>
      <c r="G320" t="n">
        <v>5.9</v>
      </c>
      <c r="H320" t="n">
        <v>0</v>
      </c>
      <c r="I320" t="n">
        <v>0</v>
      </c>
      <c r="J320" t="n">
        <v>0</v>
      </c>
      <c r="K320" t="n">
        <v>0</v>
      </c>
      <c r="L320" t="n">
        <v>0</v>
      </c>
      <c r="M320" t="n">
        <v>0</v>
      </c>
      <c r="N320" t="n">
        <v>0</v>
      </c>
      <c r="O320" t="n">
        <v>0</v>
      </c>
      <c r="P320" t="n">
        <v>0</v>
      </c>
      <c r="Q320" t="n">
        <v>0</v>
      </c>
      <c r="R320" s="2" t="inlineStr"/>
    </row>
    <row r="321" ht="15" customHeight="1">
      <c r="A321" t="inlineStr">
        <is>
          <t>A 18259-2025</t>
        </is>
      </c>
      <c r="B321" s="1" t="n">
        <v>45762</v>
      </c>
      <c r="C321" s="1" t="n">
        <v>45886</v>
      </c>
      <c r="D321" t="inlineStr">
        <is>
          <t>UPPSALA LÄN</t>
        </is>
      </c>
      <c r="E321" t="inlineStr">
        <is>
          <t>ENKÖPING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62158-2023</t>
        </is>
      </c>
      <c r="B322" s="1" t="n">
        <v>45267</v>
      </c>
      <c r="C322" s="1" t="n">
        <v>45886</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30837-2025</t>
        </is>
      </c>
      <c r="B323" s="1" t="n">
        <v>45831.7063425926</v>
      </c>
      <c r="C323" s="1" t="n">
        <v>45886</v>
      </c>
      <c r="D323" t="inlineStr">
        <is>
          <t>UPPSALA LÄN</t>
        </is>
      </c>
      <c r="E323" t="inlineStr">
        <is>
          <t>ENKÖPING</t>
        </is>
      </c>
      <c r="G323" t="n">
        <v>3.8</v>
      </c>
      <c r="H323" t="n">
        <v>0</v>
      </c>
      <c r="I323" t="n">
        <v>0</v>
      </c>
      <c r="J323" t="n">
        <v>0</v>
      </c>
      <c r="K323" t="n">
        <v>0</v>
      </c>
      <c r="L323" t="n">
        <v>0</v>
      </c>
      <c r="M323" t="n">
        <v>0</v>
      </c>
      <c r="N323" t="n">
        <v>0</v>
      </c>
      <c r="O323" t="n">
        <v>0</v>
      </c>
      <c r="P323" t="n">
        <v>0</v>
      </c>
      <c r="Q323" t="n">
        <v>0</v>
      </c>
      <c r="R323" s="2" t="inlineStr"/>
    </row>
    <row r="324" ht="15" customHeight="1">
      <c r="A324" t="inlineStr">
        <is>
          <t>A 10465-2022</t>
        </is>
      </c>
      <c r="B324" s="1" t="n">
        <v>44623</v>
      </c>
      <c r="C324" s="1" t="n">
        <v>45886</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9658-2025</t>
        </is>
      </c>
      <c r="B325" s="1" t="n">
        <v>45716</v>
      </c>
      <c r="C325" s="1" t="n">
        <v>45886</v>
      </c>
      <c r="D325" t="inlineStr">
        <is>
          <t>UPPSALA LÄN</t>
        </is>
      </c>
      <c r="E325" t="inlineStr">
        <is>
          <t>ENKÖPING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60874-2023</t>
        </is>
      </c>
      <c r="B326" s="1" t="n">
        <v>45261.06280092592</v>
      </c>
      <c r="C326" s="1" t="n">
        <v>45886</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3550-2023</t>
        </is>
      </c>
      <c r="B327" s="1" t="n">
        <v>44950</v>
      </c>
      <c r="C327" s="1" t="n">
        <v>45886</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37319-2025</t>
        </is>
      </c>
      <c r="B328" s="1" t="n">
        <v>45876.62100694444</v>
      </c>
      <c r="C328" s="1" t="n">
        <v>45886</v>
      </c>
      <c r="D328" t="inlineStr">
        <is>
          <t>UPPSALA LÄN</t>
        </is>
      </c>
      <c r="E328" t="inlineStr">
        <is>
          <t>ENKÖPING</t>
        </is>
      </c>
      <c r="G328" t="n">
        <v>9.5</v>
      </c>
      <c r="H328" t="n">
        <v>0</v>
      </c>
      <c r="I328" t="n">
        <v>0</v>
      </c>
      <c r="J328" t="n">
        <v>0</v>
      </c>
      <c r="K328" t="n">
        <v>0</v>
      </c>
      <c r="L328" t="n">
        <v>0</v>
      </c>
      <c r="M328" t="n">
        <v>0</v>
      </c>
      <c r="N328" t="n">
        <v>0</v>
      </c>
      <c r="O328" t="n">
        <v>0</v>
      </c>
      <c r="P328" t="n">
        <v>0</v>
      </c>
      <c r="Q328" t="n">
        <v>0</v>
      </c>
      <c r="R328" s="2" t="inlineStr"/>
    </row>
    <row r="329" ht="15" customHeight="1">
      <c r="A329" t="inlineStr">
        <is>
          <t>A 37296-2025</t>
        </is>
      </c>
      <c r="B329" s="1" t="n">
        <v>45876.56584490741</v>
      </c>
      <c r="C329" s="1" t="n">
        <v>45886</v>
      </c>
      <c r="D329" t="inlineStr">
        <is>
          <t>UPPSALA LÄN</t>
        </is>
      </c>
      <c r="E329" t="inlineStr">
        <is>
          <t>ENKÖPING</t>
        </is>
      </c>
      <c r="G329" t="n">
        <v>9.5</v>
      </c>
      <c r="H329" t="n">
        <v>0</v>
      </c>
      <c r="I329" t="n">
        <v>0</v>
      </c>
      <c r="J329" t="n">
        <v>0</v>
      </c>
      <c r="K329" t="n">
        <v>0</v>
      </c>
      <c r="L329" t="n">
        <v>0</v>
      </c>
      <c r="M329" t="n">
        <v>0</v>
      </c>
      <c r="N329" t="n">
        <v>0</v>
      </c>
      <c r="O329" t="n">
        <v>0</v>
      </c>
      <c r="P329" t="n">
        <v>0</v>
      </c>
      <c r="Q329" t="n">
        <v>0</v>
      </c>
      <c r="R329" s="2" t="inlineStr"/>
    </row>
    <row r="330" ht="15" customHeight="1">
      <c r="A330" t="inlineStr">
        <is>
          <t>A 26292-2022</t>
        </is>
      </c>
      <c r="B330" s="1" t="n">
        <v>44735</v>
      </c>
      <c r="C330" s="1" t="n">
        <v>45886</v>
      </c>
      <c r="D330" t="inlineStr">
        <is>
          <t>UPPSALA LÄN</t>
        </is>
      </c>
      <c r="E330" t="inlineStr">
        <is>
          <t>ENKÖPING</t>
        </is>
      </c>
      <c r="F330" t="inlineStr">
        <is>
          <t>Kyrkan</t>
        </is>
      </c>
      <c r="G330" t="n">
        <v>4.6</v>
      </c>
      <c r="H330" t="n">
        <v>0</v>
      </c>
      <c r="I330" t="n">
        <v>0</v>
      </c>
      <c r="J330" t="n">
        <v>0</v>
      </c>
      <c r="K330" t="n">
        <v>0</v>
      </c>
      <c r="L330" t="n">
        <v>0</v>
      </c>
      <c r="M330" t="n">
        <v>0</v>
      </c>
      <c r="N330" t="n">
        <v>0</v>
      </c>
      <c r="O330" t="n">
        <v>0</v>
      </c>
      <c r="P330" t="n">
        <v>0</v>
      </c>
      <c r="Q330" t="n">
        <v>0</v>
      </c>
      <c r="R330" s="2" t="inlineStr"/>
    </row>
    <row r="331" ht="15" customHeight="1">
      <c r="A331" t="inlineStr">
        <is>
          <t>A 17029-2025</t>
        </is>
      </c>
      <c r="B331" s="1" t="n">
        <v>45755.57291666666</v>
      </c>
      <c r="C331" s="1" t="n">
        <v>45886</v>
      </c>
      <c r="D331" t="inlineStr">
        <is>
          <t>UPPSALA LÄN</t>
        </is>
      </c>
      <c r="E331" t="inlineStr">
        <is>
          <t>ENKÖPING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5013-2025</t>
        </is>
      </c>
      <c r="B332" s="1" t="n">
        <v>45691</v>
      </c>
      <c r="C332" s="1" t="n">
        <v>45886</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61207-2023</t>
        </is>
      </c>
      <c r="B333" s="1" t="n">
        <v>45264.39444444444</v>
      </c>
      <c r="C333" s="1" t="n">
        <v>45886</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11503-2024</t>
        </is>
      </c>
      <c r="B334" s="1" t="n">
        <v>45372.68020833333</v>
      </c>
      <c r="C334" s="1" t="n">
        <v>45886</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32477-2025</t>
        </is>
      </c>
      <c r="B335" s="1" t="n">
        <v>45838.43098379629</v>
      </c>
      <c r="C335" s="1" t="n">
        <v>45886</v>
      </c>
      <c r="D335" t="inlineStr">
        <is>
          <t>UPPSALA LÄN</t>
        </is>
      </c>
      <c r="E335" t="inlineStr">
        <is>
          <t>ENKÖPING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32031-2025</t>
        </is>
      </c>
      <c r="B336" s="1" t="n">
        <v>45835.41712962963</v>
      </c>
      <c r="C336" s="1" t="n">
        <v>45886</v>
      </c>
      <c r="D336" t="inlineStr">
        <is>
          <t>UPPSALA LÄN</t>
        </is>
      </c>
      <c r="E336" t="inlineStr">
        <is>
          <t>ENKÖPING</t>
        </is>
      </c>
      <c r="G336" t="n">
        <v>2.7</v>
      </c>
      <c r="H336" t="n">
        <v>0</v>
      </c>
      <c r="I336" t="n">
        <v>0</v>
      </c>
      <c r="J336" t="n">
        <v>0</v>
      </c>
      <c r="K336" t="n">
        <v>0</v>
      </c>
      <c r="L336" t="n">
        <v>0</v>
      </c>
      <c r="M336" t="n">
        <v>0</v>
      </c>
      <c r="N336" t="n">
        <v>0</v>
      </c>
      <c r="O336" t="n">
        <v>0</v>
      </c>
      <c r="P336" t="n">
        <v>0</v>
      </c>
      <c r="Q336" t="n">
        <v>0</v>
      </c>
      <c r="R336" s="2" t="inlineStr"/>
    </row>
    <row r="337" ht="15" customHeight="1">
      <c r="A337" t="inlineStr">
        <is>
          <t>A 32111-2025</t>
        </is>
      </c>
      <c r="B337" s="1" t="n">
        <v>45835</v>
      </c>
      <c r="C337" s="1" t="n">
        <v>45886</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840-2025</t>
        </is>
      </c>
      <c r="B338" s="1" t="n">
        <v>45665</v>
      </c>
      <c r="C338" s="1" t="n">
        <v>45886</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10458-2022</t>
        </is>
      </c>
      <c r="B339" s="1" t="n">
        <v>44623.56711805556</v>
      </c>
      <c r="C339" s="1" t="n">
        <v>45886</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2164-2023</t>
        </is>
      </c>
      <c r="B340" s="1" t="n">
        <v>44941</v>
      </c>
      <c r="C340" s="1" t="n">
        <v>45886</v>
      </c>
      <c r="D340" t="inlineStr">
        <is>
          <t>UPPSALA LÄN</t>
        </is>
      </c>
      <c r="E340" t="inlineStr">
        <is>
          <t>ENKÖPING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45142-2023</t>
        </is>
      </c>
      <c r="B341" s="1" t="n">
        <v>45191.4702662037</v>
      </c>
      <c r="C341" s="1" t="n">
        <v>45886</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57998-2024</t>
        </is>
      </c>
      <c r="B342" s="1" t="n">
        <v>45631</v>
      </c>
      <c r="C342" s="1" t="n">
        <v>45886</v>
      </c>
      <c r="D342" t="inlineStr">
        <is>
          <t>UPPSALA LÄN</t>
        </is>
      </c>
      <c r="E342" t="inlineStr">
        <is>
          <t>ENKÖPING</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37498-2025</t>
        </is>
      </c>
      <c r="B343" s="1" t="n">
        <v>45877</v>
      </c>
      <c r="C343" s="1" t="n">
        <v>45886</v>
      </c>
      <c r="D343" t="inlineStr">
        <is>
          <t>UPPSALA LÄN</t>
        </is>
      </c>
      <c r="E343" t="inlineStr">
        <is>
          <t>ENKÖPING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14332-2024</t>
        </is>
      </c>
      <c r="B344" s="1" t="n">
        <v>45393</v>
      </c>
      <c r="C344" s="1" t="n">
        <v>45886</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18831-2023</t>
        </is>
      </c>
      <c r="B345" s="1" t="n">
        <v>45044.40798611111</v>
      </c>
      <c r="C345" s="1" t="n">
        <v>45886</v>
      </c>
      <c r="D345" t="inlineStr">
        <is>
          <t>UPPSALA LÄN</t>
        </is>
      </c>
      <c r="E345" t="inlineStr">
        <is>
          <t>ENKÖPING</t>
        </is>
      </c>
      <c r="G345" t="n">
        <v>4.3</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45886</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6172-2023</t>
        </is>
      </c>
      <c r="B347" s="1" t="n">
        <v>44964.68663194445</v>
      </c>
      <c r="C347" s="1" t="n">
        <v>45886</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10409-2025</t>
        </is>
      </c>
      <c r="B348" s="1" t="n">
        <v>45720.631875</v>
      </c>
      <c r="C348" s="1" t="n">
        <v>45886</v>
      </c>
      <c r="D348" t="inlineStr">
        <is>
          <t>UPPSALA LÄN</t>
        </is>
      </c>
      <c r="E348" t="inlineStr">
        <is>
          <t>ENKÖPING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33581-2023</t>
        </is>
      </c>
      <c r="B349" s="1" t="n">
        <v>45131</v>
      </c>
      <c r="C349" s="1" t="n">
        <v>45886</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69567-2020</t>
        </is>
      </c>
      <c r="B350" s="1" t="n">
        <v>44194</v>
      </c>
      <c r="C350" s="1" t="n">
        <v>45886</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15740-2025</t>
        </is>
      </c>
      <c r="B351" s="1" t="n">
        <v>45748</v>
      </c>
      <c r="C351" s="1" t="n">
        <v>45886</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21686-2022</t>
        </is>
      </c>
      <c r="B352" s="1" t="n">
        <v>44707</v>
      </c>
      <c r="C352" s="1" t="n">
        <v>45886</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58896-2020</t>
        </is>
      </c>
      <c r="B353" s="1" t="n">
        <v>44146</v>
      </c>
      <c r="C353" s="1" t="n">
        <v>45886</v>
      </c>
      <c r="D353" t="inlineStr">
        <is>
          <t>UPPSALA LÄN</t>
        </is>
      </c>
      <c r="E353" t="inlineStr">
        <is>
          <t>ENKÖPING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37115-2024</t>
        </is>
      </c>
      <c r="B354" s="1" t="n">
        <v>45539</v>
      </c>
      <c r="C354" s="1" t="n">
        <v>45886</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29479-2022</t>
        </is>
      </c>
      <c r="B355" s="1" t="n">
        <v>44753.57265046296</v>
      </c>
      <c r="C355" s="1" t="n">
        <v>45886</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58062-2020</t>
        </is>
      </c>
      <c r="B356" s="1" t="n">
        <v>44144</v>
      </c>
      <c r="C356" s="1" t="n">
        <v>45886</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49525-2021</t>
        </is>
      </c>
      <c r="B357" s="1" t="n">
        <v>44455</v>
      </c>
      <c r="C357" s="1" t="n">
        <v>45886</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6298-2021</t>
        </is>
      </c>
      <c r="B358" s="1" t="n">
        <v>44235</v>
      </c>
      <c r="C358" s="1" t="n">
        <v>45886</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6147-2021</t>
        </is>
      </c>
      <c r="B359" s="1" t="n">
        <v>44232</v>
      </c>
      <c r="C359" s="1" t="n">
        <v>45886</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1960-2022</t>
        </is>
      </c>
      <c r="B360" s="1" t="n">
        <v>44575</v>
      </c>
      <c r="C360" s="1" t="n">
        <v>45886</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18028-2023</t>
        </is>
      </c>
      <c r="B361" s="1" t="n">
        <v>45040</v>
      </c>
      <c r="C361" s="1" t="n">
        <v>45886</v>
      </c>
      <c r="D361" t="inlineStr">
        <is>
          <t>UPPSALA LÄN</t>
        </is>
      </c>
      <c r="E361" t="inlineStr">
        <is>
          <t>ENKÖPING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39935-2020</t>
        </is>
      </c>
      <c r="B362" s="1" t="n">
        <v>44067</v>
      </c>
      <c r="C362" s="1" t="n">
        <v>45886</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59441-2020</t>
        </is>
      </c>
      <c r="B363" s="1" t="n">
        <v>44148</v>
      </c>
      <c r="C363" s="1" t="n">
        <v>45886</v>
      </c>
      <c r="D363" t="inlineStr">
        <is>
          <t>UPPSALA LÄN</t>
        </is>
      </c>
      <c r="E363" t="inlineStr">
        <is>
          <t>ENKÖPING</t>
        </is>
      </c>
      <c r="G363" t="n">
        <v>4.8</v>
      </c>
      <c r="H363" t="n">
        <v>0</v>
      </c>
      <c r="I363" t="n">
        <v>0</v>
      </c>
      <c r="J363" t="n">
        <v>0</v>
      </c>
      <c r="K363" t="n">
        <v>0</v>
      </c>
      <c r="L363" t="n">
        <v>0</v>
      </c>
      <c r="M363" t="n">
        <v>0</v>
      </c>
      <c r="N363" t="n">
        <v>0</v>
      </c>
      <c r="O363" t="n">
        <v>0</v>
      </c>
      <c r="P363" t="n">
        <v>0</v>
      </c>
      <c r="Q363" t="n">
        <v>0</v>
      </c>
      <c r="R363" s="2" t="inlineStr"/>
    </row>
    <row r="364" ht="15" customHeight="1">
      <c r="A364" t="inlineStr">
        <is>
          <t>A 49568-2022</t>
        </is>
      </c>
      <c r="B364" s="1" t="n">
        <v>44862.32791666667</v>
      </c>
      <c r="C364" s="1" t="n">
        <v>45886</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42459-2024</t>
        </is>
      </c>
      <c r="B365" s="1" t="n">
        <v>45565</v>
      </c>
      <c r="C365" s="1" t="n">
        <v>45886</v>
      </c>
      <c r="D365" t="inlineStr">
        <is>
          <t>UPPSALA LÄN</t>
        </is>
      </c>
      <c r="E365" t="inlineStr">
        <is>
          <t>ENKÖPING</t>
        </is>
      </c>
      <c r="G365" t="n">
        <v>3.6</v>
      </c>
      <c r="H365" t="n">
        <v>0</v>
      </c>
      <c r="I365" t="n">
        <v>0</v>
      </c>
      <c r="J365" t="n">
        <v>0</v>
      </c>
      <c r="K365" t="n">
        <v>0</v>
      </c>
      <c r="L365" t="n">
        <v>0</v>
      </c>
      <c r="M365" t="n">
        <v>0</v>
      </c>
      <c r="N365" t="n">
        <v>0</v>
      </c>
      <c r="O365" t="n">
        <v>0</v>
      </c>
      <c r="P365" t="n">
        <v>0</v>
      </c>
      <c r="Q365" t="n">
        <v>0</v>
      </c>
      <c r="R365" s="2" t="inlineStr"/>
    </row>
    <row r="366" ht="15" customHeight="1">
      <c r="A366" t="inlineStr">
        <is>
          <t>A 57328-2024</t>
        </is>
      </c>
      <c r="B366" s="1" t="n">
        <v>45629.62798611111</v>
      </c>
      <c r="C366" s="1" t="n">
        <v>45886</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48864-2022</t>
        </is>
      </c>
      <c r="B367" s="1" t="n">
        <v>44859</v>
      </c>
      <c r="C367" s="1" t="n">
        <v>45886</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31622-2022</t>
        </is>
      </c>
      <c r="B368" s="1" t="n">
        <v>44775</v>
      </c>
      <c r="C368" s="1" t="n">
        <v>45886</v>
      </c>
      <c r="D368" t="inlineStr">
        <is>
          <t>UPPSALA LÄN</t>
        </is>
      </c>
      <c r="E368" t="inlineStr">
        <is>
          <t>ENKÖPING</t>
        </is>
      </c>
      <c r="G368" t="n">
        <v>1.5</v>
      </c>
      <c r="H368" t="n">
        <v>0</v>
      </c>
      <c r="I368" t="n">
        <v>0</v>
      </c>
      <c r="J368" t="n">
        <v>0</v>
      </c>
      <c r="K368" t="n">
        <v>0</v>
      </c>
      <c r="L368" t="n">
        <v>0</v>
      </c>
      <c r="M368" t="n">
        <v>0</v>
      </c>
      <c r="N368" t="n">
        <v>0</v>
      </c>
      <c r="O368" t="n">
        <v>0</v>
      </c>
      <c r="P368" t="n">
        <v>0</v>
      </c>
      <c r="Q368" t="n">
        <v>0</v>
      </c>
      <c r="R368" s="2" t="inlineStr"/>
    </row>
    <row r="369" ht="15" customHeight="1">
      <c r="A369" t="inlineStr">
        <is>
          <t>A 56837-2024</t>
        </is>
      </c>
      <c r="B369" s="1" t="n">
        <v>45628</v>
      </c>
      <c r="C369" s="1" t="n">
        <v>45886</v>
      </c>
      <c r="D369" t="inlineStr">
        <is>
          <t>UPPSALA LÄN</t>
        </is>
      </c>
      <c r="E369" t="inlineStr">
        <is>
          <t>ENKÖPING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66517-2020</t>
        </is>
      </c>
      <c r="B370" s="1" t="n">
        <v>44178</v>
      </c>
      <c r="C370" s="1" t="n">
        <v>45886</v>
      </c>
      <c r="D370" t="inlineStr">
        <is>
          <t>UPPSALA LÄN</t>
        </is>
      </c>
      <c r="E370" t="inlineStr">
        <is>
          <t>ENKÖPING</t>
        </is>
      </c>
      <c r="G370" t="n">
        <v>4</v>
      </c>
      <c r="H370" t="n">
        <v>0</v>
      </c>
      <c r="I370" t="n">
        <v>0</v>
      </c>
      <c r="J370" t="n">
        <v>0</v>
      </c>
      <c r="K370" t="n">
        <v>0</v>
      </c>
      <c r="L370" t="n">
        <v>0</v>
      </c>
      <c r="M370" t="n">
        <v>0</v>
      </c>
      <c r="N370" t="n">
        <v>0</v>
      </c>
      <c r="O370" t="n">
        <v>0</v>
      </c>
      <c r="P370" t="n">
        <v>0</v>
      </c>
      <c r="Q370" t="n">
        <v>0</v>
      </c>
      <c r="R370" s="2" t="inlineStr"/>
    </row>
    <row r="371" ht="15" customHeight="1">
      <c r="A371" t="inlineStr">
        <is>
          <t>A 55876-2024</t>
        </is>
      </c>
      <c r="B371" s="1" t="n">
        <v>45623.5546412037</v>
      </c>
      <c r="C371" s="1" t="n">
        <v>45886</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6356-2022</t>
        </is>
      </c>
      <c r="B372" s="1" t="n">
        <v>44600</v>
      </c>
      <c r="C372" s="1" t="n">
        <v>45886</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49617-2024</t>
        </is>
      </c>
      <c r="B373" s="1" t="n">
        <v>45596</v>
      </c>
      <c r="C373" s="1" t="n">
        <v>45886</v>
      </c>
      <c r="D373" t="inlineStr">
        <is>
          <t>UPPSALA LÄN</t>
        </is>
      </c>
      <c r="E373" t="inlineStr">
        <is>
          <t>ENKÖPING</t>
        </is>
      </c>
      <c r="G373" t="n">
        <v>3.5</v>
      </c>
      <c r="H373" t="n">
        <v>0</v>
      </c>
      <c r="I373" t="n">
        <v>0</v>
      </c>
      <c r="J373" t="n">
        <v>0</v>
      </c>
      <c r="K373" t="n">
        <v>0</v>
      </c>
      <c r="L373" t="n">
        <v>0</v>
      </c>
      <c r="M373" t="n">
        <v>0</v>
      </c>
      <c r="N373" t="n">
        <v>0</v>
      </c>
      <c r="O373" t="n">
        <v>0</v>
      </c>
      <c r="P373" t="n">
        <v>0</v>
      </c>
      <c r="Q373" t="n">
        <v>0</v>
      </c>
      <c r="R373" s="2" t="inlineStr"/>
    </row>
    <row r="374" ht="15" customHeight="1">
      <c r="A374" t="inlineStr">
        <is>
          <t>A 49637-2024</t>
        </is>
      </c>
      <c r="B374" s="1" t="n">
        <v>45596.59831018518</v>
      </c>
      <c r="C374" s="1" t="n">
        <v>45886</v>
      </c>
      <c r="D374" t="inlineStr">
        <is>
          <t>UPPSALA LÄN</t>
        </is>
      </c>
      <c r="E374" t="inlineStr">
        <is>
          <t>ENKÖPING</t>
        </is>
      </c>
      <c r="G374" t="n">
        <v>4.9</v>
      </c>
      <c r="H374" t="n">
        <v>0</v>
      </c>
      <c r="I374" t="n">
        <v>0</v>
      </c>
      <c r="J374" t="n">
        <v>0</v>
      </c>
      <c r="K374" t="n">
        <v>0</v>
      </c>
      <c r="L374" t="n">
        <v>0</v>
      </c>
      <c r="M374" t="n">
        <v>0</v>
      </c>
      <c r="N374" t="n">
        <v>0</v>
      </c>
      <c r="O374" t="n">
        <v>0</v>
      </c>
      <c r="P374" t="n">
        <v>0</v>
      </c>
      <c r="Q374" t="n">
        <v>0</v>
      </c>
      <c r="R374" s="2" t="inlineStr"/>
    </row>
    <row r="375" ht="15" customHeight="1">
      <c r="A375" t="inlineStr">
        <is>
          <t>A 25334-2023</t>
        </is>
      </c>
      <c r="B375" s="1" t="n">
        <v>45083</v>
      </c>
      <c r="C375" s="1" t="n">
        <v>45886</v>
      </c>
      <c r="D375" t="inlineStr">
        <is>
          <t>UPPSALA LÄN</t>
        </is>
      </c>
      <c r="E375" t="inlineStr">
        <is>
          <t>ENKÖPING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57147-2021</t>
        </is>
      </c>
      <c r="B376" s="1" t="n">
        <v>44482</v>
      </c>
      <c r="C376" s="1" t="n">
        <v>45886</v>
      </c>
      <c r="D376" t="inlineStr">
        <is>
          <t>UPPSALA LÄN</t>
        </is>
      </c>
      <c r="E376" t="inlineStr">
        <is>
          <t>ENKÖPING</t>
        </is>
      </c>
      <c r="G376" t="n">
        <v>5.7</v>
      </c>
      <c r="H376" t="n">
        <v>0</v>
      </c>
      <c r="I376" t="n">
        <v>0</v>
      </c>
      <c r="J376" t="n">
        <v>0</v>
      </c>
      <c r="K376" t="n">
        <v>0</v>
      </c>
      <c r="L376" t="n">
        <v>0</v>
      </c>
      <c r="M376" t="n">
        <v>0</v>
      </c>
      <c r="N376" t="n">
        <v>0</v>
      </c>
      <c r="O376" t="n">
        <v>0</v>
      </c>
      <c r="P376" t="n">
        <v>0</v>
      </c>
      <c r="Q376" t="n">
        <v>0</v>
      </c>
      <c r="R376" s="2" t="inlineStr"/>
    </row>
    <row r="377" ht="15" customHeight="1">
      <c r="A377" t="inlineStr">
        <is>
          <t>A 33349-2024</t>
        </is>
      </c>
      <c r="B377" s="1" t="n">
        <v>45519</v>
      </c>
      <c r="C377" s="1" t="n">
        <v>45886</v>
      </c>
      <c r="D377" t="inlineStr">
        <is>
          <t>UPPSALA LÄN</t>
        </is>
      </c>
      <c r="E377" t="inlineStr">
        <is>
          <t>ENKÖPING</t>
        </is>
      </c>
      <c r="G377" t="n">
        <v>3.6</v>
      </c>
      <c r="H377" t="n">
        <v>0</v>
      </c>
      <c r="I377" t="n">
        <v>0</v>
      </c>
      <c r="J377" t="n">
        <v>0</v>
      </c>
      <c r="K377" t="n">
        <v>0</v>
      </c>
      <c r="L377" t="n">
        <v>0</v>
      </c>
      <c r="M377" t="n">
        <v>0</v>
      </c>
      <c r="N377" t="n">
        <v>0</v>
      </c>
      <c r="O377" t="n">
        <v>0</v>
      </c>
      <c r="P377" t="n">
        <v>0</v>
      </c>
      <c r="Q377" t="n">
        <v>0</v>
      </c>
      <c r="R377" s="2" t="inlineStr"/>
    </row>
    <row r="378" ht="15" customHeight="1">
      <c r="A378" t="inlineStr">
        <is>
          <t>A 61711-2020</t>
        </is>
      </c>
      <c r="B378" s="1" t="n">
        <v>44158</v>
      </c>
      <c r="C378" s="1" t="n">
        <v>45886</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47909-2024</t>
        </is>
      </c>
      <c r="B379" s="1" t="n">
        <v>45589.31866898148</v>
      </c>
      <c r="C379" s="1" t="n">
        <v>45886</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6157-2021</t>
        </is>
      </c>
      <c r="B380" s="1" t="n">
        <v>44232</v>
      </c>
      <c r="C380" s="1" t="n">
        <v>45886</v>
      </c>
      <c r="D380" t="inlineStr">
        <is>
          <t>UPPSALA LÄN</t>
        </is>
      </c>
      <c r="E380" t="inlineStr">
        <is>
          <t>ENKÖPING</t>
        </is>
      </c>
      <c r="G380" t="n">
        <v>3.9</v>
      </c>
      <c r="H380" t="n">
        <v>0</v>
      </c>
      <c r="I380" t="n">
        <v>0</v>
      </c>
      <c r="J380" t="n">
        <v>0</v>
      </c>
      <c r="K380" t="n">
        <v>0</v>
      </c>
      <c r="L380" t="n">
        <v>0</v>
      </c>
      <c r="M380" t="n">
        <v>0</v>
      </c>
      <c r="N380" t="n">
        <v>0</v>
      </c>
      <c r="O380" t="n">
        <v>0</v>
      </c>
      <c r="P380" t="n">
        <v>0</v>
      </c>
      <c r="Q380" t="n">
        <v>0</v>
      </c>
      <c r="R380" s="2" t="inlineStr"/>
    </row>
    <row r="381" ht="15" customHeight="1">
      <c r="A381" t="inlineStr">
        <is>
          <t>A 53587-2024</t>
        </is>
      </c>
      <c r="B381" s="1" t="n">
        <v>45614.66953703704</v>
      </c>
      <c r="C381" s="1" t="n">
        <v>45886</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52005-2024</t>
        </is>
      </c>
      <c r="B382" s="1" t="n">
        <v>45607.7627662037</v>
      </c>
      <c r="C382" s="1" t="n">
        <v>45886</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18583-2021</t>
        </is>
      </c>
      <c r="B383" s="1" t="n">
        <v>44306</v>
      </c>
      <c r="C383" s="1" t="n">
        <v>45886</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60125-2024</t>
        </is>
      </c>
      <c r="B384" s="1" t="n">
        <v>45642</v>
      </c>
      <c r="C384" s="1" t="n">
        <v>45886</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53586-2024</t>
        </is>
      </c>
      <c r="B385" s="1" t="n">
        <v>45614</v>
      </c>
      <c r="C385" s="1" t="n">
        <v>45886</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1695-2025</t>
        </is>
      </c>
      <c r="B386" s="1" t="n">
        <v>45670</v>
      </c>
      <c r="C386" s="1" t="n">
        <v>45886</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59027-2024</t>
        </is>
      </c>
      <c r="B387" s="1" t="n">
        <v>45636.68755787037</v>
      </c>
      <c r="C387" s="1" t="n">
        <v>45886</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18994-2025</t>
        </is>
      </c>
      <c r="B388" s="1" t="n">
        <v>45764.57350694444</v>
      </c>
      <c r="C388" s="1" t="n">
        <v>45886</v>
      </c>
      <c r="D388" t="inlineStr">
        <is>
          <t>UPPSALA LÄN</t>
        </is>
      </c>
      <c r="E388" t="inlineStr">
        <is>
          <t>ENKÖPING</t>
        </is>
      </c>
      <c r="G388" t="n">
        <v>3.8</v>
      </c>
      <c r="H388" t="n">
        <v>0</v>
      </c>
      <c r="I388" t="n">
        <v>0</v>
      </c>
      <c r="J388" t="n">
        <v>0</v>
      </c>
      <c r="K388" t="n">
        <v>0</v>
      </c>
      <c r="L388" t="n">
        <v>0</v>
      </c>
      <c r="M388" t="n">
        <v>0</v>
      </c>
      <c r="N388" t="n">
        <v>0</v>
      </c>
      <c r="O388" t="n">
        <v>0</v>
      </c>
      <c r="P388" t="n">
        <v>0</v>
      </c>
      <c r="Q388" t="n">
        <v>0</v>
      </c>
      <c r="R388" s="2" t="inlineStr"/>
    </row>
    <row r="389" ht="15" customHeight="1">
      <c r="A389" t="inlineStr">
        <is>
          <t>A 51034-2024</t>
        </is>
      </c>
      <c r="B389" s="1" t="n">
        <v>45603.4262037037</v>
      </c>
      <c r="C389" s="1" t="n">
        <v>45886</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51036-2024</t>
        </is>
      </c>
      <c r="B390" s="1" t="n">
        <v>45603.42839120371</v>
      </c>
      <c r="C390" s="1" t="n">
        <v>45886</v>
      </c>
      <c r="D390" t="inlineStr">
        <is>
          <t>UPPSALA LÄN</t>
        </is>
      </c>
      <c r="E390" t="inlineStr">
        <is>
          <t>ENKÖPING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43492-2023</t>
        </is>
      </c>
      <c r="B391" s="1" t="n">
        <v>45181</v>
      </c>
      <c r="C391" s="1" t="n">
        <v>45886</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42564-2024</t>
        </is>
      </c>
      <c r="B392" s="1" t="n">
        <v>45565.63358796296</v>
      </c>
      <c r="C392" s="1" t="n">
        <v>45886</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1536-2024</t>
        </is>
      </c>
      <c r="B393" s="1" t="n">
        <v>45306</v>
      </c>
      <c r="C393" s="1" t="n">
        <v>45886</v>
      </c>
      <c r="D393" t="inlineStr">
        <is>
          <t>UPPSALA LÄN</t>
        </is>
      </c>
      <c r="E393" t="inlineStr">
        <is>
          <t>ENKÖPING</t>
        </is>
      </c>
      <c r="F393" t="inlineStr">
        <is>
          <t>Kyrkan</t>
        </is>
      </c>
      <c r="G393" t="n">
        <v>5.6</v>
      </c>
      <c r="H393" t="n">
        <v>0</v>
      </c>
      <c r="I393" t="n">
        <v>0</v>
      </c>
      <c r="J393" t="n">
        <v>0</v>
      </c>
      <c r="K393" t="n">
        <v>0</v>
      </c>
      <c r="L393" t="n">
        <v>0</v>
      </c>
      <c r="M393" t="n">
        <v>0</v>
      </c>
      <c r="N393" t="n">
        <v>0</v>
      </c>
      <c r="O393" t="n">
        <v>0</v>
      </c>
      <c r="P393" t="n">
        <v>0</v>
      </c>
      <c r="Q393" t="n">
        <v>0</v>
      </c>
      <c r="R393" s="2" t="inlineStr"/>
    </row>
    <row r="394" ht="15" customHeight="1">
      <c r="A394" t="inlineStr">
        <is>
          <t>A 3235-2025</t>
        </is>
      </c>
      <c r="B394" s="1" t="n">
        <v>45679</v>
      </c>
      <c r="C394" s="1" t="n">
        <v>45886</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49625-2024</t>
        </is>
      </c>
      <c r="B395" s="1" t="n">
        <v>45596.5891087963</v>
      </c>
      <c r="C395" s="1" t="n">
        <v>45886</v>
      </c>
      <c r="D395" t="inlineStr">
        <is>
          <t>UPPSALA LÄN</t>
        </is>
      </c>
      <c r="E395" t="inlineStr">
        <is>
          <t>ENKÖPING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2974-2025</t>
        </is>
      </c>
      <c r="B396" s="1" t="n">
        <v>45678.47168981482</v>
      </c>
      <c r="C396" s="1" t="n">
        <v>45886</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16916-2023</t>
        </is>
      </c>
      <c r="B397" s="1" t="n">
        <v>45033.58347222222</v>
      </c>
      <c r="C397" s="1" t="n">
        <v>45886</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45886</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16920-2023</t>
        </is>
      </c>
      <c r="B399" s="1" t="n">
        <v>45033.59030092593</v>
      </c>
      <c r="C399" s="1" t="n">
        <v>45886</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4562-2025</t>
        </is>
      </c>
      <c r="B400" s="1" t="n">
        <v>45687</v>
      </c>
      <c r="C400" s="1" t="n">
        <v>45886</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6959-2025</t>
        </is>
      </c>
      <c r="B401" s="1" t="n">
        <v>45701.49315972222</v>
      </c>
      <c r="C401" s="1" t="n">
        <v>45886</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67765-2020</t>
        </is>
      </c>
      <c r="B402" s="1" t="n">
        <v>44182</v>
      </c>
      <c r="C402" s="1" t="n">
        <v>45886</v>
      </c>
      <c r="D402" t="inlineStr">
        <is>
          <t>UPPSALA LÄN</t>
        </is>
      </c>
      <c r="E402" t="inlineStr">
        <is>
          <t>ENKÖPING</t>
        </is>
      </c>
      <c r="G402" t="n">
        <v>3.6</v>
      </c>
      <c r="H402" t="n">
        <v>0</v>
      </c>
      <c r="I402" t="n">
        <v>0</v>
      </c>
      <c r="J402" t="n">
        <v>0</v>
      </c>
      <c r="K402" t="n">
        <v>0</v>
      </c>
      <c r="L402" t="n">
        <v>0</v>
      </c>
      <c r="M402" t="n">
        <v>0</v>
      </c>
      <c r="N402" t="n">
        <v>0</v>
      </c>
      <c r="O402" t="n">
        <v>0</v>
      </c>
      <c r="P402" t="n">
        <v>0</v>
      </c>
      <c r="Q402" t="n">
        <v>0</v>
      </c>
      <c r="R402" s="2" t="inlineStr"/>
    </row>
    <row r="403" ht="15" customHeight="1">
      <c r="A403" t="inlineStr">
        <is>
          <t>A 52388-2024</t>
        </is>
      </c>
      <c r="B403" s="1" t="n">
        <v>45609.42939814815</v>
      </c>
      <c r="C403" s="1" t="n">
        <v>45886</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17165-2025</t>
        </is>
      </c>
      <c r="B404" s="1" t="n">
        <v>45756</v>
      </c>
      <c r="C404" s="1" t="n">
        <v>45886</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12434-2021</t>
        </is>
      </c>
      <c r="B405" s="1" t="n">
        <v>44267</v>
      </c>
      <c r="C405" s="1" t="n">
        <v>45886</v>
      </c>
      <c r="D405" t="inlineStr">
        <is>
          <t>UPPSALA LÄN</t>
        </is>
      </c>
      <c r="E405" t="inlineStr">
        <is>
          <t>ENKÖPING</t>
        </is>
      </c>
      <c r="G405" t="n">
        <v>5.3</v>
      </c>
      <c r="H405" t="n">
        <v>0</v>
      </c>
      <c r="I405" t="n">
        <v>0</v>
      </c>
      <c r="J405" t="n">
        <v>0</v>
      </c>
      <c r="K405" t="n">
        <v>0</v>
      </c>
      <c r="L405" t="n">
        <v>0</v>
      </c>
      <c r="M405" t="n">
        <v>0</v>
      </c>
      <c r="N405" t="n">
        <v>0</v>
      </c>
      <c r="O405" t="n">
        <v>0</v>
      </c>
      <c r="P405" t="n">
        <v>0</v>
      </c>
      <c r="Q405" t="n">
        <v>0</v>
      </c>
      <c r="R405" s="2" t="inlineStr"/>
    </row>
    <row r="406" ht="15" customHeight="1">
      <c r="A406" t="inlineStr">
        <is>
          <t>A 1992-2022</t>
        </is>
      </c>
      <c r="B406" s="1" t="n">
        <v>44575.56153935185</v>
      </c>
      <c r="C406" s="1" t="n">
        <v>45886</v>
      </c>
      <c r="D406" t="inlineStr">
        <is>
          <t>UPPSALA LÄN</t>
        </is>
      </c>
      <c r="E406" t="inlineStr">
        <is>
          <t>ENKÖPING</t>
        </is>
      </c>
      <c r="G406" t="n">
        <v>2.8</v>
      </c>
      <c r="H406" t="n">
        <v>0</v>
      </c>
      <c r="I406" t="n">
        <v>0</v>
      </c>
      <c r="J406" t="n">
        <v>0</v>
      </c>
      <c r="K406" t="n">
        <v>0</v>
      </c>
      <c r="L406" t="n">
        <v>0</v>
      </c>
      <c r="M406" t="n">
        <v>0</v>
      </c>
      <c r="N406" t="n">
        <v>0</v>
      </c>
      <c r="O406" t="n">
        <v>0</v>
      </c>
      <c r="P406" t="n">
        <v>0</v>
      </c>
      <c r="Q406" t="n">
        <v>0</v>
      </c>
      <c r="R406" s="2" t="inlineStr"/>
    </row>
    <row r="407" ht="15" customHeight="1">
      <c r="A407" t="inlineStr">
        <is>
          <t>A 6626-2023</t>
        </is>
      </c>
      <c r="B407" s="1" t="n">
        <v>44966.55946759259</v>
      </c>
      <c r="C407" s="1" t="n">
        <v>45886</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57833-2024</t>
        </is>
      </c>
      <c r="B408" s="1" t="n">
        <v>45631.3953587963</v>
      </c>
      <c r="C408" s="1" t="n">
        <v>45886</v>
      </c>
      <c r="D408" t="inlineStr">
        <is>
          <t>UPPSALA LÄN</t>
        </is>
      </c>
      <c r="E408" t="inlineStr">
        <is>
          <t>ENKÖPING</t>
        </is>
      </c>
      <c r="G408" t="n">
        <v>2.8</v>
      </c>
      <c r="H408" t="n">
        <v>0</v>
      </c>
      <c r="I408" t="n">
        <v>0</v>
      </c>
      <c r="J408" t="n">
        <v>0</v>
      </c>
      <c r="K408" t="n">
        <v>0</v>
      </c>
      <c r="L408" t="n">
        <v>0</v>
      </c>
      <c r="M408" t="n">
        <v>0</v>
      </c>
      <c r="N408" t="n">
        <v>0</v>
      </c>
      <c r="O408" t="n">
        <v>0</v>
      </c>
      <c r="P408" t="n">
        <v>0</v>
      </c>
      <c r="Q408" t="n">
        <v>0</v>
      </c>
      <c r="R408" s="2" t="inlineStr"/>
    </row>
    <row r="409" ht="15" customHeight="1">
      <c r="A409" t="inlineStr">
        <is>
          <t>A 48843-2023</t>
        </is>
      </c>
      <c r="B409" s="1" t="n">
        <v>45209</v>
      </c>
      <c r="C409" s="1" t="n">
        <v>45886</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57940-2022</t>
        </is>
      </c>
      <c r="B410" s="1" t="n">
        <v>44900</v>
      </c>
      <c r="C410" s="1" t="n">
        <v>45886</v>
      </c>
      <c r="D410" t="inlineStr">
        <is>
          <t>UPPSALA LÄN</t>
        </is>
      </c>
      <c r="E410" t="inlineStr">
        <is>
          <t>ENKÖPING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52299-2023</t>
        </is>
      </c>
      <c r="B411" s="1" t="n">
        <v>45224.61636574074</v>
      </c>
      <c r="C411" s="1" t="n">
        <v>45886</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25598-2021</t>
        </is>
      </c>
      <c r="B412" s="1" t="n">
        <v>44343.4558912037</v>
      </c>
      <c r="C412" s="1" t="n">
        <v>45886</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35079-2024</t>
        </is>
      </c>
      <c r="B413" s="1" t="n">
        <v>45527.66770833333</v>
      </c>
      <c r="C413" s="1" t="n">
        <v>45886</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32081-2024</t>
        </is>
      </c>
      <c r="B414" s="1" t="n">
        <v>45511.34605324074</v>
      </c>
      <c r="C414" s="1" t="n">
        <v>45886</v>
      </c>
      <c r="D414" t="inlineStr">
        <is>
          <t>UPPSALA LÄN</t>
        </is>
      </c>
      <c r="E414" t="inlineStr">
        <is>
          <t>ENKÖPING</t>
        </is>
      </c>
      <c r="G414" t="n">
        <v>5.4</v>
      </c>
      <c r="H414" t="n">
        <v>0</v>
      </c>
      <c r="I414" t="n">
        <v>0</v>
      </c>
      <c r="J414" t="n">
        <v>0</v>
      </c>
      <c r="K414" t="n">
        <v>0</v>
      </c>
      <c r="L414" t="n">
        <v>0</v>
      </c>
      <c r="M414" t="n">
        <v>0</v>
      </c>
      <c r="N414" t="n">
        <v>0</v>
      </c>
      <c r="O414" t="n">
        <v>0</v>
      </c>
      <c r="P414" t="n">
        <v>0</v>
      </c>
      <c r="Q414" t="n">
        <v>0</v>
      </c>
      <c r="R414" s="2" t="inlineStr"/>
    </row>
    <row r="415" ht="15" customHeight="1">
      <c r="A415" t="inlineStr">
        <is>
          <t>A 53595-2023</t>
        </is>
      </c>
      <c r="B415" s="1" t="n">
        <v>45223</v>
      </c>
      <c r="C415" s="1" t="n">
        <v>45886</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20184-2023</t>
        </is>
      </c>
      <c r="B416" s="1" t="n">
        <v>45055.5670949074</v>
      </c>
      <c r="C416" s="1" t="n">
        <v>45886</v>
      </c>
      <c r="D416" t="inlineStr">
        <is>
          <t>UPPSALA LÄN</t>
        </is>
      </c>
      <c r="E416" t="inlineStr">
        <is>
          <t>ENKÖPING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61952-2021</t>
        </is>
      </c>
      <c r="B417" s="1" t="n">
        <v>44502</v>
      </c>
      <c r="C417" s="1" t="n">
        <v>45886</v>
      </c>
      <c r="D417" t="inlineStr">
        <is>
          <t>UPPSALA LÄN</t>
        </is>
      </c>
      <c r="E417" t="inlineStr">
        <is>
          <t>ENKÖPING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60533-2021</t>
        </is>
      </c>
      <c r="B418" s="1" t="n">
        <v>44496</v>
      </c>
      <c r="C418" s="1" t="n">
        <v>45886</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15757-2023</t>
        </is>
      </c>
      <c r="B419" s="1" t="n">
        <v>45021</v>
      </c>
      <c r="C419" s="1" t="n">
        <v>45886</v>
      </c>
      <c r="D419" t="inlineStr">
        <is>
          <t>UPPSALA LÄN</t>
        </is>
      </c>
      <c r="E419" t="inlineStr">
        <is>
          <t>ENKÖPING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43230-2023</t>
        </is>
      </c>
      <c r="B420" s="1" t="n">
        <v>45183</v>
      </c>
      <c r="C420" s="1" t="n">
        <v>45886</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56886-2023</t>
        </is>
      </c>
      <c r="B421" s="1" t="n">
        <v>45239</v>
      </c>
      <c r="C421" s="1" t="n">
        <v>45886</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51011-2024</t>
        </is>
      </c>
      <c r="B422" s="1" t="n">
        <v>45603.39427083333</v>
      </c>
      <c r="C422" s="1" t="n">
        <v>45886</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59602-2022</t>
        </is>
      </c>
      <c r="B423" s="1" t="n">
        <v>44907.72241898148</v>
      </c>
      <c r="C423" s="1" t="n">
        <v>45886</v>
      </c>
      <c r="D423" t="inlineStr">
        <is>
          <t>UPPSALA LÄN</t>
        </is>
      </c>
      <c r="E423" t="inlineStr">
        <is>
          <t>ENKÖPING</t>
        </is>
      </c>
      <c r="G423" t="n">
        <v>14.2</v>
      </c>
      <c r="H423" t="n">
        <v>0</v>
      </c>
      <c r="I423" t="n">
        <v>0</v>
      </c>
      <c r="J423" t="n">
        <v>0</v>
      </c>
      <c r="K423" t="n">
        <v>0</v>
      </c>
      <c r="L423" t="n">
        <v>0</v>
      </c>
      <c r="M423" t="n">
        <v>0</v>
      </c>
      <c r="N423" t="n">
        <v>0</v>
      </c>
      <c r="O423" t="n">
        <v>0</v>
      </c>
      <c r="P423" t="n">
        <v>0</v>
      </c>
      <c r="Q423" t="n">
        <v>0</v>
      </c>
      <c r="R423" s="2" t="inlineStr"/>
    </row>
    <row r="424" ht="15" customHeight="1">
      <c r="A424" t="inlineStr">
        <is>
          <t>A 42589-2022</t>
        </is>
      </c>
      <c r="B424" s="1" t="n">
        <v>44831</v>
      </c>
      <c r="C424" s="1" t="n">
        <v>45886</v>
      </c>
      <c r="D424" t="inlineStr">
        <is>
          <t>UPPSALA LÄN</t>
        </is>
      </c>
      <c r="E424" t="inlineStr">
        <is>
          <t>ENKÖPING</t>
        </is>
      </c>
      <c r="G424" t="n">
        <v>20</v>
      </c>
      <c r="H424" t="n">
        <v>0</v>
      </c>
      <c r="I424" t="n">
        <v>0</v>
      </c>
      <c r="J424" t="n">
        <v>0</v>
      </c>
      <c r="K424" t="n">
        <v>0</v>
      </c>
      <c r="L424" t="n">
        <v>0</v>
      </c>
      <c r="M424" t="n">
        <v>0</v>
      </c>
      <c r="N424" t="n">
        <v>0</v>
      </c>
      <c r="O424" t="n">
        <v>0</v>
      </c>
      <c r="P424" t="n">
        <v>0</v>
      </c>
      <c r="Q424" t="n">
        <v>0</v>
      </c>
      <c r="R424" s="2" t="inlineStr"/>
    </row>
    <row r="425" ht="15" customHeight="1">
      <c r="A425" t="inlineStr">
        <is>
          <t>A 35645-2021</t>
        </is>
      </c>
      <c r="B425" s="1" t="n">
        <v>44386.42</v>
      </c>
      <c r="C425" s="1" t="n">
        <v>45886</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2968-2025</t>
        </is>
      </c>
      <c r="B426" s="1" t="n">
        <v>45678</v>
      </c>
      <c r="C426" s="1" t="n">
        <v>45886</v>
      </c>
      <c r="D426" t="inlineStr">
        <is>
          <t>UPPSALA LÄN</t>
        </is>
      </c>
      <c r="E426" t="inlineStr">
        <is>
          <t>ENKÖPING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9487-2025</t>
        </is>
      </c>
      <c r="B427" s="1" t="n">
        <v>45715.49331018519</v>
      </c>
      <c r="C427" s="1" t="n">
        <v>45886</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12102-2024</t>
        </is>
      </c>
      <c r="B428" s="1" t="n">
        <v>45377</v>
      </c>
      <c r="C428" s="1" t="n">
        <v>45886</v>
      </c>
      <c r="D428" t="inlineStr">
        <is>
          <t>UPPSALA LÄN</t>
        </is>
      </c>
      <c r="E428" t="inlineStr">
        <is>
          <t>ENKÖPING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16176-2025</t>
        </is>
      </c>
      <c r="B429" s="1" t="n">
        <v>45750</v>
      </c>
      <c r="C429" s="1" t="n">
        <v>45886</v>
      </c>
      <c r="D429" t="inlineStr">
        <is>
          <t>UPPSALA LÄN</t>
        </is>
      </c>
      <c r="E429" t="inlineStr">
        <is>
          <t>ENKÖPING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58961-2024</t>
        </is>
      </c>
      <c r="B430" s="1" t="n">
        <v>45636.585</v>
      </c>
      <c r="C430" s="1" t="n">
        <v>45886</v>
      </c>
      <c r="D430" t="inlineStr">
        <is>
          <t>UPPSALA LÄN</t>
        </is>
      </c>
      <c r="E430" t="inlineStr">
        <is>
          <t>ENKÖPING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37035-2023</t>
        </is>
      </c>
      <c r="B431" s="1" t="n">
        <v>45155</v>
      </c>
      <c r="C431" s="1" t="n">
        <v>45886</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45283-2022</t>
        </is>
      </c>
      <c r="B432" s="1" t="n">
        <v>44844</v>
      </c>
      <c r="C432" s="1" t="n">
        <v>45886</v>
      </c>
      <c r="D432" t="inlineStr">
        <is>
          <t>UPPSALA LÄN</t>
        </is>
      </c>
      <c r="E432" t="inlineStr">
        <is>
          <t>ENKÖPING</t>
        </is>
      </c>
      <c r="G432" t="n">
        <v>5.9</v>
      </c>
      <c r="H432" t="n">
        <v>0</v>
      </c>
      <c r="I432" t="n">
        <v>0</v>
      </c>
      <c r="J432" t="n">
        <v>0</v>
      </c>
      <c r="K432" t="n">
        <v>0</v>
      </c>
      <c r="L432" t="n">
        <v>0</v>
      </c>
      <c r="M432" t="n">
        <v>0</v>
      </c>
      <c r="N432" t="n">
        <v>0</v>
      </c>
      <c r="O432" t="n">
        <v>0</v>
      </c>
      <c r="P432" t="n">
        <v>0</v>
      </c>
      <c r="Q432" t="n">
        <v>0</v>
      </c>
      <c r="R432" s="2" t="inlineStr"/>
    </row>
    <row r="433" ht="15" customHeight="1">
      <c r="A433" t="inlineStr">
        <is>
          <t>A 845-2025</t>
        </is>
      </c>
      <c r="B433" s="1" t="n">
        <v>45665</v>
      </c>
      <c r="C433" s="1" t="n">
        <v>45886</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849-2025</t>
        </is>
      </c>
      <c r="B434" s="1" t="n">
        <v>45665</v>
      </c>
      <c r="C434" s="1" t="n">
        <v>45886</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46186-2023</t>
        </is>
      </c>
      <c r="B435" s="1" t="n">
        <v>45196</v>
      </c>
      <c r="C435" s="1" t="n">
        <v>45886</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15162-2025</t>
        </is>
      </c>
      <c r="B436" s="1" t="n">
        <v>45744</v>
      </c>
      <c r="C436" s="1" t="n">
        <v>45886</v>
      </c>
      <c r="D436" t="inlineStr">
        <is>
          <t>UPPSALA LÄN</t>
        </is>
      </c>
      <c r="E436" t="inlineStr">
        <is>
          <t>ENKÖPING</t>
        </is>
      </c>
      <c r="G436" t="n">
        <v>4.2</v>
      </c>
      <c r="H436" t="n">
        <v>0</v>
      </c>
      <c r="I436" t="n">
        <v>0</v>
      </c>
      <c r="J436" t="n">
        <v>0</v>
      </c>
      <c r="K436" t="n">
        <v>0</v>
      </c>
      <c r="L436" t="n">
        <v>0</v>
      </c>
      <c r="M436" t="n">
        <v>0</v>
      </c>
      <c r="N436" t="n">
        <v>0</v>
      </c>
      <c r="O436" t="n">
        <v>0</v>
      </c>
      <c r="P436" t="n">
        <v>0</v>
      </c>
      <c r="Q436" t="n">
        <v>0</v>
      </c>
      <c r="R436" s="2" t="inlineStr"/>
    </row>
    <row r="437" ht="15" customHeight="1">
      <c r="A437" t="inlineStr">
        <is>
          <t>A 18299-2025</t>
        </is>
      </c>
      <c r="B437" s="1" t="n">
        <v>45762</v>
      </c>
      <c r="C437" s="1" t="n">
        <v>45886</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6242-2025</t>
        </is>
      </c>
      <c r="B438" s="1" t="n">
        <v>45697</v>
      </c>
      <c r="C438" s="1" t="n">
        <v>45886</v>
      </c>
      <c r="D438" t="inlineStr">
        <is>
          <t>UPPSALA LÄN</t>
        </is>
      </c>
      <c r="E438" t="inlineStr">
        <is>
          <t>ENKÖPING</t>
        </is>
      </c>
      <c r="G438" t="n">
        <v>17.9</v>
      </c>
      <c r="H438" t="n">
        <v>0</v>
      </c>
      <c r="I438" t="n">
        <v>0</v>
      </c>
      <c r="J438" t="n">
        <v>0</v>
      </c>
      <c r="K438" t="n">
        <v>0</v>
      </c>
      <c r="L438" t="n">
        <v>0</v>
      </c>
      <c r="M438" t="n">
        <v>0</v>
      </c>
      <c r="N438" t="n">
        <v>0</v>
      </c>
      <c r="O438" t="n">
        <v>0</v>
      </c>
      <c r="P438" t="n">
        <v>0</v>
      </c>
      <c r="Q438" t="n">
        <v>0</v>
      </c>
      <c r="R438" s="2" t="inlineStr"/>
    </row>
    <row r="439" ht="15" customHeight="1">
      <c r="A439" t="inlineStr">
        <is>
          <t>A 6144-2024</t>
        </is>
      </c>
      <c r="B439" s="1" t="n">
        <v>45337.4684837963</v>
      </c>
      <c r="C439" s="1" t="n">
        <v>45886</v>
      </c>
      <c r="D439" t="inlineStr">
        <is>
          <t>UPPSALA LÄN</t>
        </is>
      </c>
      <c r="E439" t="inlineStr">
        <is>
          <t>ENKÖPING</t>
        </is>
      </c>
      <c r="G439" t="n">
        <v>13.8</v>
      </c>
      <c r="H439" t="n">
        <v>0</v>
      </c>
      <c r="I439" t="n">
        <v>0</v>
      </c>
      <c r="J439" t="n">
        <v>0</v>
      </c>
      <c r="K439" t="n">
        <v>0</v>
      </c>
      <c r="L439" t="n">
        <v>0</v>
      </c>
      <c r="M439" t="n">
        <v>0</v>
      </c>
      <c r="N439" t="n">
        <v>0</v>
      </c>
      <c r="O439" t="n">
        <v>0</v>
      </c>
      <c r="P439" t="n">
        <v>0</v>
      </c>
      <c r="Q439" t="n">
        <v>0</v>
      </c>
      <c r="R439" s="2" t="inlineStr"/>
    </row>
    <row r="440" ht="15" customHeight="1">
      <c r="A440" t="inlineStr">
        <is>
          <t>A 67984-2021</t>
        </is>
      </c>
      <c r="B440" s="1" t="n">
        <v>44525.70237268518</v>
      </c>
      <c r="C440" s="1" t="n">
        <v>45886</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46593-2020</t>
        </is>
      </c>
      <c r="B441" s="1" t="n">
        <v>44095</v>
      </c>
      <c r="C441" s="1" t="n">
        <v>45886</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58147-2024</t>
        </is>
      </c>
      <c r="B442" s="1" t="n">
        <v>45632.4334375</v>
      </c>
      <c r="C442" s="1" t="n">
        <v>45886</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18592-2021</t>
        </is>
      </c>
      <c r="B443" s="1" t="n">
        <v>44306</v>
      </c>
      <c r="C443" s="1" t="n">
        <v>45886</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11918-2025</t>
        </is>
      </c>
      <c r="B444" s="1" t="n">
        <v>45728.49331018519</v>
      </c>
      <c r="C444" s="1" t="n">
        <v>45886</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18302-2025</t>
        </is>
      </c>
      <c r="B445" s="1" t="n">
        <v>45762</v>
      </c>
      <c r="C445" s="1" t="n">
        <v>45886</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34735-2023</t>
        </is>
      </c>
      <c r="B446" s="1" t="n">
        <v>45139</v>
      </c>
      <c r="C446" s="1" t="n">
        <v>45886</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30514-2021</t>
        </is>
      </c>
      <c r="B447" s="1" t="n">
        <v>44364</v>
      </c>
      <c r="C447" s="1" t="n">
        <v>45886</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52169-2020</t>
        </is>
      </c>
      <c r="B448" s="1" t="n">
        <v>44117</v>
      </c>
      <c r="C448" s="1" t="n">
        <v>45886</v>
      </c>
      <c r="D448" t="inlineStr">
        <is>
          <t>UPPSALA LÄN</t>
        </is>
      </c>
      <c r="E448" t="inlineStr">
        <is>
          <t>ENKÖPING</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43896-2022</t>
        </is>
      </c>
      <c r="B449" s="1" t="n">
        <v>44838</v>
      </c>
      <c r="C449" s="1" t="n">
        <v>45886</v>
      </c>
      <c r="D449" t="inlineStr">
        <is>
          <t>UPPSALA LÄN</t>
        </is>
      </c>
      <c r="E449" t="inlineStr">
        <is>
          <t>ENKÖPING</t>
        </is>
      </c>
      <c r="G449" t="n">
        <v>5.3</v>
      </c>
      <c r="H449" t="n">
        <v>0</v>
      </c>
      <c r="I449" t="n">
        <v>0</v>
      </c>
      <c r="J449" t="n">
        <v>0</v>
      </c>
      <c r="K449" t="n">
        <v>0</v>
      </c>
      <c r="L449" t="n">
        <v>0</v>
      </c>
      <c r="M449" t="n">
        <v>0</v>
      </c>
      <c r="N449" t="n">
        <v>0</v>
      </c>
      <c r="O449" t="n">
        <v>0</v>
      </c>
      <c r="P449" t="n">
        <v>0</v>
      </c>
      <c r="Q449" t="n">
        <v>0</v>
      </c>
      <c r="R449" s="2" t="inlineStr"/>
    </row>
    <row r="450" ht="15" customHeight="1">
      <c r="A450" t="inlineStr">
        <is>
          <t>A 17038-2025</t>
        </is>
      </c>
      <c r="B450" s="1" t="n">
        <v>45755.57776620371</v>
      </c>
      <c r="C450" s="1" t="n">
        <v>45886</v>
      </c>
      <c r="D450" t="inlineStr">
        <is>
          <t>UPPSALA LÄN</t>
        </is>
      </c>
      <c r="E450" t="inlineStr">
        <is>
          <t>ENKÖPING</t>
        </is>
      </c>
      <c r="G450" t="n">
        <v>4.8</v>
      </c>
      <c r="H450" t="n">
        <v>0</v>
      </c>
      <c r="I450" t="n">
        <v>0</v>
      </c>
      <c r="J450" t="n">
        <v>0</v>
      </c>
      <c r="K450" t="n">
        <v>0</v>
      </c>
      <c r="L450" t="n">
        <v>0</v>
      </c>
      <c r="M450" t="n">
        <v>0</v>
      </c>
      <c r="N450" t="n">
        <v>0</v>
      </c>
      <c r="O450" t="n">
        <v>0</v>
      </c>
      <c r="P450" t="n">
        <v>0</v>
      </c>
      <c r="Q450" t="n">
        <v>0</v>
      </c>
      <c r="R450" s="2" t="inlineStr"/>
    </row>
    <row r="451" ht="15" customHeight="1">
      <c r="A451" t="inlineStr">
        <is>
          <t>A 20440-2025</t>
        </is>
      </c>
      <c r="B451" s="1" t="n">
        <v>45775</v>
      </c>
      <c r="C451" s="1" t="n">
        <v>45886</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18038-2025</t>
        </is>
      </c>
      <c r="B452" s="1" t="n">
        <v>45761</v>
      </c>
      <c r="C452" s="1" t="n">
        <v>45886</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44827.63826388889</v>
      </c>
      <c r="C453" s="1" t="n">
        <v>45886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54595-2021</t>
        </is>
      </c>
      <c r="B454" s="1" t="n">
        <v>44473.58824074074</v>
      </c>
      <c r="C454" s="1" t="n">
        <v>45886</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22094-2023</t>
        </is>
      </c>
      <c r="B455" s="1" t="n">
        <v>45069</v>
      </c>
      <c r="C455" s="1" t="n">
        <v>45886</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57209-2024</t>
        </is>
      </c>
      <c r="B456" s="1" t="n">
        <v>45629.49311342592</v>
      </c>
      <c r="C456" s="1" t="n">
        <v>45886</v>
      </c>
      <c r="D456" t="inlineStr">
        <is>
          <t>UPPSALA LÄN</t>
        </is>
      </c>
      <c r="E456" t="inlineStr">
        <is>
          <t>ENKÖPING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13110-2023</t>
        </is>
      </c>
      <c r="B457" s="1" t="n">
        <v>45001</v>
      </c>
      <c r="C457" s="1" t="n">
        <v>45886</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49623-2024</t>
        </is>
      </c>
      <c r="B458" s="1" t="n">
        <v>45596</v>
      </c>
      <c r="C458" s="1" t="n">
        <v>45886</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35647-2021</t>
        </is>
      </c>
      <c r="B459" s="1" t="n">
        <v>44386</v>
      </c>
      <c r="C459" s="1" t="n">
        <v>45886</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49627-2024</t>
        </is>
      </c>
      <c r="B460" s="1" t="n">
        <v>45596.59140046296</v>
      </c>
      <c r="C460" s="1" t="n">
        <v>45886</v>
      </c>
      <c r="D460" t="inlineStr">
        <is>
          <t>UPPSALA LÄN</t>
        </is>
      </c>
      <c r="E460" t="inlineStr">
        <is>
          <t>ENKÖPING</t>
        </is>
      </c>
      <c r="G460" t="n">
        <v>0.4</v>
      </c>
      <c r="H460" t="n">
        <v>0</v>
      </c>
      <c r="I460" t="n">
        <v>0</v>
      </c>
      <c r="J460" t="n">
        <v>0</v>
      </c>
      <c r="K460" t="n">
        <v>0</v>
      </c>
      <c r="L460" t="n">
        <v>0</v>
      </c>
      <c r="M460" t="n">
        <v>0</v>
      </c>
      <c r="N460" t="n">
        <v>0</v>
      </c>
      <c r="O460" t="n">
        <v>0</v>
      </c>
      <c r="P460" t="n">
        <v>0</v>
      </c>
      <c r="Q460" t="n">
        <v>0</v>
      </c>
      <c r="R460" s="2" t="inlineStr"/>
    </row>
    <row r="461" ht="15" customHeight="1">
      <c r="A461" t="inlineStr">
        <is>
          <t>A 9231-2023</t>
        </is>
      </c>
      <c r="B461" s="1" t="n">
        <v>44980</v>
      </c>
      <c r="C461" s="1" t="n">
        <v>45886</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27538-2023</t>
        </is>
      </c>
      <c r="B462" s="1" t="n">
        <v>45097</v>
      </c>
      <c r="C462" s="1" t="n">
        <v>45886</v>
      </c>
      <c r="D462" t="inlineStr">
        <is>
          <t>UPPSALA LÄN</t>
        </is>
      </c>
      <c r="E462" t="inlineStr">
        <is>
          <t>ENKÖPING</t>
        </is>
      </c>
      <c r="G462" t="n">
        <v>5.8</v>
      </c>
      <c r="H462" t="n">
        <v>0</v>
      </c>
      <c r="I462" t="n">
        <v>0</v>
      </c>
      <c r="J462" t="n">
        <v>0</v>
      </c>
      <c r="K462" t="n">
        <v>0</v>
      </c>
      <c r="L462" t="n">
        <v>0</v>
      </c>
      <c r="M462" t="n">
        <v>0</v>
      </c>
      <c r="N462" t="n">
        <v>0</v>
      </c>
      <c r="O462" t="n">
        <v>0</v>
      </c>
      <c r="P462" t="n">
        <v>0</v>
      </c>
      <c r="Q462" t="n">
        <v>0</v>
      </c>
      <c r="R462" s="2" t="inlineStr"/>
    </row>
    <row r="463" ht="15" customHeight="1">
      <c r="A463" t="inlineStr">
        <is>
          <t>A 18821-2023</t>
        </is>
      </c>
      <c r="B463" s="1" t="n">
        <v>45044.3782175926</v>
      </c>
      <c r="C463" s="1" t="n">
        <v>45886</v>
      </c>
      <c r="D463" t="inlineStr">
        <is>
          <t>UPPSALA LÄN</t>
        </is>
      </c>
      <c r="E463" t="inlineStr">
        <is>
          <t>ENKÖPING</t>
        </is>
      </c>
      <c r="G463" t="n">
        <v>6</v>
      </c>
      <c r="H463" t="n">
        <v>0</v>
      </c>
      <c r="I463" t="n">
        <v>0</v>
      </c>
      <c r="J463" t="n">
        <v>0</v>
      </c>
      <c r="K463" t="n">
        <v>0</v>
      </c>
      <c r="L463" t="n">
        <v>0</v>
      </c>
      <c r="M463" t="n">
        <v>0</v>
      </c>
      <c r="N463" t="n">
        <v>0</v>
      </c>
      <c r="O463" t="n">
        <v>0</v>
      </c>
      <c r="P463" t="n">
        <v>0</v>
      </c>
      <c r="Q463" t="n">
        <v>0</v>
      </c>
      <c r="R463" s="2" t="inlineStr"/>
    </row>
    <row r="464" ht="15" customHeight="1">
      <c r="A464" t="inlineStr">
        <is>
          <t>A 24962-2023</t>
        </is>
      </c>
      <c r="B464" s="1" t="n">
        <v>45085.60123842592</v>
      </c>
      <c r="C464" s="1" t="n">
        <v>45886</v>
      </c>
      <c r="D464" t="inlineStr">
        <is>
          <t>UPPSALA LÄN</t>
        </is>
      </c>
      <c r="E464" t="inlineStr">
        <is>
          <t>ENKÖPING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44131-2023</t>
        </is>
      </c>
      <c r="B465" s="1" t="n">
        <v>45188</v>
      </c>
      <c r="C465" s="1" t="n">
        <v>45886</v>
      </c>
      <c r="D465" t="inlineStr">
        <is>
          <t>UPPSALA LÄN</t>
        </is>
      </c>
      <c r="E465" t="inlineStr">
        <is>
          <t>ENKÖPING</t>
        </is>
      </c>
      <c r="G465" t="n">
        <v>0.3</v>
      </c>
      <c r="H465" t="n">
        <v>0</v>
      </c>
      <c r="I465" t="n">
        <v>0</v>
      </c>
      <c r="J465" t="n">
        <v>0</v>
      </c>
      <c r="K465" t="n">
        <v>0</v>
      </c>
      <c r="L465" t="n">
        <v>0</v>
      </c>
      <c r="M465" t="n">
        <v>0</v>
      </c>
      <c r="N465" t="n">
        <v>0</v>
      </c>
      <c r="O465" t="n">
        <v>0</v>
      </c>
      <c r="P465" t="n">
        <v>0</v>
      </c>
      <c r="Q465" t="n">
        <v>0</v>
      </c>
      <c r="R465" s="2" t="inlineStr"/>
    </row>
    <row r="466" ht="15" customHeight="1">
      <c r="A466" t="inlineStr">
        <is>
          <t>A 29482-2022</t>
        </is>
      </c>
      <c r="B466" s="1" t="n">
        <v>44753.57703703704</v>
      </c>
      <c r="C466" s="1" t="n">
        <v>45886</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29483-2022</t>
        </is>
      </c>
      <c r="B467" s="1" t="n">
        <v>44753.57829861111</v>
      </c>
      <c r="C467" s="1" t="n">
        <v>45886</v>
      </c>
      <c r="D467" t="inlineStr">
        <is>
          <t>UPPSALA LÄN</t>
        </is>
      </c>
      <c r="E467" t="inlineStr">
        <is>
          <t>ENKÖPING</t>
        </is>
      </c>
      <c r="G467" t="n">
        <v>3.6</v>
      </c>
      <c r="H467" t="n">
        <v>0</v>
      </c>
      <c r="I467" t="n">
        <v>0</v>
      </c>
      <c r="J467" t="n">
        <v>0</v>
      </c>
      <c r="K467" t="n">
        <v>0</v>
      </c>
      <c r="L467" t="n">
        <v>0</v>
      </c>
      <c r="M467" t="n">
        <v>0</v>
      </c>
      <c r="N467" t="n">
        <v>0</v>
      </c>
      <c r="O467" t="n">
        <v>0</v>
      </c>
      <c r="P467" t="n">
        <v>0</v>
      </c>
      <c r="Q467" t="n">
        <v>0</v>
      </c>
      <c r="R467" s="2" t="inlineStr"/>
    </row>
    <row r="468" ht="15" customHeight="1">
      <c r="A468" t="inlineStr">
        <is>
          <t>A 37170-2021</t>
        </is>
      </c>
      <c r="B468" s="1" t="n">
        <v>44395</v>
      </c>
      <c r="C468" s="1" t="n">
        <v>45886</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45886</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9041-2023</t>
        </is>
      </c>
      <c r="B470" s="1" t="n">
        <v>44979</v>
      </c>
      <c r="C470" s="1" t="n">
        <v>45886</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27786-2023</t>
        </is>
      </c>
      <c r="B471" s="1" t="n">
        <v>45098</v>
      </c>
      <c r="C471" s="1" t="n">
        <v>45886</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53343-2020</t>
        </is>
      </c>
      <c r="B472" s="1" t="n">
        <v>44123.53505787037</v>
      </c>
      <c r="C472" s="1" t="n">
        <v>45886</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15942-2022</t>
        </is>
      </c>
      <c r="B473" s="1" t="n">
        <v>44664</v>
      </c>
      <c r="C473" s="1" t="n">
        <v>45886</v>
      </c>
      <c r="D473" t="inlineStr">
        <is>
          <t>UPPSALA LÄN</t>
        </is>
      </c>
      <c r="E473" t="inlineStr">
        <is>
          <t>ENKÖPING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44879.57217592592</v>
      </c>
      <c r="C474" s="1" t="n">
        <v>45886</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7870-2024</t>
        </is>
      </c>
      <c r="B475" s="1" t="n">
        <v>45350.33349537037</v>
      </c>
      <c r="C475" s="1" t="n">
        <v>45886</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28243-2023</t>
        </is>
      </c>
      <c r="B476" s="1" t="n">
        <v>45099.58885416666</v>
      </c>
      <c r="C476" s="1" t="n">
        <v>45886</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50006-2023</t>
        </is>
      </c>
      <c r="B477" s="1" t="n">
        <v>45215</v>
      </c>
      <c r="C477" s="1" t="n">
        <v>45886</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10829-2024</t>
        </is>
      </c>
      <c r="B478" s="1" t="n">
        <v>45369</v>
      </c>
      <c r="C478" s="1" t="n">
        <v>45886</v>
      </c>
      <c r="D478" t="inlineStr">
        <is>
          <t>UPPSALA LÄN</t>
        </is>
      </c>
      <c r="E478" t="inlineStr">
        <is>
          <t>ENKÖPING</t>
        </is>
      </c>
      <c r="G478" t="n">
        <v>2.1</v>
      </c>
      <c r="H478" t="n">
        <v>0</v>
      </c>
      <c r="I478" t="n">
        <v>0</v>
      </c>
      <c r="J478" t="n">
        <v>0</v>
      </c>
      <c r="K478" t="n">
        <v>0</v>
      </c>
      <c r="L478" t="n">
        <v>0</v>
      </c>
      <c r="M478" t="n">
        <v>0</v>
      </c>
      <c r="N478" t="n">
        <v>0</v>
      </c>
      <c r="O478" t="n">
        <v>0</v>
      </c>
      <c r="P478" t="n">
        <v>0</v>
      </c>
      <c r="Q478" t="n">
        <v>0</v>
      </c>
      <c r="R478" s="2" t="inlineStr"/>
    </row>
    <row r="479" ht="15" customHeight="1">
      <c r="A479" t="inlineStr">
        <is>
          <t>A 2161-2023</t>
        </is>
      </c>
      <c r="B479" s="1" t="n">
        <v>44941</v>
      </c>
      <c r="C479" s="1" t="n">
        <v>45886</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2165-2023</t>
        </is>
      </c>
      <c r="B480" s="1" t="n">
        <v>44941</v>
      </c>
      <c r="C480" s="1" t="n">
        <v>45886</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49601-2024</t>
        </is>
      </c>
      <c r="B481" s="1" t="n">
        <v>45596.56288194445</v>
      </c>
      <c r="C481" s="1" t="n">
        <v>45886</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8306-2021</t>
        </is>
      </c>
      <c r="B482" s="1" t="n">
        <v>44244</v>
      </c>
      <c r="C482" s="1" t="n">
        <v>45886</v>
      </c>
      <c r="D482" t="inlineStr">
        <is>
          <t>UPPSALA LÄN</t>
        </is>
      </c>
      <c r="E482" t="inlineStr">
        <is>
          <t>ENKÖPING</t>
        </is>
      </c>
      <c r="G482" t="n">
        <v>14.9</v>
      </c>
      <c r="H482" t="n">
        <v>0</v>
      </c>
      <c r="I482" t="n">
        <v>0</v>
      </c>
      <c r="J482" t="n">
        <v>0</v>
      </c>
      <c r="K482" t="n">
        <v>0</v>
      </c>
      <c r="L482" t="n">
        <v>0</v>
      </c>
      <c r="M482" t="n">
        <v>0</v>
      </c>
      <c r="N482" t="n">
        <v>0</v>
      </c>
      <c r="O482" t="n">
        <v>0</v>
      </c>
      <c r="P482" t="n">
        <v>0</v>
      </c>
      <c r="Q482" t="n">
        <v>0</v>
      </c>
      <c r="R482" s="2" t="inlineStr"/>
    </row>
    <row r="483" ht="15" customHeight="1">
      <c r="A483" t="inlineStr">
        <is>
          <t>A 53607-2023</t>
        </is>
      </c>
      <c r="B483" s="1" t="n">
        <v>45230</v>
      </c>
      <c r="C483" s="1" t="n">
        <v>45886</v>
      </c>
      <c r="D483" t="inlineStr">
        <is>
          <t>UPPSALA LÄN</t>
        </is>
      </c>
      <c r="E483" t="inlineStr">
        <is>
          <t>ENKÖPING</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59497-2022</t>
        </is>
      </c>
      <c r="B484" s="1" t="n">
        <v>44907.48258101852</v>
      </c>
      <c r="C484" s="1" t="n">
        <v>45886</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9660-2025</t>
        </is>
      </c>
      <c r="B485" s="1" t="n">
        <v>45716</v>
      </c>
      <c r="C485" s="1" t="n">
        <v>45886</v>
      </c>
      <c r="D485" t="inlineStr">
        <is>
          <t>UPPSALA LÄN</t>
        </is>
      </c>
      <c r="E485" t="inlineStr">
        <is>
          <t>ENKÖPING</t>
        </is>
      </c>
      <c r="G485" t="n">
        <v>2.5</v>
      </c>
      <c r="H485" t="n">
        <v>0</v>
      </c>
      <c r="I485" t="n">
        <v>0</v>
      </c>
      <c r="J485" t="n">
        <v>0</v>
      </c>
      <c r="K485" t="n">
        <v>0</v>
      </c>
      <c r="L485" t="n">
        <v>0</v>
      </c>
      <c r="M485" t="n">
        <v>0</v>
      </c>
      <c r="N485" t="n">
        <v>0</v>
      </c>
      <c r="O485" t="n">
        <v>0</v>
      </c>
      <c r="P485" t="n">
        <v>0</v>
      </c>
      <c r="Q485" t="n">
        <v>0</v>
      </c>
      <c r="R485" s="2" t="inlineStr"/>
    </row>
    <row r="486" ht="15" customHeight="1">
      <c r="A486" t="inlineStr">
        <is>
          <t>A 49622-2024</t>
        </is>
      </c>
      <c r="B486" s="1" t="n">
        <v>45596.58372685185</v>
      </c>
      <c r="C486" s="1" t="n">
        <v>45886</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49613-2024</t>
        </is>
      </c>
      <c r="B487" s="1" t="n">
        <v>45596.57475694444</v>
      </c>
      <c r="C487" s="1" t="n">
        <v>45886</v>
      </c>
      <c r="D487" t="inlineStr">
        <is>
          <t>UPPSALA LÄN</t>
        </is>
      </c>
      <c r="E487" t="inlineStr">
        <is>
          <t>ENKÖPING</t>
        </is>
      </c>
      <c r="G487" t="n">
        <v>2.5</v>
      </c>
      <c r="H487" t="n">
        <v>0</v>
      </c>
      <c r="I487" t="n">
        <v>0</v>
      </c>
      <c r="J487" t="n">
        <v>0</v>
      </c>
      <c r="K487" t="n">
        <v>0</v>
      </c>
      <c r="L487" t="n">
        <v>0</v>
      </c>
      <c r="M487" t="n">
        <v>0</v>
      </c>
      <c r="N487" t="n">
        <v>0</v>
      </c>
      <c r="O487" t="n">
        <v>0</v>
      </c>
      <c r="P487" t="n">
        <v>0</v>
      </c>
      <c r="Q487" t="n">
        <v>0</v>
      </c>
      <c r="R487" s="2" t="inlineStr"/>
    </row>
    <row r="488" ht="15" customHeight="1">
      <c r="A488" t="inlineStr">
        <is>
          <t>A 49614-2024</t>
        </is>
      </c>
      <c r="B488" s="1" t="n">
        <v>45596.57716435185</v>
      </c>
      <c r="C488" s="1" t="n">
        <v>45886</v>
      </c>
      <c r="D488" t="inlineStr">
        <is>
          <t>UPPSALA LÄN</t>
        </is>
      </c>
      <c r="E488" t="inlineStr">
        <is>
          <t>ENKÖPING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49632-2024</t>
        </is>
      </c>
      <c r="B489" s="1" t="n">
        <v>45596</v>
      </c>
      <c r="C489" s="1" t="n">
        <v>45886</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51027-2024</t>
        </is>
      </c>
      <c r="B490" s="1" t="n">
        <v>45603</v>
      </c>
      <c r="C490" s="1" t="n">
        <v>45886</v>
      </c>
      <c r="D490" t="inlineStr">
        <is>
          <t>UPPSALA LÄN</t>
        </is>
      </c>
      <c r="E490" t="inlineStr">
        <is>
          <t>ENKÖPING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17979-2025</t>
        </is>
      </c>
      <c r="B491" s="1" t="n">
        <v>45761</v>
      </c>
      <c r="C491" s="1" t="n">
        <v>45886</v>
      </c>
      <c r="D491" t="inlineStr">
        <is>
          <t>UPPSALA LÄN</t>
        </is>
      </c>
      <c r="E491" t="inlineStr">
        <is>
          <t>ENKÖPING</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51030-2024</t>
        </is>
      </c>
      <c r="B492" s="1" t="n">
        <v>45603</v>
      </c>
      <c r="C492" s="1" t="n">
        <v>45886</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2850-2025</t>
        </is>
      </c>
      <c r="B493" s="1" t="n">
        <v>45677</v>
      </c>
      <c r="C493" s="1" t="n">
        <v>45886</v>
      </c>
      <c r="D493" t="inlineStr">
        <is>
          <t>UPPSALA LÄN</t>
        </is>
      </c>
      <c r="E493" t="inlineStr">
        <is>
          <t>ENKÖPING</t>
        </is>
      </c>
      <c r="G493" t="n">
        <v>0.3</v>
      </c>
      <c r="H493" t="n">
        <v>0</v>
      </c>
      <c r="I493" t="n">
        <v>0</v>
      </c>
      <c r="J493" t="n">
        <v>0</v>
      </c>
      <c r="K493" t="n">
        <v>0</v>
      </c>
      <c r="L493" t="n">
        <v>0</v>
      </c>
      <c r="M493" t="n">
        <v>0</v>
      </c>
      <c r="N493" t="n">
        <v>0</v>
      </c>
      <c r="O493" t="n">
        <v>0</v>
      </c>
      <c r="P493" t="n">
        <v>0</v>
      </c>
      <c r="Q493" t="n">
        <v>0</v>
      </c>
      <c r="R493" s="2" t="inlineStr"/>
    </row>
    <row r="494" ht="15" customHeight="1">
      <c r="A494" t="inlineStr">
        <is>
          <t>A 13853-2023</t>
        </is>
      </c>
      <c r="B494" s="1" t="n">
        <v>45007</v>
      </c>
      <c r="C494" s="1" t="n">
        <v>45886</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c r="A495" t="inlineStr">
        <is>
          <t>A 15405-2025</t>
        </is>
      </c>
      <c r="B495" s="1" t="n">
        <v>45747.44670138889</v>
      </c>
      <c r="C495" s="1" t="n">
        <v>45886</v>
      </c>
      <c r="D495" t="inlineStr">
        <is>
          <t>UPPSALA LÄN</t>
        </is>
      </c>
      <c r="E495" t="inlineStr">
        <is>
          <t>ENKÖPING</t>
        </is>
      </c>
      <c r="G495" t="n">
        <v>1.3</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2025-08-17T08:28:34Z</dcterms:created>
  <dcterms:modified xmlns:dcterms="http://purl.org/dc/terms/" xmlns:xsi="http://www.w3.org/2001/XMLSchema-instance" xsi:type="dcterms:W3CDTF">2025-08-17T08:28:35Z</dcterms:modified>
</cp:coreProperties>
</file>