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45931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45931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45931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45931</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45931</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45931</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45931</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45931</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45931</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21970-2025</t>
        </is>
      </c>
      <c r="B15" s="1" t="n">
        <v>45784.63335648148</v>
      </c>
      <c r="C15" s="1" t="n">
        <v>45931</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52092-2022</t>
        </is>
      </c>
      <c r="B16" s="1" t="n">
        <v>44873</v>
      </c>
      <c r="C16" s="1" t="n">
        <v>45931</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27073-2025</t>
        </is>
      </c>
      <c r="B17" s="1" t="n">
        <v>45811.64190972222</v>
      </c>
      <c r="C17" s="1" t="n">
        <v>45931</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45931</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45931</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45931</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45931</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45931</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46749-2024</t>
        </is>
      </c>
      <c r="B23" s="1" t="n">
        <v>45583.48347222222</v>
      </c>
      <c r="C23" s="1" t="n">
        <v>45931</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33339-2024</t>
        </is>
      </c>
      <c r="B24" s="1" t="n">
        <v>45519</v>
      </c>
      <c r="C24" s="1" t="n">
        <v>45931</v>
      </c>
      <c r="D24" t="inlineStr">
        <is>
          <t>UPPSALA LÄN</t>
        </is>
      </c>
      <c r="E24" t="inlineStr">
        <is>
          <t>ENKÖPING</t>
        </is>
      </c>
      <c r="G24" t="n">
        <v>2.3</v>
      </c>
      <c r="H24" t="n">
        <v>0</v>
      </c>
      <c r="I24" t="n">
        <v>0</v>
      </c>
      <c r="J24" t="n">
        <v>1</v>
      </c>
      <c r="K24" t="n">
        <v>0</v>
      </c>
      <c r="L24" t="n">
        <v>0</v>
      </c>
      <c r="M24" t="n">
        <v>0</v>
      </c>
      <c r="N24" t="n">
        <v>0</v>
      </c>
      <c r="O24" t="n">
        <v>1</v>
      </c>
      <c r="P24" t="n">
        <v>0</v>
      </c>
      <c r="Q24" t="n">
        <v>1</v>
      </c>
      <c r="R24" s="2" t="inlineStr">
        <is>
          <t>Ullticka</t>
        </is>
      </c>
      <c r="S24">
        <f>HYPERLINK("https://klasma.github.io/Logging_0381/artfynd/A 33339-2024 artfynd.xlsx", "A 33339-2024")</f>
        <v/>
      </c>
      <c r="T24">
        <f>HYPERLINK("https://klasma.github.io/Logging_0381/kartor/A 33339-2024 karta.png", "A 33339-2024")</f>
        <v/>
      </c>
      <c r="V24">
        <f>HYPERLINK("https://klasma.github.io/Logging_0381/klagomål/A 33339-2024 FSC-klagomål.docx", "A 33339-2024")</f>
        <v/>
      </c>
      <c r="W24">
        <f>HYPERLINK("https://klasma.github.io/Logging_0381/klagomålsmail/A 33339-2024 FSC-klagomål mail.docx", "A 33339-2024")</f>
        <v/>
      </c>
      <c r="X24">
        <f>HYPERLINK("https://klasma.github.io/Logging_0381/tillsyn/A 33339-2024 tillsynsbegäran.docx", "A 33339-2024")</f>
        <v/>
      </c>
      <c r="Y24">
        <f>HYPERLINK("https://klasma.github.io/Logging_0381/tillsynsmail/A 33339-2024 tillsynsbegäran mail.docx", "A 33339-2024")</f>
        <v/>
      </c>
    </row>
    <row r="25" ht="15" customHeight="1">
      <c r="A25" t="inlineStr">
        <is>
          <t>A 45116-2023</t>
        </is>
      </c>
      <c r="B25" s="1" t="n">
        <v>45191</v>
      </c>
      <c r="C25" s="1" t="n">
        <v>45931</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26347-2025</t>
        </is>
      </c>
      <c r="B26" s="1" t="n">
        <v>45805.7403125</v>
      </c>
      <c r="C26" s="1" t="n">
        <v>45931</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45931</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23961-2022</t>
        </is>
      </c>
      <c r="B28" s="1" t="n">
        <v>44722</v>
      </c>
      <c r="C28" s="1" t="n">
        <v>45931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28900-2024</t>
        </is>
      </c>
      <c r="B29" s="1" t="n">
        <v>45480</v>
      </c>
      <c r="C29" s="1" t="n">
        <v>45931</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17942-2024</t>
        </is>
      </c>
      <c r="B30" s="1" t="n">
        <v>45419</v>
      </c>
      <c r="C30" s="1" t="n">
        <v>45931</v>
      </c>
      <c r="D30" t="inlineStr">
        <is>
          <t>UPPSALA LÄN</t>
        </is>
      </c>
      <c r="E30" t="inlineStr">
        <is>
          <t>ENKÖPING</t>
        </is>
      </c>
      <c r="G30" t="n">
        <v>0.8</v>
      </c>
      <c r="H30" t="n">
        <v>0</v>
      </c>
      <c r="I30" t="n">
        <v>0</v>
      </c>
      <c r="J30" t="n">
        <v>1</v>
      </c>
      <c r="K30" t="n">
        <v>0</v>
      </c>
      <c r="L30" t="n">
        <v>0</v>
      </c>
      <c r="M30" t="n">
        <v>0</v>
      </c>
      <c r="N30" t="n">
        <v>0</v>
      </c>
      <c r="O30" t="n">
        <v>1</v>
      </c>
      <c r="P30" t="n">
        <v>0</v>
      </c>
      <c r="Q30" t="n">
        <v>1</v>
      </c>
      <c r="R30" s="2" t="inlineStr">
        <is>
          <t>Ängsskära</t>
        </is>
      </c>
      <c r="S30">
        <f>HYPERLINK("https://klasma.github.io/Logging_0381/artfynd/A 17942-2024 artfynd.xlsx", "A 17942-2024")</f>
        <v/>
      </c>
      <c r="T30">
        <f>HYPERLINK("https://klasma.github.io/Logging_0381/kartor/A 17942-2024 karta.png", "A 17942-2024")</f>
        <v/>
      </c>
      <c r="V30">
        <f>HYPERLINK("https://klasma.github.io/Logging_0381/klagomål/A 17942-2024 FSC-klagomål.docx", "A 17942-2024")</f>
        <v/>
      </c>
      <c r="W30">
        <f>HYPERLINK("https://klasma.github.io/Logging_0381/klagomålsmail/A 17942-2024 FSC-klagomål mail.docx", "A 17942-2024")</f>
        <v/>
      </c>
      <c r="X30">
        <f>HYPERLINK("https://klasma.github.io/Logging_0381/tillsyn/A 17942-2024 tillsynsbegäran.docx", "A 17942-2024")</f>
        <v/>
      </c>
      <c r="Y30">
        <f>HYPERLINK("https://klasma.github.io/Logging_0381/tillsynsmail/A 17942-2024 tillsynsbegäran mail.docx", "A 17942-2024")</f>
        <v/>
      </c>
    </row>
    <row r="31" ht="15" customHeight="1">
      <c r="A31" t="inlineStr">
        <is>
          <t>A 29510-2025</t>
        </is>
      </c>
      <c r="B31" s="1" t="n">
        <v>45825</v>
      </c>
      <c r="C31" s="1" t="n">
        <v>45931</v>
      </c>
      <c r="D31" t="inlineStr">
        <is>
          <t>UPPSALA LÄN</t>
        </is>
      </c>
      <c r="E31" t="inlineStr">
        <is>
          <t>ENKÖPING</t>
        </is>
      </c>
      <c r="G31" t="n">
        <v>2.4</v>
      </c>
      <c r="H31" t="n">
        <v>0</v>
      </c>
      <c r="I31" t="n">
        <v>0</v>
      </c>
      <c r="J31" t="n">
        <v>0</v>
      </c>
      <c r="K31" t="n">
        <v>1</v>
      </c>
      <c r="L31" t="n">
        <v>0</v>
      </c>
      <c r="M31" t="n">
        <v>0</v>
      </c>
      <c r="N31" t="n">
        <v>0</v>
      </c>
      <c r="O31" t="n">
        <v>1</v>
      </c>
      <c r="P31" t="n">
        <v>1</v>
      </c>
      <c r="Q31" t="n">
        <v>1</v>
      </c>
      <c r="R31" s="2" t="inlineStr">
        <is>
          <t>Toppjungfrulin</t>
        </is>
      </c>
      <c r="S31">
        <f>HYPERLINK("https://klasma.github.io/Logging_0381/artfynd/A 29510-2025 artfynd.xlsx", "A 29510-2025")</f>
        <v/>
      </c>
      <c r="T31">
        <f>HYPERLINK("https://klasma.github.io/Logging_0381/kartor/A 29510-2025 karta.png", "A 29510-2025")</f>
        <v/>
      </c>
      <c r="V31">
        <f>HYPERLINK("https://klasma.github.io/Logging_0381/klagomål/A 29510-2025 FSC-klagomål.docx", "A 29510-2025")</f>
        <v/>
      </c>
      <c r="W31">
        <f>HYPERLINK("https://klasma.github.io/Logging_0381/klagomålsmail/A 29510-2025 FSC-klagomål mail.docx", "A 29510-2025")</f>
        <v/>
      </c>
      <c r="X31">
        <f>HYPERLINK("https://klasma.github.io/Logging_0381/tillsyn/A 29510-2025 tillsynsbegäran.docx", "A 29510-2025")</f>
        <v/>
      </c>
      <c r="Y31">
        <f>HYPERLINK("https://klasma.github.io/Logging_0381/tillsynsmail/A 29510-2025 tillsynsbegäran mail.docx", "A 29510-2025")</f>
        <v/>
      </c>
    </row>
    <row r="32" ht="15" customHeight="1">
      <c r="A32" t="inlineStr">
        <is>
          <t>A 1524-2023</t>
        </is>
      </c>
      <c r="B32" s="1" t="n">
        <v>44935</v>
      </c>
      <c r="C32" s="1" t="n">
        <v>45931</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16683-2021</t>
        </is>
      </c>
      <c r="B33" s="1" t="n">
        <v>44294.58495370371</v>
      </c>
      <c r="C33" s="1" t="n">
        <v>45931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45931</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45931</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45931</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45931</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45931</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45931</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45931</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45931</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45931</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45931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45931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45931</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45931</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45931</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45931</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45931</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45931</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45931</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45931</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45931</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45931</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12732-2021</t>
        </is>
      </c>
      <c r="B76" s="1" t="n">
        <v>44270.62864583333</v>
      </c>
      <c r="C76" s="1" t="n">
        <v>45931</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45931</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45931</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45931</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45931</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45931</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45931</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45931</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45931</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45931</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45931</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45931</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45931</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45931</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45931</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68107-2021</t>
        </is>
      </c>
      <c r="B91" s="1" t="n">
        <v>44526</v>
      </c>
      <c r="C91" s="1" t="n">
        <v>45931</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69791-2021</t>
        </is>
      </c>
      <c r="B92" s="1" t="n">
        <v>44532</v>
      </c>
      <c r="C92" s="1" t="n">
        <v>45931</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45931</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24883-2022</t>
        </is>
      </c>
      <c r="B94" s="1" t="n">
        <v>44728</v>
      </c>
      <c r="C94" s="1" t="n">
        <v>45931</v>
      </c>
      <c r="D94" t="inlineStr">
        <is>
          <t>UPPSALA LÄN</t>
        </is>
      </c>
      <c r="E94" t="inlineStr">
        <is>
          <t>ENKÖPING</t>
        </is>
      </c>
      <c r="G94" t="n">
        <v>2.5</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45931</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45931</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45931</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45931</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45931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45931</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45931</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45931</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60874-2021</t>
        </is>
      </c>
      <c r="B103" s="1" t="n">
        <v>44497</v>
      </c>
      <c r="C103" s="1" t="n">
        <v>45931</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45931</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45931</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45931</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45931</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45931</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45931</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45931</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58798-2020</t>
        </is>
      </c>
      <c r="B111" s="1" t="n">
        <v>44146</v>
      </c>
      <c r="C111" s="1" t="n">
        <v>45931</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57802-2020</t>
        </is>
      </c>
      <c r="B112" s="1" t="n">
        <v>44141</v>
      </c>
      <c r="C112" s="1" t="n">
        <v>45931</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42021-2021</t>
        </is>
      </c>
      <c r="B113" s="1" t="n">
        <v>44426</v>
      </c>
      <c r="C113" s="1" t="n">
        <v>45931</v>
      </c>
      <c r="D113" t="inlineStr">
        <is>
          <t>UPPSALA LÄN</t>
        </is>
      </c>
      <c r="E113" t="inlineStr">
        <is>
          <t>ENKÖPING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17467-2022</t>
        </is>
      </c>
      <c r="B114" s="1" t="n">
        <v>44679</v>
      </c>
      <c r="C114" s="1" t="n">
        <v>45931</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29983-2021</t>
        </is>
      </c>
      <c r="B115" s="1" t="n">
        <v>44363</v>
      </c>
      <c r="C115" s="1" t="n">
        <v>45931</v>
      </c>
      <c r="D115" t="inlineStr">
        <is>
          <t>UPPSALA LÄN</t>
        </is>
      </c>
      <c r="E115" t="inlineStr">
        <is>
          <t>ENKÖPING</t>
        </is>
      </c>
      <c r="F115" t="inlineStr">
        <is>
          <t>Kommuner</t>
        </is>
      </c>
      <c r="G115" t="n">
        <v>3.1</v>
      </c>
      <c r="H115" t="n">
        <v>0</v>
      </c>
      <c r="I115" t="n">
        <v>0</v>
      </c>
      <c r="J115" t="n">
        <v>0</v>
      </c>
      <c r="K115" t="n">
        <v>0</v>
      </c>
      <c r="L115" t="n">
        <v>0</v>
      </c>
      <c r="M115" t="n">
        <v>0</v>
      </c>
      <c r="N115" t="n">
        <v>0</v>
      </c>
      <c r="O115" t="n">
        <v>0</v>
      </c>
      <c r="P115" t="n">
        <v>0</v>
      </c>
      <c r="Q115" t="n">
        <v>0</v>
      </c>
      <c r="R115" s="2" t="inlineStr"/>
    </row>
    <row r="116" ht="15" customHeight="1">
      <c r="A116" t="inlineStr">
        <is>
          <t>A 52464-2020</t>
        </is>
      </c>
      <c r="B116" s="1" t="n">
        <v>44118</v>
      </c>
      <c r="C116" s="1" t="n">
        <v>45931</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46186-2023</t>
        </is>
      </c>
      <c r="B117" s="1" t="n">
        <v>45196</v>
      </c>
      <c r="C117" s="1" t="n">
        <v>45931</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15162-2025</t>
        </is>
      </c>
      <c r="B118" s="1" t="n">
        <v>45744</v>
      </c>
      <c r="C118" s="1" t="n">
        <v>45931</v>
      </c>
      <c r="D118" t="inlineStr">
        <is>
          <t>UPPSALA LÄN</t>
        </is>
      </c>
      <c r="E118" t="inlineStr">
        <is>
          <t>ENKÖPING</t>
        </is>
      </c>
      <c r="G118" t="n">
        <v>4.2</v>
      </c>
      <c r="H118" t="n">
        <v>0</v>
      </c>
      <c r="I118" t="n">
        <v>0</v>
      </c>
      <c r="J118" t="n">
        <v>0</v>
      </c>
      <c r="K118" t="n">
        <v>0</v>
      </c>
      <c r="L118" t="n">
        <v>0</v>
      </c>
      <c r="M118" t="n">
        <v>0</v>
      </c>
      <c r="N118" t="n">
        <v>0</v>
      </c>
      <c r="O118" t="n">
        <v>0</v>
      </c>
      <c r="P118" t="n">
        <v>0</v>
      </c>
      <c r="Q118" t="n">
        <v>0</v>
      </c>
      <c r="R118" s="2" t="inlineStr"/>
    </row>
    <row r="119" ht="15" customHeight="1">
      <c r="A119" t="inlineStr">
        <is>
          <t>A 31013-2022</t>
        </is>
      </c>
      <c r="B119" s="1" t="n">
        <v>44768</v>
      </c>
      <c r="C119" s="1" t="n">
        <v>45931</v>
      </c>
      <c r="D119" t="inlineStr">
        <is>
          <t>UPPSALA LÄN</t>
        </is>
      </c>
      <c r="E119" t="inlineStr">
        <is>
          <t>ENKÖPING</t>
        </is>
      </c>
      <c r="F119" t="inlineStr">
        <is>
          <t>Allmännings- och besparingsskogar</t>
        </is>
      </c>
      <c r="G119" t="n">
        <v>0.5</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45931</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18299-2025</t>
        </is>
      </c>
      <c r="B121" s="1" t="n">
        <v>45762</v>
      </c>
      <c r="C121" s="1" t="n">
        <v>45931</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45931</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45931</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42029-2021</t>
        </is>
      </c>
      <c r="B124" s="1" t="n">
        <v>44426</v>
      </c>
      <c r="C124" s="1" t="n">
        <v>45931</v>
      </c>
      <c r="D124" t="inlineStr">
        <is>
          <t>UPPSALA LÄN</t>
        </is>
      </c>
      <c r="E124" t="inlineStr">
        <is>
          <t>ENKÖPING</t>
        </is>
      </c>
      <c r="G124" t="n">
        <v>5.3</v>
      </c>
      <c r="H124" t="n">
        <v>0</v>
      </c>
      <c r="I124" t="n">
        <v>0</v>
      </c>
      <c r="J124" t="n">
        <v>0</v>
      </c>
      <c r="K124" t="n">
        <v>0</v>
      </c>
      <c r="L124" t="n">
        <v>0</v>
      </c>
      <c r="M124" t="n">
        <v>0</v>
      </c>
      <c r="N124" t="n">
        <v>0</v>
      </c>
      <c r="O124" t="n">
        <v>0</v>
      </c>
      <c r="P124" t="n">
        <v>0</v>
      </c>
      <c r="Q124" t="n">
        <v>0</v>
      </c>
      <c r="R124" s="2" t="inlineStr"/>
    </row>
    <row r="125" ht="15" customHeight="1">
      <c r="A125" t="inlineStr">
        <is>
          <t>A 60533-2021</t>
        </is>
      </c>
      <c r="B125" s="1" t="n">
        <v>44496</v>
      </c>
      <c r="C125" s="1" t="n">
        <v>45931</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43488-2023</t>
        </is>
      </c>
      <c r="B126" s="1" t="n">
        <v>45181</v>
      </c>
      <c r="C126" s="1" t="n">
        <v>45931</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15757-2023</t>
        </is>
      </c>
      <c r="B127" s="1" t="n">
        <v>45021</v>
      </c>
      <c r="C127" s="1" t="n">
        <v>45931</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12755-2025</t>
        </is>
      </c>
      <c r="B128" s="1" t="n">
        <v>45733.56541666666</v>
      </c>
      <c r="C128" s="1" t="n">
        <v>45931</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43230-2023</t>
        </is>
      </c>
      <c r="B129" s="1" t="n">
        <v>45183</v>
      </c>
      <c r="C129" s="1" t="n">
        <v>45931</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6144-2024</t>
        </is>
      </c>
      <c r="B130" s="1" t="n">
        <v>45337.4684837963</v>
      </c>
      <c r="C130" s="1" t="n">
        <v>45931</v>
      </c>
      <c r="D130" t="inlineStr">
        <is>
          <t>UPPSALA LÄN</t>
        </is>
      </c>
      <c r="E130" t="inlineStr">
        <is>
          <t>ENKÖPING</t>
        </is>
      </c>
      <c r="G130" t="n">
        <v>13.8</v>
      </c>
      <c r="H130" t="n">
        <v>0</v>
      </c>
      <c r="I130" t="n">
        <v>0</v>
      </c>
      <c r="J130" t="n">
        <v>0</v>
      </c>
      <c r="K130" t="n">
        <v>0</v>
      </c>
      <c r="L130" t="n">
        <v>0</v>
      </c>
      <c r="M130" t="n">
        <v>0</v>
      </c>
      <c r="N130" t="n">
        <v>0</v>
      </c>
      <c r="O130" t="n">
        <v>0</v>
      </c>
      <c r="P130" t="n">
        <v>0</v>
      </c>
      <c r="Q130" t="n">
        <v>0</v>
      </c>
      <c r="R130" s="2" t="inlineStr"/>
    </row>
    <row r="131" ht="15" customHeight="1">
      <c r="A131" t="inlineStr">
        <is>
          <t>A 67984-2021</t>
        </is>
      </c>
      <c r="B131" s="1" t="n">
        <v>44525.70237268518</v>
      </c>
      <c r="C131" s="1" t="n">
        <v>45931</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56886-2023</t>
        </is>
      </c>
      <c r="B132" s="1" t="n">
        <v>45239</v>
      </c>
      <c r="C132" s="1" t="n">
        <v>45931</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4044-2024</t>
        </is>
      </c>
      <c r="B133" s="1" t="n">
        <v>45323.45954861111</v>
      </c>
      <c r="C133" s="1" t="n">
        <v>45931</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51011-2024</t>
        </is>
      </c>
      <c r="B134" s="1" t="n">
        <v>45603.39427083333</v>
      </c>
      <c r="C134" s="1" t="n">
        <v>45931</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5211-2024</t>
        </is>
      </c>
      <c r="B135" s="1" t="n">
        <v>45330</v>
      </c>
      <c r="C135" s="1" t="n">
        <v>45931</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18592-2021</t>
        </is>
      </c>
      <c r="B136" s="1" t="n">
        <v>44306</v>
      </c>
      <c r="C136" s="1" t="n">
        <v>45931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46103-2023</t>
        </is>
      </c>
      <c r="B137" s="1" t="n">
        <v>45190</v>
      </c>
      <c r="C137" s="1" t="n">
        <v>45931</v>
      </c>
      <c r="D137" t="inlineStr">
        <is>
          <t>UPPSALA LÄN</t>
        </is>
      </c>
      <c r="E137" t="inlineStr">
        <is>
          <t>ENKÖPING</t>
        </is>
      </c>
      <c r="G137" t="n">
        <v>4.6</v>
      </c>
      <c r="H137" t="n">
        <v>0</v>
      </c>
      <c r="I137" t="n">
        <v>0</v>
      </c>
      <c r="J137" t="n">
        <v>0</v>
      </c>
      <c r="K137" t="n">
        <v>0</v>
      </c>
      <c r="L137" t="n">
        <v>0</v>
      </c>
      <c r="M137" t="n">
        <v>0</v>
      </c>
      <c r="N137" t="n">
        <v>0</v>
      </c>
      <c r="O137" t="n">
        <v>0</v>
      </c>
      <c r="P137" t="n">
        <v>0</v>
      </c>
      <c r="Q137" t="n">
        <v>0</v>
      </c>
      <c r="R137" s="2" t="inlineStr"/>
    </row>
    <row r="138" ht="15" customHeight="1">
      <c r="A138" t="inlineStr">
        <is>
          <t>A 11918-2025</t>
        </is>
      </c>
      <c r="B138" s="1" t="n">
        <v>45728.49331018519</v>
      </c>
      <c r="C138" s="1" t="n">
        <v>45931</v>
      </c>
      <c r="D138" t="inlineStr">
        <is>
          <t>UPPSALA LÄN</t>
        </is>
      </c>
      <c r="E138" t="inlineStr">
        <is>
          <t>ENKÖPING</t>
        </is>
      </c>
      <c r="G138" t="n">
        <v>1.2</v>
      </c>
      <c r="H138" t="n">
        <v>0</v>
      </c>
      <c r="I138" t="n">
        <v>0</v>
      </c>
      <c r="J138" t="n">
        <v>0</v>
      </c>
      <c r="K138" t="n">
        <v>0</v>
      </c>
      <c r="L138" t="n">
        <v>0</v>
      </c>
      <c r="M138" t="n">
        <v>0</v>
      </c>
      <c r="N138" t="n">
        <v>0</v>
      </c>
      <c r="O138" t="n">
        <v>0</v>
      </c>
      <c r="P138" t="n">
        <v>0</v>
      </c>
      <c r="Q138" t="n">
        <v>0</v>
      </c>
      <c r="R138" s="2" t="inlineStr"/>
    </row>
    <row r="139" ht="15" customHeight="1">
      <c r="A139" t="inlineStr">
        <is>
          <t>A 12102-2024</t>
        </is>
      </c>
      <c r="B139" s="1" t="n">
        <v>45377</v>
      </c>
      <c r="C139" s="1" t="n">
        <v>45931</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52169-2020</t>
        </is>
      </c>
      <c r="B140" s="1" t="n">
        <v>44117</v>
      </c>
      <c r="C140" s="1" t="n">
        <v>45931</v>
      </c>
      <c r="D140" t="inlineStr">
        <is>
          <t>UPPSALA LÄN</t>
        </is>
      </c>
      <c r="E140" t="inlineStr">
        <is>
          <t>ENKÖPING</t>
        </is>
      </c>
      <c r="F140" t="inlineStr">
        <is>
          <t>Allmännings- och besparingsskogar</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58961-2024</t>
        </is>
      </c>
      <c r="B141" s="1" t="n">
        <v>45636.585</v>
      </c>
      <c r="C141" s="1" t="n">
        <v>45931</v>
      </c>
      <c r="D141" t="inlineStr">
        <is>
          <t>UPPSALA LÄN</t>
        </is>
      </c>
      <c r="E141" t="inlineStr">
        <is>
          <t>ENKÖPING</t>
        </is>
      </c>
      <c r="G141" t="n">
        <v>4</v>
      </c>
      <c r="H141" t="n">
        <v>0</v>
      </c>
      <c r="I141" t="n">
        <v>0</v>
      </c>
      <c r="J141" t="n">
        <v>0</v>
      </c>
      <c r="K141" t="n">
        <v>0</v>
      </c>
      <c r="L141" t="n">
        <v>0</v>
      </c>
      <c r="M141" t="n">
        <v>0</v>
      </c>
      <c r="N141" t="n">
        <v>0</v>
      </c>
      <c r="O141" t="n">
        <v>0</v>
      </c>
      <c r="P141" t="n">
        <v>0</v>
      </c>
      <c r="Q141" t="n">
        <v>0</v>
      </c>
      <c r="R141" s="2" t="inlineStr"/>
    </row>
    <row r="142" ht="15" customHeight="1">
      <c r="A142" t="inlineStr">
        <is>
          <t>A 45283-2022</t>
        </is>
      </c>
      <c r="B142" s="1" t="n">
        <v>44844</v>
      </c>
      <c r="C142" s="1" t="n">
        <v>45931</v>
      </c>
      <c r="D142" t="inlineStr">
        <is>
          <t>UPPSALA LÄN</t>
        </is>
      </c>
      <c r="E142" t="inlineStr">
        <is>
          <t>ENKÖPING</t>
        </is>
      </c>
      <c r="G142" t="n">
        <v>5.9</v>
      </c>
      <c r="H142" t="n">
        <v>0</v>
      </c>
      <c r="I142" t="n">
        <v>0</v>
      </c>
      <c r="J142" t="n">
        <v>0</v>
      </c>
      <c r="K142" t="n">
        <v>0</v>
      </c>
      <c r="L142" t="n">
        <v>0</v>
      </c>
      <c r="M142" t="n">
        <v>0</v>
      </c>
      <c r="N142" t="n">
        <v>0</v>
      </c>
      <c r="O142" t="n">
        <v>0</v>
      </c>
      <c r="P142" t="n">
        <v>0</v>
      </c>
      <c r="Q142" t="n">
        <v>0</v>
      </c>
      <c r="R142" s="2" t="inlineStr"/>
    </row>
    <row r="143" ht="15" customHeight="1">
      <c r="A143" t="inlineStr">
        <is>
          <t>A 845-2025</t>
        </is>
      </c>
      <c r="B143" s="1" t="n">
        <v>45665</v>
      </c>
      <c r="C143" s="1" t="n">
        <v>45931</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849-2025</t>
        </is>
      </c>
      <c r="B144" s="1" t="n">
        <v>45665</v>
      </c>
      <c r="C144" s="1" t="n">
        <v>45931</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43896-2022</t>
        </is>
      </c>
      <c r="B145" s="1" t="n">
        <v>44838</v>
      </c>
      <c r="C145" s="1" t="n">
        <v>45931</v>
      </c>
      <c r="D145" t="inlineStr">
        <is>
          <t>UPPSALA LÄN</t>
        </is>
      </c>
      <c r="E145" t="inlineStr">
        <is>
          <t>ENKÖPING</t>
        </is>
      </c>
      <c r="G145" t="n">
        <v>5.3</v>
      </c>
      <c r="H145" t="n">
        <v>0</v>
      </c>
      <c r="I145" t="n">
        <v>0</v>
      </c>
      <c r="J145" t="n">
        <v>0</v>
      </c>
      <c r="K145" t="n">
        <v>0</v>
      </c>
      <c r="L145" t="n">
        <v>0</v>
      </c>
      <c r="M145" t="n">
        <v>0</v>
      </c>
      <c r="N145" t="n">
        <v>0</v>
      </c>
      <c r="O145" t="n">
        <v>0</v>
      </c>
      <c r="P145" t="n">
        <v>0</v>
      </c>
      <c r="Q145" t="n">
        <v>0</v>
      </c>
      <c r="R145" s="2" t="inlineStr"/>
    </row>
    <row r="146" ht="15" customHeight="1">
      <c r="A146" t="inlineStr">
        <is>
          <t>A 20440-2025</t>
        </is>
      </c>
      <c r="B146" s="1" t="n">
        <v>45775</v>
      </c>
      <c r="C146" s="1" t="n">
        <v>45931</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25333-2023</t>
        </is>
      </c>
      <c r="B147" s="1" t="n">
        <v>45083</v>
      </c>
      <c r="C147" s="1" t="n">
        <v>45931</v>
      </c>
      <c r="D147" t="inlineStr">
        <is>
          <t>UPPSALA LÄN</t>
        </is>
      </c>
      <c r="E147" t="inlineStr">
        <is>
          <t>ENKÖPING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41737-2022</t>
        </is>
      </c>
      <c r="B148" s="1" t="n">
        <v>44827.63826388889</v>
      </c>
      <c r="C148" s="1" t="n">
        <v>45931</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50747-2022</t>
        </is>
      </c>
      <c r="B149" s="1" t="n">
        <v>44867.40162037037</v>
      </c>
      <c r="C149" s="1" t="n">
        <v>45931</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57152-2021</t>
        </is>
      </c>
      <c r="B150" s="1" t="n">
        <v>44482</v>
      </c>
      <c r="C150" s="1" t="n">
        <v>45931</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54595-2021</t>
        </is>
      </c>
      <c r="B151" s="1" t="n">
        <v>44473.58824074074</v>
      </c>
      <c r="C151" s="1" t="n">
        <v>45931</v>
      </c>
      <c r="D151" t="inlineStr">
        <is>
          <t>UPPSALA LÄN</t>
        </is>
      </c>
      <c r="E151" t="inlineStr">
        <is>
          <t>ENKÖPING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22094-2023</t>
        </is>
      </c>
      <c r="B152" s="1" t="n">
        <v>45069</v>
      </c>
      <c r="C152" s="1" t="n">
        <v>45931</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30437-2022</t>
        </is>
      </c>
      <c r="B153" s="1" t="n">
        <v>44761</v>
      </c>
      <c r="C153" s="1" t="n">
        <v>45931</v>
      </c>
      <c r="D153" t="inlineStr">
        <is>
          <t>UPPSALA LÄN</t>
        </is>
      </c>
      <c r="E153" t="inlineStr">
        <is>
          <t>ENKÖPING</t>
        </is>
      </c>
      <c r="G153" t="n">
        <v>3.4</v>
      </c>
      <c r="H153" t="n">
        <v>0</v>
      </c>
      <c r="I153" t="n">
        <v>0</v>
      </c>
      <c r="J153" t="n">
        <v>0</v>
      </c>
      <c r="K153" t="n">
        <v>0</v>
      </c>
      <c r="L153" t="n">
        <v>0</v>
      </c>
      <c r="M153" t="n">
        <v>0</v>
      </c>
      <c r="N153" t="n">
        <v>0</v>
      </c>
      <c r="O153" t="n">
        <v>0</v>
      </c>
      <c r="P153" t="n">
        <v>0</v>
      </c>
      <c r="Q153" t="n">
        <v>0</v>
      </c>
      <c r="R153" s="2" t="inlineStr"/>
    </row>
    <row r="154" ht="15" customHeight="1">
      <c r="A154" t="inlineStr">
        <is>
          <t>A 12572-2021</t>
        </is>
      </c>
      <c r="B154" s="1" t="n">
        <v>44270.36438657407</v>
      </c>
      <c r="C154" s="1" t="n">
        <v>45931</v>
      </c>
      <c r="D154" t="inlineStr">
        <is>
          <t>UPPSALA LÄN</t>
        </is>
      </c>
      <c r="E154" t="inlineStr">
        <is>
          <t>ENKÖPING</t>
        </is>
      </c>
      <c r="G154" t="n">
        <v>3.3</v>
      </c>
      <c r="H154" t="n">
        <v>0</v>
      </c>
      <c r="I154" t="n">
        <v>0</v>
      </c>
      <c r="J154" t="n">
        <v>0</v>
      </c>
      <c r="K154" t="n">
        <v>0</v>
      </c>
      <c r="L154" t="n">
        <v>0</v>
      </c>
      <c r="M154" t="n">
        <v>0</v>
      </c>
      <c r="N154" t="n">
        <v>0</v>
      </c>
      <c r="O154" t="n">
        <v>0</v>
      </c>
      <c r="P154" t="n">
        <v>0</v>
      </c>
      <c r="Q154" t="n">
        <v>0</v>
      </c>
      <c r="R154" s="2" t="inlineStr"/>
    </row>
    <row r="155" ht="15" customHeight="1">
      <c r="A155" t="inlineStr">
        <is>
          <t>A 35647-2021</t>
        </is>
      </c>
      <c r="B155" s="1" t="n">
        <v>44386</v>
      </c>
      <c r="C155" s="1" t="n">
        <v>45931</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20112-2024</t>
        </is>
      </c>
      <c r="B156" s="1" t="n">
        <v>45434</v>
      </c>
      <c r="C156" s="1" t="n">
        <v>45931</v>
      </c>
      <c r="D156" t="inlineStr">
        <is>
          <t>UPPSALA LÄN</t>
        </is>
      </c>
      <c r="E156" t="inlineStr">
        <is>
          <t>ENKÖPING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58147-2024</t>
        </is>
      </c>
      <c r="B157" s="1" t="n">
        <v>45632.4334375</v>
      </c>
      <c r="C157" s="1" t="n">
        <v>45931</v>
      </c>
      <c r="D157" t="inlineStr">
        <is>
          <t>UPPSALA LÄN</t>
        </is>
      </c>
      <c r="E157" t="inlineStr">
        <is>
          <t>ENKÖPING</t>
        </is>
      </c>
      <c r="G157" t="n">
        <v>3</v>
      </c>
      <c r="H157" t="n">
        <v>0</v>
      </c>
      <c r="I157" t="n">
        <v>0</v>
      </c>
      <c r="J157" t="n">
        <v>0</v>
      </c>
      <c r="K157" t="n">
        <v>0</v>
      </c>
      <c r="L157" t="n">
        <v>0</v>
      </c>
      <c r="M157" t="n">
        <v>0</v>
      </c>
      <c r="N157" t="n">
        <v>0</v>
      </c>
      <c r="O157" t="n">
        <v>0</v>
      </c>
      <c r="P157" t="n">
        <v>0</v>
      </c>
      <c r="Q157" t="n">
        <v>0</v>
      </c>
      <c r="R157" s="2" t="inlineStr"/>
    </row>
    <row r="158" ht="15" customHeight="1">
      <c r="A158" t="inlineStr">
        <is>
          <t>A 24962-2023</t>
        </is>
      </c>
      <c r="B158" s="1" t="n">
        <v>45085.60123842592</v>
      </c>
      <c r="C158" s="1" t="n">
        <v>45931</v>
      </c>
      <c r="D158" t="inlineStr">
        <is>
          <t>UPPSALA LÄN</t>
        </is>
      </c>
      <c r="E158" t="inlineStr">
        <is>
          <t>ENKÖPING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51932-2022</t>
        </is>
      </c>
      <c r="B159" s="1" t="n">
        <v>44872</v>
      </c>
      <c r="C159" s="1" t="n">
        <v>45931</v>
      </c>
      <c r="D159" t="inlineStr">
        <is>
          <t>UPPSALA LÄN</t>
        </is>
      </c>
      <c r="E159" t="inlineStr">
        <is>
          <t>ENKÖPING</t>
        </is>
      </c>
      <c r="G159" t="n">
        <v>5.5</v>
      </c>
      <c r="H159" t="n">
        <v>0</v>
      </c>
      <c r="I159" t="n">
        <v>0</v>
      </c>
      <c r="J159" t="n">
        <v>0</v>
      </c>
      <c r="K159" t="n">
        <v>0</v>
      </c>
      <c r="L159" t="n">
        <v>0</v>
      </c>
      <c r="M159" t="n">
        <v>0</v>
      </c>
      <c r="N159" t="n">
        <v>0</v>
      </c>
      <c r="O159" t="n">
        <v>0</v>
      </c>
      <c r="P159" t="n">
        <v>0</v>
      </c>
      <c r="Q159" t="n">
        <v>0</v>
      </c>
      <c r="R159" s="2" t="inlineStr"/>
    </row>
    <row r="160" ht="15" customHeight="1">
      <c r="A160" t="inlineStr">
        <is>
          <t>A 44131-2023</t>
        </is>
      </c>
      <c r="B160" s="1" t="n">
        <v>45188</v>
      </c>
      <c r="C160" s="1" t="n">
        <v>45931</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29482-2022</t>
        </is>
      </c>
      <c r="B161" s="1" t="n">
        <v>44753.57703703704</v>
      </c>
      <c r="C161" s="1" t="n">
        <v>45931</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29483-2022</t>
        </is>
      </c>
      <c r="B162" s="1" t="n">
        <v>44753.57829861111</v>
      </c>
      <c r="C162" s="1" t="n">
        <v>45931</v>
      </c>
      <c r="D162" t="inlineStr">
        <is>
          <t>UPPSALA LÄN</t>
        </is>
      </c>
      <c r="E162" t="inlineStr">
        <is>
          <t>ENKÖPING</t>
        </is>
      </c>
      <c r="G162" t="n">
        <v>3.6</v>
      </c>
      <c r="H162" t="n">
        <v>0</v>
      </c>
      <c r="I162" t="n">
        <v>0</v>
      </c>
      <c r="J162" t="n">
        <v>0</v>
      </c>
      <c r="K162" t="n">
        <v>0</v>
      </c>
      <c r="L162" t="n">
        <v>0</v>
      </c>
      <c r="M162" t="n">
        <v>0</v>
      </c>
      <c r="N162" t="n">
        <v>0</v>
      </c>
      <c r="O162" t="n">
        <v>0</v>
      </c>
      <c r="P162" t="n">
        <v>0</v>
      </c>
      <c r="Q162" t="n">
        <v>0</v>
      </c>
      <c r="R162" s="2" t="inlineStr"/>
    </row>
    <row r="163" ht="15" customHeight="1">
      <c r="A163" t="inlineStr">
        <is>
          <t>A 37170-2021</t>
        </is>
      </c>
      <c r="B163" s="1" t="n">
        <v>44395</v>
      </c>
      <c r="C163" s="1" t="n">
        <v>45931</v>
      </c>
      <c r="D163" t="inlineStr">
        <is>
          <t>UPPSALA LÄN</t>
        </is>
      </c>
      <c r="E163" t="inlineStr">
        <is>
          <t>ENKÖPING</t>
        </is>
      </c>
      <c r="G163" t="n">
        <v>1.5</v>
      </c>
      <c r="H163" t="n">
        <v>0</v>
      </c>
      <c r="I163" t="n">
        <v>0</v>
      </c>
      <c r="J163" t="n">
        <v>0</v>
      </c>
      <c r="K163" t="n">
        <v>0</v>
      </c>
      <c r="L163" t="n">
        <v>0</v>
      </c>
      <c r="M163" t="n">
        <v>0</v>
      </c>
      <c r="N163" t="n">
        <v>0</v>
      </c>
      <c r="O163" t="n">
        <v>0</v>
      </c>
      <c r="P163" t="n">
        <v>0</v>
      </c>
      <c r="Q163" t="n">
        <v>0</v>
      </c>
      <c r="R163" s="2" t="inlineStr"/>
    </row>
    <row r="164" ht="15" customHeight="1">
      <c r="A164" t="inlineStr">
        <is>
          <t>A 18302-2025</t>
        </is>
      </c>
      <c r="B164" s="1" t="n">
        <v>45762</v>
      </c>
      <c r="C164" s="1" t="n">
        <v>45931</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12958-2024</t>
        </is>
      </c>
      <c r="B165" s="1" t="n">
        <v>45385</v>
      </c>
      <c r="C165" s="1" t="n">
        <v>45931</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34735-2023</t>
        </is>
      </c>
      <c r="B166" s="1" t="n">
        <v>45139</v>
      </c>
      <c r="C166" s="1" t="n">
        <v>45931</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53343-2020</t>
        </is>
      </c>
      <c r="B167" s="1" t="n">
        <v>44123.53505787037</v>
      </c>
      <c r="C167" s="1" t="n">
        <v>45931</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30514-2021</t>
        </is>
      </c>
      <c r="B168" s="1" t="n">
        <v>44364</v>
      </c>
      <c r="C168" s="1" t="n">
        <v>45931</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53496-2022</t>
        </is>
      </c>
      <c r="B169" s="1" t="n">
        <v>44879.57217592592</v>
      </c>
      <c r="C169" s="1" t="n">
        <v>45931</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7870-2024</t>
        </is>
      </c>
      <c r="B170" s="1" t="n">
        <v>45350.33349537037</v>
      </c>
      <c r="C170" s="1" t="n">
        <v>45931</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28243-2023</t>
        </is>
      </c>
      <c r="B171" s="1" t="n">
        <v>45099.58885416666</v>
      </c>
      <c r="C171" s="1" t="n">
        <v>45931</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10829-2024</t>
        </is>
      </c>
      <c r="B172" s="1" t="n">
        <v>45369</v>
      </c>
      <c r="C172" s="1" t="n">
        <v>45931</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2161-2023</t>
        </is>
      </c>
      <c r="B173" s="1" t="n">
        <v>44941</v>
      </c>
      <c r="C173" s="1" t="n">
        <v>45931</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2165-2023</t>
        </is>
      </c>
      <c r="B174" s="1" t="n">
        <v>44941</v>
      </c>
      <c r="C174" s="1" t="n">
        <v>45931</v>
      </c>
      <c r="D174" t="inlineStr">
        <is>
          <t>UPPSALA LÄN</t>
        </is>
      </c>
      <c r="E174" t="inlineStr">
        <is>
          <t>ENKÖPING</t>
        </is>
      </c>
      <c r="G174" t="n">
        <v>0.6</v>
      </c>
      <c r="H174" t="n">
        <v>0</v>
      </c>
      <c r="I174" t="n">
        <v>0</v>
      </c>
      <c r="J174" t="n">
        <v>0</v>
      </c>
      <c r="K174" t="n">
        <v>0</v>
      </c>
      <c r="L174" t="n">
        <v>0</v>
      </c>
      <c r="M174" t="n">
        <v>0</v>
      </c>
      <c r="N174" t="n">
        <v>0</v>
      </c>
      <c r="O174" t="n">
        <v>0</v>
      </c>
      <c r="P174" t="n">
        <v>0</v>
      </c>
      <c r="Q174" t="n">
        <v>0</v>
      </c>
      <c r="R174" s="2" t="inlineStr"/>
    </row>
    <row r="175" ht="15" customHeight="1">
      <c r="A175" t="inlineStr">
        <is>
          <t>A 8306-2021</t>
        </is>
      </c>
      <c r="B175" s="1" t="n">
        <v>44244</v>
      </c>
      <c r="C175" s="1" t="n">
        <v>45931</v>
      </c>
      <c r="D175" t="inlineStr">
        <is>
          <t>UPPSALA LÄN</t>
        </is>
      </c>
      <c r="E175" t="inlineStr">
        <is>
          <t>ENKÖPING</t>
        </is>
      </c>
      <c r="G175" t="n">
        <v>14.9</v>
      </c>
      <c r="H175" t="n">
        <v>0</v>
      </c>
      <c r="I175" t="n">
        <v>0</v>
      </c>
      <c r="J175" t="n">
        <v>0</v>
      </c>
      <c r="K175" t="n">
        <v>0</v>
      </c>
      <c r="L175" t="n">
        <v>0</v>
      </c>
      <c r="M175" t="n">
        <v>0</v>
      </c>
      <c r="N175" t="n">
        <v>0</v>
      </c>
      <c r="O175" t="n">
        <v>0</v>
      </c>
      <c r="P175" t="n">
        <v>0</v>
      </c>
      <c r="Q175" t="n">
        <v>0</v>
      </c>
      <c r="R175" s="2" t="inlineStr"/>
    </row>
    <row r="176" ht="15" customHeight="1">
      <c r="A176" t="inlineStr">
        <is>
          <t>A 40812-2022</t>
        </is>
      </c>
      <c r="B176" s="1" t="n">
        <v>44824.68791666667</v>
      </c>
      <c r="C176" s="1" t="n">
        <v>45931</v>
      </c>
      <c r="D176" t="inlineStr">
        <is>
          <t>UPPSALA LÄN</t>
        </is>
      </c>
      <c r="E176" t="inlineStr">
        <is>
          <t>ENKÖPING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24291-2024</t>
        </is>
      </c>
      <c r="B177" s="1" t="n">
        <v>45457.4584837963</v>
      </c>
      <c r="C177" s="1" t="n">
        <v>45931</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57209-2024</t>
        </is>
      </c>
      <c r="B178" s="1" t="n">
        <v>45629.49311342592</v>
      </c>
      <c r="C178" s="1" t="n">
        <v>45931</v>
      </c>
      <c r="D178" t="inlineStr">
        <is>
          <t>UPPSALA LÄN</t>
        </is>
      </c>
      <c r="E178" t="inlineStr">
        <is>
          <t>ENKÖPING</t>
        </is>
      </c>
      <c r="G178" t="n">
        <v>3.2</v>
      </c>
      <c r="H178" t="n">
        <v>0</v>
      </c>
      <c r="I178" t="n">
        <v>0</v>
      </c>
      <c r="J178" t="n">
        <v>0</v>
      </c>
      <c r="K178" t="n">
        <v>0</v>
      </c>
      <c r="L178" t="n">
        <v>0</v>
      </c>
      <c r="M178" t="n">
        <v>0</v>
      </c>
      <c r="N178" t="n">
        <v>0</v>
      </c>
      <c r="O178" t="n">
        <v>0</v>
      </c>
      <c r="P178" t="n">
        <v>0</v>
      </c>
      <c r="Q178" t="n">
        <v>0</v>
      </c>
      <c r="R178" s="2" t="inlineStr"/>
    </row>
    <row r="179" ht="15" customHeight="1">
      <c r="A179" t="inlineStr">
        <is>
          <t>A 44232-2022</t>
        </is>
      </c>
      <c r="B179" s="1" t="n">
        <v>44839</v>
      </c>
      <c r="C179" s="1" t="n">
        <v>45931</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13110-2023</t>
        </is>
      </c>
      <c r="B180" s="1" t="n">
        <v>45001</v>
      </c>
      <c r="C180" s="1" t="n">
        <v>45931</v>
      </c>
      <c r="D180" t="inlineStr">
        <is>
          <t>UPPSALA LÄN</t>
        </is>
      </c>
      <c r="E180" t="inlineStr">
        <is>
          <t>ENKÖPING</t>
        </is>
      </c>
      <c r="G180" t="n">
        <v>2.5</v>
      </c>
      <c r="H180" t="n">
        <v>0</v>
      </c>
      <c r="I180" t="n">
        <v>0</v>
      </c>
      <c r="J180" t="n">
        <v>0</v>
      </c>
      <c r="K180" t="n">
        <v>0</v>
      </c>
      <c r="L180" t="n">
        <v>0</v>
      </c>
      <c r="M180" t="n">
        <v>0</v>
      </c>
      <c r="N180" t="n">
        <v>0</v>
      </c>
      <c r="O180" t="n">
        <v>0</v>
      </c>
      <c r="P180" t="n">
        <v>0</v>
      </c>
      <c r="Q180" t="n">
        <v>0</v>
      </c>
      <c r="R180" s="2" t="inlineStr"/>
    </row>
    <row r="181" ht="15" customHeight="1">
      <c r="A181" t="inlineStr">
        <is>
          <t>A 49627-2024</t>
        </is>
      </c>
      <c r="B181" s="1" t="n">
        <v>45596.59140046296</v>
      </c>
      <c r="C181" s="1" t="n">
        <v>45931</v>
      </c>
      <c r="D181" t="inlineStr">
        <is>
          <t>UPPSALA LÄN</t>
        </is>
      </c>
      <c r="E181" t="inlineStr">
        <is>
          <t>ENKÖPING</t>
        </is>
      </c>
      <c r="G181" t="n">
        <v>0.4</v>
      </c>
      <c r="H181" t="n">
        <v>0</v>
      </c>
      <c r="I181" t="n">
        <v>0</v>
      </c>
      <c r="J181" t="n">
        <v>0</v>
      </c>
      <c r="K181" t="n">
        <v>0</v>
      </c>
      <c r="L181" t="n">
        <v>0</v>
      </c>
      <c r="M181" t="n">
        <v>0</v>
      </c>
      <c r="N181" t="n">
        <v>0</v>
      </c>
      <c r="O181" t="n">
        <v>0</v>
      </c>
      <c r="P181" t="n">
        <v>0</v>
      </c>
      <c r="Q181" t="n">
        <v>0</v>
      </c>
      <c r="R181" s="2" t="inlineStr"/>
    </row>
    <row r="182" ht="15" customHeight="1">
      <c r="A182" t="inlineStr">
        <is>
          <t>A 9231-2023</t>
        </is>
      </c>
      <c r="B182" s="1" t="n">
        <v>44980</v>
      </c>
      <c r="C182" s="1" t="n">
        <v>45931</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27538-2023</t>
        </is>
      </c>
      <c r="B183" s="1" t="n">
        <v>45097</v>
      </c>
      <c r="C183" s="1" t="n">
        <v>45931</v>
      </c>
      <c r="D183" t="inlineStr">
        <is>
          <t>UPPSALA LÄN</t>
        </is>
      </c>
      <c r="E183" t="inlineStr">
        <is>
          <t>ENKÖPING</t>
        </is>
      </c>
      <c r="G183" t="n">
        <v>5.8</v>
      </c>
      <c r="H183" t="n">
        <v>0</v>
      </c>
      <c r="I183" t="n">
        <v>0</v>
      </c>
      <c r="J183" t="n">
        <v>0</v>
      </c>
      <c r="K183" t="n">
        <v>0</v>
      </c>
      <c r="L183" t="n">
        <v>0</v>
      </c>
      <c r="M183" t="n">
        <v>0</v>
      </c>
      <c r="N183" t="n">
        <v>0</v>
      </c>
      <c r="O183" t="n">
        <v>0</v>
      </c>
      <c r="P183" t="n">
        <v>0</v>
      </c>
      <c r="Q183" t="n">
        <v>0</v>
      </c>
      <c r="R183" s="2" t="inlineStr"/>
    </row>
    <row r="184" ht="15" customHeight="1">
      <c r="A184" t="inlineStr">
        <is>
          <t>A 47428-2023</t>
        </is>
      </c>
      <c r="B184" s="1" t="n">
        <v>45202.66664351852</v>
      </c>
      <c r="C184" s="1" t="n">
        <v>45931</v>
      </c>
      <c r="D184" t="inlineStr">
        <is>
          <t>UPPSALA LÄN</t>
        </is>
      </c>
      <c r="E184" t="inlineStr">
        <is>
          <t>ENKÖPING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2850-2025</t>
        </is>
      </c>
      <c r="B185" s="1" t="n">
        <v>45677</v>
      </c>
      <c r="C185" s="1" t="n">
        <v>45931</v>
      </c>
      <c r="D185" t="inlineStr">
        <is>
          <t>UPPSALA LÄN</t>
        </is>
      </c>
      <c r="E185" t="inlineStr">
        <is>
          <t>ENKÖPING</t>
        </is>
      </c>
      <c r="G185" t="n">
        <v>0.3</v>
      </c>
      <c r="H185" t="n">
        <v>0</v>
      </c>
      <c r="I185" t="n">
        <v>0</v>
      </c>
      <c r="J185" t="n">
        <v>0</v>
      </c>
      <c r="K185" t="n">
        <v>0</v>
      </c>
      <c r="L185" t="n">
        <v>0</v>
      </c>
      <c r="M185" t="n">
        <v>0</v>
      </c>
      <c r="N185" t="n">
        <v>0</v>
      </c>
      <c r="O185" t="n">
        <v>0</v>
      </c>
      <c r="P185" t="n">
        <v>0</v>
      </c>
      <c r="Q185" t="n">
        <v>0</v>
      </c>
      <c r="R185" s="2" t="inlineStr"/>
    </row>
    <row r="186" ht="15" customHeight="1">
      <c r="A186" t="inlineStr">
        <is>
          <t>A 18821-2023</t>
        </is>
      </c>
      <c r="B186" s="1" t="n">
        <v>45044.3782175926</v>
      </c>
      <c r="C186" s="1" t="n">
        <v>45931</v>
      </c>
      <c r="D186" t="inlineStr">
        <is>
          <t>UPPSALA LÄN</t>
        </is>
      </c>
      <c r="E186" t="inlineStr">
        <is>
          <t>ENKÖPING</t>
        </is>
      </c>
      <c r="G186" t="n">
        <v>6</v>
      </c>
      <c r="H186" t="n">
        <v>0</v>
      </c>
      <c r="I186" t="n">
        <v>0</v>
      </c>
      <c r="J186" t="n">
        <v>0</v>
      </c>
      <c r="K186" t="n">
        <v>0</v>
      </c>
      <c r="L186" t="n">
        <v>0</v>
      </c>
      <c r="M186" t="n">
        <v>0</v>
      </c>
      <c r="N186" t="n">
        <v>0</v>
      </c>
      <c r="O186" t="n">
        <v>0</v>
      </c>
      <c r="P186" t="n">
        <v>0</v>
      </c>
      <c r="Q186" t="n">
        <v>0</v>
      </c>
      <c r="R186" s="2" t="inlineStr"/>
    </row>
    <row r="187" ht="15" customHeight="1">
      <c r="A187" t="inlineStr">
        <is>
          <t>A 52380-2024</t>
        </is>
      </c>
      <c r="B187" s="1" t="n">
        <v>45609</v>
      </c>
      <c r="C187" s="1" t="n">
        <v>45931</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13853-2023</t>
        </is>
      </c>
      <c r="B188" s="1" t="n">
        <v>45007</v>
      </c>
      <c r="C188" s="1" t="n">
        <v>45931</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9041-2023</t>
        </is>
      </c>
      <c r="B189" s="1" t="n">
        <v>44979</v>
      </c>
      <c r="C189" s="1" t="n">
        <v>45931</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27786-2023</t>
        </is>
      </c>
      <c r="B190" s="1" t="n">
        <v>45098</v>
      </c>
      <c r="C190" s="1" t="n">
        <v>45931</v>
      </c>
      <c r="D190" t="inlineStr">
        <is>
          <t>UPPSALA LÄN</t>
        </is>
      </c>
      <c r="E190" t="inlineStr">
        <is>
          <t>ENKÖPING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45362-2022</t>
        </is>
      </c>
      <c r="B191" s="1" t="n">
        <v>44844.62366898148</v>
      </c>
      <c r="C191" s="1" t="n">
        <v>45931</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56526-2022</t>
        </is>
      </c>
      <c r="B192" s="1" t="n">
        <v>44893</v>
      </c>
      <c r="C192" s="1" t="n">
        <v>45931</v>
      </c>
      <c r="D192" t="inlineStr">
        <is>
          <t>UPPSALA LÄN</t>
        </is>
      </c>
      <c r="E192" t="inlineStr">
        <is>
          <t>ENKÖPING</t>
        </is>
      </c>
      <c r="G192" t="n">
        <v>3.8</v>
      </c>
      <c r="H192" t="n">
        <v>0</v>
      </c>
      <c r="I192" t="n">
        <v>0</v>
      </c>
      <c r="J192" t="n">
        <v>0</v>
      </c>
      <c r="K192" t="n">
        <v>0</v>
      </c>
      <c r="L192" t="n">
        <v>0</v>
      </c>
      <c r="M192" t="n">
        <v>0</v>
      </c>
      <c r="N192" t="n">
        <v>0</v>
      </c>
      <c r="O192" t="n">
        <v>0</v>
      </c>
      <c r="P192" t="n">
        <v>0</v>
      </c>
      <c r="Q192" t="n">
        <v>0</v>
      </c>
      <c r="R192" s="2" t="inlineStr"/>
    </row>
    <row r="193" ht="15" customHeight="1">
      <c r="A193" t="inlineStr">
        <is>
          <t>A 63310-2021</t>
        </is>
      </c>
      <c r="B193" s="1" t="n">
        <v>44508</v>
      </c>
      <c r="C193" s="1" t="n">
        <v>45931</v>
      </c>
      <c r="D193" t="inlineStr">
        <is>
          <t>UPPSALA LÄN</t>
        </is>
      </c>
      <c r="E193" t="inlineStr">
        <is>
          <t>ENKÖPING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69344-2021</t>
        </is>
      </c>
      <c r="B194" s="1" t="n">
        <v>44531</v>
      </c>
      <c r="C194" s="1" t="n">
        <v>45931</v>
      </c>
      <c r="D194" t="inlineStr">
        <is>
          <t>UPPSALA LÄN</t>
        </is>
      </c>
      <c r="E194" t="inlineStr">
        <is>
          <t>ENKÖPING</t>
        </is>
      </c>
      <c r="G194" t="n">
        <v>2.9</v>
      </c>
      <c r="H194" t="n">
        <v>0</v>
      </c>
      <c r="I194" t="n">
        <v>0</v>
      </c>
      <c r="J194" t="n">
        <v>0</v>
      </c>
      <c r="K194" t="n">
        <v>0</v>
      </c>
      <c r="L194" t="n">
        <v>0</v>
      </c>
      <c r="M194" t="n">
        <v>0</v>
      </c>
      <c r="N194" t="n">
        <v>0</v>
      </c>
      <c r="O194" t="n">
        <v>0</v>
      </c>
      <c r="P194" t="n">
        <v>0</v>
      </c>
      <c r="Q194" t="n">
        <v>0</v>
      </c>
      <c r="R194" s="2" t="inlineStr"/>
    </row>
    <row r="195" ht="15" customHeight="1">
      <c r="A195" t="inlineStr">
        <is>
          <t>A 60350-2022</t>
        </is>
      </c>
      <c r="B195" s="1" t="n">
        <v>44910</v>
      </c>
      <c r="C195" s="1" t="n">
        <v>45931</v>
      </c>
      <c r="D195" t="inlineStr">
        <is>
          <t>UPPSALA LÄN</t>
        </is>
      </c>
      <c r="E195" t="inlineStr">
        <is>
          <t>ENKÖPING</t>
        </is>
      </c>
      <c r="F195" t="inlineStr">
        <is>
          <t>Allmännings- och besparingsskogar</t>
        </is>
      </c>
      <c r="G195" t="n">
        <v>3.5</v>
      </c>
      <c r="H195" t="n">
        <v>0</v>
      </c>
      <c r="I195" t="n">
        <v>0</v>
      </c>
      <c r="J195" t="n">
        <v>0</v>
      </c>
      <c r="K195" t="n">
        <v>0</v>
      </c>
      <c r="L195" t="n">
        <v>0</v>
      </c>
      <c r="M195" t="n">
        <v>0</v>
      </c>
      <c r="N195" t="n">
        <v>0</v>
      </c>
      <c r="O195" t="n">
        <v>0</v>
      </c>
      <c r="P195" t="n">
        <v>0</v>
      </c>
      <c r="Q195" t="n">
        <v>0</v>
      </c>
      <c r="R195" s="2" t="inlineStr"/>
    </row>
    <row r="196" ht="15" customHeight="1">
      <c r="A196" t="inlineStr">
        <is>
          <t>A 28518-2024</t>
        </is>
      </c>
      <c r="B196" s="1" t="n">
        <v>45477</v>
      </c>
      <c r="C196" s="1" t="n">
        <v>45931</v>
      </c>
      <c r="D196" t="inlineStr">
        <is>
          <t>UPPSALA LÄN</t>
        </is>
      </c>
      <c r="E196" t="inlineStr">
        <is>
          <t>ENKÖPING</t>
        </is>
      </c>
      <c r="G196" t="n">
        <v>3.4</v>
      </c>
      <c r="H196" t="n">
        <v>0</v>
      </c>
      <c r="I196" t="n">
        <v>0</v>
      </c>
      <c r="J196" t="n">
        <v>0</v>
      </c>
      <c r="K196" t="n">
        <v>0</v>
      </c>
      <c r="L196" t="n">
        <v>0</v>
      </c>
      <c r="M196" t="n">
        <v>0</v>
      </c>
      <c r="N196" t="n">
        <v>0</v>
      </c>
      <c r="O196" t="n">
        <v>0</v>
      </c>
      <c r="P196" t="n">
        <v>0</v>
      </c>
      <c r="Q196" t="n">
        <v>0</v>
      </c>
      <c r="R196" s="2" t="inlineStr"/>
    </row>
    <row r="197" ht="15" customHeight="1">
      <c r="A197" t="inlineStr">
        <is>
          <t>A 15942-2022</t>
        </is>
      </c>
      <c r="B197" s="1" t="n">
        <v>44664</v>
      </c>
      <c r="C197" s="1" t="n">
        <v>45931</v>
      </c>
      <c r="D197" t="inlineStr">
        <is>
          <t>UPPSALA LÄN</t>
        </is>
      </c>
      <c r="E197" t="inlineStr">
        <is>
          <t>ENKÖPING</t>
        </is>
      </c>
      <c r="G197" t="n">
        <v>6.6</v>
      </c>
      <c r="H197" t="n">
        <v>0</v>
      </c>
      <c r="I197" t="n">
        <v>0</v>
      </c>
      <c r="J197" t="n">
        <v>0</v>
      </c>
      <c r="K197" t="n">
        <v>0</v>
      </c>
      <c r="L197" t="n">
        <v>0</v>
      </c>
      <c r="M197" t="n">
        <v>0</v>
      </c>
      <c r="N197" t="n">
        <v>0</v>
      </c>
      <c r="O197" t="n">
        <v>0</v>
      </c>
      <c r="P197" t="n">
        <v>0</v>
      </c>
      <c r="Q197" t="n">
        <v>0</v>
      </c>
      <c r="R197" s="2" t="inlineStr"/>
    </row>
    <row r="198" ht="15" customHeight="1">
      <c r="A198" t="inlineStr">
        <is>
          <t>A 61106-2022</t>
        </is>
      </c>
      <c r="B198" s="1" t="n">
        <v>44915.4128587963</v>
      </c>
      <c r="C198" s="1" t="n">
        <v>45931</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50006-2023</t>
        </is>
      </c>
      <c r="B199" s="1" t="n">
        <v>45215</v>
      </c>
      <c r="C199" s="1" t="n">
        <v>45931</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9171-2024</t>
        </is>
      </c>
      <c r="B200" s="1" t="n">
        <v>45358</v>
      </c>
      <c r="C200" s="1" t="n">
        <v>45931</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671-2022</t>
        </is>
      </c>
      <c r="B201" s="1" t="n">
        <v>44568</v>
      </c>
      <c r="C201" s="1" t="n">
        <v>45931</v>
      </c>
      <c r="D201" t="inlineStr">
        <is>
          <t>UPPSALA LÄN</t>
        </is>
      </c>
      <c r="E201" t="inlineStr">
        <is>
          <t>ENKÖPING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11005-2023</t>
        </is>
      </c>
      <c r="B202" s="1" t="n">
        <v>44991</v>
      </c>
      <c r="C202" s="1" t="n">
        <v>45931</v>
      </c>
      <c r="D202" t="inlineStr">
        <is>
          <t>UPPSALA LÄN</t>
        </is>
      </c>
      <c r="E202" t="inlineStr">
        <is>
          <t>ENKÖPING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30098-2024</t>
        </is>
      </c>
      <c r="B203" s="1" t="n">
        <v>45489.41609953704</v>
      </c>
      <c r="C203" s="1" t="n">
        <v>45931</v>
      </c>
      <c r="D203" t="inlineStr">
        <is>
          <t>UPPSALA LÄN</t>
        </is>
      </c>
      <c r="E203" t="inlineStr">
        <is>
          <t>ENKÖPING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53607-2023</t>
        </is>
      </c>
      <c r="B204" s="1" t="n">
        <v>45230</v>
      </c>
      <c r="C204" s="1" t="n">
        <v>45931</v>
      </c>
      <c r="D204" t="inlineStr">
        <is>
          <t>UPPSALA LÄN</t>
        </is>
      </c>
      <c r="E204" t="inlineStr">
        <is>
          <t>ENKÖPING</t>
        </is>
      </c>
      <c r="F204" t="inlineStr">
        <is>
          <t>Allmännings- och besparingsskogar</t>
        </is>
      </c>
      <c r="G204" t="n">
        <v>6.3</v>
      </c>
      <c r="H204" t="n">
        <v>0</v>
      </c>
      <c r="I204" t="n">
        <v>0</v>
      </c>
      <c r="J204" t="n">
        <v>0</v>
      </c>
      <c r="K204" t="n">
        <v>0</v>
      </c>
      <c r="L204" t="n">
        <v>0</v>
      </c>
      <c r="M204" t="n">
        <v>0</v>
      </c>
      <c r="N204" t="n">
        <v>0</v>
      </c>
      <c r="O204" t="n">
        <v>0</v>
      </c>
      <c r="P204" t="n">
        <v>0</v>
      </c>
      <c r="Q204" t="n">
        <v>0</v>
      </c>
      <c r="R204" s="2" t="inlineStr"/>
    </row>
    <row r="205" ht="15" customHeight="1">
      <c r="A205" t="inlineStr">
        <is>
          <t>A 59497-2022</t>
        </is>
      </c>
      <c r="B205" s="1" t="n">
        <v>44907.48258101852</v>
      </c>
      <c r="C205" s="1" t="n">
        <v>45931</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29918-2023</t>
        </is>
      </c>
      <c r="B206" s="1" t="n">
        <v>45099</v>
      </c>
      <c r="C206" s="1" t="n">
        <v>45931</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1651-2024</t>
        </is>
      </c>
      <c r="B207" s="1" t="n">
        <v>45306.73770833333</v>
      </c>
      <c r="C207" s="1" t="n">
        <v>45931</v>
      </c>
      <c r="D207" t="inlineStr">
        <is>
          <t>UPPSALA LÄN</t>
        </is>
      </c>
      <c r="E207" t="inlineStr">
        <is>
          <t>ENKÖPING</t>
        </is>
      </c>
      <c r="G207" t="n">
        <v>10.2</v>
      </c>
      <c r="H207" t="n">
        <v>0</v>
      </c>
      <c r="I207" t="n">
        <v>0</v>
      </c>
      <c r="J207" t="n">
        <v>0</v>
      </c>
      <c r="K207" t="n">
        <v>0</v>
      </c>
      <c r="L207" t="n">
        <v>0</v>
      </c>
      <c r="M207" t="n">
        <v>0</v>
      </c>
      <c r="N207" t="n">
        <v>0</v>
      </c>
      <c r="O207" t="n">
        <v>0</v>
      </c>
      <c r="P207" t="n">
        <v>0</v>
      </c>
      <c r="Q207" t="n">
        <v>0</v>
      </c>
      <c r="R207" s="2" t="inlineStr"/>
    </row>
    <row r="208" ht="15" customHeight="1">
      <c r="A208" t="inlineStr">
        <is>
          <t>A 60289-2022</t>
        </is>
      </c>
      <c r="B208" s="1" t="n">
        <v>44910.53026620371</v>
      </c>
      <c r="C208" s="1" t="n">
        <v>45931</v>
      </c>
      <c r="D208" t="inlineStr">
        <is>
          <t>UPPSALA LÄN</t>
        </is>
      </c>
      <c r="E208" t="inlineStr">
        <is>
          <t>ENKÖPING</t>
        </is>
      </c>
      <c r="G208" t="n">
        <v>3.2</v>
      </c>
      <c r="H208" t="n">
        <v>0</v>
      </c>
      <c r="I208" t="n">
        <v>0</v>
      </c>
      <c r="J208" t="n">
        <v>0</v>
      </c>
      <c r="K208" t="n">
        <v>0</v>
      </c>
      <c r="L208" t="n">
        <v>0</v>
      </c>
      <c r="M208" t="n">
        <v>0</v>
      </c>
      <c r="N208" t="n">
        <v>0</v>
      </c>
      <c r="O208" t="n">
        <v>0</v>
      </c>
      <c r="P208" t="n">
        <v>0</v>
      </c>
      <c r="Q208" t="n">
        <v>0</v>
      </c>
      <c r="R208" s="2" t="inlineStr"/>
    </row>
    <row r="209" ht="15" customHeight="1">
      <c r="A209" t="inlineStr">
        <is>
          <t>A 58384-2022</t>
        </is>
      </c>
      <c r="B209" s="1" t="n">
        <v>44901</v>
      </c>
      <c r="C209" s="1" t="n">
        <v>45931</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43016-2021</t>
        </is>
      </c>
      <c r="B210" s="1" t="n">
        <v>44431</v>
      </c>
      <c r="C210" s="1" t="n">
        <v>45931</v>
      </c>
      <c r="D210" t="inlineStr">
        <is>
          <t>UPPSALA LÄN</t>
        </is>
      </c>
      <c r="E210" t="inlineStr">
        <is>
          <t>ENKÖPING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15893-2024</t>
        </is>
      </c>
      <c r="B211" s="1" t="n">
        <v>45405</v>
      </c>
      <c r="C211" s="1" t="n">
        <v>45931</v>
      </c>
      <c r="D211" t="inlineStr">
        <is>
          <t>UPPSALA LÄN</t>
        </is>
      </c>
      <c r="E211" t="inlineStr">
        <is>
          <t>ENKÖPING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49614-2024</t>
        </is>
      </c>
      <c r="B212" s="1" t="n">
        <v>45596.57716435185</v>
      </c>
      <c r="C212" s="1" t="n">
        <v>45931</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49632-2024</t>
        </is>
      </c>
      <c r="B213" s="1" t="n">
        <v>45596</v>
      </c>
      <c r="C213" s="1" t="n">
        <v>45931</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33343-2024</t>
        </is>
      </c>
      <c r="B214" s="1" t="n">
        <v>45519</v>
      </c>
      <c r="C214" s="1" t="n">
        <v>45931</v>
      </c>
      <c r="D214" t="inlineStr">
        <is>
          <t>UPPSALA LÄN</t>
        </is>
      </c>
      <c r="E214" t="inlineStr">
        <is>
          <t>ENKÖPING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57142-2021</t>
        </is>
      </c>
      <c r="B215" s="1" t="n">
        <v>44482</v>
      </c>
      <c r="C215" s="1" t="n">
        <v>45931</v>
      </c>
      <c r="D215" t="inlineStr">
        <is>
          <t>UPPSALA LÄN</t>
        </is>
      </c>
      <c r="E215" t="inlineStr">
        <is>
          <t>ENKÖPING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57153-2021</t>
        </is>
      </c>
      <c r="B216" s="1" t="n">
        <v>44482</v>
      </c>
      <c r="C216" s="1" t="n">
        <v>45931</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51027-2024</t>
        </is>
      </c>
      <c r="B217" s="1" t="n">
        <v>45603</v>
      </c>
      <c r="C217" s="1" t="n">
        <v>45931</v>
      </c>
      <c r="D217" t="inlineStr">
        <is>
          <t>UPPSALA LÄN</t>
        </is>
      </c>
      <c r="E217" t="inlineStr">
        <is>
          <t>ENKÖPING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51030-2024</t>
        </is>
      </c>
      <c r="B218" s="1" t="n">
        <v>45603</v>
      </c>
      <c r="C218" s="1" t="n">
        <v>45931</v>
      </c>
      <c r="D218" t="inlineStr">
        <is>
          <t>UPPSALA LÄN</t>
        </is>
      </c>
      <c r="E218" t="inlineStr">
        <is>
          <t>ENKÖPING</t>
        </is>
      </c>
      <c r="G218" t="n">
        <v>2</v>
      </c>
      <c r="H218" t="n">
        <v>0</v>
      </c>
      <c r="I218" t="n">
        <v>0</v>
      </c>
      <c r="J218" t="n">
        <v>0</v>
      </c>
      <c r="K218" t="n">
        <v>0</v>
      </c>
      <c r="L218" t="n">
        <v>0</v>
      </c>
      <c r="M218" t="n">
        <v>0</v>
      </c>
      <c r="N218" t="n">
        <v>0</v>
      </c>
      <c r="O218" t="n">
        <v>0</v>
      </c>
      <c r="P218" t="n">
        <v>0</v>
      </c>
      <c r="Q218" t="n">
        <v>0</v>
      </c>
      <c r="R218" s="2" t="inlineStr"/>
    </row>
    <row r="219" ht="15" customHeight="1">
      <c r="A219" t="inlineStr">
        <is>
          <t>A 5188-2022</t>
        </is>
      </c>
      <c r="B219" s="1" t="n">
        <v>44594.4471412037</v>
      </c>
      <c r="C219" s="1" t="n">
        <v>45931</v>
      </c>
      <c r="D219" t="inlineStr">
        <is>
          <t>UPPSALA LÄN</t>
        </is>
      </c>
      <c r="E219" t="inlineStr">
        <is>
          <t>ENKÖPING</t>
        </is>
      </c>
      <c r="G219" t="n">
        <v>1.6</v>
      </c>
      <c r="H219" t="n">
        <v>0</v>
      </c>
      <c r="I219" t="n">
        <v>0</v>
      </c>
      <c r="J219" t="n">
        <v>0</v>
      </c>
      <c r="K219" t="n">
        <v>0</v>
      </c>
      <c r="L219" t="n">
        <v>0</v>
      </c>
      <c r="M219" t="n">
        <v>0</v>
      </c>
      <c r="N219" t="n">
        <v>0</v>
      </c>
      <c r="O219" t="n">
        <v>0</v>
      </c>
      <c r="P219" t="n">
        <v>0</v>
      </c>
      <c r="Q219" t="n">
        <v>0</v>
      </c>
      <c r="R219" s="2" t="inlineStr"/>
    </row>
    <row r="220" ht="15" customHeight="1">
      <c r="A220" t="inlineStr">
        <is>
          <t>A 19014-2025</t>
        </is>
      </c>
      <c r="B220" s="1" t="n">
        <v>45764.59631944444</v>
      </c>
      <c r="C220" s="1" t="n">
        <v>45931</v>
      </c>
      <c r="D220" t="inlineStr">
        <is>
          <t>UPPSALA LÄN</t>
        </is>
      </c>
      <c r="E220" t="inlineStr">
        <is>
          <t>ENKÖPING</t>
        </is>
      </c>
      <c r="G220" t="n">
        <v>0.2</v>
      </c>
      <c r="H220" t="n">
        <v>0</v>
      </c>
      <c r="I220" t="n">
        <v>0</v>
      </c>
      <c r="J220" t="n">
        <v>0</v>
      </c>
      <c r="K220" t="n">
        <v>0</v>
      </c>
      <c r="L220" t="n">
        <v>0</v>
      </c>
      <c r="M220" t="n">
        <v>0</v>
      </c>
      <c r="N220" t="n">
        <v>0</v>
      </c>
      <c r="O220" t="n">
        <v>0</v>
      </c>
      <c r="P220" t="n">
        <v>0</v>
      </c>
      <c r="Q220" t="n">
        <v>0</v>
      </c>
      <c r="R220" s="2" t="inlineStr"/>
    </row>
    <row r="221" ht="15" customHeight="1">
      <c r="A221" t="inlineStr">
        <is>
          <t>A 43691-2024</t>
        </is>
      </c>
      <c r="B221" s="1" t="n">
        <v>45569</v>
      </c>
      <c r="C221" s="1" t="n">
        <v>45931</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15405-2025</t>
        </is>
      </c>
      <c r="B222" s="1" t="n">
        <v>45747.44670138889</v>
      </c>
      <c r="C222" s="1" t="n">
        <v>45931</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12878-2025</t>
        </is>
      </c>
      <c r="B223" s="1" t="n">
        <v>45733.68571759259</v>
      </c>
      <c r="C223" s="1" t="n">
        <v>45931</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19376-2024</t>
        </is>
      </c>
      <c r="B224" s="1" t="n">
        <v>45429</v>
      </c>
      <c r="C224" s="1" t="n">
        <v>45931</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31242-2024</t>
        </is>
      </c>
      <c r="B225" s="1" t="n">
        <v>45503</v>
      </c>
      <c r="C225" s="1" t="n">
        <v>45931</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52889-2022</t>
        </is>
      </c>
      <c r="B226" s="1" t="n">
        <v>44875</v>
      </c>
      <c r="C226" s="1" t="n">
        <v>45931</v>
      </c>
      <c r="D226" t="inlineStr">
        <is>
          <t>UPPSALA LÄN</t>
        </is>
      </c>
      <c r="E226" t="inlineStr">
        <is>
          <t>ENKÖPING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33670-2024</t>
        </is>
      </c>
      <c r="B227" s="1" t="n">
        <v>45520</v>
      </c>
      <c r="C227" s="1" t="n">
        <v>45931</v>
      </c>
      <c r="D227" t="inlineStr">
        <is>
          <t>UPPSALA LÄN</t>
        </is>
      </c>
      <c r="E227" t="inlineStr">
        <is>
          <t>ENKÖPING</t>
        </is>
      </c>
      <c r="G227" t="n">
        <v>1.9</v>
      </c>
      <c r="H227" t="n">
        <v>0</v>
      </c>
      <c r="I227" t="n">
        <v>0</v>
      </c>
      <c r="J227" t="n">
        <v>0</v>
      </c>
      <c r="K227" t="n">
        <v>0</v>
      </c>
      <c r="L227" t="n">
        <v>0</v>
      </c>
      <c r="M227" t="n">
        <v>0</v>
      </c>
      <c r="N227" t="n">
        <v>0</v>
      </c>
      <c r="O227" t="n">
        <v>0</v>
      </c>
      <c r="P227" t="n">
        <v>0</v>
      </c>
      <c r="Q227" t="n">
        <v>0</v>
      </c>
      <c r="R227" s="2" t="inlineStr"/>
    </row>
    <row r="228" ht="15" customHeight="1">
      <c r="A228" t="inlineStr">
        <is>
          <t>A 47681-2024</t>
        </is>
      </c>
      <c r="B228" s="1" t="n">
        <v>45588</v>
      </c>
      <c r="C228" s="1" t="n">
        <v>45931</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12754-2025</t>
        </is>
      </c>
      <c r="B229" s="1" t="n">
        <v>45733.56331018519</v>
      </c>
      <c r="C229" s="1" t="n">
        <v>45931</v>
      </c>
      <c r="D229" t="inlineStr">
        <is>
          <t>UPPSALA LÄN</t>
        </is>
      </c>
      <c r="E229" t="inlineStr">
        <is>
          <t>ENKÖPING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2162-2023</t>
        </is>
      </c>
      <c r="B230" s="1" t="n">
        <v>44941</v>
      </c>
      <c r="C230" s="1" t="n">
        <v>45931</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54588-2024</t>
        </is>
      </c>
      <c r="B231" s="1" t="n">
        <v>45617</v>
      </c>
      <c r="C231" s="1" t="n">
        <v>45931</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56713-2024</t>
        </is>
      </c>
      <c r="B232" s="1" t="n">
        <v>45628</v>
      </c>
      <c r="C232" s="1" t="n">
        <v>45931</v>
      </c>
      <c r="D232" t="inlineStr">
        <is>
          <t>UPPSALA LÄN</t>
        </is>
      </c>
      <c r="E232" t="inlineStr">
        <is>
          <t>ENKÖPING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56163-2021</t>
        </is>
      </c>
      <c r="B233" s="1" t="n">
        <v>44477</v>
      </c>
      <c r="C233" s="1" t="n">
        <v>45931</v>
      </c>
      <c r="D233" t="inlineStr">
        <is>
          <t>UPPSALA LÄN</t>
        </is>
      </c>
      <c r="E233" t="inlineStr">
        <is>
          <t>ENKÖPING</t>
        </is>
      </c>
      <c r="F233" t="inlineStr">
        <is>
          <t>Allmännings- och besparingsskogar</t>
        </is>
      </c>
      <c r="G233" t="n">
        <v>0.6</v>
      </c>
      <c r="H233" t="n">
        <v>0</v>
      </c>
      <c r="I233" t="n">
        <v>0</v>
      </c>
      <c r="J233" t="n">
        <v>0</v>
      </c>
      <c r="K233" t="n">
        <v>0</v>
      </c>
      <c r="L233" t="n">
        <v>0</v>
      </c>
      <c r="M233" t="n">
        <v>0</v>
      </c>
      <c r="N233" t="n">
        <v>0</v>
      </c>
      <c r="O233" t="n">
        <v>0</v>
      </c>
      <c r="P233" t="n">
        <v>0</v>
      </c>
      <c r="Q233" t="n">
        <v>0</v>
      </c>
      <c r="R233" s="2" t="inlineStr"/>
    </row>
    <row r="234" ht="15" customHeight="1">
      <c r="A234" t="inlineStr">
        <is>
          <t>A 19147-2024</t>
        </is>
      </c>
      <c r="B234" s="1" t="n">
        <v>45428</v>
      </c>
      <c r="C234" s="1" t="n">
        <v>45931</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51524-2022</t>
        </is>
      </c>
      <c r="B235" s="1" t="n">
        <v>44869</v>
      </c>
      <c r="C235" s="1" t="n">
        <v>45931</v>
      </c>
      <c r="D235" t="inlineStr">
        <is>
          <t>UPPSALA LÄN</t>
        </is>
      </c>
      <c r="E235" t="inlineStr">
        <is>
          <t>ENKÖPING</t>
        </is>
      </c>
      <c r="G235" t="n">
        <v>6.6</v>
      </c>
      <c r="H235" t="n">
        <v>0</v>
      </c>
      <c r="I235" t="n">
        <v>0</v>
      </c>
      <c r="J235" t="n">
        <v>0</v>
      </c>
      <c r="K235" t="n">
        <v>0</v>
      </c>
      <c r="L235" t="n">
        <v>0</v>
      </c>
      <c r="M235" t="n">
        <v>0</v>
      </c>
      <c r="N235" t="n">
        <v>0</v>
      </c>
      <c r="O235" t="n">
        <v>0</v>
      </c>
      <c r="P235" t="n">
        <v>0</v>
      </c>
      <c r="Q235" t="n">
        <v>0</v>
      </c>
      <c r="R235" s="2" t="inlineStr"/>
    </row>
    <row r="236" ht="15" customHeight="1">
      <c r="A236" t="inlineStr">
        <is>
          <t>A 8137-2025</t>
        </is>
      </c>
      <c r="B236" s="1" t="n">
        <v>45707.8561574074</v>
      </c>
      <c r="C236" s="1" t="n">
        <v>45931</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67982-2021</t>
        </is>
      </c>
      <c r="B237" s="1" t="n">
        <v>44525</v>
      </c>
      <c r="C237" s="1" t="n">
        <v>45931</v>
      </c>
      <c r="D237" t="inlineStr">
        <is>
          <t>UPPSALA LÄN</t>
        </is>
      </c>
      <c r="E237" t="inlineStr">
        <is>
          <t>ENKÖPING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7868-2024</t>
        </is>
      </c>
      <c r="B238" s="1" t="n">
        <v>45350.33020833333</v>
      </c>
      <c r="C238" s="1" t="n">
        <v>45931</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28318-2024</t>
        </is>
      </c>
      <c r="B239" s="1" t="n">
        <v>45477</v>
      </c>
      <c r="C239" s="1" t="n">
        <v>45931</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57835-2024</t>
        </is>
      </c>
      <c r="B240" s="1" t="n">
        <v>45631.39947916667</v>
      </c>
      <c r="C240" s="1" t="n">
        <v>45931</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21612-2023</t>
        </is>
      </c>
      <c r="B241" s="1" t="n">
        <v>45063</v>
      </c>
      <c r="C241" s="1" t="n">
        <v>45931</v>
      </c>
      <c r="D241" t="inlineStr">
        <is>
          <t>UPPSALA LÄN</t>
        </is>
      </c>
      <c r="E241" t="inlineStr">
        <is>
          <t>ENKÖPING</t>
        </is>
      </c>
      <c r="F241" t="inlineStr">
        <is>
          <t>Allmännings- och besparingsskogar</t>
        </is>
      </c>
      <c r="G241" t="n">
        <v>1</v>
      </c>
      <c r="H241" t="n">
        <v>0</v>
      </c>
      <c r="I241" t="n">
        <v>0</v>
      </c>
      <c r="J241" t="n">
        <v>0</v>
      </c>
      <c r="K241" t="n">
        <v>0</v>
      </c>
      <c r="L241" t="n">
        <v>0</v>
      </c>
      <c r="M241" t="n">
        <v>0</v>
      </c>
      <c r="N241" t="n">
        <v>0</v>
      </c>
      <c r="O241" t="n">
        <v>0</v>
      </c>
      <c r="P241" t="n">
        <v>0</v>
      </c>
      <c r="Q241" t="n">
        <v>0</v>
      </c>
      <c r="R241" s="2" t="inlineStr"/>
    </row>
    <row r="242" ht="15" customHeight="1">
      <c r="A242" t="inlineStr">
        <is>
          <t>A 39624-2023</t>
        </is>
      </c>
      <c r="B242" s="1" t="n">
        <v>45164</v>
      </c>
      <c r="C242" s="1" t="n">
        <v>45931</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5892-2023</t>
        </is>
      </c>
      <c r="B243" s="1" t="n">
        <v>44963.64883101852</v>
      </c>
      <c r="C243" s="1" t="n">
        <v>45931</v>
      </c>
      <c r="D243" t="inlineStr">
        <is>
          <t>UPPSALA LÄN</t>
        </is>
      </c>
      <c r="E243" t="inlineStr">
        <is>
          <t>ENKÖPING</t>
        </is>
      </c>
      <c r="G243" t="n">
        <v>5.5</v>
      </c>
      <c r="H243" t="n">
        <v>0</v>
      </c>
      <c r="I243" t="n">
        <v>0</v>
      </c>
      <c r="J243" t="n">
        <v>0</v>
      </c>
      <c r="K243" t="n">
        <v>0</v>
      </c>
      <c r="L243" t="n">
        <v>0</v>
      </c>
      <c r="M243" t="n">
        <v>0</v>
      </c>
      <c r="N243" t="n">
        <v>0</v>
      </c>
      <c r="O243" t="n">
        <v>0</v>
      </c>
      <c r="P243" t="n">
        <v>0</v>
      </c>
      <c r="Q243" t="n">
        <v>0</v>
      </c>
      <c r="R243" s="2" t="inlineStr"/>
    </row>
    <row r="244" ht="15" customHeight="1">
      <c r="A244" t="inlineStr">
        <is>
          <t>A 39858-2024</t>
        </is>
      </c>
      <c r="B244" s="1" t="n">
        <v>45553</v>
      </c>
      <c r="C244" s="1" t="n">
        <v>45931</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14402-2023</t>
        </is>
      </c>
      <c r="B245" s="1" t="n">
        <v>45012</v>
      </c>
      <c r="C245" s="1" t="n">
        <v>45931</v>
      </c>
      <c r="D245" t="inlineStr">
        <is>
          <t>UPPSALA LÄN</t>
        </is>
      </c>
      <c r="E245" t="inlineStr">
        <is>
          <t>ENKÖPING</t>
        </is>
      </c>
      <c r="G245" t="n">
        <v>9.5</v>
      </c>
      <c r="H245" t="n">
        <v>0</v>
      </c>
      <c r="I245" t="n">
        <v>0</v>
      </c>
      <c r="J245" t="n">
        <v>0</v>
      </c>
      <c r="K245" t="n">
        <v>0</v>
      </c>
      <c r="L245" t="n">
        <v>0</v>
      </c>
      <c r="M245" t="n">
        <v>0</v>
      </c>
      <c r="N245" t="n">
        <v>0</v>
      </c>
      <c r="O245" t="n">
        <v>0</v>
      </c>
      <c r="P245" t="n">
        <v>0</v>
      </c>
      <c r="Q245" t="n">
        <v>0</v>
      </c>
      <c r="R245" s="2" t="inlineStr"/>
    </row>
    <row r="246" ht="15" customHeight="1">
      <c r="A246" t="inlineStr">
        <is>
          <t>A 39115-2024</t>
        </is>
      </c>
      <c r="B246" s="1" t="n">
        <v>45548</v>
      </c>
      <c r="C246" s="1" t="n">
        <v>45931</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12020-2024</t>
        </is>
      </c>
      <c r="B247" s="1" t="n">
        <v>45377</v>
      </c>
      <c r="C247" s="1" t="n">
        <v>45931</v>
      </c>
      <c r="D247" t="inlineStr">
        <is>
          <t>UPPSALA LÄN</t>
        </is>
      </c>
      <c r="E247" t="inlineStr">
        <is>
          <t>ENKÖPING</t>
        </is>
      </c>
      <c r="G247" t="n">
        <v>2</v>
      </c>
      <c r="H247" t="n">
        <v>0</v>
      </c>
      <c r="I247" t="n">
        <v>0</v>
      </c>
      <c r="J247" t="n">
        <v>0</v>
      </c>
      <c r="K247" t="n">
        <v>0</v>
      </c>
      <c r="L247" t="n">
        <v>0</v>
      </c>
      <c r="M247" t="n">
        <v>0</v>
      </c>
      <c r="N247" t="n">
        <v>0</v>
      </c>
      <c r="O247" t="n">
        <v>0</v>
      </c>
      <c r="P247" t="n">
        <v>0</v>
      </c>
      <c r="Q247" t="n">
        <v>0</v>
      </c>
      <c r="R247" s="2" t="inlineStr"/>
    </row>
    <row r="248" ht="15" customHeight="1">
      <c r="A248" t="inlineStr">
        <is>
          <t>A 51008-2024</t>
        </is>
      </c>
      <c r="B248" s="1" t="n">
        <v>45603.39041666667</v>
      </c>
      <c r="C248" s="1" t="n">
        <v>45931</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35052-2024</t>
        </is>
      </c>
      <c r="B249" s="1" t="n">
        <v>45527.6516087963</v>
      </c>
      <c r="C249" s="1" t="n">
        <v>45931</v>
      </c>
      <c r="D249" t="inlineStr">
        <is>
          <t>UPPSALA LÄN</t>
        </is>
      </c>
      <c r="E249" t="inlineStr">
        <is>
          <t>ENKÖPING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51092-2020</t>
        </is>
      </c>
      <c r="B250" s="1" t="n">
        <v>44112</v>
      </c>
      <c r="C250" s="1" t="n">
        <v>45931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46940-2025</t>
        </is>
      </c>
      <c r="B251" s="1" t="n">
        <v>45929.45483796296</v>
      </c>
      <c r="C251" s="1" t="n">
        <v>45931</v>
      </c>
      <c r="D251" t="inlineStr">
        <is>
          <t>UPPSALA LÄN</t>
        </is>
      </c>
      <c r="E251" t="inlineStr">
        <is>
          <t>ENKÖPING</t>
        </is>
      </c>
      <c r="G251" t="n">
        <v>5.3</v>
      </c>
      <c r="H251" t="n">
        <v>0</v>
      </c>
      <c r="I251" t="n">
        <v>0</v>
      </c>
      <c r="J251" t="n">
        <v>0</v>
      </c>
      <c r="K251" t="n">
        <v>0</v>
      </c>
      <c r="L251" t="n">
        <v>0</v>
      </c>
      <c r="M251" t="n">
        <v>0</v>
      </c>
      <c r="N251" t="n">
        <v>0</v>
      </c>
      <c r="O251" t="n">
        <v>0</v>
      </c>
      <c r="P251" t="n">
        <v>0</v>
      </c>
      <c r="Q251" t="n">
        <v>0</v>
      </c>
      <c r="R251" s="2" t="inlineStr"/>
    </row>
    <row r="252" ht="15" customHeight="1">
      <c r="A252" t="inlineStr">
        <is>
          <t>A 9957-2023</t>
        </is>
      </c>
      <c r="B252" s="1" t="n">
        <v>44978</v>
      </c>
      <c r="C252" s="1" t="n">
        <v>45931</v>
      </c>
      <c r="D252" t="inlineStr">
        <is>
          <t>UPPSALA LÄN</t>
        </is>
      </c>
      <c r="E252" t="inlineStr">
        <is>
          <t>ENKÖPING</t>
        </is>
      </c>
      <c r="G252" t="n">
        <v>5.9</v>
      </c>
      <c r="H252" t="n">
        <v>0</v>
      </c>
      <c r="I252" t="n">
        <v>0</v>
      </c>
      <c r="J252" t="n">
        <v>0</v>
      </c>
      <c r="K252" t="n">
        <v>0</v>
      </c>
      <c r="L252" t="n">
        <v>0</v>
      </c>
      <c r="M252" t="n">
        <v>0</v>
      </c>
      <c r="N252" t="n">
        <v>0</v>
      </c>
      <c r="O252" t="n">
        <v>0</v>
      </c>
      <c r="P252" t="n">
        <v>0</v>
      </c>
      <c r="Q252" t="n">
        <v>0</v>
      </c>
      <c r="R252" s="2" t="inlineStr"/>
    </row>
    <row r="253" ht="15" customHeight="1">
      <c r="A253" t="inlineStr">
        <is>
          <t>A 47441-2025</t>
        </is>
      </c>
      <c r="B253" s="1" t="n">
        <v>45930.63986111111</v>
      </c>
      <c r="C253" s="1" t="n">
        <v>45931</v>
      </c>
      <c r="D253" t="inlineStr">
        <is>
          <t>UPPSALA LÄN</t>
        </is>
      </c>
      <c r="E253" t="inlineStr">
        <is>
          <t>ENKÖPING</t>
        </is>
      </c>
      <c r="F253" t="inlineStr">
        <is>
          <t>Allmännings- och besparingsskogar</t>
        </is>
      </c>
      <c r="G253" t="n">
        <v>11.5</v>
      </c>
      <c r="H253" t="n">
        <v>0</v>
      </c>
      <c r="I253" t="n">
        <v>0</v>
      </c>
      <c r="J253" t="n">
        <v>0</v>
      </c>
      <c r="K253" t="n">
        <v>0</v>
      </c>
      <c r="L253" t="n">
        <v>0</v>
      </c>
      <c r="M253" t="n">
        <v>0</v>
      </c>
      <c r="N253" t="n">
        <v>0</v>
      </c>
      <c r="O253" t="n">
        <v>0</v>
      </c>
      <c r="P253" t="n">
        <v>0</v>
      </c>
      <c r="Q253" t="n">
        <v>0</v>
      </c>
      <c r="R253" s="2" t="inlineStr"/>
    </row>
    <row r="254" ht="15" customHeight="1">
      <c r="A254" t="inlineStr">
        <is>
          <t>A 69344-2021</t>
        </is>
      </c>
      <c r="B254" s="1" t="n">
        <v>44531</v>
      </c>
      <c r="C254" s="1" t="n">
        <v>45931</v>
      </c>
      <c r="D254" t="inlineStr">
        <is>
          <t>UPPSALA LÄN</t>
        </is>
      </c>
      <c r="E254" t="inlineStr">
        <is>
          <t>ENKÖPING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38941-2025</t>
        </is>
      </c>
      <c r="B255" s="1" t="n">
        <v>45887</v>
      </c>
      <c r="C255" s="1" t="n">
        <v>45931</v>
      </c>
      <c r="D255" t="inlineStr">
        <is>
          <t>UPPSALA LÄN</t>
        </is>
      </c>
      <c r="E255" t="inlineStr">
        <is>
          <t>ENKÖPING</t>
        </is>
      </c>
      <c r="F255" t="inlineStr">
        <is>
          <t>Övriga statliga verk och myndigheter</t>
        </is>
      </c>
      <c r="G255" t="n">
        <v>0.6</v>
      </c>
      <c r="H255" t="n">
        <v>0</v>
      </c>
      <c r="I255" t="n">
        <v>0</v>
      </c>
      <c r="J255" t="n">
        <v>0</v>
      </c>
      <c r="K255" t="n">
        <v>0</v>
      </c>
      <c r="L255" t="n">
        <v>0</v>
      </c>
      <c r="M255" t="n">
        <v>0</v>
      </c>
      <c r="N255" t="n">
        <v>0</v>
      </c>
      <c r="O255" t="n">
        <v>0</v>
      </c>
      <c r="P255" t="n">
        <v>0</v>
      </c>
      <c r="Q255" t="n">
        <v>0</v>
      </c>
      <c r="R255" s="2" t="inlineStr"/>
    </row>
    <row r="256" ht="15" customHeight="1">
      <c r="A256" t="inlineStr">
        <is>
          <t>A 34124-2021</t>
        </is>
      </c>
      <c r="B256" s="1" t="n">
        <v>44379</v>
      </c>
      <c r="C256" s="1" t="n">
        <v>45931</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43697-2024</t>
        </is>
      </c>
      <c r="B257" s="1" t="n">
        <v>45569</v>
      </c>
      <c r="C257" s="1" t="n">
        <v>45931</v>
      </c>
      <c r="D257" t="inlineStr">
        <is>
          <t>UPPSALA LÄN</t>
        </is>
      </c>
      <c r="E257" t="inlineStr">
        <is>
          <t>ENKÖPING</t>
        </is>
      </c>
      <c r="G257" t="n">
        <v>2.1</v>
      </c>
      <c r="H257" t="n">
        <v>0</v>
      </c>
      <c r="I257" t="n">
        <v>0</v>
      </c>
      <c r="J257" t="n">
        <v>0</v>
      </c>
      <c r="K257" t="n">
        <v>0</v>
      </c>
      <c r="L257" t="n">
        <v>0</v>
      </c>
      <c r="M257" t="n">
        <v>0</v>
      </c>
      <c r="N257" t="n">
        <v>0</v>
      </c>
      <c r="O257" t="n">
        <v>0</v>
      </c>
      <c r="P257" t="n">
        <v>0</v>
      </c>
      <c r="Q257" t="n">
        <v>0</v>
      </c>
      <c r="R257" s="2" t="inlineStr"/>
    </row>
    <row r="258" ht="15" customHeight="1">
      <c r="A258" t="inlineStr">
        <is>
          <t>A 8152-2022</t>
        </is>
      </c>
      <c r="B258" s="1" t="n">
        <v>44609</v>
      </c>
      <c r="C258" s="1" t="n">
        <v>45931</v>
      </c>
      <c r="D258" t="inlineStr">
        <is>
          <t>UPPSALA LÄN</t>
        </is>
      </c>
      <c r="E258" t="inlineStr">
        <is>
          <t>ENKÖPING</t>
        </is>
      </c>
      <c r="F258" t="inlineStr">
        <is>
          <t>Kyrkan</t>
        </is>
      </c>
      <c r="G258" t="n">
        <v>1.3</v>
      </c>
      <c r="H258" t="n">
        <v>0</v>
      </c>
      <c r="I258" t="n">
        <v>0</v>
      </c>
      <c r="J258" t="n">
        <v>0</v>
      </c>
      <c r="K258" t="n">
        <v>0</v>
      </c>
      <c r="L258" t="n">
        <v>0</v>
      </c>
      <c r="M258" t="n">
        <v>0</v>
      </c>
      <c r="N258" t="n">
        <v>0</v>
      </c>
      <c r="O258" t="n">
        <v>0</v>
      </c>
      <c r="P258" t="n">
        <v>0</v>
      </c>
      <c r="Q258" t="n">
        <v>0</v>
      </c>
      <c r="R258" s="2" t="inlineStr"/>
    </row>
    <row r="259" ht="15" customHeight="1">
      <c r="A259" t="inlineStr">
        <is>
          <t>A 27983-2024</t>
        </is>
      </c>
      <c r="B259" s="1" t="n">
        <v>45476</v>
      </c>
      <c r="C259" s="1" t="n">
        <v>45931</v>
      </c>
      <c r="D259" t="inlineStr">
        <is>
          <t>UPPSALA LÄN</t>
        </is>
      </c>
      <c r="E259" t="inlineStr">
        <is>
          <t>ENKÖPING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17657-2025</t>
        </is>
      </c>
      <c r="B260" s="1" t="n">
        <v>45758.35006944444</v>
      </c>
      <c r="C260" s="1" t="n">
        <v>45931</v>
      </c>
      <c r="D260" t="inlineStr">
        <is>
          <t>UPPSALA LÄN</t>
        </is>
      </c>
      <c r="E260" t="inlineStr">
        <is>
          <t>ENKÖPING</t>
        </is>
      </c>
      <c r="G260" t="n">
        <v>3</v>
      </c>
      <c r="H260" t="n">
        <v>0</v>
      </c>
      <c r="I260" t="n">
        <v>0</v>
      </c>
      <c r="J260" t="n">
        <v>0</v>
      </c>
      <c r="K260" t="n">
        <v>0</v>
      </c>
      <c r="L260" t="n">
        <v>0</v>
      </c>
      <c r="M260" t="n">
        <v>0</v>
      </c>
      <c r="N260" t="n">
        <v>0</v>
      </c>
      <c r="O260" t="n">
        <v>0</v>
      </c>
      <c r="P260" t="n">
        <v>0</v>
      </c>
      <c r="Q260" t="n">
        <v>0</v>
      </c>
      <c r="R260" s="2" t="inlineStr"/>
    </row>
    <row r="261" ht="15" customHeight="1">
      <c r="A261" t="inlineStr">
        <is>
          <t>A 51010-2024</t>
        </is>
      </c>
      <c r="B261" s="1" t="n">
        <v>45603.39285879629</v>
      </c>
      <c r="C261" s="1" t="n">
        <v>45931</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51042-2024</t>
        </is>
      </c>
      <c r="B262" s="1" t="n">
        <v>45603.4342824074</v>
      </c>
      <c r="C262" s="1" t="n">
        <v>45931</v>
      </c>
      <c r="D262" t="inlineStr">
        <is>
          <t>UPPSALA LÄN</t>
        </is>
      </c>
      <c r="E262" t="inlineStr">
        <is>
          <t>ENKÖPING</t>
        </is>
      </c>
      <c r="G262" t="n">
        <v>4.6</v>
      </c>
      <c r="H262" t="n">
        <v>0</v>
      </c>
      <c r="I262" t="n">
        <v>0</v>
      </c>
      <c r="J262" t="n">
        <v>0</v>
      </c>
      <c r="K262" t="n">
        <v>0</v>
      </c>
      <c r="L262" t="n">
        <v>0</v>
      </c>
      <c r="M262" t="n">
        <v>0</v>
      </c>
      <c r="N262" t="n">
        <v>0</v>
      </c>
      <c r="O262" t="n">
        <v>0</v>
      </c>
      <c r="P262" t="n">
        <v>0</v>
      </c>
      <c r="Q262" t="n">
        <v>0</v>
      </c>
      <c r="R262" s="2" t="inlineStr"/>
    </row>
    <row r="263" ht="15" customHeight="1">
      <c r="A263" t="inlineStr">
        <is>
          <t>A 14518-2025</t>
        </is>
      </c>
      <c r="B263" s="1" t="n">
        <v>45741</v>
      </c>
      <c r="C263" s="1" t="n">
        <v>45931</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54776-2024</t>
        </is>
      </c>
      <c r="B264" s="1" t="n">
        <v>45618</v>
      </c>
      <c r="C264" s="1" t="n">
        <v>45931</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22150-2025</t>
        </is>
      </c>
      <c r="B265" s="1" t="n">
        <v>45785.56398148148</v>
      </c>
      <c r="C265" s="1" t="n">
        <v>45931</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22912-2024</t>
        </is>
      </c>
      <c r="B266" s="1" t="n">
        <v>45448.73118055556</v>
      </c>
      <c r="C266" s="1" t="n">
        <v>45931</v>
      </c>
      <c r="D266" t="inlineStr">
        <is>
          <t>UPPSALA LÄN</t>
        </is>
      </c>
      <c r="E266" t="inlineStr">
        <is>
          <t>ENKÖPING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53149-2020</t>
        </is>
      </c>
      <c r="B267" s="1" t="n">
        <v>44120</v>
      </c>
      <c r="C267" s="1" t="n">
        <v>45931</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15939-2022</t>
        </is>
      </c>
      <c r="B268" s="1" t="n">
        <v>44664</v>
      </c>
      <c r="C268" s="1" t="n">
        <v>45931</v>
      </c>
      <c r="D268" t="inlineStr">
        <is>
          <t>UPPSALA LÄN</t>
        </is>
      </c>
      <c r="E268" t="inlineStr">
        <is>
          <t>ENKÖPING</t>
        </is>
      </c>
      <c r="G268" t="n">
        <v>2</v>
      </c>
      <c r="H268" t="n">
        <v>0</v>
      </c>
      <c r="I268" t="n">
        <v>0</v>
      </c>
      <c r="J268" t="n">
        <v>0</v>
      </c>
      <c r="K268" t="n">
        <v>0</v>
      </c>
      <c r="L268" t="n">
        <v>0</v>
      </c>
      <c r="M268" t="n">
        <v>0</v>
      </c>
      <c r="N268" t="n">
        <v>0</v>
      </c>
      <c r="O268" t="n">
        <v>0</v>
      </c>
      <c r="P268" t="n">
        <v>0</v>
      </c>
      <c r="Q268" t="n">
        <v>0</v>
      </c>
      <c r="R268" s="2" t="inlineStr"/>
    </row>
    <row r="269" ht="15" customHeight="1">
      <c r="A269" t="inlineStr">
        <is>
          <t>A 22156-2025</t>
        </is>
      </c>
      <c r="B269" s="1" t="n">
        <v>45785.57512731481</v>
      </c>
      <c r="C269" s="1" t="n">
        <v>45931</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50394-2024</t>
        </is>
      </c>
      <c r="B270" s="1" t="n">
        <v>45600</v>
      </c>
      <c r="C270" s="1" t="n">
        <v>45931</v>
      </c>
      <c r="D270" t="inlineStr">
        <is>
          <t>UPPSALA LÄN</t>
        </is>
      </c>
      <c r="E270" t="inlineStr">
        <is>
          <t>ENKÖPING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30087-2024</t>
        </is>
      </c>
      <c r="B271" s="1" t="n">
        <v>45489.39447916667</v>
      </c>
      <c r="C271" s="1" t="n">
        <v>45931</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9667-2024</t>
        </is>
      </c>
      <c r="B272" s="1" t="n">
        <v>45362.45130787037</v>
      </c>
      <c r="C272" s="1" t="n">
        <v>45931</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22632-2025</t>
        </is>
      </c>
      <c r="B273" s="1" t="n">
        <v>45789.44361111111</v>
      </c>
      <c r="C273" s="1" t="n">
        <v>45931</v>
      </c>
      <c r="D273" t="inlineStr">
        <is>
          <t>UPPSALA LÄN</t>
        </is>
      </c>
      <c r="E273" t="inlineStr">
        <is>
          <t>ENKÖPING</t>
        </is>
      </c>
      <c r="G273" t="n">
        <v>2.1</v>
      </c>
      <c r="H273" t="n">
        <v>0</v>
      </c>
      <c r="I273" t="n">
        <v>0</v>
      </c>
      <c r="J273" t="n">
        <v>0</v>
      </c>
      <c r="K273" t="n">
        <v>0</v>
      </c>
      <c r="L273" t="n">
        <v>0</v>
      </c>
      <c r="M273" t="n">
        <v>0</v>
      </c>
      <c r="N273" t="n">
        <v>0</v>
      </c>
      <c r="O273" t="n">
        <v>0</v>
      </c>
      <c r="P273" t="n">
        <v>0</v>
      </c>
      <c r="Q273" t="n">
        <v>0</v>
      </c>
      <c r="R273" s="2" t="inlineStr"/>
    </row>
    <row r="274" ht="15" customHeight="1">
      <c r="A274" t="inlineStr">
        <is>
          <t>A 22677-2025</t>
        </is>
      </c>
      <c r="B274" s="1" t="n">
        <v>45789.49515046296</v>
      </c>
      <c r="C274" s="1" t="n">
        <v>45931</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22679-2025</t>
        </is>
      </c>
      <c r="B275" s="1" t="n">
        <v>45789.49747685185</v>
      </c>
      <c r="C275" s="1" t="n">
        <v>45931</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22729-2025</t>
        </is>
      </c>
      <c r="B276" s="1" t="n">
        <v>45789.57790509259</v>
      </c>
      <c r="C276" s="1" t="n">
        <v>45931</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22786-2025</t>
        </is>
      </c>
      <c r="B277" s="1" t="n">
        <v>45789.64643518518</v>
      </c>
      <c r="C277" s="1" t="n">
        <v>45931</v>
      </c>
      <c r="D277" t="inlineStr">
        <is>
          <t>UPPSALA LÄN</t>
        </is>
      </c>
      <c r="E277" t="inlineStr">
        <is>
          <t>ENKÖPING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22795-2025</t>
        </is>
      </c>
      <c r="B278" s="1" t="n">
        <v>45789.65944444444</v>
      </c>
      <c r="C278" s="1" t="n">
        <v>45931</v>
      </c>
      <c r="D278" t="inlineStr">
        <is>
          <t>UPPSALA LÄN</t>
        </is>
      </c>
      <c r="E278" t="inlineStr">
        <is>
          <t>ENKÖPING</t>
        </is>
      </c>
      <c r="G278" t="n">
        <v>10.4</v>
      </c>
      <c r="H278" t="n">
        <v>0</v>
      </c>
      <c r="I278" t="n">
        <v>0</v>
      </c>
      <c r="J278" t="n">
        <v>0</v>
      </c>
      <c r="K278" t="n">
        <v>0</v>
      </c>
      <c r="L278" t="n">
        <v>0</v>
      </c>
      <c r="M278" t="n">
        <v>0</v>
      </c>
      <c r="N278" t="n">
        <v>0</v>
      </c>
      <c r="O278" t="n">
        <v>0</v>
      </c>
      <c r="P278" t="n">
        <v>0</v>
      </c>
      <c r="Q278" t="n">
        <v>0</v>
      </c>
      <c r="R278" s="2" t="inlineStr"/>
    </row>
    <row r="279" ht="15" customHeight="1">
      <c r="A279" t="inlineStr">
        <is>
          <t>A 72840-2021</t>
        </is>
      </c>
      <c r="B279" s="1" t="n">
        <v>44547</v>
      </c>
      <c r="C279" s="1" t="n">
        <v>45931</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22802-2025</t>
        </is>
      </c>
      <c r="B280" s="1" t="n">
        <v>45789.6686574074</v>
      </c>
      <c r="C280" s="1" t="n">
        <v>45931</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37870-2023</t>
        </is>
      </c>
      <c r="B281" s="1" t="n">
        <v>45160.41996527778</v>
      </c>
      <c r="C281" s="1" t="n">
        <v>45931</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7090-2022</t>
        </is>
      </c>
      <c r="B282" s="1" t="n">
        <v>44603.59520833333</v>
      </c>
      <c r="C282" s="1" t="n">
        <v>45931</v>
      </c>
      <c r="D282" t="inlineStr">
        <is>
          <t>UPPSALA LÄN</t>
        </is>
      </c>
      <c r="E282" t="inlineStr">
        <is>
          <t>ENKÖPING</t>
        </is>
      </c>
      <c r="G282" t="n">
        <v>2.8</v>
      </c>
      <c r="H282" t="n">
        <v>0</v>
      </c>
      <c r="I282" t="n">
        <v>0</v>
      </c>
      <c r="J282" t="n">
        <v>0</v>
      </c>
      <c r="K282" t="n">
        <v>0</v>
      </c>
      <c r="L282" t="n">
        <v>0</v>
      </c>
      <c r="M282" t="n">
        <v>0</v>
      </c>
      <c r="N282" t="n">
        <v>0</v>
      </c>
      <c r="O282" t="n">
        <v>0</v>
      </c>
      <c r="P282" t="n">
        <v>0</v>
      </c>
      <c r="Q282" t="n">
        <v>0</v>
      </c>
      <c r="R282" s="2" t="inlineStr"/>
    </row>
    <row r="283" ht="15" customHeight="1">
      <c r="A283" t="inlineStr">
        <is>
          <t>A 49063-2024</t>
        </is>
      </c>
      <c r="B283" s="1" t="n">
        <v>45594.59869212963</v>
      </c>
      <c r="C283" s="1" t="n">
        <v>45931</v>
      </c>
      <c r="D283" t="inlineStr">
        <is>
          <t>UPPSALA LÄN</t>
        </is>
      </c>
      <c r="E283" t="inlineStr">
        <is>
          <t>ENKÖPING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14083-2025</t>
        </is>
      </c>
      <c r="B284" s="1" t="n">
        <v>45740</v>
      </c>
      <c r="C284" s="1" t="n">
        <v>45931</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22680-2025</t>
        </is>
      </c>
      <c r="B285" s="1" t="n">
        <v>45789.5005787037</v>
      </c>
      <c r="C285" s="1" t="n">
        <v>45931</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6981-2025</t>
        </is>
      </c>
      <c r="B286" s="1" t="n">
        <v>45701</v>
      </c>
      <c r="C286" s="1" t="n">
        <v>45931</v>
      </c>
      <c r="D286" t="inlineStr">
        <is>
          <t>UPPSALA LÄN</t>
        </is>
      </c>
      <c r="E286" t="inlineStr">
        <is>
          <t>ENKÖPING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22770-2025</t>
        </is>
      </c>
      <c r="B287" s="1" t="n">
        <v>45789.63454861111</v>
      </c>
      <c r="C287" s="1" t="n">
        <v>45931</v>
      </c>
      <c r="D287" t="inlineStr">
        <is>
          <t>UPPSALA LÄN</t>
        </is>
      </c>
      <c r="E287" t="inlineStr">
        <is>
          <t>ENKÖPING</t>
        </is>
      </c>
      <c r="G287" t="n">
        <v>4.5</v>
      </c>
      <c r="H287" t="n">
        <v>0</v>
      </c>
      <c r="I287" t="n">
        <v>0</v>
      </c>
      <c r="J287" t="n">
        <v>0</v>
      </c>
      <c r="K287" t="n">
        <v>0</v>
      </c>
      <c r="L287" t="n">
        <v>0</v>
      </c>
      <c r="M287" t="n">
        <v>0</v>
      </c>
      <c r="N287" t="n">
        <v>0</v>
      </c>
      <c r="O287" t="n">
        <v>0</v>
      </c>
      <c r="P287" t="n">
        <v>0</v>
      </c>
      <c r="Q287" t="n">
        <v>0</v>
      </c>
      <c r="R287" s="2" t="inlineStr"/>
    </row>
    <row r="288" ht="15" customHeight="1">
      <c r="A288" t="inlineStr">
        <is>
          <t>A 22725-2025</t>
        </is>
      </c>
      <c r="B288" s="1" t="n">
        <v>45789.57371527778</v>
      </c>
      <c r="C288" s="1" t="n">
        <v>45931</v>
      </c>
      <c r="D288" t="inlineStr">
        <is>
          <t>UPPSALA LÄN</t>
        </is>
      </c>
      <c r="E288" t="inlineStr">
        <is>
          <t>ENKÖPING</t>
        </is>
      </c>
      <c r="G288" t="n">
        <v>4.8</v>
      </c>
      <c r="H288" t="n">
        <v>0</v>
      </c>
      <c r="I288" t="n">
        <v>0</v>
      </c>
      <c r="J288" t="n">
        <v>0</v>
      </c>
      <c r="K288" t="n">
        <v>0</v>
      </c>
      <c r="L288" t="n">
        <v>0</v>
      </c>
      <c r="M288" t="n">
        <v>0</v>
      </c>
      <c r="N288" t="n">
        <v>0</v>
      </c>
      <c r="O288" t="n">
        <v>0</v>
      </c>
      <c r="P288" t="n">
        <v>0</v>
      </c>
      <c r="Q288" t="n">
        <v>0</v>
      </c>
      <c r="R288" s="2" t="inlineStr"/>
    </row>
    <row r="289" ht="15" customHeight="1">
      <c r="A289" t="inlineStr">
        <is>
          <t>A 22981-2025</t>
        </is>
      </c>
      <c r="B289" s="1" t="n">
        <v>45790.56964120371</v>
      </c>
      <c r="C289" s="1" t="n">
        <v>45931</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19298-2023</t>
        </is>
      </c>
      <c r="B290" s="1" t="n">
        <v>45048</v>
      </c>
      <c r="C290" s="1" t="n">
        <v>45931</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68123-2021</t>
        </is>
      </c>
      <c r="B291" s="1" t="n">
        <v>44526.39126157408</v>
      </c>
      <c r="C291" s="1" t="n">
        <v>45931</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22793-2025</t>
        </is>
      </c>
      <c r="B292" s="1" t="n">
        <v>45789.65693287037</v>
      </c>
      <c r="C292" s="1" t="n">
        <v>45931</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22800-2025</t>
        </is>
      </c>
      <c r="B293" s="1" t="n">
        <v>45789.6669212963</v>
      </c>
      <c r="C293" s="1" t="n">
        <v>45931</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43506-2023</t>
        </is>
      </c>
      <c r="B294" s="1" t="n">
        <v>45181</v>
      </c>
      <c r="C294" s="1" t="n">
        <v>45931</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14004-2023</t>
        </is>
      </c>
      <c r="B295" s="1" t="n">
        <v>45008</v>
      </c>
      <c r="C295" s="1" t="n">
        <v>45931</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15409-2025</t>
        </is>
      </c>
      <c r="B296" s="1" t="n">
        <v>45747</v>
      </c>
      <c r="C296" s="1" t="n">
        <v>45931</v>
      </c>
      <c r="D296" t="inlineStr">
        <is>
          <t>UPPSALA LÄN</t>
        </is>
      </c>
      <c r="E296" t="inlineStr">
        <is>
          <t>ENKÖPING</t>
        </is>
      </c>
      <c r="G296" t="n">
        <v>2.5</v>
      </c>
      <c r="H296" t="n">
        <v>0</v>
      </c>
      <c r="I296" t="n">
        <v>0</v>
      </c>
      <c r="J296" t="n">
        <v>0</v>
      </c>
      <c r="K296" t="n">
        <v>0</v>
      </c>
      <c r="L296" t="n">
        <v>0</v>
      </c>
      <c r="M296" t="n">
        <v>0</v>
      </c>
      <c r="N296" t="n">
        <v>0</v>
      </c>
      <c r="O296" t="n">
        <v>0</v>
      </c>
      <c r="P296" t="n">
        <v>0</v>
      </c>
      <c r="Q296" t="n">
        <v>0</v>
      </c>
      <c r="R296" s="2" t="inlineStr"/>
    </row>
    <row r="297" ht="15" customHeight="1">
      <c r="A297" t="inlineStr">
        <is>
          <t>A 51012-2024</t>
        </is>
      </c>
      <c r="B297" s="1" t="n">
        <v>45603.39686342593</v>
      </c>
      <c r="C297" s="1" t="n">
        <v>45931</v>
      </c>
      <c r="D297" t="inlineStr">
        <is>
          <t>UPPSALA LÄN</t>
        </is>
      </c>
      <c r="E297" t="inlineStr">
        <is>
          <t>ENKÖPING</t>
        </is>
      </c>
      <c r="G297" t="n">
        <v>2.7</v>
      </c>
      <c r="H297" t="n">
        <v>0</v>
      </c>
      <c r="I297" t="n">
        <v>0</v>
      </c>
      <c r="J297" t="n">
        <v>0</v>
      </c>
      <c r="K297" t="n">
        <v>0</v>
      </c>
      <c r="L297" t="n">
        <v>0</v>
      </c>
      <c r="M297" t="n">
        <v>0</v>
      </c>
      <c r="N297" t="n">
        <v>0</v>
      </c>
      <c r="O297" t="n">
        <v>0</v>
      </c>
      <c r="P297" t="n">
        <v>0</v>
      </c>
      <c r="Q297" t="n">
        <v>0</v>
      </c>
      <c r="R297" s="2" t="inlineStr"/>
    </row>
    <row r="298" ht="15" customHeight="1">
      <c r="A298" t="inlineStr">
        <is>
          <t>A 51037-2024</t>
        </is>
      </c>
      <c r="B298" s="1" t="n">
        <v>45603.43005787037</v>
      </c>
      <c r="C298" s="1" t="n">
        <v>45931</v>
      </c>
      <c r="D298" t="inlineStr">
        <is>
          <t>UPPSALA LÄN</t>
        </is>
      </c>
      <c r="E298" t="inlineStr">
        <is>
          <t>ENKÖPING</t>
        </is>
      </c>
      <c r="G298" t="n">
        <v>5.7</v>
      </c>
      <c r="H298" t="n">
        <v>0</v>
      </c>
      <c r="I298" t="n">
        <v>0</v>
      </c>
      <c r="J298" t="n">
        <v>0</v>
      </c>
      <c r="K298" t="n">
        <v>0</v>
      </c>
      <c r="L298" t="n">
        <v>0</v>
      </c>
      <c r="M298" t="n">
        <v>0</v>
      </c>
      <c r="N298" t="n">
        <v>0</v>
      </c>
      <c r="O298" t="n">
        <v>0</v>
      </c>
      <c r="P298" t="n">
        <v>0</v>
      </c>
      <c r="Q298" t="n">
        <v>0</v>
      </c>
      <c r="R298" s="2" t="inlineStr"/>
    </row>
    <row r="299" ht="15" customHeight="1">
      <c r="A299" t="inlineStr">
        <is>
          <t>A 17729-2023</t>
        </is>
      </c>
      <c r="B299" s="1" t="n">
        <v>45037</v>
      </c>
      <c r="C299" s="1" t="n">
        <v>45931</v>
      </c>
      <c r="D299" t="inlineStr">
        <is>
          <t>UPPSALA LÄN</t>
        </is>
      </c>
      <c r="E299" t="inlineStr">
        <is>
          <t>ENKÖPING</t>
        </is>
      </c>
      <c r="G299" t="n">
        <v>10.2</v>
      </c>
      <c r="H299" t="n">
        <v>0</v>
      </c>
      <c r="I299" t="n">
        <v>0</v>
      </c>
      <c r="J299" t="n">
        <v>0</v>
      </c>
      <c r="K299" t="n">
        <v>0</v>
      </c>
      <c r="L299" t="n">
        <v>0</v>
      </c>
      <c r="M299" t="n">
        <v>0</v>
      </c>
      <c r="N299" t="n">
        <v>0</v>
      </c>
      <c r="O299" t="n">
        <v>0</v>
      </c>
      <c r="P299" t="n">
        <v>0</v>
      </c>
      <c r="Q299" t="n">
        <v>0</v>
      </c>
      <c r="R299" s="2" t="inlineStr"/>
    </row>
    <row r="300" ht="15" customHeight="1">
      <c r="A300" t="inlineStr">
        <is>
          <t>A 5749-2025</t>
        </is>
      </c>
      <c r="B300" s="1" t="n">
        <v>45694</v>
      </c>
      <c r="C300" s="1" t="n">
        <v>45931</v>
      </c>
      <c r="D300" t="inlineStr">
        <is>
          <t>UPPSALA LÄN</t>
        </is>
      </c>
      <c r="E300" t="inlineStr">
        <is>
          <t>ENKÖPING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8020-2022</t>
        </is>
      </c>
      <c r="B301" s="1" t="n">
        <v>44609</v>
      </c>
      <c r="C301" s="1" t="n">
        <v>45931</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41828-2024</t>
        </is>
      </c>
      <c r="B302" s="1" t="n">
        <v>45561</v>
      </c>
      <c r="C302" s="1" t="n">
        <v>45931</v>
      </c>
      <c r="D302" t="inlineStr">
        <is>
          <t>UPPSALA LÄN</t>
        </is>
      </c>
      <c r="E302" t="inlineStr">
        <is>
          <t>ENKÖPING</t>
        </is>
      </c>
      <c r="G302" t="n">
        <v>2.5</v>
      </c>
      <c r="H302" t="n">
        <v>0</v>
      </c>
      <c r="I302" t="n">
        <v>0</v>
      </c>
      <c r="J302" t="n">
        <v>0</v>
      </c>
      <c r="K302" t="n">
        <v>0</v>
      </c>
      <c r="L302" t="n">
        <v>0</v>
      </c>
      <c r="M302" t="n">
        <v>0</v>
      </c>
      <c r="N302" t="n">
        <v>0</v>
      </c>
      <c r="O302" t="n">
        <v>0</v>
      </c>
      <c r="P302" t="n">
        <v>0</v>
      </c>
      <c r="Q302" t="n">
        <v>0</v>
      </c>
      <c r="R302" s="2" t="inlineStr"/>
    </row>
    <row r="303" ht="15" customHeight="1">
      <c r="A303" t="inlineStr">
        <is>
          <t>A 34805-2024</t>
        </is>
      </c>
      <c r="B303" s="1" t="n">
        <v>45526</v>
      </c>
      <c r="C303" s="1" t="n">
        <v>45931</v>
      </c>
      <c r="D303" t="inlineStr">
        <is>
          <t>UPPSALA LÄN</t>
        </is>
      </c>
      <c r="E303" t="inlineStr">
        <is>
          <t>ENKÖPING</t>
        </is>
      </c>
      <c r="G303" t="n">
        <v>3.6</v>
      </c>
      <c r="H303" t="n">
        <v>0</v>
      </c>
      <c r="I303" t="n">
        <v>0</v>
      </c>
      <c r="J303" t="n">
        <v>0</v>
      </c>
      <c r="K303" t="n">
        <v>0</v>
      </c>
      <c r="L303" t="n">
        <v>0</v>
      </c>
      <c r="M303" t="n">
        <v>0</v>
      </c>
      <c r="N303" t="n">
        <v>0</v>
      </c>
      <c r="O303" t="n">
        <v>0</v>
      </c>
      <c r="P303" t="n">
        <v>0</v>
      </c>
      <c r="Q303" t="n">
        <v>0</v>
      </c>
      <c r="R303" s="2" t="inlineStr"/>
    </row>
    <row r="304" ht="15" customHeight="1">
      <c r="A304" t="inlineStr">
        <is>
          <t>A 314-2025</t>
        </is>
      </c>
      <c r="B304" s="1" t="n">
        <v>45656</v>
      </c>
      <c r="C304" s="1" t="n">
        <v>45931</v>
      </c>
      <c r="D304" t="inlineStr">
        <is>
          <t>UPPSALA LÄN</t>
        </is>
      </c>
      <c r="E304" t="inlineStr">
        <is>
          <t>ENKÖPING</t>
        </is>
      </c>
      <c r="G304" t="n">
        <v>9</v>
      </c>
      <c r="H304" t="n">
        <v>0</v>
      </c>
      <c r="I304" t="n">
        <v>0</v>
      </c>
      <c r="J304" t="n">
        <v>0</v>
      </c>
      <c r="K304" t="n">
        <v>0</v>
      </c>
      <c r="L304" t="n">
        <v>0</v>
      </c>
      <c r="M304" t="n">
        <v>0</v>
      </c>
      <c r="N304" t="n">
        <v>0</v>
      </c>
      <c r="O304" t="n">
        <v>0</v>
      </c>
      <c r="P304" t="n">
        <v>0</v>
      </c>
      <c r="Q304" t="n">
        <v>0</v>
      </c>
      <c r="R304" s="2" t="inlineStr"/>
    </row>
    <row r="305" ht="15" customHeight="1">
      <c r="A305" t="inlineStr">
        <is>
          <t>A 10831-2024</t>
        </is>
      </c>
      <c r="B305" s="1" t="n">
        <v>45369</v>
      </c>
      <c r="C305" s="1" t="n">
        <v>45931</v>
      </c>
      <c r="D305" t="inlineStr">
        <is>
          <t>UPPSALA LÄN</t>
        </is>
      </c>
      <c r="E305" t="inlineStr">
        <is>
          <t>ENKÖPING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34617-2022</t>
        </is>
      </c>
      <c r="B306" s="1" t="n">
        <v>44795</v>
      </c>
      <c r="C306" s="1" t="n">
        <v>45931</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5712-2025</t>
        </is>
      </c>
      <c r="B307" s="1" t="n">
        <v>45694</v>
      </c>
      <c r="C307" s="1" t="n">
        <v>45931</v>
      </c>
      <c r="D307" t="inlineStr">
        <is>
          <t>UPPSALA LÄN</t>
        </is>
      </c>
      <c r="E307" t="inlineStr">
        <is>
          <t>ENKÖPING</t>
        </is>
      </c>
      <c r="G307" t="n">
        <v>5.1</v>
      </c>
      <c r="H307" t="n">
        <v>0</v>
      </c>
      <c r="I307" t="n">
        <v>0</v>
      </c>
      <c r="J307" t="n">
        <v>0</v>
      </c>
      <c r="K307" t="n">
        <v>0</v>
      </c>
      <c r="L307" t="n">
        <v>0</v>
      </c>
      <c r="M307" t="n">
        <v>0</v>
      </c>
      <c r="N307" t="n">
        <v>0</v>
      </c>
      <c r="O307" t="n">
        <v>0</v>
      </c>
      <c r="P307" t="n">
        <v>0</v>
      </c>
      <c r="Q307" t="n">
        <v>0</v>
      </c>
      <c r="R307" s="2" t="inlineStr"/>
    </row>
    <row r="308" ht="15" customHeight="1">
      <c r="A308" t="inlineStr">
        <is>
          <t>A 40202-2024</t>
        </is>
      </c>
      <c r="B308" s="1" t="n">
        <v>45554</v>
      </c>
      <c r="C308" s="1" t="n">
        <v>45931</v>
      </c>
      <c r="D308" t="inlineStr">
        <is>
          <t>UPPSALA LÄN</t>
        </is>
      </c>
      <c r="E308" t="inlineStr">
        <is>
          <t>ENKÖPING</t>
        </is>
      </c>
      <c r="G308" t="n">
        <v>6.2</v>
      </c>
      <c r="H308" t="n">
        <v>0</v>
      </c>
      <c r="I308" t="n">
        <v>0</v>
      </c>
      <c r="J308" t="n">
        <v>0</v>
      </c>
      <c r="K308" t="n">
        <v>0</v>
      </c>
      <c r="L308" t="n">
        <v>0</v>
      </c>
      <c r="M308" t="n">
        <v>0</v>
      </c>
      <c r="N308" t="n">
        <v>0</v>
      </c>
      <c r="O308" t="n">
        <v>0</v>
      </c>
      <c r="P308" t="n">
        <v>0</v>
      </c>
      <c r="Q308" t="n">
        <v>0</v>
      </c>
      <c r="R308" s="2" t="inlineStr"/>
    </row>
    <row r="309" ht="15" customHeight="1">
      <c r="A309" t="inlineStr">
        <is>
          <t>A 40223-2024</t>
        </is>
      </c>
      <c r="B309" s="1" t="n">
        <v>45554</v>
      </c>
      <c r="C309" s="1" t="n">
        <v>45931</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69879-2021</t>
        </is>
      </c>
      <c r="B310" s="1" t="n">
        <v>44532</v>
      </c>
      <c r="C310" s="1" t="n">
        <v>45931</v>
      </c>
      <c r="D310" t="inlineStr">
        <is>
          <t>UPPSALA LÄN</t>
        </is>
      </c>
      <c r="E310" t="inlineStr">
        <is>
          <t>ENKÖPING</t>
        </is>
      </c>
      <c r="G310" t="n">
        <v>4.2</v>
      </c>
      <c r="H310" t="n">
        <v>0</v>
      </c>
      <c r="I310" t="n">
        <v>0</v>
      </c>
      <c r="J310" t="n">
        <v>0</v>
      </c>
      <c r="K310" t="n">
        <v>0</v>
      </c>
      <c r="L310" t="n">
        <v>0</v>
      </c>
      <c r="M310" t="n">
        <v>0</v>
      </c>
      <c r="N310" t="n">
        <v>0</v>
      </c>
      <c r="O310" t="n">
        <v>0</v>
      </c>
      <c r="P310" t="n">
        <v>0</v>
      </c>
      <c r="Q310" t="n">
        <v>0</v>
      </c>
      <c r="R310" s="2" t="inlineStr"/>
    </row>
    <row r="311" ht="15" customHeight="1">
      <c r="A311" t="inlineStr">
        <is>
          <t>A 45956-2024</t>
        </is>
      </c>
      <c r="B311" s="1" t="n">
        <v>45580</v>
      </c>
      <c r="C311" s="1" t="n">
        <v>45931</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19013-2025</t>
        </is>
      </c>
      <c r="B312" s="1" t="n">
        <v>45764.59533564815</v>
      </c>
      <c r="C312" s="1" t="n">
        <v>45931</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11627-2025</t>
        </is>
      </c>
      <c r="B313" s="1" t="n">
        <v>45727</v>
      </c>
      <c r="C313" s="1" t="n">
        <v>45931</v>
      </c>
      <c r="D313" t="inlineStr">
        <is>
          <t>UPPSALA LÄN</t>
        </is>
      </c>
      <c r="E313" t="inlineStr">
        <is>
          <t>ENKÖPING</t>
        </is>
      </c>
      <c r="G313" t="n">
        <v>5.5</v>
      </c>
      <c r="H313" t="n">
        <v>0</v>
      </c>
      <c r="I313" t="n">
        <v>0</v>
      </c>
      <c r="J313" t="n">
        <v>0</v>
      </c>
      <c r="K313" t="n">
        <v>0</v>
      </c>
      <c r="L313" t="n">
        <v>0</v>
      </c>
      <c r="M313" t="n">
        <v>0</v>
      </c>
      <c r="N313" t="n">
        <v>0</v>
      </c>
      <c r="O313" t="n">
        <v>0</v>
      </c>
      <c r="P313" t="n">
        <v>0</v>
      </c>
      <c r="Q313" t="n">
        <v>0</v>
      </c>
      <c r="R313" s="2" t="inlineStr"/>
    </row>
    <row r="314" ht="15" customHeight="1">
      <c r="A314" t="inlineStr">
        <is>
          <t>A 74090-2021</t>
        </is>
      </c>
      <c r="B314" s="1" t="n">
        <v>44557</v>
      </c>
      <c r="C314" s="1" t="n">
        <v>45931</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10465-2022</t>
        </is>
      </c>
      <c r="B315" s="1" t="n">
        <v>44623</v>
      </c>
      <c r="C315" s="1" t="n">
        <v>45931</v>
      </c>
      <c r="D315" t="inlineStr">
        <is>
          <t>UPPSALA LÄN</t>
        </is>
      </c>
      <c r="E315" t="inlineStr">
        <is>
          <t>ENKÖPING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57335-2024</t>
        </is>
      </c>
      <c r="B316" s="1" t="n">
        <v>45629.63302083333</v>
      </c>
      <c r="C316" s="1" t="n">
        <v>45931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23301-2024</t>
        </is>
      </c>
      <c r="B317" s="1" t="n">
        <v>45453.4396412037</v>
      </c>
      <c r="C317" s="1" t="n">
        <v>45931</v>
      </c>
      <c r="D317" t="inlineStr">
        <is>
          <t>UPPSALA LÄN</t>
        </is>
      </c>
      <c r="E317" t="inlineStr">
        <is>
          <t>ENKÖPING</t>
        </is>
      </c>
      <c r="G317" t="n">
        <v>4.3</v>
      </c>
      <c r="H317" t="n">
        <v>0</v>
      </c>
      <c r="I317" t="n">
        <v>0</v>
      </c>
      <c r="J317" t="n">
        <v>0</v>
      </c>
      <c r="K317" t="n">
        <v>0</v>
      </c>
      <c r="L317" t="n">
        <v>0</v>
      </c>
      <c r="M317" t="n">
        <v>0</v>
      </c>
      <c r="N317" t="n">
        <v>0</v>
      </c>
      <c r="O317" t="n">
        <v>0</v>
      </c>
      <c r="P317" t="n">
        <v>0</v>
      </c>
      <c r="Q317" t="n">
        <v>0</v>
      </c>
      <c r="R317" s="2" t="inlineStr"/>
    </row>
    <row r="318" ht="15" customHeight="1">
      <c r="A318" t="inlineStr">
        <is>
          <t>A 2833-2025</t>
        </is>
      </c>
      <c r="B318" s="1" t="n">
        <v>45677.63206018518</v>
      </c>
      <c r="C318" s="1" t="n">
        <v>45931</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33619-2022</t>
        </is>
      </c>
      <c r="B319" s="1" t="n">
        <v>44789</v>
      </c>
      <c r="C319" s="1" t="n">
        <v>45931</v>
      </c>
      <c r="D319" t="inlineStr">
        <is>
          <t>UPPSALA LÄN</t>
        </is>
      </c>
      <c r="E319" t="inlineStr">
        <is>
          <t>ENKÖPING</t>
        </is>
      </c>
      <c r="F319" t="inlineStr">
        <is>
          <t>Allmännings- och besparingsskogar</t>
        </is>
      </c>
      <c r="G319" t="n">
        <v>4.5</v>
      </c>
      <c r="H319" t="n">
        <v>0</v>
      </c>
      <c r="I319" t="n">
        <v>0</v>
      </c>
      <c r="J319" t="n">
        <v>0</v>
      </c>
      <c r="K319" t="n">
        <v>0</v>
      </c>
      <c r="L319" t="n">
        <v>0</v>
      </c>
      <c r="M319" t="n">
        <v>0</v>
      </c>
      <c r="N319" t="n">
        <v>0</v>
      </c>
      <c r="O319" t="n">
        <v>0</v>
      </c>
      <c r="P319" t="n">
        <v>0</v>
      </c>
      <c r="Q319" t="n">
        <v>0</v>
      </c>
      <c r="R319" s="2" t="inlineStr"/>
    </row>
    <row r="320" ht="15" customHeight="1">
      <c r="A320" t="inlineStr">
        <is>
          <t>A 58092-2024</t>
        </is>
      </c>
      <c r="B320" s="1" t="n">
        <v>45632</v>
      </c>
      <c r="C320" s="1" t="n">
        <v>45931</v>
      </c>
      <c r="D320" t="inlineStr">
        <is>
          <t>UPPSALA LÄN</t>
        </is>
      </c>
      <c r="E320" t="inlineStr">
        <is>
          <t>ENKÖPING</t>
        </is>
      </c>
      <c r="G320" t="n">
        <v>4.8</v>
      </c>
      <c r="H320" t="n">
        <v>0</v>
      </c>
      <c r="I320" t="n">
        <v>0</v>
      </c>
      <c r="J320" t="n">
        <v>0</v>
      </c>
      <c r="K320" t="n">
        <v>0</v>
      </c>
      <c r="L320" t="n">
        <v>0</v>
      </c>
      <c r="M320" t="n">
        <v>0</v>
      </c>
      <c r="N320" t="n">
        <v>0</v>
      </c>
      <c r="O320" t="n">
        <v>0</v>
      </c>
      <c r="P320" t="n">
        <v>0</v>
      </c>
      <c r="Q320" t="n">
        <v>0</v>
      </c>
      <c r="R320" s="2" t="inlineStr"/>
    </row>
    <row r="321" ht="15" customHeight="1">
      <c r="A321" t="inlineStr">
        <is>
          <t>A 31604-2023</t>
        </is>
      </c>
      <c r="B321" s="1" t="n">
        <v>45117.50368055556</v>
      </c>
      <c r="C321" s="1" t="n">
        <v>45931</v>
      </c>
      <c r="D321" t="inlineStr">
        <is>
          <t>UPPSALA LÄN</t>
        </is>
      </c>
      <c r="E321" t="inlineStr">
        <is>
          <t>ENKÖPING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5013-2025</t>
        </is>
      </c>
      <c r="B322" s="1" t="n">
        <v>45691</v>
      </c>
      <c r="C322" s="1" t="n">
        <v>45931</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24411-2024</t>
        </is>
      </c>
      <c r="B323" s="1" t="n">
        <v>45457</v>
      </c>
      <c r="C323" s="1" t="n">
        <v>45931</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11503-2024</t>
        </is>
      </c>
      <c r="B324" s="1" t="n">
        <v>45372.68020833333</v>
      </c>
      <c r="C324" s="1" t="n">
        <v>45931</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25988-2025</t>
        </is>
      </c>
      <c r="B325" s="1" t="n">
        <v>45804.64814814815</v>
      </c>
      <c r="C325" s="1" t="n">
        <v>45931</v>
      </c>
      <c r="D325" t="inlineStr">
        <is>
          <t>UPPSALA LÄN</t>
        </is>
      </c>
      <c r="E325" t="inlineStr">
        <is>
          <t>ENKÖPING</t>
        </is>
      </c>
      <c r="G325" t="n">
        <v>4.7</v>
      </c>
      <c r="H325" t="n">
        <v>0</v>
      </c>
      <c r="I325" t="n">
        <v>0</v>
      </c>
      <c r="J325" t="n">
        <v>0</v>
      </c>
      <c r="K325" t="n">
        <v>0</v>
      </c>
      <c r="L325" t="n">
        <v>0</v>
      </c>
      <c r="M325" t="n">
        <v>0</v>
      </c>
      <c r="N325" t="n">
        <v>0</v>
      </c>
      <c r="O325" t="n">
        <v>0</v>
      </c>
      <c r="P325" t="n">
        <v>0</v>
      </c>
      <c r="Q325" t="n">
        <v>0</v>
      </c>
      <c r="R325" s="2" t="inlineStr"/>
    </row>
    <row r="326" ht="15" customHeight="1">
      <c r="A326" t="inlineStr">
        <is>
          <t>A 26017-2025</t>
        </is>
      </c>
      <c r="B326" s="1" t="n">
        <v>45804</v>
      </c>
      <c r="C326" s="1" t="n">
        <v>45931</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26024-2025</t>
        </is>
      </c>
      <c r="B327" s="1" t="n">
        <v>45804.6831712963</v>
      </c>
      <c r="C327" s="1" t="n">
        <v>45931</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26042-2025</t>
        </is>
      </c>
      <c r="B328" s="1" t="n">
        <v>45804.70018518518</v>
      </c>
      <c r="C328" s="1" t="n">
        <v>45931</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25990-2025</t>
        </is>
      </c>
      <c r="B329" s="1" t="n">
        <v>45804.65229166667</v>
      </c>
      <c r="C329" s="1" t="n">
        <v>45931</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26030-2025</t>
        </is>
      </c>
      <c r="B330" s="1" t="n">
        <v>45804.68815972222</v>
      </c>
      <c r="C330" s="1" t="n">
        <v>45931</v>
      </c>
      <c r="D330" t="inlineStr">
        <is>
          <t>UPPSALA LÄN</t>
        </is>
      </c>
      <c r="E330" t="inlineStr">
        <is>
          <t>ENKÖPING</t>
        </is>
      </c>
      <c r="G330" t="n">
        <v>0.3</v>
      </c>
      <c r="H330" t="n">
        <v>0</v>
      </c>
      <c r="I330" t="n">
        <v>0</v>
      </c>
      <c r="J330" t="n">
        <v>0</v>
      </c>
      <c r="K330" t="n">
        <v>0</v>
      </c>
      <c r="L330" t="n">
        <v>0</v>
      </c>
      <c r="M330" t="n">
        <v>0</v>
      </c>
      <c r="N330" t="n">
        <v>0</v>
      </c>
      <c r="O330" t="n">
        <v>0</v>
      </c>
      <c r="P330" t="n">
        <v>0</v>
      </c>
      <c r="Q330" t="n">
        <v>0</v>
      </c>
      <c r="R330" s="2" t="inlineStr"/>
    </row>
    <row r="331" ht="15" customHeight="1">
      <c r="A331" t="inlineStr">
        <is>
          <t>A 26026-2025</t>
        </is>
      </c>
      <c r="B331" s="1" t="n">
        <v>45804.68510416667</v>
      </c>
      <c r="C331" s="1" t="n">
        <v>45931</v>
      </c>
      <c r="D331" t="inlineStr">
        <is>
          <t>UPPSALA LÄN</t>
        </is>
      </c>
      <c r="E331" t="inlineStr">
        <is>
          <t>ENKÖPING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26047-2025</t>
        </is>
      </c>
      <c r="B332" s="1" t="n">
        <v>45804.70835648148</v>
      </c>
      <c r="C332" s="1" t="n">
        <v>45931</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25847-2025</t>
        </is>
      </c>
      <c r="B333" s="1" t="n">
        <v>45804</v>
      </c>
      <c r="C333" s="1" t="n">
        <v>45931</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26005-2025</t>
        </is>
      </c>
      <c r="B334" s="1" t="n">
        <v>45804.67055555555</v>
      </c>
      <c r="C334" s="1" t="n">
        <v>45931</v>
      </c>
      <c r="D334" t="inlineStr">
        <is>
          <t>UPPSALA LÄN</t>
        </is>
      </c>
      <c r="E334" t="inlineStr">
        <is>
          <t>ENKÖPING</t>
        </is>
      </c>
      <c r="G334" t="n">
        <v>0.3</v>
      </c>
      <c r="H334" t="n">
        <v>0</v>
      </c>
      <c r="I334" t="n">
        <v>0</v>
      </c>
      <c r="J334" t="n">
        <v>0</v>
      </c>
      <c r="K334" t="n">
        <v>0</v>
      </c>
      <c r="L334" t="n">
        <v>0</v>
      </c>
      <c r="M334" t="n">
        <v>0</v>
      </c>
      <c r="N334" t="n">
        <v>0</v>
      </c>
      <c r="O334" t="n">
        <v>0</v>
      </c>
      <c r="P334" t="n">
        <v>0</v>
      </c>
      <c r="Q334" t="n">
        <v>0</v>
      </c>
      <c r="R334" s="2" t="inlineStr"/>
    </row>
    <row r="335" ht="15" customHeight="1">
      <c r="A335" t="inlineStr">
        <is>
          <t>A 26031-2025</t>
        </is>
      </c>
      <c r="B335" s="1" t="n">
        <v>45804.69050925926</v>
      </c>
      <c r="C335" s="1" t="n">
        <v>45931</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26041-2025</t>
        </is>
      </c>
      <c r="B336" s="1" t="n">
        <v>45804.69883101852</v>
      </c>
      <c r="C336" s="1" t="n">
        <v>45931</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26022-2025</t>
        </is>
      </c>
      <c r="B337" s="1" t="n">
        <v>45804.68006944445</v>
      </c>
      <c r="C337" s="1" t="n">
        <v>45931</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59602-2024</t>
        </is>
      </c>
      <c r="B338" s="1" t="n">
        <v>45638</v>
      </c>
      <c r="C338" s="1" t="n">
        <v>45931</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26011-2025</t>
        </is>
      </c>
      <c r="B339" s="1" t="n">
        <v>45804.67412037037</v>
      </c>
      <c r="C339" s="1" t="n">
        <v>45931</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14243-2025</t>
        </is>
      </c>
      <c r="B340" s="1" t="n">
        <v>45740.61288194444</v>
      </c>
      <c r="C340" s="1" t="n">
        <v>45931</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19488-2022</t>
        </is>
      </c>
      <c r="B341" s="1" t="n">
        <v>44693</v>
      </c>
      <c r="C341" s="1" t="n">
        <v>45931</v>
      </c>
      <c r="D341" t="inlineStr">
        <is>
          <t>UPPSALA LÄN</t>
        </is>
      </c>
      <c r="E341" t="inlineStr">
        <is>
          <t>ENKÖPING</t>
        </is>
      </c>
      <c r="G341" t="n">
        <v>7.8</v>
      </c>
      <c r="H341" t="n">
        <v>0</v>
      </c>
      <c r="I341" t="n">
        <v>0</v>
      </c>
      <c r="J341" t="n">
        <v>0</v>
      </c>
      <c r="K341" t="n">
        <v>0</v>
      </c>
      <c r="L341" t="n">
        <v>0</v>
      </c>
      <c r="M341" t="n">
        <v>0</v>
      </c>
      <c r="N341" t="n">
        <v>0</v>
      </c>
      <c r="O341" t="n">
        <v>0</v>
      </c>
      <c r="P341" t="n">
        <v>0</v>
      </c>
      <c r="Q341" t="n">
        <v>0</v>
      </c>
      <c r="R341" s="2" t="inlineStr"/>
    </row>
    <row r="342" ht="15" customHeight="1">
      <c r="A342" t="inlineStr">
        <is>
          <t>A 2164-2023</t>
        </is>
      </c>
      <c r="B342" s="1" t="n">
        <v>44941</v>
      </c>
      <c r="C342" s="1" t="n">
        <v>45931</v>
      </c>
      <c r="D342" t="inlineStr">
        <is>
          <t>UPPSALA LÄN</t>
        </is>
      </c>
      <c r="E342" t="inlineStr">
        <is>
          <t>ENKÖPING</t>
        </is>
      </c>
      <c r="G342" t="n">
        <v>2.5</v>
      </c>
      <c r="H342" t="n">
        <v>0</v>
      </c>
      <c r="I342" t="n">
        <v>0</v>
      </c>
      <c r="J342" t="n">
        <v>0</v>
      </c>
      <c r="K342" t="n">
        <v>0</v>
      </c>
      <c r="L342" t="n">
        <v>0</v>
      </c>
      <c r="M342" t="n">
        <v>0</v>
      </c>
      <c r="N342" t="n">
        <v>0</v>
      </c>
      <c r="O342" t="n">
        <v>0</v>
      </c>
      <c r="P342" t="n">
        <v>0</v>
      </c>
      <c r="Q342" t="n">
        <v>0</v>
      </c>
      <c r="R342" s="2" t="inlineStr"/>
    </row>
    <row r="343" ht="15" customHeight="1">
      <c r="A343" t="inlineStr">
        <is>
          <t>A 41826-2024</t>
        </is>
      </c>
      <c r="B343" s="1" t="n">
        <v>45561</v>
      </c>
      <c r="C343" s="1" t="n">
        <v>45931</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33955-2024</t>
        </is>
      </c>
      <c r="B344" s="1" t="n">
        <v>45523.46952546296</v>
      </c>
      <c r="C344" s="1" t="n">
        <v>45931</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16916-2022</t>
        </is>
      </c>
      <c r="B345" s="1" t="n">
        <v>44676</v>
      </c>
      <c r="C345" s="1" t="n">
        <v>45931</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6172-2023</t>
        </is>
      </c>
      <c r="B346" s="1" t="n">
        <v>44964.68663194445</v>
      </c>
      <c r="C346" s="1" t="n">
        <v>45931</v>
      </c>
      <c r="D346" t="inlineStr">
        <is>
          <t>UPPSALA LÄN</t>
        </is>
      </c>
      <c r="E346" t="inlineStr">
        <is>
          <t>ENKÖPING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10409-2025</t>
        </is>
      </c>
      <c r="B347" s="1" t="n">
        <v>45720.631875</v>
      </c>
      <c r="C347" s="1" t="n">
        <v>45931</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35067-2024</t>
        </is>
      </c>
      <c r="B348" s="1" t="n">
        <v>45527.66153935185</v>
      </c>
      <c r="C348" s="1" t="n">
        <v>45931</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44115-2024</t>
        </is>
      </c>
      <c r="B349" s="1" t="n">
        <v>45572</v>
      </c>
      <c r="C349" s="1" t="n">
        <v>45931</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30634-2022</t>
        </is>
      </c>
      <c r="B350" s="1" t="n">
        <v>44763.45711805556</v>
      </c>
      <c r="C350" s="1" t="n">
        <v>45931</v>
      </c>
      <c r="D350" t="inlineStr">
        <is>
          <t>UPPSALA LÄN</t>
        </is>
      </c>
      <c r="E350" t="inlineStr">
        <is>
          <t>ENKÖPING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69567-2020</t>
        </is>
      </c>
      <c r="B351" s="1" t="n">
        <v>44194</v>
      </c>
      <c r="C351" s="1" t="n">
        <v>45931</v>
      </c>
      <c r="D351" t="inlineStr">
        <is>
          <t>UPPSALA LÄN</t>
        </is>
      </c>
      <c r="E351" t="inlineStr">
        <is>
          <t>ENKÖPING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3300-2025</t>
        </is>
      </c>
      <c r="B352" s="1" t="n">
        <v>45679</v>
      </c>
      <c r="C352" s="1" t="n">
        <v>45931</v>
      </c>
      <c r="D352" t="inlineStr">
        <is>
          <t>UPPSALA LÄN</t>
        </is>
      </c>
      <c r="E352" t="inlineStr">
        <is>
          <t>ENKÖPING</t>
        </is>
      </c>
      <c r="G352" t="n">
        <v>8.9</v>
      </c>
      <c r="H352" t="n">
        <v>0</v>
      </c>
      <c r="I352" t="n">
        <v>0</v>
      </c>
      <c r="J352" t="n">
        <v>0</v>
      </c>
      <c r="K352" t="n">
        <v>0</v>
      </c>
      <c r="L352" t="n">
        <v>0</v>
      </c>
      <c r="M352" t="n">
        <v>0</v>
      </c>
      <c r="N352" t="n">
        <v>0</v>
      </c>
      <c r="O352" t="n">
        <v>0</v>
      </c>
      <c r="P352" t="n">
        <v>0</v>
      </c>
      <c r="Q352" t="n">
        <v>0</v>
      </c>
      <c r="R352" s="2" t="inlineStr"/>
    </row>
    <row r="353" ht="15" customHeight="1">
      <c r="A353" t="inlineStr">
        <is>
          <t>A 21686-2022</t>
        </is>
      </c>
      <c r="B353" s="1" t="n">
        <v>44707</v>
      </c>
      <c r="C353" s="1" t="n">
        <v>45931</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29479-2022</t>
        </is>
      </c>
      <c r="B354" s="1" t="n">
        <v>44753.57265046296</v>
      </c>
      <c r="C354" s="1" t="n">
        <v>45931</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27829-2025</t>
        </is>
      </c>
      <c r="B355" s="1" t="n">
        <v>45817</v>
      </c>
      <c r="C355" s="1" t="n">
        <v>45931</v>
      </c>
      <c r="D355" t="inlineStr">
        <is>
          <t>UPPSALA LÄN</t>
        </is>
      </c>
      <c r="E355" t="inlineStr">
        <is>
          <t>ENKÖPING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49525-2021</t>
        </is>
      </c>
      <c r="B356" s="1" t="n">
        <v>44455</v>
      </c>
      <c r="C356" s="1" t="n">
        <v>45931</v>
      </c>
      <c r="D356" t="inlineStr">
        <is>
          <t>UPPSALA LÄN</t>
        </is>
      </c>
      <c r="E356" t="inlineStr">
        <is>
          <t>ENKÖPING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51120-2023</t>
        </is>
      </c>
      <c r="B357" s="1" t="n">
        <v>45219.3088425926</v>
      </c>
      <c r="C357" s="1" t="n">
        <v>45931</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6298-2021</t>
        </is>
      </c>
      <c r="B358" s="1" t="n">
        <v>44235</v>
      </c>
      <c r="C358" s="1" t="n">
        <v>45931</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26319-2022</t>
        </is>
      </c>
      <c r="B359" s="1" t="n">
        <v>44735</v>
      </c>
      <c r="C359" s="1" t="n">
        <v>45931</v>
      </c>
      <c r="D359" t="inlineStr">
        <is>
          <t>UPPSALA LÄN</t>
        </is>
      </c>
      <c r="E359" t="inlineStr">
        <is>
          <t>ENKÖPING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54357-2023</t>
        </is>
      </c>
      <c r="B360" s="1" t="n">
        <v>45225</v>
      </c>
      <c r="C360" s="1" t="n">
        <v>45931</v>
      </c>
      <c r="D360" t="inlineStr">
        <is>
          <t>UPPSALA LÄN</t>
        </is>
      </c>
      <c r="E360" t="inlineStr">
        <is>
          <t>ENKÖPING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4203-2021</t>
        </is>
      </c>
      <c r="B361" s="1" t="n">
        <v>44223</v>
      </c>
      <c r="C361" s="1" t="n">
        <v>45931</v>
      </c>
      <c r="D361" t="inlineStr">
        <is>
          <t>UPPSALA LÄN</t>
        </is>
      </c>
      <c r="E361" t="inlineStr">
        <is>
          <t>ENKÖPING</t>
        </is>
      </c>
      <c r="G361" t="n">
        <v>11.6</v>
      </c>
      <c r="H361" t="n">
        <v>0</v>
      </c>
      <c r="I361" t="n">
        <v>0</v>
      </c>
      <c r="J361" t="n">
        <v>0</v>
      </c>
      <c r="K361" t="n">
        <v>0</v>
      </c>
      <c r="L361" t="n">
        <v>0</v>
      </c>
      <c r="M361" t="n">
        <v>0</v>
      </c>
      <c r="N361" t="n">
        <v>0</v>
      </c>
      <c r="O361" t="n">
        <v>0</v>
      </c>
      <c r="P361" t="n">
        <v>0</v>
      </c>
      <c r="Q361" t="n">
        <v>0</v>
      </c>
      <c r="R361" s="2" t="inlineStr"/>
    </row>
    <row r="362" ht="15" customHeight="1">
      <c r="A362" t="inlineStr">
        <is>
          <t>A 13816-2021</t>
        </is>
      </c>
      <c r="B362" s="1" t="n">
        <v>44276</v>
      </c>
      <c r="C362" s="1" t="n">
        <v>45931</v>
      </c>
      <c r="D362" t="inlineStr">
        <is>
          <t>UPPSALA LÄN</t>
        </is>
      </c>
      <c r="E362" t="inlineStr">
        <is>
          <t>ENKÖPING</t>
        </is>
      </c>
      <c r="G362" t="n">
        <v>0.4</v>
      </c>
      <c r="H362" t="n">
        <v>0</v>
      </c>
      <c r="I362" t="n">
        <v>0</v>
      </c>
      <c r="J362" t="n">
        <v>0</v>
      </c>
      <c r="K362" t="n">
        <v>0</v>
      </c>
      <c r="L362" t="n">
        <v>0</v>
      </c>
      <c r="M362" t="n">
        <v>0</v>
      </c>
      <c r="N362" t="n">
        <v>0</v>
      </c>
      <c r="O362" t="n">
        <v>0</v>
      </c>
      <c r="P362" t="n">
        <v>0</v>
      </c>
      <c r="Q362" t="n">
        <v>0</v>
      </c>
      <c r="R362" s="2" t="inlineStr"/>
    </row>
    <row r="363" ht="15" customHeight="1">
      <c r="A363" t="inlineStr">
        <is>
          <t>A 28855-2025</t>
        </is>
      </c>
      <c r="B363" s="1" t="n">
        <v>45820.58274305556</v>
      </c>
      <c r="C363" s="1" t="n">
        <v>45931</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28758-2025</t>
        </is>
      </c>
      <c r="B364" s="1" t="n">
        <v>45820.41212962963</v>
      </c>
      <c r="C364" s="1" t="n">
        <v>45931</v>
      </c>
      <c r="D364" t="inlineStr">
        <is>
          <t>UPPSALA LÄN</t>
        </is>
      </c>
      <c r="E364" t="inlineStr">
        <is>
          <t>ENKÖPING</t>
        </is>
      </c>
      <c r="G364" t="n">
        <v>2.4</v>
      </c>
      <c r="H364" t="n">
        <v>0</v>
      </c>
      <c r="I364" t="n">
        <v>0</v>
      </c>
      <c r="J364" t="n">
        <v>0</v>
      </c>
      <c r="K364" t="n">
        <v>0</v>
      </c>
      <c r="L364" t="n">
        <v>0</v>
      </c>
      <c r="M364" t="n">
        <v>0</v>
      </c>
      <c r="N364" t="n">
        <v>0</v>
      </c>
      <c r="O364" t="n">
        <v>0</v>
      </c>
      <c r="P364" t="n">
        <v>0</v>
      </c>
      <c r="Q364" t="n">
        <v>0</v>
      </c>
      <c r="R364" s="2" t="inlineStr"/>
    </row>
    <row r="365" ht="15" customHeight="1">
      <c r="A365" t="inlineStr">
        <is>
          <t>A 63402-2023</t>
        </is>
      </c>
      <c r="B365" s="1" t="n">
        <v>45274.50646990741</v>
      </c>
      <c r="C365" s="1" t="n">
        <v>45931</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39009-2024</t>
        </is>
      </c>
      <c r="B366" s="1" t="n">
        <v>45548</v>
      </c>
      <c r="C366" s="1" t="n">
        <v>45931</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8537-2025</t>
        </is>
      </c>
      <c r="B367" s="1" t="n">
        <v>45709</v>
      </c>
      <c r="C367" s="1" t="n">
        <v>45931</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28862-2025</t>
        </is>
      </c>
      <c r="B368" s="1" t="n">
        <v>45820.59189814814</v>
      </c>
      <c r="C368" s="1" t="n">
        <v>45931</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53208-2023</t>
        </is>
      </c>
      <c r="B369" s="1" t="n">
        <v>45226</v>
      </c>
      <c r="C369" s="1" t="n">
        <v>45931</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59441-2020</t>
        </is>
      </c>
      <c r="B370" s="1" t="n">
        <v>44148</v>
      </c>
      <c r="C370" s="1" t="n">
        <v>45931</v>
      </c>
      <c r="D370" t="inlineStr">
        <is>
          <t>UPPSALA LÄN</t>
        </is>
      </c>
      <c r="E370" t="inlineStr">
        <is>
          <t>ENKÖPING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57328-2024</t>
        </is>
      </c>
      <c r="B371" s="1" t="n">
        <v>45629.62798611111</v>
      </c>
      <c r="C371" s="1" t="n">
        <v>45931</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29093-2025</t>
        </is>
      </c>
      <c r="B372" s="1" t="n">
        <v>45821.55743055556</v>
      </c>
      <c r="C372" s="1" t="n">
        <v>45931</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29477-2025</t>
        </is>
      </c>
      <c r="B373" s="1" t="n">
        <v>45824.71537037037</v>
      </c>
      <c r="C373" s="1" t="n">
        <v>45931</v>
      </c>
      <c r="D373" t="inlineStr">
        <is>
          <t>UPPSALA LÄN</t>
        </is>
      </c>
      <c r="E373" t="inlineStr">
        <is>
          <t>ENKÖPING</t>
        </is>
      </c>
      <c r="G373" t="n">
        <v>13.4</v>
      </c>
      <c r="H373" t="n">
        <v>0</v>
      </c>
      <c r="I373" t="n">
        <v>0</v>
      </c>
      <c r="J373" t="n">
        <v>0</v>
      </c>
      <c r="K373" t="n">
        <v>0</v>
      </c>
      <c r="L373" t="n">
        <v>0</v>
      </c>
      <c r="M373" t="n">
        <v>0</v>
      </c>
      <c r="N373" t="n">
        <v>0</v>
      </c>
      <c r="O373" t="n">
        <v>0</v>
      </c>
      <c r="P373" t="n">
        <v>0</v>
      </c>
      <c r="Q373" t="n">
        <v>0</v>
      </c>
      <c r="R373" s="2" t="inlineStr"/>
    </row>
    <row r="374" ht="15" customHeight="1">
      <c r="A374" t="inlineStr">
        <is>
          <t>A 18259-2025</t>
        </is>
      </c>
      <c r="B374" s="1" t="n">
        <v>45762</v>
      </c>
      <c r="C374" s="1" t="n">
        <v>45931</v>
      </c>
      <c r="D374" t="inlineStr">
        <is>
          <t>UPPSALA LÄN</t>
        </is>
      </c>
      <c r="E374" t="inlineStr">
        <is>
          <t>ENKÖPING</t>
        </is>
      </c>
      <c r="G374" t="n">
        <v>1.6</v>
      </c>
      <c r="H374" t="n">
        <v>0</v>
      </c>
      <c r="I374" t="n">
        <v>0</v>
      </c>
      <c r="J374" t="n">
        <v>0</v>
      </c>
      <c r="K374" t="n">
        <v>0</v>
      </c>
      <c r="L374" t="n">
        <v>0</v>
      </c>
      <c r="M374" t="n">
        <v>0</v>
      </c>
      <c r="N374" t="n">
        <v>0</v>
      </c>
      <c r="O374" t="n">
        <v>0</v>
      </c>
      <c r="P374" t="n">
        <v>0</v>
      </c>
      <c r="Q374" t="n">
        <v>0</v>
      </c>
      <c r="R374" s="2" t="inlineStr"/>
    </row>
    <row r="375" ht="15" customHeight="1">
      <c r="A375" t="inlineStr">
        <is>
          <t>A 62158-2023</t>
        </is>
      </c>
      <c r="B375" s="1" t="n">
        <v>45267</v>
      </c>
      <c r="C375" s="1" t="n">
        <v>45931</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56837-2024</t>
        </is>
      </c>
      <c r="B376" s="1" t="n">
        <v>45628</v>
      </c>
      <c r="C376" s="1" t="n">
        <v>45931</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60874-2023</t>
        </is>
      </c>
      <c r="B377" s="1" t="n">
        <v>45261.06280092592</v>
      </c>
      <c r="C377" s="1" t="n">
        <v>45931</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30837-2025</t>
        </is>
      </c>
      <c r="B378" s="1" t="n">
        <v>45831.7063425926</v>
      </c>
      <c r="C378" s="1" t="n">
        <v>45931</v>
      </c>
      <c r="D378" t="inlineStr">
        <is>
          <t>UPPSALA LÄN</t>
        </is>
      </c>
      <c r="E378" t="inlineStr">
        <is>
          <t>ENKÖPING</t>
        </is>
      </c>
      <c r="G378" t="n">
        <v>3.8</v>
      </c>
      <c r="H378" t="n">
        <v>0</v>
      </c>
      <c r="I378" t="n">
        <v>0</v>
      </c>
      <c r="J378" t="n">
        <v>0</v>
      </c>
      <c r="K378" t="n">
        <v>0</v>
      </c>
      <c r="L378" t="n">
        <v>0</v>
      </c>
      <c r="M378" t="n">
        <v>0</v>
      </c>
      <c r="N378" t="n">
        <v>0</v>
      </c>
      <c r="O378" t="n">
        <v>0</v>
      </c>
      <c r="P378" t="n">
        <v>0</v>
      </c>
      <c r="Q378" t="n">
        <v>0</v>
      </c>
      <c r="R378" s="2" t="inlineStr"/>
    </row>
    <row r="379" ht="15" customHeight="1">
      <c r="A379" t="inlineStr">
        <is>
          <t>A 3550-2023</t>
        </is>
      </c>
      <c r="B379" s="1" t="n">
        <v>44950</v>
      </c>
      <c r="C379" s="1" t="n">
        <v>45931</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55876-2024</t>
        </is>
      </c>
      <c r="B380" s="1" t="n">
        <v>45623.5546412037</v>
      </c>
      <c r="C380" s="1" t="n">
        <v>45931</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26292-2022</t>
        </is>
      </c>
      <c r="B381" s="1" t="n">
        <v>44735</v>
      </c>
      <c r="C381" s="1" t="n">
        <v>45931</v>
      </c>
      <c r="D381" t="inlineStr">
        <is>
          <t>UPPSALA LÄN</t>
        </is>
      </c>
      <c r="E381" t="inlineStr">
        <is>
          <t>ENKÖPING</t>
        </is>
      </c>
      <c r="F381" t="inlineStr">
        <is>
          <t>Kyrkan</t>
        </is>
      </c>
      <c r="G381" t="n">
        <v>4.6</v>
      </c>
      <c r="H381" t="n">
        <v>0</v>
      </c>
      <c r="I381" t="n">
        <v>0</v>
      </c>
      <c r="J381" t="n">
        <v>0</v>
      </c>
      <c r="K381" t="n">
        <v>0</v>
      </c>
      <c r="L381" t="n">
        <v>0</v>
      </c>
      <c r="M381" t="n">
        <v>0</v>
      </c>
      <c r="N381" t="n">
        <v>0</v>
      </c>
      <c r="O381" t="n">
        <v>0</v>
      </c>
      <c r="P381" t="n">
        <v>0</v>
      </c>
      <c r="Q381" t="n">
        <v>0</v>
      </c>
      <c r="R381" s="2" t="inlineStr"/>
    </row>
    <row r="382" ht="15" customHeight="1">
      <c r="A382" t="inlineStr">
        <is>
          <t>A 25334-2023</t>
        </is>
      </c>
      <c r="B382" s="1" t="n">
        <v>45083</v>
      </c>
      <c r="C382" s="1" t="n">
        <v>45931</v>
      </c>
      <c r="D382" t="inlineStr">
        <is>
          <t>UPPSALA LÄN</t>
        </is>
      </c>
      <c r="E382" t="inlineStr">
        <is>
          <t>ENKÖPING</t>
        </is>
      </c>
      <c r="G382" t="n">
        <v>0.2</v>
      </c>
      <c r="H382" t="n">
        <v>0</v>
      </c>
      <c r="I382" t="n">
        <v>0</v>
      </c>
      <c r="J382" t="n">
        <v>0</v>
      </c>
      <c r="K382" t="n">
        <v>0</v>
      </c>
      <c r="L382" t="n">
        <v>0</v>
      </c>
      <c r="M382" t="n">
        <v>0</v>
      </c>
      <c r="N382" t="n">
        <v>0</v>
      </c>
      <c r="O382" t="n">
        <v>0</v>
      </c>
      <c r="P382" t="n">
        <v>0</v>
      </c>
      <c r="Q382" t="n">
        <v>0</v>
      </c>
      <c r="R382" s="2" t="inlineStr"/>
    </row>
    <row r="383" ht="15" customHeight="1">
      <c r="A383" t="inlineStr">
        <is>
          <t>A 33349-2024</t>
        </is>
      </c>
      <c r="B383" s="1" t="n">
        <v>45519</v>
      </c>
      <c r="C383" s="1" t="n">
        <v>45931</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32477-2025</t>
        </is>
      </c>
      <c r="B384" s="1" t="n">
        <v>45838.43098379629</v>
      </c>
      <c r="C384" s="1" t="n">
        <v>45931</v>
      </c>
      <c r="D384" t="inlineStr">
        <is>
          <t>UPPSALA LÄN</t>
        </is>
      </c>
      <c r="E384" t="inlineStr">
        <is>
          <t>ENKÖPING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32031-2025</t>
        </is>
      </c>
      <c r="B385" s="1" t="n">
        <v>45835.41712962963</v>
      </c>
      <c r="C385" s="1" t="n">
        <v>45931</v>
      </c>
      <c r="D385" t="inlineStr">
        <is>
          <t>UPPSALA LÄN</t>
        </is>
      </c>
      <c r="E385" t="inlineStr">
        <is>
          <t>ENKÖPING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32111-2025</t>
        </is>
      </c>
      <c r="B386" s="1" t="n">
        <v>45835</v>
      </c>
      <c r="C386" s="1" t="n">
        <v>45931</v>
      </c>
      <c r="D386" t="inlineStr">
        <is>
          <t>UPPSALA LÄN</t>
        </is>
      </c>
      <c r="E386" t="inlineStr">
        <is>
          <t>ENKÖPING</t>
        </is>
      </c>
      <c r="G386" t="n">
        <v>1.7</v>
      </c>
      <c r="H386" t="n">
        <v>0</v>
      </c>
      <c r="I386" t="n">
        <v>0</v>
      </c>
      <c r="J386" t="n">
        <v>0</v>
      </c>
      <c r="K386" t="n">
        <v>0</v>
      </c>
      <c r="L386" t="n">
        <v>0</v>
      </c>
      <c r="M386" t="n">
        <v>0</v>
      </c>
      <c r="N386" t="n">
        <v>0</v>
      </c>
      <c r="O386" t="n">
        <v>0</v>
      </c>
      <c r="P386" t="n">
        <v>0</v>
      </c>
      <c r="Q386" t="n">
        <v>0</v>
      </c>
      <c r="R386" s="2" t="inlineStr"/>
    </row>
    <row r="387" ht="15" customHeight="1">
      <c r="A387" t="inlineStr">
        <is>
          <t>A 61207-2023</t>
        </is>
      </c>
      <c r="B387" s="1" t="n">
        <v>45264.39444444444</v>
      </c>
      <c r="C387" s="1" t="n">
        <v>45931</v>
      </c>
      <c r="D387" t="inlineStr">
        <is>
          <t>UPPSALA LÄN</t>
        </is>
      </c>
      <c r="E387" t="inlineStr">
        <is>
          <t>ENKÖPING</t>
        </is>
      </c>
      <c r="G387" t="n">
        <v>10.8</v>
      </c>
      <c r="H387" t="n">
        <v>0</v>
      </c>
      <c r="I387" t="n">
        <v>0</v>
      </c>
      <c r="J387" t="n">
        <v>0</v>
      </c>
      <c r="K387" t="n">
        <v>0</v>
      </c>
      <c r="L387" t="n">
        <v>0</v>
      </c>
      <c r="M387" t="n">
        <v>0</v>
      </c>
      <c r="N387" t="n">
        <v>0</v>
      </c>
      <c r="O387" t="n">
        <v>0</v>
      </c>
      <c r="P387" t="n">
        <v>0</v>
      </c>
      <c r="Q387" t="n">
        <v>0</v>
      </c>
      <c r="R387" s="2" t="inlineStr"/>
    </row>
    <row r="388" ht="15" customHeight="1">
      <c r="A388" t="inlineStr">
        <is>
          <t>A 840-2025</t>
        </is>
      </c>
      <c r="B388" s="1" t="n">
        <v>45665</v>
      </c>
      <c r="C388" s="1" t="n">
        <v>45931</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53587-2024</t>
        </is>
      </c>
      <c r="B389" s="1" t="n">
        <v>45614.66953703704</v>
      </c>
      <c r="C389" s="1" t="n">
        <v>45931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10458-2022</t>
        </is>
      </c>
      <c r="B390" s="1" t="n">
        <v>44623.56711805556</v>
      </c>
      <c r="C390" s="1" t="n">
        <v>45931</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45142-2023</t>
        </is>
      </c>
      <c r="B391" s="1" t="n">
        <v>45191.4702662037</v>
      </c>
      <c r="C391" s="1" t="n">
        <v>45931</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15740-2025</t>
        </is>
      </c>
      <c r="B392" s="1" t="n">
        <v>45748</v>
      </c>
      <c r="C392" s="1" t="n">
        <v>45931</v>
      </c>
      <c r="D392" t="inlineStr">
        <is>
          <t>UPPSALA LÄN</t>
        </is>
      </c>
      <c r="E392" t="inlineStr">
        <is>
          <t>ENKÖPING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57998-2024</t>
        </is>
      </c>
      <c r="B393" s="1" t="n">
        <v>45631</v>
      </c>
      <c r="C393" s="1" t="n">
        <v>45931</v>
      </c>
      <c r="D393" t="inlineStr">
        <is>
          <t>UPPSALA LÄN</t>
        </is>
      </c>
      <c r="E393" t="inlineStr">
        <is>
          <t>ENKÖPING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14332-2024</t>
        </is>
      </c>
      <c r="B394" s="1" t="n">
        <v>45393</v>
      </c>
      <c r="C394" s="1" t="n">
        <v>45931</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18831-2023</t>
        </is>
      </c>
      <c r="B395" s="1" t="n">
        <v>45044.40798611111</v>
      </c>
      <c r="C395" s="1" t="n">
        <v>45931</v>
      </c>
      <c r="D395" t="inlineStr">
        <is>
          <t>UPPSALA LÄN</t>
        </is>
      </c>
      <c r="E395" t="inlineStr">
        <is>
          <t>ENKÖPING</t>
        </is>
      </c>
      <c r="G395" t="n">
        <v>4.3</v>
      </c>
      <c r="H395" t="n">
        <v>0</v>
      </c>
      <c r="I395" t="n">
        <v>0</v>
      </c>
      <c r="J395" t="n">
        <v>0</v>
      </c>
      <c r="K395" t="n">
        <v>0</v>
      </c>
      <c r="L395" t="n">
        <v>0</v>
      </c>
      <c r="M395" t="n">
        <v>0</v>
      </c>
      <c r="N395" t="n">
        <v>0</v>
      </c>
      <c r="O395" t="n">
        <v>0</v>
      </c>
      <c r="P395" t="n">
        <v>0</v>
      </c>
      <c r="Q395" t="n">
        <v>0</v>
      </c>
      <c r="R395" s="2" t="inlineStr"/>
    </row>
    <row r="396" ht="15" customHeight="1">
      <c r="A396" t="inlineStr">
        <is>
          <t>A 57848-2024</t>
        </is>
      </c>
      <c r="B396" s="1" t="n">
        <v>45631.40947916666</v>
      </c>
      <c r="C396" s="1" t="n">
        <v>45931</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18994-2025</t>
        </is>
      </c>
      <c r="B397" s="1" t="n">
        <v>45764.57350694444</v>
      </c>
      <c r="C397" s="1" t="n">
        <v>45931</v>
      </c>
      <c r="D397" t="inlineStr">
        <is>
          <t>UPPSALA LÄN</t>
        </is>
      </c>
      <c r="E397" t="inlineStr">
        <is>
          <t>ENKÖPING</t>
        </is>
      </c>
      <c r="G397" t="n">
        <v>3.8</v>
      </c>
      <c r="H397" t="n">
        <v>0</v>
      </c>
      <c r="I397" t="n">
        <v>0</v>
      </c>
      <c r="J397" t="n">
        <v>0</v>
      </c>
      <c r="K397" t="n">
        <v>0</v>
      </c>
      <c r="L397" t="n">
        <v>0</v>
      </c>
      <c r="M397" t="n">
        <v>0</v>
      </c>
      <c r="N397" t="n">
        <v>0</v>
      </c>
      <c r="O397" t="n">
        <v>0</v>
      </c>
      <c r="P397" t="n">
        <v>0</v>
      </c>
      <c r="Q397" t="n">
        <v>0</v>
      </c>
      <c r="R397" s="2" t="inlineStr"/>
    </row>
    <row r="398" ht="15" customHeight="1">
      <c r="A398" t="inlineStr">
        <is>
          <t>A 49601-2024</t>
        </is>
      </c>
      <c r="B398" s="1" t="n">
        <v>45596.56288194445</v>
      </c>
      <c r="C398" s="1" t="n">
        <v>45931</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18583-2021</t>
        </is>
      </c>
      <c r="B399" s="1" t="n">
        <v>44306</v>
      </c>
      <c r="C399" s="1" t="n">
        <v>45931</v>
      </c>
      <c r="D399" t="inlineStr">
        <is>
          <t>UPPSALA LÄN</t>
        </is>
      </c>
      <c r="E399" t="inlineStr">
        <is>
          <t>ENKÖPING</t>
        </is>
      </c>
      <c r="G399" t="n">
        <v>0.4</v>
      </c>
      <c r="H399" t="n">
        <v>0</v>
      </c>
      <c r="I399" t="n">
        <v>0</v>
      </c>
      <c r="J399" t="n">
        <v>0</v>
      </c>
      <c r="K399" t="n">
        <v>0</v>
      </c>
      <c r="L399" t="n">
        <v>0</v>
      </c>
      <c r="M399" t="n">
        <v>0</v>
      </c>
      <c r="N399" t="n">
        <v>0</v>
      </c>
      <c r="O399" t="n">
        <v>0</v>
      </c>
      <c r="P399" t="n">
        <v>0</v>
      </c>
      <c r="Q399" t="n">
        <v>0</v>
      </c>
      <c r="R399" s="2" t="inlineStr"/>
    </row>
    <row r="400" ht="15" customHeight="1">
      <c r="A400" t="inlineStr">
        <is>
          <t>A 60125-2024</t>
        </is>
      </c>
      <c r="B400" s="1" t="n">
        <v>45642</v>
      </c>
      <c r="C400" s="1" t="n">
        <v>45931</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39439-2025</t>
        </is>
      </c>
      <c r="B401" s="1" t="n">
        <v>45889</v>
      </c>
      <c r="C401" s="1" t="n">
        <v>45931</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34990-2025</t>
        </is>
      </c>
      <c r="B402" s="1" t="n">
        <v>45849.78916666667</v>
      </c>
      <c r="C402" s="1" t="n">
        <v>45931</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33581-2023</t>
        </is>
      </c>
      <c r="B403" s="1" t="n">
        <v>45131</v>
      </c>
      <c r="C403" s="1" t="n">
        <v>45931</v>
      </c>
      <c r="D403" t="inlineStr">
        <is>
          <t>UPPSALA LÄN</t>
        </is>
      </c>
      <c r="E403" t="inlineStr">
        <is>
          <t>ENKÖPING</t>
        </is>
      </c>
      <c r="G403" t="n">
        <v>3.5</v>
      </c>
      <c r="H403" t="n">
        <v>0</v>
      </c>
      <c r="I403" t="n">
        <v>0</v>
      </c>
      <c r="J403" t="n">
        <v>0</v>
      </c>
      <c r="K403" t="n">
        <v>0</v>
      </c>
      <c r="L403" t="n">
        <v>0</v>
      </c>
      <c r="M403" t="n">
        <v>0</v>
      </c>
      <c r="N403" t="n">
        <v>0</v>
      </c>
      <c r="O403" t="n">
        <v>0</v>
      </c>
      <c r="P403" t="n">
        <v>0</v>
      </c>
      <c r="Q403" t="n">
        <v>0</v>
      </c>
      <c r="R403" s="2" t="inlineStr"/>
    </row>
    <row r="404" ht="15" customHeight="1">
      <c r="A404" t="inlineStr">
        <is>
          <t>A 1695-2025</t>
        </is>
      </c>
      <c r="B404" s="1" t="n">
        <v>45670</v>
      </c>
      <c r="C404" s="1" t="n">
        <v>45931</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59027-2024</t>
        </is>
      </c>
      <c r="B405" s="1" t="n">
        <v>45636.68755787037</v>
      </c>
      <c r="C405" s="1" t="n">
        <v>45931</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58896-2020</t>
        </is>
      </c>
      <c r="B406" s="1" t="n">
        <v>44146</v>
      </c>
      <c r="C406" s="1" t="n">
        <v>45931</v>
      </c>
      <c r="D406" t="inlineStr">
        <is>
          <t>UPPSALA LÄN</t>
        </is>
      </c>
      <c r="E406" t="inlineStr">
        <is>
          <t>ENKÖPING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17844-2025</t>
        </is>
      </c>
      <c r="B407" s="1" t="n">
        <v>45758.59920138889</v>
      </c>
      <c r="C407" s="1" t="n">
        <v>45931</v>
      </c>
      <c r="D407" t="inlineStr">
        <is>
          <t>UPPSALA LÄN</t>
        </is>
      </c>
      <c r="E407" t="inlineStr">
        <is>
          <t>ENKÖPING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37115-2024</t>
        </is>
      </c>
      <c r="B408" s="1" t="n">
        <v>45539</v>
      </c>
      <c r="C408" s="1" t="n">
        <v>45931</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42564-2024</t>
        </is>
      </c>
      <c r="B409" s="1" t="n">
        <v>45565.63358796296</v>
      </c>
      <c r="C409" s="1" t="n">
        <v>45931</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58062-2020</t>
        </is>
      </c>
      <c r="B410" s="1" t="n">
        <v>44144</v>
      </c>
      <c r="C410" s="1" t="n">
        <v>45931</v>
      </c>
      <c r="D410" t="inlineStr">
        <is>
          <t>UPPSALA LÄN</t>
        </is>
      </c>
      <c r="E410" t="inlineStr">
        <is>
          <t>ENKÖPING</t>
        </is>
      </c>
      <c r="G410" t="n">
        <v>2.3</v>
      </c>
      <c r="H410" t="n">
        <v>0</v>
      </c>
      <c r="I410" t="n">
        <v>0</v>
      </c>
      <c r="J410" t="n">
        <v>0</v>
      </c>
      <c r="K410" t="n">
        <v>0</v>
      </c>
      <c r="L410" t="n">
        <v>0</v>
      </c>
      <c r="M410" t="n">
        <v>0</v>
      </c>
      <c r="N410" t="n">
        <v>0</v>
      </c>
      <c r="O410" t="n">
        <v>0</v>
      </c>
      <c r="P410" t="n">
        <v>0</v>
      </c>
      <c r="Q410" t="n">
        <v>0</v>
      </c>
      <c r="R410" s="2" t="inlineStr"/>
    </row>
    <row r="411" ht="15" customHeight="1">
      <c r="A411" t="inlineStr">
        <is>
          <t>A 27837-2025</t>
        </is>
      </c>
      <c r="B411" s="1" t="n">
        <v>45817.37207175926</v>
      </c>
      <c r="C411" s="1" t="n">
        <v>45931</v>
      </c>
      <c r="D411" t="inlineStr">
        <is>
          <t>UPPSALA LÄN</t>
        </is>
      </c>
      <c r="E411" t="inlineStr">
        <is>
          <t>ENKÖPING</t>
        </is>
      </c>
      <c r="G411" t="n">
        <v>7.3</v>
      </c>
      <c r="H411" t="n">
        <v>0</v>
      </c>
      <c r="I411" t="n">
        <v>0</v>
      </c>
      <c r="J411" t="n">
        <v>0</v>
      </c>
      <c r="K411" t="n">
        <v>0</v>
      </c>
      <c r="L411" t="n">
        <v>0</v>
      </c>
      <c r="M411" t="n">
        <v>0</v>
      </c>
      <c r="N411" t="n">
        <v>0</v>
      </c>
      <c r="O411" t="n">
        <v>0</v>
      </c>
      <c r="P411" t="n">
        <v>0</v>
      </c>
      <c r="Q411" t="n">
        <v>0</v>
      </c>
      <c r="R411" s="2" t="inlineStr"/>
    </row>
    <row r="412" ht="15" customHeight="1">
      <c r="A412" t="inlineStr">
        <is>
          <t>A 3235-2025</t>
        </is>
      </c>
      <c r="B412" s="1" t="n">
        <v>45679</v>
      </c>
      <c r="C412" s="1" t="n">
        <v>45931</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39746-2025</t>
        </is>
      </c>
      <c r="B413" s="1" t="n">
        <v>45891</v>
      </c>
      <c r="C413" s="1" t="n">
        <v>45931</v>
      </c>
      <c r="D413" t="inlineStr">
        <is>
          <t>UPPSALA LÄN</t>
        </is>
      </c>
      <c r="E413" t="inlineStr">
        <is>
          <t>ENKÖPING</t>
        </is>
      </c>
      <c r="G413" t="n">
        <v>7.4</v>
      </c>
      <c r="H413" t="n">
        <v>0</v>
      </c>
      <c r="I413" t="n">
        <v>0</v>
      </c>
      <c r="J413" t="n">
        <v>0</v>
      </c>
      <c r="K413" t="n">
        <v>0</v>
      </c>
      <c r="L413" t="n">
        <v>0</v>
      </c>
      <c r="M413" t="n">
        <v>0</v>
      </c>
      <c r="N413" t="n">
        <v>0</v>
      </c>
      <c r="O413" t="n">
        <v>0</v>
      </c>
      <c r="P413" t="n">
        <v>0</v>
      </c>
      <c r="Q413" t="n">
        <v>0</v>
      </c>
      <c r="R413" s="2" t="inlineStr"/>
    </row>
    <row r="414" ht="15" customHeight="1">
      <c r="A414" t="inlineStr">
        <is>
          <t>A 29513-2025</t>
        </is>
      </c>
      <c r="B414" s="1" t="n">
        <v>45825</v>
      </c>
      <c r="C414" s="1" t="n">
        <v>45931</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6147-2021</t>
        </is>
      </c>
      <c r="B415" s="1" t="n">
        <v>44232</v>
      </c>
      <c r="C415" s="1" t="n">
        <v>45931</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45931</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15711-2025</t>
        </is>
      </c>
      <c r="B417" s="1" t="n">
        <v>45748</v>
      </c>
      <c r="C417" s="1" t="n">
        <v>45931</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18028-2023</t>
        </is>
      </c>
      <c r="B418" s="1" t="n">
        <v>45040</v>
      </c>
      <c r="C418" s="1" t="n">
        <v>45931</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6959-2025</t>
        </is>
      </c>
      <c r="B419" s="1" t="n">
        <v>45701.49315972222</v>
      </c>
      <c r="C419" s="1" t="n">
        <v>45931</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41637-2025</t>
        </is>
      </c>
      <c r="B420" s="1" t="n">
        <v>45901</v>
      </c>
      <c r="C420" s="1" t="n">
        <v>45931</v>
      </c>
      <c r="D420" t="inlineStr">
        <is>
          <t>UPPSALA LÄN</t>
        </is>
      </c>
      <c r="E420" t="inlineStr">
        <is>
          <t>ENKÖPING</t>
        </is>
      </c>
      <c r="F420" t="inlineStr">
        <is>
          <t>Allmännings- och besparingsskogar</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67765-2020</t>
        </is>
      </c>
      <c r="B421" s="1" t="n">
        <v>44182</v>
      </c>
      <c r="C421" s="1" t="n">
        <v>45931</v>
      </c>
      <c r="D421" t="inlineStr">
        <is>
          <t>UPPSALA LÄN</t>
        </is>
      </c>
      <c r="E421" t="inlineStr">
        <is>
          <t>ENKÖPING</t>
        </is>
      </c>
      <c r="G421" t="n">
        <v>3.6</v>
      </c>
      <c r="H421" t="n">
        <v>0</v>
      </c>
      <c r="I421" t="n">
        <v>0</v>
      </c>
      <c r="J421" t="n">
        <v>0</v>
      </c>
      <c r="K421" t="n">
        <v>0</v>
      </c>
      <c r="L421" t="n">
        <v>0</v>
      </c>
      <c r="M421" t="n">
        <v>0</v>
      </c>
      <c r="N421" t="n">
        <v>0</v>
      </c>
      <c r="O421" t="n">
        <v>0</v>
      </c>
      <c r="P421" t="n">
        <v>0</v>
      </c>
      <c r="Q421" t="n">
        <v>0</v>
      </c>
      <c r="R421" s="2" t="inlineStr"/>
    </row>
    <row r="422" ht="15" customHeight="1">
      <c r="A422" t="inlineStr">
        <is>
          <t>A 41618-2025</t>
        </is>
      </c>
      <c r="B422" s="1" t="n">
        <v>45901.70085648148</v>
      </c>
      <c r="C422" s="1" t="n">
        <v>45931</v>
      </c>
      <c r="D422" t="inlineStr">
        <is>
          <t>UPPSALA LÄN</t>
        </is>
      </c>
      <c r="E422" t="inlineStr">
        <is>
          <t>ENKÖPING</t>
        </is>
      </c>
      <c r="F422" t="inlineStr">
        <is>
          <t>Allmännings- och besparingsskogar</t>
        </is>
      </c>
      <c r="G422" t="n">
        <v>5.3</v>
      </c>
      <c r="H422" t="n">
        <v>0</v>
      </c>
      <c r="I422" t="n">
        <v>0</v>
      </c>
      <c r="J422" t="n">
        <v>0</v>
      </c>
      <c r="K422" t="n">
        <v>0</v>
      </c>
      <c r="L422" t="n">
        <v>0</v>
      </c>
      <c r="M422" t="n">
        <v>0</v>
      </c>
      <c r="N422" t="n">
        <v>0</v>
      </c>
      <c r="O422" t="n">
        <v>0</v>
      </c>
      <c r="P422" t="n">
        <v>0</v>
      </c>
      <c r="Q422" t="n">
        <v>0</v>
      </c>
      <c r="R422" s="2" t="inlineStr"/>
    </row>
    <row r="423" ht="15" customHeight="1">
      <c r="A423" t="inlineStr">
        <is>
          <t>A 17165-2025</t>
        </is>
      </c>
      <c r="B423" s="1" t="n">
        <v>45756</v>
      </c>
      <c r="C423" s="1" t="n">
        <v>45931</v>
      </c>
      <c r="D423" t="inlineStr">
        <is>
          <t>UPPSALA LÄN</t>
        </is>
      </c>
      <c r="E423" t="inlineStr">
        <is>
          <t>ENKÖPING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49568-2022</t>
        </is>
      </c>
      <c r="B424" s="1" t="n">
        <v>44862.32791666667</v>
      </c>
      <c r="C424" s="1" t="n">
        <v>45931</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41616-2025</t>
        </is>
      </c>
      <c r="B425" s="1" t="n">
        <v>45901.69684027778</v>
      </c>
      <c r="C425" s="1" t="n">
        <v>45931</v>
      </c>
      <c r="D425" t="inlineStr">
        <is>
          <t>UPPSALA LÄN</t>
        </is>
      </c>
      <c r="E425" t="inlineStr">
        <is>
          <t>ENKÖPING</t>
        </is>
      </c>
      <c r="F425" t="inlineStr">
        <is>
          <t>Allmännings- och besparingsskogar</t>
        </is>
      </c>
      <c r="G425" t="n">
        <v>17.3</v>
      </c>
      <c r="H425" t="n">
        <v>0</v>
      </c>
      <c r="I425" t="n">
        <v>0</v>
      </c>
      <c r="J425" t="n">
        <v>0</v>
      </c>
      <c r="K425" t="n">
        <v>0</v>
      </c>
      <c r="L425" t="n">
        <v>0</v>
      </c>
      <c r="M425" t="n">
        <v>0</v>
      </c>
      <c r="N425" t="n">
        <v>0</v>
      </c>
      <c r="O425" t="n">
        <v>0</v>
      </c>
      <c r="P425" t="n">
        <v>0</v>
      </c>
      <c r="Q425" t="n">
        <v>0</v>
      </c>
      <c r="R425" s="2" t="inlineStr"/>
    </row>
    <row r="426" ht="15" customHeight="1">
      <c r="A426" t="inlineStr">
        <is>
          <t>A 42459-2024</t>
        </is>
      </c>
      <c r="B426" s="1" t="n">
        <v>45565</v>
      </c>
      <c r="C426" s="1" t="n">
        <v>45931</v>
      </c>
      <c r="D426" t="inlineStr">
        <is>
          <t>UPPSALA LÄN</t>
        </is>
      </c>
      <c r="E426" t="inlineStr">
        <is>
          <t>ENKÖPING</t>
        </is>
      </c>
      <c r="G426" t="n">
        <v>3.6</v>
      </c>
      <c r="H426" t="n">
        <v>0</v>
      </c>
      <c r="I426" t="n">
        <v>0</v>
      </c>
      <c r="J426" t="n">
        <v>0</v>
      </c>
      <c r="K426" t="n">
        <v>0</v>
      </c>
      <c r="L426" t="n">
        <v>0</v>
      </c>
      <c r="M426" t="n">
        <v>0</v>
      </c>
      <c r="N426" t="n">
        <v>0</v>
      </c>
      <c r="O426" t="n">
        <v>0</v>
      </c>
      <c r="P426" t="n">
        <v>0</v>
      </c>
      <c r="Q426" t="n">
        <v>0</v>
      </c>
      <c r="R426" s="2" t="inlineStr"/>
    </row>
    <row r="427" ht="15" customHeight="1">
      <c r="A427" t="inlineStr">
        <is>
          <t>A 21501-2025</t>
        </is>
      </c>
      <c r="B427" s="1" t="n">
        <v>45782</v>
      </c>
      <c r="C427" s="1" t="n">
        <v>45931</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48864-2022</t>
        </is>
      </c>
      <c r="B428" s="1" t="n">
        <v>44859</v>
      </c>
      <c r="C428" s="1" t="n">
        <v>45931</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31622-2022</t>
        </is>
      </c>
      <c r="B429" s="1" t="n">
        <v>44775</v>
      </c>
      <c r="C429" s="1" t="n">
        <v>45931</v>
      </c>
      <c r="D429" t="inlineStr">
        <is>
          <t>UPPSALA LÄN</t>
        </is>
      </c>
      <c r="E429" t="inlineStr">
        <is>
          <t>ENKÖPING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42029-2025</t>
        </is>
      </c>
      <c r="B430" s="1" t="n">
        <v>45903</v>
      </c>
      <c r="C430" s="1" t="n">
        <v>45931</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34987-2025</t>
        </is>
      </c>
      <c r="B431" s="1" t="n">
        <v>45849</v>
      </c>
      <c r="C431" s="1" t="n">
        <v>45931</v>
      </c>
      <c r="D431" t="inlineStr">
        <is>
          <t>UPPSALA LÄN</t>
        </is>
      </c>
      <c r="E431" t="inlineStr">
        <is>
          <t>ENKÖPING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52299-2023</t>
        </is>
      </c>
      <c r="B432" s="1" t="n">
        <v>45224.61636574074</v>
      </c>
      <c r="C432" s="1" t="n">
        <v>45931</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25598-2021</t>
        </is>
      </c>
      <c r="B433" s="1" t="n">
        <v>44343.4558912037</v>
      </c>
      <c r="C433" s="1" t="n">
        <v>45931</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34988-2025</t>
        </is>
      </c>
      <c r="B434" s="1" t="n">
        <v>45849</v>
      </c>
      <c r="C434" s="1" t="n">
        <v>45931</v>
      </c>
      <c r="D434" t="inlineStr">
        <is>
          <t>UPPSALA LÄN</t>
        </is>
      </c>
      <c r="E434" t="inlineStr">
        <is>
          <t>ENKÖPING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66517-2020</t>
        </is>
      </c>
      <c r="B435" s="1" t="n">
        <v>44178</v>
      </c>
      <c r="C435" s="1" t="n">
        <v>45931</v>
      </c>
      <c r="D435" t="inlineStr">
        <is>
          <t>UPPSALA LÄN</t>
        </is>
      </c>
      <c r="E435" t="inlineStr">
        <is>
          <t>ENKÖPING</t>
        </is>
      </c>
      <c r="G435" t="n">
        <v>4</v>
      </c>
      <c r="H435" t="n">
        <v>0</v>
      </c>
      <c r="I435" t="n">
        <v>0</v>
      </c>
      <c r="J435" t="n">
        <v>0</v>
      </c>
      <c r="K435" t="n">
        <v>0</v>
      </c>
      <c r="L435" t="n">
        <v>0</v>
      </c>
      <c r="M435" t="n">
        <v>0</v>
      </c>
      <c r="N435" t="n">
        <v>0</v>
      </c>
      <c r="O435" t="n">
        <v>0</v>
      </c>
      <c r="P435" t="n">
        <v>0</v>
      </c>
      <c r="Q435" t="n">
        <v>0</v>
      </c>
      <c r="R435" s="2" t="inlineStr"/>
    </row>
    <row r="436" ht="15" customHeight="1">
      <c r="A436" t="inlineStr">
        <is>
          <t>A 32081-2024</t>
        </is>
      </c>
      <c r="B436" s="1" t="n">
        <v>45511.34605324074</v>
      </c>
      <c r="C436" s="1" t="n">
        <v>45931</v>
      </c>
      <c r="D436" t="inlineStr">
        <is>
          <t>UPPSALA LÄN</t>
        </is>
      </c>
      <c r="E436" t="inlineStr">
        <is>
          <t>ENKÖPING</t>
        </is>
      </c>
      <c r="G436" t="n">
        <v>5.4</v>
      </c>
      <c r="H436" t="n">
        <v>0</v>
      </c>
      <c r="I436" t="n">
        <v>0</v>
      </c>
      <c r="J436" t="n">
        <v>0</v>
      </c>
      <c r="K436" t="n">
        <v>0</v>
      </c>
      <c r="L436" t="n">
        <v>0</v>
      </c>
      <c r="M436" t="n">
        <v>0</v>
      </c>
      <c r="N436" t="n">
        <v>0</v>
      </c>
      <c r="O436" t="n">
        <v>0</v>
      </c>
      <c r="P436" t="n">
        <v>0</v>
      </c>
      <c r="Q436" t="n">
        <v>0</v>
      </c>
      <c r="R436" s="2" t="inlineStr"/>
    </row>
    <row r="437" ht="15" customHeight="1">
      <c r="A437" t="inlineStr">
        <is>
          <t>A 34989-2025</t>
        </is>
      </c>
      <c r="B437" s="1" t="n">
        <v>45849</v>
      </c>
      <c r="C437" s="1" t="n">
        <v>45931</v>
      </c>
      <c r="D437" t="inlineStr">
        <is>
          <t>UPPSALA LÄN</t>
        </is>
      </c>
      <c r="E437" t="inlineStr">
        <is>
          <t>ENKÖPING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41764-2025</t>
        </is>
      </c>
      <c r="B438" s="1" t="n">
        <v>45902</v>
      </c>
      <c r="C438" s="1" t="n">
        <v>45931</v>
      </c>
      <c r="D438" t="inlineStr">
        <is>
          <t>UPPSALA LÄN</t>
        </is>
      </c>
      <c r="E438" t="inlineStr">
        <is>
          <t>ENKÖPING</t>
        </is>
      </c>
      <c r="G438" t="n">
        <v>2.7</v>
      </c>
      <c r="H438" t="n">
        <v>0</v>
      </c>
      <c r="I438" t="n">
        <v>0</v>
      </c>
      <c r="J438" t="n">
        <v>0</v>
      </c>
      <c r="K438" t="n">
        <v>0</v>
      </c>
      <c r="L438" t="n">
        <v>0</v>
      </c>
      <c r="M438" t="n">
        <v>0</v>
      </c>
      <c r="N438" t="n">
        <v>0</v>
      </c>
      <c r="O438" t="n">
        <v>0</v>
      </c>
      <c r="P438" t="n">
        <v>0</v>
      </c>
      <c r="Q438" t="n">
        <v>0</v>
      </c>
      <c r="R438" s="2" t="inlineStr"/>
    </row>
    <row r="439" ht="15" customHeight="1">
      <c r="A439" t="inlineStr">
        <is>
          <t>A 6356-2022</t>
        </is>
      </c>
      <c r="B439" s="1" t="n">
        <v>44600</v>
      </c>
      <c r="C439" s="1" t="n">
        <v>45931</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20184-2023</t>
        </is>
      </c>
      <c r="B440" s="1" t="n">
        <v>45055.5670949074</v>
      </c>
      <c r="C440" s="1" t="n">
        <v>45931</v>
      </c>
      <c r="D440" t="inlineStr">
        <is>
          <t>UPPSALA LÄN</t>
        </is>
      </c>
      <c r="E440" t="inlineStr">
        <is>
          <t>ENKÖPING</t>
        </is>
      </c>
      <c r="G440" t="n">
        <v>3.2</v>
      </c>
      <c r="H440" t="n">
        <v>0</v>
      </c>
      <c r="I440" t="n">
        <v>0</v>
      </c>
      <c r="J440" t="n">
        <v>0</v>
      </c>
      <c r="K440" t="n">
        <v>0</v>
      </c>
      <c r="L440" t="n">
        <v>0</v>
      </c>
      <c r="M440" t="n">
        <v>0</v>
      </c>
      <c r="N440" t="n">
        <v>0</v>
      </c>
      <c r="O440" t="n">
        <v>0</v>
      </c>
      <c r="P440" t="n">
        <v>0</v>
      </c>
      <c r="Q440" t="n">
        <v>0</v>
      </c>
      <c r="R440" s="2" t="inlineStr"/>
    </row>
    <row r="441" ht="15" customHeight="1">
      <c r="A441" t="inlineStr">
        <is>
          <t>A 57147-2021</t>
        </is>
      </c>
      <c r="B441" s="1" t="n">
        <v>44482</v>
      </c>
      <c r="C441" s="1" t="n">
        <v>45931</v>
      </c>
      <c r="D441" t="inlineStr">
        <is>
          <t>UPPSALA LÄN</t>
        </is>
      </c>
      <c r="E441" t="inlineStr">
        <is>
          <t>ENKÖPING</t>
        </is>
      </c>
      <c r="G441" t="n">
        <v>5.7</v>
      </c>
      <c r="H441" t="n">
        <v>0</v>
      </c>
      <c r="I441" t="n">
        <v>0</v>
      </c>
      <c r="J441" t="n">
        <v>0</v>
      </c>
      <c r="K441" t="n">
        <v>0</v>
      </c>
      <c r="L441" t="n">
        <v>0</v>
      </c>
      <c r="M441" t="n">
        <v>0</v>
      </c>
      <c r="N441" t="n">
        <v>0</v>
      </c>
      <c r="O441" t="n">
        <v>0</v>
      </c>
      <c r="P441" t="n">
        <v>0</v>
      </c>
      <c r="Q441" t="n">
        <v>0</v>
      </c>
      <c r="R441" s="2" t="inlineStr"/>
    </row>
    <row r="442" ht="15" customHeight="1">
      <c r="A442" t="inlineStr">
        <is>
          <t>A 61711-2020</t>
        </is>
      </c>
      <c r="B442" s="1" t="n">
        <v>44158</v>
      </c>
      <c r="C442" s="1" t="n">
        <v>45931</v>
      </c>
      <c r="D442" t="inlineStr">
        <is>
          <t>UPPSALA LÄN</t>
        </is>
      </c>
      <c r="E442" t="inlineStr">
        <is>
          <t>ENKÖPING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36350-2025</t>
        </is>
      </c>
      <c r="B443" s="1" t="n">
        <v>45868</v>
      </c>
      <c r="C443" s="1" t="n">
        <v>45931</v>
      </c>
      <c r="D443" t="inlineStr">
        <is>
          <t>UPPSALA LÄN</t>
        </is>
      </c>
      <c r="E443" t="inlineStr">
        <is>
          <t>ENKÖPING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61952-2021</t>
        </is>
      </c>
      <c r="B444" s="1" t="n">
        <v>44502</v>
      </c>
      <c r="C444" s="1" t="n">
        <v>45931</v>
      </c>
      <c r="D444" t="inlineStr">
        <is>
          <t>UPPSALA LÄN</t>
        </is>
      </c>
      <c r="E444" t="inlineStr">
        <is>
          <t>ENKÖPING</t>
        </is>
      </c>
      <c r="G444" t="n">
        <v>2.3</v>
      </c>
      <c r="H444" t="n">
        <v>0</v>
      </c>
      <c r="I444" t="n">
        <v>0</v>
      </c>
      <c r="J444" t="n">
        <v>0</v>
      </c>
      <c r="K444" t="n">
        <v>0</v>
      </c>
      <c r="L444" t="n">
        <v>0</v>
      </c>
      <c r="M444" t="n">
        <v>0</v>
      </c>
      <c r="N444" t="n">
        <v>0</v>
      </c>
      <c r="O444" t="n">
        <v>0</v>
      </c>
      <c r="P444" t="n">
        <v>0</v>
      </c>
      <c r="Q444" t="n">
        <v>0</v>
      </c>
      <c r="R444" s="2" t="inlineStr"/>
    </row>
    <row r="445" ht="15" customHeight="1">
      <c r="A445" t="inlineStr">
        <is>
          <t>A 43103-2025</t>
        </is>
      </c>
      <c r="B445" s="1" t="n">
        <v>45909</v>
      </c>
      <c r="C445" s="1" t="n">
        <v>45931</v>
      </c>
      <c r="D445" t="inlineStr">
        <is>
          <t>UPPSALA LÄN</t>
        </is>
      </c>
      <c r="E445" t="inlineStr">
        <is>
          <t>ENKÖPING</t>
        </is>
      </c>
      <c r="G445" t="n">
        <v>2.3</v>
      </c>
      <c r="H445" t="n">
        <v>0</v>
      </c>
      <c r="I445" t="n">
        <v>0</v>
      </c>
      <c r="J445" t="n">
        <v>0</v>
      </c>
      <c r="K445" t="n">
        <v>0</v>
      </c>
      <c r="L445" t="n">
        <v>0</v>
      </c>
      <c r="M445" t="n">
        <v>0</v>
      </c>
      <c r="N445" t="n">
        <v>0</v>
      </c>
      <c r="O445" t="n">
        <v>0</v>
      </c>
      <c r="P445" t="n">
        <v>0</v>
      </c>
      <c r="Q445" t="n">
        <v>0</v>
      </c>
      <c r="R445" s="2" t="inlineStr"/>
    </row>
    <row r="446" ht="15" customHeight="1">
      <c r="A446" t="inlineStr">
        <is>
          <t>A 47909-2024</t>
        </is>
      </c>
      <c r="B446" s="1" t="n">
        <v>45589.31866898148</v>
      </c>
      <c r="C446" s="1" t="n">
        <v>45931</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6157-2021</t>
        </is>
      </c>
      <c r="B447" s="1" t="n">
        <v>44232</v>
      </c>
      <c r="C447" s="1" t="n">
        <v>45931</v>
      </c>
      <c r="D447" t="inlineStr">
        <is>
          <t>UPPSALA LÄN</t>
        </is>
      </c>
      <c r="E447" t="inlineStr">
        <is>
          <t>ENKÖPING</t>
        </is>
      </c>
      <c r="G447" t="n">
        <v>3.9</v>
      </c>
      <c r="H447" t="n">
        <v>0</v>
      </c>
      <c r="I447" t="n">
        <v>0</v>
      </c>
      <c r="J447" t="n">
        <v>0</v>
      </c>
      <c r="K447" t="n">
        <v>0</v>
      </c>
      <c r="L447" t="n">
        <v>0</v>
      </c>
      <c r="M447" t="n">
        <v>0</v>
      </c>
      <c r="N447" t="n">
        <v>0</v>
      </c>
      <c r="O447" t="n">
        <v>0</v>
      </c>
      <c r="P447" t="n">
        <v>0</v>
      </c>
      <c r="Q447" t="n">
        <v>0</v>
      </c>
      <c r="R447" s="2" t="inlineStr"/>
    </row>
    <row r="448" ht="15" customHeight="1">
      <c r="A448" t="inlineStr">
        <is>
          <t>A 52005-2024</t>
        </is>
      </c>
      <c r="B448" s="1" t="n">
        <v>45607.7627662037</v>
      </c>
      <c r="C448" s="1" t="n">
        <v>45931</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25989-2025</t>
        </is>
      </c>
      <c r="B449" s="1" t="n">
        <v>45804.65050925926</v>
      </c>
      <c r="C449" s="1" t="n">
        <v>45931</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36599-2025</t>
        </is>
      </c>
      <c r="B450" s="1" t="n">
        <v>45870.51723379629</v>
      </c>
      <c r="C450" s="1" t="n">
        <v>45931</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36492-2025</t>
        </is>
      </c>
      <c r="B451" s="1" t="n">
        <v>45869</v>
      </c>
      <c r="C451" s="1" t="n">
        <v>45931</v>
      </c>
      <c r="D451" t="inlineStr">
        <is>
          <t>UPPSALA LÄN</t>
        </is>
      </c>
      <c r="E451" t="inlineStr">
        <is>
          <t>ENKÖPING</t>
        </is>
      </c>
      <c r="G451" t="n">
        <v>6.3</v>
      </c>
      <c r="H451" t="n">
        <v>0</v>
      </c>
      <c r="I451" t="n">
        <v>0</v>
      </c>
      <c r="J451" t="n">
        <v>0</v>
      </c>
      <c r="K451" t="n">
        <v>0</v>
      </c>
      <c r="L451" t="n">
        <v>0</v>
      </c>
      <c r="M451" t="n">
        <v>0</v>
      </c>
      <c r="N451" t="n">
        <v>0</v>
      </c>
      <c r="O451" t="n">
        <v>0</v>
      </c>
      <c r="P451" t="n">
        <v>0</v>
      </c>
      <c r="Q451" t="n">
        <v>0</v>
      </c>
      <c r="R451" s="2" t="inlineStr"/>
    </row>
    <row r="452" ht="15" customHeight="1">
      <c r="A452" t="inlineStr">
        <is>
          <t>A 42756-2025</t>
        </is>
      </c>
      <c r="B452" s="1" t="n">
        <v>45908</v>
      </c>
      <c r="C452" s="1" t="n">
        <v>45931</v>
      </c>
      <c r="D452" t="inlineStr">
        <is>
          <t>UPPSALA LÄN</t>
        </is>
      </c>
      <c r="E452" t="inlineStr">
        <is>
          <t>ENKÖPING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59602-2022</t>
        </is>
      </c>
      <c r="B453" s="1" t="n">
        <v>44907.72241898148</v>
      </c>
      <c r="C453" s="1" t="n">
        <v>45931</v>
      </c>
      <c r="D453" t="inlineStr">
        <is>
          <t>UPPSALA LÄN</t>
        </is>
      </c>
      <c r="E453" t="inlineStr">
        <is>
          <t>ENKÖPING</t>
        </is>
      </c>
      <c r="G453" t="n">
        <v>14.2</v>
      </c>
      <c r="H453" t="n">
        <v>0</v>
      </c>
      <c r="I453" t="n">
        <v>0</v>
      </c>
      <c r="J453" t="n">
        <v>0</v>
      </c>
      <c r="K453" t="n">
        <v>0</v>
      </c>
      <c r="L453" t="n">
        <v>0</v>
      </c>
      <c r="M453" t="n">
        <v>0</v>
      </c>
      <c r="N453" t="n">
        <v>0</v>
      </c>
      <c r="O453" t="n">
        <v>0</v>
      </c>
      <c r="P453" t="n">
        <v>0</v>
      </c>
      <c r="Q453" t="n">
        <v>0</v>
      </c>
      <c r="R453" s="2" t="inlineStr"/>
    </row>
    <row r="454" ht="15" customHeight="1">
      <c r="A454" t="inlineStr">
        <is>
          <t>A 42589-2022</t>
        </is>
      </c>
      <c r="B454" s="1" t="n">
        <v>44831</v>
      </c>
      <c r="C454" s="1" t="n">
        <v>45931</v>
      </c>
      <c r="D454" t="inlineStr">
        <is>
          <t>UPPSALA LÄN</t>
        </is>
      </c>
      <c r="E454" t="inlineStr">
        <is>
          <t>ENKÖPING</t>
        </is>
      </c>
      <c r="G454" t="n">
        <v>20</v>
      </c>
      <c r="H454" t="n">
        <v>0</v>
      </c>
      <c r="I454" t="n">
        <v>0</v>
      </c>
      <c r="J454" t="n">
        <v>0</v>
      </c>
      <c r="K454" t="n">
        <v>0</v>
      </c>
      <c r="L454" t="n">
        <v>0</v>
      </c>
      <c r="M454" t="n">
        <v>0</v>
      </c>
      <c r="N454" t="n">
        <v>0</v>
      </c>
      <c r="O454" t="n">
        <v>0</v>
      </c>
      <c r="P454" t="n">
        <v>0</v>
      </c>
      <c r="Q454" t="n">
        <v>0</v>
      </c>
      <c r="R454" s="2" t="inlineStr"/>
    </row>
    <row r="455" ht="15" customHeight="1">
      <c r="A455" t="inlineStr">
        <is>
          <t>A 35645-2021</t>
        </is>
      </c>
      <c r="B455" s="1" t="n">
        <v>44386.42</v>
      </c>
      <c r="C455" s="1" t="n">
        <v>45931</v>
      </c>
      <c r="D455" t="inlineStr">
        <is>
          <t>UPPSALA LÄN</t>
        </is>
      </c>
      <c r="E455" t="inlineStr">
        <is>
          <t>ENKÖPING</t>
        </is>
      </c>
      <c r="G455" t="n">
        <v>2.7</v>
      </c>
      <c r="H455" t="n">
        <v>0</v>
      </c>
      <c r="I455" t="n">
        <v>0</v>
      </c>
      <c r="J455" t="n">
        <v>0</v>
      </c>
      <c r="K455" t="n">
        <v>0</v>
      </c>
      <c r="L455" t="n">
        <v>0</v>
      </c>
      <c r="M455" t="n">
        <v>0</v>
      </c>
      <c r="N455" t="n">
        <v>0</v>
      </c>
      <c r="O455" t="n">
        <v>0</v>
      </c>
      <c r="P455" t="n">
        <v>0</v>
      </c>
      <c r="Q455" t="n">
        <v>0</v>
      </c>
      <c r="R455" s="2" t="inlineStr"/>
    </row>
    <row r="456" ht="15" customHeight="1">
      <c r="A456" t="inlineStr">
        <is>
          <t>A 2968-2025</t>
        </is>
      </c>
      <c r="B456" s="1" t="n">
        <v>45678</v>
      </c>
      <c r="C456" s="1" t="n">
        <v>45931</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9487-2025</t>
        </is>
      </c>
      <c r="B457" s="1" t="n">
        <v>45715.49331018519</v>
      </c>
      <c r="C457" s="1" t="n">
        <v>45931</v>
      </c>
      <c r="D457" t="inlineStr">
        <is>
          <t>UPPSALA LÄN</t>
        </is>
      </c>
      <c r="E457" t="inlineStr">
        <is>
          <t>ENKÖPING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16176-2025</t>
        </is>
      </c>
      <c r="B458" s="1" t="n">
        <v>45750</v>
      </c>
      <c r="C458" s="1" t="n">
        <v>45931</v>
      </c>
      <c r="D458" t="inlineStr">
        <is>
          <t>UPPSALA LÄN</t>
        </is>
      </c>
      <c r="E458" t="inlineStr">
        <is>
          <t>ENKÖPING</t>
        </is>
      </c>
      <c r="G458" t="n">
        <v>3.9</v>
      </c>
      <c r="H458" t="n">
        <v>0</v>
      </c>
      <c r="I458" t="n">
        <v>0</v>
      </c>
      <c r="J458" t="n">
        <v>0</v>
      </c>
      <c r="K458" t="n">
        <v>0</v>
      </c>
      <c r="L458" t="n">
        <v>0</v>
      </c>
      <c r="M458" t="n">
        <v>0</v>
      </c>
      <c r="N458" t="n">
        <v>0</v>
      </c>
      <c r="O458" t="n">
        <v>0</v>
      </c>
      <c r="P458" t="n">
        <v>0</v>
      </c>
      <c r="Q458" t="n">
        <v>0</v>
      </c>
      <c r="R458" s="2" t="inlineStr"/>
    </row>
    <row r="459" ht="15" customHeight="1">
      <c r="A459" t="inlineStr">
        <is>
          <t>A 44419-2025</t>
        </is>
      </c>
      <c r="B459" s="1" t="n">
        <v>45916.54671296296</v>
      </c>
      <c r="C459" s="1" t="n">
        <v>45931</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37035-2023</t>
        </is>
      </c>
      <c r="B460" s="1" t="n">
        <v>45155</v>
      </c>
      <c r="C460" s="1" t="n">
        <v>45931</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43999-2025</t>
        </is>
      </c>
      <c r="B461" s="1" t="n">
        <v>45915.45158564814</v>
      </c>
      <c r="C461" s="1" t="n">
        <v>45931</v>
      </c>
      <c r="D461" t="inlineStr">
        <is>
          <t>UPPSALA LÄN</t>
        </is>
      </c>
      <c r="E461" t="inlineStr">
        <is>
          <t>ENKÖPING</t>
        </is>
      </c>
      <c r="G461" t="n">
        <v>4.1</v>
      </c>
      <c r="H461" t="n">
        <v>0</v>
      </c>
      <c r="I461" t="n">
        <v>0</v>
      </c>
      <c r="J461" t="n">
        <v>0</v>
      </c>
      <c r="K461" t="n">
        <v>0</v>
      </c>
      <c r="L461" t="n">
        <v>0</v>
      </c>
      <c r="M461" t="n">
        <v>0</v>
      </c>
      <c r="N461" t="n">
        <v>0</v>
      </c>
      <c r="O461" t="n">
        <v>0</v>
      </c>
      <c r="P461" t="n">
        <v>0</v>
      </c>
      <c r="Q461" t="n">
        <v>0</v>
      </c>
      <c r="R461" s="2" t="inlineStr"/>
    </row>
    <row r="462" ht="15" customHeight="1">
      <c r="A462" t="inlineStr">
        <is>
          <t>A 53586-2024</t>
        </is>
      </c>
      <c r="B462" s="1" t="n">
        <v>45614</v>
      </c>
      <c r="C462" s="1" t="n">
        <v>45931</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51034-2024</t>
        </is>
      </c>
      <c r="B463" s="1" t="n">
        <v>45603.4262037037</v>
      </c>
      <c r="C463" s="1" t="n">
        <v>45931</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51036-2024</t>
        </is>
      </c>
      <c r="B464" s="1" t="n">
        <v>45603.42839120371</v>
      </c>
      <c r="C464" s="1" t="n">
        <v>45931</v>
      </c>
      <c r="D464" t="inlineStr">
        <is>
          <t>UPPSALA LÄN</t>
        </is>
      </c>
      <c r="E464" t="inlineStr">
        <is>
          <t>ENKÖPING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43492-2023</t>
        </is>
      </c>
      <c r="B465" s="1" t="n">
        <v>45181</v>
      </c>
      <c r="C465" s="1" t="n">
        <v>45931</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1536-2024</t>
        </is>
      </c>
      <c r="B466" s="1" t="n">
        <v>45306</v>
      </c>
      <c r="C466" s="1" t="n">
        <v>45931</v>
      </c>
      <c r="D466" t="inlineStr">
        <is>
          <t>UPPSALA LÄN</t>
        </is>
      </c>
      <c r="E466" t="inlineStr">
        <is>
          <t>ENKÖPING</t>
        </is>
      </c>
      <c r="F466" t="inlineStr">
        <is>
          <t>Kyrkan</t>
        </is>
      </c>
      <c r="G466" t="n">
        <v>5.6</v>
      </c>
      <c r="H466" t="n">
        <v>0</v>
      </c>
      <c r="I466" t="n">
        <v>0</v>
      </c>
      <c r="J466" t="n">
        <v>0</v>
      </c>
      <c r="K466" t="n">
        <v>0</v>
      </c>
      <c r="L466" t="n">
        <v>0</v>
      </c>
      <c r="M466" t="n">
        <v>0</v>
      </c>
      <c r="N466" t="n">
        <v>0</v>
      </c>
      <c r="O466" t="n">
        <v>0</v>
      </c>
      <c r="P466" t="n">
        <v>0</v>
      </c>
      <c r="Q466" t="n">
        <v>0</v>
      </c>
      <c r="R466" s="2" t="inlineStr"/>
    </row>
    <row r="467" ht="15" customHeight="1">
      <c r="A467" t="inlineStr">
        <is>
          <t>A 37319-2025</t>
        </is>
      </c>
      <c r="B467" s="1" t="n">
        <v>45876</v>
      </c>
      <c r="C467" s="1" t="n">
        <v>45931</v>
      </c>
      <c r="D467" t="inlineStr">
        <is>
          <t>UPPSALA LÄN</t>
        </is>
      </c>
      <c r="E467" t="inlineStr">
        <is>
          <t>ENKÖPING</t>
        </is>
      </c>
      <c r="G467" t="n">
        <v>9.5</v>
      </c>
      <c r="H467" t="n">
        <v>0</v>
      </c>
      <c r="I467" t="n">
        <v>0</v>
      </c>
      <c r="J467" t="n">
        <v>0</v>
      </c>
      <c r="K467" t="n">
        <v>0</v>
      </c>
      <c r="L467" t="n">
        <v>0</v>
      </c>
      <c r="M467" t="n">
        <v>0</v>
      </c>
      <c r="N467" t="n">
        <v>0</v>
      </c>
      <c r="O467" t="n">
        <v>0</v>
      </c>
      <c r="P467" t="n">
        <v>0</v>
      </c>
      <c r="Q467" t="n">
        <v>0</v>
      </c>
      <c r="R467" s="2" t="inlineStr"/>
    </row>
    <row r="468" ht="15" customHeight="1">
      <c r="A468" t="inlineStr">
        <is>
          <t>A 37296-2025</t>
        </is>
      </c>
      <c r="B468" s="1" t="n">
        <v>45876</v>
      </c>
      <c r="C468" s="1" t="n">
        <v>45931</v>
      </c>
      <c r="D468" t="inlineStr">
        <is>
          <t>UPPSALA LÄN</t>
        </is>
      </c>
      <c r="E468" t="inlineStr">
        <is>
          <t>ENKÖPING</t>
        </is>
      </c>
      <c r="G468" t="n">
        <v>9.5</v>
      </c>
      <c r="H468" t="n">
        <v>0</v>
      </c>
      <c r="I468" t="n">
        <v>0</v>
      </c>
      <c r="J468" t="n">
        <v>0</v>
      </c>
      <c r="K468" t="n">
        <v>0</v>
      </c>
      <c r="L468" t="n">
        <v>0</v>
      </c>
      <c r="M468" t="n">
        <v>0</v>
      </c>
      <c r="N468" t="n">
        <v>0</v>
      </c>
      <c r="O468" t="n">
        <v>0</v>
      </c>
      <c r="P468" t="n">
        <v>0</v>
      </c>
      <c r="Q468" t="n">
        <v>0</v>
      </c>
      <c r="R468" s="2" t="inlineStr"/>
    </row>
    <row r="469" ht="15" customHeight="1">
      <c r="A469" t="inlineStr">
        <is>
          <t>A 2974-2025</t>
        </is>
      </c>
      <c r="B469" s="1" t="n">
        <v>45678.47168981482</v>
      </c>
      <c r="C469" s="1" t="n">
        <v>45931</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16916-2023</t>
        </is>
      </c>
      <c r="B470" s="1" t="n">
        <v>45033.58347222222</v>
      </c>
      <c r="C470" s="1" t="n">
        <v>45931</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16920-2023</t>
        </is>
      </c>
      <c r="B471" s="1" t="n">
        <v>45033.59030092593</v>
      </c>
      <c r="C471" s="1" t="n">
        <v>45931</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41765-2025</t>
        </is>
      </c>
      <c r="B472" s="1" t="n">
        <v>45902</v>
      </c>
      <c r="C472" s="1" t="n">
        <v>45931</v>
      </c>
      <c r="D472" t="inlineStr">
        <is>
          <t>UPPSALA LÄN</t>
        </is>
      </c>
      <c r="E472" t="inlineStr">
        <is>
          <t>ENKÖPING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52388-2024</t>
        </is>
      </c>
      <c r="B473" s="1" t="n">
        <v>45609.42939814815</v>
      </c>
      <c r="C473" s="1" t="n">
        <v>45931</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12434-2021</t>
        </is>
      </c>
      <c r="B474" s="1" t="n">
        <v>44267</v>
      </c>
      <c r="C474" s="1" t="n">
        <v>45931</v>
      </c>
      <c r="D474" t="inlineStr">
        <is>
          <t>UPPSALA LÄN</t>
        </is>
      </c>
      <c r="E474" t="inlineStr">
        <is>
          <t>ENKÖPING</t>
        </is>
      </c>
      <c r="G474" t="n">
        <v>5.3</v>
      </c>
      <c r="H474" t="n">
        <v>0</v>
      </c>
      <c r="I474" t="n">
        <v>0</v>
      </c>
      <c r="J474" t="n">
        <v>0</v>
      </c>
      <c r="K474" t="n">
        <v>0</v>
      </c>
      <c r="L474" t="n">
        <v>0</v>
      </c>
      <c r="M474" t="n">
        <v>0</v>
      </c>
      <c r="N474" t="n">
        <v>0</v>
      </c>
      <c r="O474" t="n">
        <v>0</v>
      </c>
      <c r="P474" t="n">
        <v>0</v>
      </c>
      <c r="Q474" t="n">
        <v>0</v>
      </c>
      <c r="R474" s="2" t="inlineStr"/>
    </row>
    <row r="475" ht="15" customHeight="1">
      <c r="A475" t="inlineStr">
        <is>
          <t>A 37498-2025</t>
        </is>
      </c>
      <c r="B475" s="1" t="n">
        <v>45877</v>
      </c>
      <c r="C475" s="1" t="n">
        <v>45931</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1992-2022</t>
        </is>
      </c>
      <c r="B476" s="1" t="n">
        <v>44575.56153935185</v>
      </c>
      <c r="C476" s="1" t="n">
        <v>45931</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6626-2023</t>
        </is>
      </c>
      <c r="B477" s="1" t="n">
        <v>44966.55946759259</v>
      </c>
      <c r="C477" s="1" t="n">
        <v>45931</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49622-2024</t>
        </is>
      </c>
      <c r="B478" s="1" t="n">
        <v>45596.58372685185</v>
      </c>
      <c r="C478" s="1" t="n">
        <v>45931</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48843-2023</t>
        </is>
      </c>
      <c r="B479" s="1" t="n">
        <v>45209</v>
      </c>
      <c r="C479" s="1" t="n">
        <v>45931</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57940-2022</t>
        </is>
      </c>
      <c r="B480" s="1" t="n">
        <v>44900</v>
      </c>
      <c r="C480" s="1" t="n">
        <v>45931</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35079-2024</t>
        </is>
      </c>
      <c r="B481" s="1" t="n">
        <v>45527.66770833333</v>
      </c>
      <c r="C481" s="1" t="n">
        <v>45931</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53595-2023</t>
        </is>
      </c>
      <c r="B482" s="1" t="n">
        <v>45223</v>
      </c>
      <c r="C482" s="1" t="n">
        <v>45931</v>
      </c>
      <c r="D482" t="inlineStr">
        <is>
          <t>UPPSALA LÄN</t>
        </is>
      </c>
      <c r="E482" t="inlineStr">
        <is>
          <t>ENKÖPING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45755-2025</t>
        </is>
      </c>
      <c r="B483" s="1" t="n">
        <v>45923.50240740741</v>
      </c>
      <c r="C483" s="1" t="n">
        <v>45931</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21017-2023</t>
        </is>
      </c>
      <c r="B484" s="1" t="n">
        <v>45061</v>
      </c>
      <c r="C484" s="1" t="n">
        <v>45931</v>
      </c>
      <c r="D484" t="inlineStr">
        <is>
          <t>UPPSALA LÄN</t>
        </is>
      </c>
      <c r="E484" t="inlineStr">
        <is>
          <t>ENKÖPING</t>
        </is>
      </c>
      <c r="G484" t="n">
        <v>4.8</v>
      </c>
      <c r="H484" t="n">
        <v>0</v>
      </c>
      <c r="I484" t="n">
        <v>0</v>
      </c>
      <c r="J484" t="n">
        <v>0</v>
      </c>
      <c r="K484" t="n">
        <v>0</v>
      </c>
      <c r="L484" t="n">
        <v>0</v>
      </c>
      <c r="M484" t="n">
        <v>0</v>
      </c>
      <c r="N484" t="n">
        <v>0</v>
      </c>
      <c r="O484" t="n">
        <v>0</v>
      </c>
      <c r="P484" t="n">
        <v>0</v>
      </c>
      <c r="Q484" t="n">
        <v>0</v>
      </c>
      <c r="R484" s="2" t="inlineStr"/>
    </row>
    <row r="485" ht="15" customHeight="1">
      <c r="A485" t="inlineStr">
        <is>
          <t>A 46590-2025</t>
        </is>
      </c>
      <c r="B485" s="1" t="n">
        <v>45926.39542824074</v>
      </c>
      <c r="C485" s="1" t="n">
        <v>45931</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c r="A486" t="inlineStr">
        <is>
          <t>A 56176-2021</t>
        </is>
      </c>
      <c r="B486" s="1" t="n">
        <v>44477</v>
      </c>
      <c r="C486" s="1" t="n">
        <v>45931</v>
      </c>
      <c r="D486" t="inlineStr">
        <is>
          <t>UPPSALA LÄN</t>
        </is>
      </c>
      <c r="E486" t="inlineStr">
        <is>
          <t>ENKÖPING</t>
        </is>
      </c>
      <c r="G486" t="n">
        <v>2.9</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2025-10-01T12:51:53Z</dcterms:created>
  <dcterms:modified xmlns:dcterms="http://purl.org/dc/terms/" xmlns:xsi="http://www.w3.org/2001/XMLSchema-instance" xsi:type="dcterms:W3CDTF">2025-10-01T12:51:53Z</dcterms:modified>
</cp:coreProperties>
</file>