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46130</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46130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46130</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46130</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46130</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46130</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46130</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46130</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21970-2025</t>
        </is>
      </c>
      <c r="B12" s="1" t="n">
        <v>45784.63335648148</v>
      </c>
      <c r="C12" s="1" t="n">
        <v>46130</v>
      </c>
      <c r="D12" t="inlineStr">
        <is>
          <t>UPPSALA LÄN</t>
        </is>
      </c>
      <c r="E12" t="inlineStr">
        <is>
          <t>ENKÖPING</t>
        </is>
      </c>
      <c r="G12" t="n">
        <v>5.3</v>
      </c>
      <c r="H12" t="n">
        <v>1</v>
      </c>
      <c r="I12" t="n">
        <v>0</v>
      </c>
      <c r="J12" t="n">
        <v>1</v>
      </c>
      <c r="K12" t="n">
        <v>0</v>
      </c>
      <c r="L12" t="n">
        <v>0</v>
      </c>
      <c r="M12" t="n">
        <v>0</v>
      </c>
      <c r="N12" t="n">
        <v>0</v>
      </c>
      <c r="O12" t="n">
        <v>1</v>
      </c>
      <c r="P12" t="n">
        <v>0</v>
      </c>
      <c r="Q12" t="n">
        <v>2</v>
      </c>
      <c r="R12" s="2" t="inlineStr">
        <is>
          <t>Flattoppad klubbsvamp
Blåsippa</t>
        </is>
      </c>
      <c r="S12">
        <f>HYPERLINK("https://klasma.github.io/Logging_0381/artfynd/A 21970-2025 artfynd.xlsx", "A 21970-2025")</f>
        <v/>
      </c>
      <c r="T12">
        <f>HYPERLINK("https://klasma.github.io/Logging_0381/kartor/A 21970-2025 karta.png", "A 21970-2025")</f>
        <v/>
      </c>
      <c r="V12">
        <f>HYPERLINK("https://klasma.github.io/Logging_0381/klagomål/A 21970-2025 FSC-klagomål.docx", "A 21970-2025")</f>
        <v/>
      </c>
      <c r="W12">
        <f>HYPERLINK("https://klasma.github.io/Logging_0381/klagomålsmail/A 21970-2025 FSC-klagomål mail.docx", "A 21970-2025")</f>
        <v/>
      </c>
      <c r="X12">
        <f>HYPERLINK("https://klasma.github.io/Logging_0381/tillsyn/A 21970-2025 tillsynsbegäran.docx", "A 21970-2025")</f>
        <v/>
      </c>
      <c r="Y12">
        <f>HYPERLINK("https://klasma.github.io/Logging_0381/tillsynsmail/A 21970-2025 tillsynsbegäran mail.docx", "A 21970-2025")</f>
        <v/>
      </c>
    </row>
    <row r="13" ht="15" customHeight="1">
      <c r="A13" t="inlineStr">
        <is>
          <t>A 52092-2022</t>
        </is>
      </c>
      <c r="B13" s="1" t="n">
        <v>44873</v>
      </c>
      <c r="C13" s="1" t="n">
        <v>46130</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27073-2025</t>
        </is>
      </c>
      <c r="B14" s="1" t="n">
        <v>45811.64190972222</v>
      </c>
      <c r="C14" s="1" t="n">
        <v>46130</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9147-2026</t>
        </is>
      </c>
      <c r="B15" s="1" t="n">
        <v>46070.30649305556</v>
      </c>
      <c r="C15" s="1" t="n">
        <v>46130</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50105-2023</t>
        </is>
      </c>
      <c r="B16" s="1" t="n">
        <v>45215</v>
      </c>
      <c r="C16" s="1" t="n">
        <v>46130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46130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46130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52439-2025</t>
        </is>
      </c>
      <c r="B21" s="1" t="n">
        <v>45954.40697916667</v>
      </c>
      <c r="C21" s="1" t="n">
        <v>46130</v>
      </c>
      <c r="D21" t="inlineStr">
        <is>
          <t>UPPSALA LÄN</t>
        </is>
      </c>
      <c r="E21" t="inlineStr">
        <is>
          <t>ENKÖPING</t>
        </is>
      </c>
      <c r="F21" t="inlineStr">
        <is>
          <t>Allmännings- och besparingsskogar</t>
        </is>
      </c>
      <c r="G21" t="n">
        <v>2.2</v>
      </c>
      <c r="H21" t="n">
        <v>0</v>
      </c>
      <c r="I21" t="n">
        <v>0</v>
      </c>
      <c r="J21" t="n">
        <v>1</v>
      </c>
      <c r="K21" t="n">
        <v>0</v>
      </c>
      <c r="L21" t="n">
        <v>0</v>
      </c>
      <c r="M21" t="n">
        <v>0</v>
      </c>
      <c r="N21" t="n">
        <v>0</v>
      </c>
      <c r="O21" t="n">
        <v>1</v>
      </c>
      <c r="P21" t="n">
        <v>0</v>
      </c>
      <c r="Q21" t="n">
        <v>1</v>
      </c>
      <c r="R21" s="2" t="inlineStr">
        <is>
          <t>Igelkott</t>
        </is>
      </c>
      <c r="S21">
        <f>HYPERLINK("https://klasma.github.io/Logging_0381/artfynd/A 52439-2025 artfynd.xlsx", "A 52439-2025")</f>
        <v/>
      </c>
      <c r="T21">
        <f>HYPERLINK("https://klasma.github.io/Logging_0381/kartor/A 52439-2025 karta.png", "A 52439-2025")</f>
        <v/>
      </c>
      <c r="V21">
        <f>HYPERLINK("https://klasma.github.io/Logging_0381/klagomål/A 52439-2025 FSC-klagomål.docx", "A 52439-2025")</f>
        <v/>
      </c>
      <c r="W21">
        <f>HYPERLINK("https://klasma.github.io/Logging_0381/klagomålsmail/A 52439-2025 FSC-klagomål mail.docx", "A 52439-2025")</f>
        <v/>
      </c>
      <c r="X21">
        <f>HYPERLINK("https://klasma.github.io/Logging_0381/tillsyn/A 52439-2025 tillsynsbegäran.docx", "A 52439-2025")</f>
        <v/>
      </c>
      <c r="Y21">
        <f>HYPERLINK("https://klasma.github.io/Logging_0381/tillsynsmail/A 52439-2025 tillsynsbegäran mail.docx", "A 52439-2025")</f>
        <v/>
      </c>
    </row>
    <row r="22" ht="15" customHeight="1">
      <c r="A22" t="inlineStr">
        <is>
          <t>A 26347-2025</t>
        </is>
      </c>
      <c r="B22" s="1" t="n">
        <v>45805.7403125</v>
      </c>
      <c r="C22" s="1" t="n">
        <v>46130</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29510-2025</t>
        </is>
      </c>
      <c r="B23" s="1" t="n">
        <v>45825</v>
      </c>
      <c r="C23" s="1" t="n">
        <v>46130</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27060-2025</t>
        </is>
      </c>
      <c r="B24" s="1" t="n">
        <v>45811.63590277778</v>
      </c>
      <c r="C24" s="1" t="n">
        <v>46130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46130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46130</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46130</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46130</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33339-2024</t>
        </is>
      </c>
      <c r="B29" s="1" t="n">
        <v>45519</v>
      </c>
      <c r="C29" s="1" t="n">
        <v>46130</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4166-2026</t>
        </is>
      </c>
      <c r="B30" s="1" t="n">
        <v>46044.66402777778</v>
      </c>
      <c r="C30" s="1" t="n">
        <v>46130</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46130</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46130</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46130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46130</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46130</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46130</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46130</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46130</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46130</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46130</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46130</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46130</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46130</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46130</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46130</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46130</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46130</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46130</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46130</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46130</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46130</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46130</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46130</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46130</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46130</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46130</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46130</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46130</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46130</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46130</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46130</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46130</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46130</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46130</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46130</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46130</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46130</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46130</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46130</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46130</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46130</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46130</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46130</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46130</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46130</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46130</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46130</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46130</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24883-2022</t>
        </is>
      </c>
      <c r="B84" s="1" t="n">
        <v>44728</v>
      </c>
      <c r="C84" s="1" t="n">
        <v>46130</v>
      </c>
      <c r="D84" t="inlineStr">
        <is>
          <t>UPPSALA LÄN</t>
        </is>
      </c>
      <c r="E84" t="inlineStr">
        <is>
          <t>ENKÖPING</t>
        </is>
      </c>
      <c r="G84" t="n">
        <v>2.5</v>
      </c>
      <c r="H84" t="n">
        <v>0</v>
      </c>
      <c r="I84" t="n">
        <v>0</v>
      </c>
      <c r="J84" t="n">
        <v>0</v>
      </c>
      <c r="K84" t="n">
        <v>0</v>
      </c>
      <c r="L84" t="n">
        <v>0</v>
      </c>
      <c r="M84" t="n">
        <v>0</v>
      </c>
      <c r="N84" t="n">
        <v>0</v>
      </c>
      <c r="O84" t="n">
        <v>0</v>
      </c>
      <c r="P84" t="n">
        <v>0</v>
      </c>
      <c r="Q84" t="n">
        <v>0</v>
      </c>
      <c r="R84" s="2" t="inlineStr"/>
    </row>
    <row r="85" ht="15" customHeight="1">
      <c r="A85" t="inlineStr">
        <is>
          <t>A 19630-2021</t>
        </is>
      </c>
      <c r="B85" s="1" t="n">
        <v>44312.61876157407</v>
      </c>
      <c r="C85" s="1" t="n">
        <v>46130</v>
      </c>
      <c r="D85" t="inlineStr">
        <is>
          <t>UPPSALA LÄN</t>
        </is>
      </c>
      <c r="E85" t="inlineStr">
        <is>
          <t>ENKÖPING</t>
        </is>
      </c>
      <c r="G85" t="n">
        <v>2.7</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46130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42021-2021</t>
        </is>
      </c>
      <c r="B87" s="1" t="n">
        <v>44426</v>
      </c>
      <c r="C87" s="1" t="n">
        <v>46130</v>
      </c>
      <c r="D87" t="inlineStr">
        <is>
          <t>UPPSALA LÄN</t>
        </is>
      </c>
      <c r="E87" t="inlineStr">
        <is>
          <t>ENKÖPING</t>
        </is>
      </c>
      <c r="G87" t="n">
        <v>2.2</v>
      </c>
      <c r="H87" t="n">
        <v>0</v>
      </c>
      <c r="I87" t="n">
        <v>0</v>
      </c>
      <c r="J87" t="n">
        <v>0</v>
      </c>
      <c r="K87" t="n">
        <v>0</v>
      </c>
      <c r="L87" t="n">
        <v>0</v>
      </c>
      <c r="M87" t="n">
        <v>0</v>
      </c>
      <c r="N87" t="n">
        <v>0</v>
      </c>
      <c r="O87" t="n">
        <v>0</v>
      </c>
      <c r="P87" t="n">
        <v>0</v>
      </c>
      <c r="Q87" t="n">
        <v>0</v>
      </c>
      <c r="R87" s="2" t="inlineStr"/>
    </row>
    <row r="88" ht="15" customHeight="1">
      <c r="A88" t="inlineStr">
        <is>
          <t>A 17467-2022</t>
        </is>
      </c>
      <c r="B88" s="1" t="n">
        <v>44679</v>
      </c>
      <c r="C88" s="1" t="n">
        <v>46130</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46130</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46130</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57078-2021</t>
        </is>
      </c>
      <c r="B91" s="1" t="n">
        <v>44482.57855324074</v>
      </c>
      <c r="C91" s="1" t="n">
        <v>46130</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46130</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31965-2021</t>
        </is>
      </c>
      <c r="B93" s="1" t="n">
        <v>44370.56901620371</v>
      </c>
      <c r="C93" s="1" t="n">
        <v>46130</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46103-2023</t>
        </is>
      </c>
      <c r="B94" s="1" t="n">
        <v>45190</v>
      </c>
      <c r="C94" s="1" t="n">
        <v>46130</v>
      </c>
      <c r="D94" t="inlineStr">
        <is>
          <t>UPPSALA LÄN</t>
        </is>
      </c>
      <c r="E94" t="inlineStr">
        <is>
          <t>ENKÖPING</t>
        </is>
      </c>
      <c r="G94" t="n">
        <v>4.6</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46130</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43488-2023</t>
        </is>
      </c>
      <c r="B96" s="1" t="n">
        <v>45181</v>
      </c>
      <c r="C96" s="1" t="n">
        <v>46130</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4044-2024</t>
        </is>
      </c>
      <c r="B97" s="1" t="n">
        <v>45323.45954861111</v>
      </c>
      <c r="C97" s="1" t="n">
        <v>46130</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46130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30437-2022</t>
        </is>
      </c>
      <c r="B99" s="1" t="n">
        <v>44761</v>
      </c>
      <c r="C99" s="1" t="n">
        <v>46130</v>
      </c>
      <c r="D99" t="inlineStr">
        <is>
          <t>UPPSALA LÄN</t>
        </is>
      </c>
      <c r="E99" t="inlineStr">
        <is>
          <t>ENKÖPING</t>
        </is>
      </c>
      <c r="G99" t="n">
        <v>3.4</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46130</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57152-2021</t>
        </is>
      </c>
      <c r="B101" s="1" t="n">
        <v>44482</v>
      </c>
      <c r="C101" s="1" t="n">
        <v>46130</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25333-2023</t>
        </is>
      </c>
      <c r="B102" s="1" t="n">
        <v>45083</v>
      </c>
      <c r="C102" s="1" t="n">
        <v>46130</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20112-2024</t>
        </is>
      </c>
      <c r="B103" s="1" t="n">
        <v>45434</v>
      </c>
      <c r="C103" s="1" t="n">
        <v>46130</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5211-2024</t>
        </is>
      </c>
      <c r="B104" s="1" t="n">
        <v>45330</v>
      </c>
      <c r="C104" s="1" t="n">
        <v>46130</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51932-2022</t>
        </is>
      </c>
      <c r="B105" s="1" t="n">
        <v>44872</v>
      </c>
      <c r="C105" s="1" t="n">
        <v>46130</v>
      </c>
      <c r="D105" t="inlineStr">
        <is>
          <t>UPPSALA LÄN</t>
        </is>
      </c>
      <c r="E105" t="inlineStr">
        <is>
          <t>ENKÖPING</t>
        </is>
      </c>
      <c r="G105" t="n">
        <v>5.5</v>
      </c>
      <c r="H105" t="n">
        <v>0</v>
      </c>
      <c r="I105" t="n">
        <v>0</v>
      </c>
      <c r="J105" t="n">
        <v>0</v>
      </c>
      <c r="K105" t="n">
        <v>0</v>
      </c>
      <c r="L105" t="n">
        <v>0</v>
      </c>
      <c r="M105" t="n">
        <v>0</v>
      </c>
      <c r="N105" t="n">
        <v>0</v>
      </c>
      <c r="O105" t="n">
        <v>0</v>
      </c>
      <c r="P105" t="n">
        <v>0</v>
      </c>
      <c r="Q105" t="n">
        <v>0</v>
      </c>
      <c r="R105" s="2" t="inlineStr"/>
    </row>
    <row r="106" ht="15" customHeight="1">
      <c r="A106" t="inlineStr">
        <is>
          <t>A 12958-2024</t>
        </is>
      </c>
      <c r="B106" s="1" t="n">
        <v>45385</v>
      </c>
      <c r="C106" s="1" t="n">
        <v>46130</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69344-2021</t>
        </is>
      </c>
      <c r="B107" s="1" t="n">
        <v>44531</v>
      </c>
      <c r="C107" s="1" t="n">
        <v>46130</v>
      </c>
      <c r="D107" t="inlineStr">
        <is>
          <t>UPPSALA LÄN</t>
        </is>
      </c>
      <c r="E107" t="inlineStr">
        <is>
          <t>ENKÖPING</t>
        </is>
      </c>
      <c r="G107" t="n">
        <v>2.9</v>
      </c>
      <c r="H107" t="n">
        <v>0</v>
      </c>
      <c r="I107" t="n">
        <v>0</v>
      </c>
      <c r="J107" t="n">
        <v>0</v>
      </c>
      <c r="K107" t="n">
        <v>0</v>
      </c>
      <c r="L107" t="n">
        <v>0</v>
      </c>
      <c r="M107" t="n">
        <v>0</v>
      </c>
      <c r="N107" t="n">
        <v>0</v>
      </c>
      <c r="O107" t="n">
        <v>0</v>
      </c>
      <c r="P107" t="n">
        <v>0</v>
      </c>
      <c r="Q107" t="n">
        <v>0</v>
      </c>
      <c r="R107" s="2" t="inlineStr"/>
    </row>
    <row r="108" ht="15" customHeight="1">
      <c r="A108" t="inlineStr">
        <is>
          <t>A 14518-2025</t>
        </is>
      </c>
      <c r="B108" s="1" t="n">
        <v>45741</v>
      </c>
      <c r="C108" s="1" t="n">
        <v>46130</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40812-2022</t>
        </is>
      </c>
      <c r="B109" s="1" t="n">
        <v>44824.68791666667</v>
      </c>
      <c r="C109" s="1" t="n">
        <v>46130</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24291-2024</t>
        </is>
      </c>
      <c r="B110" s="1" t="n">
        <v>45457.4584837963</v>
      </c>
      <c r="C110" s="1" t="n">
        <v>46130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54776-2024</t>
        </is>
      </c>
      <c r="B111" s="1" t="n">
        <v>45618</v>
      </c>
      <c r="C111" s="1" t="n">
        <v>46130</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22150-2025</t>
        </is>
      </c>
      <c r="B112" s="1" t="n">
        <v>45785.56398148148</v>
      </c>
      <c r="C112" s="1" t="n">
        <v>46130</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26017-2025</t>
        </is>
      </c>
      <c r="B113" s="1" t="n">
        <v>45804</v>
      </c>
      <c r="C113" s="1" t="n">
        <v>46130</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22156-2025</t>
        </is>
      </c>
      <c r="B114" s="1" t="n">
        <v>45785.57512731481</v>
      </c>
      <c r="C114" s="1" t="n">
        <v>46130</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44232-2022</t>
        </is>
      </c>
      <c r="B115" s="1" t="n">
        <v>44839</v>
      </c>
      <c r="C115" s="1" t="n">
        <v>46130</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30087-2024</t>
        </is>
      </c>
      <c r="B116" s="1" t="n">
        <v>45489.39447916667</v>
      </c>
      <c r="C116" s="1" t="n">
        <v>46130</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47428-2023</t>
        </is>
      </c>
      <c r="B117" s="1" t="n">
        <v>45202.66664351852</v>
      </c>
      <c r="C117" s="1" t="n">
        <v>46130</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22677-2025</t>
        </is>
      </c>
      <c r="B118" s="1" t="n">
        <v>45789.49515046296</v>
      </c>
      <c r="C118" s="1" t="n">
        <v>46130</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22679-2025</t>
        </is>
      </c>
      <c r="B119" s="1" t="n">
        <v>45789.49747685185</v>
      </c>
      <c r="C119" s="1" t="n">
        <v>46130</v>
      </c>
      <c r="D119" t="inlineStr">
        <is>
          <t>UPPSALA LÄN</t>
        </is>
      </c>
      <c r="E119" t="inlineStr">
        <is>
          <t>ENKÖPING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22729-2025</t>
        </is>
      </c>
      <c r="B120" s="1" t="n">
        <v>45789.57790509259</v>
      </c>
      <c r="C120" s="1" t="n">
        <v>46130</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22786-2025</t>
        </is>
      </c>
      <c r="B121" s="1" t="n">
        <v>45789.64643518518</v>
      </c>
      <c r="C121" s="1" t="n">
        <v>46130</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22795-2025</t>
        </is>
      </c>
      <c r="B122" s="1" t="n">
        <v>45789.65944444444</v>
      </c>
      <c r="C122" s="1" t="n">
        <v>46130</v>
      </c>
      <c r="D122" t="inlineStr">
        <is>
          <t>UPPSALA LÄN</t>
        </is>
      </c>
      <c r="E122" t="inlineStr">
        <is>
          <t>ENKÖPING</t>
        </is>
      </c>
      <c r="G122" t="n">
        <v>10.4</v>
      </c>
      <c r="H122" t="n">
        <v>0</v>
      </c>
      <c r="I122" t="n">
        <v>0</v>
      </c>
      <c r="J122" t="n">
        <v>0</v>
      </c>
      <c r="K122" t="n">
        <v>0</v>
      </c>
      <c r="L122" t="n">
        <v>0</v>
      </c>
      <c r="M122" t="n">
        <v>0</v>
      </c>
      <c r="N122" t="n">
        <v>0</v>
      </c>
      <c r="O122" t="n">
        <v>0</v>
      </c>
      <c r="P122" t="n">
        <v>0</v>
      </c>
      <c r="Q122" t="n">
        <v>0</v>
      </c>
      <c r="R122" s="2" t="inlineStr"/>
    </row>
    <row r="123" ht="15" customHeight="1">
      <c r="A123" t="inlineStr">
        <is>
          <t>A 22802-2025</t>
        </is>
      </c>
      <c r="B123" s="1" t="n">
        <v>45789.6686574074</v>
      </c>
      <c r="C123" s="1" t="n">
        <v>46130</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45362-2022</t>
        </is>
      </c>
      <c r="B124" s="1" t="n">
        <v>44844.62366898148</v>
      </c>
      <c r="C124" s="1" t="n">
        <v>46130</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56526-2022</t>
        </is>
      </c>
      <c r="B125" s="1" t="n">
        <v>44893</v>
      </c>
      <c r="C125" s="1" t="n">
        <v>46130</v>
      </c>
      <c r="D125" t="inlineStr">
        <is>
          <t>UPPSALA LÄN</t>
        </is>
      </c>
      <c r="E125" t="inlineStr">
        <is>
          <t>ENKÖPING</t>
        </is>
      </c>
      <c r="G125" t="n">
        <v>3.8</v>
      </c>
      <c r="H125" t="n">
        <v>0</v>
      </c>
      <c r="I125" t="n">
        <v>0</v>
      </c>
      <c r="J125" t="n">
        <v>0</v>
      </c>
      <c r="K125" t="n">
        <v>0</v>
      </c>
      <c r="L125" t="n">
        <v>0</v>
      </c>
      <c r="M125" t="n">
        <v>0</v>
      </c>
      <c r="N125" t="n">
        <v>0</v>
      </c>
      <c r="O125" t="n">
        <v>0</v>
      </c>
      <c r="P125" t="n">
        <v>0</v>
      </c>
      <c r="Q125" t="n">
        <v>0</v>
      </c>
      <c r="R125" s="2" t="inlineStr"/>
    </row>
    <row r="126" ht="15" customHeight="1">
      <c r="A126" t="inlineStr">
        <is>
          <t>A 22680-2025</t>
        </is>
      </c>
      <c r="B126" s="1" t="n">
        <v>45789.5005787037</v>
      </c>
      <c r="C126" s="1" t="n">
        <v>46130</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60350-2022</t>
        </is>
      </c>
      <c r="B127" s="1" t="n">
        <v>44910</v>
      </c>
      <c r="C127" s="1" t="n">
        <v>46130</v>
      </c>
      <c r="D127" t="inlineStr">
        <is>
          <t>UPPSALA LÄN</t>
        </is>
      </c>
      <c r="E127" t="inlineStr">
        <is>
          <t>ENKÖPING</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6981-2025</t>
        </is>
      </c>
      <c r="B128" s="1" t="n">
        <v>45701</v>
      </c>
      <c r="C128" s="1" t="n">
        <v>46130</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28518-2024</t>
        </is>
      </c>
      <c r="B129" s="1" t="n">
        <v>45477</v>
      </c>
      <c r="C129" s="1" t="n">
        <v>46130</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22770-2025</t>
        </is>
      </c>
      <c r="B130" s="1" t="n">
        <v>45789.63454861111</v>
      </c>
      <c r="C130" s="1" t="n">
        <v>46130</v>
      </c>
      <c r="D130" t="inlineStr">
        <is>
          <t>UPPSALA LÄN</t>
        </is>
      </c>
      <c r="E130" t="inlineStr">
        <is>
          <t>ENKÖPING</t>
        </is>
      </c>
      <c r="G130" t="n">
        <v>4.5</v>
      </c>
      <c r="H130" t="n">
        <v>0</v>
      </c>
      <c r="I130" t="n">
        <v>0</v>
      </c>
      <c r="J130" t="n">
        <v>0</v>
      </c>
      <c r="K130" t="n">
        <v>0</v>
      </c>
      <c r="L130" t="n">
        <v>0</v>
      </c>
      <c r="M130" t="n">
        <v>0</v>
      </c>
      <c r="N130" t="n">
        <v>0</v>
      </c>
      <c r="O130" t="n">
        <v>0</v>
      </c>
      <c r="P130" t="n">
        <v>0</v>
      </c>
      <c r="Q130" t="n">
        <v>0</v>
      </c>
      <c r="R130" s="2" t="inlineStr"/>
    </row>
    <row r="131" ht="15" customHeight="1">
      <c r="A131" t="inlineStr">
        <is>
          <t>A 22725-2025</t>
        </is>
      </c>
      <c r="B131" s="1" t="n">
        <v>45789.57371527778</v>
      </c>
      <c r="C131" s="1" t="n">
        <v>46130</v>
      </c>
      <c r="D131" t="inlineStr">
        <is>
          <t>UPPSALA LÄN</t>
        </is>
      </c>
      <c r="E131" t="inlineStr">
        <is>
          <t>ENKÖPING</t>
        </is>
      </c>
      <c r="G131" t="n">
        <v>4.8</v>
      </c>
      <c r="H131" t="n">
        <v>0</v>
      </c>
      <c r="I131" t="n">
        <v>0</v>
      </c>
      <c r="J131" t="n">
        <v>0</v>
      </c>
      <c r="K131" t="n">
        <v>0</v>
      </c>
      <c r="L131" t="n">
        <v>0</v>
      </c>
      <c r="M131" t="n">
        <v>0</v>
      </c>
      <c r="N131" t="n">
        <v>0</v>
      </c>
      <c r="O131" t="n">
        <v>0</v>
      </c>
      <c r="P131" t="n">
        <v>0</v>
      </c>
      <c r="Q131" t="n">
        <v>0</v>
      </c>
      <c r="R131" s="2" t="inlineStr"/>
    </row>
    <row r="132" ht="15" customHeight="1">
      <c r="A132" t="inlineStr">
        <is>
          <t>A 22981-2025</t>
        </is>
      </c>
      <c r="B132" s="1" t="n">
        <v>45790.56964120371</v>
      </c>
      <c r="C132" s="1" t="n">
        <v>46130</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68123-2021</t>
        </is>
      </c>
      <c r="B133" s="1" t="n">
        <v>44526.39126157408</v>
      </c>
      <c r="C133" s="1" t="n">
        <v>46130</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22793-2025</t>
        </is>
      </c>
      <c r="B134" s="1" t="n">
        <v>45789.65693287037</v>
      </c>
      <c r="C134" s="1" t="n">
        <v>46130</v>
      </c>
      <c r="D134" t="inlineStr">
        <is>
          <t>UPPSALA LÄN</t>
        </is>
      </c>
      <c r="E134" t="inlineStr">
        <is>
          <t>ENKÖPING</t>
        </is>
      </c>
      <c r="G134" t="n">
        <v>3.2</v>
      </c>
      <c r="H134" t="n">
        <v>0</v>
      </c>
      <c r="I134" t="n">
        <v>0</v>
      </c>
      <c r="J134" t="n">
        <v>0</v>
      </c>
      <c r="K134" t="n">
        <v>0</v>
      </c>
      <c r="L134" t="n">
        <v>0</v>
      </c>
      <c r="M134" t="n">
        <v>0</v>
      </c>
      <c r="N134" t="n">
        <v>0</v>
      </c>
      <c r="O134" t="n">
        <v>0</v>
      </c>
      <c r="P134" t="n">
        <v>0</v>
      </c>
      <c r="Q134" t="n">
        <v>0</v>
      </c>
      <c r="R134" s="2" t="inlineStr"/>
    </row>
    <row r="135" ht="15" customHeight="1">
      <c r="A135" t="inlineStr">
        <is>
          <t>A 22800-2025</t>
        </is>
      </c>
      <c r="B135" s="1" t="n">
        <v>45789.6669212963</v>
      </c>
      <c r="C135" s="1" t="n">
        <v>46130</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30098-2024</t>
        </is>
      </c>
      <c r="B136" s="1" t="n">
        <v>45489.41609953704</v>
      </c>
      <c r="C136" s="1" t="n">
        <v>46130</v>
      </c>
      <c r="D136" t="inlineStr">
        <is>
          <t>UPPSALA LÄN</t>
        </is>
      </c>
      <c r="E136" t="inlineStr">
        <is>
          <t>ENKÖPING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46130</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60289-2022</t>
        </is>
      </c>
      <c r="B138" s="1" t="n">
        <v>44910.53026620371</v>
      </c>
      <c r="C138" s="1" t="n">
        <v>46130</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17729-2023</t>
        </is>
      </c>
      <c r="B139" s="1" t="n">
        <v>45037</v>
      </c>
      <c r="C139" s="1" t="n">
        <v>46130</v>
      </c>
      <c r="D139" t="inlineStr">
        <is>
          <t>UPPSALA LÄN</t>
        </is>
      </c>
      <c r="E139" t="inlineStr">
        <is>
          <t>ENKÖPING</t>
        </is>
      </c>
      <c r="G139" t="n">
        <v>10.2</v>
      </c>
      <c r="H139" t="n">
        <v>0</v>
      </c>
      <c r="I139" t="n">
        <v>0</v>
      </c>
      <c r="J139" t="n">
        <v>0</v>
      </c>
      <c r="K139" t="n">
        <v>0</v>
      </c>
      <c r="L139" t="n">
        <v>0</v>
      </c>
      <c r="M139" t="n">
        <v>0</v>
      </c>
      <c r="N139" t="n">
        <v>0</v>
      </c>
      <c r="O139" t="n">
        <v>0</v>
      </c>
      <c r="P139" t="n">
        <v>0</v>
      </c>
      <c r="Q139" t="n">
        <v>0</v>
      </c>
      <c r="R139" s="2" t="inlineStr"/>
    </row>
    <row r="140" ht="15" customHeight="1">
      <c r="A140" t="inlineStr">
        <is>
          <t>A 39746-2025</t>
        </is>
      </c>
      <c r="B140" s="1" t="n">
        <v>45891</v>
      </c>
      <c r="C140" s="1" t="n">
        <v>46130</v>
      </c>
      <c r="D140" t="inlineStr">
        <is>
          <t>UPPSALA LÄN</t>
        </is>
      </c>
      <c r="E140" t="inlineStr">
        <is>
          <t>ENKÖPING</t>
        </is>
      </c>
      <c r="G140" t="n">
        <v>7.4</v>
      </c>
      <c r="H140" t="n">
        <v>0</v>
      </c>
      <c r="I140" t="n">
        <v>0</v>
      </c>
      <c r="J140" t="n">
        <v>0</v>
      </c>
      <c r="K140" t="n">
        <v>0</v>
      </c>
      <c r="L140" t="n">
        <v>0</v>
      </c>
      <c r="M140" t="n">
        <v>0</v>
      </c>
      <c r="N140" t="n">
        <v>0</v>
      </c>
      <c r="O140" t="n">
        <v>0</v>
      </c>
      <c r="P140" t="n">
        <v>0</v>
      </c>
      <c r="Q140" t="n">
        <v>0</v>
      </c>
      <c r="R140" s="2" t="inlineStr"/>
    </row>
    <row r="141" ht="15" customHeight="1">
      <c r="A141" t="inlineStr">
        <is>
          <t>A 5749-2025</t>
        </is>
      </c>
      <c r="B141" s="1" t="n">
        <v>45694</v>
      </c>
      <c r="C141" s="1" t="n">
        <v>46130</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8020-2022</t>
        </is>
      </c>
      <c r="B142" s="1" t="n">
        <v>44609</v>
      </c>
      <c r="C142" s="1" t="n">
        <v>46130</v>
      </c>
      <c r="D142" t="inlineStr">
        <is>
          <t>UPPSALA LÄN</t>
        </is>
      </c>
      <c r="E142" t="inlineStr">
        <is>
          <t>ENKÖPING</t>
        </is>
      </c>
      <c r="G142" t="n">
        <v>6</v>
      </c>
      <c r="H142" t="n">
        <v>0</v>
      </c>
      <c r="I142" t="n">
        <v>0</v>
      </c>
      <c r="J142" t="n">
        <v>0</v>
      </c>
      <c r="K142" t="n">
        <v>0</v>
      </c>
      <c r="L142" t="n">
        <v>0</v>
      </c>
      <c r="M142" t="n">
        <v>0</v>
      </c>
      <c r="N142" t="n">
        <v>0</v>
      </c>
      <c r="O142" t="n">
        <v>0</v>
      </c>
      <c r="P142" t="n">
        <v>0</v>
      </c>
      <c r="Q142" t="n">
        <v>0</v>
      </c>
      <c r="R142" s="2" t="inlineStr"/>
    </row>
    <row r="143" ht="15" customHeight="1">
      <c r="A143" t="inlineStr">
        <is>
          <t>A 34805-2024</t>
        </is>
      </c>
      <c r="B143" s="1" t="n">
        <v>45526</v>
      </c>
      <c r="C143" s="1" t="n">
        <v>46130</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31242-2024</t>
        </is>
      </c>
      <c r="B144" s="1" t="n">
        <v>45503</v>
      </c>
      <c r="C144" s="1" t="n">
        <v>46130</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314-2025</t>
        </is>
      </c>
      <c r="B145" s="1" t="n">
        <v>45656</v>
      </c>
      <c r="C145" s="1" t="n">
        <v>46130</v>
      </c>
      <c r="D145" t="inlineStr">
        <is>
          <t>UPPSALA LÄN</t>
        </is>
      </c>
      <c r="E145" t="inlineStr">
        <is>
          <t>ENKÖPING</t>
        </is>
      </c>
      <c r="G145" t="n">
        <v>9</v>
      </c>
      <c r="H145" t="n">
        <v>0</v>
      </c>
      <c r="I145" t="n">
        <v>0</v>
      </c>
      <c r="J145" t="n">
        <v>0</v>
      </c>
      <c r="K145" t="n">
        <v>0</v>
      </c>
      <c r="L145" t="n">
        <v>0</v>
      </c>
      <c r="M145" t="n">
        <v>0</v>
      </c>
      <c r="N145" t="n">
        <v>0</v>
      </c>
      <c r="O145" t="n">
        <v>0</v>
      </c>
      <c r="P145" t="n">
        <v>0</v>
      </c>
      <c r="Q145" t="n">
        <v>0</v>
      </c>
      <c r="R145" s="2" t="inlineStr"/>
    </row>
    <row r="146" ht="15" customHeight="1">
      <c r="A146" t="inlineStr">
        <is>
          <t>A 10831-2024</t>
        </is>
      </c>
      <c r="B146" s="1" t="n">
        <v>45369</v>
      </c>
      <c r="C146" s="1" t="n">
        <v>46130</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2162-2023</t>
        </is>
      </c>
      <c r="B147" s="1" t="n">
        <v>44941</v>
      </c>
      <c r="C147" s="1" t="n">
        <v>46130</v>
      </c>
      <c r="D147" t="inlineStr">
        <is>
          <t>UPPSALA LÄN</t>
        </is>
      </c>
      <c r="E147" t="inlineStr">
        <is>
          <t>ENKÖPING</t>
        </is>
      </c>
      <c r="G147" t="n">
        <v>2.4</v>
      </c>
      <c r="H147" t="n">
        <v>0</v>
      </c>
      <c r="I147" t="n">
        <v>0</v>
      </c>
      <c r="J147" t="n">
        <v>0</v>
      </c>
      <c r="K147" t="n">
        <v>0</v>
      </c>
      <c r="L147" t="n">
        <v>0</v>
      </c>
      <c r="M147" t="n">
        <v>0</v>
      </c>
      <c r="N147" t="n">
        <v>0</v>
      </c>
      <c r="O147" t="n">
        <v>0</v>
      </c>
      <c r="P147" t="n">
        <v>0</v>
      </c>
      <c r="Q147" t="n">
        <v>0</v>
      </c>
      <c r="R147" s="2" t="inlineStr"/>
    </row>
    <row r="148" ht="15" customHeight="1">
      <c r="A148" t="inlineStr">
        <is>
          <t>A 56163-2021</t>
        </is>
      </c>
      <c r="B148" s="1" t="n">
        <v>44477</v>
      </c>
      <c r="C148" s="1" t="n">
        <v>46130</v>
      </c>
      <c r="D148" t="inlineStr">
        <is>
          <t>UPPSALA LÄN</t>
        </is>
      </c>
      <c r="E148" t="inlineStr">
        <is>
          <t>ENKÖPING</t>
        </is>
      </c>
      <c r="F148" t="inlineStr">
        <is>
          <t>Allmännings- och besparingsskogar</t>
        </is>
      </c>
      <c r="G148" t="n">
        <v>0.6</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46130</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45956-2024</t>
        </is>
      </c>
      <c r="B150" s="1" t="n">
        <v>45580</v>
      </c>
      <c r="C150" s="1" t="n">
        <v>46130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28318-2024</t>
        </is>
      </c>
      <c r="B151" s="1" t="n">
        <v>45477</v>
      </c>
      <c r="C151" s="1" t="n">
        <v>46130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11627-2025</t>
        </is>
      </c>
      <c r="B152" s="1" t="n">
        <v>45727</v>
      </c>
      <c r="C152" s="1" t="n">
        <v>46130</v>
      </c>
      <c r="D152" t="inlineStr">
        <is>
          <t>UPPSALA LÄN</t>
        </is>
      </c>
      <c r="E152" t="inlineStr">
        <is>
          <t>ENKÖPING</t>
        </is>
      </c>
      <c r="G152" t="n">
        <v>5.5</v>
      </c>
      <c r="H152" t="n">
        <v>0</v>
      </c>
      <c r="I152" t="n">
        <v>0</v>
      </c>
      <c r="J152" t="n">
        <v>0</v>
      </c>
      <c r="K152" t="n">
        <v>0</v>
      </c>
      <c r="L152" t="n">
        <v>0</v>
      </c>
      <c r="M152" t="n">
        <v>0</v>
      </c>
      <c r="N152" t="n">
        <v>0</v>
      </c>
      <c r="O152" t="n">
        <v>0</v>
      </c>
      <c r="P152" t="n">
        <v>0</v>
      </c>
      <c r="Q152" t="n">
        <v>0</v>
      </c>
      <c r="R152" s="2" t="inlineStr"/>
    </row>
    <row r="153" ht="15" customHeight="1">
      <c r="A153" t="inlineStr">
        <is>
          <t>A 74090-2021</t>
        </is>
      </c>
      <c r="B153" s="1" t="n">
        <v>44557</v>
      </c>
      <c r="C153" s="1" t="n">
        <v>46130</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14402-2023</t>
        </is>
      </c>
      <c r="B154" s="1" t="n">
        <v>45012</v>
      </c>
      <c r="C154" s="1" t="n">
        <v>46130</v>
      </c>
      <c r="D154" t="inlineStr">
        <is>
          <t>UPPSALA LÄN</t>
        </is>
      </c>
      <c r="E154" t="inlineStr">
        <is>
          <t>ENKÖPING</t>
        </is>
      </c>
      <c r="G154" t="n">
        <v>9.5</v>
      </c>
      <c r="H154" t="n">
        <v>0</v>
      </c>
      <c r="I154" t="n">
        <v>0</v>
      </c>
      <c r="J154" t="n">
        <v>0</v>
      </c>
      <c r="K154" t="n">
        <v>0</v>
      </c>
      <c r="L154" t="n">
        <v>0</v>
      </c>
      <c r="M154" t="n">
        <v>0</v>
      </c>
      <c r="N154" t="n">
        <v>0</v>
      </c>
      <c r="O154" t="n">
        <v>0</v>
      </c>
      <c r="P154" t="n">
        <v>0</v>
      </c>
      <c r="Q154" t="n">
        <v>0</v>
      </c>
      <c r="R154" s="2" t="inlineStr"/>
    </row>
    <row r="155" ht="15" customHeight="1">
      <c r="A155" t="inlineStr">
        <is>
          <t>A 41618-2025</t>
        </is>
      </c>
      <c r="B155" s="1" t="n">
        <v>45901.70085648148</v>
      </c>
      <c r="C155" s="1" t="n">
        <v>46130</v>
      </c>
      <c r="D155" t="inlineStr">
        <is>
          <t>UPPSALA LÄN</t>
        </is>
      </c>
      <c r="E155" t="inlineStr">
        <is>
          <t>ENKÖPING</t>
        </is>
      </c>
      <c r="F155" t="inlineStr">
        <is>
          <t>Allmännings- och besparingsskogar</t>
        </is>
      </c>
      <c r="G155" t="n">
        <v>5.3</v>
      </c>
      <c r="H155" t="n">
        <v>0</v>
      </c>
      <c r="I155" t="n">
        <v>0</v>
      </c>
      <c r="J155" t="n">
        <v>0</v>
      </c>
      <c r="K155" t="n">
        <v>0</v>
      </c>
      <c r="L155" t="n">
        <v>0</v>
      </c>
      <c r="M155" t="n">
        <v>0</v>
      </c>
      <c r="N155" t="n">
        <v>0</v>
      </c>
      <c r="O155" t="n">
        <v>0</v>
      </c>
      <c r="P155" t="n">
        <v>0</v>
      </c>
      <c r="Q155" t="n">
        <v>0</v>
      </c>
      <c r="R155" s="2" t="inlineStr"/>
    </row>
    <row r="156" ht="15" customHeight="1">
      <c r="A156" t="inlineStr">
        <is>
          <t>A 39115-2024</t>
        </is>
      </c>
      <c r="B156" s="1" t="n">
        <v>45548</v>
      </c>
      <c r="C156" s="1" t="n">
        <v>46130</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12020-2024</t>
        </is>
      </c>
      <c r="B157" s="1" t="n">
        <v>45377</v>
      </c>
      <c r="C157" s="1" t="n">
        <v>46130</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41765-2025</t>
        </is>
      </c>
      <c r="B158" s="1" t="n">
        <v>45902</v>
      </c>
      <c r="C158" s="1" t="n">
        <v>46130</v>
      </c>
      <c r="D158" t="inlineStr">
        <is>
          <t>UPPSALA LÄN</t>
        </is>
      </c>
      <c r="E158" t="inlineStr">
        <is>
          <t>ENKÖPING</t>
        </is>
      </c>
      <c r="G158" t="n">
        <v>2.7</v>
      </c>
      <c r="H158" t="n">
        <v>0</v>
      </c>
      <c r="I158" t="n">
        <v>0</v>
      </c>
      <c r="J158" t="n">
        <v>0</v>
      </c>
      <c r="K158" t="n">
        <v>0</v>
      </c>
      <c r="L158" t="n">
        <v>0</v>
      </c>
      <c r="M158" t="n">
        <v>0</v>
      </c>
      <c r="N158" t="n">
        <v>0</v>
      </c>
      <c r="O158" t="n">
        <v>0</v>
      </c>
      <c r="P158" t="n">
        <v>0</v>
      </c>
      <c r="Q158" t="n">
        <v>0</v>
      </c>
      <c r="R158" s="2" t="inlineStr"/>
    </row>
    <row r="159" ht="15" customHeight="1">
      <c r="A159" t="inlineStr">
        <is>
          <t>A 41616-2025</t>
        </is>
      </c>
      <c r="B159" s="1" t="n">
        <v>45901.69684027778</v>
      </c>
      <c r="C159" s="1" t="n">
        <v>46130</v>
      </c>
      <c r="D159" t="inlineStr">
        <is>
          <t>UPPSALA LÄN</t>
        </is>
      </c>
      <c r="E159" t="inlineStr">
        <is>
          <t>ENKÖPING</t>
        </is>
      </c>
      <c r="F159" t="inlineStr">
        <is>
          <t>Allmännings- och besparingsskogar</t>
        </is>
      </c>
      <c r="G159" t="n">
        <v>17.3</v>
      </c>
      <c r="H159" t="n">
        <v>0</v>
      </c>
      <c r="I159" t="n">
        <v>0</v>
      </c>
      <c r="J159" t="n">
        <v>0</v>
      </c>
      <c r="K159" t="n">
        <v>0</v>
      </c>
      <c r="L159" t="n">
        <v>0</v>
      </c>
      <c r="M159" t="n">
        <v>0</v>
      </c>
      <c r="N159" t="n">
        <v>0</v>
      </c>
      <c r="O159" t="n">
        <v>0</v>
      </c>
      <c r="P159" t="n">
        <v>0</v>
      </c>
      <c r="Q159" t="n">
        <v>0</v>
      </c>
      <c r="R159" s="2" t="inlineStr"/>
    </row>
    <row r="160" ht="15" customHeight="1">
      <c r="A160" t="inlineStr">
        <is>
          <t>A 41637-2025</t>
        </is>
      </c>
      <c r="B160" s="1" t="n">
        <v>45901</v>
      </c>
      <c r="C160" s="1" t="n">
        <v>46130</v>
      </c>
      <c r="D160" t="inlineStr">
        <is>
          <t>UPPSALA LÄN</t>
        </is>
      </c>
      <c r="E160" t="inlineStr">
        <is>
          <t>ENKÖPING</t>
        </is>
      </c>
      <c r="F160" t="inlineStr">
        <is>
          <t>Allmännings- och besparingsskogar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46130</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47516-2022</t>
        </is>
      </c>
      <c r="B162" s="1" t="n">
        <v>44853.68895833333</v>
      </c>
      <c r="C162" s="1" t="n">
        <v>46130</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69344-2021</t>
        </is>
      </c>
      <c r="B163" s="1" t="n">
        <v>44531</v>
      </c>
      <c r="C163" s="1" t="n">
        <v>46130</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42029-2025</t>
        </is>
      </c>
      <c r="B164" s="1" t="n">
        <v>45903</v>
      </c>
      <c r="C164" s="1" t="n">
        <v>46130</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24411-2024</t>
        </is>
      </c>
      <c r="B165" s="1" t="n">
        <v>45457</v>
      </c>
      <c r="C165" s="1" t="n">
        <v>46130</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25988-2025</t>
        </is>
      </c>
      <c r="B166" s="1" t="n">
        <v>45804.64814814815</v>
      </c>
      <c r="C166" s="1" t="n">
        <v>46130</v>
      </c>
      <c r="D166" t="inlineStr">
        <is>
          <t>UPPSALA LÄN</t>
        </is>
      </c>
      <c r="E166" t="inlineStr">
        <is>
          <t>ENKÖPING</t>
        </is>
      </c>
      <c r="G166" t="n">
        <v>4.7</v>
      </c>
      <c r="H166" t="n">
        <v>0</v>
      </c>
      <c r="I166" t="n">
        <v>0</v>
      </c>
      <c r="J166" t="n">
        <v>0</v>
      </c>
      <c r="K166" t="n">
        <v>0</v>
      </c>
      <c r="L166" t="n">
        <v>0</v>
      </c>
      <c r="M166" t="n">
        <v>0</v>
      </c>
      <c r="N166" t="n">
        <v>0</v>
      </c>
      <c r="O166" t="n">
        <v>0</v>
      </c>
      <c r="P166" t="n">
        <v>0</v>
      </c>
      <c r="Q166" t="n">
        <v>0</v>
      </c>
      <c r="R166" s="2" t="inlineStr"/>
    </row>
    <row r="167" ht="15" customHeight="1">
      <c r="A167" t="inlineStr">
        <is>
          <t>A 34124-2021</t>
        </is>
      </c>
      <c r="B167" s="1" t="n">
        <v>44379</v>
      </c>
      <c r="C167" s="1" t="n">
        <v>46130</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43697-2024</t>
        </is>
      </c>
      <c r="B168" s="1" t="n">
        <v>45569</v>
      </c>
      <c r="C168" s="1" t="n">
        <v>46130</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46130</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46130</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42756-2025</t>
        </is>
      </c>
      <c r="B171" s="1" t="n">
        <v>45908</v>
      </c>
      <c r="C171" s="1" t="n">
        <v>46130</v>
      </c>
      <c r="D171" t="inlineStr">
        <is>
          <t>UPPSALA LÄN</t>
        </is>
      </c>
      <c r="E171" t="inlineStr">
        <is>
          <t>ENKÖPING</t>
        </is>
      </c>
      <c r="G171" t="n">
        <v>1.1</v>
      </c>
      <c r="H171" t="n">
        <v>0</v>
      </c>
      <c r="I171" t="n">
        <v>0</v>
      </c>
      <c r="J171" t="n">
        <v>0</v>
      </c>
      <c r="K171" t="n">
        <v>0</v>
      </c>
      <c r="L171" t="n">
        <v>0</v>
      </c>
      <c r="M171" t="n">
        <v>0</v>
      </c>
      <c r="N171" t="n">
        <v>0</v>
      </c>
      <c r="O171" t="n">
        <v>0</v>
      </c>
      <c r="P171" t="n">
        <v>0</v>
      </c>
      <c r="Q171" t="n">
        <v>0</v>
      </c>
      <c r="R171" s="2" t="inlineStr"/>
    </row>
    <row r="172" ht="15" customHeight="1">
      <c r="A172" t="inlineStr">
        <is>
          <t>A 26030-2025</t>
        </is>
      </c>
      <c r="B172" s="1" t="n">
        <v>45804.68815972222</v>
      </c>
      <c r="C172" s="1" t="n">
        <v>46130</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27983-2024</t>
        </is>
      </c>
      <c r="B173" s="1" t="n">
        <v>45476</v>
      </c>
      <c r="C173" s="1" t="n">
        <v>46130</v>
      </c>
      <c r="D173" t="inlineStr">
        <is>
          <t>UPPSALA LÄN</t>
        </is>
      </c>
      <c r="E173" t="inlineStr">
        <is>
          <t>ENKÖPING</t>
        </is>
      </c>
      <c r="G173" t="n">
        <v>3.2</v>
      </c>
      <c r="H173" t="n">
        <v>0</v>
      </c>
      <c r="I173" t="n">
        <v>0</v>
      </c>
      <c r="J173" t="n">
        <v>0</v>
      </c>
      <c r="K173" t="n">
        <v>0</v>
      </c>
      <c r="L173" t="n">
        <v>0</v>
      </c>
      <c r="M173" t="n">
        <v>0</v>
      </c>
      <c r="N173" t="n">
        <v>0</v>
      </c>
      <c r="O173" t="n">
        <v>0</v>
      </c>
      <c r="P173" t="n">
        <v>0</v>
      </c>
      <c r="Q173" t="n">
        <v>0</v>
      </c>
      <c r="R173" s="2" t="inlineStr"/>
    </row>
    <row r="174" ht="15" customHeight="1">
      <c r="A174" t="inlineStr">
        <is>
          <t>A 26026-2025</t>
        </is>
      </c>
      <c r="B174" s="1" t="n">
        <v>45804.68510416667</v>
      </c>
      <c r="C174" s="1" t="n">
        <v>46130</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26011-2025</t>
        </is>
      </c>
      <c r="B175" s="1" t="n">
        <v>45804.67412037037</v>
      </c>
      <c r="C175" s="1" t="n">
        <v>46130</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26047-2025</t>
        </is>
      </c>
      <c r="B176" s="1" t="n">
        <v>45804.70835648148</v>
      </c>
      <c r="C176" s="1" t="n">
        <v>46130</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51010-2024</t>
        </is>
      </c>
      <c r="B177" s="1" t="n">
        <v>45603.39285879629</v>
      </c>
      <c r="C177" s="1" t="n">
        <v>46130</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46130</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26005-2025</t>
        </is>
      </c>
      <c r="B179" s="1" t="n">
        <v>45804.67055555555</v>
      </c>
      <c r="C179" s="1" t="n">
        <v>46130</v>
      </c>
      <c r="D179" t="inlineStr">
        <is>
          <t>UPPSALA LÄN</t>
        </is>
      </c>
      <c r="E179" t="inlineStr">
        <is>
          <t>ENKÖPING</t>
        </is>
      </c>
      <c r="G179" t="n">
        <v>0.3</v>
      </c>
      <c r="H179" t="n">
        <v>0</v>
      </c>
      <c r="I179" t="n">
        <v>0</v>
      </c>
      <c r="J179" t="n">
        <v>0</v>
      </c>
      <c r="K179" t="n">
        <v>0</v>
      </c>
      <c r="L179" t="n">
        <v>0</v>
      </c>
      <c r="M179" t="n">
        <v>0</v>
      </c>
      <c r="N179" t="n">
        <v>0</v>
      </c>
      <c r="O179" t="n">
        <v>0</v>
      </c>
      <c r="P179" t="n">
        <v>0</v>
      </c>
      <c r="Q179" t="n">
        <v>0</v>
      </c>
      <c r="R179" s="2" t="inlineStr"/>
    </row>
    <row r="180" ht="15" customHeight="1">
      <c r="A180" t="inlineStr">
        <is>
          <t>A 26031-2025</t>
        </is>
      </c>
      <c r="B180" s="1" t="n">
        <v>45804.69050925926</v>
      </c>
      <c r="C180" s="1" t="n">
        <v>46130</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26041-2025</t>
        </is>
      </c>
      <c r="B181" s="1" t="n">
        <v>45804.69883101852</v>
      </c>
      <c r="C181" s="1" t="n">
        <v>46130</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26022-2025</t>
        </is>
      </c>
      <c r="B182" s="1" t="n">
        <v>45804.68006944445</v>
      </c>
      <c r="C182" s="1" t="n">
        <v>46130</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22912-2024</t>
        </is>
      </c>
      <c r="B183" s="1" t="n">
        <v>45448.73118055556</v>
      </c>
      <c r="C183" s="1" t="n">
        <v>46130</v>
      </c>
      <c r="D183" t="inlineStr">
        <is>
          <t>UPPSALA LÄN</t>
        </is>
      </c>
      <c r="E183" t="inlineStr">
        <is>
          <t>ENKÖPING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41764-2025</t>
        </is>
      </c>
      <c r="B184" s="1" t="n">
        <v>45902</v>
      </c>
      <c r="C184" s="1" t="n">
        <v>46130</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51042-2024</t>
        </is>
      </c>
      <c r="B185" s="1" t="n">
        <v>45603.4342824074</v>
      </c>
      <c r="C185" s="1" t="n">
        <v>46130</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22632-2025</t>
        </is>
      </c>
      <c r="B186" s="1" t="n">
        <v>45789.44361111111</v>
      </c>
      <c r="C186" s="1" t="n">
        <v>46130</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9667-2024</t>
        </is>
      </c>
      <c r="B187" s="1" t="n">
        <v>45362.45130787037</v>
      </c>
      <c r="C187" s="1" t="n">
        <v>46130</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35067-2024</t>
        </is>
      </c>
      <c r="B188" s="1" t="n">
        <v>45527.66153935185</v>
      </c>
      <c r="C188" s="1" t="n">
        <v>46130</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51037-2024</t>
        </is>
      </c>
      <c r="B189" s="1" t="n">
        <v>45603.43005787037</v>
      </c>
      <c r="C189" s="1" t="n">
        <v>46130</v>
      </c>
      <c r="D189" t="inlineStr">
        <is>
          <t>UPPSALA LÄN</t>
        </is>
      </c>
      <c r="E189" t="inlineStr">
        <is>
          <t>ENKÖPING</t>
        </is>
      </c>
      <c r="G189" t="n">
        <v>5.7</v>
      </c>
      <c r="H189" t="n">
        <v>0</v>
      </c>
      <c r="I189" t="n">
        <v>0</v>
      </c>
      <c r="J189" t="n">
        <v>0</v>
      </c>
      <c r="K189" t="n">
        <v>0</v>
      </c>
      <c r="L189" t="n">
        <v>0</v>
      </c>
      <c r="M189" t="n">
        <v>0</v>
      </c>
      <c r="N189" t="n">
        <v>0</v>
      </c>
      <c r="O189" t="n">
        <v>0</v>
      </c>
      <c r="P189" t="n">
        <v>0</v>
      </c>
      <c r="Q189" t="n">
        <v>0</v>
      </c>
      <c r="R189" s="2" t="inlineStr"/>
    </row>
    <row r="190" ht="15" customHeight="1">
      <c r="A190" t="inlineStr">
        <is>
          <t>A 51027-2024</t>
        </is>
      </c>
      <c r="B190" s="1" t="n">
        <v>45603</v>
      </c>
      <c r="C190" s="1" t="n">
        <v>46130</v>
      </c>
      <c r="D190" t="inlineStr">
        <is>
          <t>UPPSALA LÄN</t>
        </is>
      </c>
      <c r="E190" t="inlineStr">
        <is>
          <t>ENKÖPING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54263-2025</t>
        </is>
      </c>
      <c r="B191" s="1" t="n">
        <v>45964.66271990741</v>
      </c>
      <c r="C191" s="1" t="n">
        <v>46130</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2850-2025</t>
        </is>
      </c>
      <c r="B192" s="1" t="n">
        <v>45677</v>
      </c>
      <c r="C192" s="1" t="n">
        <v>46130</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44419-2025</t>
        </is>
      </c>
      <c r="B193" s="1" t="n">
        <v>45916.54671296296</v>
      </c>
      <c r="C193" s="1" t="n">
        <v>46130</v>
      </c>
      <c r="D193" t="inlineStr">
        <is>
          <t>UPPSALA LÄN</t>
        </is>
      </c>
      <c r="E193" t="inlineStr">
        <is>
          <t>ENKÖPING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43999-2025</t>
        </is>
      </c>
      <c r="B194" s="1" t="n">
        <v>45915.45158564814</v>
      </c>
      <c r="C194" s="1" t="n">
        <v>46130</v>
      </c>
      <c r="D194" t="inlineStr">
        <is>
          <t>UPPSALA LÄN</t>
        </is>
      </c>
      <c r="E194" t="inlineStr">
        <is>
          <t>ENKÖPING</t>
        </is>
      </c>
      <c r="G194" t="n">
        <v>4.1</v>
      </c>
      <c r="H194" t="n">
        <v>0</v>
      </c>
      <c r="I194" t="n">
        <v>0</v>
      </c>
      <c r="J194" t="n">
        <v>0</v>
      </c>
      <c r="K194" t="n">
        <v>0</v>
      </c>
      <c r="L194" t="n">
        <v>0</v>
      </c>
      <c r="M194" t="n">
        <v>0</v>
      </c>
      <c r="N194" t="n">
        <v>0</v>
      </c>
      <c r="O194" t="n">
        <v>0</v>
      </c>
      <c r="P194" t="n">
        <v>0</v>
      </c>
      <c r="Q194" t="n">
        <v>0</v>
      </c>
      <c r="R194" s="2" t="inlineStr"/>
    </row>
    <row r="195" ht="15" customHeight="1">
      <c r="A195" t="inlineStr">
        <is>
          <t>A 43506-2023</t>
        </is>
      </c>
      <c r="B195" s="1" t="n">
        <v>45181</v>
      </c>
      <c r="C195" s="1" t="n">
        <v>46130</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32477-2025</t>
        </is>
      </c>
      <c r="B196" s="1" t="n">
        <v>45838.43098379629</v>
      </c>
      <c r="C196" s="1" t="n">
        <v>46130</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54844-2025</t>
        </is>
      </c>
      <c r="B197" s="1" t="n">
        <v>45966.69570601852</v>
      </c>
      <c r="C197" s="1" t="n">
        <v>46130</v>
      </c>
      <c r="D197" t="inlineStr">
        <is>
          <t>UPPSALA LÄN</t>
        </is>
      </c>
      <c r="E197" t="inlineStr">
        <is>
          <t>ENKÖPING</t>
        </is>
      </c>
      <c r="G197" t="n">
        <v>5.5</v>
      </c>
      <c r="H197" t="n">
        <v>0</v>
      </c>
      <c r="I197" t="n">
        <v>0</v>
      </c>
      <c r="J197" t="n">
        <v>0</v>
      </c>
      <c r="K197" t="n">
        <v>0</v>
      </c>
      <c r="L197" t="n">
        <v>0</v>
      </c>
      <c r="M197" t="n">
        <v>0</v>
      </c>
      <c r="N197" t="n">
        <v>0</v>
      </c>
      <c r="O197" t="n">
        <v>0</v>
      </c>
      <c r="P197" t="n">
        <v>0</v>
      </c>
      <c r="Q197" t="n">
        <v>0</v>
      </c>
      <c r="R197" s="2" t="inlineStr"/>
    </row>
    <row r="198" ht="15" customHeight="1">
      <c r="A198" t="inlineStr">
        <is>
          <t>A 54758-2025</t>
        </is>
      </c>
      <c r="B198" s="1" t="n">
        <v>45966.59737268519</v>
      </c>
      <c r="C198" s="1" t="n">
        <v>46130</v>
      </c>
      <c r="D198" t="inlineStr">
        <is>
          <t>UPPSALA LÄN</t>
        </is>
      </c>
      <c r="E198" t="inlineStr">
        <is>
          <t>ENKÖPING</t>
        </is>
      </c>
      <c r="G198" t="n">
        <v>3.3</v>
      </c>
      <c r="H198" t="n">
        <v>0</v>
      </c>
      <c r="I198" t="n">
        <v>0</v>
      </c>
      <c r="J198" t="n">
        <v>0</v>
      </c>
      <c r="K198" t="n">
        <v>0</v>
      </c>
      <c r="L198" t="n">
        <v>0</v>
      </c>
      <c r="M198" t="n">
        <v>0</v>
      </c>
      <c r="N198" t="n">
        <v>0</v>
      </c>
      <c r="O198" t="n">
        <v>0</v>
      </c>
      <c r="P198" t="n">
        <v>0</v>
      </c>
      <c r="Q198" t="n">
        <v>0</v>
      </c>
      <c r="R198" s="2" t="inlineStr"/>
    </row>
    <row r="199" ht="15" customHeight="1">
      <c r="A199" t="inlineStr">
        <is>
          <t>A 54541-2025</t>
        </is>
      </c>
      <c r="B199" s="1" t="n">
        <v>45965.64733796296</v>
      </c>
      <c r="C199" s="1" t="n">
        <v>46130</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14004-2023</t>
        </is>
      </c>
      <c r="B200" s="1" t="n">
        <v>45008</v>
      </c>
      <c r="C200" s="1" t="n">
        <v>46130</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51012-2024</t>
        </is>
      </c>
      <c r="B201" s="1" t="n">
        <v>45603.39686342593</v>
      </c>
      <c r="C201" s="1" t="n">
        <v>46130</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41828-2024</t>
        </is>
      </c>
      <c r="B202" s="1" t="n">
        <v>45561</v>
      </c>
      <c r="C202" s="1" t="n">
        <v>46130</v>
      </c>
      <c r="D202" t="inlineStr">
        <is>
          <t>UPPSALA LÄN</t>
        </is>
      </c>
      <c r="E202" t="inlineStr">
        <is>
          <t>ENKÖPING</t>
        </is>
      </c>
      <c r="G202" t="n">
        <v>2.5</v>
      </c>
      <c r="H202" t="n">
        <v>0</v>
      </c>
      <c r="I202" t="n">
        <v>0</v>
      </c>
      <c r="J202" t="n">
        <v>0</v>
      </c>
      <c r="K202" t="n">
        <v>0</v>
      </c>
      <c r="L202" t="n">
        <v>0</v>
      </c>
      <c r="M202" t="n">
        <v>0</v>
      </c>
      <c r="N202" t="n">
        <v>0</v>
      </c>
      <c r="O202" t="n">
        <v>0</v>
      </c>
      <c r="P202" t="n">
        <v>0</v>
      </c>
      <c r="Q202" t="n">
        <v>0</v>
      </c>
      <c r="R202" s="2" t="inlineStr"/>
    </row>
    <row r="203" ht="15" customHeight="1">
      <c r="A203" t="inlineStr">
        <is>
          <t>A 27829-2025</t>
        </is>
      </c>
      <c r="B203" s="1" t="n">
        <v>45817</v>
      </c>
      <c r="C203" s="1" t="n">
        <v>46130</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10465-2022</t>
        </is>
      </c>
      <c r="B204" s="1" t="n">
        <v>44623</v>
      </c>
      <c r="C204" s="1" t="n">
        <v>46130</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28855-2025</t>
        </is>
      </c>
      <c r="B205" s="1" t="n">
        <v>45820.58274305556</v>
      </c>
      <c r="C205" s="1" t="n">
        <v>46130</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28758-2025</t>
        </is>
      </c>
      <c r="B206" s="1" t="n">
        <v>45820.41212962963</v>
      </c>
      <c r="C206" s="1" t="n">
        <v>46130</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45755-2025</t>
        </is>
      </c>
      <c r="B207" s="1" t="n">
        <v>45923.50240740741</v>
      </c>
      <c r="C207" s="1" t="n">
        <v>46130</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39009-2024</t>
        </is>
      </c>
      <c r="B208" s="1" t="n">
        <v>45548</v>
      </c>
      <c r="C208" s="1" t="n">
        <v>46130</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8537-2025</t>
        </is>
      </c>
      <c r="B209" s="1" t="n">
        <v>45709</v>
      </c>
      <c r="C209" s="1" t="n">
        <v>46130</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46590-2025</t>
        </is>
      </c>
      <c r="B210" s="1" t="n">
        <v>45926.39542824074</v>
      </c>
      <c r="C210" s="1" t="n">
        <v>46130</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5013-2025</t>
        </is>
      </c>
      <c r="B211" s="1" t="n">
        <v>45691</v>
      </c>
      <c r="C211" s="1" t="n">
        <v>46130</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28862-2025</t>
        </is>
      </c>
      <c r="B212" s="1" t="n">
        <v>45820.59189814814</v>
      </c>
      <c r="C212" s="1" t="n">
        <v>46130</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11503-2024</t>
        </is>
      </c>
      <c r="B213" s="1" t="n">
        <v>45372.68020833333</v>
      </c>
      <c r="C213" s="1" t="n">
        <v>46130</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34989-2025</t>
        </is>
      </c>
      <c r="B214" s="1" t="n">
        <v>45849</v>
      </c>
      <c r="C214" s="1" t="n">
        <v>46130</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34990-2025</t>
        </is>
      </c>
      <c r="B215" s="1" t="n">
        <v>45849.78916666667</v>
      </c>
      <c r="C215" s="1" t="n">
        <v>46130</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29093-2025</t>
        </is>
      </c>
      <c r="B216" s="1" t="n">
        <v>45821.55743055556</v>
      </c>
      <c r="C216" s="1" t="n">
        <v>46130</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55567-2025</t>
        </is>
      </c>
      <c r="B217" s="1" t="n">
        <v>45971.65589120371</v>
      </c>
      <c r="C217" s="1" t="n">
        <v>46130</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2164-2023</t>
        </is>
      </c>
      <c r="B218" s="1" t="n">
        <v>44941</v>
      </c>
      <c r="C218" s="1" t="n">
        <v>46130</v>
      </c>
      <c r="D218" t="inlineStr">
        <is>
          <t>UPPSALA LÄN</t>
        </is>
      </c>
      <c r="E218" t="inlineStr">
        <is>
          <t>ENKÖPING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47441-2025</t>
        </is>
      </c>
      <c r="B219" s="1" t="n">
        <v>45930.63986111111</v>
      </c>
      <c r="C219" s="1" t="n">
        <v>46130</v>
      </c>
      <c r="D219" t="inlineStr">
        <is>
          <t>UPPSALA LÄN</t>
        </is>
      </c>
      <c r="E219" t="inlineStr">
        <is>
          <t>ENKÖPING</t>
        </is>
      </c>
      <c r="F219" t="inlineStr">
        <is>
          <t>Allmännings- och besparingsskogar</t>
        </is>
      </c>
      <c r="G219" t="n">
        <v>11.5</v>
      </c>
      <c r="H219" t="n">
        <v>0</v>
      </c>
      <c r="I219" t="n">
        <v>0</v>
      </c>
      <c r="J219" t="n">
        <v>0</v>
      </c>
      <c r="K219" t="n">
        <v>0</v>
      </c>
      <c r="L219" t="n">
        <v>0</v>
      </c>
      <c r="M219" t="n">
        <v>0</v>
      </c>
      <c r="N219" t="n">
        <v>0</v>
      </c>
      <c r="O219" t="n">
        <v>0</v>
      </c>
      <c r="P219" t="n">
        <v>0</v>
      </c>
      <c r="Q219" t="n">
        <v>0</v>
      </c>
      <c r="R219" s="2" t="inlineStr"/>
    </row>
    <row r="220" ht="15" customHeight="1">
      <c r="A220" t="inlineStr">
        <is>
          <t>A 46940-2025</t>
        </is>
      </c>
      <c r="B220" s="1" t="n">
        <v>45929.45483796296</v>
      </c>
      <c r="C220" s="1" t="n">
        <v>46130</v>
      </c>
      <c r="D220" t="inlineStr">
        <is>
          <t>UPPSALA LÄN</t>
        </is>
      </c>
      <c r="E220" t="inlineStr">
        <is>
          <t>ENKÖPING</t>
        </is>
      </c>
      <c r="G220" t="n">
        <v>5.3</v>
      </c>
      <c r="H220" t="n">
        <v>0</v>
      </c>
      <c r="I220" t="n">
        <v>0</v>
      </c>
      <c r="J220" t="n">
        <v>0</v>
      </c>
      <c r="K220" t="n">
        <v>0</v>
      </c>
      <c r="L220" t="n">
        <v>0</v>
      </c>
      <c r="M220" t="n">
        <v>0</v>
      </c>
      <c r="N220" t="n">
        <v>0</v>
      </c>
      <c r="O220" t="n">
        <v>0</v>
      </c>
      <c r="P220" t="n">
        <v>0</v>
      </c>
      <c r="Q220" t="n">
        <v>0</v>
      </c>
      <c r="R220" s="2" t="inlineStr"/>
    </row>
    <row r="221" ht="15" customHeight="1">
      <c r="A221" t="inlineStr">
        <is>
          <t>A 33955-2024</t>
        </is>
      </c>
      <c r="B221" s="1" t="n">
        <v>45523.46952546296</v>
      </c>
      <c r="C221" s="1" t="n">
        <v>46130</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6172-2023</t>
        </is>
      </c>
      <c r="B222" s="1" t="n">
        <v>44964.68663194445</v>
      </c>
      <c r="C222" s="1" t="n">
        <v>46130</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10409-2025</t>
        </is>
      </c>
      <c r="B223" s="1" t="n">
        <v>45720.631875</v>
      </c>
      <c r="C223" s="1" t="n">
        <v>46130</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30837-2025</t>
        </is>
      </c>
      <c r="B224" s="1" t="n">
        <v>45831.7063425926</v>
      </c>
      <c r="C224" s="1" t="n">
        <v>46130</v>
      </c>
      <c r="D224" t="inlineStr">
        <is>
          <t>UPPSALA LÄN</t>
        </is>
      </c>
      <c r="E224" t="inlineStr">
        <is>
          <t>ENKÖPING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48423-2025</t>
        </is>
      </c>
      <c r="B225" s="1" t="n">
        <v>45934.68024305555</v>
      </c>
      <c r="C225" s="1" t="n">
        <v>46130</v>
      </c>
      <c r="D225" t="inlineStr">
        <is>
          <t>UPPSALA LÄN</t>
        </is>
      </c>
      <c r="E225" t="inlineStr">
        <is>
          <t>ENKÖPING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48424-2025</t>
        </is>
      </c>
      <c r="B226" s="1" t="n">
        <v>45934.69131944444</v>
      </c>
      <c r="C226" s="1" t="n">
        <v>46130</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21686-2022</t>
        </is>
      </c>
      <c r="B227" s="1" t="n">
        <v>44707</v>
      </c>
      <c r="C227" s="1" t="n">
        <v>46130</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29479-2022</t>
        </is>
      </c>
      <c r="B228" s="1" t="n">
        <v>44753.57265046296</v>
      </c>
      <c r="C228" s="1" t="n">
        <v>46130</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48678-2025</t>
        </is>
      </c>
      <c r="B229" s="1" t="n">
        <v>45936.59168981481</v>
      </c>
      <c r="C229" s="1" t="n">
        <v>46130</v>
      </c>
      <c r="D229" t="inlineStr">
        <is>
          <t>UPPSALA LÄN</t>
        </is>
      </c>
      <c r="E229" t="inlineStr">
        <is>
          <t>ENKÖPING</t>
        </is>
      </c>
      <c r="G229" t="n">
        <v>1.6</v>
      </c>
      <c r="H229" t="n">
        <v>0</v>
      </c>
      <c r="I229" t="n">
        <v>0</v>
      </c>
      <c r="J229" t="n">
        <v>0</v>
      </c>
      <c r="K229" t="n">
        <v>0</v>
      </c>
      <c r="L229" t="n">
        <v>0</v>
      </c>
      <c r="M229" t="n">
        <v>0</v>
      </c>
      <c r="N229" t="n">
        <v>0</v>
      </c>
      <c r="O229" t="n">
        <v>0</v>
      </c>
      <c r="P229" t="n">
        <v>0</v>
      </c>
      <c r="Q229" t="n">
        <v>0</v>
      </c>
      <c r="R229" s="2" t="inlineStr"/>
    </row>
    <row r="230" ht="15" customHeight="1">
      <c r="A230" t="inlineStr">
        <is>
          <t>A 49525-2021</t>
        </is>
      </c>
      <c r="B230" s="1" t="n">
        <v>44455</v>
      </c>
      <c r="C230" s="1" t="n">
        <v>46130</v>
      </c>
      <c r="D230" t="inlineStr">
        <is>
          <t>UPPSALA LÄN</t>
        </is>
      </c>
      <c r="E230" t="inlineStr">
        <is>
          <t>ENKÖPING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49068-2025</t>
        </is>
      </c>
      <c r="B231" s="1" t="n">
        <v>45937.64766203704</v>
      </c>
      <c r="C231" s="1" t="n">
        <v>46130</v>
      </c>
      <c r="D231" t="inlineStr">
        <is>
          <t>UPPSALA LÄN</t>
        </is>
      </c>
      <c r="E231" t="inlineStr">
        <is>
          <t>ENKÖPING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39439-2025</t>
        </is>
      </c>
      <c r="B232" s="1" t="n">
        <v>45889</v>
      </c>
      <c r="C232" s="1" t="n">
        <v>46130</v>
      </c>
      <c r="D232" t="inlineStr">
        <is>
          <t>UPPSALA LÄN</t>
        </is>
      </c>
      <c r="E232" t="inlineStr">
        <is>
          <t>ENKÖPING</t>
        </is>
      </c>
      <c r="G232" t="n">
        <v>0.4</v>
      </c>
      <c r="H232" t="n">
        <v>0</v>
      </c>
      <c r="I232" t="n">
        <v>0</v>
      </c>
      <c r="J232" t="n">
        <v>0</v>
      </c>
      <c r="K232" t="n">
        <v>0</v>
      </c>
      <c r="L232" t="n">
        <v>0</v>
      </c>
      <c r="M232" t="n">
        <v>0</v>
      </c>
      <c r="N232" t="n">
        <v>0</v>
      </c>
      <c r="O232" t="n">
        <v>0</v>
      </c>
      <c r="P232" t="n">
        <v>0</v>
      </c>
      <c r="Q232" t="n">
        <v>0</v>
      </c>
      <c r="R232" s="2" t="inlineStr"/>
    </row>
    <row r="233" ht="15" customHeight="1">
      <c r="A233" t="inlineStr">
        <is>
          <t>A 32031-2025</t>
        </is>
      </c>
      <c r="B233" s="1" t="n">
        <v>45835.41712962963</v>
      </c>
      <c r="C233" s="1" t="n">
        <v>46130</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32111-2025</t>
        </is>
      </c>
      <c r="B234" s="1" t="n">
        <v>45835</v>
      </c>
      <c r="C234" s="1" t="n">
        <v>46130</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43103-2025</t>
        </is>
      </c>
      <c r="B235" s="1" t="n">
        <v>45909</v>
      </c>
      <c r="C235" s="1" t="n">
        <v>46130</v>
      </c>
      <c r="D235" t="inlineStr">
        <is>
          <t>UPPSALA LÄN</t>
        </is>
      </c>
      <c r="E235" t="inlineStr">
        <is>
          <t>ENKÖPING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57328-2024</t>
        </is>
      </c>
      <c r="B236" s="1" t="n">
        <v>45629.62798611111</v>
      </c>
      <c r="C236" s="1" t="n">
        <v>46130</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49073-2025</t>
        </is>
      </c>
      <c r="B237" s="1" t="n">
        <v>45937.65512731481</v>
      </c>
      <c r="C237" s="1" t="n">
        <v>46130</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56837-2024</t>
        </is>
      </c>
      <c r="B238" s="1" t="n">
        <v>45628</v>
      </c>
      <c r="C238" s="1" t="n">
        <v>46130</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46130</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55876-2024</t>
        </is>
      </c>
      <c r="B240" s="1" t="n">
        <v>45623.5546412037</v>
      </c>
      <c r="C240" s="1" t="n">
        <v>46130</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57848-2024</t>
        </is>
      </c>
      <c r="B241" s="1" t="n">
        <v>45631.40947916666</v>
      </c>
      <c r="C241" s="1" t="n">
        <v>46130</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51162-2025</t>
        </is>
      </c>
      <c r="B242" s="1" t="n">
        <v>45947.58820601852</v>
      </c>
      <c r="C242" s="1" t="n">
        <v>46130</v>
      </c>
      <c r="D242" t="inlineStr">
        <is>
          <t>UPPSALA LÄN</t>
        </is>
      </c>
      <c r="E242" t="inlineStr">
        <is>
          <t>ENKÖPING</t>
        </is>
      </c>
      <c r="G242" t="n">
        <v>3.4</v>
      </c>
      <c r="H242" t="n">
        <v>0</v>
      </c>
      <c r="I242" t="n">
        <v>0</v>
      </c>
      <c r="J242" t="n">
        <v>0</v>
      </c>
      <c r="K242" t="n">
        <v>0</v>
      </c>
      <c r="L242" t="n">
        <v>0</v>
      </c>
      <c r="M242" t="n">
        <v>0</v>
      </c>
      <c r="N242" t="n">
        <v>0</v>
      </c>
      <c r="O242" t="n">
        <v>0</v>
      </c>
      <c r="P242" t="n">
        <v>0</v>
      </c>
      <c r="Q242" t="n">
        <v>0</v>
      </c>
      <c r="R242" s="2" t="inlineStr"/>
    </row>
    <row r="243" ht="15" customHeight="1">
      <c r="A243" t="inlineStr">
        <is>
          <t>A 51133-2025</t>
        </is>
      </c>
      <c r="B243" s="1" t="n">
        <v>45947.55598379629</v>
      </c>
      <c r="C243" s="1" t="n">
        <v>46130</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18994-2025</t>
        </is>
      </c>
      <c r="B244" s="1" t="n">
        <v>45764.57350694444</v>
      </c>
      <c r="C244" s="1" t="n">
        <v>46130</v>
      </c>
      <c r="D244" t="inlineStr">
        <is>
          <t>UPPSALA LÄN</t>
        </is>
      </c>
      <c r="E244" t="inlineStr">
        <is>
          <t>ENKÖPING</t>
        </is>
      </c>
      <c r="G244" t="n">
        <v>3.8</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46130</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25334-2023</t>
        </is>
      </c>
      <c r="B246" s="1" t="n">
        <v>45083</v>
      </c>
      <c r="C246" s="1" t="n">
        <v>46130</v>
      </c>
      <c r="D246" t="inlineStr">
        <is>
          <t>UPPSALA LÄN</t>
        </is>
      </c>
      <c r="E246" t="inlineStr">
        <is>
          <t>ENKÖPING</t>
        </is>
      </c>
      <c r="G246" t="n">
        <v>0.2</v>
      </c>
      <c r="H246" t="n">
        <v>0</v>
      </c>
      <c r="I246" t="n">
        <v>0</v>
      </c>
      <c r="J246" t="n">
        <v>0</v>
      </c>
      <c r="K246" t="n">
        <v>0</v>
      </c>
      <c r="L246" t="n">
        <v>0</v>
      </c>
      <c r="M246" t="n">
        <v>0</v>
      </c>
      <c r="N246" t="n">
        <v>0</v>
      </c>
      <c r="O246" t="n">
        <v>0</v>
      </c>
      <c r="P246" t="n">
        <v>0</v>
      </c>
      <c r="Q246" t="n">
        <v>0</v>
      </c>
      <c r="R246" s="2" t="inlineStr"/>
    </row>
    <row r="247" ht="15" customHeight="1">
      <c r="A247" t="inlineStr">
        <is>
          <t>A 33349-2024</t>
        </is>
      </c>
      <c r="B247" s="1" t="n">
        <v>45519</v>
      </c>
      <c r="C247" s="1" t="n">
        <v>46130</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53587-2024</t>
        </is>
      </c>
      <c r="B248" s="1" t="n">
        <v>45614.66953703704</v>
      </c>
      <c r="C248" s="1" t="n">
        <v>46130</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17844-2025</t>
        </is>
      </c>
      <c r="B249" s="1" t="n">
        <v>45758.59920138889</v>
      </c>
      <c r="C249" s="1" t="n">
        <v>46130</v>
      </c>
      <c r="D249" t="inlineStr">
        <is>
          <t>UPPSALA LÄN</t>
        </is>
      </c>
      <c r="E249" t="inlineStr">
        <is>
          <t>ENKÖPING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27837-2025</t>
        </is>
      </c>
      <c r="B250" s="1" t="n">
        <v>45817.37207175926</v>
      </c>
      <c r="C250" s="1" t="n">
        <v>46130</v>
      </c>
      <c r="D250" t="inlineStr">
        <is>
          <t>UPPSALA LÄN</t>
        </is>
      </c>
      <c r="E250" t="inlineStr">
        <is>
          <t>ENKÖPING</t>
        </is>
      </c>
      <c r="G250" t="n">
        <v>7.3</v>
      </c>
      <c r="H250" t="n">
        <v>0</v>
      </c>
      <c r="I250" t="n">
        <v>0</v>
      </c>
      <c r="J250" t="n">
        <v>0</v>
      </c>
      <c r="K250" t="n">
        <v>0</v>
      </c>
      <c r="L250" t="n">
        <v>0</v>
      </c>
      <c r="M250" t="n">
        <v>0</v>
      </c>
      <c r="N250" t="n">
        <v>0</v>
      </c>
      <c r="O250" t="n">
        <v>0</v>
      </c>
      <c r="P250" t="n">
        <v>0</v>
      </c>
      <c r="Q250" t="n">
        <v>0</v>
      </c>
      <c r="R250" s="2" t="inlineStr"/>
    </row>
    <row r="251" ht="15" customHeight="1">
      <c r="A251" t="inlineStr">
        <is>
          <t>A 29513-2025</t>
        </is>
      </c>
      <c r="B251" s="1" t="n">
        <v>45825</v>
      </c>
      <c r="C251" s="1" t="n">
        <v>46130</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56625-2025</t>
        </is>
      </c>
      <c r="B252" s="1" t="n">
        <v>45975.60608796297</v>
      </c>
      <c r="C252" s="1" t="n">
        <v>46130</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57294-2025</t>
        </is>
      </c>
      <c r="B253" s="1" t="n">
        <v>45979</v>
      </c>
      <c r="C253" s="1" t="n">
        <v>46130</v>
      </c>
      <c r="D253" t="inlineStr">
        <is>
          <t>UPPSALA LÄN</t>
        </is>
      </c>
      <c r="E253" t="inlineStr">
        <is>
          <t>ENKÖPING</t>
        </is>
      </c>
      <c r="G253" t="n">
        <v>6.2</v>
      </c>
      <c r="H253" t="n">
        <v>0</v>
      </c>
      <c r="I253" t="n">
        <v>0</v>
      </c>
      <c r="J253" t="n">
        <v>0</v>
      </c>
      <c r="K253" t="n">
        <v>0</v>
      </c>
      <c r="L253" t="n">
        <v>0</v>
      </c>
      <c r="M253" t="n">
        <v>0</v>
      </c>
      <c r="N253" t="n">
        <v>0</v>
      </c>
      <c r="O253" t="n">
        <v>0</v>
      </c>
      <c r="P253" t="n">
        <v>0</v>
      </c>
      <c r="Q253" t="n">
        <v>0</v>
      </c>
      <c r="R253" s="2" t="inlineStr"/>
    </row>
    <row r="254" ht="15" customHeight="1">
      <c r="A254" t="inlineStr">
        <is>
          <t>A 21501-2025</t>
        </is>
      </c>
      <c r="B254" s="1" t="n">
        <v>45782</v>
      </c>
      <c r="C254" s="1" t="n">
        <v>46130</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18583-2021</t>
        </is>
      </c>
      <c r="B255" s="1" t="n">
        <v>44306</v>
      </c>
      <c r="C255" s="1" t="n">
        <v>46130</v>
      </c>
      <c r="D255" t="inlineStr">
        <is>
          <t>UPPSALA LÄN</t>
        </is>
      </c>
      <c r="E255" t="inlineStr">
        <is>
          <t>ENKÖPING</t>
        </is>
      </c>
      <c r="G255" t="n">
        <v>0.4</v>
      </c>
      <c r="H255" t="n">
        <v>0</v>
      </c>
      <c r="I255" t="n">
        <v>0</v>
      </c>
      <c r="J255" t="n">
        <v>0</v>
      </c>
      <c r="K255" t="n">
        <v>0</v>
      </c>
      <c r="L255" t="n">
        <v>0</v>
      </c>
      <c r="M255" t="n">
        <v>0</v>
      </c>
      <c r="N255" t="n">
        <v>0</v>
      </c>
      <c r="O255" t="n">
        <v>0</v>
      </c>
      <c r="P255" t="n">
        <v>0</v>
      </c>
      <c r="Q255" t="n">
        <v>0</v>
      </c>
      <c r="R255" s="2" t="inlineStr"/>
    </row>
    <row r="256" ht="15" customHeight="1">
      <c r="A256" t="inlineStr">
        <is>
          <t>A 34987-2025</t>
        </is>
      </c>
      <c r="B256" s="1" t="n">
        <v>45849</v>
      </c>
      <c r="C256" s="1" t="n">
        <v>46130</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34988-2025</t>
        </is>
      </c>
      <c r="B257" s="1" t="n">
        <v>45849</v>
      </c>
      <c r="C257" s="1" t="n">
        <v>46130</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1695-2025</t>
        </is>
      </c>
      <c r="B258" s="1" t="n">
        <v>45670</v>
      </c>
      <c r="C258" s="1" t="n">
        <v>46130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59027-2024</t>
        </is>
      </c>
      <c r="B259" s="1" t="n">
        <v>45636.68755787037</v>
      </c>
      <c r="C259" s="1" t="n">
        <v>46130</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42564-2024</t>
        </is>
      </c>
      <c r="B260" s="1" t="n">
        <v>45565.63358796296</v>
      </c>
      <c r="C260" s="1" t="n">
        <v>46130</v>
      </c>
      <c r="D260" t="inlineStr">
        <is>
          <t>UPPSALA LÄN</t>
        </is>
      </c>
      <c r="E260" t="inlineStr">
        <is>
          <t>ENKÖPING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36350-2025</t>
        </is>
      </c>
      <c r="B261" s="1" t="n">
        <v>45868</v>
      </c>
      <c r="C261" s="1" t="n">
        <v>46130</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58025-2025</t>
        </is>
      </c>
      <c r="B262" s="1" t="n">
        <v>45982</v>
      </c>
      <c r="C262" s="1" t="n">
        <v>46130</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3235-2025</t>
        </is>
      </c>
      <c r="B263" s="1" t="n">
        <v>45679</v>
      </c>
      <c r="C263" s="1" t="n">
        <v>46130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36599-2025</t>
        </is>
      </c>
      <c r="B264" s="1" t="n">
        <v>45870.51723379629</v>
      </c>
      <c r="C264" s="1" t="n">
        <v>46130</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15711-2025</t>
        </is>
      </c>
      <c r="B265" s="1" t="n">
        <v>45748</v>
      </c>
      <c r="C265" s="1" t="n">
        <v>46130</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46130</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6959-2025</t>
        </is>
      </c>
      <c r="B267" s="1" t="n">
        <v>45701.49315972222</v>
      </c>
      <c r="C267" s="1" t="n">
        <v>46130</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17165-2025</t>
        </is>
      </c>
      <c r="B268" s="1" t="n">
        <v>45756</v>
      </c>
      <c r="C268" s="1" t="n">
        <v>46130</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37319-2025</t>
        </is>
      </c>
      <c r="B269" s="1" t="n">
        <v>45876</v>
      </c>
      <c r="C269" s="1" t="n">
        <v>46130</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37296-2025</t>
        </is>
      </c>
      <c r="B270" s="1" t="n">
        <v>45876</v>
      </c>
      <c r="C270" s="1" t="n">
        <v>46130</v>
      </c>
      <c r="D270" t="inlineStr">
        <is>
          <t>UPPSALA LÄN</t>
        </is>
      </c>
      <c r="E270" t="inlineStr">
        <is>
          <t>ENKÖPING</t>
        </is>
      </c>
      <c r="G270" t="n">
        <v>9.5</v>
      </c>
      <c r="H270" t="n">
        <v>0</v>
      </c>
      <c r="I270" t="n">
        <v>0</v>
      </c>
      <c r="J270" t="n">
        <v>0</v>
      </c>
      <c r="K270" t="n">
        <v>0</v>
      </c>
      <c r="L270" t="n">
        <v>0</v>
      </c>
      <c r="M270" t="n">
        <v>0</v>
      </c>
      <c r="N270" t="n">
        <v>0</v>
      </c>
      <c r="O270" t="n">
        <v>0</v>
      </c>
      <c r="P270" t="n">
        <v>0</v>
      </c>
      <c r="Q270" t="n">
        <v>0</v>
      </c>
      <c r="R270" s="2" t="inlineStr"/>
    </row>
    <row r="271" ht="15" customHeight="1">
      <c r="A271" t="inlineStr">
        <is>
          <t>A 52299-2023</t>
        </is>
      </c>
      <c r="B271" s="1" t="n">
        <v>45224.61636574074</v>
      </c>
      <c r="C271" s="1" t="n">
        <v>46130</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25598-2021</t>
        </is>
      </c>
      <c r="B272" s="1" t="n">
        <v>44343.4558912037</v>
      </c>
      <c r="C272" s="1" t="n">
        <v>46130</v>
      </c>
      <c r="D272" t="inlineStr">
        <is>
          <t>UPPSALA LÄN</t>
        </is>
      </c>
      <c r="E272" t="inlineStr">
        <is>
          <t>ENKÖPING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37498-2025</t>
        </is>
      </c>
      <c r="B273" s="1" t="n">
        <v>45877</v>
      </c>
      <c r="C273" s="1" t="n">
        <v>46130</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32081-2024</t>
        </is>
      </c>
      <c r="B274" s="1" t="n">
        <v>45511.34605324074</v>
      </c>
      <c r="C274" s="1" t="n">
        <v>46130</v>
      </c>
      <c r="D274" t="inlineStr">
        <is>
          <t>UPPSALA LÄN</t>
        </is>
      </c>
      <c r="E274" t="inlineStr">
        <is>
          <t>ENKÖPING</t>
        </is>
      </c>
      <c r="G274" t="n">
        <v>5.4</v>
      </c>
      <c r="H274" t="n">
        <v>0</v>
      </c>
      <c r="I274" t="n">
        <v>0</v>
      </c>
      <c r="J274" t="n">
        <v>0</v>
      </c>
      <c r="K274" t="n">
        <v>0</v>
      </c>
      <c r="L274" t="n">
        <v>0</v>
      </c>
      <c r="M274" t="n">
        <v>0</v>
      </c>
      <c r="N274" t="n">
        <v>0</v>
      </c>
      <c r="O274" t="n">
        <v>0</v>
      </c>
      <c r="P274" t="n">
        <v>0</v>
      </c>
      <c r="Q274" t="n">
        <v>0</v>
      </c>
      <c r="R274" s="2" t="inlineStr"/>
    </row>
    <row r="275" ht="15" customHeight="1">
      <c r="A275" t="inlineStr">
        <is>
          <t>A 49622-2024</t>
        </is>
      </c>
      <c r="B275" s="1" t="n">
        <v>45596.58372685185</v>
      </c>
      <c r="C275" s="1" t="n">
        <v>46130</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20184-2023</t>
        </is>
      </c>
      <c r="B276" s="1" t="n">
        <v>45055.5670949074</v>
      </c>
      <c r="C276" s="1" t="n">
        <v>46130</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57188-2025</t>
        </is>
      </c>
      <c r="B277" s="1" t="n">
        <v>45979</v>
      </c>
      <c r="C277" s="1" t="n">
        <v>46130</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61952-2021</t>
        </is>
      </c>
      <c r="B278" s="1" t="n">
        <v>44502</v>
      </c>
      <c r="C278" s="1" t="n">
        <v>46130</v>
      </c>
      <c r="D278" t="inlineStr">
        <is>
          <t>UPPSALA LÄN</t>
        </is>
      </c>
      <c r="E278" t="inlineStr">
        <is>
          <t>ENKÖPING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21017-2023</t>
        </is>
      </c>
      <c r="B279" s="1" t="n">
        <v>45061</v>
      </c>
      <c r="C279" s="1" t="n">
        <v>46130</v>
      </c>
      <c r="D279" t="inlineStr">
        <is>
          <t>UPPSALA LÄN</t>
        </is>
      </c>
      <c r="E279" t="inlineStr">
        <is>
          <t>ENKÖPING</t>
        </is>
      </c>
      <c r="G279" t="n">
        <v>4.8</v>
      </c>
      <c r="H279" t="n">
        <v>0</v>
      </c>
      <c r="I279" t="n">
        <v>0</v>
      </c>
      <c r="J279" t="n">
        <v>0</v>
      </c>
      <c r="K279" t="n">
        <v>0</v>
      </c>
      <c r="L279" t="n">
        <v>0</v>
      </c>
      <c r="M279" t="n">
        <v>0</v>
      </c>
      <c r="N279" t="n">
        <v>0</v>
      </c>
      <c r="O279" t="n">
        <v>0</v>
      </c>
      <c r="P279" t="n">
        <v>0</v>
      </c>
      <c r="Q279" t="n">
        <v>0</v>
      </c>
      <c r="R279" s="2" t="inlineStr"/>
    </row>
    <row r="280" ht="15" customHeight="1">
      <c r="A280" t="inlineStr">
        <is>
          <t>A 59668-2025</t>
        </is>
      </c>
      <c r="B280" s="1" t="n">
        <v>45992.45567129629</v>
      </c>
      <c r="C280" s="1" t="n">
        <v>46130</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56176-2021</t>
        </is>
      </c>
      <c r="B281" s="1" t="n">
        <v>44477</v>
      </c>
      <c r="C281" s="1" t="n">
        <v>46130</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59602-2022</t>
        </is>
      </c>
      <c r="B282" s="1" t="n">
        <v>44907.72241898148</v>
      </c>
      <c r="C282" s="1" t="n">
        <v>46130</v>
      </c>
      <c r="D282" t="inlineStr">
        <is>
          <t>UPPSALA LÄN</t>
        </is>
      </c>
      <c r="E282" t="inlineStr">
        <is>
          <t>ENKÖPING</t>
        </is>
      </c>
      <c r="G282" t="n">
        <v>14.2</v>
      </c>
      <c r="H282" t="n">
        <v>0</v>
      </c>
      <c r="I282" t="n">
        <v>0</v>
      </c>
      <c r="J282" t="n">
        <v>0</v>
      </c>
      <c r="K282" t="n">
        <v>0</v>
      </c>
      <c r="L282" t="n">
        <v>0</v>
      </c>
      <c r="M282" t="n">
        <v>0</v>
      </c>
      <c r="N282" t="n">
        <v>0</v>
      </c>
      <c r="O282" t="n">
        <v>0</v>
      </c>
      <c r="P282" t="n">
        <v>0</v>
      </c>
      <c r="Q282" t="n">
        <v>0</v>
      </c>
      <c r="R282" s="2" t="inlineStr"/>
    </row>
    <row r="283" ht="15" customHeight="1">
      <c r="A283" t="inlineStr">
        <is>
          <t>A 42589-2022</t>
        </is>
      </c>
      <c r="B283" s="1" t="n">
        <v>44831</v>
      </c>
      <c r="C283" s="1" t="n">
        <v>46130</v>
      </c>
      <c r="D283" t="inlineStr">
        <is>
          <t>UPPSALA LÄN</t>
        </is>
      </c>
      <c r="E283" t="inlineStr">
        <is>
          <t>ENKÖPING</t>
        </is>
      </c>
      <c r="G283" t="n">
        <v>20</v>
      </c>
      <c r="H283" t="n">
        <v>0</v>
      </c>
      <c r="I283" t="n">
        <v>0</v>
      </c>
      <c r="J283" t="n">
        <v>0</v>
      </c>
      <c r="K283" t="n">
        <v>0</v>
      </c>
      <c r="L283" t="n">
        <v>0</v>
      </c>
      <c r="M283" t="n">
        <v>0</v>
      </c>
      <c r="N283" t="n">
        <v>0</v>
      </c>
      <c r="O283" t="n">
        <v>0</v>
      </c>
      <c r="P283" t="n">
        <v>0</v>
      </c>
      <c r="Q283" t="n">
        <v>0</v>
      </c>
      <c r="R283" s="2" t="inlineStr"/>
    </row>
    <row r="284" ht="15" customHeight="1">
      <c r="A284" t="inlineStr">
        <is>
          <t>A 35645-2021</t>
        </is>
      </c>
      <c r="B284" s="1" t="n">
        <v>44386.42</v>
      </c>
      <c r="C284" s="1" t="n">
        <v>46130</v>
      </c>
      <c r="D284" t="inlineStr">
        <is>
          <t>UPPSALA LÄN</t>
        </is>
      </c>
      <c r="E284" t="inlineStr">
        <is>
          <t>ENKÖPING</t>
        </is>
      </c>
      <c r="G284" t="n">
        <v>2.7</v>
      </c>
      <c r="H284" t="n">
        <v>0</v>
      </c>
      <c r="I284" t="n">
        <v>0</v>
      </c>
      <c r="J284" t="n">
        <v>0</v>
      </c>
      <c r="K284" t="n">
        <v>0</v>
      </c>
      <c r="L284" t="n">
        <v>0</v>
      </c>
      <c r="M284" t="n">
        <v>0</v>
      </c>
      <c r="N284" t="n">
        <v>0</v>
      </c>
      <c r="O284" t="n">
        <v>0</v>
      </c>
      <c r="P284" t="n">
        <v>0</v>
      </c>
      <c r="Q284" t="n">
        <v>0</v>
      </c>
      <c r="R284" s="2" t="inlineStr"/>
    </row>
    <row r="285" ht="15" customHeight="1">
      <c r="A285" t="inlineStr">
        <is>
          <t>A 59964-2025</t>
        </is>
      </c>
      <c r="B285" s="1" t="n">
        <v>45993.48043981481</v>
      </c>
      <c r="C285" s="1" t="n">
        <v>46130</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2968-2025</t>
        </is>
      </c>
      <c r="B286" s="1" t="n">
        <v>45678</v>
      </c>
      <c r="C286" s="1" t="n">
        <v>46130</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60174-2025</t>
        </is>
      </c>
      <c r="B287" s="1" t="n">
        <v>45994.45039351852</v>
      </c>
      <c r="C287" s="1" t="n">
        <v>46130</v>
      </c>
      <c r="D287" t="inlineStr">
        <is>
          <t>UPPSALA LÄN</t>
        </is>
      </c>
      <c r="E287" t="inlineStr">
        <is>
          <t>ENKÖPING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60175-2025</t>
        </is>
      </c>
      <c r="B288" s="1" t="n">
        <v>45994.45378472222</v>
      </c>
      <c r="C288" s="1" t="n">
        <v>46130</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9487-2025</t>
        </is>
      </c>
      <c r="B289" s="1" t="n">
        <v>45715.49331018519</v>
      </c>
      <c r="C289" s="1" t="n">
        <v>46130</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16176-2025</t>
        </is>
      </c>
      <c r="B290" s="1" t="n">
        <v>45750</v>
      </c>
      <c r="C290" s="1" t="n">
        <v>46130</v>
      </c>
      <c r="D290" t="inlineStr">
        <is>
          <t>UPPSALA LÄN</t>
        </is>
      </c>
      <c r="E290" t="inlineStr">
        <is>
          <t>ENKÖPING</t>
        </is>
      </c>
      <c r="G290" t="n">
        <v>3.9</v>
      </c>
      <c r="H290" t="n">
        <v>0</v>
      </c>
      <c r="I290" t="n">
        <v>0</v>
      </c>
      <c r="J290" t="n">
        <v>0</v>
      </c>
      <c r="K290" t="n">
        <v>0</v>
      </c>
      <c r="L290" t="n">
        <v>0</v>
      </c>
      <c r="M290" t="n">
        <v>0</v>
      </c>
      <c r="N290" t="n">
        <v>0</v>
      </c>
      <c r="O290" t="n">
        <v>0</v>
      </c>
      <c r="P290" t="n">
        <v>0</v>
      </c>
      <c r="Q290" t="n">
        <v>0</v>
      </c>
      <c r="R290" s="2" t="inlineStr"/>
    </row>
    <row r="291" ht="15" customHeight="1">
      <c r="A291" t="inlineStr">
        <is>
          <t>A 60340-2025</t>
        </is>
      </c>
      <c r="B291" s="1" t="n">
        <v>45994.83415509259</v>
      </c>
      <c r="C291" s="1" t="n">
        <v>46130</v>
      </c>
      <c r="D291" t="inlineStr">
        <is>
          <t>UPPSALA LÄN</t>
        </is>
      </c>
      <c r="E291" t="inlineStr">
        <is>
          <t>ENKÖPING</t>
        </is>
      </c>
      <c r="G291" t="n">
        <v>5.6</v>
      </c>
      <c r="H291" t="n">
        <v>0</v>
      </c>
      <c r="I291" t="n">
        <v>0</v>
      </c>
      <c r="J291" t="n">
        <v>0</v>
      </c>
      <c r="K291" t="n">
        <v>0</v>
      </c>
      <c r="L291" t="n">
        <v>0</v>
      </c>
      <c r="M291" t="n">
        <v>0</v>
      </c>
      <c r="N291" t="n">
        <v>0</v>
      </c>
      <c r="O291" t="n">
        <v>0</v>
      </c>
      <c r="P291" t="n">
        <v>0</v>
      </c>
      <c r="Q291" t="n">
        <v>0</v>
      </c>
      <c r="R291" s="2" t="inlineStr"/>
    </row>
    <row r="292" ht="15" customHeight="1">
      <c r="A292" t="inlineStr">
        <is>
          <t>A 37035-2023</t>
        </is>
      </c>
      <c r="B292" s="1" t="n">
        <v>45155</v>
      </c>
      <c r="C292" s="1" t="n">
        <v>46130</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46186-2023</t>
        </is>
      </c>
      <c r="B293" s="1" t="n">
        <v>45196</v>
      </c>
      <c r="C293" s="1" t="n">
        <v>46130</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15162-2025</t>
        </is>
      </c>
      <c r="B294" s="1" t="n">
        <v>45744</v>
      </c>
      <c r="C294" s="1" t="n">
        <v>46130</v>
      </c>
      <c r="D294" t="inlineStr">
        <is>
          <t>UPPSALA LÄN</t>
        </is>
      </c>
      <c r="E294" t="inlineStr">
        <is>
          <t>ENKÖPING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60947-2025</t>
        </is>
      </c>
      <c r="B295" s="1" t="n">
        <v>45999</v>
      </c>
      <c r="C295" s="1" t="n">
        <v>46130</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18299-2025</t>
        </is>
      </c>
      <c r="B296" s="1" t="n">
        <v>45762</v>
      </c>
      <c r="C296" s="1" t="n">
        <v>46130</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6242-2025</t>
        </is>
      </c>
      <c r="B297" s="1" t="n">
        <v>45697</v>
      </c>
      <c r="C297" s="1" t="n">
        <v>46130</v>
      </c>
      <c r="D297" t="inlineStr">
        <is>
          <t>UPPSALA LÄN</t>
        </is>
      </c>
      <c r="E297" t="inlineStr">
        <is>
          <t>ENKÖPING</t>
        </is>
      </c>
      <c r="G297" t="n">
        <v>17.9</v>
      </c>
      <c r="H297" t="n">
        <v>0</v>
      </c>
      <c r="I297" t="n">
        <v>0</v>
      </c>
      <c r="J297" t="n">
        <v>0</v>
      </c>
      <c r="K297" t="n">
        <v>0</v>
      </c>
      <c r="L297" t="n">
        <v>0</v>
      </c>
      <c r="M297" t="n">
        <v>0</v>
      </c>
      <c r="N297" t="n">
        <v>0</v>
      </c>
      <c r="O297" t="n">
        <v>0</v>
      </c>
      <c r="P297" t="n">
        <v>0</v>
      </c>
      <c r="Q297" t="n">
        <v>0</v>
      </c>
      <c r="R297" s="2" t="inlineStr"/>
    </row>
    <row r="298" ht="15" customHeight="1">
      <c r="A298" t="inlineStr">
        <is>
          <t>A 6144-2024</t>
        </is>
      </c>
      <c r="B298" s="1" t="n">
        <v>45337.4684837963</v>
      </c>
      <c r="C298" s="1" t="n">
        <v>46130</v>
      </c>
      <c r="D298" t="inlineStr">
        <is>
          <t>UPPSALA LÄN</t>
        </is>
      </c>
      <c r="E298" t="inlineStr">
        <is>
          <t>ENKÖPING</t>
        </is>
      </c>
      <c r="G298" t="n">
        <v>13.8</v>
      </c>
      <c r="H298" t="n">
        <v>0</v>
      </c>
      <c r="I298" t="n">
        <v>0</v>
      </c>
      <c r="J298" t="n">
        <v>0</v>
      </c>
      <c r="K298" t="n">
        <v>0</v>
      </c>
      <c r="L298" t="n">
        <v>0</v>
      </c>
      <c r="M298" t="n">
        <v>0</v>
      </c>
      <c r="N298" t="n">
        <v>0</v>
      </c>
      <c r="O298" t="n">
        <v>0</v>
      </c>
      <c r="P298" t="n">
        <v>0</v>
      </c>
      <c r="Q298" t="n">
        <v>0</v>
      </c>
      <c r="R298" s="2" t="inlineStr"/>
    </row>
    <row r="299" ht="15" customHeight="1">
      <c r="A299" t="inlineStr">
        <is>
          <t>A 29477-2025</t>
        </is>
      </c>
      <c r="B299" s="1" t="n">
        <v>45824.71537037037</v>
      </c>
      <c r="C299" s="1" t="n">
        <v>46130</v>
      </c>
      <c r="D299" t="inlineStr">
        <is>
          <t>UPPSALA LÄN</t>
        </is>
      </c>
      <c r="E299" t="inlineStr">
        <is>
          <t>ENKÖPING</t>
        </is>
      </c>
      <c r="G299" t="n">
        <v>13.4</v>
      </c>
      <c r="H299" t="n">
        <v>0</v>
      </c>
      <c r="I299" t="n">
        <v>0</v>
      </c>
      <c r="J299" t="n">
        <v>0</v>
      </c>
      <c r="K299" t="n">
        <v>0</v>
      </c>
      <c r="L299" t="n">
        <v>0</v>
      </c>
      <c r="M299" t="n">
        <v>0</v>
      </c>
      <c r="N299" t="n">
        <v>0</v>
      </c>
      <c r="O299" t="n">
        <v>0</v>
      </c>
      <c r="P299" t="n">
        <v>0</v>
      </c>
      <c r="Q299" t="n">
        <v>0</v>
      </c>
      <c r="R299" s="2" t="inlineStr"/>
    </row>
    <row r="300" ht="15" customHeight="1">
      <c r="A300" t="inlineStr">
        <is>
          <t>A 67984-2021</t>
        </is>
      </c>
      <c r="B300" s="1" t="n">
        <v>44525.70237268518</v>
      </c>
      <c r="C300" s="1" t="n">
        <v>46130</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60934-2025</t>
        </is>
      </c>
      <c r="B301" s="1" t="n">
        <v>45999</v>
      </c>
      <c r="C301" s="1" t="n">
        <v>46130</v>
      </c>
      <c r="D301" t="inlineStr">
        <is>
          <t>UPPSALA LÄN</t>
        </is>
      </c>
      <c r="E301" t="inlineStr">
        <is>
          <t>ENKÖPING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61437-2025</t>
        </is>
      </c>
      <c r="B302" s="1" t="n">
        <v>46001.5659375</v>
      </c>
      <c r="C302" s="1" t="n">
        <v>46130</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46130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11918-2025</t>
        </is>
      </c>
      <c r="B304" s="1" t="n">
        <v>45728.49331018519</v>
      </c>
      <c r="C304" s="1" t="n">
        <v>46130</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38941-2025</t>
        </is>
      </c>
      <c r="B305" s="1" t="n">
        <v>45887</v>
      </c>
      <c r="C305" s="1" t="n">
        <v>46130</v>
      </c>
      <c r="D305" t="inlineStr">
        <is>
          <t>UPPSALA LÄN</t>
        </is>
      </c>
      <c r="E305" t="inlineStr">
        <is>
          <t>ENKÖPING</t>
        </is>
      </c>
      <c r="F305" t="inlineStr">
        <is>
          <t>Övriga statliga verk och myndigheter</t>
        </is>
      </c>
      <c r="G305" t="n">
        <v>0.6</v>
      </c>
      <c r="H305" t="n">
        <v>0</v>
      </c>
      <c r="I305" t="n">
        <v>0</v>
      </c>
      <c r="J305" t="n">
        <v>0</v>
      </c>
      <c r="K305" t="n">
        <v>0</v>
      </c>
      <c r="L305" t="n">
        <v>0</v>
      </c>
      <c r="M305" t="n">
        <v>0</v>
      </c>
      <c r="N305" t="n">
        <v>0</v>
      </c>
      <c r="O305" t="n">
        <v>0</v>
      </c>
      <c r="P305" t="n">
        <v>0</v>
      </c>
      <c r="Q305" t="n">
        <v>0</v>
      </c>
      <c r="R305" s="2" t="inlineStr"/>
    </row>
    <row r="306" ht="15" customHeight="1">
      <c r="A306" t="inlineStr">
        <is>
          <t>A 61778-2025</t>
        </is>
      </c>
      <c r="B306" s="1" t="n">
        <v>46002.66555555556</v>
      </c>
      <c r="C306" s="1" t="n">
        <v>46130</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61811-2025</t>
        </is>
      </c>
      <c r="B307" s="1" t="n">
        <v>46002.90059027778</v>
      </c>
      <c r="C307" s="1" t="n">
        <v>46130</v>
      </c>
      <c r="D307" t="inlineStr">
        <is>
          <t>UPPSALA LÄN</t>
        </is>
      </c>
      <c r="E307" t="inlineStr">
        <is>
          <t>ENKÖPING</t>
        </is>
      </c>
      <c r="F307" t="inlineStr">
        <is>
          <t>Allmännings- och besparingsskogar</t>
        </is>
      </c>
      <c r="G307" t="n">
        <v>4.7</v>
      </c>
      <c r="H307" t="n">
        <v>0</v>
      </c>
      <c r="I307" t="n">
        <v>0</v>
      </c>
      <c r="J307" t="n">
        <v>0</v>
      </c>
      <c r="K307" t="n">
        <v>0</v>
      </c>
      <c r="L307" t="n">
        <v>0</v>
      </c>
      <c r="M307" t="n">
        <v>0</v>
      </c>
      <c r="N307" t="n">
        <v>0</v>
      </c>
      <c r="O307" t="n">
        <v>0</v>
      </c>
      <c r="P307" t="n">
        <v>0</v>
      </c>
      <c r="Q307" t="n">
        <v>0</v>
      </c>
      <c r="R307" s="2" t="inlineStr"/>
    </row>
    <row r="308" ht="15" customHeight="1">
      <c r="A308" t="inlineStr">
        <is>
          <t>A 43896-2022</t>
        </is>
      </c>
      <c r="B308" s="1" t="n">
        <v>44838</v>
      </c>
      <c r="C308" s="1" t="n">
        <v>46130</v>
      </c>
      <c r="D308" t="inlineStr">
        <is>
          <t>UPPSALA LÄN</t>
        </is>
      </c>
      <c r="E308" t="inlineStr">
        <is>
          <t>ENKÖPING</t>
        </is>
      </c>
      <c r="G308" t="n">
        <v>5.3</v>
      </c>
      <c r="H308" t="n">
        <v>0</v>
      </c>
      <c r="I308" t="n">
        <v>0</v>
      </c>
      <c r="J308" t="n">
        <v>0</v>
      </c>
      <c r="K308" t="n">
        <v>0</v>
      </c>
      <c r="L308" t="n">
        <v>0</v>
      </c>
      <c r="M308" t="n">
        <v>0</v>
      </c>
      <c r="N308" t="n">
        <v>0</v>
      </c>
      <c r="O308" t="n">
        <v>0</v>
      </c>
      <c r="P308" t="n">
        <v>0</v>
      </c>
      <c r="Q308" t="n">
        <v>0</v>
      </c>
      <c r="R308" s="2" t="inlineStr"/>
    </row>
    <row r="309" ht="15" customHeight="1">
      <c r="A309" t="inlineStr">
        <is>
          <t>A 20440-2025</t>
        </is>
      </c>
      <c r="B309" s="1" t="n">
        <v>45775</v>
      </c>
      <c r="C309" s="1" t="n">
        <v>46130</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61889-2025</t>
        </is>
      </c>
      <c r="B310" s="1" t="n">
        <v>46003.44765046296</v>
      </c>
      <c r="C310" s="1" t="n">
        <v>46130</v>
      </c>
      <c r="D310" t="inlineStr">
        <is>
          <t>UPPSALA LÄN</t>
        </is>
      </c>
      <c r="E310" t="inlineStr">
        <is>
          <t>ENKÖPING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41737-2022</t>
        </is>
      </c>
      <c r="B311" s="1" t="n">
        <v>44827.63826388889</v>
      </c>
      <c r="C311" s="1" t="n">
        <v>46130</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62772-2025</t>
        </is>
      </c>
      <c r="B312" s="1" t="n">
        <v>46008.60365740741</v>
      </c>
      <c r="C312" s="1" t="n">
        <v>46130</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62599-2025</t>
        </is>
      </c>
      <c r="B313" s="1" t="n">
        <v>46007.91961805556</v>
      </c>
      <c r="C313" s="1" t="n">
        <v>46130</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62601-2025</t>
        </is>
      </c>
      <c r="B314" s="1" t="n">
        <v>46007.92395833333</v>
      </c>
      <c r="C314" s="1" t="n">
        <v>46130</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62602-2025</t>
        </is>
      </c>
      <c r="B315" s="1" t="n">
        <v>46007.92581018519</v>
      </c>
      <c r="C315" s="1" t="n">
        <v>46130</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54595-2021</t>
        </is>
      </c>
      <c r="B316" s="1" t="n">
        <v>44473.58824074074</v>
      </c>
      <c r="C316" s="1" t="n">
        <v>46130</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46130</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62600-2025</t>
        </is>
      </c>
      <c r="B318" s="1" t="n">
        <v>46007.92175925926</v>
      </c>
      <c r="C318" s="1" t="n">
        <v>46130</v>
      </c>
      <c r="D318" t="inlineStr">
        <is>
          <t>UPPSALA LÄN</t>
        </is>
      </c>
      <c r="E318" t="inlineStr">
        <is>
          <t>ENKÖPING</t>
        </is>
      </c>
      <c r="G318" t="n">
        <v>2</v>
      </c>
      <c r="H318" t="n">
        <v>0</v>
      </c>
      <c r="I318" t="n">
        <v>0</v>
      </c>
      <c r="J318" t="n">
        <v>0</v>
      </c>
      <c r="K318" t="n">
        <v>0</v>
      </c>
      <c r="L318" t="n">
        <v>0</v>
      </c>
      <c r="M318" t="n">
        <v>0</v>
      </c>
      <c r="N318" t="n">
        <v>0</v>
      </c>
      <c r="O318" t="n">
        <v>0</v>
      </c>
      <c r="P318" t="n">
        <v>0</v>
      </c>
      <c r="Q318" t="n">
        <v>0</v>
      </c>
      <c r="R318" s="2" t="inlineStr"/>
    </row>
    <row r="319" ht="15" customHeight="1">
      <c r="A319" t="inlineStr">
        <is>
          <t>A 63128-2025</t>
        </is>
      </c>
      <c r="B319" s="1" t="n">
        <v>46009</v>
      </c>
      <c r="C319" s="1" t="n">
        <v>46130</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46130</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24962-2023</t>
        </is>
      </c>
      <c r="B321" s="1" t="n">
        <v>45085.60123842592</v>
      </c>
      <c r="C321" s="1" t="n">
        <v>46130</v>
      </c>
      <c r="D321" t="inlineStr">
        <is>
          <t>UPPSALA LÄN</t>
        </is>
      </c>
      <c r="E321" t="inlineStr">
        <is>
          <t>ENKÖPING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44131-2023</t>
        </is>
      </c>
      <c r="B322" s="1" t="n">
        <v>45188</v>
      </c>
      <c r="C322" s="1" t="n">
        <v>46130</v>
      </c>
      <c r="D322" t="inlineStr">
        <is>
          <t>UPPSALA LÄN</t>
        </is>
      </c>
      <c r="E322" t="inlineStr">
        <is>
          <t>ENKÖPING</t>
        </is>
      </c>
      <c r="G322" t="n">
        <v>0.3</v>
      </c>
      <c r="H322" t="n">
        <v>0</v>
      </c>
      <c r="I322" t="n">
        <v>0</v>
      </c>
      <c r="J322" t="n">
        <v>0</v>
      </c>
      <c r="K322" t="n">
        <v>0</v>
      </c>
      <c r="L322" t="n">
        <v>0</v>
      </c>
      <c r="M322" t="n">
        <v>0</v>
      </c>
      <c r="N322" t="n">
        <v>0</v>
      </c>
      <c r="O322" t="n">
        <v>0</v>
      </c>
      <c r="P322" t="n">
        <v>0</v>
      </c>
      <c r="Q322" t="n">
        <v>0</v>
      </c>
      <c r="R322" s="2" t="inlineStr"/>
    </row>
    <row r="323" ht="15" customHeight="1">
      <c r="A323" t="inlineStr">
        <is>
          <t>A 29482-2022</t>
        </is>
      </c>
      <c r="B323" s="1" t="n">
        <v>44753.57703703704</v>
      </c>
      <c r="C323" s="1" t="n">
        <v>46130</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29483-2022</t>
        </is>
      </c>
      <c r="B324" s="1" t="n">
        <v>44753.57829861111</v>
      </c>
      <c r="C324" s="1" t="n">
        <v>46130</v>
      </c>
      <c r="D324" t="inlineStr">
        <is>
          <t>UPPSALA LÄN</t>
        </is>
      </c>
      <c r="E324" t="inlineStr">
        <is>
          <t>ENKÖPING</t>
        </is>
      </c>
      <c r="G324" t="n">
        <v>3.6</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46130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53496-2022</t>
        </is>
      </c>
      <c r="B326" s="1" t="n">
        <v>44879.57217592592</v>
      </c>
      <c r="C326" s="1" t="n">
        <v>46130</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60848-2025</t>
        </is>
      </c>
      <c r="B327" s="1" t="n">
        <v>45999</v>
      </c>
      <c r="C327" s="1" t="n">
        <v>46130</v>
      </c>
      <c r="D327" t="inlineStr">
        <is>
          <t>UPPSALA LÄN</t>
        </is>
      </c>
      <c r="E327" t="inlineStr">
        <is>
          <t>ENKÖPING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7870-2024</t>
        </is>
      </c>
      <c r="B328" s="1" t="n">
        <v>45350.33349537037</v>
      </c>
      <c r="C328" s="1" t="n">
        <v>46130</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28243-2023</t>
        </is>
      </c>
      <c r="B329" s="1" t="n">
        <v>45099.58885416666</v>
      </c>
      <c r="C329" s="1" t="n">
        <v>46130</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10829-2024</t>
        </is>
      </c>
      <c r="B330" s="1" t="n">
        <v>45369</v>
      </c>
      <c r="C330" s="1" t="n">
        <v>46130</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2161-2023</t>
        </is>
      </c>
      <c r="B331" s="1" t="n">
        <v>44941</v>
      </c>
      <c r="C331" s="1" t="n">
        <v>46130</v>
      </c>
      <c r="D331" t="inlineStr">
        <is>
          <t>UPPSALA LÄN</t>
        </is>
      </c>
      <c r="E331" t="inlineStr">
        <is>
          <t>ENKÖPING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2165-2023</t>
        </is>
      </c>
      <c r="B332" s="1" t="n">
        <v>44941</v>
      </c>
      <c r="C332" s="1" t="n">
        <v>46130</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192-2026</t>
        </is>
      </c>
      <c r="B333" s="1" t="n">
        <v>46025</v>
      </c>
      <c r="C333" s="1" t="n">
        <v>46130</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13853-2023</t>
        </is>
      </c>
      <c r="B334" s="1" t="n">
        <v>45007</v>
      </c>
      <c r="C334" s="1" t="n">
        <v>46130</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861-2026</t>
        </is>
      </c>
      <c r="B335" s="1" t="n">
        <v>46030</v>
      </c>
      <c r="C335" s="1" t="n">
        <v>46130</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63310-2021</t>
        </is>
      </c>
      <c r="B336" s="1" t="n">
        <v>44508</v>
      </c>
      <c r="C336" s="1" t="n">
        <v>46130</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61106-2022</t>
        </is>
      </c>
      <c r="B337" s="1" t="n">
        <v>44915.4128587963</v>
      </c>
      <c r="C337" s="1" t="n">
        <v>46130</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9171-2024</t>
        </is>
      </c>
      <c r="B338" s="1" t="n">
        <v>45358</v>
      </c>
      <c r="C338" s="1" t="n">
        <v>46130</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671-2022</t>
        </is>
      </c>
      <c r="B339" s="1" t="n">
        <v>44568</v>
      </c>
      <c r="C339" s="1" t="n">
        <v>46130</v>
      </c>
      <c r="D339" t="inlineStr">
        <is>
          <t>UPPSALA LÄN</t>
        </is>
      </c>
      <c r="E339" t="inlineStr">
        <is>
          <t>ENKÖPING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11005-2023</t>
        </is>
      </c>
      <c r="B340" s="1" t="n">
        <v>44991</v>
      </c>
      <c r="C340" s="1" t="n">
        <v>46130</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2218-2026</t>
        </is>
      </c>
      <c r="B341" s="1" t="n">
        <v>46036.50010416667</v>
      </c>
      <c r="C341" s="1" t="n">
        <v>46130</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29918-2023</t>
        </is>
      </c>
      <c r="B342" s="1" t="n">
        <v>45099</v>
      </c>
      <c r="C342" s="1" t="n">
        <v>46130</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2258-2026</t>
        </is>
      </c>
      <c r="B343" s="1" t="n">
        <v>46036</v>
      </c>
      <c r="C343" s="1" t="n">
        <v>46130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58384-2022</t>
        </is>
      </c>
      <c r="B344" s="1" t="n">
        <v>44901</v>
      </c>
      <c r="C344" s="1" t="n">
        <v>46130</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43016-2021</t>
        </is>
      </c>
      <c r="B345" s="1" t="n">
        <v>44431</v>
      </c>
      <c r="C345" s="1" t="n">
        <v>46130</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15893-2024</t>
        </is>
      </c>
      <c r="B346" s="1" t="n">
        <v>45405</v>
      </c>
      <c r="C346" s="1" t="n">
        <v>46130</v>
      </c>
      <c r="D346" t="inlineStr">
        <is>
          <t>UPPSALA LÄN</t>
        </is>
      </c>
      <c r="E346" t="inlineStr">
        <is>
          <t>ENKÖPING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33343-2024</t>
        </is>
      </c>
      <c r="B347" s="1" t="n">
        <v>45519</v>
      </c>
      <c r="C347" s="1" t="n">
        <v>46130</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46130</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46130</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46130</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19014-2025</t>
        </is>
      </c>
      <c r="B351" s="1" t="n">
        <v>45764.59631944444</v>
      </c>
      <c r="C351" s="1" t="n">
        <v>46130</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46130</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19376-2024</t>
        </is>
      </c>
      <c r="B353" s="1" t="n">
        <v>45429</v>
      </c>
      <c r="C353" s="1" t="n">
        <v>46130</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33670-2024</t>
        </is>
      </c>
      <c r="B354" s="1" t="n">
        <v>45520</v>
      </c>
      <c r="C354" s="1" t="n">
        <v>46130</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19147-2024</t>
        </is>
      </c>
      <c r="B355" s="1" t="n">
        <v>45428</v>
      </c>
      <c r="C355" s="1" t="n">
        <v>46130</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46130</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57835-2024</t>
        </is>
      </c>
      <c r="B357" s="1" t="n">
        <v>45631.39947916667</v>
      </c>
      <c r="C357" s="1" t="n">
        <v>46130</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21612-2023</t>
        </is>
      </c>
      <c r="B358" s="1" t="n">
        <v>45063</v>
      </c>
      <c r="C358" s="1" t="n">
        <v>46130</v>
      </c>
      <c r="D358" t="inlineStr">
        <is>
          <t>UPPSALA LÄN</t>
        </is>
      </c>
      <c r="E358" t="inlineStr">
        <is>
          <t>ENKÖPING</t>
        </is>
      </c>
      <c r="F358" t="inlineStr">
        <is>
          <t>Allmännings- och besparingsskogar</t>
        </is>
      </c>
      <c r="G358" t="n">
        <v>1</v>
      </c>
      <c r="H358" t="n">
        <v>0</v>
      </c>
      <c r="I358" t="n">
        <v>0</v>
      </c>
      <c r="J358" t="n">
        <v>0</v>
      </c>
      <c r="K358" t="n">
        <v>0</v>
      </c>
      <c r="L358" t="n">
        <v>0</v>
      </c>
      <c r="M358" t="n">
        <v>0</v>
      </c>
      <c r="N358" t="n">
        <v>0</v>
      </c>
      <c r="O358" t="n">
        <v>0</v>
      </c>
      <c r="P358" t="n">
        <v>0</v>
      </c>
      <c r="Q358" t="n">
        <v>0</v>
      </c>
      <c r="R358" s="2" t="inlineStr"/>
    </row>
    <row r="359" ht="15" customHeight="1">
      <c r="A359" t="inlineStr">
        <is>
          <t>A 39624-2023</t>
        </is>
      </c>
      <c r="B359" s="1" t="n">
        <v>45164</v>
      </c>
      <c r="C359" s="1" t="n">
        <v>46130</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46130</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39858-2024</t>
        </is>
      </c>
      <c r="B361" s="1" t="n">
        <v>45553</v>
      </c>
      <c r="C361" s="1" t="n">
        <v>46130</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12411-2026</t>
        </is>
      </c>
      <c r="B362" s="1" t="n">
        <v>46090.42670138889</v>
      </c>
      <c r="C362" s="1" t="n">
        <v>46130</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12996-2026</t>
        </is>
      </c>
      <c r="B363" s="1" t="n">
        <v>46092.68149305556</v>
      </c>
      <c r="C363" s="1" t="n">
        <v>46130</v>
      </c>
      <c r="D363" t="inlineStr">
        <is>
          <t>UPPSALA LÄN</t>
        </is>
      </c>
      <c r="E363" t="inlineStr">
        <is>
          <t>ENKÖPING</t>
        </is>
      </c>
      <c r="G363" t="n">
        <v>2</v>
      </c>
      <c r="H363" t="n">
        <v>0</v>
      </c>
      <c r="I363" t="n">
        <v>0</v>
      </c>
      <c r="J363" t="n">
        <v>0</v>
      </c>
      <c r="K363" t="n">
        <v>0</v>
      </c>
      <c r="L363" t="n">
        <v>0</v>
      </c>
      <c r="M363" t="n">
        <v>0</v>
      </c>
      <c r="N363" t="n">
        <v>0</v>
      </c>
      <c r="O363" t="n">
        <v>0</v>
      </c>
      <c r="P363" t="n">
        <v>0</v>
      </c>
      <c r="Q363" t="n">
        <v>0</v>
      </c>
      <c r="R363" s="2" t="inlineStr"/>
    </row>
    <row r="364" ht="15" customHeight="1">
      <c r="A364" t="inlineStr">
        <is>
          <t>A 25989-2025</t>
        </is>
      </c>
      <c r="B364" s="1" t="n">
        <v>45804.65050925926</v>
      </c>
      <c r="C364" s="1" t="n">
        <v>46130</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25990-2025</t>
        </is>
      </c>
      <c r="B365" s="1" t="n">
        <v>45804.65229166667</v>
      </c>
      <c r="C365" s="1" t="n">
        <v>46130</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12997-2026</t>
        </is>
      </c>
      <c r="B366" s="1" t="n">
        <v>46092.6834375</v>
      </c>
      <c r="C366" s="1" t="n">
        <v>46130</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5104-2026</t>
        </is>
      </c>
      <c r="B367" s="1" t="n">
        <v>46049.56914351852</v>
      </c>
      <c r="C367" s="1" t="n">
        <v>46130</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5569-2026</t>
        </is>
      </c>
      <c r="B368" s="1" t="n">
        <v>46050.89431712963</v>
      </c>
      <c r="C368" s="1" t="n">
        <v>46130</v>
      </c>
      <c r="D368" t="inlineStr">
        <is>
          <t>UPPSALA LÄN</t>
        </is>
      </c>
      <c r="E368" t="inlineStr">
        <is>
          <t>ENKÖPING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6049-2026</t>
        </is>
      </c>
      <c r="B369" s="1" t="n">
        <v>46052.63005787037</v>
      </c>
      <c r="C369" s="1" t="n">
        <v>46130</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6044-2026</t>
        </is>
      </c>
      <c r="B370" s="1" t="n">
        <v>46052.62506944445</v>
      </c>
      <c r="C370" s="1" t="n">
        <v>46130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9957-2023</t>
        </is>
      </c>
      <c r="B371" s="1" t="n">
        <v>44978</v>
      </c>
      <c r="C371" s="1" t="n">
        <v>46130</v>
      </c>
      <c r="D371" t="inlineStr">
        <is>
          <t>UPPSALA LÄN</t>
        </is>
      </c>
      <c r="E371" t="inlineStr">
        <is>
          <t>ENKÖPING</t>
        </is>
      </c>
      <c r="G371" t="n">
        <v>5.9</v>
      </c>
      <c r="H371" t="n">
        <v>0</v>
      </c>
      <c r="I371" t="n">
        <v>0</v>
      </c>
      <c r="J371" t="n">
        <v>0</v>
      </c>
      <c r="K371" t="n">
        <v>0</v>
      </c>
      <c r="L371" t="n">
        <v>0</v>
      </c>
      <c r="M371" t="n">
        <v>0</v>
      </c>
      <c r="N371" t="n">
        <v>0</v>
      </c>
      <c r="O371" t="n">
        <v>0</v>
      </c>
      <c r="P371" t="n">
        <v>0</v>
      </c>
      <c r="Q371" t="n">
        <v>0</v>
      </c>
      <c r="R371" s="2" t="inlineStr"/>
    </row>
    <row r="372" ht="15" customHeight="1">
      <c r="A372" t="inlineStr">
        <is>
          <t>A 5948-2026</t>
        </is>
      </c>
      <c r="B372" s="1" t="n">
        <v>46052</v>
      </c>
      <c r="C372" s="1" t="n">
        <v>46130</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6041-2026</t>
        </is>
      </c>
      <c r="B373" s="1" t="n">
        <v>46052.62184027778</v>
      </c>
      <c r="C373" s="1" t="n">
        <v>46130</v>
      </c>
      <c r="D373" t="inlineStr">
        <is>
          <t>UPPSALA LÄN</t>
        </is>
      </c>
      <c r="E373" t="inlineStr">
        <is>
          <t>ENKÖPING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6031-2026</t>
        </is>
      </c>
      <c r="B374" s="1" t="n">
        <v>46052.61201388889</v>
      </c>
      <c r="C374" s="1" t="n">
        <v>46130</v>
      </c>
      <c r="D374" t="inlineStr">
        <is>
          <t>UPPSALA LÄN</t>
        </is>
      </c>
      <c r="E374" t="inlineStr">
        <is>
          <t>ENKÖPING</t>
        </is>
      </c>
      <c r="G374" t="n">
        <v>4.1</v>
      </c>
      <c r="H374" t="n">
        <v>0</v>
      </c>
      <c r="I374" t="n">
        <v>0</v>
      </c>
      <c r="J374" t="n">
        <v>0</v>
      </c>
      <c r="K374" t="n">
        <v>0</v>
      </c>
      <c r="L374" t="n">
        <v>0</v>
      </c>
      <c r="M374" t="n">
        <v>0</v>
      </c>
      <c r="N374" t="n">
        <v>0</v>
      </c>
      <c r="O374" t="n">
        <v>0</v>
      </c>
      <c r="P374" t="n">
        <v>0</v>
      </c>
      <c r="Q374" t="n">
        <v>0</v>
      </c>
      <c r="R374" s="2" t="inlineStr"/>
    </row>
    <row r="375" ht="15" customHeight="1">
      <c r="A375" t="inlineStr">
        <is>
          <t>A 6047-2026</t>
        </is>
      </c>
      <c r="B375" s="1" t="n">
        <v>46052.62738425926</v>
      </c>
      <c r="C375" s="1" t="n">
        <v>46130</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5953-2026</t>
        </is>
      </c>
      <c r="B376" s="1" t="n">
        <v>46052.49119212963</v>
      </c>
      <c r="C376" s="1" t="n">
        <v>46130</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8152-2022</t>
        </is>
      </c>
      <c r="B377" s="1" t="n">
        <v>44609</v>
      </c>
      <c r="C377" s="1" t="n">
        <v>46130</v>
      </c>
      <c r="D377" t="inlineStr">
        <is>
          <t>UPPSALA LÄN</t>
        </is>
      </c>
      <c r="E377" t="inlineStr">
        <is>
          <t>ENKÖPING</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17657-2025</t>
        </is>
      </c>
      <c r="B378" s="1" t="n">
        <v>45758.35006944444</v>
      </c>
      <c r="C378" s="1" t="n">
        <v>46130</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13590-2026</t>
        </is>
      </c>
      <c r="B379" s="1" t="n">
        <v>46096</v>
      </c>
      <c r="C379" s="1" t="n">
        <v>46130</v>
      </c>
      <c r="D379" t="inlineStr">
        <is>
          <t>UPPSALA LÄN</t>
        </is>
      </c>
      <c r="E379" t="inlineStr">
        <is>
          <t>ENKÖPING</t>
        </is>
      </c>
      <c r="G379" t="n">
        <v>2.3</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46130</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15939-2022</t>
        </is>
      </c>
      <c r="B381" s="1" t="n">
        <v>44664</v>
      </c>
      <c r="C381" s="1" t="n">
        <v>46130</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14260-2026</t>
        </is>
      </c>
      <c r="B382" s="1" t="n">
        <v>46099.63395833333</v>
      </c>
      <c r="C382" s="1" t="n">
        <v>46130</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7175-2026</t>
        </is>
      </c>
      <c r="B383" s="1" t="n">
        <v>46058.46399305556</v>
      </c>
      <c r="C383" s="1" t="n">
        <v>46130</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50394-2024</t>
        </is>
      </c>
      <c r="B384" s="1" t="n">
        <v>45600</v>
      </c>
      <c r="C384" s="1" t="n">
        <v>46130</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7167-2026</t>
        </is>
      </c>
      <c r="B385" s="1" t="n">
        <v>46058.45677083333</v>
      </c>
      <c r="C385" s="1" t="n">
        <v>46130</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14296-2026</t>
        </is>
      </c>
      <c r="B386" s="1" t="n">
        <v>46099.7181712963</v>
      </c>
      <c r="C386" s="1" t="n">
        <v>46130</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72840-2021</t>
        </is>
      </c>
      <c r="B387" s="1" t="n">
        <v>44547</v>
      </c>
      <c r="C387" s="1" t="n">
        <v>46130</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7008-2026</t>
        </is>
      </c>
      <c r="B388" s="1" t="n">
        <v>46057.63806712963</v>
      </c>
      <c r="C388" s="1" t="n">
        <v>46130</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14182-2026</t>
        </is>
      </c>
      <c r="B389" s="1" t="n">
        <v>46099.49839120371</v>
      </c>
      <c r="C389" s="1" t="n">
        <v>46130</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7172-2026</t>
        </is>
      </c>
      <c r="B390" s="1" t="n">
        <v>46058.46113425926</v>
      </c>
      <c r="C390" s="1" t="n">
        <v>46130</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14178-2026</t>
        </is>
      </c>
      <c r="B391" s="1" t="n">
        <v>46099.49608796297</v>
      </c>
      <c r="C391" s="1" t="n">
        <v>46130</v>
      </c>
      <c r="D391" t="inlineStr">
        <is>
          <t>UPPSALA LÄN</t>
        </is>
      </c>
      <c r="E391" t="inlineStr">
        <is>
          <t>ENKÖPING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7168-2026</t>
        </is>
      </c>
      <c r="B392" s="1" t="n">
        <v>46058.45831018518</v>
      </c>
      <c r="C392" s="1" t="n">
        <v>46130</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37870-2023</t>
        </is>
      </c>
      <c r="B393" s="1" t="n">
        <v>45160.41996527778</v>
      </c>
      <c r="C393" s="1" t="n">
        <v>46130</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44603.59520833333</v>
      </c>
      <c r="C394" s="1" t="n">
        <v>46130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49063-2024</t>
        </is>
      </c>
      <c r="B395" s="1" t="n">
        <v>45594.59869212963</v>
      </c>
      <c r="C395" s="1" t="n">
        <v>46130</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15003-2026</t>
        </is>
      </c>
      <c r="B396" s="1" t="n">
        <v>46104.60931712963</v>
      </c>
      <c r="C396" s="1" t="n">
        <v>46130</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14083-2025</t>
        </is>
      </c>
      <c r="B397" s="1" t="n">
        <v>45740</v>
      </c>
      <c r="C397" s="1" t="n">
        <v>46130</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19298-2023</t>
        </is>
      </c>
      <c r="B398" s="1" t="n">
        <v>45048</v>
      </c>
      <c r="C398" s="1" t="n">
        <v>46130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14229-2026</t>
        </is>
      </c>
      <c r="B399" s="1" t="n">
        <v>46099</v>
      </c>
      <c r="C399" s="1" t="n">
        <v>46130</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15409-2025</t>
        </is>
      </c>
      <c r="B400" s="1" t="n">
        <v>45747</v>
      </c>
      <c r="C400" s="1" t="n">
        <v>46130</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15547-2026</t>
        </is>
      </c>
      <c r="B401" s="1" t="n">
        <v>46106.52613425926</v>
      </c>
      <c r="C401" s="1" t="n">
        <v>46130</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8309-2026</t>
        </is>
      </c>
      <c r="B402" s="1" t="n">
        <v>46064.59081018518</v>
      </c>
      <c r="C402" s="1" t="n">
        <v>46130</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34617-2022</t>
        </is>
      </c>
      <c r="B403" s="1" t="n">
        <v>44795</v>
      </c>
      <c r="C403" s="1" t="n">
        <v>46130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40202-2024</t>
        </is>
      </c>
      <c r="B404" s="1" t="n">
        <v>45554</v>
      </c>
      <c r="C404" s="1" t="n">
        <v>46130</v>
      </c>
      <c r="D404" t="inlineStr">
        <is>
          <t>UPPSALA LÄN</t>
        </is>
      </c>
      <c r="E404" t="inlineStr">
        <is>
          <t>ENKÖPING</t>
        </is>
      </c>
      <c r="G404" t="n">
        <v>6.2</v>
      </c>
      <c r="H404" t="n">
        <v>0</v>
      </c>
      <c r="I404" t="n">
        <v>0</v>
      </c>
      <c r="J404" t="n">
        <v>0</v>
      </c>
      <c r="K404" t="n">
        <v>0</v>
      </c>
      <c r="L404" t="n">
        <v>0</v>
      </c>
      <c r="M404" t="n">
        <v>0</v>
      </c>
      <c r="N404" t="n">
        <v>0</v>
      </c>
      <c r="O404" t="n">
        <v>0</v>
      </c>
      <c r="P404" t="n">
        <v>0</v>
      </c>
      <c r="Q404" t="n">
        <v>0</v>
      </c>
      <c r="R404" s="2" t="inlineStr"/>
    </row>
    <row r="405" ht="15" customHeight="1">
      <c r="A405" t="inlineStr">
        <is>
          <t>A 40223-2024</t>
        </is>
      </c>
      <c r="B405" s="1" t="n">
        <v>45554</v>
      </c>
      <c r="C405" s="1" t="n">
        <v>46130</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69879-2021</t>
        </is>
      </c>
      <c r="B406" s="1" t="n">
        <v>44532</v>
      </c>
      <c r="C406" s="1" t="n">
        <v>46130</v>
      </c>
      <c r="D406" t="inlineStr">
        <is>
          <t>UPPSALA LÄN</t>
        </is>
      </c>
      <c r="E406" t="inlineStr">
        <is>
          <t>ENKÖPING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19013-2025</t>
        </is>
      </c>
      <c r="B407" s="1" t="n">
        <v>45764.59533564815</v>
      </c>
      <c r="C407" s="1" t="n">
        <v>46130</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57335-2024</t>
        </is>
      </c>
      <c r="B408" s="1" t="n">
        <v>45629.63302083333</v>
      </c>
      <c r="C408" s="1" t="n">
        <v>46130</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14298-2026</t>
        </is>
      </c>
      <c r="B409" s="1" t="n">
        <v>46099</v>
      </c>
      <c r="C409" s="1" t="n">
        <v>46130</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23301-2024</t>
        </is>
      </c>
      <c r="B410" s="1" t="n">
        <v>45453.4396412037</v>
      </c>
      <c r="C410" s="1" t="n">
        <v>46130</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2833-2025</t>
        </is>
      </c>
      <c r="B411" s="1" t="n">
        <v>45677.63206018518</v>
      </c>
      <c r="C411" s="1" t="n">
        <v>46130</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33619-2022</t>
        </is>
      </c>
      <c r="B412" s="1" t="n">
        <v>44789</v>
      </c>
      <c r="C412" s="1" t="n">
        <v>46130</v>
      </c>
      <c r="D412" t="inlineStr">
        <is>
          <t>UPPSALA LÄN</t>
        </is>
      </c>
      <c r="E412" t="inlineStr">
        <is>
          <t>ENKÖPING</t>
        </is>
      </c>
      <c r="F412" t="inlineStr">
        <is>
          <t>Allmännings- och besparingsskogar</t>
        </is>
      </c>
      <c r="G412" t="n">
        <v>4.5</v>
      </c>
      <c r="H412" t="n">
        <v>0</v>
      </c>
      <c r="I412" t="n">
        <v>0</v>
      </c>
      <c r="J412" t="n">
        <v>0</v>
      </c>
      <c r="K412" t="n">
        <v>0</v>
      </c>
      <c r="L412" t="n">
        <v>0</v>
      </c>
      <c r="M412" t="n">
        <v>0</v>
      </c>
      <c r="N412" t="n">
        <v>0</v>
      </c>
      <c r="O412" t="n">
        <v>0</v>
      </c>
      <c r="P412" t="n">
        <v>0</v>
      </c>
      <c r="Q412" t="n">
        <v>0</v>
      </c>
      <c r="R412" s="2" t="inlineStr"/>
    </row>
    <row r="413" ht="15" customHeight="1">
      <c r="A413" t="inlineStr">
        <is>
          <t>A 31604-2023</t>
        </is>
      </c>
      <c r="B413" s="1" t="n">
        <v>45117.50368055556</v>
      </c>
      <c r="C413" s="1" t="n">
        <v>46130</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9257-2026</t>
        </is>
      </c>
      <c r="B414" s="1" t="n">
        <v>46070.51166666667</v>
      </c>
      <c r="C414" s="1" t="n">
        <v>46130</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9148-2026</t>
        </is>
      </c>
      <c r="B415" s="1" t="n">
        <v>46070.30946759259</v>
      </c>
      <c r="C415" s="1" t="n">
        <v>46130</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59602-2024</t>
        </is>
      </c>
      <c r="B416" s="1" t="n">
        <v>45638</v>
      </c>
      <c r="C416" s="1" t="n">
        <v>46130</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14243-2025</t>
        </is>
      </c>
      <c r="B417" s="1" t="n">
        <v>45740.61288194444</v>
      </c>
      <c r="C417" s="1" t="n">
        <v>46130</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19488-2022</t>
        </is>
      </c>
      <c r="B418" s="1" t="n">
        <v>44693</v>
      </c>
      <c r="C418" s="1" t="n">
        <v>46130</v>
      </c>
      <c r="D418" t="inlineStr">
        <is>
          <t>UPPSALA LÄN</t>
        </is>
      </c>
      <c r="E418" t="inlineStr">
        <is>
          <t>ENKÖPING</t>
        </is>
      </c>
      <c r="G418" t="n">
        <v>7.8</v>
      </c>
      <c r="H418" t="n">
        <v>0</v>
      </c>
      <c r="I418" t="n">
        <v>0</v>
      </c>
      <c r="J418" t="n">
        <v>0</v>
      </c>
      <c r="K418" t="n">
        <v>0</v>
      </c>
      <c r="L418" t="n">
        <v>0</v>
      </c>
      <c r="M418" t="n">
        <v>0</v>
      </c>
      <c r="N418" t="n">
        <v>0</v>
      </c>
      <c r="O418" t="n">
        <v>0</v>
      </c>
      <c r="P418" t="n">
        <v>0</v>
      </c>
      <c r="Q418" t="n">
        <v>0</v>
      </c>
      <c r="R418" s="2" t="inlineStr"/>
    </row>
    <row r="419" ht="15" customHeight="1">
      <c r="A419" t="inlineStr">
        <is>
          <t>A 9467-2026</t>
        </is>
      </c>
      <c r="B419" s="1" t="n">
        <v>46071.50694444445</v>
      </c>
      <c r="C419" s="1" t="n">
        <v>46130</v>
      </c>
      <c r="D419" t="inlineStr">
        <is>
          <t>UPPSALA LÄN</t>
        </is>
      </c>
      <c r="E419" t="inlineStr">
        <is>
          <t>ENKÖPING</t>
        </is>
      </c>
      <c r="G419" t="n">
        <v>5.9</v>
      </c>
      <c r="H419" t="n">
        <v>0</v>
      </c>
      <c r="I419" t="n">
        <v>0</v>
      </c>
      <c r="J419" t="n">
        <v>0</v>
      </c>
      <c r="K419" t="n">
        <v>0</v>
      </c>
      <c r="L419" t="n">
        <v>0</v>
      </c>
      <c r="M419" t="n">
        <v>0</v>
      </c>
      <c r="N419" t="n">
        <v>0</v>
      </c>
      <c r="O419" t="n">
        <v>0</v>
      </c>
      <c r="P419" t="n">
        <v>0</v>
      </c>
      <c r="Q419" t="n">
        <v>0</v>
      </c>
      <c r="R419" s="2" t="inlineStr"/>
    </row>
    <row r="420" ht="15" customHeight="1">
      <c r="A420" t="inlineStr">
        <is>
          <t>A 9474-2026</t>
        </is>
      </c>
      <c r="B420" s="1" t="n">
        <v>46071.52324074074</v>
      </c>
      <c r="C420" s="1" t="n">
        <v>46130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41826-2024</t>
        </is>
      </c>
      <c r="B421" s="1" t="n">
        <v>45561</v>
      </c>
      <c r="C421" s="1" t="n">
        <v>46130</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46130</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46130</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9469-2026</t>
        </is>
      </c>
      <c r="B424" s="1" t="n">
        <v>46071.51248842593</v>
      </c>
      <c r="C424" s="1" t="n">
        <v>46130</v>
      </c>
      <c r="D424" t="inlineStr">
        <is>
          <t>UPPSALA LÄN</t>
        </is>
      </c>
      <c r="E424" t="inlineStr">
        <is>
          <t>ENKÖPING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30634-2022</t>
        </is>
      </c>
      <c r="B425" s="1" t="n">
        <v>44763.45711805556</v>
      </c>
      <c r="C425" s="1" t="n">
        <v>46130</v>
      </c>
      <c r="D425" t="inlineStr">
        <is>
          <t>UPPSALA LÄN</t>
        </is>
      </c>
      <c r="E425" t="inlineStr">
        <is>
          <t>ENKÖPING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3300-2025</t>
        </is>
      </c>
      <c r="B426" s="1" t="n">
        <v>45679</v>
      </c>
      <c r="C426" s="1" t="n">
        <v>46130</v>
      </c>
      <c r="D426" t="inlineStr">
        <is>
          <t>UPPSALA LÄN</t>
        </is>
      </c>
      <c r="E426" t="inlineStr">
        <is>
          <t>ENKÖPING</t>
        </is>
      </c>
      <c r="G426" t="n">
        <v>8.9</v>
      </c>
      <c r="H426" t="n">
        <v>0</v>
      </c>
      <c r="I426" t="n">
        <v>0</v>
      </c>
      <c r="J426" t="n">
        <v>0</v>
      </c>
      <c r="K426" t="n">
        <v>0</v>
      </c>
      <c r="L426" t="n">
        <v>0</v>
      </c>
      <c r="M426" t="n">
        <v>0</v>
      </c>
      <c r="N426" t="n">
        <v>0</v>
      </c>
      <c r="O426" t="n">
        <v>0</v>
      </c>
      <c r="P426" t="n">
        <v>0</v>
      </c>
      <c r="Q426" t="n">
        <v>0</v>
      </c>
      <c r="R426" s="2" t="inlineStr"/>
    </row>
    <row r="427" ht="15" customHeight="1">
      <c r="A427" t="inlineStr">
        <is>
          <t>A 60125-2024</t>
        </is>
      </c>
      <c r="B427" s="1" t="n">
        <v>45642</v>
      </c>
      <c r="C427" s="1" t="n">
        <v>46130</v>
      </c>
      <c r="D427" t="inlineStr">
        <is>
          <t>UPPSALA LÄN</t>
        </is>
      </c>
      <c r="E427" t="inlineStr">
        <is>
          <t>ENKÖPING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51120-2023</t>
        </is>
      </c>
      <c r="B428" s="1" t="n">
        <v>45219.3088425926</v>
      </c>
      <c r="C428" s="1" t="n">
        <v>46130</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26319-2022</t>
        </is>
      </c>
      <c r="B429" s="1" t="n">
        <v>44735</v>
      </c>
      <c r="C429" s="1" t="n">
        <v>46130</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54357-2023</t>
        </is>
      </c>
      <c r="B430" s="1" t="n">
        <v>45225</v>
      </c>
      <c r="C430" s="1" t="n">
        <v>46130</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17418-2026</t>
        </is>
      </c>
      <c r="B431" s="1" t="n">
        <v>46120.3591087963</v>
      </c>
      <c r="C431" s="1" t="n">
        <v>46130</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17419-2026</t>
        </is>
      </c>
      <c r="B432" s="1" t="n">
        <v>46120.36064814815</v>
      </c>
      <c r="C432" s="1" t="n">
        <v>46130</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63402-2023</t>
        </is>
      </c>
      <c r="B433" s="1" t="n">
        <v>45274.50646990741</v>
      </c>
      <c r="C433" s="1" t="n">
        <v>46130</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53208-2023</t>
        </is>
      </c>
      <c r="B434" s="1" t="n">
        <v>45226</v>
      </c>
      <c r="C434" s="1" t="n">
        <v>46130</v>
      </c>
      <c r="D434" t="inlineStr">
        <is>
          <t>UPPSALA LÄN</t>
        </is>
      </c>
      <c r="E434" t="inlineStr">
        <is>
          <t>ENKÖPING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46130</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62158-2023</t>
        </is>
      </c>
      <c r="B436" s="1" t="n">
        <v>45267</v>
      </c>
      <c r="C436" s="1" t="n">
        <v>46130</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60874-2023</t>
        </is>
      </c>
      <c r="B437" s="1" t="n">
        <v>45261.06280092592</v>
      </c>
      <c r="C437" s="1" t="n">
        <v>46130</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18565-2026</t>
        </is>
      </c>
      <c r="B438" s="1" t="n">
        <v>46127.5871412037</v>
      </c>
      <c r="C438" s="1" t="n">
        <v>46130</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3550-2023</t>
        </is>
      </c>
      <c r="B439" s="1" t="n">
        <v>44950</v>
      </c>
      <c r="C439" s="1" t="n">
        <v>46130</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26292-2022</t>
        </is>
      </c>
      <c r="B440" s="1" t="n">
        <v>44735</v>
      </c>
      <c r="C440" s="1" t="n">
        <v>46130</v>
      </c>
      <c r="D440" t="inlineStr">
        <is>
          <t>UPPSALA LÄN</t>
        </is>
      </c>
      <c r="E440" t="inlineStr">
        <is>
          <t>ENKÖPING</t>
        </is>
      </c>
      <c r="F440" t="inlineStr">
        <is>
          <t>Kyrkan</t>
        </is>
      </c>
      <c r="G440" t="n">
        <v>4.6</v>
      </c>
      <c r="H440" t="n">
        <v>0</v>
      </c>
      <c r="I440" t="n">
        <v>0</v>
      </c>
      <c r="J440" t="n">
        <v>0</v>
      </c>
      <c r="K440" t="n">
        <v>0</v>
      </c>
      <c r="L440" t="n">
        <v>0</v>
      </c>
      <c r="M440" t="n">
        <v>0</v>
      </c>
      <c r="N440" t="n">
        <v>0</v>
      </c>
      <c r="O440" t="n">
        <v>0</v>
      </c>
      <c r="P440" t="n">
        <v>0</v>
      </c>
      <c r="Q440" t="n">
        <v>0</v>
      </c>
      <c r="R440" s="2" t="inlineStr"/>
    </row>
    <row r="441" ht="15" customHeight="1">
      <c r="A441" t="inlineStr">
        <is>
          <t>A 18562-2026</t>
        </is>
      </c>
      <c r="B441" s="1" t="n">
        <v>46127</v>
      </c>
      <c r="C441" s="1" t="n">
        <v>46130</v>
      </c>
      <c r="D441" t="inlineStr">
        <is>
          <t>UPPSALA LÄN</t>
        </is>
      </c>
      <c r="E441" t="inlineStr">
        <is>
          <t>ENKÖPING</t>
        </is>
      </c>
      <c r="G441" t="n">
        <v>4</v>
      </c>
      <c r="H441" t="n">
        <v>0</v>
      </c>
      <c r="I441" t="n">
        <v>0</v>
      </c>
      <c r="J441" t="n">
        <v>0</v>
      </c>
      <c r="K441" t="n">
        <v>0</v>
      </c>
      <c r="L441" t="n">
        <v>0</v>
      </c>
      <c r="M441" t="n">
        <v>0</v>
      </c>
      <c r="N441" t="n">
        <v>0</v>
      </c>
      <c r="O441" t="n">
        <v>0</v>
      </c>
      <c r="P441" t="n">
        <v>0</v>
      </c>
      <c r="Q441" t="n">
        <v>0</v>
      </c>
      <c r="R441" s="2" t="inlineStr"/>
    </row>
    <row r="442" ht="15" customHeight="1">
      <c r="A442" t="inlineStr">
        <is>
          <t>A 18643-2026</t>
        </is>
      </c>
      <c r="B442" s="1" t="n">
        <v>46128.33024305556</v>
      </c>
      <c r="C442" s="1" t="n">
        <v>46130</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61207-2023</t>
        </is>
      </c>
      <c r="B443" s="1" t="n">
        <v>45264.39444444444</v>
      </c>
      <c r="C443" s="1" t="n">
        <v>46130</v>
      </c>
      <c r="D443" t="inlineStr">
        <is>
          <t>UPPSALA LÄN</t>
        </is>
      </c>
      <c r="E443" t="inlineStr">
        <is>
          <t>ENKÖPING</t>
        </is>
      </c>
      <c r="G443" t="n">
        <v>10.8</v>
      </c>
      <c r="H443" t="n">
        <v>0</v>
      </c>
      <c r="I443" t="n">
        <v>0</v>
      </c>
      <c r="J443" t="n">
        <v>0</v>
      </c>
      <c r="K443" t="n">
        <v>0</v>
      </c>
      <c r="L443" t="n">
        <v>0</v>
      </c>
      <c r="M443" t="n">
        <v>0</v>
      </c>
      <c r="N443" t="n">
        <v>0</v>
      </c>
      <c r="O443" t="n">
        <v>0</v>
      </c>
      <c r="P443" t="n">
        <v>0</v>
      </c>
      <c r="Q443" t="n">
        <v>0</v>
      </c>
      <c r="R443" s="2" t="inlineStr"/>
    </row>
    <row r="444" ht="15" customHeight="1">
      <c r="A444" t="inlineStr">
        <is>
          <t>A 18806-2026</t>
        </is>
      </c>
      <c r="B444" s="1" t="n">
        <v>46128.63238425926</v>
      </c>
      <c r="C444" s="1" t="n">
        <v>46130</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18644-2026</t>
        </is>
      </c>
      <c r="B445" s="1" t="n">
        <v>46128.33157407407</v>
      </c>
      <c r="C445" s="1" t="n">
        <v>46130</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840-2025</t>
        </is>
      </c>
      <c r="B446" s="1" t="n">
        <v>45665</v>
      </c>
      <c r="C446" s="1" t="n">
        <v>46130</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10458-2022</t>
        </is>
      </c>
      <c r="B447" s="1" t="n">
        <v>44623.56711805556</v>
      </c>
      <c r="C447" s="1" t="n">
        <v>46130</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45142-2023</t>
        </is>
      </c>
      <c r="B448" s="1" t="n">
        <v>45191.4702662037</v>
      </c>
      <c r="C448" s="1" t="n">
        <v>46130</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57998-2024</t>
        </is>
      </c>
      <c r="B449" s="1" t="n">
        <v>45631</v>
      </c>
      <c r="C449" s="1" t="n">
        <v>46130</v>
      </c>
      <c r="D449" t="inlineStr">
        <is>
          <t>UPPSALA LÄN</t>
        </is>
      </c>
      <c r="E449" t="inlineStr">
        <is>
          <t>ENKÖPING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14332-2024</t>
        </is>
      </c>
      <c r="B450" s="1" t="n">
        <v>45393</v>
      </c>
      <c r="C450" s="1" t="n">
        <v>46130</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18831-2023</t>
        </is>
      </c>
      <c r="B451" s="1" t="n">
        <v>45044.40798611111</v>
      </c>
      <c r="C451" s="1" t="n">
        <v>46130</v>
      </c>
      <c r="D451" t="inlineStr">
        <is>
          <t>UPPSALA LÄN</t>
        </is>
      </c>
      <c r="E451" t="inlineStr">
        <is>
          <t>ENKÖPING</t>
        </is>
      </c>
      <c r="G451" t="n">
        <v>4.3</v>
      </c>
      <c r="H451" t="n">
        <v>0</v>
      </c>
      <c r="I451" t="n">
        <v>0</v>
      </c>
      <c r="J451" t="n">
        <v>0</v>
      </c>
      <c r="K451" t="n">
        <v>0</v>
      </c>
      <c r="L451" t="n">
        <v>0</v>
      </c>
      <c r="M451" t="n">
        <v>0</v>
      </c>
      <c r="N451" t="n">
        <v>0</v>
      </c>
      <c r="O451" t="n">
        <v>0</v>
      </c>
      <c r="P451" t="n">
        <v>0</v>
      </c>
      <c r="Q451" t="n">
        <v>0</v>
      </c>
      <c r="R451" s="2" t="inlineStr"/>
    </row>
    <row r="452" ht="15" customHeight="1">
      <c r="A452" t="inlineStr">
        <is>
          <t>A 33581-2023</t>
        </is>
      </c>
      <c r="B452" s="1" t="n">
        <v>45131</v>
      </c>
      <c r="C452" s="1" t="n">
        <v>46130</v>
      </c>
      <c r="D452" t="inlineStr">
        <is>
          <t>UPPSALA LÄN</t>
        </is>
      </c>
      <c r="E452" t="inlineStr">
        <is>
          <t>ENKÖPING</t>
        </is>
      </c>
      <c r="G452" t="n">
        <v>3.5</v>
      </c>
      <c r="H452" t="n">
        <v>0</v>
      </c>
      <c r="I452" t="n">
        <v>0</v>
      </c>
      <c r="J452" t="n">
        <v>0</v>
      </c>
      <c r="K452" t="n">
        <v>0</v>
      </c>
      <c r="L452" t="n">
        <v>0</v>
      </c>
      <c r="M452" t="n">
        <v>0</v>
      </c>
      <c r="N452" t="n">
        <v>0</v>
      </c>
      <c r="O452" t="n">
        <v>0</v>
      </c>
      <c r="P452" t="n">
        <v>0</v>
      </c>
      <c r="Q452" t="n">
        <v>0</v>
      </c>
      <c r="R452" s="2" t="inlineStr"/>
    </row>
    <row r="453" ht="15" customHeight="1">
      <c r="A453" t="inlineStr">
        <is>
          <t>A 37115-2024</t>
        </is>
      </c>
      <c r="B453" s="1" t="n">
        <v>45539</v>
      </c>
      <c r="C453" s="1" t="n">
        <v>46130</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1960-2022</t>
        </is>
      </c>
      <c r="B454" s="1" t="n">
        <v>44575</v>
      </c>
      <c r="C454" s="1" t="n">
        <v>46130</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18028-2023</t>
        </is>
      </c>
      <c r="B455" s="1" t="n">
        <v>45040</v>
      </c>
      <c r="C455" s="1" t="n">
        <v>46130</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44862.32791666667</v>
      </c>
      <c r="C456" s="1" t="n">
        <v>46130</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42459-2024</t>
        </is>
      </c>
      <c r="B457" s="1" t="n">
        <v>45565</v>
      </c>
      <c r="C457" s="1" t="n">
        <v>46130</v>
      </c>
      <c r="D457" t="inlineStr">
        <is>
          <t>UPPSALA LÄN</t>
        </is>
      </c>
      <c r="E457" t="inlineStr">
        <is>
          <t>ENKÖPING</t>
        </is>
      </c>
      <c r="G457" t="n">
        <v>3.6</v>
      </c>
      <c r="H457" t="n">
        <v>0</v>
      </c>
      <c r="I457" t="n">
        <v>0</v>
      </c>
      <c r="J457" t="n">
        <v>0</v>
      </c>
      <c r="K457" t="n">
        <v>0</v>
      </c>
      <c r="L457" t="n">
        <v>0</v>
      </c>
      <c r="M457" t="n">
        <v>0</v>
      </c>
      <c r="N457" t="n">
        <v>0</v>
      </c>
      <c r="O457" t="n">
        <v>0</v>
      </c>
      <c r="P457" t="n">
        <v>0</v>
      </c>
      <c r="Q457" t="n">
        <v>0</v>
      </c>
      <c r="R457" s="2" t="inlineStr"/>
    </row>
    <row r="458" ht="15" customHeight="1">
      <c r="A458" t="inlineStr">
        <is>
          <t>A 48864-2022</t>
        </is>
      </c>
      <c r="B458" s="1" t="n">
        <v>44859</v>
      </c>
      <c r="C458" s="1" t="n">
        <v>46130</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31622-2022</t>
        </is>
      </c>
      <c r="B459" s="1" t="n">
        <v>44775</v>
      </c>
      <c r="C459" s="1" t="n">
        <v>46130</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6356-2022</t>
        </is>
      </c>
      <c r="B460" s="1" t="n">
        <v>44600</v>
      </c>
      <c r="C460" s="1" t="n">
        <v>46130</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57147-2021</t>
        </is>
      </c>
      <c r="B461" s="1" t="n">
        <v>44482</v>
      </c>
      <c r="C461" s="1" t="n">
        <v>46130</v>
      </c>
      <c r="D461" t="inlineStr">
        <is>
          <t>UPPSALA LÄN</t>
        </is>
      </c>
      <c r="E461" t="inlineStr">
        <is>
          <t>ENKÖPING</t>
        </is>
      </c>
      <c r="G461" t="n">
        <v>5.7</v>
      </c>
      <c r="H461" t="n">
        <v>0</v>
      </c>
      <c r="I461" t="n">
        <v>0</v>
      </c>
      <c r="J461" t="n">
        <v>0</v>
      </c>
      <c r="K461" t="n">
        <v>0</v>
      </c>
      <c r="L461" t="n">
        <v>0</v>
      </c>
      <c r="M461" t="n">
        <v>0</v>
      </c>
      <c r="N461" t="n">
        <v>0</v>
      </c>
      <c r="O461" t="n">
        <v>0</v>
      </c>
      <c r="P461" t="n">
        <v>0</v>
      </c>
      <c r="Q461" t="n">
        <v>0</v>
      </c>
      <c r="R461" s="2" t="inlineStr"/>
    </row>
    <row r="462" ht="15" customHeight="1">
      <c r="A462" t="inlineStr">
        <is>
          <t>A 47909-2024</t>
        </is>
      </c>
      <c r="B462" s="1" t="n">
        <v>45589.31866898148</v>
      </c>
      <c r="C462" s="1" t="n">
        <v>46130</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52005-2024</t>
        </is>
      </c>
      <c r="B463" s="1" t="n">
        <v>45607.7627662037</v>
      </c>
      <c r="C463" s="1" t="n">
        <v>46130</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53586-2024</t>
        </is>
      </c>
      <c r="B464" s="1" t="n">
        <v>45614</v>
      </c>
      <c r="C464" s="1" t="n">
        <v>46130</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51034-2024</t>
        </is>
      </c>
      <c r="B465" s="1" t="n">
        <v>45603.4262037037</v>
      </c>
      <c r="C465" s="1" t="n">
        <v>46130</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51036-2024</t>
        </is>
      </c>
      <c r="B466" s="1" t="n">
        <v>45603.42839120371</v>
      </c>
      <c r="C466" s="1" t="n">
        <v>46130</v>
      </c>
      <c r="D466" t="inlineStr">
        <is>
          <t>UPPSALA LÄN</t>
        </is>
      </c>
      <c r="E466" t="inlineStr">
        <is>
          <t>ENKÖPING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43492-2023</t>
        </is>
      </c>
      <c r="B467" s="1" t="n">
        <v>45181</v>
      </c>
      <c r="C467" s="1" t="n">
        <v>46130</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1536-2024</t>
        </is>
      </c>
      <c r="B468" s="1" t="n">
        <v>45306</v>
      </c>
      <c r="C468" s="1" t="n">
        <v>46130</v>
      </c>
      <c r="D468" t="inlineStr">
        <is>
          <t>UPPSALA LÄN</t>
        </is>
      </c>
      <c r="E468" t="inlineStr">
        <is>
          <t>ENKÖPING</t>
        </is>
      </c>
      <c r="F468" t="inlineStr">
        <is>
          <t>Kyrkan</t>
        </is>
      </c>
      <c r="G468" t="n">
        <v>5.6</v>
      </c>
      <c r="H468" t="n">
        <v>0</v>
      </c>
      <c r="I468" t="n">
        <v>0</v>
      </c>
      <c r="J468" t="n">
        <v>0</v>
      </c>
      <c r="K468" t="n">
        <v>0</v>
      </c>
      <c r="L468" t="n">
        <v>0</v>
      </c>
      <c r="M468" t="n">
        <v>0</v>
      </c>
      <c r="N468" t="n">
        <v>0</v>
      </c>
      <c r="O468" t="n">
        <v>0</v>
      </c>
      <c r="P468" t="n">
        <v>0</v>
      </c>
      <c r="Q468" t="n">
        <v>0</v>
      </c>
      <c r="R468" s="2" t="inlineStr"/>
    </row>
    <row r="469" ht="15" customHeight="1">
      <c r="A469" t="inlineStr">
        <is>
          <t>A 2974-2025</t>
        </is>
      </c>
      <c r="B469" s="1" t="n">
        <v>45678.47168981482</v>
      </c>
      <c r="C469" s="1" t="n">
        <v>46130</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16916-2023</t>
        </is>
      </c>
      <c r="B470" s="1" t="n">
        <v>45033.58347222222</v>
      </c>
      <c r="C470" s="1" t="n">
        <v>46130</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16920-2023</t>
        </is>
      </c>
      <c r="B471" s="1" t="n">
        <v>45033.59030092593</v>
      </c>
      <c r="C471" s="1" t="n">
        <v>46130</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52388-2024</t>
        </is>
      </c>
      <c r="B472" s="1" t="n">
        <v>45609.42939814815</v>
      </c>
      <c r="C472" s="1" t="n">
        <v>46130</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1992-2022</t>
        </is>
      </c>
      <c r="B473" s="1" t="n">
        <v>44575.56153935185</v>
      </c>
      <c r="C473" s="1" t="n">
        <v>46130</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6626-2023</t>
        </is>
      </c>
      <c r="B474" s="1" t="n">
        <v>44966.55946759259</v>
      </c>
      <c r="C474" s="1" t="n">
        <v>46130</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48843-2023</t>
        </is>
      </c>
      <c r="B475" s="1" t="n">
        <v>45209</v>
      </c>
      <c r="C475" s="1" t="n">
        <v>46130</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46130</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35079-2024</t>
        </is>
      </c>
      <c r="B477" s="1" t="n">
        <v>45527.66770833333</v>
      </c>
      <c r="C477" s="1" t="n">
        <v>46130</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53595-2023</t>
        </is>
      </c>
      <c r="B478" s="1" t="n">
        <v>45223</v>
      </c>
      <c r="C478" s="1" t="n">
        <v>46130</v>
      </c>
      <c r="D478" t="inlineStr">
        <is>
          <t>UPPSALA LÄN</t>
        </is>
      </c>
      <c r="E478" t="inlineStr">
        <is>
          <t>ENKÖPING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60533-2021</t>
        </is>
      </c>
      <c r="B479" s="1" t="n">
        <v>44496</v>
      </c>
      <c r="C479" s="1" t="n">
        <v>46130</v>
      </c>
      <c r="D479" t="inlineStr">
        <is>
          <t>UPPSALA LÄN</t>
        </is>
      </c>
      <c r="E479" t="inlineStr">
        <is>
          <t>ENKÖPING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15757-2023</t>
        </is>
      </c>
      <c r="B480" s="1" t="n">
        <v>45021</v>
      </c>
      <c r="C480" s="1" t="n">
        <v>46130</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43230-2023</t>
        </is>
      </c>
      <c r="B481" s="1" t="n">
        <v>45183</v>
      </c>
      <c r="C481" s="1" t="n">
        <v>46130</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56886-2023</t>
        </is>
      </c>
      <c r="B482" s="1" t="n">
        <v>45239</v>
      </c>
      <c r="C482" s="1" t="n">
        <v>46130</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51011-2024</t>
        </is>
      </c>
      <c r="B483" s="1" t="n">
        <v>45603.39427083333</v>
      </c>
      <c r="C483" s="1" t="n">
        <v>46130</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12102-2024</t>
        </is>
      </c>
      <c r="B484" s="1" t="n">
        <v>45377</v>
      </c>
      <c r="C484" s="1" t="n">
        <v>46130</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58961-2024</t>
        </is>
      </c>
      <c r="B485" s="1" t="n">
        <v>45636.585</v>
      </c>
      <c r="C485" s="1" t="n">
        <v>46130</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45283-2022</t>
        </is>
      </c>
      <c r="B486" s="1" t="n">
        <v>44844</v>
      </c>
      <c r="C486" s="1" t="n">
        <v>46130</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845-2025</t>
        </is>
      </c>
      <c r="B487" s="1" t="n">
        <v>45665</v>
      </c>
      <c r="C487" s="1" t="n">
        <v>46130</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849-2025</t>
        </is>
      </c>
      <c r="B488" s="1" t="n">
        <v>45665</v>
      </c>
      <c r="C488" s="1" t="n">
        <v>46130</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58147-2024</t>
        </is>
      </c>
      <c r="B489" s="1" t="n">
        <v>45632.4334375</v>
      </c>
      <c r="C489" s="1" t="n">
        <v>46130</v>
      </c>
      <c r="D489" t="inlineStr">
        <is>
          <t>UPPSALA LÄN</t>
        </is>
      </c>
      <c r="E489" t="inlineStr">
        <is>
          <t>ENKÖPING</t>
        </is>
      </c>
      <c r="G489" t="n">
        <v>3</v>
      </c>
      <c r="H489" t="n">
        <v>0</v>
      </c>
      <c r="I489" t="n">
        <v>0</v>
      </c>
      <c r="J489" t="n">
        <v>0</v>
      </c>
      <c r="K489" t="n">
        <v>0</v>
      </c>
      <c r="L489" t="n">
        <v>0</v>
      </c>
      <c r="M489" t="n">
        <v>0</v>
      </c>
      <c r="N489" t="n">
        <v>0</v>
      </c>
      <c r="O489" t="n">
        <v>0</v>
      </c>
      <c r="P489" t="n">
        <v>0</v>
      </c>
      <c r="Q489" t="n">
        <v>0</v>
      </c>
      <c r="R489" s="2" t="inlineStr"/>
    </row>
    <row r="490" ht="15" customHeight="1">
      <c r="A490" t="inlineStr">
        <is>
          <t>A 18302-2025</t>
        </is>
      </c>
      <c r="B490" s="1" t="n">
        <v>45762</v>
      </c>
      <c r="C490" s="1" t="n">
        <v>46130</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34735-2023</t>
        </is>
      </c>
      <c r="B491" s="1" t="n">
        <v>45139</v>
      </c>
      <c r="C491" s="1" t="n">
        <v>46130</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30514-2021</t>
        </is>
      </c>
      <c r="B492" s="1" t="n">
        <v>44364</v>
      </c>
      <c r="C492" s="1" t="n">
        <v>46130</v>
      </c>
      <c r="D492" t="inlineStr">
        <is>
          <t>UPPSALA LÄN</t>
        </is>
      </c>
      <c r="E492" t="inlineStr">
        <is>
          <t>ENKÖPING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57209-2024</t>
        </is>
      </c>
      <c r="B493" s="1" t="n">
        <v>45629.49311342592</v>
      </c>
      <c r="C493" s="1" t="n">
        <v>46130</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13110-2023</t>
        </is>
      </c>
      <c r="B494" s="1" t="n">
        <v>45001</v>
      </c>
      <c r="C494" s="1" t="n">
        <v>46130</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49627-2024</t>
        </is>
      </c>
      <c r="B495" s="1" t="n">
        <v>45596.59140046296</v>
      </c>
      <c r="C495" s="1" t="n">
        <v>46130</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9231-2023</t>
        </is>
      </c>
      <c r="B496" s="1" t="n">
        <v>44980</v>
      </c>
      <c r="C496" s="1" t="n">
        <v>46130</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27538-2023</t>
        </is>
      </c>
      <c r="B497" s="1" t="n">
        <v>45097</v>
      </c>
      <c r="C497" s="1" t="n">
        <v>46130</v>
      </c>
      <c r="D497" t="inlineStr">
        <is>
          <t>UPPSALA LÄN</t>
        </is>
      </c>
      <c r="E497" t="inlineStr">
        <is>
          <t>ENKÖPING</t>
        </is>
      </c>
      <c r="G497" t="n">
        <v>5.8</v>
      </c>
      <c r="H497" t="n">
        <v>0</v>
      </c>
      <c r="I497" t="n">
        <v>0</v>
      </c>
      <c r="J497" t="n">
        <v>0</v>
      </c>
      <c r="K497" t="n">
        <v>0</v>
      </c>
      <c r="L497" t="n">
        <v>0</v>
      </c>
      <c r="M497" t="n">
        <v>0</v>
      </c>
      <c r="N497" t="n">
        <v>0</v>
      </c>
      <c r="O497" t="n">
        <v>0</v>
      </c>
      <c r="P497" t="n">
        <v>0</v>
      </c>
      <c r="Q497" t="n">
        <v>0</v>
      </c>
      <c r="R497" s="2" t="inlineStr"/>
    </row>
    <row r="498" ht="15" customHeight="1">
      <c r="A498" t="inlineStr">
        <is>
          <t>A 18821-2023</t>
        </is>
      </c>
      <c r="B498" s="1" t="n">
        <v>45044.3782175926</v>
      </c>
      <c r="C498" s="1" t="n">
        <v>46130</v>
      </c>
      <c r="D498" t="inlineStr">
        <is>
          <t>UPPSALA LÄN</t>
        </is>
      </c>
      <c r="E498" t="inlineStr">
        <is>
          <t>ENKÖPING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52380-2024</t>
        </is>
      </c>
      <c r="B499" s="1" t="n">
        <v>45609</v>
      </c>
      <c r="C499" s="1" t="n">
        <v>46130</v>
      </c>
      <c r="D499" t="inlineStr">
        <is>
          <t>UPPSALA LÄN</t>
        </is>
      </c>
      <c r="E499" t="inlineStr">
        <is>
          <t>ENKÖPING</t>
        </is>
      </c>
      <c r="G499" t="n">
        <v>1.8</v>
      </c>
      <c r="H499" t="n">
        <v>0</v>
      </c>
      <c r="I499" t="n">
        <v>0</v>
      </c>
      <c r="J499" t="n">
        <v>0</v>
      </c>
      <c r="K499" t="n">
        <v>0</v>
      </c>
      <c r="L499" t="n">
        <v>0</v>
      </c>
      <c r="M499" t="n">
        <v>0</v>
      </c>
      <c r="N499" t="n">
        <v>0</v>
      </c>
      <c r="O499" t="n">
        <v>0</v>
      </c>
      <c r="P499" t="n">
        <v>0</v>
      </c>
      <c r="Q499" t="n">
        <v>0</v>
      </c>
      <c r="R499" s="2" t="inlineStr"/>
    </row>
    <row r="500" ht="15" customHeight="1">
      <c r="A500" t="inlineStr">
        <is>
          <t>A 9041-2023</t>
        </is>
      </c>
      <c r="B500" s="1" t="n">
        <v>44979</v>
      </c>
      <c r="C500" s="1" t="n">
        <v>46130</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27786-2023</t>
        </is>
      </c>
      <c r="B501" s="1" t="n">
        <v>45098</v>
      </c>
      <c r="C501" s="1" t="n">
        <v>46130</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15942-2022</t>
        </is>
      </c>
      <c r="B502" s="1" t="n">
        <v>44664</v>
      </c>
      <c r="C502" s="1" t="n">
        <v>46130</v>
      </c>
      <c r="D502" t="inlineStr">
        <is>
          <t>UPPSALA LÄN</t>
        </is>
      </c>
      <c r="E502" t="inlineStr">
        <is>
          <t>ENKÖPING</t>
        </is>
      </c>
      <c r="G502" t="n">
        <v>6.6</v>
      </c>
      <c r="H502" t="n">
        <v>0</v>
      </c>
      <c r="I502" t="n">
        <v>0</v>
      </c>
      <c r="J502" t="n">
        <v>0</v>
      </c>
      <c r="K502" t="n">
        <v>0</v>
      </c>
      <c r="L502" t="n">
        <v>0</v>
      </c>
      <c r="M502" t="n">
        <v>0</v>
      </c>
      <c r="N502" t="n">
        <v>0</v>
      </c>
      <c r="O502" t="n">
        <v>0</v>
      </c>
      <c r="P502" t="n">
        <v>0</v>
      </c>
      <c r="Q502" t="n">
        <v>0</v>
      </c>
      <c r="R502" s="2" t="inlineStr"/>
    </row>
    <row r="503" ht="15" customHeight="1">
      <c r="A503" t="inlineStr">
        <is>
          <t>A 50006-2023</t>
        </is>
      </c>
      <c r="B503" s="1" t="n">
        <v>45215</v>
      </c>
      <c r="C503" s="1" t="n">
        <v>46130</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53607-2023</t>
        </is>
      </c>
      <c r="B504" s="1" t="n">
        <v>45230</v>
      </c>
      <c r="C504" s="1" t="n">
        <v>46130</v>
      </c>
      <c r="D504" t="inlineStr">
        <is>
          <t>UPPSALA LÄN</t>
        </is>
      </c>
      <c r="E504" t="inlineStr">
        <is>
          <t>ENKÖPING</t>
        </is>
      </c>
      <c r="F504" t="inlineStr">
        <is>
          <t>Allmännings- och besparingsskogar</t>
        </is>
      </c>
      <c r="G504" t="n">
        <v>6.3</v>
      </c>
      <c r="H504" t="n">
        <v>0</v>
      </c>
      <c r="I504" t="n">
        <v>0</v>
      </c>
      <c r="J504" t="n">
        <v>0</v>
      </c>
      <c r="K504" t="n">
        <v>0</v>
      </c>
      <c r="L504" t="n">
        <v>0</v>
      </c>
      <c r="M504" t="n">
        <v>0</v>
      </c>
      <c r="N504" t="n">
        <v>0</v>
      </c>
      <c r="O504" t="n">
        <v>0</v>
      </c>
      <c r="P504" t="n">
        <v>0</v>
      </c>
      <c r="Q504" t="n">
        <v>0</v>
      </c>
      <c r="R504" s="2" t="inlineStr"/>
    </row>
    <row r="505" ht="15" customHeight="1">
      <c r="A505" t="inlineStr">
        <is>
          <t>A 59497-2022</t>
        </is>
      </c>
      <c r="B505" s="1" t="n">
        <v>44907.48258101852</v>
      </c>
      <c r="C505" s="1" t="n">
        <v>46130</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49614-2024</t>
        </is>
      </c>
      <c r="B506" s="1" t="n">
        <v>45596.57716435185</v>
      </c>
      <c r="C506" s="1" t="n">
        <v>46130</v>
      </c>
      <c r="D506" t="inlineStr">
        <is>
          <t>UPPSALA LÄN</t>
        </is>
      </c>
      <c r="E506" t="inlineStr">
        <is>
          <t>ENKÖPING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49632-2024</t>
        </is>
      </c>
      <c r="B507" s="1" t="n">
        <v>45596</v>
      </c>
      <c r="C507" s="1" t="n">
        <v>46130</v>
      </c>
      <c r="D507" t="inlineStr">
        <is>
          <t>UPPSALA LÄN</t>
        </is>
      </c>
      <c r="E507" t="inlineStr">
        <is>
          <t>ENKÖPING</t>
        </is>
      </c>
      <c r="G507" t="n">
        <v>1.8</v>
      </c>
      <c r="H507" t="n">
        <v>0</v>
      </c>
      <c r="I507" t="n">
        <v>0</v>
      </c>
      <c r="J507" t="n">
        <v>0</v>
      </c>
      <c r="K507" t="n">
        <v>0</v>
      </c>
      <c r="L507" t="n">
        <v>0</v>
      </c>
      <c r="M507" t="n">
        <v>0</v>
      </c>
      <c r="N507" t="n">
        <v>0</v>
      </c>
      <c r="O507" t="n">
        <v>0</v>
      </c>
      <c r="P507" t="n">
        <v>0</v>
      </c>
      <c r="Q507" t="n">
        <v>0</v>
      </c>
      <c r="R507" s="2" t="inlineStr"/>
    </row>
    <row r="508" ht="15" customHeight="1">
      <c r="A508" t="inlineStr">
        <is>
          <t>A 51030-2024</t>
        </is>
      </c>
      <c r="B508" s="1" t="n">
        <v>45603</v>
      </c>
      <c r="C508" s="1" t="n">
        <v>46130</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15405-2025</t>
        </is>
      </c>
      <c r="B509" s="1" t="n">
        <v>45747.44670138889</v>
      </c>
      <c r="C509" s="1" t="n">
        <v>46130</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12878-2025</t>
        </is>
      </c>
      <c r="B510" s="1" t="n">
        <v>45733.68571759259</v>
      </c>
      <c r="C510" s="1" t="n">
        <v>46130</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52889-2022</t>
        </is>
      </c>
      <c r="B511" s="1" t="n">
        <v>44875</v>
      </c>
      <c r="C511" s="1" t="n">
        <v>46130</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47681-2024</t>
        </is>
      </c>
      <c r="B512" s="1" t="n">
        <v>45588</v>
      </c>
      <c r="C512" s="1" t="n">
        <v>46130</v>
      </c>
      <c r="D512" t="inlineStr">
        <is>
          <t>UPPSALA LÄN</t>
        </is>
      </c>
      <c r="E512" t="inlineStr">
        <is>
          <t>ENKÖPING</t>
        </is>
      </c>
      <c r="G512" t="n">
        <v>4.2</v>
      </c>
      <c r="H512" t="n">
        <v>0</v>
      </c>
      <c r="I512" t="n">
        <v>0</v>
      </c>
      <c r="J512" t="n">
        <v>0</v>
      </c>
      <c r="K512" t="n">
        <v>0</v>
      </c>
      <c r="L512" t="n">
        <v>0</v>
      </c>
      <c r="M512" t="n">
        <v>0</v>
      </c>
      <c r="N512" t="n">
        <v>0</v>
      </c>
      <c r="O512" t="n">
        <v>0</v>
      </c>
      <c r="P512" t="n">
        <v>0</v>
      </c>
      <c r="Q512" t="n">
        <v>0</v>
      </c>
      <c r="R512" s="2" t="inlineStr"/>
    </row>
    <row r="513" ht="15" customHeight="1">
      <c r="A513" t="inlineStr">
        <is>
          <t>A 12754-2025</t>
        </is>
      </c>
      <c r="B513" s="1" t="n">
        <v>45733.56331018519</v>
      </c>
      <c r="C513" s="1" t="n">
        <v>46130</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54588-2024</t>
        </is>
      </c>
      <c r="B514" s="1" t="n">
        <v>45617</v>
      </c>
      <c r="C514" s="1" t="n">
        <v>46130</v>
      </c>
      <c r="D514" t="inlineStr">
        <is>
          <t>UPPSALA LÄN</t>
        </is>
      </c>
      <c r="E514" t="inlineStr">
        <is>
          <t>ENKÖPING</t>
        </is>
      </c>
      <c r="G514" t="n">
        <v>3.7</v>
      </c>
      <c r="H514" t="n">
        <v>0</v>
      </c>
      <c r="I514" t="n">
        <v>0</v>
      </c>
      <c r="J514" t="n">
        <v>0</v>
      </c>
      <c r="K514" t="n">
        <v>0</v>
      </c>
      <c r="L514" t="n">
        <v>0</v>
      </c>
      <c r="M514" t="n">
        <v>0</v>
      </c>
      <c r="N514" t="n">
        <v>0</v>
      </c>
      <c r="O514" t="n">
        <v>0</v>
      </c>
      <c r="P514" t="n">
        <v>0</v>
      </c>
      <c r="Q514" t="n">
        <v>0</v>
      </c>
      <c r="R514" s="2" t="inlineStr"/>
    </row>
    <row r="515" ht="15" customHeight="1">
      <c r="A515" t="inlineStr">
        <is>
          <t>A 56713-2024</t>
        </is>
      </c>
      <c r="B515" s="1" t="n">
        <v>45628</v>
      </c>
      <c r="C515" s="1" t="n">
        <v>46130</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51524-2022</t>
        </is>
      </c>
      <c r="B516" s="1" t="n">
        <v>44869</v>
      </c>
      <c r="C516" s="1" t="n">
        <v>46130</v>
      </c>
      <c r="D516" t="inlineStr">
        <is>
          <t>UPPSALA LÄN</t>
        </is>
      </c>
      <c r="E516" t="inlineStr">
        <is>
          <t>ENKÖPING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8137-2025</t>
        </is>
      </c>
      <c r="B517" s="1" t="n">
        <v>45707.8561574074</v>
      </c>
      <c r="C517" s="1" t="n">
        <v>46130</v>
      </c>
      <c r="D517" t="inlineStr">
        <is>
          <t>UPPSALA LÄN</t>
        </is>
      </c>
      <c r="E517" t="inlineStr">
        <is>
          <t>ENKÖPING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7868-2024</t>
        </is>
      </c>
      <c r="B518" s="1" t="n">
        <v>45350.33020833333</v>
      </c>
      <c r="C518" s="1" t="n">
        <v>46130</v>
      </c>
      <c r="D518" t="inlineStr">
        <is>
          <t>UPPSALA LÄN</t>
        </is>
      </c>
      <c r="E518" t="inlineStr">
        <is>
          <t>ENKÖPING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51008-2024</t>
        </is>
      </c>
      <c r="B519" s="1" t="n">
        <v>45603.39041666667</v>
      </c>
      <c r="C519" s="1" t="n">
        <v>46130</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row r="520">
      <c r="A520" t="inlineStr">
        <is>
          <t>A 35052-2024</t>
        </is>
      </c>
      <c r="B520" s="1" t="n">
        <v>45527.6516087963</v>
      </c>
      <c r="C520" s="1" t="n">
        <v>46130</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2026-04-18T10:23:25Z</dcterms:created>
  <dcterms:modified xmlns:dcterms="http://purl.org/dc/terms/" xmlns:xsi="http://www.w3.org/2001/XMLSchema-instance" xsi:type="dcterms:W3CDTF">2026-04-18T10:23:25Z</dcterms:modified>
</cp:coreProperties>
</file>