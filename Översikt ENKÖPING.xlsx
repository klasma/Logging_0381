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45845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45845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45845</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45845</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45845</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45845</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45845</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45845</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45845</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45845</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45845</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45845</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45845</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45845</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45845</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45845</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45845</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45845</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45845</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45845</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45845</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45845</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45845</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45845</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45845</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45845</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45845</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45845</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45845</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45845</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45845</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45845</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45845</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45845</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45845</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45845</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45845</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45845</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45845</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45845</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45845</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45845</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45845</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45845</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45845</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45845</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45845</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45845</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45845</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45845</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45845</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45845</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45845</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45845</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45845</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45845</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45845</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45845</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45845</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45845</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45845</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45845</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45845</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45845</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26347-2025</t>
        </is>
      </c>
      <c r="B66" s="1" t="n">
        <v>45805</v>
      </c>
      <c r="C66" s="1" t="n">
        <v>45845</v>
      </c>
      <c r="D66" t="inlineStr">
        <is>
          <t>UPPSALA LÄN</t>
        </is>
      </c>
      <c r="E66" t="inlineStr">
        <is>
          <t>ENKÖPING</t>
        </is>
      </c>
      <c r="G66" t="n">
        <v>7.3</v>
      </c>
      <c r="H66" t="n">
        <v>1</v>
      </c>
      <c r="I66" t="n">
        <v>0</v>
      </c>
      <c r="J66" t="n">
        <v>0</v>
      </c>
      <c r="K66" t="n">
        <v>1</v>
      </c>
      <c r="L66" t="n">
        <v>0</v>
      </c>
      <c r="M66" t="n">
        <v>0</v>
      </c>
      <c r="N66" t="n">
        <v>0</v>
      </c>
      <c r="O66" t="n">
        <v>1</v>
      </c>
      <c r="P66" t="n">
        <v>1</v>
      </c>
      <c r="Q66" t="n">
        <v>1</v>
      </c>
      <c r="R66" s="2" t="inlineStr">
        <is>
          <t>Tofsvipa</t>
        </is>
      </c>
      <c r="S66">
        <f>HYPERLINK("https://klasma.github.io/Logging_030381/artfynd/A 26347-2025 artfynd.xlsx", "A 26347-2025")</f>
        <v/>
      </c>
      <c r="T66">
        <f>HYPERLINK("https://klasma.github.io/Logging_030381/kartor/A 26347-2025 karta.png", "A 26347-2025")</f>
        <v/>
      </c>
      <c r="V66">
        <f>HYPERLINK("https://klasma.github.io/Logging_030381/klagomål/A 26347-2025 FSC-klagomål.docx", "A 26347-2025")</f>
        <v/>
      </c>
      <c r="W66">
        <f>HYPERLINK("https://klasma.github.io/Logging_030381/klagomålsmail/A 26347-2025 FSC-klagomål mail.docx", "A 26347-2025")</f>
        <v/>
      </c>
      <c r="X66">
        <f>HYPERLINK("https://klasma.github.io/Logging_030381/tillsyn/A 26347-2025 tillsynsbegäran.docx", "A 26347-2025")</f>
        <v/>
      </c>
      <c r="Y66">
        <f>HYPERLINK("https://klasma.github.io/Logging_030381/tillsynsmail/A 26347-2025 tillsynsbegäran mail.docx", "A 26347-2025")</f>
        <v/>
      </c>
    </row>
    <row r="67" ht="15" customHeight="1">
      <c r="A67" t="inlineStr">
        <is>
          <t>A 27060-2025</t>
        </is>
      </c>
      <c r="B67" s="1" t="n">
        <v>45811</v>
      </c>
      <c r="C67" s="1" t="n">
        <v>45845</v>
      </c>
      <c r="D67" t="inlineStr">
        <is>
          <t>UPPSALA LÄN</t>
        </is>
      </c>
      <c r="E67" t="inlineStr">
        <is>
          <t>ENKÖPING</t>
        </is>
      </c>
      <c r="G67" t="n">
        <v>2.6</v>
      </c>
      <c r="H67" t="n">
        <v>0</v>
      </c>
      <c r="I67" t="n">
        <v>1</v>
      </c>
      <c r="J67" t="n">
        <v>0</v>
      </c>
      <c r="K67" t="n">
        <v>0</v>
      </c>
      <c r="L67" t="n">
        <v>0</v>
      </c>
      <c r="M67" t="n">
        <v>0</v>
      </c>
      <c r="N67" t="n">
        <v>0</v>
      </c>
      <c r="O67" t="n">
        <v>0</v>
      </c>
      <c r="P67" t="n">
        <v>0</v>
      </c>
      <c r="Q67" t="n">
        <v>1</v>
      </c>
      <c r="R67" s="2" t="inlineStr">
        <is>
          <t>Granbarkgnagare</t>
        </is>
      </c>
      <c r="S67">
        <f>HYPERLINK("https://klasma.github.io/Logging_030381/artfynd/A 27060-2025 artfynd.xlsx", "A 27060-2025")</f>
        <v/>
      </c>
      <c r="T67">
        <f>HYPERLINK("https://klasma.github.io/Logging_030381/kartor/A 27060-2025 karta.png", "A 27060-2025")</f>
        <v/>
      </c>
      <c r="V67">
        <f>HYPERLINK("https://klasma.github.io/Logging_030381/klagomål/A 27060-2025 FSC-klagomål.docx", "A 27060-2025")</f>
        <v/>
      </c>
      <c r="W67">
        <f>HYPERLINK("https://klasma.github.io/Logging_030381/klagomålsmail/A 27060-2025 FSC-klagomål mail.docx", "A 27060-2025")</f>
        <v/>
      </c>
      <c r="X67">
        <f>HYPERLINK("https://klasma.github.io/Logging_030381/tillsyn/A 27060-2025 tillsynsbegäran.docx", "A 27060-2025")</f>
        <v/>
      </c>
      <c r="Y67">
        <f>HYPERLINK("https://klasma.github.io/Logging_030381/tillsynsmail/A 27060-2025 tillsynsbegäran mail.docx", "A 27060-2025")</f>
        <v/>
      </c>
    </row>
    <row r="68" ht="15" customHeight="1">
      <c r="A68" t="inlineStr">
        <is>
          <t>A 29510-2025</t>
        </is>
      </c>
      <c r="B68" s="1" t="n">
        <v>45825</v>
      </c>
      <c r="C68" s="1" t="n">
        <v>45845</v>
      </c>
      <c r="D68" t="inlineStr">
        <is>
          <t>UPPSALA LÄN</t>
        </is>
      </c>
      <c r="E68" t="inlineStr">
        <is>
          <t>ENKÖPING</t>
        </is>
      </c>
      <c r="G68" t="n">
        <v>2.4</v>
      </c>
      <c r="H68" t="n">
        <v>0</v>
      </c>
      <c r="I68" t="n">
        <v>0</v>
      </c>
      <c r="J68" t="n">
        <v>0</v>
      </c>
      <c r="K68" t="n">
        <v>1</v>
      </c>
      <c r="L68" t="n">
        <v>0</v>
      </c>
      <c r="M68" t="n">
        <v>0</v>
      </c>
      <c r="N68" t="n">
        <v>0</v>
      </c>
      <c r="O68" t="n">
        <v>1</v>
      </c>
      <c r="P68" t="n">
        <v>1</v>
      </c>
      <c r="Q68" t="n">
        <v>1</v>
      </c>
      <c r="R68" s="2" t="inlineStr">
        <is>
          <t>Toppjungfrulin</t>
        </is>
      </c>
      <c r="S68">
        <f>HYPERLINK("https://klasma.github.io/Logging_030381/artfynd/A 29510-2025 artfynd.xlsx", "A 29510-2025")</f>
        <v/>
      </c>
      <c r="T68">
        <f>HYPERLINK("https://klasma.github.io/Logging_030381/kartor/A 29510-2025 karta.png", "A 29510-2025")</f>
        <v/>
      </c>
      <c r="V68">
        <f>HYPERLINK("https://klasma.github.io/Logging_030381/klagomål/A 29510-2025 FSC-klagomål.docx", "A 29510-2025")</f>
        <v/>
      </c>
      <c r="W68">
        <f>HYPERLINK("https://klasma.github.io/Logging_030381/klagomålsmail/A 29510-2025 FSC-klagomål mail.docx", "A 29510-2025")</f>
        <v/>
      </c>
      <c r="X68">
        <f>HYPERLINK("https://klasma.github.io/Logging_030381/tillsyn/A 29510-2025 tillsynsbegäran.docx", "A 29510-2025")</f>
        <v/>
      </c>
      <c r="Y68">
        <f>HYPERLINK("https://klasma.github.io/Logging_030381/tillsynsmail/A 29510-2025 tillsynsbegäran mail.docx", "A 29510-2025")</f>
        <v/>
      </c>
    </row>
    <row r="69" ht="15" customHeight="1">
      <c r="A69" t="inlineStr">
        <is>
          <t>A 18148-2019</t>
        </is>
      </c>
      <c r="B69" s="1" t="n">
        <v>43558</v>
      </c>
      <c r="C69" s="1" t="n">
        <v>45845</v>
      </c>
      <c r="D69" t="inlineStr">
        <is>
          <t>UPPSALA LÄN</t>
        </is>
      </c>
      <c r="E69" t="inlineStr">
        <is>
          <t>ENKÖPING</t>
        </is>
      </c>
      <c r="G69" t="n">
        <v>4.5</v>
      </c>
      <c r="H69" t="n">
        <v>0</v>
      </c>
      <c r="I69" t="n">
        <v>0</v>
      </c>
      <c r="J69" t="n">
        <v>0</v>
      </c>
      <c r="K69" t="n">
        <v>0</v>
      </c>
      <c r="L69" t="n">
        <v>0</v>
      </c>
      <c r="M69" t="n">
        <v>0</v>
      </c>
      <c r="N69" t="n">
        <v>0</v>
      </c>
      <c r="O69" t="n">
        <v>0</v>
      </c>
      <c r="P69" t="n">
        <v>0</v>
      </c>
      <c r="Q69" t="n">
        <v>0</v>
      </c>
      <c r="R69" s="2" t="inlineStr"/>
    </row>
    <row r="70" ht="15" customHeight="1">
      <c r="A70" t="inlineStr">
        <is>
          <t>A 22750-2019</t>
        </is>
      </c>
      <c r="B70" s="1" t="n">
        <v>43588</v>
      </c>
      <c r="C70" s="1" t="n">
        <v>45845</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23328-2019</t>
        </is>
      </c>
      <c r="B71" s="1" t="n">
        <v>43593</v>
      </c>
      <c r="C71" s="1" t="n">
        <v>45845</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26926-2019</t>
        </is>
      </c>
      <c r="B72" s="1" t="n">
        <v>43613</v>
      </c>
      <c r="C72" s="1" t="n">
        <v>45845</v>
      </c>
      <c r="D72" t="inlineStr">
        <is>
          <t>UPPSALA LÄN</t>
        </is>
      </c>
      <c r="E72" t="inlineStr">
        <is>
          <t>ENKÖPING</t>
        </is>
      </c>
      <c r="G72" t="n">
        <v>1.4</v>
      </c>
      <c r="H72" t="n">
        <v>0</v>
      </c>
      <c r="I72" t="n">
        <v>0</v>
      </c>
      <c r="J72" t="n">
        <v>0</v>
      </c>
      <c r="K72" t="n">
        <v>0</v>
      </c>
      <c r="L72" t="n">
        <v>0</v>
      </c>
      <c r="M72" t="n">
        <v>0</v>
      </c>
      <c r="N72" t="n">
        <v>0</v>
      </c>
      <c r="O72" t="n">
        <v>0</v>
      </c>
      <c r="P72" t="n">
        <v>0</v>
      </c>
      <c r="Q72" t="n">
        <v>0</v>
      </c>
      <c r="R72" s="2" t="inlineStr"/>
    </row>
    <row r="73" ht="15" customHeight="1">
      <c r="A73" t="inlineStr">
        <is>
          <t>A 28134-2019</t>
        </is>
      </c>
      <c r="B73" s="1" t="n">
        <v>43621</v>
      </c>
      <c r="C73" s="1" t="n">
        <v>45845</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30036-2019</t>
        </is>
      </c>
      <c r="B74" s="1" t="n">
        <v>43633</v>
      </c>
      <c r="C74" s="1" t="n">
        <v>45845</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29979-2019</t>
        </is>
      </c>
      <c r="B75" s="1" t="n">
        <v>43633</v>
      </c>
      <c r="C75" s="1" t="n">
        <v>45845</v>
      </c>
      <c r="D75" t="inlineStr">
        <is>
          <t>UPPSALA LÄN</t>
        </is>
      </c>
      <c r="E75" t="inlineStr">
        <is>
          <t>ENKÖPING</t>
        </is>
      </c>
      <c r="G75" t="n">
        <v>2.3</v>
      </c>
      <c r="H75" t="n">
        <v>0</v>
      </c>
      <c r="I75" t="n">
        <v>0</v>
      </c>
      <c r="J75" t="n">
        <v>0</v>
      </c>
      <c r="K75" t="n">
        <v>0</v>
      </c>
      <c r="L75" t="n">
        <v>0</v>
      </c>
      <c r="M75" t="n">
        <v>0</v>
      </c>
      <c r="N75" t="n">
        <v>0</v>
      </c>
      <c r="O75" t="n">
        <v>0</v>
      </c>
      <c r="P75" t="n">
        <v>0</v>
      </c>
      <c r="Q75" t="n">
        <v>0</v>
      </c>
      <c r="R75" s="2" t="inlineStr"/>
    </row>
    <row r="76" ht="15" customHeight="1">
      <c r="A76" t="inlineStr">
        <is>
          <t>A 31081-2019</t>
        </is>
      </c>
      <c r="B76" s="1" t="n">
        <v>43640</v>
      </c>
      <c r="C76" s="1" t="n">
        <v>45845</v>
      </c>
      <c r="D76" t="inlineStr">
        <is>
          <t>UPPSALA LÄN</t>
        </is>
      </c>
      <c r="E76" t="inlineStr">
        <is>
          <t>ENKÖPING</t>
        </is>
      </c>
      <c r="G76" t="n">
        <v>3.1</v>
      </c>
      <c r="H76" t="n">
        <v>0</v>
      </c>
      <c r="I76" t="n">
        <v>0</v>
      </c>
      <c r="J76" t="n">
        <v>0</v>
      </c>
      <c r="K76" t="n">
        <v>0</v>
      </c>
      <c r="L76" t="n">
        <v>0</v>
      </c>
      <c r="M76" t="n">
        <v>0</v>
      </c>
      <c r="N76" t="n">
        <v>0</v>
      </c>
      <c r="O76" t="n">
        <v>0</v>
      </c>
      <c r="P76" t="n">
        <v>0</v>
      </c>
      <c r="Q76" t="n">
        <v>0</v>
      </c>
      <c r="R76" s="2" t="inlineStr"/>
    </row>
    <row r="77" ht="15" customHeight="1">
      <c r="A77" t="inlineStr">
        <is>
          <t>A 31074-2019</t>
        </is>
      </c>
      <c r="B77" s="1" t="n">
        <v>43640</v>
      </c>
      <c r="C77" s="1" t="n">
        <v>45845</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32310-2019</t>
        </is>
      </c>
      <c r="B78" s="1" t="n">
        <v>43644</v>
      </c>
      <c r="C78" s="1" t="n">
        <v>45845</v>
      </c>
      <c r="D78" t="inlineStr">
        <is>
          <t>UPPSALA LÄN</t>
        </is>
      </c>
      <c r="E78" t="inlineStr">
        <is>
          <t>ENKÖPING</t>
        </is>
      </c>
      <c r="G78" t="n">
        <v>2.7</v>
      </c>
      <c r="H78" t="n">
        <v>0</v>
      </c>
      <c r="I78" t="n">
        <v>0</v>
      </c>
      <c r="J78" t="n">
        <v>0</v>
      </c>
      <c r="K78" t="n">
        <v>0</v>
      </c>
      <c r="L78" t="n">
        <v>0</v>
      </c>
      <c r="M78" t="n">
        <v>0</v>
      </c>
      <c r="N78" t="n">
        <v>0</v>
      </c>
      <c r="O78" t="n">
        <v>0</v>
      </c>
      <c r="P78" t="n">
        <v>0</v>
      </c>
      <c r="Q78" t="n">
        <v>0</v>
      </c>
      <c r="R78" s="2" t="inlineStr"/>
    </row>
    <row r="79" ht="15" customHeight="1">
      <c r="A79" t="inlineStr">
        <is>
          <t>A 32640-2019</t>
        </is>
      </c>
      <c r="B79" s="1" t="n">
        <v>43647</v>
      </c>
      <c r="C79" s="1" t="n">
        <v>45845</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33339-2019</t>
        </is>
      </c>
      <c r="B80" s="1" t="n">
        <v>43650</v>
      </c>
      <c r="C80" s="1" t="n">
        <v>45845</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35752-2019</t>
        </is>
      </c>
      <c r="B81" s="1" t="n">
        <v>43665</v>
      </c>
      <c r="C81" s="1" t="n">
        <v>45845</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36370-2019</t>
        </is>
      </c>
      <c r="B82" s="1" t="n">
        <v>43670</v>
      </c>
      <c r="C82" s="1" t="n">
        <v>45845</v>
      </c>
      <c r="D82" t="inlineStr">
        <is>
          <t>UPPSALA LÄN</t>
        </is>
      </c>
      <c r="E82" t="inlineStr">
        <is>
          <t>ENKÖPING</t>
        </is>
      </c>
      <c r="G82" t="n">
        <v>26.9</v>
      </c>
      <c r="H82" t="n">
        <v>0</v>
      </c>
      <c r="I82" t="n">
        <v>0</v>
      </c>
      <c r="J82" t="n">
        <v>0</v>
      </c>
      <c r="K82" t="n">
        <v>0</v>
      </c>
      <c r="L82" t="n">
        <v>0</v>
      </c>
      <c r="M82" t="n">
        <v>0</v>
      </c>
      <c r="N82" t="n">
        <v>0</v>
      </c>
      <c r="O82" t="n">
        <v>0</v>
      </c>
      <c r="P82" t="n">
        <v>0</v>
      </c>
      <c r="Q82" t="n">
        <v>0</v>
      </c>
      <c r="R82" s="2" t="inlineStr"/>
    </row>
    <row r="83" ht="15" customHeight="1">
      <c r="A83" t="inlineStr">
        <is>
          <t>A 36733-2019</t>
        </is>
      </c>
      <c r="B83" s="1" t="n">
        <v>43672</v>
      </c>
      <c r="C83" s="1" t="n">
        <v>45845</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37519-2019</t>
        </is>
      </c>
      <c r="B84" s="1" t="n">
        <v>43679</v>
      </c>
      <c r="C84" s="1" t="n">
        <v>45845</v>
      </c>
      <c r="D84" t="inlineStr">
        <is>
          <t>UPPSALA LÄN</t>
        </is>
      </c>
      <c r="E84" t="inlineStr">
        <is>
          <t>ENKÖPING</t>
        </is>
      </c>
      <c r="G84" t="n">
        <v>1</v>
      </c>
      <c r="H84" t="n">
        <v>0</v>
      </c>
      <c r="I84" t="n">
        <v>0</v>
      </c>
      <c r="J84" t="n">
        <v>0</v>
      </c>
      <c r="K84" t="n">
        <v>0</v>
      </c>
      <c r="L84" t="n">
        <v>0</v>
      </c>
      <c r="M84" t="n">
        <v>0</v>
      </c>
      <c r="N84" t="n">
        <v>0</v>
      </c>
      <c r="O84" t="n">
        <v>0</v>
      </c>
      <c r="P84" t="n">
        <v>0</v>
      </c>
      <c r="Q84" t="n">
        <v>0</v>
      </c>
      <c r="R84" s="2" t="inlineStr"/>
    </row>
    <row r="85" ht="15" customHeight="1">
      <c r="A85" t="inlineStr">
        <is>
          <t>A 37702-2019</t>
        </is>
      </c>
      <c r="B85" s="1" t="n">
        <v>43682</v>
      </c>
      <c r="C85" s="1" t="n">
        <v>45845</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37700-2019</t>
        </is>
      </c>
      <c r="B86" s="1" t="n">
        <v>43682</v>
      </c>
      <c r="C86" s="1" t="n">
        <v>45845</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37936-2019</t>
        </is>
      </c>
      <c r="B87" s="1" t="n">
        <v>43683</v>
      </c>
      <c r="C87" s="1" t="n">
        <v>45845</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38204-2019</t>
        </is>
      </c>
      <c r="B88" s="1" t="n">
        <v>43683</v>
      </c>
      <c r="C88" s="1" t="n">
        <v>45845</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38189-2019</t>
        </is>
      </c>
      <c r="B89" s="1" t="n">
        <v>43684</v>
      </c>
      <c r="C89" s="1" t="n">
        <v>45845</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38205-2019</t>
        </is>
      </c>
      <c r="B90" s="1" t="n">
        <v>43684</v>
      </c>
      <c r="C90" s="1" t="n">
        <v>45845</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38475-2019</t>
        </is>
      </c>
      <c r="B91" s="1" t="n">
        <v>43685</v>
      </c>
      <c r="C91" s="1" t="n">
        <v>45845</v>
      </c>
      <c r="D91" t="inlineStr">
        <is>
          <t>UPPSALA LÄN</t>
        </is>
      </c>
      <c r="E91" t="inlineStr">
        <is>
          <t>ENKÖPING</t>
        </is>
      </c>
      <c r="G91" t="n">
        <v>1.9</v>
      </c>
      <c r="H91" t="n">
        <v>0</v>
      </c>
      <c r="I91" t="n">
        <v>0</v>
      </c>
      <c r="J91" t="n">
        <v>0</v>
      </c>
      <c r="K91" t="n">
        <v>0</v>
      </c>
      <c r="L91" t="n">
        <v>0</v>
      </c>
      <c r="M91" t="n">
        <v>0</v>
      </c>
      <c r="N91" t="n">
        <v>0</v>
      </c>
      <c r="O91" t="n">
        <v>0</v>
      </c>
      <c r="P91" t="n">
        <v>0</v>
      </c>
      <c r="Q91" t="n">
        <v>0</v>
      </c>
      <c r="R91" s="2" t="inlineStr"/>
    </row>
    <row r="92" ht="15" customHeight="1">
      <c r="A92" t="inlineStr">
        <is>
          <t>A 38896-2019</t>
        </is>
      </c>
      <c r="B92" s="1" t="n">
        <v>43689</v>
      </c>
      <c r="C92" s="1" t="n">
        <v>45845</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38899-2019</t>
        </is>
      </c>
      <c r="B93" s="1" t="n">
        <v>43689</v>
      </c>
      <c r="C93" s="1" t="n">
        <v>45845</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40247-2019</t>
        </is>
      </c>
      <c r="B94" s="1" t="n">
        <v>43695</v>
      </c>
      <c r="C94" s="1" t="n">
        <v>45845</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40839-2019</t>
        </is>
      </c>
      <c r="B95" s="1" t="n">
        <v>43697</v>
      </c>
      <c r="C95" s="1" t="n">
        <v>45845</v>
      </c>
      <c r="D95" t="inlineStr">
        <is>
          <t>UPPSALA LÄN</t>
        </is>
      </c>
      <c r="E95" t="inlineStr">
        <is>
          <t>ENKÖPING</t>
        </is>
      </c>
      <c r="G95" t="n">
        <v>1.9</v>
      </c>
      <c r="H95" t="n">
        <v>0</v>
      </c>
      <c r="I95" t="n">
        <v>0</v>
      </c>
      <c r="J95" t="n">
        <v>0</v>
      </c>
      <c r="K95" t="n">
        <v>0</v>
      </c>
      <c r="L95" t="n">
        <v>0</v>
      </c>
      <c r="M95" t="n">
        <v>0</v>
      </c>
      <c r="N95" t="n">
        <v>0</v>
      </c>
      <c r="O95" t="n">
        <v>0</v>
      </c>
      <c r="P95" t="n">
        <v>0</v>
      </c>
      <c r="Q95" t="n">
        <v>0</v>
      </c>
      <c r="R95" s="2" t="inlineStr"/>
    </row>
    <row r="96" ht="15" customHeight="1">
      <c r="A96" t="inlineStr">
        <is>
          <t>A 40843-2019</t>
        </is>
      </c>
      <c r="B96" s="1" t="n">
        <v>43697</v>
      </c>
      <c r="C96" s="1" t="n">
        <v>45845</v>
      </c>
      <c r="D96" t="inlineStr">
        <is>
          <t>UPPSALA LÄN</t>
        </is>
      </c>
      <c r="E96" t="inlineStr">
        <is>
          <t>ENKÖPING</t>
        </is>
      </c>
      <c r="G96" t="n">
        <v>1.6</v>
      </c>
      <c r="H96" t="n">
        <v>0</v>
      </c>
      <c r="I96" t="n">
        <v>0</v>
      </c>
      <c r="J96" t="n">
        <v>0</v>
      </c>
      <c r="K96" t="n">
        <v>0</v>
      </c>
      <c r="L96" t="n">
        <v>0</v>
      </c>
      <c r="M96" t="n">
        <v>0</v>
      </c>
      <c r="N96" t="n">
        <v>0</v>
      </c>
      <c r="O96" t="n">
        <v>0</v>
      </c>
      <c r="P96" t="n">
        <v>0</v>
      </c>
      <c r="Q96" t="n">
        <v>0</v>
      </c>
      <c r="R96" s="2" t="inlineStr"/>
    </row>
    <row r="97" ht="15" customHeight="1">
      <c r="A97" t="inlineStr">
        <is>
          <t>A 41512-2019</t>
        </is>
      </c>
      <c r="B97" s="1" t="n">
        <v>43699</v>
      </c>
      <c r="C97" s="1" t="n">
        <v>45845</v>
      </c>
      <c r="D97" t="inlineStr">
        <is>
          <t>UPPSALA LÄN</t>
        </is>
      </c>
      <c r="E97" t="inlineStr">
        <is>
          <t>ENKÖPING</t>
        </is>
      </c>
      <c r="G97" t="n">
        <v>5.8</v>
      </c>
      <c r="H97" t="n">
        <v>0</v>
      </c>
      <c r="I97" t="n">
        <v>0</v>
      </c>
      <c r="J97" t="n">
        <v>0</v>
      </c>
      <c r="K97" t="n">
        <v>0</v>
      </c>
      <c r="L97" t="n">
        <v>0</v>
      </c>
      <c r="M97" t="n">
        <v>0</v>
      </c>
      <c r="N97" t="n">
        <v>0</v>
      </c>
      <c r="O97" t="n">
        <v>0</v>
      </c>
      <c r="P97" t="n">
        <v>0</v>
      </c>
      <c r="Q97" t="n">
        <v>0</v>
      </c>
      <c r="R97" s="2" t="inlineStr"/>
    </row>
    <row r="98" ht="15" customHeight="1">
      <c r="A98" t="inlineStr">
        <is>
          <t>A 42350-2019</t>
        </is>
      </c>
      <c r="B98" s="1" t="n">
        <v>43703</v>
      </c>
      <c r="C98" s="1" t="n">
        <v>45845</v>
      </c>
      <c r="D98" t="inlineStr">
        <is>
          <t>UPPSALA LÄN</t>
        </is>
      </c>
      <c r="E98" t="inlineStr">
        <is>
          <t>ENKÖPING</t>
        </is>
      </c>
      <c r="G98" t="n">
        <v>1.1</v>
      </c>
      <c r="H98" t="n">
        <v>0</v>
      </c>
      <c r="I98" t="n">
        <v>0</v>
      </c>
      <c r="J98" t="n">
        <v>0</v>
      </c>
      <c r="K98" t="n">
        <v>0</v>
      </c>
      <c r="L98" t="n">
        <v>0</v>
      </c>
      <c r="M98" t="n">
        <v>0</v>
      </c>
      <c r="N98" t="n">
        <v>0</v>
      </c>
      <c r="O98" t="n">
        <v>0</v>
      </c>
      <c r="P98" t="n">
        <v>0</v>
      </c>
      <c r="Q98" t="n">
        <v>0</v>
      </c>
      <c r="R98" s="2" t="inlineStr"/>
    </row>
    <row r="99" ht="15" customHeight="1">
      <c r="A99" t="inlineStr">
        <is>
          <t>A 42624-2019</t>
        </is>
      </c>
      <c r="B99" s="1" t="n">
        <v>43704</v>
      </c>
      <c r="C99" s="1" t="n">
        <v>45845</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42829-2019</t>
        </is>
      </c>
      <c r="B100" s="1" t="n">
        <v>43705</v>
      </c>
      <c r="C100" s="1" t="n">
        <v>45845</v>
      </c>
      <c r="D100" t="inlineStr">
        <is>
          <t>UPPSALA LÄN</t>
        </is>
      </c>
      <c r="E100" t="inlineStr">
        <is>
          <t>ENKÖPING</t>
        </is>
      </c>
      <c r="G100" t="n">
        <v>6.7</v>
      </c>
      <c r="H100" t="n">
        <v>0</v>
      </c>
      <c r="I100" t="n">
        <v>0</v>
      </c>
      <c r="J100" t="n">
        <v>0</v>
      </c>
      <c r="K100" t="n">
        <v>0</v>
      </c>
      <c r="L100" t="n">
        <v>0</v>
      </c>
      <c r="M100" t="n">
        <v>0</v>
      </c>
      <c r="N100" t="n">
        <v>0</v>
      </c>
      <c r="O100" t="n">
        <v>0</v>
      </c>
      <c r="P100" t="n">
        <v>0</v>
      </c>
      <c r="Q100" t="n">
        <v>0</v>
      </c>
      <c r="R100" s="2" t="inlineStr"/>
    </row>
    <row r="101" ht="15" customHeight="1">
      <c r="A101" t="inlineStr">
        <is>
          <t>A 43308-2019</t>
        </is>
      </c>
      <c r="B101" s="1" t="n">
        <v>43706</v>
      </c>
      <c r="C101" s="1" t="n">
        <v>45845</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43998-2019</t>
        </is>
      </c>
      <c r="B102" s="1" t="n">
        <v>43709</v>
      </c>
      <c r="C102" s="1" t="n">
        <v>45845</v>
      </c>
      <c r="D102" t="inlineStr">
        <is>
          <t>UPPSALA LÄN</t>
        </is>
      </c>
      <c r="E102" t="inlineStr">
        <is>
          <t>ENKÖPING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43999-2019</t>
        </is>
      </c>
      <c r="B103" s="1" t="n">
        <v>43709</v>
      </c>
      <c r="C103" s="1" t="n">
        <v>45845</v>
      </c>
      <c r="D103" t="inlineStr">
        <is>
          <t>UPPSALA LÄN</t>
        </is>
      </c>
      <c r="E103" t="inlineStr">
        <is>
          <t>ENKÖPING</t>
        </is>
      </c>
      <c r="G103" t="n">
        <v>0.1</v>
      </c>
      <c r="H103" t="n">
        <v>0</v>
      </c>
      <c r="I103" t="n">
        <v>0</v>
      </c>
      <c r="J103" t="n">
        <v>0</v>
      </c>
      <c r="K103" t="n">
        <v>0</v>
      </c>
      <c r="L103" t="n">
        <v>0</v>
      </c>
      <c r="M103" t="n">
        <v>0</v>
      </c>
      <c r="N103" t="n">
        <v>0</v>
      </c>
      <c r="O103" t="n">
        <v>0</v>
      </c>
      <c r="P103" t="n">
        <v>0</v>
      </c>
      <c r="Q103" t="n">
        <v>0</v>
      </c>
      <c r="R103" s="2" t="inlineStr"/>
    </row>
    <row r="104" ht="15" customHeight="1">
      <c r="A104" t="inlineStr">
        <is>
          <t>A 44749-2019</t>
        </is>
      </c>
      <c r="B104" s="1" t="n">
        <v>43712</v>
      </c>
      <c r="C104" s="1" t="n">
        <v>45845</v>
      </c>
      <c r="D104" t="inlineStr">
        <is>
          <t>UPPSALA LÄN</t>
        </is>
      </c>
      <c r="E104" t="inlineStr">
        <is>
          <t>ENKÖPING</t>
        </is>
      </c>
      <c r="G104" t="n">
        <v>2.6</v>
      </c>
      <c r="H104" t="n">
        <v>0</v>
      </c>
      <c r="I104" t="n">
        <v>0</v>
      </c>
      <c r="J104" t="n">
        <v>0</v>
      </c>
      <c r="K104" t="n">
        <v>0</v>
      </c>
      <c r="L104" t="n">
        <v>0</v>
      </c>
      <c r="M104" t="n">
        <v>0</v>
      </c>
      <c r="N104" t="n">
        <v>0</v>
      </c>
      <c r="O104" t="n">
        <v>0</v>
      </c>
      <c r="P104" t="n">
        <v>0</v>
      </c>
      <c r="Q104" t="n">
        <v>0</v>
      </c>
      <c r="R104" s="2" t="inlineStr"/>
    </row>
    <row r="105" ht="15" customHeight="1">
      <c r="A105" t="inlineStr">
        <is>
          <t>A 45007-2019</t>
        </is>
      </c>
      <c r="B105" s="1" t="n">
        <v>43713</v>
      </c>
      <c r="C105" s="1" t="n">
        <v>45845</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45481-2019</t>
        </is>
      </c>
      <c r="B106" s="1" t="n">
        <v>43714</v>
      </c>
      <c r="C106" s="1" t="n">
        <v>45845</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45729-2019</t>
        </is>
      </c>
      <c r="B107" s="1" t="n">
        <v>43717</v>
      </c>
      <c r="C107" s="1" t="n">
        <v>45845</v>
      </c>
      <c r="D107" t="inlineStr">
        <is>
          <t>UPPSALA LÄN</t>
        </is>
      </c>
      <c r="E107" t="inlineStr">
        <is>
          <t>ENKÖPING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45767-2019</t>
        </is>
      </c>
      <c r="B108" s="1" t="n">
        <v>43717</v>
      </c>
      <c r="C108" s="1" t="n">
        <v>45845</v>
      </c>
      <c r="D108" t="inlineStr">
        <is>
          <t>UPPSALA LÄN</t>
        </is>
      </c>
      <c r="E108" t="inlineStr">
        <is>
          <t>ENKÖPING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45784-2019</t>
        </is>
      </c>
      <c r="B109" s="1" t="n">
        <v>43717</v>
      </c>
      <c r="C109" s="1" t="n">
        <v>45845</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46292-2019</t>
        </is>
      </c>
      <c r="B110" s="1" t="n">
        <v>43718</v>
      </c>
      <c r="C110" s="1" t="n">
        <v>45845</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46274-2019</t>
        </is>
      </c>
      <c r="B111" s="1" t="n">
        <v>43718</v>
      </c>
      <c r="C111" s="1" t="n">
        <v>45845</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46971-2019</t>
        </is>
      </c>
      <c r="B112" s="1" t="n">
        <v>43720</v>
      </c>
      <c r="C112" s="1" t="n">
        <v>45845</v>
      </c>
      <c r="D112" t="inlineStr">
        <is>
          <t>UPPSALA LÄN</t>
        </is>
      </c>
      <c r="E112" t="inlineStr">
        <is>
          <t>ENKÖPING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47039-2019</t>
        </is>
      </c>
      <c r="B113" s="1" t="n">
        <v>43720</v>
      </c>
      <c r="C113" s="1" t="n">
        <v>45845</v>
      </c>
      <c r="D113" t="inlineStr">
        <is>
          <t>UPPSALA LÄN</t>
        </is>
      </c>
      <c r="E113" t="inlineStr">
        <is>
          <t>ENKÖPING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47368-2019</t>
        </is>
      </c>
      <c r="B114" s="1" t="n">
        <v>43721</v>
      </c>
      <c r="C114" s="1" t="n">
        <v>45845</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47476-2019</t>
        </is>
      </c>
      <c r="B115" s="1" t="n">
        <v>43724</v>
      </c>
      <c r="C115" s="1" t="n">
        <v>45845</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48098-2019</t>
        </is>
      </c>
      <c r="B116" s="1" t="n">
        <v>43725</v>
      </c>
      <c r="C116" s="1" t="n">
        <v>45845</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48095-2019</t>
        </is>
      </c>
      <c r="B117" s="1" t="n">
        <v>43725</v>
      </c>
      <c r="C117" s="1" t="n">
        <v>45845</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48096-2019</t>
        </is>
      </c>
      <c r="B118" s="1" t="n">
        <v>43725</v>
      </c>
      <c r="C118" s="1" t="n">
        <v>45845</v>
      </c>
      <c r="D118" t="inlineStr">
        <is>
          <t>UPPSALA LÄN</t>
        </is>
      </c>
      <c r="E118" t="inlineStr">
        <is>
          <t>ENKÖPING</t>
        </is>
      </c>
      <c r="G118" t="n">
        <v>0.2</v>
      </c>
      <c r="H118" t="n">
        <v>0</v>
      </c>
      <c r="I118" t="n">
        <v>0</v>
      </c>
      <c r="J118" t="n">
        <v>0</v>
      </c>
      <c r="K118" t="n">
        <v>0</v>
      </c>
      <c r="L118" t="n">
        <v>0</v>
      </c>
      <c r="M118" t="n">
        <v>0</v>
      </c>
      <c r="N118" t="n">
        <v>0</v>
      </c>
      <c r="O118" t="n">
        <v>0</v>
      </c>
      <c r="P118" t="n">
        <v>0</v>
      </c>
      <c r="Q118" t="n">
        <v>0</v>
      </c>
      <c r="R118" s="2" t="inlineStr"/>
    </row>
    <row r="119" ht="15" customHeight="1">
      <c r="A119" t="inlineStr">
        <is>
          <t>A 48515-2019</t>
        </is>
      </c>
      <c r="B119" s="1" t="n">
        <v>43727</v>
      </c>
      <c r="C119" s="1" t="n">
        <v>45845</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48511-2019</t>
        </is>
      </c>
      <c r="B120" s="1" t="n">
        <v>43727</v>
      </c>
      <c r="C120" s="1" t="n">
        <v>45845</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49856-2019</t>
        </is>
      </c>
      <c r="B121" s="1" t="n">
        <v>43733</v>
      </c>
      <c r="C121" s="1" t="n">
        <v>45845</v>
      </c>
      <c r="D121" t="inlineStr">
        <is>
          <t>UPPSALA LÄN</t>
        </is>
      </c>
      <c r="E121" t="inlineStr">
        <is>
          <t>ENKÖPING</t>
        </is>
      </c>
      <c r="G121" t="n">
        <v>9.9</v>
      </c>
      <c r="H121" t="n">
        <v>0</v>
      </c>
      <c r="I121" t="n">
        <v>0</v>
      </c>
      <c r="J121" t="n">
        <v>0</v>
      </c>
      <c r="K121" t="n">
        <v>0</v>
      </c>
      <c r="L121" t="n">
        <v>0</v>
      </c>
      <c r="M121" t="n">
        <v>0</v>
      </c>
      <c r="N121" t="n">
        <v>0</v>
      </c>
      <c r="O121" t="n">
        <v>0</v>
      </c>
      <c r="P121" t="n">
        <v>0</v>
      </c>
      <c r="Q121" t="n">
        <v>0</v>
      </c>
      <c r="R121" s="2" t="inlineStr"/>
    </row>
    <row r="122" ht="15" customHeight="1">
      <c r="A122" t="inlineStr">
        <is>
          <t>A 49941-2019</t>
        </is>
      </c>
      <c r="B122" s="1" t="n">
        <v>43733</v>
      </c>
      <c r="C122" s="1" t="n">
        <v>45845</v>
      </c>
      <c r="D122" t="inlineStr">
        <is>
          <t>UPPSALA LÄN</t>
        </is>
      </c>
      <c r="E122" t="inlineStr">
        <is>
          <t>ENKÖPING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50893-2019</t>
        </is>
      </c>
      <c r="B123" s="1" t="n">
        <v>43738</v>
      </c>
      <c r="C123" s="1" t="n">
        <v>45845</v>
      </c>
      <c r="D123" t="inlineStr">
        <is>
          <t>UPPSALA LÄN</t>
        </is>
      </c>
      <c r="E123" t="inlineStr">
        <is>
          <t>ENKÖPING</t>
        </is>
      </c>
      <c r="G123" t="n">
        <v>4.3</v>
      </c>
      <c r="H123" t="n">
        <v>0</v>
      </c>
      <c r="I123" t="n">
        <v>0</v>
      </c>
      <c r="J123" t="n">
        <v>0</v>
      </c>
      <c r="K123" t="n">
        <v>0</v>
      </c>
      <c r="L123" t="n">
        <v>0</v>
      </c>
      <c r="M123" t="n">
        <v>0</v>
      </c>
      <c r="N123" t="n">
        <v>0</v>
      </c>
      <c r="O123" t="n">
        <v>0</v>
      </c>
      <c r="P123" t="n">
        <v>0</v>
      </c>
      <c r="Q123" t="n">
        <v>0</v>
      </c>
      <c r="R123" s="2" t="inlineStr"/>
    </row>
    <row r="124" ht="15" customHeight="1">
      <c r="A124" t="inlineStr">
        <is>
          <t>A 52516-2019</t>
        </is>
      </c>
      <c r="B124" s="1" t="n">
        <v>43738</v>
      </c>
      <c r="C124" s="1" t="n">
        <v>45845</v>
      </c>
      <c r="D124" t="inlineStr">
        <is>
          <t>UPPSALA LÄN</t>
        </is>
      </c>
      <c r="E124" t="inlineStr">
        <is>
          <t>ENKÖPING</t>
        </is>
      </c>
      <c r="G124" t="n">
        <v>1.7</v>
      </c>
      <c r="H124" t="n">
        <v>0</v>
      </c>
      <c r="I124" t="n">
        <v>0</v>
      </c>
      <c r="J124" t="n">
        <v>0</v>
      </c>
      <c r="K124" t="n">
        <v>0</v>
      </c>
      <c r="L124" t="n">
        <v>0</v>
      </c>
      <c r="M124" t="n">
        <v>0</v>
      </c>
      <c r="N124" t="n">
        <v>0</v>
      </c>
      <c r="O124" t="n">
        <v>0</v>
      </c>
      <c r="P124" t="n">
        <v>0</v>
      </c>
      <c r="Q124" t="n">
        <v>0</v>
      </c>
      <c r="R124" s="2" t="inlineStr"/>
    </row>
    <row r="125" ht="15" customHeight="1">
      <c r="A125" t="inlineStr">
        <is>
          <t>A 51782-2019</t>
        </is>
      </c>
      <c r="B125" s="1" t="n">
        <v>43741</v>
      </c>
      <c r="C125" s="1" t="n">
        <v>45845</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51802-2019</t>
        </is>
      </c>
      <c r="B126" s="1" t="n">
        <v>43741</v>
      </c>
      <c r="C126" s="1" t="n">
        <v>45845</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51836-2019</t>
        </is>
      </c>
      <c r="B127" s="1" t="n">
        <v>43741</v>
      </c>
      <c r="C127" s="1" t="n">
        <v>45845</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51805-2019</t>
        </is>
      </c>
      <c r="B128" s="1" t="n">
        <v>43741</v>
      </c>
      <c r="C128" s="1" t="n">
        <v>45845</v>
      </c>
      <c r="D128" t="inlineStr">
        <is>
          <t>UPPSALA LÄN</t>
        </is>
      </c>
      <c r="E128" t="inlineStr">
        <is>
          <t>ENKÖPING</t>
        </is>
      </c>
      <c r="G128" t="n">
        <v>2.5</v>
      </c>
      <c r="H128" t="n">
        <v>0</v>
      </c>
      <c r="I128" t="n">
        <v>0</v>
      </c>
      <c r="J128" t="n">
        <v>0</v>
      </c>
      <c r="K128" t="n">
        <v>0</v>
      </c>
      <c r="L128" t="n">
        <v>0</v>
      </c>
      <c r="M128" t="n">
        <v>0</v>
      </c>
      <c r="N128" t="n">
        <v>0</v>
      </c>
      <c r="O128" t="n">
        <v>0</v>
      </c>
      <c r="P128" t="n">
        <v>0</v>
      </c>
      <c r="Q128" t="n">
        <v>0</v>
      </c>
      <c r="R128" s="2" t="inlineStr"/>
    </row>
    <row r="129" ht="15" customHeight="1">
      <c r="A129" t="inlineStr">
        <is>
          <t>A 51905-2019</t>
        </is>
      </c>
      <c r="B129" s="1" t="n">
        <v>43741</v>
      </c>
      <c r="C129" s="1" t="n">
        <v>45845</v>
      </c>
      <c r="D129" t="inlineStr">
        <is>
          <t>UPPSALA LÄN</t>
        </is>
      </c>
      <c r="E129" t="inlineStr">
        <is>
          <t>ENKÖPING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51912-2019</t>
        </is>
      </c>
      <c r="B130" s="1" t="n">
        <v>43741</v>
      </c>
      <c r="C130" s="1" t="n">
        <v>45845</v>
      </c>
      <c r="D130" t="inlineStr">
        <is>
          <t>UPPSALA LÄN</t>
        </is>
      </c>
      <c r="E130" t="inlineStr">
        <is>
          <t>ENKÖPING</t>
        </is>
      </c>
      <c r="G130" t="n">
        <v>3</v>
      </c>
      <c r="H130" t="n">
        <v>0</v>
      </c>
      <c r="I130" t="n">
        <v>0</v>
      </c>
      <c r="J130" t="n">
        <v>0</v>
      </c>
      <c r="K130" t="n">
        <v>0</v>
      </c>
      <c r="L130" t="n">
        <v>0</v>
      </c>
      <c r="M130" t="n">
        <v>0</v>
      </c>
      <c r="N130" t="n">
        <v>0</v>
      </c>
      <c r="O130" t="n">
        <v>0</v>
      </c>
      <c r="P130" t="n">
        <v>0</v>
      </c>
      <c r="Q130" t="n">
        <v>0</v>
      </c>
      <c r="R130" s="2" t="inlineStr"/>
    </row>
    <row r="131" ht="15" customHeight="1">
      <c r="A131" t="inlineStr">
        <is>
          <t>A 52524-2019</t>
        </is>
      </c>
      <c r="B131" s="1" t="n">
        <v>43745</v>
      </c>
      <c r="C131" s="1" t="n">
        <v>45845</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52394-2019</t>
        </is>
      </c>
      <c r="B132" s="1" t="n">
        <v>43745</v>
      </c>
      <c r="C132" s="1" t="n">
        <v>45845</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52726-2019</t>
        </is>
      </c>
      <c r="B133" s="1" t="n">
        <v>43746</v>
      </c>
      <c r="C133" s="1" t="n">
        <v>45845</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53840-2019</t>
        </is>
      </c>
      <c r="B134" s="1" t="n">
        <v>43752</v>
      </c>
      <c r="C134" s="1" t="n">
        <v>45845</v>
      </c>
      <c r="D134" t="inlineStr">
        <is>
          <t>UPPSALA LÄN</t>
        </is>
      </c>
      <c r="E134" t="inlineStr">
        <is>
          <t>ENKÖPING</t>
        </is>
      </c>
      <c r="G134" t="n">
        <v>10.1</v>
      </c>
      <c r="H134" t="n">
        <v>0</v>
      </c>
      <c r="I134" t="n">
        <v>0</v>
      </c>
      <c r="J134" t="n">
        <v>0</v>
      </c>
      <c r="K134" t="n">
        <v>0</v>
      </c>
      <c r="L134" t="n">
        <v>0</v>
      </c>
      <c r="M134" t="n">
        <v>0</v>
      </c>
      <c r="N134" t="n">
        <v>0</v>
      </c>
      <c r="O134" t="n">
        <v>0</v>
      </c>
      <c r="P134" t="n">
        <v>0</v>
      </c>
      <c r="Q134" t="n">
        <v>0</v>
      </c>
      <c r="R134" s="2" t="inlineStr"/>
    </row>
    <row r="135" ht="15" customHeight="1">
      <c r="A135" t="inlineStr">
        <is>
          <t>A 56153-2019</t>
        </is>
      </c>
      <c r="B135" s="1" t="n">
        <v>43756</v>
      </c>
      <c r="C135" s="1" t="n">
        <v>45845</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55516-2019</t>
        </is>
      </c>
      <c r="B136" s="1" t="n">
        <v>43759</v>
      </c>
      <c r="C136" s="1" t="n">
        <v>45845</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55872-2019</t>
        </is>
      </c>
      <c r="B137" s="1" t="n">
        <v>43759</v>
      </c>
      <c r="C137" s="1" t="n">
        <v>45845</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55512-2019</t>
        </is>
      </c>
      <c r="B138" s="1" t="n">
        <v>43759</v>
      </c>
      <c r="C138" s="1" t="n">
        <v>45845</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56309-2019</t>
        </is>
      </c>
      <c r="B139" s="1" t="n">
        <v>43762</v>
      </c>
      <c r="C139" s="1" t="n">
        <v>45845</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56932-2019</t>
        </is>
      </c>
      <c r="B140" s="1" t="n">
        <v>43766</v>
      </c>
      <c r="C140" s="1" t="n">
        <v>45845</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56910-2019</t>
        </is>
      </c>
      <c r="B141" s="1" t="n">
        <v>43766</v>
      </c>
      <c r="C141" s="1" t="n">
        <v>45845</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57066-2019</t>
        </is>
      </c>
      <c r="B142" s="1" t="n">
        <v>43766</v>
      </c>
      <c r="C142" s="1" t="n">
        <v>45845</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56897-2019</t>
        </is>
      </c>
      <c r="B143" s="1" t="n">
        <v>43766</v>
      </c>
      <c r="C143" s="1" t="n">
        <v>45845</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57126-2019</t>
        </is>
      </c>
      <c r="B144" s="1" t="n">
        <v>43766</v>
      </c>
      <c r="C144" s="1" t="n">
        <v>45845</v>
      </c>
      <c r="D144" t="inlineStr">
        <is>
          <t>UPPSALA LÄN</t>
        </is>
      </c>
      <c r="E144" t="inlineStr">
        <is>
          <t>ENKÖPING</t>
        </is>
      </c>
      <c r="G144" t="n">
        <v>3.3</v>
      </c>
      <c r="H144" t="n">
        <v>0</v>
      </c>
      <c r="I144" t="n">
        <v>0</v>
      </c>
      <c r="J144" t="n">
        <v>0</v>
      </c>
      <c r="K144" t="n">
        <v>0</v>
      </c>
      <c r="L144" t="n">
        <v>0</v>
      </c>
      <c r="M144" t="n">
        <v>0</v>
      </c>
      <c r="N144" t="n">
        <v>0</v>
      </c>
      <c r="O144" t="n">
        <v>0</v>
      </c>
      <c r="P144" t="n">
        <v>0</v>
      </c>
      <c r="Q144" t="n">
        <v>0</v>
      </c>
      <c r="R144" s="2" t="inlineStr"/>
    </row>
    <row r="145" ht="15" customHeight="1">
      <c r="A145" t="inlineStr">
        <is>
          <t>A 57813-2019</t>
        </is>
      </c>
      <c r="B145" s="1" t="n">
        <v>43768</v>
      </c>
      <c r="C145" s="1" t="n">
        <v>45845</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57821-2019</t>
        </is>
      </c>
      <c r="B146" s="1" t="n">
        <v>43768</v>
      </c>
      <c r="C146" s="1" t="n">
        <v>45845</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57820-2019</t>
        </is>
      </c>
      <c r="B147" s="1" t="n">
        <v>43768</v>
      </c>
      <c r="C147" s="1" t="n">
        <v>45845</v>
      </c>
      <c r="D147" t="inlineStr">
        <is>
          <t>UPPSALA LÄN</t>
        </is>
      </c>
      <c r="E147" t="inlineStr">
        <is>
          <t>ENKÖPING</t>
        </is>
      </c>
      <c r="G147" t="n">
        <v>0.3</v>
      </c>
      <c r="H147" t="n">
        <v>0</v>
      </c>
      <c r="I147" t="n">
        <v>0</v>
      </c>
      <c r="J147" t="n">
        <v>0</v>
      </c>
      <c r="K147" t="n">
        <v>0</v>
      </c>
      <c r="L147" t="n">
        <v>0</v>
      </c>
      <c r="M147" t="n">
        <v>0</v>
      </c>
      <c r="N147" t="n">
        <v>0</v>
      </c>
      <c r="O147" t="n">
        <v>0</v>
      </c>
      <c r="P147" t="n">
        <v>0</v>
      </c>
      <c r="Q147" t="n">
        <v>0</v>
      </c>
      <c r="R147" s="2" t="inlineStr"/>
    </row>
    <row r="148" ht="15" customHeight="1">
      <c r="A148" t="inlineStr">
        <is>
          <t>A 58491-2019</t>
        </is>
      </c>
      <c r="B148" s="1" t="n">
        <v>43773</v>
      </c>
      <c r="C148" s="1" t="n">
        <v>45845</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58558-2019</t>
        </is>
      </c>
      <c r="B149" s="1" t="n">
        <v>43773</v>
      </c>
      <c r="C149" s="1" t="n">
        <v>45845</v>
      </c>
      <c r="D149" t="inlineStr">
        <is>
          <t>UPPSALA LÄN</t>
        </is>
      </c>
      <c r="E149" t="inlineStr">
        <is>
          <t>ENKÖPING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60054-2019</t>
        </is>
      </c>
      <c r="B150" s="1" t="n">
        <v>43775</v>
      </c>
      <c r="C150" s="1" t="n">
        <v>45845</v>
      </c>
      <c r="D150" t="inlineStr">
        <is>
          <t>UPPSALA LÄN</t>
        </is>
      </c>
      <c r="E150" t="inlineStr">
        <is>
          <t>ENKÖPING</t>
        </is>
      </c>
      <c r="G150" t="n">
        <v>18.4</v>
      </c>
      <c r="H150" t="n">
        <v>0</v>
      </c>
      <c r="I150" t="n">
        <v>0</v>
      </c>
      <c r="J150" t="n">
        <v>0</v>
      </c>
      <c r="K150" t="n">
        <v>0</v>
      </c>
      <c r="L150" t="n">
        <v>0</v>
      </c>
      <c r="M150" t="n">
        <v>0</v>
      </c>
      <c r="N150" t="n">
        <v>0</v>
      </c>
      <c r="O150" t="n">
        <v>0</v>
      </c>
      <c r="P150" t="n">
        <v>0</v>
      </c>
      <c r="Q150" t="n">
        <v>0</v>
      </c>
      <c r="R150" s="2" t="inlineStr"/>
    </row>
    <row r="151" ht="15" customHeight="1">
      <c r="A151" t="inlineStr">
        <is>
          <t>A 59600-2019</t>
        </is>
      </c>
      <c r="B151" s="1" t="n">
        <v>43776</v>
      </c>
      <c r="C151" s="1" t="n">
        <v>45845</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60070-2019</t>
        </is>
      </c>
      <c r="B152" s="1" t="n">
        <v>43777</v>
      </c>
      <c r="C152" s="1" t="n">
        <v>45845</v>
      </c>
      <c r="D152" t="inlineStr">
        <is>
          <t>UPPSALA LÄN</t>
        </is>
      </c>
      <c r="E152" t="inlineStr">
        <is>
          <t>ENKÖPING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60062-2019</t>
        </is>
      </c>
      <c r="B153" s="1" t="n">
        <v>43777</v>
      </c>
      <c r="C153" s="1" t="n">
        <v>45845</v>
      </c>
      <c r="D153" t="inlineStr">
        <is>
          <t>UPPSALA LÄN</t>
        </is>
      </c>
      <c r="E153" t="inlineStr">
        <is>
          <t>ENKÖPING</t>
        </is>
      </c>
      <c r="G153" t="n">
        <v>6.4</v>
      </c>
      <c r="H153" t="n">
        <v>0</v>
      </c>
      <c r="I153" t="n">
        <v>0</v>
      </c>
      <c r="J153" t="n">
        <v>0</v>
      </c>
      <c r="K153" t="n">
        <v>0</v>
      </c>
      <c r="L153" t="n">
        <v>0</v>
      </c>
      <c r="M153" t="n">
        <v>0</v>
      </c>
      <c r="N153" t="n">
        <v>0</v>
      </c>
      <c r="O153" t="n">
        <v>0</v>
      </c>
      <c r="P153" t="n">
        <v>0</v>
      </c>
      <c r="Q153" t="n">
        <v>0</v>
      </c>
      <c r="R153" s="2" t="inlineStr"/>
    </row>
    <row r="154" ht="15" customHeight="1">
      <c r="A154" t="inlineStr">
        <is>
          <t>A 61005-2019</t>
        </is>
      </c>
      <c r="B154" s="1" t="n">
        <v>43782</v>
      </c>
      <c r="C154" s="1" t="n">
        <v>45845</v>
      </c>
      <c r="D154" t="inlineStr">
        <is>
          <t>UPPSALA LÄN</t>
        </is>
      </c>
      <c r="E154" t="inlineStr">
        <is>
          <t>ENKÖPING</t>
        </is>
      </c>
      <c r="G154" t="n">
        <v>11.8</v>
      </c>
      <c r="H154" t="n">
        <v>0</v>
      </c>
      <c r="I154" t="n">
        <v>0</v>
      </c>
      <c r="J154" t="n">
        <v>0</v>
      </c>
      <c r="K154" t="n">
        <v>0</v>
      </c>
      <c r="L154" t="n">
        <v>0</v>
      </c>
      <c r="M154" t="n">
        <v>0</v>
      </c>
      <c r="N154" t="n">
        <v>0</v>
      </c>
      <c r="O154" t="n">
        <v>0</v>
      </c>
      <c r="P154" t="n">
        <v>0</v>
      </c>
      <c r="Q154" t="n">
        <v>0</v>
      </c>
      <c r="R154" s="2" t="inlineStr"/>
    </row>
    <row r="155" ht="15" customHeight="1">
      <c r="A155" t="inlineStr">
        <is>
          <t>A 62868-2019</t>
        </is>
      </c>
      <c r="B155" s="1" t="n">
        <v>43790</v>
      </c>
      <c r="C155" s="1" t="n">
        <v>45845</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65182-2019</t>
        </is>
      </c>
      <c r="B156" s="1" t="n">
        <v>43802</v>
      </c>
      <c r="C156" s="1" t="n">
        <v>45845</v>
      </c>
      <c r="D156" t="inlineStr">
        <is>
          <t>UPPSALA LÄN</t>
        </is>
      </c>
      <c r="E156" t="inlineStr">
        <is>
          <t>ENKÖPING</t>
        </is>
      </c>
      <c r="G156" t="n">
        <v>1.5</v>
      </c>
      <c r="H156" t="n">
        <v>0</v>
      </c>
      <c r="I156" t="n">
        <v>0</v>
      </c>
      <c r="J156" t="n">
        <v>0</v>
      </c>
      <c r="K156" t="n">
        <v>0</v>
      </c>
      <c r="L156" t="n">
        <v>0</v>
      </c>
      <c r="M156" t="n">
        <v>0</v>
      </c>
      <c r="N156" t="n">
        <v>0</v>
      </c>
      <c r="O156" t="n">
        <v>0</v>
      </c>
      <c r="P156" t="n">
        <v>0</v>
      </c>
      <c r="Q156" t="n">
        <v>0</v>
      </c>
      <c r="R156" s="2" t="inlineStr"/>
    </row>
    <row r="157" ht="15" customHeight="1">
      <c r="A157" t="inlineStr">
        <is>
          <t>A 66556-2019</t>
        </is>
      </c>
      <c r="B157" s="1" t="n">
        <v>43803</v>
      </c>
      <c r="C157" s="1" t="n">
        <v>45845</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66298-2019</t>
        </is>
      </c>
      <c r="B158" s="1" t="n">
        <v>43808</v>
      </c>
      <c r="C158" s="1" t="n">
        <v>45845</v>
      </c>
      <c r="D158" t="inlineStr">
        <is>
          <t>UPPSALA LÄN</t>
        </is>
      </c>
      <c r="E158" t="inlineStr">
        <is>
          <t>ENKÖPING</t>
        </is>
      </c>
      <c r="G158" t="n">
        <v>0.4</v>
      </c>
      <c r="H158" t="n">
        <v>0</v>
      </c>
      <c r="I158" t="n">
        <v>0</v>
      </c>
      <c r="J158" t="n">
        <v>0</v>
      </c>
      <c r="K158" t="n">
        <v>0</v>
      </c>
      <c r="L158" t="n">
        <v>0</v>
      </c>
      <c r="M158" t="n">
        <v>0</v>
      </c>
      <c r="N158" t="n">
        <v>0</v>
      </c>
      <c r="O158" t="n">
        <v>0</v>
      </c>
      <c r="P158" t="n">
        <v>0</v>
      </c>
      <c r="Q158" t="n">
        <v>0</v>
      </c>
      <c r="R158" s="2" t="inlineStr"/>
    </row>
    <row r="159" ht="15" customHeight="1">
      <c r="A159" t="inlineStr">
        <is>
          <t>A 67190-2019</t>
        </is>
      </c>
      <c r="B159" s="1" t="n">
        <v>43811</v>
      </c>
      <c r="C159" s="1" t="n">
        <v>45845</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67196-2019</t>
        </is>
      </c>
      <c r="B160" s="1" t="n">
        <v>43811</v>
      </c>
      <c r="C160" s="1" t="n">
        <v>45845</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67244-2019</t>
        </is>
      </c>
      <c r="B161" s="1" t="n">
        <v>43812</v>
      </c>
      <c r="C161" s="1" t="n">
        <v>45845</v>
      </c>
      <c r="D161" t="inlineStr">
        <is>
          <t>UPPSALA LÄN</t>
        </is>
      </c>
      <c r="E161" t="inlineStr">
        <is>
          <t>ENKÖPING</t>
        </is>
      </c>
      <c r="G161" t="n">
        <v>3.2</v>
      </c>
      <c r="H161" t="n">
        <v>0</v>
      </c>
      <c r="I161" t="n">
        <v>0</v>
      </c>
      <c r="J161" t="n">
        <v>0</v>
      </c>
      <c r="K161" t="n">
        <v>0</v>
      </c>
      <c r="L161" t="n">
        <v>0</v>
      </c>
      <c r="M161" t="n">
        <v>0</v>
      </c>
      <c r="N161" t="n">
        <v>0</v>
      </c>
      <c r="O161" t="n">
        <v>0</v>
      </c>
      <c r="P161" t="n">
        <v>0</v>
      </c>
      <c r="Q161" t="n">
        <v>0</v>
      </c>
      <c r="R161" s="2" t="inlineStr"/>
    </row>
    <row r="162" ht="15" customHeight="1">
      <c r="A162" t="inlineStr">
        <is>
          <t>A 67448-2019</t>
        </is>
      </c>
      <c r="B162" s="1" t="n">
        <v>43812</v>
      </c>
      <c r="C162" s="1" t="n">
        <v>45845</v>
      </c>
      <c r="D162" t="inlineStr">
        <is>
          <t>UPPSALA LÄN</t>
        </is>
      </c>
      <c r="E162" t="inlineStr">
        <is>
          <t>ENKÖPING</t>
        </is>
      </c>
      <c r="F162" t="inlineStr">
        <is>
          <t>Allmännings- och besparingsskogar</t>
        </is>
      </c>
      <c r="G162" t="n">
        <v>15.1</v>
      </c>
      <c r="H162" t="n">
        <v>0</v>
      </c>
      <c r="I162" t="n">
        <v>0</v>
      </c>
      <c r="J162" t="n">
        <v>0</v>
      </c>
      <c r="K162" t="n">
        <v>0</v>
      </c>
      <c r="L162" t="n">
        <v>0</v>
      </c>
      <c r="M162" t="n">
        <v>0</v>
      </c>
      <c r="N162" t="n">
        <v>0</v>
      </c>
      <c r="O162" t="n">
        <v>0</v>
      </c>
      <c r="P162" t="n">
        <v>0</v>
      </c>
      <c r="Q162" t="n">
        <v>0</v>
      </c>
      <c r="R162" s="2" t="inlineStr"/>
    </row>
    <row r="163" ht="15" customHeight="1">
      <c r="A163" t="inlineStr">
        <is>
          <t>A 68186-2019</t>
        </is>
      </c>
      <c r="B163" s="1" t="n">
        <v>43817</v>
      </c>
      <c r="C163" s="1" t="n">
        <v>45845</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68188-2019</t>
        </is>
      </c>
      <c r="B164" s="1" t="n">
        <v>43817</v>
      </c>
      <c r="C164" s="1" t="n">
        <v>45845</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69015-2019</t>
        </is>
      </c>
      <c r="B165" s="1" t="n">
        <v>43826</v>
      </c>
      <c r="C165" s="1" t="n">
        <v>45845</v>
      </c>
      <c r="D165" t="inlineStr">
        <is>
          <t>UPPSALA LÄN</t>
        </is>
      </c>
      <c r="E165" t="inlineStr">
        <is>
          <t>ENKÖPING</t>
        </is>
      </c>
      <c r="G165" t="n">
        <v>15.7</v>
      </c>
      <c r="H165" t="n">
        <v>0</v>
      </c>
      <c r="I165" t="n">
        <v>0</v>
      </c>
      <c r="J165" t="n">
        <v>0</v>
      </c>
      <c r="K165" t="n">
        <v>0</v>
      </c>
      <c r="L165" t="n">
        <v>0</v>
      </c>
      <c r="M165" t="n">
        <v>0</v>
      </c>
      <c r="N165" t="n">
        <v>0</v>
      </c>
      <c r="O165" t="n">
        <v>0</v>
      </c>
      <c r="P165" t="n">
        <v>0</v>
      </c>
      <c r="Q165" t="n">
        <v>0</v>
      </c>
      <c r="R165" s="2" t="inlineStr"/>
    </row>
    <row r="166" ht="15" customHeight="1">
      <c r="A166" t="inlineStr">
        <is>
          <t>A 69029-2019</t>
        </is>
      </c>
      <c r="B166" s="1" t="n">
        <v>43826</v>
      </c>
      <c r="C166" s="1" t="n">
        <v>45845</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69016-2019</t>
        </is>
      </c>
      <c r="B167" s="1" t="n">
        <v>43826</v>
      </c>
      <c r="C167" s="1" t="n">
        <v>45845</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69020-2019</t>
        </is>
      </c>
      <c r="B168" s="1" t="n">
        <v>43826</v>
      </c>
      <c r="C168" s="1" t="n">
        <v>45845</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38-2020</t>
        </is>
      </c>
      <c r="B169" s="1" t="n">
        <v>43832</v>
      </c>
      <c r="C169" s="1" t="n">
        <v>45845</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499-2020</t>
        </is>
      </c>
      <c r="B170" s="1" t="n">
        <v>43837</v>
      </c>
      <c r="C170" s="1" t="n">
        <v>45845</v>
      </c>
      <c r="D170" t="inlineStr">
        <is>
          <t>UPPSALA LÄN</t>
        </is>
      </c>
      <c r="E170" t="inlineStr">
        <is>
          <t>ENKÖPING</t>
        </is>
      </c>
      <c r="G170" t="n">
        <v>4.9</v>
      </c>
      <c r="H170" t="n">
        <v>0</v>
      </c>
      <c r="I170" t="n">
        <v>0</v>
      </c>
      <c r="J170" t="n">
        <v>0</v>
      </c>
      <c r="K170" t="n">
        <v>0</v>
      </c>
      <c r="L170" t="n">
        <v>0</v>
      </c>
      <c r="M170" t="n">
        <v>0</v>
      </c>
      <c r="N170" t="n">
        <v>0</v>
      </c>
      <c r="O170" t="n">
        <v>0</v>
      </c>
      <c r="P170" t="n">
        <v>0</v>
      </c>
      <c r="Q170" t="n">
        <v>0</v>
      </c>
      <c r="R170" s="2" t="inlineStr"/>
    </row>
    <row r="171" ht="15" customHeight="1">
      <c r="A171" t="inlineStr">
        <is>
          <t>A 724-2020</t>
        </is>
      </c>
      <c r="B171" s="1" t="n">
        <v>43838</v>
      </c>
      <c r="C171" s="1" t="n">
        <v>45845</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892-2020</t>
        </is>
      </c>
      <c r="B172" s="1" t="n">
        <v>43839</v>
      </c>
      <c r="C172" s="1" t="n">
        <v>45845</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1348-2020</t>
        </is>
      </c>
      <c r="B173" s="1" t="n">
        <v>43843</v>
      </c>
      <c r="C173" s="1" t="n">
        <v>45845</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2182-2020</t>
        </is>
      </c>
      <c r="B174" s="1" t="n">
        <v>43846</v>
      </c>
      <c r="C174" s="1" t="n">
        <v>45845</v>
      </c>
      <c r="D174" t="inlineStr">
        <is>
          <t>UPPSALA LÄN</t>
        </is>
      </c>
      <c r="E174" t="inlineStr">
        <is>
          <t>ENKÖPING</t>
        </is>
      </c>
      <c r="F174" t="inlineStr">
        <is>
          <t>Övriga statliga verk och myndigheter</t>
        </is>
      </c>
      <c r="G174" t="n">
        <v>7.7</v>
      </c>
      <c r="H174" t="n">
        <v>0</v>
      </c>
      <c r="I174" t="n">
        <v>0</v>
      </c>
      <c r="J174" t="n">
        <v>0</v>
      </c>
      <c r="K174" t="n">
        <v>0</v>
      </c>
      <c r="L174" t="n">
        <v>0</v>
      </c>
      <c r="M174" t="n">
        <v>0</v>
      </c>
      <c r="N174" t="n">
        <v>0</v>
      </c>
      <c r="O174" t="n">
        <v>0</v>
      </c>
      <c r="P174" t="n">
        <v>0</v>
      </c>
      <c r="Q174" t="n">
        <v>0</v>
      </c>
      <c r="R174" s="2" t="inlineStr"/>
    </row>
    <row r="175" ht="15" customHeight="1">
      <c r="A175" t="inlineStr">
        <is>
          <t>A 2205-2020</t>
        </is>
      </c>
      <c r="B175" s="1" t="n">
        <v>43846</v>
      </c>
      <c r="C175" s="1" t="n">
        <v>45845</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2177-2020</t>
        </is>
      </c>
      <c r="B176" s="1" t="n">
        <v>43846</v>
      </c>
      <c r="C176" s="1" t="n">
        <v>45845</v>
      </c>
      <c r="D176" t="inlineStr">
        <is>
          <t>UPPSALA LÄN</t>
        </is>
      </c>
      <c r="E176" t="inlineStr">
        <is>
          <t>ENKÖPING</t>
        </is>
      </c>
      <c r="F176" t="inlineStr">
        <is>
          <t>Övriga statliga verk och myndigheter</t>
        </is>
      </c>
      <c r="G176" t="n">
        <v>10.2</v>
      </c>
      <c r="H176" t="n">
        <v>0</v>
      </c>
      <c r="I176" t="n">
        <v>0</v>
      </c>
      <c r="J176" t="n">
        <v>0</v>
      </c>
      <c r="K176" t="n">
        <v>0</v>
      </c>
      <c r="L176" t="n">
        <v>0</v>
      </c>
      <c r="M176" t="n">
        <v>0</v>
      </c>
      <c r="N176" t="n">
        <v>0</v>
      </c>
      <c r="O176" t="n">
        <v>0</v>
      </c>
      <c r="P176" t="n">
        <v>0</v>
      </c>
      <c r="Q176" t="n">
        <v>0</v>
      </c>
      <c r="R176" s="2" t="inlineStr"/>
    </row>
    <row r="177" ht="15" customHeight="1">
      <c r="A177" t="inlineStr">
        <is>
          <t>A 2220-2020</t>
        </is>
      </c>
      <c r="B177" s="1" t="n">
        <v>43846</v>
      </c>
      <c r="C177" s="1" t="n">
        <v>45845</v>
      </c>
      <c r="D177" t="inlineStr">
        <is>
          <t>UPPSALA LÄN</t>
        </is>
      </c>
      <c r="E177" t="inlineStr">
        <is>
          <t>ENKÖPING</t>
        </is>
      </c>
      <c r="F177" t="inlineStr">
        <is>
          <t>Övriga statliga verk och myndigheter</t>
        </is>
      </c>
      <c r="G177" t="n">
        <v>11.8</v>
      </c>
      <c r="H177" t="n">
        <v>0</v>
      </c>
      <c r="I177" t="n">
        <v>0</v>
      </c>
      <c r="J177" t="n">
        <v>0</v>
      </c>
      <c r="K177" t="n">
        <v>0</v>
      </c>
      <c r="L177" t="n">
        <v>0</v>
      </c>
      <c r="M177" t="n">
        <v>0</v>
      </c>
      <c r="N177" t="n">
        <v>0</v>
      </c>
      <c r="O177" t="n">
        <v>0</v>
      </c>
      <c r="P177" t="n">
        <v>0</v>
      </c>
      <c r="Q177" t="n">
        <v>0</v>
      </c>
      <c r="R177" s="2" t="inlineStr"/>
    </row>
    <row r="178" ht="15" customHeight="1">
      <c r="A178" t="inlineStr">
        <is>
          <t>A 2186-2020</t>
        </is>
      </c>
      <c r="B178" s="1" t="n">
        <v>43846</v>
      </c>
      <c r="C178" s="1" t="n">
        <v>45845</v>
      </c>
      <c r="D178" t="inlineStr">
        <is>
          <t>UPPSALA LÄN</t>
        </is>
      </c>
      <c r="E178" t="inlineStr">
        <is>
          <t>ENKÖPING</t>
        </is>
      </c>
      <c r="F178" t="inlineStr">
        <is>
          <t>Övriga statliga verk och myndigheter</t>
        </is>
      </c>
      <c r="G178" t="n">
        <v>12.3</v>
      </c>
      <c r="H178" t="n">
        <v>0</v>
      </c>
      <c r="I178" t="n">
        <v>0</v>
      </c>
      <c r="J178" t="n">
        <v>0</v>
      </c>
      <c r="K178" t="n">
        <v>0</v>
      </c>
      <c r="L178" t="n">
        <v>0</v>
      </c>
      <c r="M178" t="n">
        <v>0</v>
      </c>
      <c r="N178" t="n">
        <v>0</v>
      </c>
      <c r="O178" t="n">
        <v>0</v>
      </c>
      <c r="P178" t="n">
        <v>0</v>
      </c>
      <c r="Q178" t="n">
        <v>0</v>
      </c>
      <c r="R178" s="2" t="inlineStr"/>
    </row>
    <row r="179" ht="15" customHeight="1">
      <c r="A179" t="inlineStr">
        <is>
          <t>A 2225-2020</t>
        </is>
      </c>
      <c r="B179" s="1" t="n">
        <v>43846</v>
      </c>
      <c r="C179" s="1" t="n">
        <v>45845</v>
      </c>
      <c r="D179" t="inlineStr">
        <is>
          <t>UPPSALA LÄN</t>
        </is>
      </c>
      <c r="E179" t="inlineStr">
        <is>
          <t>ENKÖPING</t>
        </is>
      </c>
      <c r="F179" t="inlineStr">
        <is>
          <t>Övriga statliga verk och myndigheter</t>
        </is>
      </c>
      <c r="G179" t="n">
        <v>5.2</v>
      </c>
      <c r="H179" t="n">
        <v>0</v>
      </c>
      <c r="I179" t="n">
        <v>0</v>
      </c>
      <c r="J179" t="n">
        <v>0</v>
      </c>
      <c r="K179" t="n">
        <v>0</v>
      </c>
      <c r="L179" t="n">
        <v>0</v>
      </c>
      <c r="M179" t="n">
        <v>0</v>
      </c>
      <c r="N179" t="n">
        <v>0</v>
      </c>
      <c r="O179" t="n">
        <v>0</v>
      </c>
      <c r="P179" t="n">
        <v>0</v>
      </c>
      <c r="Q179" t="n">
        <v>0</v>
      </c>
      <c r="R179" s="2" t="inlineStr"/>
    </row>
    <row r="180" ht="15" customHeight="1">
      <c r="A180" t="inlineStr">
        <is>
          <t>A 2217-2020</t>
        </is>
      </c>
      <c r="B180" s="1" t="n">
        <v>43846</v>
      </c>
      <c r="C180" s="1" t="n">
        <v>45845</v>
      </c>
      <c r="D180" t="inlineStr">
        <is>
          <t>UPPSALA LÄN</t>
        </is>
      </c>
      <c r="E180" t="inlineStr">
        <is>
          <t>ENKÖPING</t>
        </is>
      </c>
      <c r="F180" t="inlineStr">
        <is>
          <t>Övriga statliga verk och myndigheter</t>
        </is>
      </c>
      <c r="G180" t="n">
        <v>7.7</v>
      </c>
      <c r="H180" t="n">
        <v>0</v>
      </c>
      <c r="I180" t="n">
        <v>0</v>
      </c>
      <c r="J180" t="n">
        <v>0</v>
      </c>
      <c r="K180" t="n">
        <v>0</v>
      </c>
      <c r="L180" t="n">
        <v>0</v>
      </c>
      <c r="M180" t="n">
        <v>0</v>
      </c>
      <c r="N180" t="n">
        <v>0</v>
      </c>
      <c r="O180" t="n">
        <v>0</v>
      </c>
      <c r="P180" t="n">
        <v>0</v>
      </c>
      <c r="Q180" t="n">
        <v>0</v>
      </c>
      <c r="R180" s="2" t="inlineStr"/>
    </row>
    <row r="181" ht="15" customHeight="1">
      <c r="A181" t="inlineStr">
        <is>
          <t>A 2222-2020</t>
        </is>
      </c>
      <c r="B181" s="1" t="n">
        <v>43846</v>
      </c>
      <c r="C181" s="1" t="n">
        <v>45845</v>
      </c>
      <c r="D181" t="inlineStr">
        <is>
          <t>UPPSALA LÄN</t>
        </is>
      </c>
      <c r="E181" t="inlineStr">
        <is>
          <t>ENKÖPING</t>
        </is>
      </c>
      <c r="F181" t="inlineStr">
        <is>
          <t>Övriga statliga verk och myndigheter</t>
        </is>
      </c>
      <c r="G181" t="n">
        <v>3.3</v>
      </c>
      <c r="H181" t="n">
        <v>0</v>
      </c>
      <c r="I181" t="n">
        <v>0</v>
      </c>
      <c r="J181" t="n">
        <v>0</v>
      </c>
      <c r="K181" t="n">
        <v>0</v>
      </c>
      <c r="L181" t="n">
        <v>0</v>
      </c>
      <c r="M181" t="n">
        <v>0</v>
      </c>
      <c r="N181" t="n">
        <v>0</v>
      </c>
      <c r="O181" t="n">
        <v>0</v>
      </c>
      <c r="P181" t="n">
        <v>0</v>
      </c>
      <c r="Q181" t="n">
        <v>0</v>
      </c>
      <c r="R181" s="2" t="inlineStr"/>
    </row>
    <row r="182" ht="15" customHeight="1">
      <c r="A182" t="inlineStr">
        <is>
          <t>A 4073-2020</t>
        </is>
      </c>
      <c r="B182" s="1" t="n">
        <v>43857</v>
      </c>
      <c r="C182" s="1" t="n">
        <v>45845</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5032-2020</t>
        </is>
      </c>
      <c r="B183" s="1" t="n">
        <v>43859</v>
      </c>
      <c r="C183" s="1" t="n">
        <v>45845</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5345-2020</t>
        </is>
      </c>
      <c r="B184" s="1" t="n">
        <v>43860</v>
      </c>
      <c r="C184" s="1" t="n">
        <v>45845</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5178-2020</t>
        </is>
      </c>
      <c r="B185" s="1" t="n">
        <v>43860</v>
      </c>
      <c r="C185" s="1" t="n">
        <v>45845</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6045-2020</t>
        </is>
      </c>
      <c r="B186" s="1" t="n">
        <v>43865</v>
      </c>
      <c r="C186" s="1" t="n">
        <v>45845</v>
      </c>
      <c r="D186" t="inlineStr">
        <is>
          <t>UPPSALA LÄN</t>
        </is>
      </c>
      <c r="E186" t="inlineStr">
        <is>
          <t>ENKÖPING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6320-2020</t>
        </is>
      </c>
      <c r="B187" s="1" t="n">
        <v>43866</v>
      </c>
      <c r="C187" s="1" t="n">
        <v>45845</v>
      </c>
      <c r="D187" t="inlineStr">
        <is>
          <t>UPPSALA LÄN</t>
        </is>
      </c>
      <c r="E187" t="inlineStr">
        <is>
          <t>ENKÖPING</t>
        </is>
      </c>
      <c r="F187" t="inlineStr">
        <is>
          <t>Övriga statliga verk och myndigheter</t>
        </is>
      </c>
      <c r="G187" t="n">
        <v>1.6</v>
      </c>
      <c r="H187" t="n">
        <v>0</v>
      </c>
      <c r="I187" t="n">
        <v>0</v>
      </c>
      <c r="J187" t="n">
        <v>0</v>
      </c>
      <c r="K187" t="n">
        <v>0</v>
      </c>
      <c r="L187" t="n">
        <v>0</v>
      </c>
      <c r="M187" t="n">
        <v>0</v>
      </c>
      <c r="N187" t="n">
        <v>0</v>
      </c>
      <c r="O187" t="n">
        <v>0</v>
      </c>
      <c r="P187" t="n">
        <v>0</v>
      </c>
      <c r="Q187" t="n">
        <v>0</v>
      </c>
      <c r="R187" s="2" t="inlineStr"/>
    </row>
    <row r="188" ht="15" customHeight="1">
      <c r="A188" t="inlineStr">
        <is>
          <t>A 6345-2020</t>
        </is>
      </c>
      <c r="B188" s="1" t="n">
        <v>43866</v>
      </c>
      <c r="C188" s="1" t="n">
        <v>45845</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6700-2020</t>
        </is>
      </c>
      <c r="B189" s="1" t="n">
        <v>43866</v>
      </c>
      <c r="C189" s="1" t="n">
        <v>45845</v>
      </c>
      <c r="D189" t="inlineStr">
        <is>
          <t>UPPSALA LÄN</t>
        </is>
      </c>
      <c r="E189" t="inlineStr">
        <is>
          <t>ENKÖPING</t>
        </is>
      </c>
      <c r="G189" t="n">
        <v>2.6</v>
      </c>
      <c r="H189" t="n">
        <v>0</v>
      </c>
      <c r="I189" t="n">
        <v>0</v>
      </c>
      <c r="J189" t="n">
        <v>0</v>
      </c>
      <c r="K189" t="n">
        <v>0</v>
      </c>
      <c r="L189" t="n">
        <v>0</v>
      </c>
      <c r="M189" t="n">
        <v>0</v>
      </c>
      <c r="N189" t="n">
        <v>0</v>
      </c>
      <c r="O189" t="n">
        <v>0</v>
      </c>
      <c r="P189" t="n">
        <v>0</v>
      </c>
      <c r="Q189" t="n">
        <v>0</v>
      </c>
      <c r="R189" s="2" t="inlineStr"/>
    </row>
    <row r="190" ht="15" customHeight="1">
      <c r="A190" t="inlineStr">
        <is>
          <t>A 6434-2020</t>
        </is>
      </c>
      <c r="B190" s="1" t="n">
        <v>43866</v>
      </c>
      <c r="C190" s="1" t="n">
        <v>45845</v>
      </c>
      <c r="D190" t="inlineStr">
        <is>
          <t>UPPSALA LÄN</t>
        </is>
      </c>
      <c r="E190" t="inlineStr">
        <is>
          <t>ENKÖPING</t>
        </is>
      </c>
      <c r="G190" t="n">
        <v>8.4</v>
      </c>
      <c r="H190" t="n">
        <v>0</v>
      </c>
      <c r="I190" t="n">
        <v>0</v>
      </c>
      <c r="J190" t="n">
        <v>0</v>
      </c>
      <c r="K190" t="n">
        <v>0</v>
      </c>
      <c r="L190" t="n">
        <v>0</v>
      </c>
      <c r="M190" t="n">
        <v>0</v>
      </c>
      <c r="N190" t="n">
        <v>0</v>
      </c>
      <c r="O190" t="n">
        <v>0</v>
      </c>
      <c r="P190" t="n">
        <v>0</v>
      </c>
      <c r="Q190" t="n">
        <v>0</v>
      </c>
      <c r="R190" s="2" t="inlineStr"/>
    </row>
    <row r="191" ht="15" customHeight="1">
      <c r="A191" t="inlineStr">
        <is>
          <t>A 6990-2020</t>
        </is>
      </c>
      <c r="B191" s="1" t="n">
        <v>43868</v>
      </c>
      <c r="C191" s="1" t="n">
        <v>45845</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8185-2020</t>
        </is>
      </c>
      <c r="B192" s="1" t="n">
        <v>43874</v>
      </c>
      <c r="C192" s="1" t="n">
        <v>45845</v>
      </c>
      <c r="D192" t="inlineStr">
        <is>
          <t>UPPSALA LÄN</t>
        </is>
      </c>
      <c r="E192" t="inlineStr">
        <is>
          <t>ENKÖPING</t>
        </is>
      </c>
      <c r="G192" t="n">
        <v>4.7</v>
      </c>
      <c r="H192" t="n">
        <v>0</v>
      </c>
      <c r="I192" t="n">
        <v>0</v>
      </c>
      <c r="J192" t="n">
        <v>0</v>
      </c>
      <c r="K192" t="n">
        <v>0</v>
      </c>
      <c r="L192" t="n">
        <v>0</v>
      </c>
      <c r="M192" t="n">
        <v>0</v>
      </c>
      <c r="N192" t="n">
        <v>0</v>
      </c>
      <c r="O192" t="n">
        <v>0</v>
      </c>
      <c r="P192" t="n">
        <v>0</v>
      </c>
      <c r="Q192" t="n">
        <v>0</v>
      </c>
      <c r="R192" s="2" t="inlineStr"/>
    </row>
    <row r="193" ht="15" customHeight="1">
      <c r="A193" t="inlineStr">
        <is>
          <t>A 8320-2020</t>
        </is>
      </c>
      <c r="B193" s="1" t="n">
        <v>43875</v>
      </c>
      <c r="C193" s="1" t="n">
        <v>45845</v>
      </c>
      <c r="D193" t="inlineStr">
        <is>
          <t>UPPSALA LÄN</t>
        </is>
      </c>
      <c r="E193" t="inlineStr">
        <is>
          <t>ENKÖPING</t>
        </is>
      </c>
      <c r="G193" t="n">
        <v>6.1</v>
      </c>
      <c r="H193" t="n">
        <v>0</v>
      </c>
      <c r="I193" t="n">
        <v>0</v>
      </c>
      <c r="J193" t="n">
        <v>0</v>
      </c>
      <c r="K193" t="n">
        <v>0</v>
      </c>
      <c r="L193" t="n">
        <v>0</v>
      </c>
      <c r="M193" t="n">
        <v>0</v>
      </c>
      <c r="N193" t="n">
        <v>0</v>
      </c>
      <c r="O193" t="n">
        <v>0</v>
      </c>
      <c r="P193" t="n">
        <v>0</v>
      </c>
      <c r="Q193" t="n">
        <v>0</v>
      </c>
      <c r="R193" s="2" t="inlineStr"/>
    </row>
    <row r="194" ht="15" customHeight="1">
      <c r="A194" t="inlineStr">
        <is>
          <t>A 8344-2020</t>
        </is>
      </c>
      <c r="B194" s="1" t="n">
        <v>43875</v>
      </c>
      <c r="C194" s="1" t="n">
        <v>45845</v>
      </c>
      <c r="D194" t="inlineStr">
        <is>
          <t>UPPSALA LÄN</t>
        </is>
      </c>
      <c r="E194" t="inlineStr">
        <is>
          <t>ENKÖPING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8692-2020</t>
        </is>
      </c>
      <c r="B195" s="1" t="n">
        <v>43878</v>
      </c>
      <c r="C195" s="1" t="n">
        <v>45845</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8700-2020</t>
        </is>
      </c>
      <c r="B196" s="1" t="n">
        <v>43878</v>
      </c>
      <c r="C196" s="1" t="n">
        <v>45845</v>
      </c>
      <c r="D196" t="inlineStr">
        <is>
          <t>UPPSALA LÄN</t>
        </is>
      </c>
      <c r="E196" t="inlineStr">
        <is>
          <t>ENKÖPING</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9122-2020</t>
        </is>
      </c>
      <c r="B197" s="1" t="n">
        <v>43879</v>
      </c>
      <c r="C197" s="1" t="n">
        <v>45845</v>
      </c>
      <c r="D197" t="inlineStr">
        <is>
          <t>UPPSALA LÄN</t>
        </is>
      </c>
      <c r="E197" t="inlineStr">
        <is>
          <t>ENKÖPING</t>
        </is>
      </c>
      <c r="G197" t="n">
        <v>0.9</v>
      </c>
      <c r="H197" t="n">
        <v>0</v>
      </c>
      <c r="I197" t="n">
        <v>0</v>
      </c>
      <c r="J197" t="n">
        <v>0</v>
      </c>
      <c r="K197" t="n">
        <v>0</v>
      </c>
      <c r="L197" t="n">
        <v>0</v>
      </c>
      <c r="M197" t="n">
        <v>0</v>
      </c>
      <c r="N197" t="n">
        <v>0</v>
      </c>
      <c r="O197" t="n">
        <v>0</v>
      </c>
      <c r="P197" t="n">
        <v>0</v>
      </c>
      <c r="Q197" t="n">
        <v>0</v>
      </c>
      <c r="R197" s="2" t="inlineStr"/>
    </row>
    <row r="198" ht="15" customHeight="1">
      <c r="A198" t="inlineStr">
        <is>
          <t>A 9351-2020</t>
        </is>
      </c>
      <c r="B198" s="1" t="n">
        <v>43880</v>
      </c>
      <c r="C198" s="1" t="n">
        <v>45845</v>
      </c>
      <c r="D198" t="inlineStr">
        <is>
          <t>UPPSALA LÄN</t>
        </is>
      </c>
      <c r="E198" t="inlineStr">
        <is>
          <t>ENKÖPING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9380-2020</t>
        </is>
      </c>
      <c r="B199" s="1" t="n">
        <v>43880</v>
      </c>
      <c r="C199" s="1" t="n">
        <v>45845</v>
      </c>
      <c r="D199" t="inlineStr">
        <is>
          <t>UPPSALA LÄN</t>
        </is>
      </c>
      <c r="E199" t="inlineStr">
        <is>
          <t>ENKÖPING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10795-2020</t>
        </is>
      </c>
      <c r="B200" s="1" t="n">
        <v>43888</v>
      </c>
      <c r="C200" s="1" t="n">
        <v>45845</v>
      </c>
      <c r="D200" t="inlineStr">
        <is>
          <t>UPPSALA LÄN</t>
        </is>
      </c>
      <c r="E200" t="inlineStr">
        <is>
          <t>ENKÖPING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11060-2020</t>
        </is>
      </c>
      <c r="B201" s="1" t="n">
        <v>43889</v>
      </c>
      <c r="C201" s="1" t="n">
        <v>45845</v>
      </c>
      <c r="D201" t="inlineStr">
        <is>
          <t>UPPSALA LÄN</t>
        </is>
      </c>
      <c r="E201" t="inlineStr">
        <is>
          <t>ENKÖPING</t>
        </is>
      </c>
      <c r="G201" t="n">
        <v>22.7</v>
      </c>
      <c r="H201" t="n">
        <v>0</v>
      </c>
      <c r="I201" t="n">
        <v>0</v>
      </c>
      <c r="J201" t="n">
        <v>0</v>
      </c>
      <c r="K201" t="n">
        <v>0</v>
      </c>
      <c r="L201" t="n">
        <v>0</v>
      </c>
      <c r="M201" t="n">
        <v>0</v>
      </c>
      <c r="N201" t="n">
        <v>0</v>
      </c>
      <c r="O201" t="n">
        <v>0</v>
      </c>
      <c r="P201" t="n">
        <v>0</v>
      </c>
      <c r="Q201" t="n">
        <v>0</v>
      </c>
      <c r="R201" s="2" t="inlineStr"/>
    </row>
    <row r="202" ht="15" customHeight="1">
      <c r="A202" t="inlineStr">
        <is>
          <t>A 11228-2020</t>
        </is>
      </c>
      <c r="B202" s="1" t="n">
        <v>43892</v>
      </c>
      <c r="C202" s="1" t="n">
        <v>45845</v>
      </c>
      <c r="D202" t="inlineStr">
        <is>
          <t>UPPSALA LÄN</t>
        </is>
      </c>
      <c r="E202" t="inlineStr">
        <is>
          <t>ENKÖPING</t>
        </is>
      </c>
      <c r="G202" t="n">
        <v>3.1</v>
      </c>
      <c r="H202" t="n">
        <v>0</v>
      </c>
      <c r="I202" t="n">
        <v>0</v>
      </c>
      <c r="J202" t="n">
        <v>0</v>
      </c>
      <c r="K202" t="n">
        <v>0</v>
      </c>
      <c r="L202" t="n">
        <v>0</v>
      </c>
      <c r="M202" t="n">
        <v>0</v>
      </c>
      <c r="N202" t="n">
        <v>0</v>
      </c>
      <c r="O202" t="n">
        <v>0</v>
      </c>
      <c r="P202" t="n">
        <v>0</v>
      </c>
      <c r="Q202" t="n">
        <v>0</v>
      </c>
      <c r="R202" s="2" t="inlineStr"/>
    </row>
    <row r="203" ht="15" customHeight="1">
      <c r="A203" t="inlineStr">
        <is>
          <t>A 12272-2020</t>
        </is>
      </c>
      <c r="B203" s="1" t="n">
        <v>43895</v>
      </c>
      <c r="C203" s="1" t="n">
        <v>45845</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16320-2020</t>
        </is>
      </c>
      <c r="B204" s="1" t="n">
        <v>43917</v>
      </c>
      <c r="C204" s="1" t="n">
        <v>45845</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17888-2020</t>
        </is>
      </c>
      <c r="B205" s="1" t="n">
        <v>43924</v>
      </c>
      <c r="C205" s="1" t="n">
        <v>45845</v>
      </c>
      <c r="D205" t="inlineStr">
        <is>
          <t>UPPSALA LÄN</t>
        </is>
      </c>
      <c r="E205" t="inlineStr">
        <is>
          <t>ENKÖPING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18101-2020</t>
        </is>
      </c>
      <c r="B206" s="1" t="n">
        <v>43927</v>
      </c>
      <c r="C206" s="1" t="n">
        <v>45845</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18097-2020</t>
        </is>
      </c>
      <c r="B207" s="1" t="n">
        <v>43927</v>
      </c>
      <c r="C207" s="1" t="n">
        <v>45845</v>
      </c>
      <c r="D207" t="inlineStr">
        <is>
          <t>UPPSALA LÄN</t>
        </is>
      </c>
      <c r="E207" t="inlineStr">
        <is>
          <t>ENKÖPING</t>
        </is>
      </c>
      <c r="G207" t="n">
        <v>4.6</v>
      </c>
      <c r="H207" t="n">
        <v>0</v>
      </c>
      <c r="I207" t="n">
        <v>0</v>
      </c>
      <c r="J207" t="n">
        <v>0</v>
      </c>
      <c r="K207" t="n">
        <v>0</v>
      </c>
      <c r="L207" t="n">
        <v>0</v>
      </c>
      <c r="M207" t="n">
        <v>0</v>
      </c>
      <c r="N207" t="n">
        <v>0</v>
      </c>
      <c r="O207" t="n">
        <v>0</v>
      </c>
      <c r="P207" t="n">
        <v>0</v>
      </c>
      <c r="Q207" t="n">
        <v>0</v>
      </c>
      <c r="R207" s="2" t="inlineStr"/>
    </row>
    <row r="208" ht="15" customHeight="1">
      <c r="A208" t="inlineStr">
        <is>
          <t>A 18489-2020</t>
        </is>
      </c>
      <c r="B208" s="1" t="n">
        <v>43929</v>
      </c>
      <c r="C208" s="1" t="n">
        <v>45845</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18486-2020</t>
        </is>
      </c>
      <c r="B209" s="1" t="n">
        <v>43929</v>
      </c>
      <c r="C209" s="1" t="n">
        <v>45845</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19499-2020</t>
        </is>
      </c>
      <c r="B210" s="1" t="n">
        <v>43938</v>
      </c>
      <c r="C210" s="1" t="n">
        <v>45845</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19463-2020</t>
        </is>
      </c>
      <c r="B211" s="1" t="n">
        <v>43938</v>
      </c>
      <c r="C211" s="1" t="n">
        <v>45845</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20286-2020</t>
        </is>
      </c>
      <c r="B212" s="1" t="n">
        <v>43945</v>
      </c>
      <c r="C212" s="1" t="n">
        <v>45845</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20552-2020</t>
        </is>
      </c>
      <c r="B213" s="1" t="n">
        <v>43948</v>
      </c>
      <c r="C213" s="1" t="n">
        <v>45845</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21573-2020</t>
        </is>
      </c>
      <c r="B214" s="1" t="n">
        <v>43956</v>
      </c>
      <c r="C214" s="1" t="n">
        <v>45845</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21651-2020</t>
        </is>
      </c>
      <c r="B215" s="1" t="n">
        <v>43957</v>
      </c>
      <c r="C215" s="1" t="n">
        <v>45845</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21666-2020</t>
        </is>
      </c>
      <c r="B216" s="1" t="n">
        <v>43957</v>
      </c>
      <c r="C216" s="1" t="n">
        <v>45845</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21896-2020</t>
        </is>
      </c>
      <c r="B217" s="1" t="n">
        <v>43958</v>
      </c>
      <c r="C217" s="1" t="n">
        <v>45845</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22772-2020</t>
        </is>
      </c>
      <c r="B218" s="1" t="n">
        <v>43964</v>
      </c>
      <c r="C218" s="1" t="n">
        <v>45845</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22816-2020</t>
        </is>
      </c>
      <c r="B219" s="1" t="n">
        <v>43964</v>
      </c>
      <c r="C219" s="1" t="n">
        <v>45845</v>
      </c>
      <c r="D219" t="inlineStr">
        <is>
          <t>UPPSALA LÄN</t>
        </is>
      </c>
      <c r="E219" t="inlineStr">
        <is>
          <t>ENKÖPING</t>
        </is>
      </c>
      <c r="G219" t="n">
        <v>3.3</v>
      </c>
      <c r="H219" t="n">
        <v>0</v>
      </c>
      <c r="I219" t="n">
        <v>0</v>
      </c>
      <c r="J219" t="n">
        <v>0</v>
      </c>
      <c r="K219" t="n">
        <v>0</v>
      </c>
      <c r="L219" t="n">
        <v>0</v>
      </c>
      <c r="M219" t="n">
        <v>0</v>
      </c>
      <c r="N219" t="n">
        <v>0</v>
      </c>
      <c r="O219" t="n">
        <v>0</v>
      </c>
      <c r="P219" t="n">
        <v>0</v>
      </c>
      <c r="Q219" t="n">
        <v>0</v>
      </c>
      <c r="R219" s="2" t="inlineStr"/>
    </row>
    <row r="220" ht="15" customHeight="1">
      <c r="A220" t="inlineStr">
        <is>
          <t>A 22970-2020</t>
        </is>
      </c>
      <c r="B220" s="1" t="n">
        <v>43965</v>
      </c>
      <c r="C220" s="1" t="n">
        <v>45845</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23782-2020</t>
        </is>
      </c>
      <c r="B221" s="1" t="n">
        <v>43970</v>
      </c>
      <c r="C221" s="1" t="n">
        <v>45845</v>
      </c>
      <c r="D221" t="inlineStr">
        <is>
          <t>UPPSALA LÄN</t>
        </is>
      </c>
      <c r="E221" t="inlineStr">
        <is>
          <t>ENKÖPING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23809-2020</t>
        </is>
      </c>
      <c r="B222" s="1" t="n">
        <v>43970</v>
      </c>
      <c r="C222" s="1" t="n">
        <v>45845</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23808-2020</t>
        </is>
      </c>
      <c r="B223" s="1" t="n">
        <v>43970</v>
      </c>
      <c r="C223" s="1" t="n">
        <v>45845</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24476-2020</t>
        </is>
      </c>
      <c r="B224" s="1" t="n">
        <v>43977</v>
      </c>
      <c r="C224" s="1" t="n">
        <v>45845</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24496-2020</t>
        </is>
      </c>
      <c r="B225" s="1" t="n">
        <v>43977</v>
      </c>
      <c r="C225" s="1" t="n">
        <v>45845</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25081-2020</t>
        </is>
      </c>
      <c r="B226" s="1" t="n">
        <v>43979</v>
      </c>
      <c r="C226" s="1" t="n">
        <v>45845</v>
      </c>
      <c r="D226" t="inlineStr">
        <is>
          <t>UPPSALA LÄN</t>
        </is>
      </c>
      <c r="E226" t="inlineStr">
        <is>
          <t>ENKÖPING</t>
        </is>
      </c>
      <c r="G226" t="n">
        <v>5.5</v>
      </c>
      <c r="H226" t="n">
        <v>0</v>
      </c>
      <c r="I226" t="n">
        <v>0</v>
      </c>
      <c r="J226" t="n">
        <v>0</v>
      </c>
      <c r="K226" t="n">
        <v>0</v>
      </c>
      <c r="L226" t="n">
        <v>0</v>
      </c>
      <c r="M226" t="n">
        <v>0</v>
      </c>
      <c r="N226" t="n">
        <v>0</v>
      </c>
      <c r="O226" t="n">
        <v>0</v>
      </c>
      <c r="P226" t="n">
        <v>0</v>
      </c>
      <c r="Q226" t="n">
        <v>0</v>
      </c>
      <c r="R226" s="2" t="inlineStr"/>
    </row>
    <row r="227" ht="15" customHeight="1">
      <c r="A227" t="inlineStr">
        <is>
          <t>A 25895-2020</t>
        </is>
      </c>
      <c r="B227" s="1" t="n">
        <v>43984</v>
      </c>
      <c r="C227" s="1" t="n">
        <v>45845</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26032-2020</t>
        </is>
      </c>
      <c r="B228" s="1" t="n">
        <v>43985</v>
      </c>
      <c r="C228" s="1" t="n">
        <v>45845</v>
      </c>
      <c r="D228" t="inlineStr">
        <is>
          <t>UPPSALA LÄN</t>
        </is>
      </c>
      <c r="E228" t="inlineStr">
        <is>
          <t>ENKÖPING</t>
        </is>
      </c>
      <c r="G228" t="n">
        <v>0.4</v>
      </c>
      <c r="H228" t="n">
        <v>0</v>
      </c>
      <c r="I228" t="n">
        <v>0</v>
      </c>
      <c r="J228" t="n">
        <v>0</v>
      </c>
      <c r="K228" t="n">
        <v>0</v>
      </c>
      <c r="L228" t="n">
        <v>0</v>
      </c>
      <c r="M228" t="n">
        <v>0</v>
      </c>
      <c r="N228" t="n">
        <v>0</v>
      </c>
      <c r="O228" t="n">
        <v>0</v>
      </c>
      <c r="P228" t="n">
        <v>0</v>
      </c>
      <c r="Q228" t="n">
        <v>0</v>
      </c>
      <c r="R228" s="2" t="inlineStr"/>
    </row>
    <row r="229" ht="15" customHeight="1">
      <c r="A229" t="inlineStr">
        <is>
          <t>A 26151-2020</t>
        </is>
      </c>
      <c r="B229" s="1" t="n">
        <v>43985</v>
      </c>
      <c r="C229" s="1" t="n">
        <v>45845</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26860-2020</t>
        </is>
      </c>
      <c r="B230" s="1" t="n">
        <v>43990</v>
      </c>
      <c r="C230" s="1" t="n">
        <v>45845</v>
      </c>
      <c r="D230" t="inlineStr">
        <is>
          <t>UPPSALA LÄN</t>
        </is>
      </c>
      <c r="E230" t="inlineStr">
        <is>
          <t>ENKÖPING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28799-2020</t>
        </is>
      </c>
      <c r="B231" s="1" t="n">
        <v>44000</v>
      </c>
      <c r="C231" s="1" t="n">
        <v>45845</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28801-2020</t>
        </is>
      </c>
      <c r="B232" s="1" t="n">
        <v>44000</v>
      </c>
      <c r="C232" s="1" t="n">
        <v>45845</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29934-2020</t>
        </is>
      </c>
      <c r="B233" s="1" t="n">
        <v>44006</v>
      </c>
      <c r="C233" s="1" t="n">
        <v>45845</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29948-2020</t>
        </is>
      </c>
      <c r="B234" s="1" t="n">
        <v>44006</v>
      </c>
      <c r="C234" s="1" t="n">
        <v>45845</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30280-2020</t>
        </is>
      </c>
      <c r="B235" s="1" t="n">
        <v>44007</v>
      </c>
      <c r="C235" s="1" t="n">
        <v>45845</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30571-2020</t>
        </is>
      </c>
      <c r="B236" s="1" t="n">
        <v>44008</v>
      </c>
      <c r="C236" s="1" t="n">
        <v>45845</v>
      </c>
      <c r="D236" t="inlineStr">
        <is>
          <t>UPPSALA LÄN</t>
        </is>
      </c>
      <c r="E236" t="inlineStr">
        <is>
          <t>ENKÖPING</t>
        </is>
      </c>
      <c r="G236" t="n">
        <v>8.9</v>
      </c>
      <c r="H236" t="n">
        <v>0</v>
      </c>
      <c r="I236" t="n">
        <v>0</v>
      </c>
      <c r="J236" t="n">
        <v>0</v>
      </c>
      <c r="K236" t="n">
        <v>0</v>
      </c>
      <c r="L236" t="n">
        <v>0</v>
      </c>
      <c r="M236" t="n">
        <v>0</v>
      </c>
      <c r="N236" t="n">
        <v>0</v>
      </c>
      <c r="O236" t="n">
        <v>0</v>
      </c>
      <c r="P236" t="n">
        <v>0</v>
      </c>
      <c r="Q236" t="n">
        <v>0</v>
      </c>
      <c r="R236" s="2" t="inlineStr"/>
    </row>
    <row r="237" ht="15" customHeight="1">
      <c r="A237" t="inlineStr">
        <is>
          <t>A 31472-2020</t>
        </is>
      </c>
      <c r="B237" s="1" t="n">
        <v>44013</v>
      </c>
      <c r="C237" s="1" t="n">
        <v>45845</v>
      </c>
      <c r="D237" t="inlineStr">
        <is>
          <t>UPPSALA LÄN</t>
        </is>
      </c>
      <c r="E237" t="inlineStr">
        <is>
          <t>ENKÖPING</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31473-2020</t>
        </is>
      </c>
      <c r="B238" s="1" t="n">
        <v>44013</v>
      </c>
      <c r="C238" s="1" t="n">
        <v>45845</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32209-2020</t>
        </is>
      </c>
      <c r="B239" s="1" t="n">
        <v>44015</v>
      </c>
      <c r="C239" s="1" t="n">
        <v>45845</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32047-2020</t>
        </is>
      </c>
      <c r="B240" s="1" t="n">
        <v>44015</v>
      </c>
      <c r="C240" s="1" t="n">
        <v>45845</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32454-2020</t>
        </is>
      </c>
      <c r="B241" s="1" t="n">
        <v>44018</v>
      </c>
      <c r="C241" s="1" t="n">
        <v>45845</v>
      </c>
      <c r="D241" t="inlineStr">
        <is>
          <t>UPPSALA LÄN</t>
        </is>
      </c>
      <c r="E241" t="inlineStr">
        <is>
          <t>ENKÖPING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32497-2020</t>
        </is>
      </c>
      <c r="B242" s="1" t="n">
        <v>44018</v>
      </c>
      <c r="C242" s="1" t="n">
        <v>45845</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33585-2020</t>
        </is>
      </c>
      <c r="B243" s="1" t="n">
        <v>44022</v>
      </c>
      <c r="C243" s="1" t="n">
        <v>45845</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37738-2020</t>
        </is>
      </c>
      <c r="B244" s="1" t="n">
        <v>44056</v>
      </c>
      <c r="C244" s="1" t="n">
        <v>45845</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39935-2020</t>
        </is>
      </c>
      <c r="B245" s="1" t="n">
        <v>44067</v>
      </c>
      <c r="C245" s="1" t="n">
        <v>45845</v>
      </c>
      <c r="D245" t="inlineStr">
        <is>
          <t>UPPSALA LÄN</t>
        </is>
      </c>
      <c r="E245" t="inlineStr">
        <is>
          <t>ENKÖPING</t>
        </is>
      </c>
      <c r="G245" t="n">
        <v>4.2</v>
      </c>
      <c r="H245" t="n">
        <v>0</v>
      </c>
      <c r="I245" t="n">
        <v>0</v>
      </c>
      <c r="J245" t="n">
        <v>0</v>
      </c>
      <c r="K245" t="n">
        <v>0</v>
      </c>
      <c r="L245" t="n">
        <v>0</v>
      </c>
      <c r="M245" t="n">
        <v>0</v>
      </c>
      <c r="N245" t="n">
        <v>0</v>
      </c>
      <c r="O245" t="n">
        <v>0</v>
      </c>
      <c r="P245" t="n">
        <v>0</v>
      </c>
      <c r="Q245" t="n">
        <v>0</v>
      </c>
      <c r="R245" s="2" t="inlineStr"/>
    </row>
    <row r="246" ht="15" customHeight="1">
      <c r="A246" t="inlineStr">
        <is>
          <t>A 45378-2020</t>
        </is>
      </c>
      <c r="B246" s="1" t="n">
        <v>44089</v>
      </c>
      <c r="C246" s="1" t="n">
        <v>45845</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46593-2020</t>
        </is>
      </c>
      <c r="B247" s="1" t="n">
        <v>44095</v>
      </c>
      <c r="C247" s="1" t="n">
        <v>45845</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48362-2020</t>
        </is>
      </c>
      <c r="B248" s="1" t="n">
        <v>44102</v>
      </c>
      <c r="C248" s="1" t="n">
        <v>45845</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48484-2020</t>
        </is>
      </c>
      <c r="B249" s="1" t="n">
        <v>44103</v>
      </c>
      <c r="C249" s="1" t="n">
        <v>45845</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51400-2020</t>
        </is>
      </c>
      <c r="B250" s="1" t="n">
        <v>44106</v>
      </c>
      <c r="C250" s="1" t="n">
        <v>45845</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51092-2020</t>
        </is>
      </c>
      <c r="B251" s="1" t="n">
        <v>44112</v>
      </c>
      <c r="C251" s="1" t="n">
        <v>45845</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51091-2020</t>
        </is>
      </c>
      <c r="B252" s="1" t="n">
        <v>44112</v>
      </c>
      <c r="C252" s="1" t="n">
        <v>45845</v>
      </c>
      <c r="D252" t="inlineStr">
        <is>
          <t>UPPSALA LÄN</t>
        </is>
      </c>
      <c r="E252" t="inlineStr">
        <is>
          <t>ENKÖPING</t>
        </is>
      </c>
      <c r="G252" t="n">
        <v>3.6</v>
      </c>
      <c r="H252" t="n">
        <v>0</v>
      </c>
      <c r="I252" t="n">
        <v>0</v>
      </c>
      <c r="J252" t="n">
        <v>0</v>
      </c>
      <c r="K252" t="n">
        <v>0</v>
      </c>
      <c r="L252" t="n">
        <v>0</v>
      </c>
      <c r="M252" t="n">
        <v>0</v>
      </c>
      <c r="N252" t="n">
        <v>0</v>
      </c>
      <c r="O252" t="n">
        <v>0</v>
      </c>
      <c r="P252" t="n">
        <v>0</v>
      </c>
      <c r="Q252" t="n">
        <v>0</v>
      </c>
      <c r="R252" s="2" t="inlineStr"/>
    </row>
    <row r="253" ht="15" customHeight="1">
      <c r="A253" t="inlineStr">
        <is>
          <t>A 52308-2020</t>
        </is>
      </c>
      <c r="B253" s="1" t="n">
        <v>44117</v>
      </c>
      <c r="C253" s="1" t="n">
        <v>45845</v>
      </c>
      <c r="D253" t="inlineStr">
        <is>
          <t>UPPSALA LÄN</t>
        </is>
      </c>
      <c r="E253" t="inlineStr">
        <is>
          <t>ENKÖPING</t>
        </is>
      </c>
      <c r="G253" t="n">
        <v>0.3</v>
      </c>
      <c r="H253" t="n">
        <v>0</v>
      </c>
      <c r="I253" t="n">
        <v>0</v>
      </c>
      <c r="J253" t="n">
        <v>0</v>
      </c>
      <c r="K253" t="n">
        <v>0</v>
      </c>
      <c r="L253" t="n">
        <v>0</v>
      </c>
      <c r="M253" t="n">
        <v>0</v>
      </c>
      <c r="N253" t="n">
        <v>0</v>
      </c>
      <c r="O253" t="n">
        <v>0</v>
      </c>
      <c r="P253" t="n">
        <v>0</v>
      </c>
      <c r="Q253" t="n">
        <v>0</v>
      </c>
      <c r="R253" s="2" t="inlineStr"/>
    </row>
    <row r="254" ht="15" customHeight="1">
      <c r="A254" t="inlineStr">
        <is>
          <t>A 52102-2020</t>
        </is>
      </c>
      <c r="B254" s="1" t="n">
        <v>44117</v>
      </c>
      <c r="C254" s="1" t="n">
        <v>45845</v>
      </c>
      <c r="D254" t="inlineStr">
        <is>
          <t>UPPSALA LÄN</t>
        </is>
      </c>
      <c r="E254" t="inlineStr">
        <is>
          <t>ENKÖPING</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52169-2020</t>
        </is>
      </c>
      <c r="B255" s="1" t="n">
        <v>44117</v>
      </c>
      <c r="C255" s="1" t="n">
        <v>45845</v>
      </c>
      <c r="D255" t="inlineStr">
        <is>
          <t>UPPSALA LÄN</t>
        </is>
      </c>
      <c r="E255" t="inlineStr">
        <is>
          <t>ENKÖPING</t>
        </is>
      </c>
      <c r="F255" t="inlineStr">
        <is>
          <t>Allmännings- och besparingsskogar</t>
        </is>
      </c>
      <c r="G255" t="n">
        <v>1.5</v>
      </c>
      <c r="H255" t="n">
        <v>0</v>
      </c>
      <c r="I255" t="n">
        <v>0</v>
      </c>
      <c r="J255" t="n">
        <v>0</v>
      </c>
      <c r="K255" t="n">
        <v>0</v>
      </c>
      <c r="L255" t="n">
        <v>0</v>
      </c>
      <c r="M255" t="n">
        <v>0</v>
      </c>
      <c r="N255" t="n">
        <v>0</v>
      </c>
      <c r="O255" t="n">
        <v>0</v>
      </c>
      <c r="P255" t="n">
        <v>0</v>
      </c>
      <c r="Q255" t="n">
        <v>0</v>
      </c>
      <c r="R255" s="2" t="inlineStr"/>
    </row>
    <row r="256" ht="15" customHeight="1">
      <c r="A256" t="inlineStr">
        <is>
          <t>A 52223-2020</t>
        </is>
      </c>
      <c r="B256" s="1" t="n">
        <v>44117</v>
      </c>
      <c r="C256" s="1" t="n">
        <v>45845</v>
      </c>
      <c r="D256" t="inlineStr">
        <is>
          <t>UPPSALA LÄN</t>
        </is>
      </c>
      <c r="E256" t="inlineStr">
        <is>
          <t>ENKÖPING</t>
        </is>
      </c>
      <c r="G256" t="n">
        <v>5.8</v>
      </c>
      <c r="H256" t="n">
        <v>0</v>
      </c>
      <c r="I256" t="n">
        <v>0</v>
      </c>
      <c r="J256" t="n">
        <v>0</v>
      </c>
      <c r="K256" t="n">
        <v>0</v>
      </c>
      <c r="L256" t="n">
        <v>0</v>
      </c>
      <c r="M256" t="n">
        <v>0</v>
      </c>
      <c r="N256" t="n">
        <v>0</v>
      </c>
      <c r="O256" t="n">
        <v>0</v>
      </c>
      <c r="P256" t="n">
        <v>0</v>
      </c>
      <c r="Q256" t="n">
        <v>0</v>
      </c>
      <c r="R256" s="2" t="inlineStr"/>
    </row>
    <row r="257" ht="15" customHeight="1">
      <c r="A257" t="inlineStr">
        <is>
          <t>A 52464-2020</t>
        </is>
      </c>
      <c r="B257" s="1" t="n">
        <v>44118</v>
      </c>
      <c r="C257" s="1" t="n">
        <v>45845</v>
      </c>
      <c r="D257" t="inlineStr">
        <is>
          <t>UPPSALA LÄN</t>
        </is>
      </c>
      <c r="E257" t="inlineStr">
        <is>
          <t>ENKÖPING</t>
        </is>
      </c>
      <c r="G257" t="n">
        <v>4.6</v>
      </c>
      <c r="H257" t="n">
        <v>0</v>
      </c>
      <c r="I257" t="n">
        <v>0</v>
      </c>
      <c r="J257" t="n">
        <v>0</v>
      </c>
      <c r="K257" t="n">
        <v>0</v>
      </c>
      <c r="L257" t="n">
        <v>0</v>
      </c>
      <c r="M257" t="n">
        <v>0</v>
      </c>
      <c r="N257" t="n">
        <v>0</v>
      </c>
      <c r="O257" t="n">
        <v>0</v>
      </c>
      <c r="P257" t="n">
        <v>0</v>
      </c>
      <c r="Q257" t="n">
        <v>0</v>
      </c>
      <c r="R257" s="2" t="inlineStr"/>
    </row>
    <row r="258" ht="15" customHeight="1">
      <c r="A258" t="inlineStr">
        <is>
          <t>A 53149-2020</t>
        </is>
      </c>
      <c r="B258" s="1" t="n">
        <v>44120</v>
      </c>
      <c r="C258" s="1" t="n">
        <v>45845</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53338-2020</t>
        </is>
      </c>
      <c r="B259" s="1" t="n">
        <v>44123</v>
      </c>
      <c r="C259" s="1" t="n">
        <v>45845</v>
      </c>
      <c r="D259" t="inlineStr">
        <is>
          <t>UPPSALA LÄN</t>
        </is>
      </c>
      <c r="E259" t="inlineStr">
        <is>
          <t>ENKÖPING</t>
        </is>
      </c>
      <c r="G259" t="n">
        <v>12.1</v>
      </c>
      <c r="H259" t="n">
        <v>0</v>
      </c>
      <c r="I259" t="n">
        <v>0</v>
      </c>
      <c r="J259" t="n">
        <v>0</v>
      </c>
      <c r="K259" t="n">
        <v>0</v>
      </c>
      <c r="L259" t="n">
        <v>0</v>
      </c>
      <c r="M259" t="n">
        <v>0</v>
      </c>
      <c r="N259" t="n">
        <v>0</v>
      </c>
      <c r="O259" t="n">
        <v>0</v>
      </c>
      <c r="P259" t="n">
        <v>0</v>
      </c>
      <c r="Q259" t="n">
        <v>0</v>
      </c>
      <c r="R259" s="2" t="inlineStr"/>
    </row>
    <row r="260" ht="15" customHeight="1">
      <c r="A260" t="inlineStr">
        <is>
          <t>A 53352-2020</t>
        </is>
      </c>
      <c r="B260" s="1" t="n">
        <v>44123</v>
      </c>
      <c r="C260" s="1" t="n">
        <v>45845</v>
      </c>
      <c r="D260" t="inlineStr">
        <is>
          <t>UPPSALA LÄN</t>
        </is>
      </c>
      <c r="E260" t="inlineStr">
        <is>
          <t>ENKÖPING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53343-2020</t>
        </is>
      </c>
      <c r="B261" s="1" t="n">
        <v>44123</v>
      </c>
      <c r="C261" s="1" t="n">
        <v>45845</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53337-2020</t>
        </is>
      </c>
      <c r="B262" s="1" t="n">
        <v>44123</v>
      </c>
      <c r="C262" s="1" t="n">
        <v>45845</v>
      </c>
      <c r="D262" t="inlineStr">
        <is>
          <t>UPPSALA LÄN</t>
        </is>
      </c>
      <c r="E262" t="inlineStr">
        <is>
          <t>ENKÖPING</t>
        </is>
      </c>
      <c r="G262" t="n">
        <v>6.4</v>
      </c>
      <c r="H262" t="n">
        <v>0</v>
      </c>
      <c r="I262" t="n">
        <v>0</v>
      </c>
      <c r="J262" t="n">
        <v>0</v>
      </c>
      <c r="K262" t="n">
        <v>0</v>
      </c>
      <c r="L262" t="n">
        <v>0</v>
      </c>
      <c r="M262" t="n">
        <v>0</v>
      </c>
      <c r="N262" t="n">
        <v>0</v>
      </c>
      <c r="O262" t="n">
        <v>0</v>
      </c>
      <c r="P262" t="n">
        <v>0</v>
      </c>
      <c r="Q262" t="n">
        <v>0</v>
      </c>
      <c r="R262" s="2" t="inlineStr"/>
    </row>
    <row r="263" ht="15" customHeight="1">
      <c r="A263" t="inlineStr">
        <is>
          <t>A 53344-2020</t>
        </is>
      </c>
      <c r="B263" s="1" t="n">
        <v>44123</v>
      </c>
      <c r="C263" s="1" t="n">
        <v>45845</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55051-2020</t>
        </is>
      </c>
      <c r="B264" s="1" t="n">
        <v>44130</v>
      </c>
      <c r="C264" s="1" t="n">
        <v>45845</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56919-2020</t>
        </is>
      </c>
      <c r="B265" s="1" t="n">
        <v>44138</v>
      </c>
      <c r="C265" s="1" t="n">
        <v>45845</v>
      </c>
      <c r="D265" t="inlineStr">
        <is>
          <t>UPPSALA LÄN</t>
        </is>
      </c>
      <c r="E265" t="inlineStr">
        <is>
          <t>ENKÖPING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57802-2020</t>
        </is>
      </c>
      <c r="B266" s="1" t="n">
        <v>44141</v>
      </c>
      <c r="C266" s="1" t="n">
        <v>45845</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58062-2020</t>
        </is>
      </c>
      <c r="B267" s="1" t="n">
        <v>44144</v>
      </c>
      <c r="C267" s="1" t="n">
        <v>45845</v>
      </c>
      <c r="D267" t="inlineStr">
        <is>
          <t>UPPSALA LÄN</t>
        </is>
      </c>
      <c r="E267" t="inlineStr">
        <is>
          <t>ENKÖPING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58896-2020</t>
        </is>
      </c>
      <c r="B268" s="1" t="n">
        <v>44146</v>
      </c>
      <c r="C268" s="1" t="n">
        <v>45845</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58798-2020</t>
        </is>
      </c>
      <c r="B269" s="1" t="n">
        <v>44146</v>
      </c>
      <c r="C269" s="1" t="n">
        <v>45845</v>
      </c>
      <c r="D269" t="inlineStr">
        <is>
          <t>UPPSALA LÄN</t>
        </is>
      </c>
      <c r="E269" t="inlineStr">
        <is>
          <t>ENKÖPING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59132-2020</t>
        </is>
      </c>
      <c r="B270" s="1" t="n">
        <v>44147</v>
      </c>
      <c r="C270" s="1" t="n">
        <v>45845</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59441-2020</t>
        </is>
      </c>
      <c r="B271" s="1" t="n">
        <v>44148</v>
      </c>
      <c r="C271" s="1" t="n">
        <v>45845</v>
      </c>
      <c r="D271" t="inlineStr">
        <is>
          <t>UPPSALA LÄN</t>
        </is>
      </c>
      <c r="E271" t="inlineStr">
        <is>
          <t>ENKÖPING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59428-2020</t>
        </is>
      </c>
      <c r="B272" s="1" t="n">
        <v>44148</v>
      </c>
      <c r="C272" s="1" t="n">
        <v>45845</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60138-2020</t>
        </is>
      </c>
      <c r="B273" s="1" t="n">
        <v>44151</v>
      </c>
      <c r="C273" s="1" t="n">
        <v>45845</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61711-2020</t>
        </is>
      </c>
      <c r="B274" s="1" t="n">
        <v>44158</v>
      </c>
      <c r="C274" s="1" t="n">
        <v>45845</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63715-2020</t>
        </is>
      </c>
      <c r="B275" s="1" t="n">
        <v>44166</v>
      </c>
      <c r="C275" s="1" t="n">
        <v>45845</v>
      </c>
      <c r="D275" t="inlineStr">
        <is>
          <t>UPPSALA LÄN</t>
        </is>
      </c>
      <c r="E275" t="inlineStr">
        <is>
          <t>ENKÖPING</t>
        </is>
      </c>
      <c r="F275" t="inlineStr">
        <is>
          <t>Övriga statliga verk och myndigheter</t>
        </is>
      </c>
      <c r="G275" t="n">
        <v>5.9</v>
      </c>
      <c r="H275" t="n">
        <v>0</v>
      </c>
      <c r="I275" t="n">
        <v>0</v>
      </c>
      <c r="J275" t="n">
        <v>0</v>
      </c>
      <c r="K275" t="n">
        <v>0</v>
      </c>
      <c r="L275" t="n">
        <v>0</v>
      </c>
      <c r="M275" t="n">
        <v>0</v>
      </c>
      <c r="N275" t="n">
        <v>0</v>
      </c>
      <c r="O275" t="n">
        <v>0</v>
      </c>
      <c r="P275" t="n">
        <v>0</v>
      </c>
      <c r="Q275" t="n">
        <v>0</v>
      </c>
      <c r="R275" s="2" t="inlineStr"/>
    </row>
    <row r="276" ht="15" customHeight="1">
      <c r="A276" t="inlineStr">
        <is>
          <t>A 66517-2020</t>
        </is>
      </c>
      <c r="B276" s="1" t="n">
        <v>44178</v>
      </c>
      <c r="C276" s="1" t="n">
        <v>45845</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67765-2020</t>
        </is>
      </c>
      <c r="B277" s="1" t="n">
        <v>44182</v>
      </c>
      <c r="C277" s="1" t="n">
        <v>45845</v>
      </c>
      <c r="D277" t="inlineStr">
        <is>
          <t>UPPSALA LÄN</t>
        </is>
      </c>
      <c r="E277" t="inlineStr">
        <is>
          <t>ENKÖPING</t>
        </is>
      </c>
      <c r="G277" t="n">
        <v>3.6</v>
      </c>
      <c r="H277" t="n">
        <v>0</v>
      </c>
      <c r="I277" t="n">
        <v>0</v>
      </c>
      <c r="J277" t="n">
        <v>0</v>
      </c>
      <c r="K277" t="n">
        <v>0</v>
      </c>
      <c r="L277" t="n">
        <v>0</v>
      </c>
      <c r="M277" t="n">
        <v>0</v>
      </c>
      <c r="N277" t="n">
        <v>0</v>
      </c>
      <c r="O277" t="n">
        <v>0</v>
      </c>
      <c r="P277" t="n">
        <v>0</v>
      </c>
      <c r="Q277" t="n">
        <v>0</v>
      </c>
      <c r="R277" s="2" t="inlineStr"/>
    </row>
    <row r="278" ht="15" customHeight="1">
      <c r="A278" t="inlineStr">
        <is>
          <t>A 67713-2020</t>
        </is>
      </c>
      <c r="B278" s="1" t="n">
        <v>44182</v>
      </c>
      <c r="C278" s="1" t="n">
        <v>45845</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69567-2020</t>
        </is>
      </c>
      <c r="B279" s="1" t="n">
        <v>44194</v>
      </c>
      <c r="C279" s="1" t="n">
        <v>45845</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3903-2021</t>
        </is>
      </c>
      <c r="B280" s="1" t="n">
        <v>44217</v>
      </c>
      <c r="C280" s="1" t="n">
        <v>45845</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4203-2021</t>
        </is>
      </c>
      <c r="B281" s="1" t="n">
        <v>44223</v>
      </c>
      <c r="C281" s="1" t="n">
        <v>45845</v>
      </c>
      <c r="D281" t="inlineStr">
        <is>
          <t>UPPSALA LÄN</t>
        </is>
      </c>
      <c r="E281" t="inlineStr">
        <is>
          <t>ENKÖPING</t>
        </is>
      </c>
      <c r="G281" t="n">
        <v>11.6</v>
      </c>
      <c r="H281" t="n">
        <v>0</v>
      </c>
      <c r="I281" t="n">
        <v>0</v>
      </c>
      <c r="J281" t="n">
        <v>0</v>
      </c>
      <c r="K281" t="n">
        <v>0</v>
      </c>
      <c r="L281" t="n">
        <v>0</v>
      </c>
      <c r="M281" t="n">
        <v>0</v>
      </c>
      <c r="N281" t="n">
        <v>0</v>
      </c>
      <c r="O281" t="n">
        <v>0</v>
      </c>
      <c r="P281" t="n">
        <v>0</v>
      </c>
      <c r="Q281" t="n">
        <v>0</v>
      </c>
      <c r="R281" s="2" t="inlineStr"/>
    </row>
    <row r="282" ht="15" customHeight="1">
      <c r="A282" t="inlineStr">
        <is>
          <t>A 4775-2021</t>
        </is>
      </c>
      <c r="B282" s="1" t="n">
        <v>44225</v>
      </c>
      <c r="C282" s="1" t="n">
        <v>45845</v>
      </c>
      <c r="D282" t="inlineStr">
        <is>
          <t>UPPSALA LÄN</t>
        </is>
      </c>
      <c r="E282" t="inlineStr">
        <is>
          <t>ENKÖPING</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6157-2021</t>
        </is>
      </c>
      <c r="B283" s="1" t="n">
        <v>44232</v>
      </c>
      <c r="C283" s="1" t="n">
        <v>45845</v>
      </c>
      <c r="D283" t="inlineStr">
        <is>
          <t>UPPSALA LÄN</t>
        </is>
      </c>
      <c r="E283" t="inlineStr">
        <is>
          <t>ENKÖPING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6147-2021</t>
        </is>
      </c>
      <c r="B284" s="1" t="n">
        <v>44232</v>
      </c>
      <c r="C284" s="1" t="n">
        <v>45845</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6298-2021</t>
        </is>
      </c>
      <c r="B285" s="1" t="n">
        <v>44235</v>
      </c>
      <c r="C285" s="1" t="n">
        <v>45845</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8306-2021</t>
        </is>
      </c>
      <c r="B286" s="1" t="n">
        <v>44244</v>
      </c>
      <c r="C286" s="1" t="n">
        <v>45845</v>
      </c>
      <c r="D286" t="inlineStr">
        <is>
          <t>UPPSALA LÄN</t>
        </is>
      </c>
      <c r="E286" t="inlineStr">
        <is>
          <t>ENKÖPING</t>
        </is>
      </c>
      <c r="G286" t="n">
        <v>14.9</v>
      </c>
      <c r="H286" t="n">
        <v>0</v>
      </c>
      <c r="I286" t="n">
        <v>0</v>
      </c>
      <c r="J286" t="n">
        <v>0</v>
      </c>
      <c r="K286" t="n">
        <v>0</v>
      </c>
      <c r="L286" t="n">
        <v>0</v>
      </c>
      <c r="M286" t="n">
        <v>0</v>
      </c>
      <c r="N286" t="n">
        <v>0</v>
      </c>
      <c r="O286" t="n">
        <v>0</v>
      </c>
      <c r="P286" t="n">
        <v>0</v>
      </c>
      <c r="Q286" t="n">
        <v>0</v>
      </c>
      <c r="R286" s="2" t="inlineStr"/>
    </row>
    <row r="287" ht="15" customHeight="1">
      <c r="A287" t="inlineStr">
        <is>
          <t>A 10989-2021</t>
        </is>
      </c>
      <c r="B287" s="1" t="n">
        <v>44260</v>
      </c>
      <c r="C287" s="1" t="n">
        <v>45845</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11688-2021</t>
        </is>
      </c>
      <c r="B288" s="1" t="n">
        <v>44264</v>
      </c>
      <c r="C288" s="1" t="n">
        <v>45845</v>
      </c>
      <c r="D288" t="inlineStr">
        <is>
          <t>UPPSALA LÄN</t>
        </is>
      </c>
      <c r="E288" t="inlineStr">
        <is>
          <t>ENKÖPING</t>
        </is>
      </c>
      <c r="G288" t="n">
        <v>4.7</v>
      </c>
      <c r="H288" t="n">
        <v>0</v>
      </c>
      <c r="I288" t="n">
        <v>0</v>
      </c>
      <c r="J288" t="n">
        <v>0</v>
      </c>
      <c r="K288" t="n">
        <v>0</v>
      </c>
      <c r="L288" t="n">
        <v>0</v>
      </c>
      <c r="M288" t="n">
        <v>0</v>
      </c>
      <c r="N288" t="n">
        <v>0</v>
      </c>
      <c r="O288" t="n">
        <v>0</v>
      </c>
      <c r="P288" t="n">
        <v>0</v>
      </c>
      <c r="Q288" t="n">
        <v>0</v>
      </c>
      <c r="R288" s="2" t="inlineStr"/>
    </row>
    <row r="289" ht="15" customHeight="1">
      <c r="A289" t="inlineStr">
        <is>
          <t>A 12434-2021</t>
        </is>
      </c>
      <c r="B289" s="1" t="n">
        <v>44267</v>
      </c>
      <c r="C289" s="1" t="n">
        <v>45845</v>
      </c>
      <c r="D289" t="inlineStr">
        <is>
          <t>UPPSALA LÄN</t>
        </is>
      </c>
      <c r="E289" t="inlineStr">
        <is>
          <t>ENKÖPING</t>
        </is>
      </c>
      <c r="G289" t="n">
        <v>5.3</v>
      </c>
      <c r="H289" t="n">
        <v>0</v>
      </c>
      <c r="I289" t="n">
        <v>0</v>
      </c>
      <c r="J289" t="n">
        <v>0</v>
      </c>
      <c r="K289" t="n">
        <v>0</v>
      </c>
      <c r="L289" t="n">
        <v>0</v>
      </c>
      <c r="M289" t="n">
        <v>0</v>
      </c>
      <c r="N289" t="n">
        <v>0</v>
      </c>
      <c r="O289" t="n">
        <v>0</v>
      </c>
      <c r="P289" t="n">
        <v>0</v>
      </c>
      <c r="Q289" t="n">
        <v>0</v>
      </c>
      <c r="R289" s="2" t="inlineStr"/>
    </row>
    <row r="290" ht="15" customHeight="1">
      <c r="A290" t="inlineStr">
        <is>
          <t>A 12538-2021</t>
        </is>
      </c>
      <c r="B290" s="1" t="n">
        <v>44269</v>
      </c>
      <c r="C290" s="1" t="n">
        <v>45845</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12572-2021</t>
        </is>
      </c>
      <c r="B291" s="1" t="n">
        <v>44270</v>
      </c>
      <c r="C291" s="1" t="n">
        <v>45845</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12729-2021</t>
        </is>
      </c>
      <c r="B292" s="1" t="n">
        <v>44270</v>
      </c>
      <c r="C292" s="1" t="n">
        <v>45845</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12727-2021</t>
        </is>
      </c>
      <c r="B293" s="1" t="n">
        <v>44270</v>
      </c>
      <c r="C293" s="1" t="n">
        <v>45845</v>
      </c>
      <c r="D293" t="inlineStr">
        <is>
          <t>UPPSALA LÄN</t>
        </is>
      </c>
      <c r="E293" t="inlineStr">
        <is>
          <t>ENKÖPING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12732-2021</t>
        </is>
      </c>
      <c r="B294" s="1" t="n">
        <v>44270</v>
      </c>
      <c r="C294" s="1" t="n">
        <v>45845</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13201-2021</t>
        </is>
      </c>
      <c r="B295" s="1" t="n">
        <v>44272</v>
      </c>
      <c r="C295" s="1" t="n">
        <v>45845</v>
      </c>
      <c r="D295" t="inlineStr">
        <is>
          <t>UPPSALA LÄN</t>
        </is>
      </c>
      <c r="E295" t="inlineStr">
        <is>
          <t>ENKÖPING</t>
        </is>
      </c>
      <c r="G295" t="n">
        <v>0.1</v>
      </c>
      <c r="H295" t="n">
        <v>0</v>
      </c>
      <c r="I295" t="n">
        <v>0</v>
      </c>
      <c r="J295" t="n">
        <v>0</v>
      </c>
      <c r="K295" t="n">
        <v>0</v>
      </c>
      <c r="L295" t="n">
        <v>0</v>
      </c>
      <c r="M295" t="n">
        <v>0</v>
      </c>
      <c r="N295" t="n">
        <v>0</v>
      </c>
      <c r="O295" t="n">
        <v>0</v>
      </c>
      <c r="P295" t="n">
        <v>0</v>
      </c>
      <c r="Q295" t="n">
        <v>0</v>
      </c>
      <c r="R295" s="2" t="inlineStr"/>
    </row>
    <row r="296" ht="15" customHeight="1">
      <c r="A296" t="inlineStr">
        <is>
          <t>A 13813-2021</t>
        </is>
      </c>
      <c r="B296" s="1" t="n">
        <v>44276</v>
      </c>
      <c r="C296" s="1" t="n">
        <v>45845</v>
      </c>
      <c r="D296" t="inlineStr">
        <is>
          <t>UPPSALA LÄN</t>
        </is>
      </c>
      <c r="E296" t="inlineStr">
        <is>
          <t>ENKÖPING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13816-2021</t>
        </is>
      </c>
      <c r="B297" s="1" t="n">
        <v>44276</v>
      </c>
      <c r="C297" s="1" t="n">
        <v>45845</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14840-2021</t>
        </is>
      </c>
      <c r="B298" s="1" t="n">
        <v>44280</v>
      </c>
      <c r="C298" s="1" t="n">
        <v>45845</v>
      </c>
      <c r="D298" t="inlineStr">
        <is>
          <t>UPPSALA LÄN</t>
        </is>
      </c>
      <c r="E298" t="inlineStr">
        <is>
          <t>ENKÖPING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14841-2021</t>
        </is>
      </c>
      <c r="B299" s="1" t="n">
        <v>44280</v>
      </c>
      <c r="C299" s="1" t="n">
        <v>45845</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14839-2021</t>
        </is>
      </c>
      <c r="B300" s="1" t="n">
        <v>44280</v>
      </c>
      <c r="C300" s="1" t="n">
        <v>45845</v>
      </c>
      <c r="D300" t="inlineStr">
        <is>
          <t>UPPSALA LÄN</t>
        </is>
      </c>
      <c r="E300" t="inlineStr">
        <is>
          <t>ENKÖPING</t>
        </is>
      </c>
      <c r="G300" t="n">
        <v>11.4</v>
      </c>
      <c r="H300" t="n">
        <v>0</v>
      </c>
      <c r="I300" t="n">
        <v>0</v>
      </c>
      <c r="J300" t="n">
        <v>0</v>
      </c>
      <c r="K300" t="n">
        <v>0</v>
      </c>
      <c r="L300" t="n">
        <v>0</v>
      </c>
      <c r="M300" t="n">
        <v>0</v>
      </c>
      <c r="N300" t="n">
        <v>0</v>
      </c>
      <c r="O300" t="n">
        <v>0</v>
      </c>
      <c r="P300" t="n">
        <v>0</v>
      </c>
      <c r="Q300" t="n">
        <v>0</v>
      </c>
      <c r="R300" s="2" t="inlineStr"/>
    </row>
    <row r="301" ht="15" customHeight="1">
      <c r="A301" t="inlineStr">
        <is>
          <t>A 15298-2021</t>
        </is>
      </c>
      <c r="B301" s="1" t="n">
        <v>44284</v>
      </c>
      <c r="C301" s="1" t="n">
        <v>45845</v>
      </c>
      <c r="D301" t="inlineStr">
        <is>
          <t>UPPSALA LÄN</t>
        </is>
      </c>
      <c r="E301" t="inlineStr">
        <is>
          <t>ENKÖPING</t>
        </is>
      </c>
      <c r="G301" t="n">
        <v>6</v>
      </c>
      <c r="H301" t="n">
        <v>0</v>
      </c>
      <c r="I301" t="n">
        <v>0</v>
      </c>
      <c r="J301" t="n">
        <v>0</v>
      </c>
      <c r="K301" t="n">
        <v>0</v>
      </c>
      <c r="L301" t="n">
        <v>0</v>
      </c>
      <c r="M301" t="n">
        <v>0</v>
      </c>
      <c r="N301" t="n">
        <v>0</v>
      </c>
      <c r="O301" t="n">
        <v>0</v>
      </c>
      <c r="P301" t="n">
        <v>0</v>
      </c>
      <c r="Q301" t="n">
        <v>0</v>
      </c>
      <c r="R301" s="2" t="inlineStr"/>
    </row>
    <row r="302" ht="15" customHeight="1">
      <c r="A302" t="inlineStr">
        <is>
          <t>A 15997-2021</t>
        </is>
      </c>
      <c r="B302" s="1" t="n">
        <v>44287</v>
      </c>
      <c r="C302" s="1" t="n">
        <v>45845</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16309-2021</t>
        </is>
      </c>
      <c r="B303" s="1" t="n">
        <v>44292</v>
      </c>
      <c r="C303" s="1" t="n">
        <v>45845</v>
      </c>
      <c r="D303" t="inlineStr">
        <is>
          <t>UPPSALA LÄN</t>
        </is>
      </c>
      <c r="E303" t="inlineStr">
        <is>
          <t>ENKÖPING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16498-2021</t>
        </is>
      </c>
      <c r="B304" s="1" t="n">
        <v>44293</v>
      </c>
      <c r="C304" s="1" t="n">
        <v>45845</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16683-2021</t>
        </is>
      </c>
      <c r="B305" s="1" t="n">
        <v>44294</v>
      </c>
      <c r="C305" s="1" t="n">
        <v>45845</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17264-2021</t>
        </is>
      </c>
      <c r="B306" s="1" t="n">
        <v>44298</v>
      </c>
      <c r="C306" s="1" t="n">
        <v>45845</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17268-2021</t>
        </is>
      </c>
      <c r="B307" s="1" t="n">
        <v>44298</v>
      </c>
      <c r="C307" s="1" t="n">
        <v>45845</v>
      </c>
      <c r="D307" t="inlineStr">
        <is>
          <t>UPPSALA LÄN</t>
        </is>
      </c>
      <c r="E307" t="inlineStr">
        <is>
          <t>ENKÖPING</t>
        </is>
      </c>
      <c r="G307" t="n">
        <v>0.4</v>
      </c>
      <c r="H307" t="n">
        <v>0</v>
      </c>
      <c r="I307" t="n">
        <v>0</v>
      </c>
      <c r="J307" t="n">
        <v>0</v>
      </c>
      <c r="K307" t="n">
        <v>0</v>
      </c>
      <c r="L307" t="n">
        <v>0</v>
      </c>
      <c r="M307" t="n">
        <v>0</v>
      </c>
      <c r="N307" t="n">
        <v>0</v>
      </c>
      <c r="O307" t="n">
        <v>0</v>
      </c>
      <c r="P307" t="n">
        <v>0</v>
      </c>
      <c r="Q307" t="n">
        <v>0</v>
      </c>
      <c r="R307" s="2" t="inlineStr"/>
    </row>
    <row r="308" ht="15" customHeight="1">
      <c r="A308" t="inlineStr">
        <is>
          <t>A 18328-2021</t>
        </is>
      </c>
      <c r="B308" s="1" t="n">
        <v>44305</v>
      </c>
      <c r="C308" s="1" t="n">
        <v>45845</v>
      </c>
      <c r="D308" t="inlineStr">
        <is>
          <t>UPPSALA LÄN</t>
        </is>
      </c>
      <c r="E308" t="inlineStr">
        <is>
          <t>ENKÖPING</t>
        </is>
      </c>
      <c r="G308" t="n">
        <v>9.4</v>
      </c>
      <c r="H308" t="n">
        <v>0</v>
      </c>
      <c r="I308" t="n">
        <v>0</v>
      </c>
      <c r="J308" t="n">
        <v>0</v>
      </c>
      <c r="K308" t="n">
        <v>0</v>
      </c>
      <c r="L308" t="n">
        <v>0</v>
      </c>
      <c r="M308" t="n">
        <v>0</v>
      </c>
      <c r="N308" t="n">
        <v>0</v>
      </c>
      <c r="O308" t="n">
        <v>0</v>
      </c>
      <c r="P308" t="n">
        <v>0</v>
      </c>
      <c r="Q308" t="n">
        <v>0</v>
      </c>
      <c r="R308" s="2" t="inlineStr"/>
    </row>
    <row r="309" ht="15" customHeight="1">
      <c r="A309" t="inlineStr">
        <is>
          <t>A 18584-2021</t>
        </is>
      </c>
      <c r="B309" s="1" t="n">
        <v>44306</v>
      </c>
      <c r="C309" s="1" t="n">
        <v>45845</v>
      </c>
      <c r="D309" t="inlineStr">
        <is>
          <t>UPPSALA LÄN</t>
        </is>
      </c>
      <c r="E309" t="inlineStr">
        <is>
          <t>ENKÖPING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18592-2021</t>
        </is>
      </c>
      <c r="B310" s="1" t="n">
        <v>44306</v>
      </c>
      <c r="C310" s="1" t="n">
        <v>45845</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18583-2021</t>
        </is>
      </c>
      <c r="B311" s="1" t="n">
        <v>44306</v>
      </c>
      <c r="C311" s="1" t="n">
        <v>45845</v>
      </c>
      <c r="D311" t="inlineStr">
        <is>
          <t>UPPSALA LÄN</t>
        </is>
      </c>
      <c r="E311" t="inlineStr">
        <is>
          <t>ENKÖPING</t>
        </is>
      </c>
      <c r="G311" t="n">
        <v>0.4</v>
      </c>
      <c r="H311" t="n">
        <v>0</v>
      </c>
      <c r="I311" t="n">
        <v>0</v>
      </c>
      <c r="J311" t="n">
        <v>0</v>
      </c>
      <c r="K311" t="n">
        <v>0</v>
      </c>
      <c r="L311" t="n">
        <v>0</v>
      </c>
      <c r="M311" t="n">
        <v>0</v>
      </c>
      <c r="N311" t="n">
        <v>0</v>
      </c>
      <c r="O311" t="n">
        <v>0</v>
      </c>
      <c r="P311" t="n">
        <v>0</v>
      </c>
      <c r="Q311" t="n">
        <v>0</v>
      </c>
      <c r="R311" s="2" t="inlineStr"/>
    </row>
    <row r="312" ht="15" customHeight="1">
      <c r="A312" t="inlineStr">
        <is>
          <t>A 19630-2021</t>
        </is>
      </c>
      <c r="B312" s="1" t="n">
        <v>44312</v>
      </c>
      <c r="C312" s="1" t="n">
        <v>45845</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20067-2021</t>
        </is>
      </c>
      <c r="B313" s="1" t="n">
        <v>44314</v>
      </c>
      <c r="C313" s="1" t="n">
        <v>45845</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22057-2021</t>
        </is>
      </c>
      <c r="B314" s="1" t="n">
        <v>44323</v>
      </c>
      <c r="C314" s="1" t="n">
        <v>45845</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22058-2021</t>
        </is>
      </c>
      <c r="B315" s="1" t="n">
        <v>44323</v>
      </c>
      <c r="C315" s="1" t="n">
        <v>45845</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24399-2021</t>
        </is>
      </c>
      <c r="B316" s="1" t="n">
        <v>44337</v>
      </c>
      <c r="C316" s="1" t="n">
        <v>45845</v>
      </c>
      <c r="D316" t="inlineStr">
        <is>
          <t>UPPSALA LÄN</t>
        </is>
      </c>
      <c r="E316" t="inlineStr">
        <is>
          <t>ENKÖPING</t>
        </is>
      </c>
      <c r="G316" t="n">
        <v>4</v>
      </c>
      <c r="H316" t="n">
        <v>0</v>
      </c>
      <c r="I316" t="n">
        <v>0</v>
      </c>
      <c r="J316" t="n">
        <v>0</v>
      </c>
      <c r="K316" t="n">
        <v>0</v>
      </c>
      <c r="L316" t="n">
        <v>0</v>
      </c>
      <c r="M316" t="n">
        <v>0</v>
      </c>
      <c r="N316" t="n">
        <v>0</v>
      </c>
      <c r="O316" t="n">
        <v>0</v>
      </c>
      <c r="P316" t="n">
        <v>0</v>
      </c>
      <c r="Q316" t="n">
        <v>0</v>
      </c>
      <c r="R316" s="2" t="inlineStr"/>
    </row>
    <row r="317" ht="15" customHeight="1">
      <c r="A317" t="inlineStr">
        <is>
          <t>A 25598-2021</t>
        </is>
      </c>
      <c r="B317" s="1" t="n">
        <v>44343</v>
      </c>
      <c r="C317" s="1" t="n">
        <v>45845</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27676-2021</t>
        </is>
      </c>
      <c r="B318" s="1" t="n">
        <v>44353</v>
      </c>
      <c r="C318" s="1" t="n">
        <v>45845</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28368-2021</t>
        </is>
      </c>
      <c r="B319" s="1" t="n">
        <v>44356</v>
      </c>
      <c r="C319" s="1" t="n">
        <v>45845</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28795-2021</t>
        </is>
      </c>
      <c r="B320" s="1" t="n">
        <v>44357</v>
      </c>
      <c r="C320" s="1" t="n">
        <v>45845</v>
      </c>
      <c r="D320" t="inlineStr">
        <is>
          <t>UPPSALA LÄN</t>
        </is>
      </c>
      <c r="E320" t="inlineStr">
        <is>
          <t>ENKÖPING</t>
        </is>
      </c>
      <c r="F320" t="inlineStr">
        <is>
          <t>Allmännings- och besparingsskogar</t>
        </is>
      </c>
      <c r="G320" t="n">
        <v>2.8</v>
      </c>
      <c r="H320" t="n">
        <v>0</v>
      </c>
      <c r="I320" t="n">
        <v>0</v>
      </c>
      <c r="J320" t="n">
        <v>0</v>
      </c>
      <c r="K320" t="n">
        <v>0</v>
      </c>
      <c r="L320" t="n">
        <v>0</v>
      </c>
      <c r="M320" t="n">
        <v>0</v>
      </c>
      <c r="N320" t="n">
        <v>0</v>
      </c>
      <c r="O320" t="n">
        <v>0</v>
      </c>
      <c r="P320" t="n">
        <v>0</v>
      </c>
      <c r="Q320" t="n">
        <v>0</v>
      </c>
      <c r="R320" s="2" t="inlineStr"/>
    </row>
    <row r="321" ht="15" customHeight="1">
      <c r="A321" t="inlineStr">
        <is>
          <t>A 29983-2021</t>
        </is>
      </c>
      <c r="B321" s="1" t="n">
        <v>44363</v>
      </c>
      <c r="C321" s="1" t="n">
        <v>45845</v>
      </c>
      <c r="D321" t="inlineStr">
        <is>
          <t>UPPSALA LÄN</t>
        </is>
      </c>
      <c r="E321" t="inlineStr">
        <is>
          <t>ENKÖPING</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30514-2021</t>
        </is>
      </c>
      <c r="B322" s="1" t="n">
        <v>44364</v>
      </c>
      <c r="C322" s="1" t="n">
        <v>45845</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31112-2021</t>
        </is>
      </c>
      <c r="B323" s="1" t="n">
        <v>44368</v>
      </c>
      <c r="C323" s="1" t="n">
        <v>45845</v>
      </c>
      <c r="D323" t="inlineStr">
        <is>
          <t>UPPSALA LÄN</t>
        </is>
      </c>
      <c r="E323" t="inlineStr">
        <is>
          <t>ENKÖPING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31965-2021</t>
        </is>
      </c>
      <c r="B324" s="1" t="n">
        <v>44370</v>
      </c>
      <c r="C324" s="1" t="n">
        <v>45845</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34124-2021</t>
        </is>
      </c>
      <c r="B325" s="1" t="n">
        <v>44379</v>
      </c>
      <c r="C325" s="1" t="n">
        <v>45845</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35645-2021</t>
        </is>
      </c>
      <c r="B326" s="1" t="n">
        <v>44386</v>
      </c>
      <c r="C326" s="1" t="n">
        <v>45845</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35643-2021</t>
        </is>
      </c>
      <c r="B327" s="1" t="n">
        <v>44386</v>
      </c>
      <c r="C327" s="1" t="n">
        <v>45845</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35638-2021</t>
        </is>
      </c>
      <c r="B328" s="1" t="n">
        <v>44386</v>
      </c>
      <c r="C328" s="1" t="n">
        <v>45845</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45845</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35641-2021</t>
        </is>
      </c>
      <c r="B330" s="1" t="n">
        <v>44386</v>
      </c>
      <c r="C330" s="1" t="n">
        <v>45845</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35632-2021</t>
        </is>
      </c>
      <c r="B331" s="1" t="n">
        <v>44386</v>
      </c>
      <c r="C331" s="1" t="n">
        <v>45845</v>
      </c>
      <c r="D331" t="inlineStr">
        <is>
          <t>UPPSALA LÄN</t>
        </is>
      </c>
      <c r="E331" t="inlineStr">
        <is>
          <t>ENKÖPING</t>
        </is>
      </c>
      <c r="G331" t="n">
        <v>3.1</v>
      </c>
      <c r="H331" t="n">
        <v>0</v>
      </c>
      <c r="I331" t="n">
        <v>0</v>
      </c>
      <c r="J331" t="n">
        <v>0</v>
      </c>
      <c r="K331" t="n">
        <v>0</v>
      </c>
      <c r="L331" t="n">
        <v>0</v>
      </c>
      <c r="M331" t="n">
        <v>0</v>
      </c>
      <c r="N331" t="n">
        <v>0</v>
      </c>
      <c r="O331" t="n">
        <v>0</v>
      </c>
      <c r="P331" t="n">
        <v>0</v>
      </c>
      <c r="Q331" t="n">
        <v>0</v>
      </c>
      <c r="R331" s="2" t="inlineStr"/>
    </row>
    <row r="332" ht="15" customHeight="1">
      <c r="A332" t="inlineStr">
        <is>
          <t>A 37170-2021</t>
        </is>
      </c>
      <c r="B332" s="1" t="n">
        <v>44395</v>
      </c>
      <c r="C332" s="1" t="n">
        <v>45845</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37563-2021</t>
        </is>
      </c>
      <c r="B333" s="1" t="n">
        <v>44399</v>
      </c>
      <c r="C333" s="1" t="n">
        <v>45845</v>
      </c>
      <c r="D333" t="inlineStr">
        <is>
          <t>UPPSALA LÄN</t>
        </is>
      </c>
      <c r="E333" t="inlineStr">
        <is>
          <t>ENKÖPING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37570-2021</t>
        </is>
      </c>
      <c r="B334" s="1" t="n">
        <v>44399</v>
      </c>
      <c r="C334" s="1" t="n">
        <v>45845</v>
      </c>
      <c r="D334" t="inlineStr">
        <is>
          <t>UPPSALA LÄN</t>
        </is>
      </c>
      <c r="E334" t="inlineStr">
        <is>
          <t>ENKÖPING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37573-2021</t>
        </is>
      </c>
      <c r="B335" s="1" t="n">
        <v>44399</v>
      </c>
      <c r="C335" s="1" t="n">
        <v>45845</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37568-2021</t>
        </is>
      </c>
      <c r="B336" s="1" t="n">
        <v>44399</v>
      </c>
      <c r="C336" s="1" t="n">
        <v>45845</v>
      </c>
      <c r="D336" t="inlineStr">
        <is>
          <t>UPPSALA LÄN</t>
        </is>
      </c>
      <c r="E336" t="inlineStr">
        <is>
          <t>ENKÖPING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37564-2021</t>
        </is>
      </c>
      <c r="B337" s="1" t="n">
        <v>44399</v>
      </c>
      <c r="C337" s="1" t="n">
        <v>45845</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37571-2021</t>
        </is>
      </c>
      <c r="B338" s="1" t="n">
        <v>44399</v>
      </c>
      <c r="C338" s="1" t="n">
        <v>45845</v>
      </c>
      <c r="D338" t="inlineStr">
        <is>
          <t>UPPSALA LÄN</t>
        </is>
      </c>
      <c r="E338" t="inlineStr">
        <is>
          <t>ENKÖPING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42021-2021</t>
        </is>
      </c>
      <c r="B339" s="1" t="n">
        <v>44426</v>
      </c>
      <c r="C339" s="1" t="n">
        <v>45845</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42029-2021</t>
        </is>
      </c>
      <c r="B340" s="1" t="n">
        <v>44426</v>
      </c>
      <c r="C340" s="1" t="n">
        <v>45845</v>
      </c>
      <c r="D340" t="inlineStr">
        <is>
          <t>UPPSALA LÄN</t>
        </is>
      </c>
      <c r="E340" t="inlineStr">
        <is>
          <t>ENKÖPING</t>
        </is>
      </c>
      <c r="G340" t="n">
        <v>5.3</v>
      </c>
      <c r="H340" t="n">
        <v>0</v>
      </c>
      <c r="I340" t="n">
        <v>0</v>
      </c>
      <c r="J340" t="n">
        <v>0</v>
      </c>
      <c r="K340" t="n">
        <v>0</v>
      </c>
      <c r="L340" t="n">
        <v>0</v>
      </c>
      <c r="M340" t="n">
        <v>0</v>
      </c>
      <c r="N340" t="n">
        <v>0</v>
      </c>
      <c r="O340" t="n">
        <v>0</v>
      </c>
      <c r="P340" t="n">
        <v>0</v>
      </c>
      <c r="Q340" t="n">
        <v>0</v>
      </c>
      <c r="R340" s="2" t="inlineStr"/>
    </row>
    <row r="341" ht="15" customHeight="1">
      <c r="A341" t="inlineStr">
        <is>
          <t>A 43016-2021</t>
        </is>
      </c>
      <c r="B341" s="1" t="n">
        <v>44431</v>
      </c>
      <c r="C341" s="1" t="n">
        <v>45845</v>
      </c>
      <c r="D341" t="inlineStr">
        <is>
          <t>UPPSALA LÄN</t>
        </is>
      </c>
      <c r="E341" t="inlineStr">
        <is>
          <t>ENKÖPING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44727-2021</t>
        </is>
      </c>
      <c r="B342" s="1" t="n">
        <v>44438</v>
      </c>
      <c r="C342" s="1" t="n">
        <v>45845</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47106-2021</t>
        </is>
      </c>
      <c r="B343" s="1" t="n">
        <v>44446</v>
      </c>
      <c r="C343" s="1" t="n">
        <v>45845</v>
      </c>
      <c r="D343" t="inlineStr">
        <is>
          <t>UPPSALA LÄN</t>
        </is>
      </c>
      <c r="E343" t="inlineStr">
        <is>
          <t>ENKÖPING</t>
        </is>
      </c>
      <c r="G343" t="n">
        <v>7.6</v>
      </c>
      <c r="H343" t="n">
        <v>0</v>
      </c>
      <c r="I343" t="n">
        <v>0</v>
      </c>
      <c r="J343" t="n">
        <v>0</v>
      </c>
      <c r="K343" t="n">
        <v>0</v>
      </c>
      <c r="L343" t="n">
        <v>0</v>
      </c>
      <c r="M343" t="n">
        <v>0</v>
      </c>
      <c r="N343" t="n">
        <v>0</v>
      </c>
      <c r="O343" t="n">
        <v>0</v>
      </c>
      <c r="P343" t="n">
        <v>0</v>
      </c>
      <c r="Q343" t="n">
        <v>0</v>
      </c>
      <c r="R343" s="2" t="inlineStr"/>
    </row>
    <row r="344" ht="15" customHeight="1">
      <c r="A344" t="inlineStr">
        <is>
          <t>A 48981-2021</t>
        </is>
      </c>
      <c r="B344" s="1" t="n">
        <v>44453</v>
      </c>
      <c r="C344" s="1" t="n">
        <v>45845</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49375-2021</t>
        </is>
      </c>
      <c r="B345" s="1" t="n">
        <v>44454</v>
      </c>
      <c r="C345" s="1" t="n">
        <v>45845</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49525-2021</t>
        </is>
      </c>
      <c r="B346" s="1" t="n">
        <v>44455</v>
      </c>
      <c r="C346" s="1" t="n">
        <v>45845</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50893-2021</t>
        </is>
      </c>
      <c r="B347" s="1" t="n">
        <v>44460</v>
      </c>
      <c r="C347" s="1" t="n">
        <v>45845</v>
      </c>
      <c r="D347" t="inlineStr">
        <is>
          <t>UPPSALA LÄN</t>
        </is>
      </c>
      <c r="E347" t="inlineStr">
        <is>
          <t>ENKÖPING</t>
        </is>
      </c>
      <c r="G347" t="n">
        <v>7.3</v>
      </c>
      <c r="H347" t="n">
        <v>0</v>
      </c>
      <c r="I347" t="n">
        <v>0</v>
      </c>
      <c r="J347" t="n">
        <v>0</v>
      </c>
      <c r="K347" t="n">
        <v>0</v>
      </c>
      <c r="L347" t="n">
        <v>0</v>
      </c>
      <c r="M347" t="n">
        <v>0</v>
      </c>
      <c r="N347" t="n">
        <v>0</v>
      </c>
      <c r="O347" t="n">
        <v>0</v>
      </c>
      <c r="P347" t="n">
        <v>0</v>
      </c>
      <c r="Q347" t="n">
        <v>0</v>
      </c>
      <c r="R347" s="2" t="inlineStr"/>
    </row>
    <row r="348" ht="15" customHeight="1">
      <c r="A348" t="inlineStr">
        <is>
          <t>A 52014-2021</t>
        </is>
      </c>
      <c r="B348" s="1" t="n">
        <v>44463</v>
      </c>
      <c r="C348" s="1" t="n">
        <v>45845</v>
      </c>
      <c r="D348" t="inlineStr">
        <is>
          <t>UPPSALA LÄN</t>
        </is>
      </c>
      <c r="E348" t="inlineStr">
        <is>
          <t>ENKÖPING</t>
        </is>
      </c>
      <c r="G348" t="n">
        <v>5.8</v>
      </c>
      <c r="H348" t="n">
        <v>0</v>
      </c>
      <c r="I348" t="n">
        <v>0</v>
      </c>
      <c r="J348" t="n">
        <v>0</v>
      </c>
      <c r="K348" t="n">
        <v>0</v>
      </c>
      <c r="L348" t="n">
        <v>0</v>
      </c>
      <c r="M348" t="n">
        <v>0</v>
      </c>
      <c r="N348" t="n">
        <v>0</v>
      </c>
      <c r="O348" t="n">
        <v>0</v>
      </c>
      <c r="P348" t="n">
        <v>0</v>
      </c>
      <c r="Q348" t="n">
        <v>0</v>
      </c>
      <c r="R348" s="2" t="inlineStr"/>
    </row>
    <row r="349" ht="15" customHeight="1">
      <c r="A349" t="inlineStr">
        <is>
          <t>A 54433-2021</t>
        </is>
      </c>
      <c r="B349" s="1" t="n">
        <v>44473</v>
      </c>
      <c r="C349" s="1" t="n">
        <v>45845</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54595-2021</t>
        </is>
      </c>
      <c r="B350" s="1" t="n">
        <v>44473</v>
      </c>
      <c r="C350" s="1" t="n">
        <v>45845</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55582-2021</t>
        </is>
      </c>
      <c r="B351" s="1" t="n">
        <v>44475</v>
      </c>
      <c r="C351" s="1" t="n">
        <v>45845</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56163-2021</t>
        </is>
      </c>
      <c r="B352" s="1" t="n">
        <v>44477</v>
      </c>
      <c r="C352" s="1" t="n">
        <v>45845</v>
      </c>
      <c r="D352" t="inlineStr">
        <is>
          <t>UPPSALA LÄN</t>
        </is>
      </c>
      <c r="E352" t="inlineStr">
        <is>
          <t>ENKÖPING</t>
        </is>
      </c>
      <c r="F352" t="inlineStr">
        <is>
          <t>Allmännings- och besparingsskogar</t>
        </is>
      </c>
      <c r="G352" t="n">
        <v>0.6</v>
      </c>
      <c r="H352" t="n">
        <v>0</v>
      </c>
      <c r="I352" t="n">
        <v>0</v>
      </c>
      <c r="J352" t="n">
        <v>0</v>
      </c>
      <c r="K352" t="n">
        <v>0</v>
      </c>
      <c r="L352" t="n">
        <v>0</v>
      </c>
      <c r="M352" t="n">
        <v>0</v>
      </c>
      <c r="N352" t="n">
        <v>0</v>
      </c>
      <c r="O352" t="n">
        <v>0</v>
      </c>
      <c r="P352" t="n">
        <v>0</v>
      </c>
      <c r="Q352" t="n">
        <v>0</v>
      </c>
      <c r="R352" s="2" t="inlineStr"/>
    </row>
    <row r="353" ht="15" customHeight="1">
      <c r="A353" t="inlineStr">
        <is>
          <t>A 56176-2021</t>
        </is>
      </c>
      <c r="B353" s="1" t="n">
        <v>44477</v>
      </c>
      <c r="C353" s="1" t="n">
        <v>45845</v>
      </c>
      <c r="D353" t="inlineStr">
        <is>
          <t>UPPSALA LÄN</t>
        </is>
      </c>
      <c r="E353" t="inlineStr">
        <is>
          <t>ENKÖPING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57043-2021</t>
        </is>
      </c>
      <c r="B354" s="1" t="n">
        <v>44482</v>
      </c>
      <c r="C354" s="1" t="n">
        <v>45845</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57055-2021</t>
        </is>
      </c>
      <c r="B355" s="1" t="n">
        <v>44482</v>
      </c>
      <c r="C355" s="1" t="n">
        <v>45845</v>
      </c>
      <c r="D355" t="inlineStr">
        <is>
          <t>UPPSALA LÄN</t>
        </is>
      </c>
      <c r="E355" t="inlineStr">
        <is>
          <t>ENKÖPING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57066-2021</t>
        </is>
      </c>
      <c r="B356" s="1" t="n">
        <v>44482</v>
      </c>
      <c r="C356" s="1" t="n">
        <v>45845</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57078-2021</t>
        </is>
      </c>
      <c r="B357" s="1" t="n">
        <v>44482</v>
      </c>
      <c r="C357" s="1" t="n">
        <v>45845</v>
      </c>
      <c r="D357" t="inlineStr">
        <is>
          <t>UPPSALA LÄN</t>
        </is>
      </c>
      <c r="E357" t="inlineStr">
        <is>
          <t>ENKÖPING</t>
        </is>
      </c>
      <c r="G357" t="n">
        <v>3</v>
      </c>
      <c r="H357" t="n">
        <v>0</v>
      </c>
      <c r="I357" t="n">
        <v>0</v>
      </c>
      <c r="J357" t="n">
        <v>0</v>
      </c>
      <c r="K357" t="n">
        <v>0</v>
      </c>
      <c r="L357" t="n">
        <v>0</v>
      </c>
      <c r="M357" t="n">
        <v>0</v>
      </c>
      <c r="N357" t="n">
        <v>0</v>
      </c>
      <c r="O357" t="n">
        <v>0</v>
      </c>
      <c r="P357" t="n">
        <v>0</v>
      </c>
      <c r="Q357" t="n">
        <v>0</v>
      </c>
      <c r="R357" s="2" t="inlineStr"/>
    </row>
    <row r="358" ht="15" customHeight="1">
      <c r="A358" t="inlineStr">
        <is>
          <t>A 57142-2021</t>
        </is>
      </c>
      <c r="B358" s="1" t="n">
        <v>44482</v>
      </c>
      <c r="C358" s="1" t="n">
        <v>45845</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57153-2021</t>
        </is>
      </c>
      <c r="B359" s="1" t="n">
        <v>44482</v>
      </c>
      <c r="C359" s="1" t="n">
        <v>45845</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57147-2021</t>
        </is>
      </c>
      <c r="B360" s="1" t="n">
        <v>44482</v>
      </c>
      <c r="C360" s="1" t="n">
        <v>45845</v>
      </c>
      <c r="D360" t="inlineStr">
        <is>
          <t>UPPSALA LÄN</t>
        </is>
      </c>
      <c r="E360" t="inlineStr">
        <is>
          <t>ENKÖPING</t>
        </is>
      </c>
      <c r="G360" t="n">
        <v>5.7</v>
      </c>
      <c r="H360" t="n">
        <v>0</v>
      </c>
      <c r="I360" t="n">
        <v>0</v>
      </c>
      <c r="J360" t="n">
        <v>0</v>
      </c>
      <c r="K360" t="n">
        <v>0</v>
      </c>
      <c r="L360" t="n">
        <v>0</v>
      </c>
      <c r="M360" t="n">
        <v>0</v>
      </c>
      <c r="N360" t="n">
        <v>0</v>
      </c>
      <c r="O360" t="n">
        <v>0</v>
      </c>
      <c r="P360" t="n">
        <v>0</v>
      </c>
      <c r="Q360" t="n">
        <v>0</v>
      </c>
      <c r="R360" s="2" t="inlineStr"/>
    </row>
    <row r="361" ht="15" customHeight="1">
      <c r="A361" t="inlineStr">
        <is>
          <t>A 57152-2021</t>
        </is>
      </c>
      <c r="B361" s="1" t="n">
        <v>44482</v>
      </c>
      <c r="C361" s="1" t="n">
        <v>45845</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59121-2021</t>
        </is>
      </c>
      <c r="B362" s="1" t="n">
        <v>44490</v>
      </c>
      <c r="C362" s="1" t="n">
        <v>45845</v>
      </c>
      <c r="D362" t="inlineStr">
        <is>
          <t>UPPSALA LÄN</t>
        </is>
      </c>
      <c r="E362" t="inlineStr">
        <is>
          <t>ENKÖPING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60533-2021</t>
        </is>
      </c>
      <c r="B363" s="1" t="n">
        <v>44496</v>
      </c>
      <c r="C363" s="1" t="n">
        <v>45845</v>
      </c>
      <c r="D363" t="inlineStr">
        <is>
          <t>UPPSALA LÄN</t>
        </is>
      </c>
      <c r="E363" t="inlineStr">
        <is>
          <t>ENKÖPING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60874-2021</t>
        </is>
      </c>
      <c r="B364" s="1" t="n">
        <v>44497</v>
      </c>
      <c r="C364" s="1" t="n">
        <v>45845</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61076-2021</t>
        </is>
      </c>
      <c r="B365" s="1" t="n">
        <v>44497</v>
      </c>
      <c r="C365" s="1" t="n">
        <v>45845</v>
      </c>
      <c r="D365" t="inlineStr">
        <is>
          <t>UPPSALA LÄN</t>
        </is>
      </c>
      <c r="E365" t="inlineStr">
        <is>
          <t>ENKÖPING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61553-2021</t>
        </is>
      </c>
      <c r="B366" s="1" t="n">
        <v>44501</v>
      </c>
      <c r="C366" s="1" t="n">
        <v>45845</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61952-2021</t>
        </is>
      </c>
      <c r="B367" s="1" t="n">
        <v>44502</v>
      </c>
      <c r="C367" s="1" t="n">
        <v>45845</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62046-2021</t>
        </is>
      </c>
      <c r="B368" s="1" t="n">
        <v>44502</v>
      </c>
      <c r="C368" s="1" t="n">
        <v>45845</v>
      </c>
      <c r="D368" t="inlineStr">
        <is>
          <t>UPPSALA LÄN</t>
        </is>
      </c>
      <c r="E368" t="inlineStr">
        <is>
          <t>ENKÖPING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63310-2021</t>
        </is>
      </c>
      <c r="B369" s="1" t="n">
        <v>44508</v>
      </c>
      <c r="C369" s="1" t="n">
        <v>45845</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63400-2021</t>
        </is>
      </c>
      <c r="B370" s="1" t="n">
        <v>44508</v>
      </c>
      <c r="C370" s="1" t="n">
        <v>45845</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63405-2021</t>
        </is>
      </c>
      <c r="B371" s="1" t="n">
        <v>44508</v>
      </c>
      <c r="C371" s="1" t="n">
        <v>45845</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67982-2021</t>
        </is>
      </c>
      <c r="B372" s="1" t="n">
        <v>44525</v>
      </c>
      <c r="C372" s="1" t="n">
        <v>45845</v>
      </c>
      <c r="D372" t="inlineStr">
        <is>
          <t>UPPSALA LÄN</t>
        </is>
      </c>
      <c r="E372" t="inlineStr">
        <is>
          <t>ENKÖPING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67984-2021</t>
        </is>
      </c>
      <c r="B373" s="1" t="n">
        <v>44525</v>
      </c>
      <c r="C373" s="1" t="n">
        <v>45845</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68118-2021</t>
        </is>
      </c>
      <c r="B374" s="1" t="n">
        <v>44526</v>
      </c>
      <c r="C374" s="1" t="n">
        <v>45845</v>
      </c>
      <c r="D374" t="inlineStr">
        <is>
          <t>UPPSALA LÄN</t>
        </is>
      </c>
      <c r="E374" t="inlineStr">
        <is>
          <t>ENKÖPING</t>
        </is>
      </c>
      <c r="G374" t="n">
        <v>4.7</v>
      </c>
      <c r="H374" t="n">
        <v>0</v>
      </c>
      <c r="I374" t="n">
        <v>0</v>
      </c>
      <c r="J374" t="n">
        <v>0</v>
      </c>
      <c r="K374" t="n">
        <v>0</v>
      </c>
      <c r="L374" t="n">
        <v>0</v>
      </c>
      <c r="M374" t="n">
        <v>0</v>
      </c>
      <c r="N374" t="n">
        <v>0</v>
      </c>
      <c r="O374" t="n">
        <v>0</v>
      </c>
      <c r="P374" t="n">
        <v>0</v>
      </c>
      <c r="Q374" t="n">
        <v>0</v>
      </c>
      <c r="R374" s="2" t="inlineStr"/>
    </row>
    <row r="375" ht="15" customHeight="1">
      <c r="A375" t="inlineStr">
        <is>
          <t>A 68127-2021</t>
        </is>
      </c>
      <c r="B375" s="1" t="n">
        <v>44526</v>
      </c>
      <c r="C375" s="1" t="n">
        <v>45845</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68107-2021</t>
        </is>
      </c>
      <c r="B376" s="1" t="n">
        <v>44526</v>
      </c>
      <c r="C376" s="1" t="n">
        <v>45845</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68130-2021</t>
        </is>
      </c>
      <c r="B377" s="1" t="n">
        <v>44526</v>
      </c>
      <c r="C377" s="1" t="n">
        <v>45845</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68123-2021</t>
        </is>
      </c>
      <c r="B378" s="1" t="n">
        <v>44526</v>
      </c>
      <c r="C378" s="1" t="n">
        <v>45845</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69344-2021</t>
        </is>
      </c>
      <c r="B379" s="1" t="n">
        <v>44531</v>
      </c>
      <c r="C379" s="1" t="n">
        <v>45845</v>
      </c>
      <c r="D379" t="inlineStr">
        <is>
          <t>UPPSALA LÄN</t>
        </is>
      </c>
      <c r="E379" t="inlineStr">
        <is>
          <t>ENKÖPING</t>
        </is>
      </c>
      <c r="G379" t="n">
        <v>2.9</v>
      </c>
      <c r="H379" t="n">
        <v>0</v>
      </c>
      <c r="I379" t="n">
        <v>0</v>
      </c>
      <c r="J379" t="n">
        <v>0</v>
      </c>
      <c r="K379" t="n">
        <v>0</v>
      </c>
      <c r="L379" t="n">
        <v>0</v>
      </c>
      <c r="M379" t="n">
        <v>0</v>
      </c>
      <c r="N379" t="n">
        <v>0</v>
      </c>
      <c r="O379" t="n">
        <v>0</v>
      </c>
      <c r="P379" t="n">
        <v>0</v>
      </c>
      <c r="Q379" t="n">
        <v>0</v>
      </c>
      <c r="R379" s="2" t="inlineStr"/>
    </row>
    <row r="380" ht="15" customHeight="1">
      <c r="A380" t="inlineStr">
        <is>
          <t>A 69791-2021</t>
        </is>
      </c>
      <c r="B380" s="1" t="n">
        <v>44532</v>
      </c>
      <c r="C380" s="1" t="n">
        <v>45845</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69794-2021</t>
        </is>
      </c>
      <c r="B381" s="1" t="n">
        <v>44532</v>
      </c>
      <c r="C381" s="1" t="n">
        <v>45845</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69879-2021</t>
        </is>
      </c>
      <c r="B382" s="1" t="n">
        <v>44532</v>
      </c>
      <c r="C382" s="1" t="n">
        <v>45845</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71641-2021</t>
        </is>
      </c>
      <c r="B383" s="1" t="n">
        <v>44543</v>
      </c>
      <c r="C383" s="1" t="n">
        <v>45845</v>
      </c>
      <c r="D383" t="inlineStr">
        <is>
          <t>UPPSALA LÄN</t>
        </is>
      </c>
      <c r="E383" t="inlineStr">
        <is>
          <t>ENKÖPING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72628-2021</t>
        </is>
      </c>
      <c r="B384" s="1" t="n">
        <v>44546</v>
      </c>
      <c r="C384" s="1" t="n">
        <v>45845</v>
      </c>
      <c r="D384" t="inlineStr">
        <is>
          <t>UPPSALA LÄN</t>
        </is>
      </c>
      <c r="E384" t="inlineStr">
        <is>
          <t>ENKÖPING</t>
        </is>
      </c>
      <c r="F384" t="inlineStr">
        <is>
          <t>Allmännings- och besparingsskogar</t>
        </is>
      </c>
      <c r="G384" t="n">
        <v>7.1</v>
      </c>
      <c r="H384" t="n">
        <v>0</v>
      </c>
      <c r="I384" t="n">
        <v>0</v>
      </c>
      <c r="J384" t="n">
        <v>0</v>
      </c>
      <c r="K384" t="n">
        <v>0</v>
      </c>
      <c r="L384" t="n">
        <v>0</v>
      </c>
      <c r="M384" t="n">
        <v>0</v>
      </c>
      <c r="N384" t="n">
        <v>0</v>
      </c>
      <c r="O384" t="n">
        <v>0</v>
      </c>
      <c r="P384" t="n">
        <v>0</v>
      </c>
      <c r="Q384" t="n">
        <v>0</v>
      </c>
      <c r="R384" s="2" t="inlineStr"/>
    </row>
    <row r="385" ht="15" customHeight="1">
      <c r="A385" t="inlineStr">
        <is>
          <t>A 72840-2021</t>
        </is>
      </c>
      <c r="B385" s="1" t="n">
        <v>44547</v>
      </c>
      <c r="C385" s="1" t="n">
        <v>45845</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74090-2021</t>
        </is>
      </c>
      <c r="B386" s="1" t="n">
        <v>44557</v>
      </c>
      <c r="C386" s="1" t="n">
        <v>45845</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498-2022</t>
        </is>
      </c>
      <c r="B387" s="1" t="n">
        <v>44566</v>
      </c>
      <c r="C387" s="1" t="n">
        <v>45845</v>
      </c>
      <c r="D387" t="inlineStr">
        <is>
          <t>UPPSALA LÄN</t>
        </is>
      </c>
      <c r="E387" t="inlineStr">
        <is>
          <t>ENKÖPING</t>
        </is>
      </c>
      <c r="F387" t="inlineStr">
        <is>
          <t>Övriga statliga verk och myndigheter</t>
        </is>
      </c>
      <c r="G387" t="n">
        <v>11.1</v>
      </c>
      <c r="H387" t="n">
        <v>0</v>
      </c>
      <c r="I387" t="n">
        <v>0</v>
      </c>
      <c r="J387" t="n">
        <v>0</v>
      </c>
      <c r="K387" t="n">
        <v>0</v>
      </c>
      <c r="L387" t="n">
        <v>0</v>
      </c>
      <c r="M387" t="n">
        <v>0</v>
      </c>
      <c r="N387" t="n">
        <v>0</v>
      </c>
      <c r="O387" t="n">
        <v>0</v>
      </c>
      <c r="P387" t="n">
        <v>0</v>
      </c>
      <c r="Q387" t="n">
        <v>0</v>
      </c>
      <c r="R387" s="2" t="inlineStr"/>
    </row>
    <row r="388" ht="15" customHeight="1">
      <c r="A388" t="inlineStr">
        <is>
          <t>A 671-2022</t>
        </is>
      </c>
      <c r="B388" s="1" t="n">
        <v>44568</v>
      </c>
      <c r="C388" s="1" t="n">
        <v>45845</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1971-2022</t>
        </is>
      </c>
      <c r="B389" s="1" t="n">
        <v>44575</v>
      </c>
      <c r="C389" s="1" t="n">
        <v>45845</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1962-2022</t>
        </is>
      </c>
      <c r="B390" s="1" t="n">
        <v>44575</v>
      </c>
      <c r="C390" s="1" t="n">
        <v>45845</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1979-2022</t>
        </is>
      </c>
      <c r="B391" s="1" t="n">
        <v>44575</v>
      </c>
      <c r="C391" s="1" t="n">
        <v>45845</v>
      </c>
      <c r="D391" t="inlineStr">
        <is>
          <t>UPPSALA LÄN</t>
        </is>
      </c>
      <c r="E391" t="inlineStr">
        <is>
          <t>ENKÖPING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1992-2022</t>
        </is>
      </c>
      <c r="B392" s="1" t="n">
        <v>44575</v>
      </c>
      <c r="C392" s="1" t="n">
        <v>45845</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1960-2022</t>
        </is>
      </c>
      <c r="B393" s="1" t="n">
        <v>44575</v>
      </c>
      <c r="C393" s="1" t="n">
        <v>45845</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1965-2022</t>
        </is>
      </c>
      <c r="B394" s="1" t="n">
        <v>44575</v>
      </c>
      <c r="C394" s="1" t="n">
        <v>45845</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2680-2022</t>
        </is>
      </c>
      <c r="B395" s="1" t="n">
        <v>44580</v>
      </c>
      <c r="C395" s="1" t="n">
        <v>45845</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3861-2022</t>
        </is>
      </c>
      <c r="B396" s="1" t="n">
        <v>44587</v>
      </c>
      <c r="C396" s="1" t="n">
        <v>45845</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4170-2022</t>
        </is>
      </c>
      <c r="B397" s="1" t="n">
        <v>44588</v>
      </c>
      <c r="C397" s="1" t="n">
        <v>45845</v>
      </c>
      <c r="D397" t="inlineStr">
        <is>
          <t>UPPSALA LÄN</t>
        </is>
      </c>
      <c r="E397" t="inlineStr">
        <is>
          <t>ENKÖPING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5188-2022</t>
        </is>
      </c>
      <c r="B398" s="1" t="n">
        <v>44594</v>
      </c>
      <c r="C398" s="1" t="n">
        <v>45845</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5526-2022</t>
        </is>
      </c>
      <c r="B399" s="1" t="n">
        <v>44595</v>
      </c>
      <c r="C399" s="1" t="n">
        <v>45845</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6356-2022</t>
        </is>
      </c>
      <c r="B400" s="1" t="n">
        <v>44600</v>
      </c>
      <c r="C400" s="1" t="n">
        <v>45845</v>
      </c>
      <c r="D400" t="inlineStr">
        <is>
          <t>UPPSALA LÄN</t>
        </is>
      </c>
      <c r="E400" t="inlineStr">
        <is>
          <t>ENKÖPING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7090-2022</t>
        </is>
      </c>
      <c r="B401" s="1" t="n">
        <v>44603</v>
      </c>
      <c r="C401" s="1" t="n">
        <v>45845</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7284-2022</t>
        </is>
      </c>
      <c r="B402" s="1" t="n">
        <v>44606</v>
      </c>
      <c r="C402" s="1" t="n">
        <v>45845</v>
      </c>
      <c r="D402" t="inlineStr">
        <is>
          <t>UPPSALA LÄN</t>
        </is>
      </c>
      <c r="E402" t="inlineStr">
        <is>
          <t>ENKÖPING</t>
        </is>
      </c>
      <c r="G402" t="n">
        <v>6.4</v>
      </c>
      <c r="H402" t="n">
        <v>0</v>
      </c>
      <c r="I402" t="n">
        <v>0</v>
      </c>
      <c r="J402" t="n">
        <v>0</v>
      </c>
      <c r="K402" t="n">
        <v>0</v>
      </c>
      <c r="L402" t="n">
        <v>0</v>
      </c>
      <c r="M402" t="n">
        <v>0</v>
      </c>
      <c r="N402" t="n">
        <v>0</v>
      </c>
      <c r="O402" t="n">
        <v>0</v>
      </c>
      <c r="P402" t="n">
        <v>0</v>
      </c>
      <c r="Q402" t="n">
        <v>0</v>
      </c>
      <c r="R402" s="2" t="inlineStr"/>
    </row>
    <row r="403" ht="15" customHeight="1">
      <c r="A403" t="inlineStr">
        <is>
          <t>A 7463-2022</t>
        </is>
      </c>
      <c r="B403" s="1" t="n">
        <v>44607</v>
      </c>
      <c r="C403" s="1" t="n">
        <v>45845</v>
      </c>
      <c r="D403" t="inlineStr">
        <is>
          <t>UPPSALA LÄN</t>
        </is>
      </c>
      <c r="E403" t="inlineStr">
        <is>
          <t>ENKÖPING</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8020-2022</t>
        </is>
      </c>
      <c r="B404" s="1" t="n">
        <v>44609</v>
      </c>
      <c r="C404" s="1" t="n">
        <v>45845</v>
      </c>
      <c r="D404" t="inlineStr">
        <is>
          <t>UPPSALA LÄN</t>
        </is>
      </c>
      <c r="E404" t="inlineStr">
        <is>
          <t>ENKÖPING</t>
        </is>
      </c>
      <c r="G404" t="n">
        <v>6</v>
      </c>
      <c r="H404" t="n">
        <v>0</v>
      </c>
      <c r="I404" t="n">
        <v>0</v>
      </c>
      <c r="J404" t="n">
        <v>0</v>
      </c>
      <c r="K404" t="n">
        <v>0</v>
      </c>
      <c r="L404" t="n">
        <v>0</v>
      </c>
      <c r="M404" t="n">
        <v>0</v>
      </c>
      <c r="N404" t="n">
        <v>0</v>
      </c>
      <c r="O404" t="n">
        <v>0</v>
      </c>
      <c r="P404" t="n">
        <v>0</v>
      </c>
      <c r="Q404" t="n">
        <v>0</v>
      </c>
      <c r="R404" s="2" t="inlineStr"/>
    </row>
    <row r="405" ht="15" customHeight="1">
      <c r="A405" t="inlineStr">
        <is>
          <t>A 8152-2022</t>
        </is>
      </c>
      <c r="B405" s="1" t="n">
        <v>44609</v>
      </c>
      <c r="C405" s="1" t="n">
        <v>45845</v>
      </c>
      <c r="D405" t="inlineStr">
        <is>
          <t>UPPSALA LÄN</t>
        </is>
      </c>
      <c r="E405" t="inlineStr">
        <is>
          <t>ENKÖPING</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10202-2022</t>
        </is>
      </c>
      <c r="B406" s="1" t="n">
        <v>44622</v>
      </c>
      <c r="C406" s="1" t="n">
        <v>45845</v>
      </c>
      <c r="D406" t="inlineStr">
        <is>
          <t>UPPSALA LÄN</t>
        </is>
      </c>
      <c r="E406" t="inlineStr">
        <is>
          <t>ENKÖPING</t>
        </is>
      </c>
      <c r="G406" t="n">
        <v>5.6</v>
      </c>
      <c r="H406" t="n">
        <v>0</v>
      </c>
      <c r="I406" t="n">
        <v>0</v>
      </c>
      <c r="J406" t="n">
        <v>0</v>
      </c>
      <c r="K406" t="n">
        <v>0</v>
      </c>
      <c r="L406" t="n">
        <v>0</v>
      </c>
      <c r="M406" t="n">
        <v>0</v>
      </c>
      <c r="N406" t="n">
        <v>0</v>
      </c>
      <c r="O406" t="n">
        <v>0</v>
      </c>
      <c r="P406" t="n">
        <v>0</v>
      </c>
      <c r="Q406" t="n">
        <v>0</v>
      </c>
      <c r="R406" s="2" t="inlineStr"/>
    </row>
    <row r="407" ht="15" customHeight="1">
      <c r="A407" t="inlineStr">
        <is>
          <t>A 10207-2022</t>
        </is>
      </c>
      <c r="B407" s="1" t="n">
        <v>44622</v>
      </c>
      <c r="C407" s="1" t="n">
        <v>45845</v>
      </c>
      <c r="D407" t="inlineStr">
        <is>
          <t>UPPSALA LÄN</t>
        </is>
      </c>
      <c r="E407" t="inlineStr">
        <is>
          <t>ENKÖPING</t>
        </is>
      </c>
      <c r="G407" t="n">
        <v>4.9</v>
      </c>
      <c r="H407" t="n">
        <v>0</v>
      </c>
      <c r="I407" t="n">
        <v>0</v>
      </c>
      <c r="J407" t="n">
        <v>0</v>
      </c>
      <c r="K407" t="n">
        <v>0</v>
      </c>
      <c r="L407" t="n">
        <v>0</v>
      </c>
      <c r="M407" t="n">
        <v>0</v>
      </c>
      <c r="N407" t="n">
        <v>0</v>
      </c>
      <c r="O407" t="n">
        <v>0</v>
      </c>
      <c r="P407" t="n">
        <v>0</v>
      </c>
      <c r="Q407" t="n">
        <v>0</v>
      </c>
      <c r="R407" s="2" t="inlineStr"/>
    </row>
    <row r="408" ht="15" customHeight="1">
      <c r="A408" t="inlineStr">
        <is>
          <t>A 10458-2022</t>
        </is>
      </c>
      <c r="B408" s="1" t="n">
        <v>44623</v>
      </c>
      <c r="C408" s="1" t="n">
        <v>45845</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10465-2022</t>
        </is>
      </c>
      <c r="B409" s="1" t="n">
        <v>44623</v>
      </c>
      <c r="C409" s="1" t="n">
        <v>45845</v>
      </c>
      <c r="D409" t="inlineStr">
        <is>
          <t>UPPSALA LÄN</t>
        </is>
      </c>
      <c r="E409" t="inlineStr">
        <is>
          <t>ENKÖPING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14531-2022</t>
        </is>
      </c>
      <c r="B410" s="1" t="n">
        <v>44655</v>
      </c>
      <c r="C410" s="1" t="n">
        <v>45845</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15021-2022</t>
        </is>
      </c>
      <c r="B411" s="1" t="n">
        <v>44657</v>
      </c>
      <c r="C411" s="1" t="n">
        <v>45845</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15924-2022</t>
        </is>
      </c>
      <c r="B412" s="1" t="n">
        <v>44664</v>
      </c>
      <c r="C412" s="1" t="n">
        <v>45845</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15942-2022</t>
        </is>
      </c>
      <c r="B413" s="1" t="n">
        <v>44664</v>
      </c>
      <c r="C413" s="1" t="n">
        <v>45845</v>
      </c>
      <c r="D413" t="inlineStr">
        <is>
          <t>UPPSALA LÄN</t>
        </is>
      </c>
      <c r="E413" t="inlineStr">
        <is>
          <t>ENKÖPING</t>
        </is>
      </c>
      <c r="G413" t="n">
        <v>6.6</v>
      </c>
      <c r="H413" t="n">
        <v>0</v>
      </c>
      <c r="I413" t="n">
        <v>0</v>
      </c>
      <c r="J413" t="n">
        <v>0</v>
      </c>
      <c r="K413" t="n">
        <v>0</v>
      </c>
      <c r="L413" t="n">
        <v>0</v>
      </c>
      <c r="M413" t="n">
        <v>0</v>
      </c>
      <c r="N413" t="n">
        <v>0</v>
      </c>
      <c r="O413" t="n">
        <v>0</v>
      </c>
      <c r="P413" t="n">
        <v>0</v>
      </c>
      <c r="Q413" t="n">
        <v>0</v>
      </c>
      <c r="R413" s="2" t="inlineStr"/>
    </row>
    <row r="414" ht="15" customHeight="1">
      <c r="A414" t="inlineStr">
        <is>
          <t>A 15943-2022</t>
        </is>
      </c>
      <c r="B414" s="1" t="n">
        <v>44664</v>
      </c>
      <c r="C414" s="1" t="n">
        <v>45845</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15939-2022</t>
        </is>
      </c>
      <c r="B415" s="1" t="n">
        <v>44664</v>
      </c>
      <c r="C415" s="1" t="n">
        <v>45845</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16916-2022</t>
        </is>
      </c>
      <c r="B416" s="1" t="n">
        <v>44676</v>
      </c>
      <c r="C416" s="1" t="n">
        <v>45845</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16967-2022</t>
        </is>
      </c>
      <c r="B417" s="1" t="n">
        <v>44676</v>
      </c>
      <c r="C417" s="1" t="n">
        <v>45845</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17298-2022</t>
        </is>
      </c>
      <c r="B418" s="1" t="n">
        <v>44678</v>
      </c>
      <c r="C418" s="1" t="n">
        <v>45845</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17465-2022</t>
        </is>
      </c>
      <c r="B419" s="1" t="n">
        <v>44679</v>
      </c>
      <c r="C419" s="1" t="n">
        <v>45845</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17467-2022</t>
        </is>
      </c>
      <c r="B420" s="1" t="n">
        <v>44679</v>
      </c>
      <c r="C420" s="1" t="n">
        <v>45845</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17453-2022</t>
        </is>
      </c>
      <c r="B421" s="1" t="n">
        <v>44679</v>
      </c>
      <c r="C421" s="1" t="n">
        <v>45845</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17719-2022</t>
        </is>
      </c>
      <c r="B422" s="1" t="n">
        <v>44680</v>
      </c>
      <c r="C422" s="1" t="n">
        <v>45845</v>
      </c>
      <c r="D422" t="inlineStr">
        <is>
          <t>UPPSALA LÄN</t>
        </is>
      </c>
      <c r="E422" t="inlineStr">
        <is>
          <t>ENKÖPING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17704-2022</t>
        </is>
      </c>
      <c r="B423" s="1" t="n">
        <v>44680</v>
      </c>
      <c r="C423" s="1" t="n">
        <v>45845</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18785-2022</t>
        </is>
      </c>
      <c r="B424" s="1" t="n">
        <v>44687</v>
      </c>
      <c r="C424" s="1" t="n">
        <v>45845</v>
      </c>
      <c r="D424" t="inlineStr">
        <is>
          <t>UPPSALA LÄN</t>
        </is>
      </c>
      <c r="E424" t="inlineStr">
        <is>
          <t>ENKÖPING</t>
        </is>
      </c>
      <c r="G424" t="n">
        <v>3.4</v>
      </c>
      <c r="H424" t="n">
        <v>0</v>
      </c>
      <c r="I424" t="n">
        <v>0</v>
      </c>
      <c r="J424" t="n">
        <v>0</v>
      </c>
      <c r="K424" t="n">
        <v>0</v>
      </c>
      <c r="L424" t="n">
        <v>0</v>
      </c>
      <c r="M424" t="n">
        <v>0</v>
      </c>
      <c r="N424" t="n">
        <v>0</v>
      </c>
      <c r="O424" t="n">
        <v>0</v>
      </c>
      <c r="P424" t="n">
        <v>0</v>
      </c>
      <c r="Q424" t="n">
        <v>0</v>
      </c>
      <c r="R424" s="2" t="inlineStr"/>
    </row>
    <row r="425" ht="15" customHeight="1">
      <c r="A425" t="inlineStr">
        <is>
          <t>A 19487-2022</t>
        </is>
      </c>
      <c r="B425" s="1" t="n">
        <v>44693</v>
      </c>
      <c r="C425" s="1" t="n">
        <v>45845</v>
      </c>
      <c r="D425" t="inlineStr">
        <is>
          <t>UPPSALA LÄN</t>
        </is>
      </c>
      <c r="E425" t="inlineStr">
        <is>
          <t>ENKÖPING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19488-2022</t>
        </is>
      </c>
      <c r="B426" s="1" t="n">
        <v>44693</v>
      </c>
      <c r="C426" s="1" t="n">
        <v>45845</v>
      </c>
      <c r="D426" t="inlineStr">
        <is>
          <t>UPPSALA LÄN</t>
        </is>
      </c>
      <c r="E426" t="inlineStr">
        <is>
          <t>ENKÖPING</t>
        </is>
      </c>
      <c r="G426" t="n">
        <v>7.8</v>
      </c>
      <c r="H426" t="n">
        <v>0</v>
      </c>
      <c r="I426" t="n">
        <v>0</v>
      </c>
      <c r="J426" t="n">
        <v>0</v>
      </c>
      <c r="K426" t="n">
        <v>0</v>
      </c>
      <c r="L426" t="n">
        <v>0</v>
      </c>
      <c r="M426" t="n">
        <v>0</v>
      </c>
      <c r="N426" t="n">
        <v>0</v>
      </c>
      <c r="O426" t="n">
        <v>0</v>
      </c>
      <c r="P426" t="n">
        <v>0</v>
      </c>
      <c r="Q426" t="n">
        <v>0</v>
      </c>
      <c r="R426" s="2" t="inlineStr"/>
    </row>
    <row r="427" ht="15" customHeight="1">
      <c r="A427" t="inlineStr">
        <is>
          <t>A 19731-2022</t>
        </is>
      </c>
      <c r="B427" s="1" t="n">
        <v>44694</v>
      </c>
      <c r="C427" s="1" t="n">
        <v>45845</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19965-2022</t>
        </is>
      </c>
      <c r="B428" s="1" t="n">
        <v>44697</v>
      </c>
      <c r="C428" s="1" t="n">
        <v>45845</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20321-2022</t>
        </is>
      </c>
      <c r="B429" s="1" t="n">
        <v>44699</v>
      </c>
      <c r="C429" s="1" t="n">
        <v>45845</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23307-2022</t>
        </is>
      </c>
      <c r="B430" s="1" t="n">
        <v>44720</v>
      </c>
      <c r="C430" s="1" t="n">
        <v>45845</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24141-2022</t>
        </is>
      </c>
      <c r="B431" s="1" t="n">
        <v>44725</v>
      </c>
      <c r="C431" s="1" t="n">
        <v>45845</v>
      </c>
      <c r="D431" t="inlineStr">
        <is>
          <t>UPPSALA LÄN</t>
        </is>
      </c>
      <c r="E431" t="inlineStr">
        <is>
          <t>ENKÖPING</t>
        </is>
      </c>
      <c r="G431" t="n">
        <v>5.2</v>
      </c>
      <c r="H431" t="n">
        <v>0</v>
      </c>
      <c r="I431" t="n">
        <v>0</v>
      </c>
      <c r="J431" t="n">
        <v>0</v>
      </c>
      <c r="K431" t="n">
        <v>0</v>
      </c>
      <c r="L431" t="n">
        <v>0</v>
      </c>
      <c r="M431" t="n">
        <v>0</v>
      </c>
      <c r="N431" t="n">
        <v>0</v>
      </c>
      <c r="O431" t="n">
        <v>0</v>
      </c>
      <c r="P431" t="n">
        <v>0</v>
      </c>
      <c r="Q431" t="n">
        <v>0</v>
      </c>
      <c r="R431" s="2" t="inlineStr"/>
    </row>
    <row r="432" ht="15" customHeight="1">
      <c r="A432" t="inlineStr">
        <is>
          <t>A 24815-2022</t>
        </is>
      </c>
      <c r="B432" s="1" t="n">
        <v>44728</v>
      </c>
      <c r="C432" s="1" t="n">
        <v>45845</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24883-2022</t>
        </is>
      </c>
      <c r="B433" s="1" t="n">
        <v>44728</v>
      </c>
      <c r="C433" s="1" t="n">
        <v>45845</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26292-2022</t>
        </is>
      </c>
      <c r="B434" s="1" t="n">
        <v>44735</v>
      </c>
      <c r="C434" s="1" t="n">
        <v>45845</v>
      </c>
      <c r="D434" t="inlineStr">
        <is>
          <t>UPPSALA LÄN</t>
        </is>
      </c>
      <c r="E434" t="inlineStr">
        <is>
          <t>ENKÖPING</t>
        </is>
      </c>
      <c r="F434" t="inlineStr">
        <is>
          <t>Kyrkan</t>
        </is>
      </c>
      <c r="G434" t="n">
        <v>4.6</v>
      </c>
      <c r="H434" t="n">
        <v>0</v>
      </c>
      <c r="I434" t="n">
        <v>0</v>
      </c>
      <c r="J434" t="n">
        <v>0</v>
      </c>
      <c r="K434" t="n">
        <v>0</v>
      </c>
      <c r="L434" t="n">
        <v>0</v>
      </c>
      <c r="M434" t="n">
        <v>0</v>
      </c>
      <c r="N434" t="n">
        <v>0</v>
      </c>
      <c r="O434" t="n">
        <v>0</v>
      </c>
      <c r="P434" t="n">
        <v>0</v>
      </c>
      <c r="Q434" t="n">
        <v>0</v>
      </c>
      <c r="R434" s="2" t="inlineStr"/>
    </row>
    <row r="435" ht="15" customHeight="1">
      <c r="A435" t="inlineStr">
        <is>
          <t>A 26319-2022</t>
        </is>
      </c>
      <c r="B435" s="1" t="n">
        <v>44735</v>
      </c>
      <c r="C435" s="1" t="n">
        <v>45845</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29479-2022</t>
        </is>
      </c>
      <c r="B436" s="1" t="n">
        <v>44753</v>
      </c>
      <c r="C436" s="1" t="n">
        <v>45845</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29484-2022</t>
        </is>
      </c>
      <c r="B437" s="1" t="n">
        <v>44753</v>
      </c>
      <c r="C437" s="1" t="n">
        <v>45845</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29435-2022</t>
        </is>
      </c>
      <c r="B438" s="1" t="n">
        <v>44753</v>
      </c>
      <c r="C438" s="1" t="n">
        <v>45845</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29483-2022</t>
        </is>
      </c>
      <c r="B439" s="1" t="n">
        <v>44753</v>
      </c>
      <c r="C439" s="1" t="n">
        <v>45845</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29475-2022</t>
        </is>
      </c>
      <c r="B440" s="1" t="n">
        <v>44753</v>
      </c>
      <c r="C440" s="1" t="n">
        <v>45845</v>
      </c>
      <c r="D440" t="inlineStr">
        <is>
          <t>UPPSALA LÄN</t>
        </is>
      </c>
      <c r="E440" t="inlineStr">
        <is>
          <t>ENKÖPING</t>
        </is>
      </c>
      <c r="G440" t="n">
        <v>6.9</v>
      </c>
      <c r="H440" t="n">
        <v>0</v>
      </c>
      <c r="I440" t="n">
        <v>0</v>
      </c>
      <c r="J440" t="n">
        <v>0</v>
      </c>
      <c r="K440" t="n">
        <v>0</v>
      </c>
      <c r="L440" t="n">
        <v>0</v>
      </c>
      <c r="M440" t="n">
        <v>0</v>
      </c>
      <c r="N440" t="n">
        <v>0</v>
      </c>
      <c r="O440" t="n">
        <v>0</v>
      </c>
      <c r="P440" t="n">
        <v>0</v>
      </c>
      <c r="Q440" t="n">
        <v>0</v>
      </c>
      <c r="R440" s="2" t="inlineStr"/>
    </row>
    <row r="441" ht="15" customHeight="1">
      <c r="A441" t="inlineStr">
        <is>
          <t>A 29425-2022</t>
        </is>
      </c>
      <c r="B441" s="1" t="n">
        <v>44753</v>
      </c>
      <c r="C441" s="1" t="n">
        <v>45845</v>
      </c>
      <c r="D441" t="inlineStr">
        <is>
          <t>UPPSALA LÄN</t>
        </is>
      </c>
      <c r="E441" t="inlineStr">
        <is>
          <t>ENKÖPING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29433-2022</t>
        </is>
      </c>
      <c r="B442" s="1" t="n">
        <v>44753</v>
      </c>
      <c r="C442" s="1" t="n">
        <v>45845</v>
      </c>
      <c r="D442" t="inlineStr">
        <is>
          <t>UPPSALA LÄN</t>
        </is>
      </c>
      <c r="E442" t="inlineStr">
        <is>
          <t>ENKÖPING</t>
        </is>
      </c>
      <c r="G442" t="n">
        <v>4.3</v>
      </c>
      <c r="H442" t="n">
        <v>0</v>
      </c>
      <c r="I442" t="n">
        <v>0</v>
      </c>
      <c r="J442" t="n">
        <v>0</v>
      </c>
      <c r="K442" t="n">
        <v>0</v>
      </c>
      <c r="L442" t="n">
        <v>0</v>
      </c>
      <c r="M442" t="n">
        <v>0</v>
      </c>
      <c r="N442" t="n">
        <v>0</v>
      </c>
      <c r="O442" t="n">
        <v>0</v>
      </c>
      <c r="P442" t="n">
        <v>0</v>
      </c>
      <c r="Q442" t="n">
        <v>0</v>
      </c>
      <c r="R442" s="2" t="inlineStr"/>
    </row>
    <row r="443" ht="15" customHeight="1">
      <c r="A443" t="inlineStr">
        <is>
          <t>A 29482-2022</t>
        </is>
      </c>
      <c r="B443" s="1" t="n">
        <v>44753</v>
      </c>
      <c r="C443" s="1" t="n">
        <v>45845</v>
      </c>
      <c r="D443" t="inlineStr">
        <is>
          <t>UPPSALA LÄN</t>
        </is>
      </c>
      <c r="E443" t="inlineStr">
        <is>
          <t>ENKÖPING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30437-2022</t>
        </is>
      </c>
      <c r="B444" s="1" t="n">
        <v>44761</v>
      </c>
      <c r="C444" s="1" t="n">
        <v>45845</v>
      </c>
      <c r="D444" t="inlineStr">
        <is>
          <t>UPPSALA LÄN</t>
        </is>
      </c>
      <c r="E444" t="inlineStr">
        <is>
          <t>ENKÖPING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30634-2022</t>
        </is>
      </c>
      <c r="B445" s="1" t="n">
        <v>44763</v>
      </c>
      <c r="C445" s="1" t="n">
        <v>45845</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31013-2022</t>
        </is>
      </c>
      <c r="B446" s="1" t="n">
        <v>44768</v>
      </c>
      <c r="C446" s="1" t="n">
        <v>45845</v>
      </c>
      <c r="D446" t="inlineStr">
        <is>
          <t>UPPSALA LÄN</t>
        </is>
      </c>
      <c r="E446" t="inlineStr">
        <is>
          <t>ENKÖPING</t>
        </is>
      </c>
      <c r="F446" t="inlineStr">
        <is>
          <t>Allmännings- och besparingsskogar</t>
        </is>
      </c>
      <c r="G446" t="n">
        <v>0.5</v>
      </c>
      <c r="H446" t="n">
        <v>0</v>
      </c>
      <c r="I446" t="n">
        <v>0</v>
      </c>
      <c r="J446" t="n">
        <v>0</v>
      </c>
      <c r="K446" t="n">
        <v>0</v>
      </c>
      <c r="L446" t="n">
        <v>0</v>
      </c>
      <c r="M446" t="n">
        <v>0</v>
      </c>
      <c r="N446" t="n">
        <v>0</v>
      </c>
      <c r="O446" t="n">
        <v>0</v>
      </c>
      <c r="P446" t="n">
        <v>0</v>
      </c>
      <c r="Q446" t="n">
        <v>0</v>
      </c>
      <c r="R446" s="2" t="inlineStr"/>
    </row>
    <row r="447" ht="15" customHeight="1">
      <c r="A447" t="inlineStr">
        <is>
          <t>A 31622-2022</t>
        </is>
      </c>
      <c r="B447" s="1" t="n">
        <v>44775</v>
      </c>
      <c r="C447" s="1" t="n">
        <v>45845</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33619-2022</t>
        </is>
      </c>
      <c r="B448" s="1" t="n">
        <v>44789</v>
      </c>
      <c r="C448" s="1" t="n">
        <v>45845</v>
      </c>
      <c r="D448" t="inlineStr">
        <is>
          <t>UPPSALA LÄN</t>
        </is>
      </c>
      <c r="E448" t="inlineStr">
        <is>
          <t>ENKÖPING</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33821-2022</t>
        </is>
      </c>
      <c r="B449" s="1" t="n">
        <v>44790</v>
      </c>
      <c r="C449" s="1" t="n">
        <v>45845</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34617-2022</t>
        </is>
      </c>
      <c r="B450" s="1" t="n">
        <v>44795</v>
      </c>
      <c r="C450" s="1" t="n">
        <v>45845</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37410-2022</t>
        </is>
      </c>
      <c r="B451" s="1" t="n">
        <v>44809</v>
      </c>
      <c r="C451" s="1" t="n">
        <v>45845</v>
      </c>
      <c r="D451" t="inlineStr">
        <is>
          <t>UPPSALA LÄN</t>
        </is>
      </c>
      <c r="E451" t="inlineStr">
        <is>
          <t>ENKÖPING</t>
        </is>
      </c>
      <c r="G451" t="n">
        <v>3.6</v>
      </c>
      <c r="H451" t="n">
        <v>0</v>
      </c>
      <c r="I451" t="n">
        <v>0</v>
      </c>
      <c r="J451" t="n">
        <v>0</v>
      </c>
      <c r="K451" t="n">
        <v>0</v>
      </c>
      <c r="L451" t="n">
        <v>0</v>
      </c>
      <c r="M451" t="n">
        <v>0</v>
      </c>
      <c r="N451" t="n">
        <v>0</v>
      </c>
      <c r="O451" t="n">
        <v>0</v>
      </c>
      <c r="P451" t="n">
        <v>0</v>
      </c>
      <c r="Q451" t="n">
        <v>0</v>
      </c>
      <c r="R451" s="2" t="inlineStr"/>
    </row>
    <row r="452" ht="15" customHeight="1">
      <c r="A452" t="inlineStr">
        <is>
          <t>A 37414-2022</t>
        </is>
      </c>
      <c r="B452" s="1" t="n">
        <v>44809</v>
      </c>
      <c r="C452" s="1" t="n">
        <v>45845</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38005-2022</t>
        </is>
      </c>
      <c r="B453" s="1" t="n">
        <v>44810</v>
      </c>
      <c r="C453" s="1" t="n">
        <v>45845</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38775-2022</t>
        </is>
      </c>
      <c r="B454" s="1" t="n">
        <v>44816</v>
      </c>
      <c r="C454" s="1" t="n">
        <v>45845</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39751-2022</t>
        </is>
      </c>
      <c r="B455" s="1" t="n">
        <v>44819</v>
      </c>
      <c r="C455" s="1" t="n">
        <v>45845</v>
      </c>
      <c r="D455" t="inlineStr">
        <is>
          <t>UPPSALA LÄN</t>
        </is>
      </c>
      <c r="E455" t="inlineStr">
        <is>
          <t>ENKÖPING</t>
        </is>
      </c>
      <c r="G455" t="n">
        <v>7.6</v>
      </c>
      <c r="H455" t="n">
        <v>0</v>
      </c>
      <c r="I455" t="n">
        <v>0</v>
      </c>
      <c r="J455" t="n">
        <v>0</v>
      </c>
      <c r="K455" t="n">
        <v>0</v>
      </c>
      <c r="L455" t="n">
        <v>0</v>
      </c>
      <c r="M455" t="n">
        <v>0</v>
      </c>
      <c r="N455" t="n">
        <v>0</v>
      </c>
      <c r="O455" t="n">
        <v>0</v>
      </c>
      <c r="P455" t="n">
        <v>0</v>
      </c>
      <c r="Q455" t="n">
        <v>0</v>
      </c>
      <c r="R455" s="2" t="inlineStr"/>
    </row>
    <row r="456" ht="15" customHeight="1">
      <c r="A456" t="inlineStr">
        <is>
          <t>A 39922-2022</t>
        </is>
      </c>
      <c r="B456" s="1" t="n">
        <v>44819</v>
      </c>
      <c r="C456" s="1" t="n">
        <v>45845</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40773-2022</t>
        </is>
      </c>
      <c r="B457" s="1" t="n">
        <v>44824</v>
      </c>
      <c r="C457" s="1" t="n">
        <v>45845</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40812-2022</t>
        </is>
      </c>
      <c r="B458" s="1" t="n">
        <v>44824</v>
      </c>
      <c r="C458" s="1" t="n">
        <v>45845</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41736-2022</t>
        </is>
      </c>
      <c r="B459" s="1" t="n">
        <v>44827</v>
      </c>
      <c r="C459" s="1" t="n">
        <v>45845</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41737-2022</t>
        </is>
      </c>
      <c r="B460" s="1" t="n">
        <v>44827</v>
      </c>
      <c r="C460" s="1" t="n">
        <v>45845</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41753-2022</t>
        </is>
      </c>
      <c r="B461" s="1" t="n">
        <v>44827</v>
      </c>
      <c r="C461" s="1" t="n">
        <v>45845</v>
      </c>
      <c r="D461" t="inlineStr">
        <is>
          <t>UPPSALA LÄN</t>
        </is>
      </c>
      <c r="E461" t="inlineStr">
        <is>
          <t>ENKÖPING</t>
        </is>
      </c>
      <c r="G461" t="n">
        <v>3</v>
      </c>
      <c r="H461" t="n">
        <v>0</v>
      </c>
      <c r="I461" t="n">
        <v>0</v>
      </c>
      <c r="J461" t="n">
        <v>0</v>
      </c>
      <c r="K461" t="n">
        <v>0</v>
      </c>
      <c r="L461" t="n">
        <v>0</v>
      </c>
      <c r="M461" t="n">
        <v>0</v>
      </c>
      <c r="N461" t="n">
        <v>0</v>
      </c>
      <c r="O461" t="n">
        <v>0</v>
      </c>
      <c r="P461" t="n">
        <v>0</v>
      </c>
      <c r="Q461" t="n">
        <v>0</v>
      </c>
      <c r="R461" s="2" t="inlineStr"/>
    </row>
    <row r="462" ht="15" customHeight="1">
      <c r="A462" t="inlineStr">
        <is>
          <t>A 42589-2022</t>
        </is>
      </c>
      <c r="B462" s="1" t="n">
        <v>44831</v>
      </c>
      <c r="C462" s="1" t="n">
        <v>45845</v>
      </c>
      <c r="D462" t="inlineStr">
        <is>
          <t>UPPSALA LÄN</t>
        </is>
      </c>
      <c r="E462" t="inlineStr">
        <is>
          <t>ENKÖPING</t>
        </is>
      </c>
      <c r="G462" t="n">
        <v>20</v>
      </c>
      <c r="H462" t="n">
        <v>0</v>
      </c>
      <c r="I462" t="n">
        <v>0</v>
      </c>
      <c r="J462" t="n">
        <v>0</v>
      </c>
      <c r="K462" t="n">
        <v>0</v>
      </c>
      <c r="L462" t="n">
        <v>0</v>
      </c>
      <c r="M462" t="n">
        <v>0</v>
      </c>
      <c r="N462" t="n">
        <v>0</v>
      </c>
      <c r="O462" t="n">
        <v>0</v>
      </c>
      <c r="P462" t="n">
        <v>0</v>
      </c>
      <c r="Q462" t="n">
        <v>0</v>
      </c>
      <c r="R462" s="2" t="inlineStr"/>
    </row>
    <row r="463" ht="15" customHeight="1">
      <c r="A463" t="inlineStr">
        <is>
          <t>A 42592-2022</t>
        </is>
      </c>
      <c r="B463" s="1" t="n">
        <v>44831</v>
      </c>
      <c r="C463" s="1" t="n">
        <v>45845</v>
      </c>
      <c r="D463" t="inlineStr">
        <is>
          <t>UPPSALA LÄN</t>
        </is>
      </c>
      <c r="E463" t="inlineStr">
        <is>
          <t>ENKÖPING</t>
        </is>
      </c>
      <c r="G463" t="n">
        <v>4.5</v>
      </c>
      <c r="H463" t="n">
        <v>0</v>
      </c>
      <c r="I463" t="n">
        <v>0</v>
      </c>
      <c r="J463" t="n">
        <v>0</v>
      </c>
      <c r="K463" t="n">
        <v>0</v>
      </c>
      <c r="L463" t="n">
        <v>0</v>
      </c>
      <c r="M463" t="n">
        <v>0</v>
      </c>
      <c r="N463" t="n">
        <v>0</v>
      </c>
      <c r="O463" t="n">
        <v>0</v>
      </c>
      <c r="P463" t="n">
        <v>0</v>
      </c>
      <c r="Q463" t="n">
        <v>0</v>
      </c>
      <c r="R463" s="2" t="inlineStr"/>
    </row>
    <row r="464" ht="15" customHeight="1">
      <c r="A464" t="inlineStr">
        <is>
          <t>A 43896-2022</t>
        </is>
      </c>
      <c r="B464" s="1" t="n">
        <v>44838</v>
      </c>
      <c r="C464" s="1" t="n">
        <v>45845</v>
      </c>
      <c r="D464" t="inlineStr">
        <is>
          <t>UPPSALA LÄN</t>
        </is>
      </c>
      <c r="E464" t="inlineStr">
        <is>
          <t>ENKÖPING</t>
        </is>
      </c>
      <c r="G464" t="n">
        <v>5.3</v>
      </c>
      <c r="H464" t="n">
        <v>0</v>
      </c>
      <c r="I464" t="n">
        <v>0</v>
      </c>
      <c r="J464" t="n">
        <v>0</v>
      </c>
      <c r="K464" t="n">
        <v>0</v>
      </c>
      <c r="L464" t="n">
        <v>0</v>
      </c>
      <c r="M464" t="n">
        <v>0</v>
      </c>
      <c r="N464" t="n">
        <v>0</v>
      </c>
      <c r="O464" t="n">
        <v>0</v>
      </c>
      <c r="P464" t="n">
        <v>0</v>
      </c>
      <c r="Q464" t="n">
        <v>0</v>
      </c>
      <c r="R464" s="2" t="inlineStr"/>
    </row>
    <row r="465" ht="15" customHeight="1">
      <c r="A465" t="inlineStr">
        <is>
          <t>A 45362-2022</t>
        </is>
      </c>
      <c r="B465" s="1" t="n">
        <v>44844</v>
      </c>
      <c r="C465" s="1" t="n">
        <v>45845</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45283-2022</t>
        </is>
      </c>
      <c r="B466" s="1" t="n">
        <v>44844</v>
      </c>
      <c r="C466" s="1" t="n">
        <v>45845</v>
      </c>
      <c r="D466" t="inlineStr">
        <is>
          <t>UPPSALA LÄN</t>
        </is>
      </c>
      <c r="E466" t="inlineStr">
        <is>
          <t>ENKÖPING</t>
        </is>
      </c>
      <c r="G466" t="n">
        <v>5.9</v>
      </c>
      <c r="H466" t="n">
        <v>0</v>
      </c>
      <c r="I466" t="n">
        <v>0</v>
      </c>
      <c r="J466" t="n">
        <v>0</v>
      </c>
      <c r="K466" t="n">
        <v>0</v>
      </c>
      <c r="L466" t="n">
        <v>0</v>
      </c>
      <c r="M466" t="n">
        <v>0</v>
      </c>
      <c r="N466" t="n">
        <v>0</v>
      </c>
      <c r="O466" t="n">
        <v>0</v>
      </c>
      <c r="P466" t="n">
        <v>0</v>
      </c>
      <c r="Q466" t="n">
        <v>0</v>
      </c>
      <c r="R466" s="2" t="inlineStr"/>
    </row>
    <row r="467" ht="15" customHeight="1">
      <c r="A467" t="inlineStr">
        <is>
          <t>A 45852-2022</t>
        </is>
      </c>
      <c r="B467" s="1" t="n">
        <v>44846</v>
      </c>
      <c r="C467" s="1" t="n">
        <v>45845</v>
      </c>
      <c r="D467" t="inlineStr">
        <is>
          <t>UPPSALA LÄN</t>
        </is>
      </c>
      <c r="E467" t="inlineStr">
        <is>
          <t>ENKÖPING</t>
        </is>
      </c>
      <c r="G467" t="n">
        <v>6</v>
      </c>
      <c r="H467" t="n">
        <v>0</v>
      </c>
      <c r="I467" t="n">
        <v>0</v>
      </c>
      <c r="J467" t="n">
        <v>0</v>
      </c>
      <c r="K467" t="n">
        <v>0</v>
      </c>
      <c r="L467" t="n">
        <v>0</v>
      </c>
      <c r="M467" t="n">
        <v>0</v>
      </c>
      <c r="N467" t="n">
        <v>0</v>
      </c>
      <c r="O467" t="n">
        <v>0</v>
      </c>
      <c r="P467" t="n">
        <v>0</v>
      </c>
      <c r="Q467" t="n">
        <v>0</v>
      </c>
      <c r="R467" s="2" t="inlineStr"/>
    </row>
    <row r="468" ht="15" customHeight="1">
      <c r="A468" t="inlineStr">
        <is>
          <t>A 46749-2022</t>
        </is>
      </c>
      <c r="B468" s="1" t="n">
        <v>44851</v>
      </c>
      <c r="C468" s="1" t="n">
        <v>45845</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47431-2022</t>
        </is>
      </c>
      <c r="B469" s="1" t="n">
        <v>44853</v>
      </c>
      <c r="C469" s="1" t="n">
        <v>45845</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47516-2022</t>
        </is>
      </c>
      <c r="B470" s="1" t="n">
        <v>44853</v>
      </c>
      <c r="C470" s="1" t="n">
        <v>45845</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48230-2022</t>
        </is>
      </c>
      <c r="B471" s="1" t="n">
        <v>44858</v>
      </c>
      <c r="C471" s="1" t="n">
        <v>45845</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48233-2022</t>
        </is>
      </c>
      <c r="B472" s="1" t="n">
        <v>44858</v>
      </c>
      <c r="C472" s="1" t="n">
        <v>45845</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48864-2022</t>
        </is>
      </c>
      <c r="B473" s="1" t="n">
        <v>44859</v>
      </c>
      <c r="C473" s="1" t="n">
        <v>45845</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49557-2022</t>
        </is>
      </c>
      <c r="B474" s="1" t="n">
        <v>44862</v>
      </c>
      <c r="C474" s="1" t="n">
        <v>45845</v>
      </c>
      <c r="D474" t="inlineStr">
        <is>
          <t>UPPSALA LÄN</t>
        </is>
      </c>
      <c r="E474" t="inlineStr">
        <is>
          <t>ENKÖPING</t>
        </is>
      </c>
      <c r="G474" t="n">
        <v>2.9</v>
      </c>
      <c r="H474" t="n">
        <v>0</v>
      </c>
      <c r="I474" t="n">
        <v>0</v>
      </c>
      <c r="J474" t="n">
        <v>0</v>
      </c>
      <c r="K474" t="n">
        <v>0</v>
      </c>
      <c r="L474" t="n">
        <v>0</v>
      </c>
      <c r="M474" t="n">
        <v>0</v>
      </c>
      <c r="N474" t="n">
        <v>0</v>
      </c>
      <c r="O474" t="n">
        <v>0</v>
      </c>
      <c r="P474" t="n">
        <v>0</v>
      </c>
      <c r="Q474" t="n">
        <v>0</v>
      </c>
      <c r="R474" s="2" t="inlineStr"/>
    </row>
    <row r="475" ht="15" customHeight="1">
      <c r="A475" t="inlineStr">
        <is>
          <t>A 49562-2022</t>
        </is>
      </c>
      <c r="B475" s="1" t="n">
        <v>44862</v>
      </c>
      <c r="C475" s="1" t="n">
        <v>45845</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49560-2022</t>
        </is>
      </c>
      <c r="B476" s="1" t="n">
        <v>44862</v>
      </c>
      <c r="C476" s="1" t="n">
        <v>45845</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49568-2022</t>
        </is>
      </c>
      <c r="B477" s="1" t="n">
        <v>44862</v>
      </c>
      <c r="C477" s="1" t="n">
        <v>45845</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50747-2022</t>
        </is>
      </c>
      <c r="B478" s="1" t="n">
        <v>44867</v>
      </c>
      <c r="C478" s="1" t="n">
        <v>45845</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51524-2022</t>
        </is>
      </c>
      <c r="B479" s="1" t="n">
        <v>44869</v>
      </c>
      <c r="C479" s="1" t="n">
        <v>45845</v>
      </c>
      <c r="D479" t="inlineStr">
        <is>
          <t>UPPSALA LÄN</t>
        </is>
      </c>
      <c r="E479" t="inlineStr">
        <is>
          <t>ENKÖPING</t>
        </is>
      </c>
      <c r="G479" t="n">
        <v>6.6</v>
      </c>
      <c r="H479" t="n">
        <v>0</v>
      </c>
      <c r="I479" t="n">
        <v>0</v>
      </c>
      <c r="J479" t="n">
        <v>0</v>
      </c>
      <c r="K479" t="n">
        <v>0</v>
      </c>
      <c r="L479" t="n">
        <v>0</v>
      </c>
      <c r="M479" t="n">
        <v>0</v>
      </c>
      <c r="N479" t="n">
        <v>0</v>
      </c>
      <c r="O479" t="n">
        <v>0</v>
      </c>
      <c r="P479" t="n">
        <v>0</v>
      </c>
      <c r="Q479" t="n">
        <v>0</v>
      </c>
      <c r="R479" s="2" t="inlineStr"/>
    </row>
    <row r="480" ht="15" customHeight="1">
      <c r="A480" t="inlineStr">
        <is>
          <t>A 51932-2022</t>
        </is>
      </c>
      <c r="B480" s="1" t="n">
        <v>44872</v>
      </c>
      <c r="C480" s="1" t="n">
        <v>45845</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52895-2022</t>
        </is>
      </c>
      <c r="B481" s="1" t="n">
        <v>44875</v>
      </c>
      <c r="C481" s="1" t="n">
        <v>45845</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52893-2022</t>
        </is>
      </c>
      <c r="B482" s="1" t="n">
        <v>44875</v>
      </c>
      <c r="C482" s="1" t="n">
        <v>45845</v>
      </c>
      <c r="D482" t="inlineStr">
        <is>
          <t>UPPSALA LÄN</t>
        </is>
      </c>
      <c r="E482" t="inlineStr">
        <is>
          <t>ENKÖPING</t>
        </is>
      </c>
      <c r="G482" t="n">
        <v>2.8</v>
      </c>
      <c r="H482" t="n">
        <v>0</v>
      </c>
      <c r="I482" t="n">
        <v>0</v>
      </c>
      <c r="J482" t="n">
        <v>0</v>
      </c>
      <c r="K482" t="n">
        <v>0</v>
      </c>
      <c r="L482" t="n">
        <v>0</v>
      </c>
      <c r="M482" t="n">
        <v>0</v>
      </c>
      <c r="N482" t="n">
        <v>0</v>
      </c>
      <c r="O482" t="n">
        <v>0</v>
      </c>
      <c r="P482" t="n">
        <v>0</v>
      </c>
      <c r="Q482" t="n">
        <v>0</v>
      </c>
      <c r="R482" s="2" t="inlineStr"/>
    </row>
    <row r="483" ht="15" customHeight="1">
      <c r="A483" t="inlineStr">
        <is>
          <t>A 52889-2022</t>
        </is>
      </c>
      <c r="B483" s="1" t="n">
        <v>44875</v>
      </c>
      <c r="C483" s="1" t="n">
        <v>45845</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52896-2022</t>
        </is>
      </c>
      <c r="B484" s="1" t="n">
        <v>44875</v>
      </c>
      <c r="C484" s="1" t="n">
        <v>45845</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53496-2022</t>
        </is>
      </c>
      <c r="B485" s="1" t="n">
        <v>44879</v>
      </c>
      <c r="C485" s="1" t="n">
        <v>45845</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56526-2022</t>
        </is>
      </c>
      <c r="B486" s="1" t="n">
        <v>44893</v>
      </c>
      <c r="C486" s="1" t="n">
        <v>45845</v>
      </c>
      <c r="D486" t="inlineStr">
        <is>
          <t>UPPSALA LÄN</t>
        </is>
      </c>
      <c r="E486" t="inlineStr">
        <is>
          <t>ENKÖPING</t>
        </is>
      </c>
      <c r="G486" t="n">
        <v>3.8</v>
      </c>
      <c r="H486" t="n">
        <v>0</v>
      </c>
      <c r="I486" t="n">
        <v>0</v>
      </c>
      <c r="J486" t="n">
        <v>0</v>
      </c>
      <c r="K486" t="n">
        <v>0</v>
      </c>
      <c r="L486" t="n">
        <v>0</v>
      </c>
      <c r="M486" t="n">
        <v>0</v>
      </c>
      <c r="N486" t="n">
        <v>0</v>
      </c>
      <c r="O486" t="n">
        <v>0</v>
      </c>
      <c r="P486" t="n">
        <v>0</v>
      </c>
      <c r="Q486" t="n">
        <v>0</v>
      </c>
      <c r="R486" s="2" t="inlineStr"/>
    </row>
    <row r="487" ht="15" customHeight="1">
      <c r="A487" t="inlineStr">
        <is>
          <t>A 57563-2022</t>
        </is>
      </c>
      <c r="B487" s="1" t="n">
        <v>44896</v>
      </c>
      <c r="C487" s="1" t="n">
        <v>45845</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57940-2022</t>
        </is>
      </c>
      <c r="B488" s="1" t="n">
        <v>44900</v>
      </c>
      <c r="C488" s="1" t="n">
        <v>45845</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58384-2022</t>
        </is>
      </c>
      <c r="B489" s="1" t="n">
        <v>44901</v>
      </c>
      <c r="C489" s="1" t="n">
        <v>45845</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59190-2022</t>
        </is>
      </c>
      <c r="B490" s="1" t="n">
        <v>44904</v>
      </c>
      <c r="C490" s="1" t="n">
        <v>45845</v>
      </c>
      <c r="D490" t="inlineStr">
        <is>
          <t>UPPSALA LÄN</t>
        </is>
      </c>
      <c r="E490" t="inlineStr">
        <is>
          <t>ENKÖPING</t>
        </is>
      </c>
      <c r="G490" t="n">
        <v>2.3</v>
      </c>
      <c r="H490" t="n">
        <v>0</v>
      </c>
      <c r="I490" t="n">
        <v>0</v>
      </c>
      <c r="J490" t="n">
        <v>0</v>
      </c>
      <c r="K490" t="n">
        <v>0</v>
      </c>
      <c r="L490" t="n">
        <v>0</v>
      </c>
      <c r="M490" t="n">
        <v>0</v>
      </c>
      <c r="N490" t="n">
        <v>0</v>
      </c>
      <c r="O490" t="n">
        <v>0</v>
      </c>
      <c r="P490" t="n">
        <v>0</v>
      </c>
      <c r="Q490" t="n">
        <v>0</v>
      </c>
      <c r="R490" s="2" t="inlineStr"/>
    </row>
    <row r="491" ht="15" customHeight="1">
      <c r="A491" t="inlineStr">
        <is>
          <t>A 59200-2022</t>
        </is>
      </c>
      <c r="B491" s="1" t="n">
        <v>44904</v>
      </c>
      <c r="C491" s="1" t="n">
        <v>45845</v>
      </c>
      <c r="D491" t="inlineStr">
        <is>
          <t>UPPSALA LÄN</t>
        </is>
      </c>
      <c r="E491" t="inlineStr">
        <is>
          <t>ENKÖPING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59337-2022</t>
        </is>
      </c>
      <c r="B492" s="1" t="n">
        <v>44904</v>
      </c>
      <c r="C492" s="1" t="n">
        <v>45845</v>
      </c>
      <c r="D492" t="inlineStr">
        <is>
          <t>UPPSALA LÄN</t>
        </is>
      </c>
      <c r="E492" t="inlineStr">
        <is>
          <t>ENKÖPING</t>
        </is>
      </c>
      <c r="G492" t="n">
        <v>8.4</v>
      </c>
      <c r="H492" t="n">
        <v>0</v>
      </c>
      <c r="I492" t="n">
        <v>0</v>
      </c>
      <c r="J492" t="n">
        <v>0</v>
      </c>
      <c r="K492" t="n">
        <v>0</v>
      </c>
      <c r="L492" t="n">
        <v>0</v>
      </c>
      <c r="M492" t="n">
        <v>0</v>
      </c>
      <c r="N492" t="n">
        <v>0</v>
      </c>
      <c r="O492" t="n">
        <v>0</v>
      </c>
      <c r="P492" t="n">
        <v>0</v>
      </c>
      <c r="Q492" t="n">
        <v>0</v>
      </c>
      <c r="R492" s="2" t="inlineStr"/>
    </row>
    <row r="493" ht="15" customHeight="1">
      <c r="A493" t="inlineStr">
        <is>
          <t>A 59203-2022</t>
        </is>
      </c>
      <c r="B493" s="1" t="n">
        <v>44904</v>
      </c>
      <c r="C493" s="1" t="n">
        <v>45845</v>
      </c>
      <c r="D493" t="inlineStr">
        <is>
          <t>UPPSALA LÄN</t>
        </is>
      </c>
      <c r="E493" t="inlineStr">
        <is>
          <t>ENKÖPING</t>
        </is>
      </c>
      <c r="G493" t="n">
        <v>4.3</v>
      </c>
      <c r="H493" t="n">
        <v>0</v>
      </c>
      <c r="I493" t="n">
        <v>0</v>
      </c>
      <c r="J493" t="n">
        <v>0</v>
      </c>
      <c r="K493" t="n">
        <v>0</v>
      </c>
      <c r="L493" t="n">
        <v>0</v>
      </c>
      <c r="M493" t="n">
        <v>0</v>
      </c>
      <c r="N493" t="n">
        <v>0</v>
      </c>
      <c r="O493" t="n">
        <v>0</v>
      </c>
      <c r="P493" t="n">
        <v>0</v>
      </c>
      <c r="Q493" t="n">
        <v>0</v>
      </c>
      <c r="R493" s="2" t="inlineStr"/>
    </row>
    <row r="494" ht="15" customHeight="1">
      <c r="A494" t="inlineStr">
        <is>
          <t>A 59344-2022</t>
        </is>
      </c>
      <c r="B494" s="1" t="n">
        <v>44904</v>
      </c>
      <c r="C494" s="1" t="n">
        <v>45845</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59345-2022</t>
        </is>
      </c>
      <c r="B495" s="1" t="n">
        <v>44904</v>
      </c>
      <c r="C495" s="1" t="n">
        <v>45845</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59609-2022</t>
        </is>
      </c>
      <c r="B496" s="1" t="n">
        <v>44907</v>
      </c>
      <c r="C496" s="1" t="n">
        <v>45845</v>
      </c>
      <c r="D496" t="inlineStr">
        <is>
          <t>UPPSALA LÄN</t>
        </is>
      </c>
      <c r="E496" t="inlineStr">
        <is>
          <t>ENKÖPING</t>
        </is>
      </c>
      <c r="G496" t="n">
        <v>1.7</v>
      </c>
      <c r="H496" t="n">
        <v>0</v>
      </c>
      <c r="I496" t="n">
        <v>0</v>
      </c>
      <c r="J496" t="n">
        <v>0</v>
      </c>
      <c r="K496" t="n">
        <v>0</v>
      </c>
      <c r="L496" t="n">
        <v>0</v>
      </c>
      <c r="M496" t="n">
        <v>0</v>
      </c>
      <c r="N496" t="n">
        <v>0</v>
      </c>
      <c r="O496" t="n">
        <v>0</v>
      </c>
      <c r="P496" t="n">
        <v>0</v>
      </c>
      <c r="Q496" t="n">
        <v>0</v>
      </c>
      <c r="R496" s="2" t="inlineStr"/>
    </row>
    <row r="497" ht="15" customHeight="1">
      <c r="A497" t="inlineStr">
        <is>
          <t>A 59608-2022</t>
        </is>
      </c>
      <c r="B497" s="1" t="n">
        <v>44907</v>
      </c>
      <c r="C497" s="1" t="n">
        <v>45845</v>
      </c>
      <c r="D497" t="inlineStr">
        <is>
          <t>UPPSALA LÄN</t>
        </is>
      </c>
      <c r="E497" t="inlineStr">
        <is>
          <t>ENKÖPING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59602-2022</t>
        </is>
      </c>
      <c r="B498" s="1" t="n">
        <v>44907</v>
      </c>
      <c r="C498" s="1" t="n">
        <v>45845</v>
      </c>
      <c r="D498" t="inlineStr">
        <is>
          <t>UPPSALA LÄN</t>
        </is>
      </c>
      <c r="E498" t="inlineStr">
        <is>
          <t>ENKÖPING</t>
        </is>
      </c>
      <c r="G498" t="n">
        <v>14.2</v>
      </c>
      <c r="H498" t="n">
        <v>0</v>
      </c>
      <c r="I498" t="n">
        <v>0</v>
      </c>
      <c r="J498" t="n">
        <v>0</v>
      </c>
      <c r="K498" t="n">
        <v>0</v>
      </c>
      <c r="L498" t="n">
        <v>0</v>
      </c>
      <c r="M498" t="n">
        <v>0</v>
      </c>
      <c r="N498" t="n">
        <v>0</v>
      </c>
      <c r="O498" t="n">
        <v>0</v>
      </c>
      <c r="P498" t="n">
        <v>0</v>
      </c>
      <c r="Q498" t="n">
        <v>0</v>
      </c>
      <c r="R498" s="2" t="inlineStr"/>
    </row>
    <row r="499" ht="15" customHeight="1">
      <c r="A499" t="inlineStr">
        <is>
          <t>A 59610-2022</t>
        </is>
      </c>
      <c r="B499" s="1" t="n">
        <v>44907</v>
      </c>
      <c r="C499" s="1" t="n">
        <v>45845</v>
      </c>
      <c r="D499" t="inlineStr">
        <is>
          <t>UPPSALA LÄN</t>
        </is>
      </c>
      <c r="E499" t="inlineStr">
        <is>
          <t>ENKÖPING</t>
        </is>
      </c>
      <c r="G499" t="n">
        <v>3.6</v>
      </c>
      <c r="H499" t="n">
        <v>0</v>
      </c>
      <c r="I499" t="n">
        <v>0</v>
      </c>
      <c r="J499" t="n">
        <v>0</v>
      </c>
      <c r="K499" t="n">
        <v>0</v>
      </c>
      <c r="L499" t="n">
        <v>0</v>
      </c>
      <c r="M499" t="n">
        <v>0</v>
      </c>
      <c r="N499" t="n">
        <v>0</v>
      </c>
      <c r="O499" t="n">
        <v>0</v>
      </c>
      <c r="P499" t="n">
        <v>0</v>
      </c>
      <c r="Q499" t="n">
        <v>0</v>
      </c>
      <c r="R499" s="2" t="inlineStr"/>
    </row>
    <row r="500" ht="15" customHeight="1">
      <c r="A500" t="inlineStr">
        <is>
          <t>A 60132-2022</t>
        </is>
      </c>
      <c r="B500" s="1" t="n">
        <v>44909</v>
      </c>
      <c r="C500" s="1" t="n">
        <v>45845</v>
      </c>
      <c r="D500" t="inlineStr">
        <is>
          <t>UPPSALA LÄN</t>
        </is>
      </c>
      <c r="E500" t="inlineStr">
        <is>
          <t>ENKÖPING</t>
        </is>
      </c>
      <c r="F500" t="inlineStr">
        <is>
          <t>Allmännings- och besparingsskogar</t>
        </is>
      </c>
      <c r="G500" t="n">
        <v>5.4</v>
      </c>
      <c r="H500" t="n">
        <v>0</v>
      </c>
      <c r="I500" t="n">
        <v>0</v>
      </c>
      <c r="J500" t="n">
        <v>0</v>
      </c>
      <c r="K500" t="n">
        <v>0</v>
      </c>
      <c r="L500" t="n">
        <v>0</v>
      </c>
      <c r="M500" t="n">
        <v>0</v>
      </c>
      <c r="N500" t="n">
        <v>0</v>
      </c>
      <c r="O500" t="n">
        <v>0</v>
      </c>
      <c r="P500" t="n">
        <v>0</v>
      </c>
      <c r="Q500" t="n">
        <v>0</v>
      </c>
      <c r="R500" s="2" t="inlineStr"/>
    </row>
    <row r="501" ht="15" customHeight="1">
      <c r="A501" t="inlineStr">
        <is>
          <t>A 60289-2022</t>
        </is>
      </c>
      <c r="B501" s="1" t="n">
        <v>44910</v>
      </c>
      <c r="C501" s="1" t="n">
        <v>45845</v>
      </c>
      <c r="D501" t="inlineStr">
        <is>
          <t>UPPSALA LÄN</t>
        </is>
      </c>
      <c r="E501" t="inlineStr">
        <is>
          <t>ENKÖPING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60350-2022</t>
        </is>
      </c>
      <c r="B502" s="1" t="n">
        <v>44910</v>
      </c>
      <c r="C502" s="1" t="n">
        <v>45845</v>
      </c>
      <c r="D502" t="inlineStr">
        <is>
          <t>UPPSALA LÄN</t>
        </is>
      </c>
      <c r="E502" t="inlineStr">
        <is>
          <t>ENKÖPING</t>
        </is>
      </c>
      <c r="F502" t="inlineStr">
        <is>
          <t>Allmännings- och besparingsskogar</t>
        </is>
      </c>
      <c r="G502" t="n">
        <v>3.5</v>
      </c>
      <c r="H502" t="n">
        <v>0</v>
      </c>
      <c r="I502" t="n">
        <v>0</v>
      </c>
      <c r="J502" t="n">
        <v>0</v>
      </c>
      <c r="K502" t="n">
        <v>0</v>
      </c>
      <c r="L502" t="n">
        <v>0</v>
      </c>
      <c r="M502" t="n">
        <v>0</v>
      </c>
      <c r="N502" t="n">
        <v>0</v>
      </c>
      <c r="O502" t="n">
        <v>0</v>
      </c>
      <c r="P502" t="n">
        <v>0</v>
      </c>
      <c r="Q502" t="n">
        <v>0</v>
      </c>
      <c r="R502" s="2" t="inlineStr"/>
    </row>
    <row r="503" ht="15" customHeight="1">
      <c r="A503" t="inlineStr">
        <is>
          <t>A 60478-2022</t>
        </is>
      </c>
      <c r="B503" s="1" t="n">
        <v>44911</v>
      </c>
      <c r="C503" s="1" t="n">
        <v>45845</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61125-2022</t>
        </is>
      </c>
      <c r="B504" s="1" t="n">
        <v>44915</v>
      </c>
      <c r="C504" s="1" t="n">
        <v>45845</v>
      </c>
      <c r="D504" t="inlineStr">
        <is>
          <t>UPPSALA LÄN</t>
        </is>
      </c>
      <c r="E504" t="inlineStr">
        <is>
          <t>ENKÖPING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61181-2022</t>
        </is>
      </c>
      <c r="B505" s="1" t="n">
        <v>44915</v>
      </c>
      <c r="C505" s="1" t="n">
        <v>45845</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61106-2022</t>
        </is>
      </c>
      <c r="B506" s="1" t="n">
        <v>44915</v>
      </c>
      <c r="C506" s="1" t="n">
        <v>45845</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61800-2022</t>
        </is>
      </c>
      <c r="B507" s="1" t="n">
        <v>44917</v>
      </c>
      <c r="C507" s="1" t="n">
        <v>45845</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62716-2022</t>
        </is>
      </c>
      <c r="B508" s="1" t="n">
        <v>44917</v>
      </c>
      <c r="C508" s="1" t="n">
        <v>45845</v>
      </c>
      <c r="D508" t="inlineStr">
        <is>
          <t>UPPSALA LÄN</t>
        </is>
      </c>
      <c r="E508" t="inlineStr">
        <is>
          <t>ENKÖPING</t>
        </is>
      </c>
      <c r="G508" t="n">
        <v>4.3</v>
      </c>
      <c r="H508" t="n">
        <v>0</v>
      </c>
      <c r="I508" t="n">
        <v>0</v>
      </c>
      <c r="J508" t="n">
        <v>0</v>
      </c>
      <c r="K508" t="n">
        <v>0</v>
      </c>
      <c r="L508" t="n">
        <v>0</v>
      </c>
      <c r="M508" t="n">
        <v>0</v>
      </c>
      <c r="N508" t="n">
        <v>0</v>
      </c>
      <c r="O508" t="n">
        <v>0</v>
      </c>
      <c r="P508" t="n">
        <v>0</v>
      </c>
      <c r="Q508" t="n">
        <v>0</v>
      </c>
      <c r="R508" s="2" t="inlineStr"/>
    </row>
    <row r="509" ht="15" customHeight="1">
      <c r="A509" t="inlineStr">
        <is>
          <t>A 62423-2022</t>
        </is>
      </c>
      <c r="B509" s="1" t="n">
        <v>44924</v>
      </c>
      <c r="C509" s="1" t="n">
        <v>45845</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62419-2022</t>
        </is>
      </c>
      <c r="B510" s="1" t="n">
        <v>44924</v>
      </c>
      <c r="C510" s="1" t="n">
        <v>45845</v>
      </c>
      <c r="D510" t="inlineStr">
        <is>
          <t>UPPSALA LÄN</t>
        </is>
      </c>
      <c r="E510" t="inlineStr">
        <is>
          <t>ENKÖPING</t>
        </is>
      </c>
      <c r="G510" t="n">
        <v>1.4</v>
      </c>
      <c r="H510" t="n">
        <v>0</v>
      </c>
      <c r="I510" t="n">
        <v>0</v>
      </c>
      <c r="J510" t="n">
        <v>0</v>
      </c>
      <c r="K510" t="n">
        <v>0</v>
      </c>
      <c r="L510" t="n">
        <v>0</v>
      </c>
      <c r="M510" t="n">
        <v>0</v>
      </c>
      <c r="N510" t="n">
        <v>0</v>
      </c>
      <c r="O510" t="n">
        <v>0</v>
      </c>
      <c r="P510" t="n">
        <v>0</v>
      </c>
      <c r="Q510" t="n">
        <v>0</v>
      </c>
      <c r="R510" s="2" t="inlineStr"/>
    </row>
    <row r="511" ht="15" customHeight="1">
      <c r="A511" t="inlineStr">
        <is>
          <t>A 799-2023</t>
        </is>
      </c>
      <c r="B511" s="1" t="n">
        <v>44931</v>
      </c>
      <c r="C511" s="1" t="n">
        <v>45845</v>
      </c>
      <c r="D511" t="inlineStr">
        <is>
          <t>UPPSALA LÄN</t>
        </is>
      </c>
      <c r="E511" t="inlineStr">
        <is>
          <t>ENKÖPING</t>
        </is>
      </c>
      <c r="G511" t="n">
        <v>3.1</v>
      </c>
      <c r="H511" t="n">
        <v>0</v>
      </c>
      <c r="I511" t="n">
        <v>0</v>
      </c>
      <c r="J511" t="n">
        <v>0</v>
      </c>
      <c r="K511" t="n">
        <v>0</v>
      </c>
      <c r="L511" t="n">
        <v>0</v>
      </c>
      <c r="M511" t="n">
        <v>0</v>
      </c>
      <c r="N511" t="n">
        <v>0</v>
      </c>
      <c r="O511" t="n">
        <v>0</v>
      </c>
      <c r="P511" t="n">
        <v>0</v>
      </c>
      <c r="Q511" t="n">
        <v>0</v>
      </c>
      <c r="R511" s="2" t="inlineStr"/>
    </row>
    <row r="512" ht="15" customHeight="1">
      <c r="A512" t="inlineStr">
        <is>
          <t>A 1587-2023</t>
        </is>
      </c>
      <c r="B512" s="1" t="n">
        <v>44937</v>
      </c>
      <c r="C512" s="1" t="n">
        <v>45845</v>
      </c>
      <c r="D512" t="inlineStr">
        <is>
          <t>UPPSALA LÄN</t>
        </is>
      </c>
      <c r="E512" t="inlineStr">
        <is>
          <t>ENKÖPING</t>
        </is>
      </c>
      <c r="G512" t="n">
        <v>2.4</v>
      </c>
      <c r="H512" t="n">
        <v>0</v>
      </c>
      <c r="I512" t="n">
        <v>0</v>
      </c>
      <c r="J512" t="n">
        <v>0</v>
      </c>
      <c r="K512" t="n">
        <v>0</v>
      </c>
      <c r="L512" t="n">
        <v>0</v>
      </c>
      <c r="M512" t="n">
        <v>0</v>
      </c>
      <c r="N512" t="n">
        <v>0</v>
      </c>
      <c r="O512" t="n">
        <v>0</v>
      </c>
      <c r="P512" t="n">
        <v>0</v>
      </c>
      <c r="Q512" t="n">
        <v>0</v>
      </c>
      <c r="R512" s="2" t="inlineStr"/>
    </row>
    <row r="513" ht="15" customHeight="1">
      <c r="A513" t="inlineStr">
        <is>
          <t>A 1593-2023</t>
        </is>
      </c>
      <c r="B513" s="1" t="n">
        <v>44937</v>
      </c>
      <c r="C513" s="1" t="n">
        <v>45845</v>
      </c>
      <c r="D513" t="inlineStr">
        <is>
          <t>UPPSALA LÄN</t>
        </is>
      </c>
      <c r="E513" t="inlineStr">
        <is>
          <t>ENKÖPING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2161-2023</t>
        </is>
      </c>
      <c r="B514" s="1" t="n">
        <v>44941</v>
      </c>
      <c r="C514" s="1" t="n">
        <v>45845</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2165-2023</t>
        </is>
      </c>
      <c r="B515" s="1" t="n">
        <v>44941</v>
      </c>
      <c r="C515" s="1" t="n">
        <v>45845</v>
      </c>
      <c r="D515" t="inlineStr">
        <is>
          <t>UPPSALA LÄN</t>
        </is>
      </c>
      <c r="E515" t="inlineStr">
        <is>
          <t>ENKÖPING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2162-2023</t>
        </is>
      </c>
      <c r="B516" s="1" t="n">
        <v>44941</v>
      </c>
      <c r="C516" s="1" t="n">
        <v>45845</v>
      </c>
      <c r="D516" t="inlineStr">
        <is>
          <t>UPPSALA LÄN</t>
        </is>
      </c>
      <c r="E516" t="inlineStr">
        <is>
          <t>ENKÖPING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2164-2023</t>
        </is>
      </c>
      <c r="B517" s="1" t="n">
        <v>44941</v>
      </c>
      <c r="C517" s="1" t="n">
        <v>45845</v>
      </c>
      <c r="D517" t="inlineStr">
        <is>
          <t>UPPSALA LÄN</t>
        </is>
      </c>
      <c r="E517" t="inlineStr">
        <is>
          <t>ENKÖPING</t>
        </is>
      </c>
      <c r="G517" t="n">
        <v>2.5</v>
      </c>
      <c r="H517" t="n">
        <v>0</v>
      </c>
      <c r="I517" t="n">
        <v>0</v>
      </c>
      <c r="J517" t="n">
        <v>0</v>
      </c>
      <c r="K517" t="n">
        <v>0</v>
      </c>
      <c r="L517" t="n">
        <v>0</v>
      </c>
      <c r="M517" t="n">
        <v>0</v>
      </c>
      <c r="N517" t="n">
        <v>0</v>
      </c>
      <c r="O517" t="n">
        <v>0</v>
      </c>
      <c r="P517" t="n">
        <v>0</v>
      </c>
      <c r="Q517" t="n">
        <v>0</v>
      </c>
      <c r="R517" s="2" t="inlineStr"/>
    </row>
    <row r="518" ht="15" customHeight="1">
      <c r="A518" t="inlineStr">
        <is>
          <t>A 3550-2023</t>
        </is>
      </c>
      <c r="B518" s="1" t="n">
        <v>44950</v>
      </c>
      <c r="C518" s="1" t="n">
        <v>45845</v>
      </c>
      <c r="D518" t="inlineStr">
        <is>
          <t>UPPSALA LÄN</t>
        </is>
      </c>
      <c r="E518" t="inlineStr">
        <is>
          <t>ENKÖPING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4901-2023</t>
        </is>
      </c>
      <c r="B519" s="1" t="n">
        <v>44958</v>
      </c>
      <c r="C519" s="1" t="n">
        <v>45845</v>
      </c>
      <c r="D519" t="inlineStr">
        <is>
          <t>UPPSALA LÄN</t>
        </is>
      </c>
      <c r="E519" t="inlineStr">
        <is>
          <t>ENKÖPING</t>
        </is>
      </c>
      <c r="G519" t="n">
        <v>4.6</v>
      </c>
      <c r="H519" t="n">
        <v>0</v>
      </c>
      <c r="I519" t="n">
        <v>0</v>
      </c>
      <c r="J519" t="n">
        <v>0</v>
      </c>
      <c r="K519" t="n">
        <v>0</v>
      </c>
      <c r="L519" t="n">
        <v>0</v>
      </c>
      <c r="M519" t="n">
        <v>0</v>
      </c>
      <c r="N519" t="n">
        <v>0</v>
      </c>
      <c r="O519" t="n">
        <v>0</v>
      </c>
      <c r="P519" t="n">
        <v>0</v>
      </c>
      <c r="Q519" t="n">
        <v>0</v>
      </c>
      <c r="R519" s="2" t="inlineStr"/>
    </row>
    <row r="520" ht="15" customHeight="1">
      <c r="A520" t="inlineStr">
        <is>
          <t>A 5892-2023</t>
        </is>
      </c>
      <c r="B520" s="1" t="n">
        <v>44963</v>
      </c>
      <c r="C520" s="1" t="n">
        <v>45845</v>
      </c>
      <c r="D520" t="inlineStr">
        <is>
          <t>UPPSALA LÄN</t>
        </is>
      </c>
      <c r="E520" t="inlineStr">
        <is>
          <t>ENKÖPING</t>
        </is>
      </c>
      <c r="G520" t="n">
        <v>5.5</v>
      </c>
      <c r="H520" t="n">
        <v>0</v>
      </c>
      <c r="I520" t="n">
        <v>0</v>
      </c>
      <c r="J520" t="n">
        <v>0</v>
      </c>
      <c r="K520" t="n">
        <v>0</v>
      </c>
      <c r="L520" t="n">
        <v>0</v>
      </c>
      <c r="M520" t="n">
        <v>0</v>
      </c>
      <c r="N520" t="n">
        <v>0</v>
      </c>
      <c r="O520" t="n">
        <v>0</v>
      </c>
      <c r="P520" t="n">
        <v>0</v>
      </c>
      <c r="Q520" t="n">
        <v>0</v>
      </c>
      <c r="R520" s="2" t="inlineStr"/>
    </row>
    <row r="521" ht="15" customHeight="1">
      <c r="A521" t="inlineStr">
        <is>
          <t>A 6172-2023</t>
        </is>
      </c>
      <c r="B521" s="1" t="n">
        <v>44964</v>
      </c>
      <c r="C521" s="1" t="n">
        <v>45845</v>
      </c>
      <c r="D521" t="inlineStr">
        <is>
          <t>UPPSALA LÄN</t>
        </is>
      </c>
      <c r="E521" t="inlineStr">
        <is>
          <t>ENKÖPING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6620-2023</t>
        </is>
      </c>
      <c r="B522" s="1" t="n">
        <v>44966</v>
      </c>
      <c r="C522" s="1" t="n">
        <v>45845</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6623-2023</t>
        </is>
      </c>
      <c r="B523" s="1" t="n">
        <v>44966</v>
      </c>
      <c r="C523" s="1" t="n">
        <v>45845</v>
      </c>
      <c r="D523" t="inlineStr">
        <is>
          <t>UPPSALA LÄN</t>
        </is>
      </c>
      <c r="E523" t="inlineStr">
        <is>
          <t>ENKÖPING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6624-2023</t>
        </is>
      </c>
      <c r="B524" s="1" t="n">
        <v>44966</v>
      </c>
      <c r="C524" s="1" t="n">
        <v>45845</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6626-2023</t>
        </is>
      </c>
      <c r="B525" s="1" t="n">
        <v>44966</v>
      </c>
      <c r="C525" s="1" t="n">
        <v>45845</v>
      </c>
      <c r="D525" t="inlineStr">
        <is>
          <t>UPPSALA LÄN</t>
        </is>
      </c>
      <c r="E525" t="inlineStr">
        <is>
          <t>ENKÖPING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9957-2023</t>
        </is>
      </c>
      <c r="B526" s="1" t="n">
        <v>44978</v>
      </c>
      <c r="C526" s="1" t="n">
        <v>45845</v>
      </c>
      <c r="D526" t="inlineStr">
        <is>
          <t>UPPSALA LÄN</t>
        </is>
      </c>
      <c r="E526" t="inlineStr">
        <is>
          <t>ENKÖPING</t>
        </is>
      </c>
      <c r="G526" t="n">
        <v>5.9</v>
      </c>
      <c r="H526" t="n">
        <v>0</v>
      </c>
      <c r="I526" t="n">
        <v>0</v>
      </c>
      <c r="J526" t="n">
        <v>0</v>
      </c>
      <c r="K526" t="n">
        <v>0</v>
      </c>
      <c r="L526" t="n">
        <v>0</v>
      </c>
      <c r="M526" t="n">
        <v>0</v>
      </c>
      <c r="N526" t="n">
        <v>0</v>
      </c>
      <c r="O526" t="n">
        <v>0</v>
      </c>
      <c r="P526" t="n">
        <v>0</v>
      </c>
      <c r="Q526" t="n">
        <v>0</v>
      </c>
      <c r="R526" s="2" t="inlineStr"/>
    </row>
    <row r="527" ht="15" customHeight="1">
      <c r="A527" t="inlineStr">
        <is>
          <t>A 9958-2023</t>
        </is>
      </c>
      <c r="B527" s="1" t="n">
        <v>44978</v>
      </c>
      <c r="C527" s="1" t="n">
        <v>45845</v>
      </c>
      <c r="D527" t="inlineStr">
        <is>
          <t>UPPSALA LÄN</t>
        </is>
      </c>
      <c r="E527" t="inlineStr">
        <is>
          <t>ENKÖPING</t>
        </is>
      </c>
      <c r="G527" t="n">
        <v>1.7</v>
      </c>
      <c r="H527" t="n">
        <v>0</v>
      </c>
      <c r="I527" t="n">
        <v>0</v>
      </c>
      <c r="J527" t="n">
        <v>0</v>
      </c>
      <c r="K527" t="n">
        <v>0</v>
      </c>
      <c r="L527" t="n">
        <v>0</v>
      </c>
      <c r="M527" t="n">
        <v>0</v>
      </c>
      <c r="N527" t="n">
        <v>0</v>
      </c>
      <c r="O527" t="n">
        <v>0</v>
      </c>
      <c r="P527" t="n">
        <v>0</v>
      </c>
      <c r="Q527" t="n">
        <v>0</v>
      </c>
      <c r="R527" s="2" t="inlineStr"/>
    </row>
    <row r="528" ht="15" customHeight="1">
      <c r="A528" t="inlineStr">
        <is>
          <t>A 9041-2023</t>
        </is>
      </c>
      <c r="B528" s="1" t="n">
        <v>44979</v>
      </c>
      <c r="C528" s="1" t="n">
        <v>45845</v>
      </c>
      <c r="D528" t="inlineStr">
        <is>
          <t>UPPSALA LÄN</t>
        </is>
      </c>
      <c r="E528" t="inlineStr">
        <is>
          <t>ENKÖPING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9231-2023</t>
        </is>
      </c>
      <c r="B529" s="1" t="n">
        <v>44980</v>
      </c>
      <c r="C529" s="1" t="n">
        <v>45845</v>
      </c>
      <c r="D529" t="inlineStr">
        <is>
          <t>UPPSALA LÄN</t>
        </is>
      </c>
      <c r="E529" t="inlineStr">
        <is>
          <t>ENKÖPING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11005-2023</t>
        </is>
      </c>
      <c r="B530" s="1" t="n">
        <v>44991</v>
      </c>
      <c r="C530" s="1" t="n">
        <v>45845</v>
      </c>
      <c r="D530" t="inlineStr">
        <is>
          <t>UPPSALA LÄN</t>
        </is>
      </c>
      <c r="E530" t="inlineStr">
        <is>
          <t>ENKÖPING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12360-2023</t>
        </is>
      </c>
      <c r="B531" s="1" t="n">
        <v>44999</v>
      </c>
      <c r="C531" s="1" t="n">
        <v>45845</v>
      </c>
      <c r="D531" t="inlineStr">
        <is>
          <t>UPPSALA LÄN</t>
        </is>
      </c>
      <c r="E531" t="inlineStr">
        <is>
          <t>ENKÖPING</t>
        </is>
      </c>
      <c r="G531" t="n">
        <v>6.3</v>
      </c>
      <c r="H531" t="n">
        <v>0</v>
      </c>
      <c r="I531" t="n">
        <v>0</v>
      </c>
      <c r="J531" t="n">
        <v>0</v>
      </c>
      <c r="K531" t="n">
        <v>0</v>
      </c>
      <c r="L531" t="n">
        <v>0</v>
      </c>
      <c r="M531" t="n">
        <v>0</v>
      </c>
      <c r="N531" t="n">
        <v>0</v>
      </c>
      <c r="O531" t="n">
        <v>0</v>
      </c>
      <c r="P531" t="n">
        <v>0</v>
      </c>
      <c r="Q531" t="n">
        <v>0</v>
      </c>
      <c r="R531" s="2" t="inlineStr"/>
    </row>
    <row r="532" ht="15" customHeight="1">
      <c r="A532" t="inlineStr">
        <is>
          <t>A 13140-2023</t>
        </is>
      </c>
      <c r="B532" s="1" t="n">
        <v>45001</v>
      </c>
      <c r="C532" s="1" t="n">
        <v>45845</v>
      </c>
      <c r="D532" t="inlineStr">
        <is>
          <t>UPPSALA LÄN</t>
        </is>
      </c>
      <c r="E532" t="inlineStr">
        <is>
          <t>ENKÖPING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13099-2023</t>
        </is>
      </c>
      <c r="B533" s="1" t="n">
        <v>45001</v>
      </c>
      <c r="C533" s="1" t="n">
        <v>45845</v>
      </c>
      <c r="D533" t="inlineStr">
        <is>
          <t>UPPSALA LÄN</t>
        </is>
      </c>
      <c r="E533" t="inlineStr">
        <is>
          <t>ENKÖPING</t>
        </is>
      </c>
      <c r="G533" t="n">
        <v>10.5</v>
      </c>
      <c r="H533" t="n">
        <v>0</v>
      </c>
      <c r="I533" t="n">
        <v>0</v>
      </c>
      <c r="J533" t="n">
        <v>0</v>
      </c>
      <c r="K533" t="n">
        <v>0</v>
      </c>
      <c r="L533" t="n">
        <v>0</v>
      </c>
      <c r="M533" t="n">
        <v>0</v>
      </c>
      <c r="N533" t="n">
        <v>0</v>
      </c>
      <c r="O533" t="n">
        <v>0</v>
      </c>
      <c r="P533" t="n">
        <v>0</v>
      </c>
      <c r="Q533" t="n">
        <v>0</v>
      </c>
      <c r="R533" s="2" t="inlineStr"/>
    </row>
    <row r="534" ht="15" customHeight="1">
      <c r="A534" t="inlineStr">
        <is>
          <t>A 13110-2023</t>
        </is>
      </c>
      <c r="B534" s="1" t="n">
        <v>45001</v>
      </c>
      <c r="C534" s="1" t="n">
        <v>45845</v>
      </c>
      <c r="D534" t="inlineStr">
        <is>
          <t>UPPSALA LÄN</t>
        </is>
      </c>
      <c r="E534" t="inlineStr">
        <is>
          <t>ENKÖPING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13836-2023</t>
        </is>
      </c>
      <c r="B535" s="1" t="n">
        <v>45007</v>
      </c>
      <c r="C535" s="1" t="n">
        <v>45845</v>
      </c>
      <c r="D535" t="inlineStr">
        <is>
          <t>UPPSALA LÄN</t>
        </is>
      </c>
      <c r="E535" t="inlineStr">
        <is>
          <t>ENKÖPING</t>
        </is>
      </c>
      <c r="G535" t="n">
        <v>4.2</v>
      </c>
      <c r="H535" t="n">
        <v>0</v>
      </c>
      <c r="I535" t="n">
        <v>0</v>
      </c>
      <c r="J535" t="n">
        <v>0</v>
      </c>
      <c r="K535" t="n">
        <v>0</v>
      </c>
      <c r="L535" t="n">
        <v>0</v>
      </c>
      <c r="M535" t="n">
        <v>0</v>
      </c>
      <c r="N535" t="n">
        <v>0</v>
      </c>
      <c r="O535" t="n">
        <v>0</v>
      </c>
      <c r="P535" t="n">
        <v>0</v>
      </c>
      <c r="Q535" t="n">
        <v>0</v>
      </c>
      <c r="R535" s="2" t="inlineStr"/>
    </row>
    <row r="536" ht="15" customHeight="1">
      <c r="A536" t="inlineStr">
        <is>
          <t>A 13853-2023</t>
        </is>
      </c>
      <c r="B536" s="1" t="n">
        <v>45007</v>
      </c>
      <c r="C536" s="1" t="n">
        <v>45845</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13867-2023</t>
        </is>
      </c>
      <c r="B537" s="1" t="n">
        <v>45007</v>
      </c>
      <c r="C537" s="1" t="n">
        <v>45845</v>
      </c>
      <c r="D537" t="inlineStr">
        <is>
          <t>UPPSALA LÄN</t>
        </is>
      </c>
      <c r="E537" t="inlineStr">
        <is>
          <t>ENKÖPING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14004-2023</t>
        </is>
      </c>
      <c r="B538" s="1" t="n">
        <v>45008</v>
      </c>
      <c r="C538" s="1" t="n">
        <v>45845</v>
      </c>
      <c r="D538" t="inlineStr">
        <is>
          <t>UPPSALA LÄN</t>
        </is>
      </c>
      <c r="E538" t="inlineStr">
        <is>
          <t>ENKÖPING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14402-2023</t>
        </is>
      </c>
      <c r="B539" s="1" t="n">
        <v>45012</v>
      </c>
      <c r="C539" s="1" t="n">
        <v>45845</v>
      </c>
      <c r="D539" t="inlineStr">
        <is>
          <t>UPPSALA LÄN</t>
        </is>
      </c>
      <c r="E539" t="inlineStr">
        <is>
          <t>ENKÖPING</t>
        </is>
      </c>
      <c r="G539" t="n">
        <v>9.5</v>
      </c>
      <c r="H539" t="n">
        <v>0</v>
      </c>
      <c r="I539" t="n">
        <v>0</v>
      </c>
      <c r="J539" t="n">
        <v>0</v>
      </c>
      <c r="K539" t="n">
        <v>0</v>
      </c>
      <c r="L539" t="n">
        <v>0</v>
      </c>
      <c r="M539" t="n">
        <v>0</v>
      </c>
      <c r="N539" t="n">
        <v>0</v>
      </c>
      <c r="O539" t="n">
        <v>0</v>
      </c>
      <c r="P539" t="n">
        <v>0</v>
      </c>
      <c r="Q539" t="n">
        <v>0</v>
      </c>
      <c r="R539" s="2" t="inlineStr"/>
    </row>
    <row r="540" ht="15" customHeight="1">
      <c r="A540" t="inlineStr">
        <is>
          <t>A 15320-2023</t>
        </is>
      </c>
      <c r="B540" s="1" t="n">
        <v>45019</v>
      </c>
      <c r="C540" s="1" t="n">
        <v>45845</v>
      </c>
      <c r="D540" t="inlineStr">
        <is>
          <t>UPPSALA LÄN</t>
        </is>
      </c>
      <c r="E540" t="inlineStr">
        <is>
          <t>ENKÖPING</t>
        </is>
      </c>
      <c r="G540" t="n">
        <v>8</v>
      </c>
      <c r="H540" t="n">
        <v>0</v>
      </c>
      <c r="I540" t="n">
        <v>0</v>
      </c>
      <c r="J540" t="n">
        <v>0</v>
      </c>
      <c r="K540" t="n">
        <v>0</v>
      </c>
      <c r="L540" t="n">
        <v>0</v>
      </c>
      <c r="M540" t="n">
        <v>0</v>
      </c>
      <c r="N540" t="n">
        <v>0</v>
      </c>
      <c r="O540" t="n">
        <v>0</v>
      </c>
      <c r="P540" t="n">
        <v>0</v>
      </c>
      <c r="Q540" t="n">
        <v>0</v>
      </c>
      <c r="R540" s="2" t="inlineStr"/>
    </row>
    <row r="541" ht="15" customHeight="1">
      <c r="A541" t="inlineStr">
        <is>
          <t>A 15757-2023</t>
        </is>
      </c>
      <c r="B541" s="1" t="n">
        <v>45021</v>
      </c>
      <c r="C541" s="1" t="n">
        <v>45845</v>
      </c>
      <c r="D541" t="inlineStr">
        <is>
          <t>UPPSALA LÄN</t>
        </is>
      </c>
      <c r="E541" t="inlineStr">
        <is>
          <t>ENKÖPING</t>
        </is>
      </c>
      <c r="G541" t="n">
        <v>3</v>
      </c>
      <c r="H541" t="n">
        <v>0</v>
      </c>
      <c r="I541" t="n">
        <v>0</v>
      </c>
      <c r="J541" t="n">
        <v>0</v>
      </c>
      <c r="K541" t="n">
        <v>0</v>
      </c>
      <c r="L541" t="n">
        <v>0</v>
      </c>
      <c r="M541" t="n">
        <v>0</v>
      </c>
      <c r="N541" t="n">
        <v>0</v>
      </c>
      <c r="O541" t="n">
        <v>0</v>
      </c>
      <c r="P541" t="n">
        <v>0</v>
      </c>
      <c r="Q541" t="n">
        <v>0</v>
      </c>
      <c r="R541" s="2" t="inlineStr"/>
    </row>
    <row r="542" ht="15" customHeight="1">
      <c r="A542" t="inlineStr">
        <is>
          <t>A 16320-2023</t>
        </is>
      </c>
      <c r="B542" s="1" t="n">
        <v>45028</v>
      </c>
      <c r="C542" s="1" t="n">
        <v>45845</v>
      </c>
      <c r="D542" t="inlineStr">
        <is>
          <t>UPPSALA LÄN</t>
        </is>
      </c>
      <c r="E542" t="inlineStr">
        <is>
          <t>ENKÖPING</t>
        </is>
      </c>
      <c r="G542" t="n">
        <v>5.2</v>
      </c>
      <c r="H542" t="n">
        <v>0</v>
      </c>
      <c r="I542" t="n">
        <v>0</v>
      </c>
      <c r="J542" t="n">
        <v>0</v>
      </c>
      <c r="K542" t="n">
        <v>0</v>
      </c>
      <c r="L542" t="n">
        <v>0</v>
      </c>
      <c r="M542" t="n">
        <v>0</v>
      </c>
      <c r="N542" t="n">
        <v>0</v>
      </c>
      <c r="O542" t="n">
        <v>0</v>
      </c>
      <c r="P542" t="n">
        <v>0</v>
      </c>
      <c r="Q542" t="n">
        <v>0</v>
      </c>
      <c r="R542" s="2" t="inlineStr"/>
    </row>
    <row r="543" ht="15" customHeight="1">
      <c r="A543" t="inlineStr">
        <is>
          <t>A 16905-2023</t>
        </is>
      </c>
      <c r="B543" s="1" t="n">
        <v>45033</v>
      </c>
      <c r="C543" s="1" t="n">
        <v>45845</v>
      </c>
      <c r="D543" t="inlineStr">
        <is>
          <t>UPPSALA LÄN</t>
        </is>
      </c>
      <c r="E543" t="inlineStr">
        <is>
          <t>ENKÖPING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16916-2023</t>
        </is>
      </c>
      <c r="B544" s="1" t="n">
        <v>45033</v>
      </c>
      <c r="C544" s="1" t="n">
        <v>45845</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16920-2023</t>
        </is>
      </c>
      <c r="B545" s="1" t="n">
        <v>45033</v>
      </c>
      <c r="C545" s="1" t="n">
        <v>45845</v>
      </c>
      <c r="D545" t="inlineStr">
        <is>
          <t>UPPSALA LÄN</t>
        </is>
      </c>
      <c r="E545" t="inlineStr">
        <is>
          <t>ENKÖPING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17254-2023</t>
        </is>
      </c>
      <c r="B546" s="1" t="n">
        <v>45034</v>
      </c>
      <c r="C546" s="1" t="n">
        <v>45845</v>
      </c>
      <c r="D546" t="inlineStr">
        <is>
          <t>UPPSALA LÄN</t>
        </is>
      </c>
      <c r="E546" t="inlineStr">
        <is>
          <t>ENKÖPING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17511-2023</t>
        </is>
      </c>
      <c r="B547" s="1" t="n">
        <v>45034</v>
      </c>
      <c r="C547" s="1" t="n">
        <v>45845</v>
      </c>
      <c r="D547" t="inlineStr">
        <is>
          <t>UPPSALA LÄN</t>
        </is>
      </c>
      <c r="E547" t="inlineStr">
        <is>
          <t>ENKÖPING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17373-2023</t>
        </is>
      </c>
      <c r="B548" s="1" t="n">
        <v>45035</v>
      </c>
      <c r="C548" s="1" t="n">
        <v>45845</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17729-2023</t>
        </is>
      </c>
      <c r="B549" s="1" t="n">
        <v>45037</v>
      </c>
      <c r="C549" s="1" t="n">
        <v>45845</v>
      </c>
      <c r="D549" t="inlineStr">
        <is>
          <t>UPPSALA LÄN</t>
        </is>
      </c>
      <c r="E549" t="inlineStr">
        <is>
          <t>ENKÖPING</t>
        </is>
      </c>
      <c r="G549" t="n">
        <v>10.2</v>
      </c>
      <c r="H549" t="n">
        <v>0</v>
      </c>
      <c r="I549" t="n">
        <v>0</v>
      </c>
      <c r="J549" t="n">
        <v>0</v>
      </c>
      <c r="K549" t="n">
        <v>0</v>
      </c>
      <c r="L549" t="n">
        <v>0</v>
      </c>
      <c r="M549" t="n">
        <v>0</v>
      </c>
      <c r="N549" t="n">
        <v>0</v>
      </c>
      <c r="O549" t="n">
        <v>0</v>
      </c>
      <c r="P549" t="n">
        <v>0</v>
      </c>
      <c r="Q549" t="n">
        <v>0</v>
      </c>
      <c r="R549" s="2" t="inlineStr"/>
    </row>
    <row r="550" ht="15" customHeight="1">
      <c r="A550" t="inlineStr">
        <is>
          <t>A 17813-2023</t>
        </is>
      </c>
      <c r="B550" s="1" t="n">
        <v>45037</v>
      </c>
      <c r="C550" s="1" t="n">
        <v>45845</v>
      </c>
      <c r="D550" t="inlineStr">
        <is>
          <t>UPPSALA LÄN</t>
        </is>
      </c>
      <c r="E550" t="inlineStr">
        <is>
          <t>ENKÖPING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18030-2023</t>
        </is>
      </c>
      <c r="B551" s="1" t="n">
        <v>45040</v>
      </c>
      <c r="C551" s="1" t="n">
        <v>45845</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18696-2023</t>
        </is>
      </c>
      <c r="B552" s="1" t="n">
        <v>45043</v>
      </c>
      <c r="C552" s="1" t="n">
        <v>45845</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18821-2023</t>
        </is>
      </c>
      <c r="B553" s="1" t="n">
        <v>45044</v>
      </c>
      <c r="C553" s="1" t="n">
        <v>45845</v>
      </c>
      <c r="D553" t="inlineStr">
        <is>
          <t>UPPSALA LÄN</t>
        </is>
      </c>
      <c r="E553" t="inlineStr">
        <is>
          <t>ENKÖPING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18831-2023</t>
        </is>
      </c>
      <c r="B554" s="1" t="n">
        <v>45044</v>
      </c>
      <c r="C554" s="1" t="n">
        <v>45845</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19298-2023</t>
        </is>
      </c>
      <c r="B555" s="1" t="n">
        <v>45048</v>
      </c>
      <c r="C555" s="1" t="n">
        <v>45845</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19301-2023</t>
        </is>
      </c>
      <c r="B556" s="1" t="n">
        <v>45048</v>
      </c>
      <c r="C556" s="1" t="n">
        <v>45845</v>
      </c>
      <c r="D556" t="inlineStr">
        <is>
          <t>UPPSALA LÄN</t>
        </is>
      </c>
      <c r="E556" t="inlineStr">
        <is>
          <t>ENKÖPING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19415-2023</t>
        </is>
      </c>
      <c r="B557" s="1" t="n">
        <v>45049</v>
      </c>
      <c r="C557" s="1" t="n">
        <v>45845</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20431-2023</t>
        </is>
      </c>
      <c r="B558" s="1" t="n">
        <v>45054</v>
      </c>
      <c r="C558" s="1" t="n">
        <v>45845</v>
      </c>
      <c r="D558" t="inlineStr">
        <is>
          <t>UPPSALA LÄN</t>
        </is>
      </c>
      <c r="E558" t="inlineStr">
        <is>
          <t>ENKÖPING</t>
        </is>
      </c>
      <c r="F558" t="inlineStr">
        <is>
          <t>Övriga statliga verk och myndigheter</t>
        </is>
      </c>
      <c r="G558" t="n">
        <v>3.3</v>
      </c>
      <c r="H558" t="n">
        <v>0</v>
      </c>
      <c r="I558" t="n">
        <v>0</v>
      </c>
      <c r="J558" t="n">
        <v>0</v>
      </c>
      <c r="K558" t="n">
        <v>0</v>
      </c>
      <c r="L558" t="n">
        <v>0</v>
      </c>
      <c r="M558" t="n">
        <v>0</v>
      </c>
      <c r="N558" t="n">
        <v>0</v>
      </c>
      <c r="O558" t="n">
        <v>0</v>
      </c>
      <c r="P558" t="n">
        <v>0</v>
      </c>
      <c r="Q558" t="n">
        <v>0</v>
      </c>
      <c r="R558" s="2" t="inlineStr"/>
    </row>
    <row r="559" ht="15" customHeight="1">
      <c r="A559" t="inlineStr">
        <is>
          <t>A 20179-2023</t>
        </is>
      </c>
      <c r="B559" s="1" t="n">
        <v>45055</v>
      </c>
      <c r="C559" s="1" t="n">
        <v>45845</v>
      </c>
      <c r="D559" t="inlineStr">
        <is>
          <t>UPPSALA LÄN</t>
        </is>
      </c>
      <c r="E559" t="inlineStr">
        <is>
          <t>ENKÖPING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20184-2023</t>
        </is>
      </c>
      <c r="B560" s="1" t="n">
        <v>45055</v>
      </c>
      <c r="C560" s="1" t="n">
        <v>45845</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20188-2023</t>
        </is>
      </c>
      <c r="B561" s="1" t="n">
        <v>45055</v>
      </c>
      <c r="C561" s="1" t="n">
        <v>45845</v>
      </c>
      <c r="D561" t="inlineStr">
        <is>
          <t>UPPSALA LÄN</t>
        </is>
      </c>
      <c r="E561" t="inlineStr">
        <is>
          <t>ENKÖPING</t>
        </is>
      </c>
      <c r="G561" t="n">
        <v>4.9</v>
      </c>
      <c r="H561" t="n">
        <v>0</v>
      </c>
      <c r="I561" t="n">
        <v>0</v>
      </c>
      <c r="J561" t="n">
        <v>0</v>
      </c>
      <c r="K561" t="n">
        <v>0</v>
      </c>
      <c r="L561" t="n">
        <v>0</v>
      </c>
      <c r="M561" t="n">
        <v>0</v>
      </c>
      <c r="N561" t="n">
        <v>0</v>
      </c>
      <c r="O561" t="n">
        <v>0</v>
      </c>
      <c r="P561" t="n">
        <v>0</v>
      </c>
      <c r="Q561" t="n">
        <v>0</v>
      </c>
      <c r="R561" s="2" t="inlineStr"/>
    </row>
    <row r="562" ht="15" customHeight="1">
      <c r="A562" t="inlineStr">
        <is>
          <t>A 20201-2023</t>
        </is>
      </c>
      <c r="B562" s="1" t="n">
        <v>45055</v>
      </c>
      <c r="C562" s="1" t="n">
        <v>45845</v>
      </c>
      <c r="D562" t="inlineStr">
        <is>
          <t>UPPSALA LÄN</t>
        </is>
      </c>
      <c r="E562" t="inlineStr">
        <is>
          <t>ENKÖPING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20181-2023</t>
        </is>
      </c>
      <c r="B563" s="1" t="n">
        <v>45055</v>
      </c>
      <c r="C563" s="1" t="n">
        <v>45845</v>
      </c>
      <c r="D563" t="inlineStr">
        <is>
          <t>UPPSALA LÄN</t>
        </is>
      </c>
      <c r="E563" t="inlineStr">
        <is>
          <t>ENKÖPING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20186-2023</t>
        </is>
      </c>
      <c r="B564" s="1" t="n">
        <v>45055</v>
      </c>
      <c r="C564" s="1" t="n">
        <v>45845</v>
      </c>
      <c r="D564" t="inlineStr">
        <is>
          <t>UPPSALA LÄN</t>
        </is>
      </c>
      <c r="E564" t="inlineStr">
        <is>
          <t>ENKÖPING</t>
        </is>
      </c>
      <c r="G564" t="n">
        <v>4.3</v>
      </c>
      <c r="H564" t="n">
        <v>0</v>
      </c>
      <c r="I564" t="n">
        <v>0</v>
      </c>
      <c r="J564" t="n">
        <v>0</v>
      </c>
      <c r="K564" t="n">
        <v>0</v>
      </c>
      <c r="L564" t="n">
        <v>0</v>
      </c>
      <c r="M564" t="n">
        <v>0</v>
      </c>
      <c r="N564" t="n">
        <v>0</v>
      </c>
      <c r="O564" t="n">
        <v>0</v>
      </c>
      <c r="P564" t="n">
        <v>0</v>
      </c>
      <c r="Q564" t="n">
        <v>0</v>
      </c>
      <c r="R564" s="2" t="inlineStr"/>
    </row>
    <row r="565" ht="15" customHeight="1">
      <c r="A565" t="inlineStr">
        <is>
          <t>A 20199-2023</t>
        </is>
      </c>
      <c r="B565" s="1" t="n">
        <v>45055</v>
      </c>
      <c r="C565" s="1" t="n">
        <v>45845</v>
      </c>
      <c r="D565" t="inlineStr">
        <is>
          <t>UPPSALA LÄN</t>
        </is>
      </c>
      <c r="E565" t="inlineStr">
        <is>
          <t>ENKÖPING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20261-2023</t>
        </is>
      </c>
      <c r="B566" s="1" t="n">
        <v>45055</v>
      </c>
      <c r="C566" s="1" t="n">
        <v>45845</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20396-2023</t>
        </is>
      </c>
      <c r="B567" s="1" t="n">
        <v>45056</v>
      </c>
      <c r="C567" s="1" t="n">
        <v>45845</v>
      </c>
      <c r="D567" t="inlineStr">
        <is>
          <t>UPPSALA LÄN</t>
        </is>
      </c>
      <c r="E567" t="inlineStr">
        <is>
          <t>ENKÖPING</t>
        </is>
      </c>
      <c r="G567" t="n">
        <v>3.2</v>
      </c>
      <c r="H567" t="n">
        <v>0</v>
      </c>
      <c r="I567" t="n">
        <v>0</v>
      </c>
      <c r="J567" t="n">
        <v>0</v>
      </c>
      <c r="K567" t="n">
        <v>0</v>
      </c>
      <c r="L567" t="n">
        <v>0</v>
      </c>
      <c r="M567" t="n">
        <v>0</v>
      </c>
      <c r="N567" t="n">
        <v>0</v>
      </c>
      <c r="O567" t="n">
        <v>0</v>
      </c>
      <c r="P567" t="n">
        <v>0</v>
      </c>
      <c r="Q567" t="n">
        <v>0</v>
      </c>
      <c r="R567" s="2" t="inlineStr"/>
    </row>
    <row r="568" ht="15" customHeight="1">
      <c r="A568" t="inlineStr">
        <is>
          <t>A 20845-2023</t>
        </is>
      </c>
      <c r="B568" s="1" t="n">
        <v>45056</v>
      </c>
      <c r="C568" s="1" t="n">
        <v>45845</v>
      </c>
      <c r="D568" t="inlineStr">
        <is>
          <t>UPPSALA LÄN</t>
        </is>
      </c>
      <c r="E568" t="inlineStr">
        <is>
          <t>ENKÖPING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20897-2023</t>
        </is>
      </c>
      <c r="B569" s="1" t="n">
        <v>45059</v>
      </c>
      <c r="C569" s="1" t="n">
        <v>45845</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21020-2023</t>
        </is>
      </c>
      <c r="B570" s="1" t="n">
        <v>45061</v>
      </c>
      <c r="C570" s="1" t="n">
        <v>45845</v>
      </c>
      <c r="D570" t="inlineStr">
        <is>
          <t>UPPSALA LÄN</t>
        </is>
      </c>
      <c r="E570" t="inlineStr">
        <is>
          <t>ENKÖPING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21017-2023</t>
        </is>
      </c>
      <c r="B571" s="1" t="n">
        <v>45061</v>
      </c>
      <c r="C571" s="1" t="n">
        <v>45845</v>
      </c>
      <c r="D571" t="inlineStr">
        <is>
          <t>UPPSALA LÄN</t>
        </is>
      </c>
      <c r="E571" t="inlineStr">
        <is>
          <t>ENKÖPING</t>
        </is>
      </c>
      <c r="G571" t="n">
        <v>4.8</v>
      </c>
      <c r="H571" t="n">
        <v>0</v>
      </c>
      <c r="I571" t="n">
        <v>0</v>
      </c>
      <c r="J571" t="n">
        <v>0</v>
      </c>
      <c r="K571" t="n">
        <v>0</v>
      </c>
      <c r="L571" t="n">
        <v>0</v>
      </c>
      <c r="M571" t="n">
        <v>0</v>
      </c>
      <c r="N571" t="n">
        <v>0</v>
      </c>
      <c r="O571" t="n">
        <v>0</v>
      </c>
      <c r="P571" t="n">
        <v>0</v>
      </c>
      <c r="Q571" t="n">
        <v>0</v>
      </c>
      <c r="R571" s="2" t="inlineStr"/>
    </row>
    <row r="572" ht="15" customHeight="1">
      <c r="A572" t="inlineStr">
        <is>
          <t>A 21620-2023</t>
        </is>
      </c>
      <c r="B572" s="1" t="n">
        <v>45063</v>
      </c>
      <c r="C572" s="1" t="n">
        <v>45845</v>
      </c>
      <c r="D572" t="inlineStr">
        <is>
          <t>UPPSALA LÄN</t>
        </is>
      </c>
      <c r="E572" t="inlineStr">
        <is>
          <t>ENKÖPING</t>
        </is>
      </c>
      <c r="F572" t="inlineStr">
        <is>
          <t>Allmännings- och besparingsskogar</t>
        </is>
      </c>
      <c r="G572" t="n">
        <v>1.1</v>
      </c>
      <c r="H572" t="n">
        <v>0</v>
      </c>
      <c r="I572" t="n">
        <v>0</v>
      </c>
      <c r="J572" t="n">
        <v>0</v>
      </c>
      <c r="K572" t="n">
        <v>0</v>
      </c>
      <c r="L572" t="n">
        <v>0</v>
      </c>
      <c r="M572" t="n">
        <v>0</v>
      </c>
      <c r="N572" t="n">
        <v>0</v>
      </c>
      <c r="O572" t="n">
        <v>0</v>
      </c>
      <c r="P572" t="n">
        <v>0</v>
      </c>
      <c r="Q572" t="n">
        <v>0</v>
      </c>
      <c r="R572" s="2" t="inlineStr"/>
    </row>
    <row r="573" ht="15" customHeight="1">
      <c r="A573" t="inlineStr">
        <is>
          <t>A 21612-2023</t>
        </is>
      </c>
      <c r="B573" s="1" t="n">
        <v>45063</v>
      </c>
      <c r="C573" s="1" t="n">
        <v>45845</v>
      </c>
      <c r="D573" t="inlineStr">
        <is>
          <t>UPPSALA LÄN</t>
        </is>
      </c>
      <c r="E573" t="inlineStr">
        <is>
          <t>ENKÖPING</t>
        </is>
      </c>
      <c r="F573" t="inlineStr">
        <is>
          <t>Allmännings- och besparingsskogar</t>
        </is>
      </c>
      <c r="G573" t="n">
        <v>1</v>
      </c>
      <c r="H573" t="n">
        <v>0</v>
      </c>
      <c r="I573" t="n">
        <v>0</v>
      </c>
      <c r="J573" t="n">
        <v>0</v>
      </c>
      <c r="K573" t="n">
        <v>0</v>
      </c>
      <c r="L573" t="n">
        <v>0</v>
      </c>
      <c r="M573" t="n">
        <v>0</v>
      </c>
      <c r="N573" t="n">
        <v>0</v>
      </c>
      <c r="O573" t="n">
        <v>0</v>
      </c>
      <c r="P573" t="n">
        <v>0</v>
      </c>
      <c r="Q573" t="n">
        <v>0</v>
      </c>
      <c r="R573" s="2" t="inlineStr"/>
    </row>
    <row r="574" ht="15" customHeight="1">
      <c r="A574" t="inlineStr">
        <is>
          <t>A 22094-2023</t>
        </is>
      </c>
      <c r="B574" s="1" t="n">
        <v>45069</v>
      </c>
      <c r="C574" s="1" t="n">
        <v>45845</v>
      </c>
      <c r="D574" t="inlineStr">
        <is>
          <t>UPPSALA LÄN</t>
        </is>
      </c>
      <c r="E574" t="inlineStr">
        <is>
          <t>ENKÖPING</t>
        </is>
      </c>
      <c r="G574" t="n">
        <v>2.1</v>
      </c>
      <c r="H574" t="n">
        <v>0</v>
      </c>
      <c r="I574" t="n">
        <v>0</v>
      </c>
      <c r="J574" t="n">
        <v>0</v>
      </c>
      <c r="K574" t="n">
        <v>0</v>
      </c>
      <c r="L574" t="n">
        <v>0</v>
      </c>
      <c r="M574" t="n">
        <v>0</v>
      </c>
      <c r="N574" t="n">
        <v>0</v>
      </c>
      <c r="O574" t="n">
        <v>0</v>
      </c>
      <c r="P574" t="n">
        <v>0</v>
      </c>
      <c r="Q574" t="n">
        <v>0</v>
      </c>
      <c r="R574" s="2" t="inlineStr"/>
    </row>
    <row r="575" ht="15" customHeight="1">
      <c r="A575" t="inlineStr">
        <is>
          <t>A 25333-2023</t>
        </is>
      </c>
      <c r="B575" s="1" t="n">
        <v>45083</v>
      </c>
      <c r="C575" s="1" t="n">
        <v>45845</v>
      </c>
      <c r="D575" t="inlineStr">
        <is>
          <t>UPPSALA LÄN</t>
        </is>
      </c>
      <c r="E575" t="inlineStr">
        <is>
          <t>ENKÖPING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25334-2023</t>
        </is>
      </c>
      <c r="B576" s="1" t="n">
        <v>45083</v>
      </c>
      <c r="C576" s="1" t="n">
        <v>45845</v>
      </c>
      <c r="D576" t="inlineStr">
        <is>
          <t>UPPSALA LÄN</t>
        </is>
      </c>
      <c r="E576" t="inlineStr">
        <is>
          <t>ENKÖPING</t>
        </is>
      </c>
      <c r="G576" t="n">
        <v>0.2</v>
      </c>
      <c r="H576" t="n">
        <v>0</v>
      </c>
      <c r="I576" t="n">
        <v>0</v>
      </c>
      <c r="J576" t="n">
        <v>0</v>
      </c>
      <c r="K576" t="n">
        <v>0</v>
      </c>
      <c r="L576" t="n">
        <v>0</v>
      </c>
      <c r="M576" t="n">
        <v>0</v>
      </c>
      <c r="N576" t="n">
        <v>0</v>
      </c>
      <c r="O576" t="n">
        <v>0</v>
      </c>
      <c r="P576" t="n">
        <v>0</v>
      </c>
      <c r="Q576" t="n">
        <v>0</v>
      </c>
      <c r="R576" s="2" t="inlineStr"/>
    </row>
    <row r="577" ht="15" customHeight="1">
      <c r="A577" t="inlineStr">
        <is>
          <t>A 24962-2023</t>
        </is>
      </c>
      <c r="B577" s="1" t="n">
        <v>45085</v>
      </c>
      <c r="C577" s="1" t="n">
        <v>45845</v>
      </c>
      <c r="D577" t="inlineStr">
        <is>
          <t>UPPSALA LÄN</t>
        </is>
      </c>
      <c r="E577" t="inlineStr">
        <is>
          <t>ENKÖPING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24960-2023</t>
        </is>
      </c>
      <c r="B578" s="1" t="n">
        <v>45085</v>
      </c>
      <c r="C578" s="1" t="n">
        <v>45845</v>
      </c>
      <c r="D578" t="inlineStr">
        <is>
          <t>UPPSALA LÄN</t>
        </is>
      </c>
      <c r="E578" t="inlineStr">
        <is>
          <t>ENKÖPING</t>
        </is>
      </c>
      <c r="G578" t="n">
        <v>2.1</v>
      </c>
      <c r="H578" t="n">
        <v>0</v>
      </c>
      <c r="I578" t="n">
        <v>0</v>
      </c>
      <c r="J578" t="n">
        <v>0</v>
      </c>
      <c r="K578" t="n">
        <v>0</v>
      </c>
      <c r="L578" t="n">
        <v>0</v>
      </c>
      <c r="M578" t="n">
        <v>0</v>
      </c>
      <c r="N578" t="n">
        <v>0</v>
      </c>
      <c r="O578" t="n">
        <v>0</v>
      </c>
      <c r="P578" t="n">
        <v>0</v>
      </c>
      <c r="Q578" t="n">
        <v>0</v>
      </c>
      <c r="R578" s="2" t="inlineStr"/>
    </row>
    <row r="579" ht="15" customHeight="1">
      <c r="A579" t="inlineStr">
        <is>
          <t>A 24974-2023</t>
        </is>
      </c>
      <c r="B579" s="1" t="n">
        <v>45085</v>
      </c>
      <c r="C579" s="1" t="n">
        <v>45845</v>
      </c>
      <c r="D579" t="inlineStr">
        <is>
          <t>UPPSALA LÄN</t>
        </is>
      </c>
      <c r="E579" t="inlineStr">
        <is>
          <t>ENKÖPING</t>
        </is>
      </c>
      <c r="G579" t="n">
        <v>0.9</v>
      </c>
      <c r="H579" t="n">
        <v>0</v>
      </c>
      <c r="I579" t="n">
        <v>0</v>
      </c>
      <c r="J579" t="n">
        <v>0</v>
      </c>
      <c r="K579" t="n">
        <v>0</v>
      </c>
      <c r="L579" t="n">
        <v>0</v>
      </c>
      <c r="M579" t="n">
        <v>0</v>
      </c>
      <c r="N579" t="n">
        <v>0</v>
      </c>
      <c r="O579" t="n">
        <v>0</v>
      </c>
      <c r="P579" t="n">
        <v>0</v>
      </c>
      <c r="Q579" t="n">
        <v>0</v>
      </c>
      <c r="R579" s="2" t="inlineStr"/>
    </row>
    <row r="580" ht="15" customHeight="1">
      <c r="A580" t="inlineStr">
        <is>
          <t>A 24978-2023</t>
        </is>
      </c>
      <c r="B580" s="1" t="n">
        <v>45085</v>
      </c>
      <c r="C580" s="1" t="n">
        <v>45845</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26577-2023</t>
        </is>
      </c>
      <c r="B581" s="1" t="n">
        <v>45092</v>
      </c>
      <c r="C581" s="1" t="n">
        <v>45845</v>
      </c>
      <c r="D581" t="inlineStr">
        <is>
          <t>UPPSALA LÄN</t>
        </is>
      </c>
      <c r="E581" t="inlineStr">
        <is>
          <t>ENKÖPING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27178-2023</t>
        </is>
      </c>
      <c r="B582" s="1" t="n">
        <v>45096</v>
      </c>
      <c r="C582" s="1" t="n">
        <v>45845</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27538-2023</t>
        </is>
      </c>
      <c r="B583" s="1" t="n">
        <v>45097</v>
      </c>
      <c r="C583" s="1" t="n">
        <v>45845</v>
      </c>
      <c r="D583" t="inlineStr">
        <is>
          <t>UPPSALA LÄN</t>
        </is>
      </c>
      <c r="E583" t="inlineStr">
        <is>
          <t>ENKÖPING</t>
        </is>
      </c>
      <c r="G583" t="n">
        <v>5.8</v>
      </c>
      <c r="H583" t="n">
        <v>0</v>
      </c>
      <c r="I583" t="n">
        <v>0</v>
      </c>
      <c r="J583" t="n">
        <v>0</v>
      </c>
      <c r="K583" t="n">
        <v>0</v>
      </c>
      <c r="L583" t="n">
        <v>0</v>
      </c>
      <c r="M583" t="n">
        <v>0</v>
      </c>
      <c r="N583" t="n">
        <v>0</v>
      </c>
      <c r="O583" t="n">
        <v>0</v>
      </c>
      <c r="P583" t="n">
        <v>0</v>
      </c>
      <c r="Q583" t="n">
        <v>0</v>
      </c>
      <c r="R583" s="2" t="inlineStr"/>
    </row>
    <row r="584" ht="15" customHeight="1">
      <c r="A584" t="inlineStr">
        <is>
          <t>A 27730-2023</t>
        </is>
      </c>
      <c r="B584" s="1" t="n">
        <v>45097</v>
      </c>
      <c r="C584" s="1" t="n">
        <v>45845</v>
      </c>
      <c r="D584" t="inlineStr">
        <is>
          <t>UPPSALA LÄN</t>
        </is>
      </c>
      <c r="E584" t="inlineStr">
        <is>
          <t>ENKÖPING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27805-2023</t>
        </is>
      </c>
      <c r="B585" s="1" t="n">
        <v>45098</v>
      </c>
      <c r="C585" s="1" t="n">
        <v>45845</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27839-2023</t>
        </is>
      </c>
      <c r="B586" s="1" t="n">
        <v>45098</v>
      </c>
      <c r="C586" s="1" t="n">
        <v>45845</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27786-2023</t>
        </is>
      </c>
      <c r="B587" s="1" t="n">
        <v>45098</v>
      </c>
      <c r="C587" s="1" t="n">
        <v>45845</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27855-2023</t>
        </is>
      </c>
      <c r="B588" s="1" t="n">
        <v>45098</v>
      </c>
      <c r="C588" s="1" t="n">
        <v>45845</v>
      </c>
      <c r="D588" t="inlineStr">
        <is>
          <t>UPPSALA LÄN</t>
        </is>
      </c>
      <c r="E588" t="inlineStr">
        <is>
          <t>ENKÖPING</t>
        </is>
      </c>
      <c r="G588" t="n">
        <v>2.4</v>
      </c>
      <c r="H588" t="n">
        <v>0</v>
      </c>
      <c r="I588" t="n">
        <v>0</v>
      </c>
      <c r="J588" t="n">
        <v>0</v>
      </c>
      <c r="K588" t="n">
        <v>0</v>
      </c>
      <c r="L588" t="n">
        <v>0</v>
      </c>
      <c r="M588" t="n">
        <v>0</v>
      </c>
      <c r="N588" t="n">
        <v>0</v>
      </c>
      <c r="O588" t="n">
        <v>0</v>
      </c>
      <c r="P588" t="n">
        <v>0</v>
      </c>
      <c r="Q588" t="n">
        <v>0</v>
      </c>
      <c r="R588" s="2" t="inlineStr"/>
    </row>
    <row r="589" ht="15" customHeight="1">
      <c r="A589" t="inlineStr">
        <is>
          <t>A 27928-2023</t>
        </is>
      </c>
      <c r="B589" s="1" t="n">
        <v>45098</v>
      </c>
      <c r="C589" s="1" t="n">
        <v>45845</v>
      </c>
      <c r="D589" t="inlineStr">
        <is>
          <t>UPPSALA LÄN</t>
        </is>
      </c>
      <c r="E589" t="inlineStr">
        <is>
          <t>ENKÖPING</t>
        </is>
      </c>
      <c r="G589" t="n">
        <v>11.5</v>
      </c>
      <c r="H589" t="n">
        <v>0</v>
      </c>
      <c r="I589" t="n">
        <v>0</v>
      </c>
      <c r="J589" t="n">
        <v>0</v>
      </c>
      <c r="K589" t="n">
        <v>0</v>
      </c>
      <c r="L589" t="n">
        <v>0</v>
      </c>
      <c r="M589" t="n">
        <v>0</v>
      </c>
      <c r="N589" t="n">
        <v>0</v>
      </c>
      <c r="O589" t="n">
        <v>0</v>
      </c>
      <c r="P589" t="n">
        <v>0</v>
      </c>
      <c r="Q589" t="n">
        <v>0</v>
      </c>
      <c r="R589" s="2" t="inlineStr"/>
    </row>
    <row r="590" ht="15" customHeight="1">
      <c r="A590" t="inlineStr">
        <is>
          <t>A 28243-2023</t>
        </is>
      </c>
      <c r="B590" s="1" t="n">
        <v>45099</v>
      </c>
      <c r="C590" s="1" t="n">
        <v>45845</v>
      </c>
      <c r="D590" t="inlineStr">
        <is>
          <t>UPPSALA LÄN</t>
        </is>
      </c>
      <c r="E590" t="inlineStr">
        <is>
          <t>ENKÖPING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29917-2023</t>
        </is>
      </c>
      <c r="B591" s="1" t="n">
        <v>45099</v>
      </c>
      <c r="C591" s="1" t="n">
        <v>45845</v>
      </c>
      <c r="D591" t="inlineStr">
        <is>
          <t>UPPSALA LÄN</t>
        </is>
      </c>
      <c r="E591" t="inlineStr">
        <is>
          <t>ENKÖPING</t>
        </is>
      </c>
      <c r="G591" t="n">
        <v>3.2</v>
      </c>
      <c r="H591" t="n">
        <v>0</v>
      </c>
      <c r="I591" t="n">
        <v>0</v>
      </c>
      <c r="J591" t="n">
        <v>0</v>
      </c>
      <c r="K591" t="n">
        <v>0</v>
      </c>
      <c r="L591" t="n">
        <v>0</v>
      </c>
      <c r="M591" t="n">
        <v>0</v>
      </c>
      <c r="N591" t="n">
        <v>0</v>
      </c>
      <c r="O591" t="n">
        <v>0</v>
      </c>
      <c r="P591" t="n">
        <v>0</v>
      </c>
      <c r="Q591" t="n">
        <v>0</v>
      </c>
      <c r="R591" s="2" t="inlineStr"/>
    </row>
    <row r="592" ht="15" customHeight="1">
      <c r="A592" t="inlineStr">
        <is>
          <t>A 29918-2023</t>
        </is>
      </c>
      <c r="B592" s="1" t="n">
        <v>45099</v>
      </c>
      <c r="C592" s="1" t="n">
        <v>45845</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31573-2023</t>
        </is>
      </c>
      <c r="B593" s="1" t="n">
        <v>45104</v>
      </c>
      <c r="C593" s="1" t="n">
        <v>45845</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30950-2023</t>
        </is>
      </c>
      <c r="B594" s="1" t="n">
        <v>45113</v>
      </c>
      <c r="C594" s="1" t="n">
        <v>45845</v>
      </c>
      <c r="D594" t="inlineStr">
        <is>
          <t>UPPSALA LÄN</t>
        </is>
      </c>
      <c r="E594" t="inlineStr">
        <is>
          <t>ENKÖPING</t>
        </is>
      </c>
      <c r="G594" t="n">
        <v>6.8</v>
      </c>
      <c r="H594" t="n">
        <v>0</v>
      </c>
      <c r="I594" t="n">
        <v>0</v>
      </c>
      <c r="J594" t="n">
        <v>0</v>
      </c>
      <c r="K594" t="n">
        <v>0</v>
      </c>
      <c r="L594" t="n">
        <v>0</v>
      </c>
      <c r="M594" t="n">
        <v>0</v>
      </c>
      <c r="N594" t="n">
        <v>0</v>
      </c>
      <c r="O594" t="n">
        <v>0</v>
      </c>
      <c r="P594" t="n">
        <v>0</v>
      </c>
      <c r="Q594" t="n">
        <v>0</v>
      </c>
      <c r="R594" s="2" t="inlineStr"/>
    </row>
    <row r="595" ht="15" customHeight="1">
      <c r="A595" t="inlineStr">
        <is>
          <t>A 31163-2023</t>
        </is>
      </c>
      <c r="B595" s="1" t="n">
        <v>45113</v>
      </c>
      <c r="C595" s="1" t="n">
        <v>45845</v>
      </c>
      <c r="D595" t="inlineStr">
        <is>
          <t>UPPSALA LÄN</t>
        </is>
      </c>
      <c r="E595" t="inlineStr">
        <is>
          <t>ENKÖPING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31557-2023</t>
        </is>
      </c>
      <c r="B596" s="1" t="n">
        <v>45117</v>
      </c>
      <c r="C596" s="1" t="n">
        <v>45845</v>
      </c>
      <c r="D596" t="inlineStr">
        <is>
          <t>UPPSALA LÄN</t>
        </is>
      </c>
      <c r="E596" t="inlineStr">
        <is>
          <t>ENKÖPING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31559-2023</t>
        </is>
      </c>
      <c r="B597" s="1" t="n">
        <v>45117</v>
      </c>
      <c r="C597" s="1" t="n">
        <v>45845</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31604-2023</t>
        </is>
      </c>
      <c r="B598" s="1" t="n">
        <v>45117</v>
      </c>
      <c r="C598" s="1" t="n">
        <v>45845</v>
      </c>
      <c r="D598" t="inlineStr">
        <is>
          <t>UPPSALA LÄN</t>
        </is>
      </c>
      <c r="E598" t="inlineStr">
        <is>
          <t>ENKÖPING</t>
        </is>
      </c>
      <c r="G598" t="n">
        <v>3.5</v>
      </c>
      <c r="H598" t="n">
        <v>0</v>
      </c>
      <c r="I598" t="n">
        <v>0</v>
      </c>
      <c r="J598" t="n">
        <v>0</v>
      </c>
      <c r="K598" t="n">
        <v>0</v>
      </c>
      <c r="L598" t="n">
        <v>0</v>
      </c>
      <c r="M598" t="n">
        <v>0</v>
      </c>
      <c r="N598" t="n">
        <v>0</v>
      </c>
      <c r="O598" t="n">
        <v>0</v>
      </c>
      <c r="P598" t="n">
        <v>0</v>
      </c>
      <c r="Q598" t="n">
        <v>0</v>
      </c>
      <c r="R598" s="2" t="inlineStr"/>
    </row>
    <row r="599" ht="15" customHeight="1">
      <c r="A599" t="inlineStr">
        <is>
          <t>A 31636-2023</t>
        </is>
      </c>
      <c r="B599" s="1" t="n">
        <v>45117</v>
      </c>
      <c r="C599" s="1" t="n">
        <v>45845</v>
      </c>
      <c r="D599" t="inlineStr">
        <is>
          <t>UPPSALA LÄN</t>
        </is>
      </c>
      <c r="E599" t="inlineStr">
        <is>
          <t>ENKÖPING</t>
        </is>
      </c>
      <c r="G599" t="n">
        <v>22.1</v>
      </c>
      <c r="H599" t="n">
        <v>0</v>
      </c>
      <c r="I599" t="n">
        <v>0</v>
      </c>
      <c r="J599" t="n">
        <v>0</v>
      </c>
      <c r="K599" t="n">
        <v>0</v>
      </c>
      <c r="L599" t="n">
        <v>0</v>
      </c>
      <c r="M599" t="n">
        <v>0</v>
      </c>
      <c r="N599" t="n">
        <v>0</v>
      </c>
      <c r="O599" t="n">
        <v>0</v>
      </c>
      <c r="P599" t="n">
        <v>0</v>
      </c>
      <c r="Q599" t="n">
        <v>0</v>
      </c>
      <c r="R599" s="2" t="inlineStr"/>
    </row>
    <row r="600" ht="15" customHeight="1">
      <c r="A600" t="inlineStr">
        <is>
          <t>A 31642-2023</t>
        </is>
      </c>
      <c r="B600" s="1" t="n">
        <v>45117</v>
      </c>
      <c r="C600" s="1" t="n">
        <v>45845</v>
      </c>
      <c r="D600" t="inlineStr">
        <is>
          <t>UPPSALA LÄN</t>
        </is>
      </c>
      <c r="E600" t="inlineStr">
        <is>
          <t>ENKÖPING</t>
        </is>
      </c>
      <c r="G600" t="n">
        <v>3.9</v>
      </c>
      <c r="H600" t="n">
        <v>0</v>
      </c>
      <c r="I600" t="n">
        <v>0</v>
      </c>
      <c r="J600" t="n">
        <v>0</v>
      </c>
      <c r="K600" t="n">
        <v>0</v>
      </c>
      <c r="L600" t="n">
        <v>0</v>
      </c>
      <c r="M600" t="n">
        <v>0</v>
      </c>
      <c r="N600" t="n">
        <v>0</v>
      </c>
      <c r="O600" t="n">
        <v>0</v>
      </c>
      <c r="P600" t="n">
        <v>0</v>
      </c>
      <c r="Q600" t="n">
        <v>0</v>
      </c>
      <c r="R600" s="2" t="inlineStr"/>
    </row>
    <row r="601" ht="15" customHeight="1">
      <c r="A601" t="inlineStr">
        <is>
          <t>A 31648-2023</t>
        </is>
      </c>
      <c r="B601" s="1" t="n">
        <v>45117</v>
      </c>
      <c r="C601" s="1" t="n">
        <v>45845</v>
      </c>
      <c r="D601" t="inlineStr">
        <is>
          <t>UPPSALA LÄN</t>
        </is>
      </c>
      <c r="E601" t="inlineStr">
        <is>
          <t>ENKÖPING</t>
        </is>
      </c>
      <c r="G601" t="n">
        <v>12.9</v>
      </c>
      <c r="H601" t="n">
        <v>0</v>
      </c>
      <c r="I601" t="n">
        <v>0</v>
      </c>
      <c r="J601" t="n">
        <v>0</v>
      </c>
      <c r="K601" t="n">
        <v>0</v>
      </c>
      <c r="L601" t="n">
        <v>0</v>
      </c>
      <c r="M601" t="n">
        <v>0</v>
      </c>
      <c r="N601" t="n">
        <v>0</v>
      </c>
      <c r="O601" t="n">
        <v>0</v>
      </c>
      <c r="P601" t="n">
        <v>0</v>
      </c>
      <c r="Q601" t="n">
        <v>0</v>
      </c>
      <c r="R601" s="2" t="inlineStr"/>
    </row>
    <row r="602" ht="15" customHeight="1">
      <c r="A602" t="inlineStr">
        <is>
          <t>A 33581-2023</t>
        </is>
      </c>
      <c r="B602" s="1" t="n">
        <v>45131</v>
      </c>
      <c r="C602" s="1" t="n">
        <v>45845</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34735-2023</t>
        </is>
      </c>
      <c r="B603" s="1" t="n">
        <v>45139</v>
      </c>
      <c r="C603" s="1" t="n">
        <v>45845</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34743-2023</t>
        </is>
      </c>
      <c r="B604" s="1" t="n">
        <v>45141</v>
      </c>
      <c r="C604" s="1" t="n">
        <v>45845</v>
      </c>
      <c r="D604" t="inlineStr">
        <is>
          <t>UPPSALA LÄN</t>
        </is>
      </c>
      <c r="E604" t="inlineStr">
        <is>
          <t>ENKÖPING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34961-2023</t>
        </is>
      </c>
      <c r="B605" s="1" t="n">
        <v>45142</v>
      </c>
      <c r="C605" s="1" t="n">
        <v>45845</v>
      </c>
      <c r="D605" t="inlineStr">
        <is>
          <t>UPPSALA LÄN</t>
        </is>
      </c>
      <c r="E605" t="inlineStr">
        <is>
          <t>ENKÖPING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34960-2023</t>
        </is>
      </c>
      <c r="B606" s="1" t="n">
        <v>45142</v>
      </c>
      <c r="C606" s="1" t="n">
        <v>45845</v>
      </c>
      <c r="D606" t="inlineStr">
        <is>
          <t>UPPSALA LÄN</t>
        </is>
      </c>
      <c r="E606" t="inlineStr">
        <is>
          <t>ENKÖPING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35367-2023</t>
        </is>
      </c>
      <c r="B607" s="1" t="n">
        <v>45146</v>
      </c>
      <c r="C607" s="1" t="n">
        <v>45845</v>
      </c>
      <c r="D607" t="inlineStr">
        <is>
          <t>UPPSALA LÄN</t>
        </is>
      </c>
      <c r="E607" t="inlineStr">
        <is>
          <t>ENKÖPING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35684-2023</t>
        </is>
      </c>
      <c r="B608" s="1" t="n">
        <v>45147</v>
      </c>
      <c r="C608" s="1" t="n">
        <v>45845</v>
      </c>
      <c r="D608" t="inlineStr">
        <is>
          <t>UPPSALA LÄN</t>
        </is>
      </c>
      <c r="E608" t="inlineStr">
        <is>
          <t>ENKÖPING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37032-2023</t>
        </is>
      </c>
      <c r="B609" s="1" t="n">
        <v>45155</v>
      </c>
      <c r="C609" s="1" t="n">
        <v>45845</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37035-2023</t>
        </is>
      </c>
      <c r="B610" s="1" t="n">
        <v>45155</v>
      </c>
      <c r="C610" s="1" t="n">
        <v>45845</v>
      </c>
      <c r="D610" t="inlineStr">
        <is>
          <t>UPPSALA LÄN</t>
        </is>
      </c>
      <c r="E610" t="inlineStr">
        <is>
          <t>ENKÖPING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37350-2023</t>
        </is>
      </c>
      <c r="B611" s="1" t="n">
        <v>45156</v>
      </c>
      <c r="C611" s="1" t="n">
        <v>45845</v>
      </c>
      <c r="D611" t="inlineStr">
        <is>
          <t>UPPSALA LÄN</t>
        </is>
      </c>
      <c r="E611" t="inlineStr">
        <is>
          <t>ENKÖPING</t>
        </is>
      </c>
      <c r="G611" t="n">
        <v>3.4</v>
      </c>
      <c r="H611" t="n">
        <v>0</v>
      </c>
      <c r="I611" t="n">
        <v>0</v>
      </c>
      <c r="J611" t="n">
        <v>0</v>
      </c>
      <c r="K611" t="n">
        <v>0</v>
      </c>
      <c r="L611" t="n">
        <v>0</v>
      </c>
      <c r="M611" t="n">
        <v>0</v>
      </c>
      <c r="N611" t="n">
        <v>0</v>
      </c>
      <c r="O611" t="n">
        <v>0</v>
      </c>
      <c r="P611" t="n">
        <v>0</v>
      </c>
      <c r="Q611" t="n">
        <v>0</v>
      </c>
      <c r="R611" s="2" t="inlineStr"/>
    </row>
    <row r="612" ht="15" customHeight="1">
      <c r="A612" t="inlineStr">
        <is>
          <t>A 37353-2023</t>
        </is>
      </c>
      <c r="B612" s="1" t="n">
        <v>45156</v>
      </c>
      <c r="C612" s="1" t="n">
        <v>45845</v>
      </c>
      <c r="D612" t="inlineStr">
        <is>
          <t>UPPSALA LÄN</t>
        </is>
      </c>
      <c r="E612" t="inlineStr">
        <is>
          <t>ENKÖPING</t>
        </is>
      </c>
      <c r="G612" t="n">
        <v>5.8</v>
      </c>
      <c r="H612" t="n">
        <v>0</v>
      </c>
      <c r="I612" t="n">
        <v>0</v>
      </c>
      <c r="J612" t="n">
        <v>0</v>
      </c>
      <c r="K612" t="n">
        <v>0</v>
      </c>
      <c r="L612" t="n">
        <v>0</v>
      </c>
      <c r="M612" t="n">
        <v>0</v>
      </c>
      <c r="N612" t="n">
        <v>0</v>
      </c>
      <c r="O612" t="n">
        <v>0</v>
      </c>
      <c r="P612" t="n">
        <v>0</v>
      </c>
      <c r="Q612" t="n">
        <v>0</v>
      </c>
      <c r="R612" s="2" t="inlineStr"/>
    </row>
    <row r="613" ht="15" customHeight="1">
      <c r="A613" t="inlineStr">
        <is>
          <t>A 37347-2023</t>
        </is>
      </c>
      <c r="B613" s="1" t="n">
        <v>45156</v>
      </c>
      <c r="C613" s="1" t="n">
        <v>45845</v>
      </c>
      <c r="D613" t="inlineStr">
        <is>
          <t>UPPSALA LÄN</t>
        </is>
      </c>
      <c r="E613" t="inlineStr">
        <is>
          <t>ENKÖPING</t>
        </is>
      </c>
      <c r="G613" t="n">
        <v>3.7</v>
      </c>
      <c r="H613" t="n">
        <v>0</v>
      </c>
      <c r="I613" t="n">
        <v>0</v>
      </c>
      <c r="J613" t="n">
        <v>0</v>
      </c>
      <c r="K613" t="n">
        <v>0</v>
      </c>
      <c r="L613" t="n">
        <v>0</v>
      </c>
      <c r="M613" t="n">
        <v>0</v>
      </c>
      <c r="N613" t="n">
        <v>0</v>
      </c>
      <c r="O613" t="n">
        <v>0</v>
      </c>
      <c r="P613" t="n">
        <v>0</v>
      </c>
      <c r="Q613" t="n">
        <v>0</v>
      </c>
      <c r="R613" s="2" t="inlineStr"/>
    </row>
    <row r="614" ht="15" customHeight="1">
      <c r="A614" t="inlineStr">
        <is>
          <t>A 37866-2023</t>
        </is>
      </c>
      <c r="B614" s="1" t="n">
        <v>45160</v>
      </c>
      <c r="C614" s="1" t="n">
        <v>45845</v>
      </c>
      <c r="D614" t="inlineStr">
        <is>
          <t>UPPSALA LÄN</t>
        </is>
      </c>
      <c r="E614" t="inlineStr">
        <is>
          <t>ENKÖPING</t>
        </is>
      </c>
      <c r="G614" t="n">
        <v>7.2</v>
      </c>
      <c r="H614" t="n">
        <v>0</v>
      </c>
      <c r="I614" t="n">
        <v>0</v>
      </c>
      <c r="J614" t="n">
        <v>0</v>
      </c>
      <c r="K614" t="n">
        <v>0</v>
      </c>
      <c r="L614" t="n">
        <v>0</v>
      </c>
      <c r="M614" t="n">
        <v>0</v>
      </c>
      <c r="N614" t="n">
        <v>0</v>
      </c>
      <c r="O614" t="n">
        <v>0</v>
      </c>
      <c r="P614" t="n">
        <v>0</v>
      </c>
      <c r="Q614" t="n">
        <v>0</v>
      </c>
      <c r="R614" s="2" t="inlineStr"/>
    </row>
    <row r="615" ht="15" customHeight="1">
      <c r="A615" t="inlineStr">
        <is>
          <t>A 37870-2023</t>
        </is>
      </c>
      <c r="B615" s="1" t="n">
        <v>45160</v>
      </c>
      <c r="C615" s="1" t="n">
        <v>45845</v>
      </c>
      <c r="D615" t="inlineStr">
        <is>
          <t>UPPSALA LÄN</t>
        </is>
      </c>
      <c r="E615" t="inlineStr">
        <is>
          <t>ENKÖPING</t>
        </is>
      </c>
      <c r="G615" t="n">
        <v>3.5</v>
      </c>
      <c r="H615" t="n">
        <v>0</v>
      </c>
      <c r="I615" t="n">
        <v>0</v>
      </c>
      <c r="J615" t="n">
        <v>0</v>
      </c>
      <c r="K615" t="n">
        <v>0</v>
      </c>
      <c r="L615" t="n">
        <v>0</v>
      </c>
      <c r="M615" t="n">
        <v>0</v>
      </c>
      <c r="N615" t="n">
        <v>0</v>
      </c>
      <c r="O615" t="n">
        <v>0</v>
      </c>
      <c r="P615" t="n">
        <v>0</v>
      </c>
      <c r="Q615" t="n">
        <v>0</v>
      </c>
      <c r="R615" s="2" t="inlineStr"/>
    </row>
    <row r="616" ht="15" customHeight="1">
      <c r="A616" t="inlineStr">
        <is>
          <t>A 39624-2023</t>
        </is>
      </c>
      <c r="B616" s="1" t="n">
        <v>45164</v>
      </c>
      <c r="C616" s="1" t="n">
        <v>45845</v>
      </c>
      <c r="D616" t="inlineStr">
        <is>
          <t>UPPSALA LÄN</t>
        </is>
      </c>
      <c r="E616" t="inlineStr">
        <is>
          <t>ENKÖPING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40306-2023</t>
        </is>
      </c>
      <c r="B617" s="1" t="n">
        <v>45169</v>
      </c>
      <c r="C617" s="1" t="n">
        <v>45845</v>
      </c>
      <c r="D617" t="inlineStr">
        <is>
          <t>UPPSALA LÄN</t>
        </is>
      </c>
      <c r="E617" t="inlineStr">
        <is>
          <t>ENKÖPING</t>
        </is>
      </c>
      <c r="G617" t="n">
        <v>3.1</v>
      </c>
      <c r="H617" t="n">
        <v>0</v>
      </c>
      <c r="I617" t="n">
        <v>0</v>
      </c>
      <c r="J617" t="n">
        <v>0</v>
      </c>
      <c r="K617" t="n">
        <v>0</v>
      </c>
      <c r="L617" t="n">
        <v>0</v>
      </c>
      <c r="M617" t="n">
        <v>0</v>
      </c>
      <c r="N617" t="n">
        <v>0</v>
      </c>
      <c r="O617" t="n">
        <v>0</v>
      </c>
      <c r="P617" t="n">
        <v>0</v>
      </c>
      <c r="Q617" t="n">
        <v>0</v>
      </c>
      <c r="R617" s="2" t="inlineStr"/>
    </row>
    <row r="618" ht="15" customHeight="1">
      <c r="A618" t="inlineStr">
        <is>
          <t>A 41478-2023</t>
        </is>
      </c>
      <c r="B618" s="1" t="n">
        <v>45173</v>
      </c>
      <c r="C618" s="1" t="n">
        <v>45845</v>
      </c>
      <c r="D618" t="inlineStr">
        <is>
          <t>UPPSALA LÄN</t>
        </is>
      </c>
      <c r="E618" t="inlineStr">
        <is>
          <t>ENKÖPING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41549-2023</t>
        </is>
      </c>
      <c r="B619" s="1" t="n">
        <v>45173</v>
      </c>
      <c r="C619" s="1" t="n">
        <v>45845</v>
      </c>
      <c r="D619" t="inlineStr">
        <is>
          <t>UPPSALA LÄN</t>
        </is>
      </c>
      <c r="E619" t="inlineStr">
        <is>
          <t>ENKÖPING</t>
        </is>
      </c>
      <c r="G619" t="n">
        <v>4.5</v>
      </c>
      <c r="H619" t="n">
        <v>0</v>
      </c>
      <c r="I619" t="n">
        <v>0</v>
      </c>
      <c r="J619" t="n">
        <v>0</v>
      </c>
      <c r="K619" t="n">
        <v>0</v>
      </c>
      <c r="L619" t="n">
        <v>0</v>
      </c>
      <c r="M619" t="n">
        <v>0</v>
      </c>
      <c r="N619" t="n">
        <v>0</v>
      </c>
      <c r="O619" t="n">
        <v>0</v>
      </c>
      <c r="P619" t="n">
        <v>0</v>
      </c>
      <c r="Q619" t="n">
        <v>0</v>
      </c>
      <c r="R619" s="2" t="inlineStr"/>
    </row>
    <row r="620" ht="15" customHeight="1">
      <c r="A620" t="inlineStr">
        <is>
          <t>A 41945-2023</t>
        </is>
      </c>
      <c r="B620" s="1" t="n">
        <v>45177</v>
      </c>
      <c r="C620" s="1" t="n">
        <v>45845</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43494-2023</t>
        </is>
      </c>
      <c r="B621" s="1" t="n">
        <v>45181</v>
      </c>
      <c r="C621" s="1" t="n">
        <v>45845</v>
      </c>
      <c r="D621" t="inlineStr">
        <is>
          <t>UPPSALA LÄN</t>
        </is>
      </c>
      <c r="E621" t="inlineStr">
        <is>
          <t>ENKÖPING</t>
        </is>
      </c>
      <c r="G621" t="n">
        <v>2.5</v>
      </c>
      <c r="H621" t="n">
        <v>0</v>
      </c>
      <c r="I621" t="n">
        <v>0</v>
      </c>
      <c r="J621" t="n">
        <v>0</v>
      </c>
      <c r="K621" t="n">
        <v>0</v>
      </c>
      <c r="L621" t="n">
        <v>0</v>
      </c>
      <c r="M621" t="n">
        <v>0</v>
      </c>
      <c r="N621" t="n">
        <v>0</v>
      </c>
      <c r="O621" t="n">
        <v>0</v>
      </c>
      <c r="P621" t="n">
        <v>0</v>
      </c>
      <c r="Q621" t="n">
        <v>0</v>
      </c>
      <c r="R621" s="2" t="inlineStr"/>
    </row>
    <row r="622" ht="15" customHeight="1">
      <c r="A622" t="inlineStr">
        <is>
          <t>A 43510-2023</t>
        </is>
      </c>
      <c r="B622" s="1" t="n">
        <v>45181</v>
      </c>
      <c r="C622" s="1" t="n">
        <v>45845</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43506-2023</t>
        </is>
      </c>
      <c r="B623" s="1" t="n">
        <v>45181</v>
      </c>
      <c r="C623" s="1" t="n">
        <v>45845</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43488-2023</t>
        </is>
      </c>
      <c r="B624" s="1" t="n">
        <v>45181</v>
      </c>
      <c r="C624" s="1" t="n">
        <v>45845</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43492-2023</t>
        </is>
      </c>
      <c r="B625" s="1" t="n">
        <v>45181</v>
      </c>
      <c r="C625" s="1" t="n">
        <v>45845</v>
      </c>
      <c r="D625" t="inlineStr">
        <is>
          <t>UPPSALA LÄN</t>
        </is>
      </c>
      <c r="E625" t="inlineStr">
        <is>
          <t>ENKÖPING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43499-2023</t>
        </is>
      </c>
      <c r="B626" s="1" t="n">
        <v>45181</v>
      </c>
      <c r="C626" s="1" t="n">
        <v>45845</v>
      </c>
      <c r="D626" t="inlineStr">
        <is>
          <t>UPPSALA LÄN</t>
        </is>
      </c>
      <c r="E626" t="inlineStr">
        <is>
          <t>ENKÖPING</t>
        </is>
      </c>
      <c r="G626" t="n">
        <v>7.3</v>
      </c>
      <c r="H626" t="n">
        <v>0</v>
      </c>
      <c r="I626" t="n">
        <v>0</v>
      </c>
      <c r="J626" t="n">
        <v>0</v>
      </c>
      <c r="K626" t="n">
        <v>0</v>
      </c>
      <c r="L626" t="n">
        <v>0</v>
      </c>
      <c r="M626" t="n">
        <v>0</v>
      </c>
      <c r="N626" t="n">
        <v>0</v>
      </c>
      <c r="O626" t="n">
        <v>0</v>
      </c>
      <c r="P626" t="n">
        <v>0</v>
      </c>
      <c r="Q626" t="n">
        <v>0</v>
      </c>
      <c r="R626" s="2" t="inlineStr"/>
    </row>
    <row r="627" ht="15" customHeight="1">
      <c r="A627" t="inlineStr">
        <is>
          <t>A 43230-2023</t>
        </is>
      </c>
      <c r="B627" s="1" t="n">
        <v>45183</v>
      </c>
      <c r="C627" s="1" t="n">
        <v>45845</v>
      </c>
      <c r="D627" t="inlineStr">
        <is>
          <t>UPPSALA LÄN</t>
        </is>
      </c>
      <c r="E627" t="inlineStr">
        <is>
          <t>ENKÖPING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44131-2023</t>
        </is>
      </c>
      <c r="B628" s="1" t="n">
        <v>45188</v>
      </c>
      <c r="C628" s="1" t="n">
        <v>45845</v>
      </c>
      <c r="D628" t="inlineStr">
        <is>
          <t>UPPSALA LÄN</t>
        </is>
      </c>
      <c r="E628" t="inlineStr">
        <is>
          <t>ENKÖPING</t>
        </is>
      </c>
      <c r="G628" t="n">
        <v>0.3</v>
      </c>
      <c r="H628" t="n">
        <v>0</v>
      </c>
      <c r="I628" t="n">
        <v>0</v>
      </c>
      <c r="J628" t="n">
        <v>0</v>
      </c>
      <c r="K628" t="n">
        <v>0</v>
      </c>
      <c r="L628" t="n">
        <v>0</v>
      </c>
      <c r="M628" t="n">
        <v>0</v>
      </c>
      <c r="N628" t="n">
        <v>0</v>
      </c>
      <c r="O628" t="n">
        <v>0</v>
      </c>
      <c r="P628" t="n">
        <v>0</v>
      </c>
      <c r="Q628" t="n">
        <v>0</v>
      </c>
      <c r="R628" s="2" t="inlineStr"/>
    </row>
    <row r="629" ht="15" customHeight="1">
      <c r="A629" t="inlineStr">
        <is>
          <t>A 44326-2023</t>
        </is>
      </c>
      <c r="B629" s="1" t="n">
        <v>45188</v>
      </c>
      <c r="C629" s="1" t="n">
        <v>45845</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46103-2023</t>
        </is>
      </c>
      <c r="B630" s="1" t="n">
        <v>45190</v>
      </c>
      <c r="C630" s="1" t="n">
        <v>45845</v>
      </c>
      <c r="D630" t="inlineStr">
        <is>
          <t>UPPSALA LÄN</t>
        </is>
      </c>
      <c r="E630" t="inlineStr">
        <is>
          <t>ENKÖPING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45058-2023</t>
        </is>
      </c>
      <c r="B631" s="1" t="n">
        <v>45191</v>
      </c>
      <c r="C631" s="1" t="n">
        <v>45845</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45142-2023</t>
        </is>
      </c>
      <c r="B632" s="1" t="n">
        <v>45191</v>
      </c>
      <c r="C632" s="1" t="n">
        <v>45845</v>
      </c>
      <c r="D632" t="inlineStr">
        <is>
          <t>UPPSALA LÄN</t>
        </is>
      </c>
      <c r="E632" t="inlineStr">
        <is>
          <t>ENKÖPING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45095-2023</t>
        </is>
      </c>
      <c r="B633" s="1" t="n">
        <v>45191</v>
      </c>
      <c r="C633" s="1" t="n">
        <v>45845</v>
      </c>
      <c r="D633" t="inlineStr">
        <is>
          <t>UPPSALA LÄN</t>
        </is>
      </c>
      <c r="E633" t="inlineStr">
        <is>
          <t>ENKÖPING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45208-2023</t>
        </is>
      </c>
      <c r="B634" s="1" t="n">
        <v>45191</v>
      </c>
      <c r="C634" s="1" t="n">
        <v>45845</v>
      </c>
      <c r="D634" t="inlineStr">
        <is>
          <t>UPPSALA LÄN</t>
        </is>
      </c>
      <c r="E634" t="inlineStr">
        <is>
          <t>ENKÖPING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46186-2023</t>
        </is>
      </c>
      <c r="B635" s="1" t="n">
        <v>45196</v>
      </c>
      <c r="C635" s="1" t="n">
        <v>45845</v>
      </c>
      <c r="D635" t="inlineStr">
        <is>
          <t>UPPSALA LÄN</t>
        </is>
      </c>
      <c r="E635" t="inlineStr">
        <is>
          <t>ENKÖPING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47428-2023</t>
        </is>
      </c>
      <c r="B636" s="1" t="n">
        <v>45202</v>
      </c>
      <c r="C636" s="1" t="n">
        <v>45845</v>
      </c>
      <c r="D636" t="inlineStr">
        <is>
          <t>UPPSALA LÄN</t>
        </is>
      </c>
      <c r="E636" t="inlineStr">
        <is>
          <t>ENKÖPING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47553-2023</t>
        </is>
      </c>
      <c r="B637" s="1" t="n">
        <v>45203</v>
      </c>
      <c r="C637" s="1" t="n">
        <v>45845</v>
      </c>
      <c r="D637" t="inlineStr">
        <is>
          <t>UPPSALA LÄN</t>
        </is>
      </c>
      <c r="E637" t="inlineStr">
        <is>
          <t>ENKÖPING</t>
        </is>
      </c>
      <c r="G637" t="n">
        <v>13.3</v>
      </c>
      <c r="H637" t="n">
        <v>0</v>
      </c>
      <c r="I637" t="n">
        <v>0</v>
      </c>
      <c r="J637" t="n">
        <v>0</v>
      </c>
      <c r="K637" t="n">
        <v>0</v>
      </c>
      <c r="L637" t="n">
        <v>0</v>
      </c>
      <c r="M637" t="n">
        <v>0</v>
      </c>
      <c r="N637" t="n">
        <v>0</v>
      </c>
      <c r="O637" t="n">
        <v>0</v>
      </c>
      <c r="P637" t="n">
        <v>0</v>
      </c>
      <c r="Q637" t="n">
        <v>0</v>
      </c>
      <c r="R637" s="2" t="inlineStr"/>
    </row>
    <row r="638" ht="15" customHeight="1">
      <c r="A638" t="inlineStr">
        <is>
          <t>A 48843-2023</t>
        </is>
      </c>
      <c r="B638" s="1" t="n">
        <v>45209</v>
      </c>
      <c r="C638" s="1" t="n">
        <v>45845</v>
      </c>
      <c r="D638" t="inlineStr">
        <is>
          <t>UPPSALA LÄN</t>
        </is>
      </c>
      <c r="E638" t="inlineStr">
        <is>
          <t>ENKÖPING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50006-2023</t>
        </is>
      </c>
      <c r="B639" s="1" t="n">
        <v>45215</v>
      </c>
      <c r="C639" s="1" t="n">
        <v>45845</v>
      </c>
      <c r="D639" t="inlineStr">
        <is>
          <t>UPPSALA LÄN</t>
        </is>
      </c>
      <c r="E639" t="inlineStr">
        <is>
          <t>ENKÖPING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50419-2023</t>
        </is>
      </c>
      <c r="B640" s="1" t="n">
        <v>45216</v>
      </c>
      <c r="C640" s="1" t="n">
        <v>45845</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51120-2023</t>
        </is>
      </c>
      <c r="B641" s="1" t="n">
        <v>45219</v>
      </c>
      <c r="C641" s="1" t="n">
        <v>45845</v>
      </c>
      <c r="D641" t="inlineStr">
        <is>
          <t>UPPSALA LÄN</t>
        </is>
      </c>
      <c r="E641" t="inlineStr">
        <is>
          <t>ENKÖPING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51313-2023</t>
        </is>
      </c>
      <c r="B642" s="1" t="n">
        <v>45219</v>
      </c>
      <c r="C642" s="1" t="n">
        <v>45845</v>
      </c>
      <c r="D642" t="inlineStr">
        <is>
          <t>UPPSALA LÄN</t>
        </is>
      </c>
      <c r="E642" t="inlineStr">
        <is>
          <t>ENKÖPING</t>
        </is>
      </c>
      <c r="F642" t="inlineStr">
        <is>
          <t>Allmännings- och besparingsskogar</t>
        </is>
      </c>
      <c r="G642" t="n">
        <v>7.7</v>
      </c>
      <c r="H642" t="n">
        <v>0</v>
      </c>
      <c r="I642" t="n">
        <v>0</v>
      </c>
      <c r="J642" t="n">
        <v>0</v>
      </c>
      <c r="K642" t="n">
        <v>0</v>
      </c>
      <c r="L642" t="n">
        <v>0</v>
      </c>
      <c r="M642" t="n">
        <v>0</v>
      </c>
      <c r="N642" t="n">
        <v>0</v>
      </c>
      <c r="O642" t="n">
        <v>0</v>
      </c>
      <c r="P642" t="n">
        <v>0</v>
      </c>
      <c r="Q642" t="n">
        <v>0</v>
      </c>
      <c r="R642" s="2" t="inlineStr"/>
    </row>
    <row r="643" ht="15" customHeight="1">
      <c r="A643" t="inlineStr">
        <is>
          <t>A 51688-2023</t>
        </is>
      </c>
      <c r="B643" s="1" t="n">
        <v>45222</v>
      </c>
      <c r="C643" s="1" t="n">
        <v>45845</v>
      </c>
      <c r="D643" t="inlineStr">
        <is>
          <t>UPPSALA LÄN</t>
        </is>
      </c>
      <c r="E643" t="inlineStr">
        <is>
          <t>ENKÖPING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51835-2023</t>
        </is>
      </c>
      <c r="B644" s="1" t="n">
        <v>45223</v>
      </c>
      <c r="C644" s="1" t="n">
        <v>45845</v>
      </c>
      <c r="D644" t="inlineStr">
        <is>
          <t>UPPSALA LÄN</t>
        </is>
      </c>
      <c r="E644" t="inlineStr">
        <is>
          <t>ENKÖPING</t>
        </is>
      </c>
      <c r="G644" t="n">
        <v>4.7</v>
      </c>
      <c r="H644" t="n">
        <v>0</v>
      </c>
      <c r="I644" t="n">
        <v>0</v>
      </c>
      <c r="J644" t="n">
        <v>0</v>
      </c>
      <c r="K644" t="n">
        <v>0</v>
      </c>
      <c r="L644" t="n">
        <v>0</v>
      </c>
      <c r="M644" t="n">
        <v>0</v>
      </c>
      <c r="N644" t="n">
        <v>0</v>
      </c>
      <c r="O644" t="n">
        <v>0</v>
      </c>
      <c r="P644" t="n">
        <v>0</v>
      </c>
      <c r="Q644" t="n">
        <v>0</v>
      </c>
      <c r="R644" s="2" t="inlineStr"/>
    </row>
    <row r="645" ht="15" customHeight="1">
      <c r="A645" t="inlineStr">
        <is>
          <t>A 53595-2023</t>
        </is>
      </c>
      <c r="B645" s="1" t="n">
        <v>45223</v>
      </c>
      <c r="C645" s="1" t="n">
        <v>45845</v>
      </c>
      <c r="D645" t="inlineStr">
        <is>
          <t>UPPSALA LÄN</t>
        </is>
      </c>
      <c r="E645" t="inlineStr">
        <is>
          <t>ENKÖPING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52299-2023</t>
        </is>
      </c>
      <c r="B646" s="1" t="n">
        <v>45224</v>
      </c>
      <c r="C646" s="1" t="n">
        <v>45845</v>
      </c>
      <c r="D646" t="inlineStr">
        <is>
          <t>UPPSALA LÄN</t>
        </is>
      </c>
      <c r="E646" t="inlineStr">
        <is>
          <t>ENKÖPING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52366-2023</t>
        </is>
      </c>
      <c r="B647" s="1" t="n">
        <v>45224</v>
      </c>
      <c r="C647" s="1" t="n">
        <v>45845</v>
      </c>
      <c r="D647" t="inlineStr">
        <is>
          <t>UPPSALA LÄN</t>
        </is>
      </c>
      <c r="E647" t="inlineStr">
        <is>
          <t>ENKÖPING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54356-2023</t>
        </is>
      </c>
      <c r="B648" s="1" t="n">
        <v>45225</v>
      </c>
      <c r="C648" s="1" t="n">
        <v>45845</v>
      </c>
      <c r="D648" t="inlineStr">
        <is>
          <t>UPPSALA LÄN</t>
        </is>
      </c>
      <c r="E648" t="inlineStr">
        <is>
          <t>ENKÖPING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54357-2023</t>
        </is>
      </c>
      <c r="B649" s="1" t="n">
        <v>45225</v>
      </c>
      <c r="C649" s="1" t="n">
        <v>45845</v>
      </c>
      <c r="D649" t="inlineStr">
        <is>
          <t>UPPSALA LÄN</t>
        </is>
      </c>
      <c r="E649" t="inlineStr">
        <is>
          <t>ENKÖPING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53208-2023</t>
        </is>
      </c>
      <c r="B650" s="1" t="n">
        <v>45226</v>
      </c>
      <c r="C650" s="1" t="n">
        <v>45845</v>
      </c>
      <c r="D650" t="inlineStr">
        <is>
          <t>UPPSALA LÄN</t>
        </is>
      </c>
      <c r="E650" t="inlineStr">
        <is>
          <t>ENKÖPING</t>
        </is>
      </c>
      <c r="G650" t="n">
        <v>4.3</v>
      </c>
      <c r="H650" t="n">
        <v>0</v>
      </c>
      <c r="I650" t="n">
        <v>0</v>
      </c>
      <c r="J650" t="n">
        <v>0</v>
      </c>
      <c r="K650" t="n">
        <v>0</v>
      </c>
      <c r="L650" t="n">
        <v>0</v>
      </c>
      <c r="M650" t="n">
        <v>0</v>
      </c>
      <c r="N650" t="n">
        <v>0</v>
      </c>
      <c r="O650" t="n">
        <v>0</v>
      </c>
      <c r="P650" t="n">
        <v>0</v>
      </c>
      <c r="Q650" t="n">
        <v>0</v>
      </c>
      <c r="R650" s="2" t="inlineStr"/>
    </row>
    <row r="651" ht="15" customHeight="1">
      <c r="A651" t="inlineStr">
        <is>
          <t>A 53333-2023</t>
        </is>
      </c>
      <c r="B651" s="1" t="n">
        <v>45229</v>
      </c>
      <c r="C651" s="1" t="n">
        <v>45845</v>
      </c>
      <c r="D651" t="inlineStr">
        <is>
          <t>UPPSALA LÄN</t>
        </is>
      </c>
      <c r="E651" t="inlineStr">
        <is>
          <t>ENKÖPING</t>
        </is>
      </c>
      <c r="G651" t="n">
        <v>3.6</v>
      </c>
      <c r="H651" t="n">
        <v>0</v>
      </c>
      <c r="I651" t="n">
        <v>0</v>
      </c>
      <c r="J651" t="n">
        <v>0</v>
      </c>
      <c r="K651" t="n">
        <v>0</v>
      </c>
      <c r="L651" t="n">
        <v>0</v>
      </c>
      <c r="M651" t="n">
        <v>0</v>
      </c>
      <c r="N651" t="n">
        <v>0</v>
      </c>
      <c r="O651" t="n">
        <v>0</v>
      </c>
      <c r="P651" t="n">
        <v>0</v>
      </c>
      <c r="Q651" t="n">
        <v>0</v>
      </c>
      <c r="R651" s="2" t="inlineStr"/>
    </row>
    <row r="652" ht="15" customHeight="1">
      <c r="A652" t="inlineStr">
        <is>
          <t>A 53338-2023</t>
        </is>
      </c>
      <c r="B652" s="1" t="n">
        <v>45229</v>
      </c>
      <c r="C652" s="1" t="n">
        <v>45845</v>
      </c>
      <c r="D652" t="inlineStr">
        <is>
          <t>UPPSALA LÄN</t>
        </is>
      </c>
      <c r="E652" t="inlineStr">
        <is>
          <t>ENKÖPING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53607-2023</t>
        </is>
      </c>
      <c r="B653" s="1" t="n">
        <v>45230</v>
      </c>
      <c r="C653" s="1" t="n">
        <v>45845</v>
      </c>
      <c r="D653" t="inlineStr">
        <is>
          <t>UPPSALA LÄN</t>
        </is>
      </c>
      <c r="E653" t="inlineStr">
        <is>
          <t>ENKÖPING</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54208-2023</t>
        </is>
      </c>
      <c r="B654" s="1" t="n">
        <v>45232</v>
      </c>
      <c r="C654" s="1" t="n">
        <v>45845</v>
      </c>
      <c r="D654" t="inlineStr">
        <is>
          <t>UPPSALA LÄN</t>
        </is>
      </c>
      <c r="E654" t="inlineStr">
        <is>
          <t>ENKÖPING</t>
        </is>
      </c>
      <c r="G654" t="n">
        <v>4.3</v>
      </c>
      <c r="H654" t="n">
        <v>0</v>
      </c>
      <c r="I654" t="n">
        <v>0</v>
      </c>
      <c r="J654" t="n">
        <v>0</v>
      </c>
      <c r="K654" t="n">
        <v>0</v>
      </c>
      <c r="L654" t="n">
        <v>0</v>
      </c>
      <c r="M654" t="n">
        <v>0</v>
      </c>
      <c r="N654" t="n">
        <v>0</v>
      </c>
      <c r="O654" t="n">
        <v>0</v>
      </c>
      <c r="P654" t="n">
        <v>0</v>
      </c>
      <c r="Q654" t="n">
        <v>0</v>
      </c>
      <c r="R654" s="2" t="inlineStr"/>
    </row>
    <row r="655" ht="15" customHeight="1">
      <c r="A655" t="inlineStr">
        <is>
          <t>A 54224-2023</t>
        </is>
      </c>
      <c r="B655" s="1" t="n">
        <v>45232</v>
      </c>
      <c r="C655" s="1" t="n">
        <v>45845</v>
      </c>
      <c r="D655" t="inlineStr">
        <is>
          <t>UPPSALA LÄN</t>
        </is>
      </c>
      <c r="E655" t="inlineStr">
        <is>
          <t>ENKÖPING</t>
        </is>
      </c>
      <c r="G655" t="n">
        <v>5.4</v>
      </c>
      <c r="H655" t="n">
        <v>0</v>
      </c>
      <c r="I655" t="n">
        <v>0</v>
      </c>
      <c r="J655" t="n">
        <v>0</v>
      </c>
      <c r="K655" t="n">
        <v>0</v>
      </c>
      <c r="L655" t="n">
        <v>0</v>
      </c>
      <c r="M655" t="n">
        <v>0</v>
      </c>
      <c r="N655" t="n">
        <v>0</v>
      </c>
      <c r="O655" t="n">
        <v>0</v>
      </c>
      <c r="P655" t="n">
        <v>0</v>
      </c>
      <c r="Q655" t="n">
        <v>0</v>
      </c>
      <c r="R655" s="2" t="inlineStr"/>
    </row>
    <row r="656" ht="15" customHeight="1">
      <c r="A656" t="inlineStr">
        <is>
          <t>A 55609-2023</t>
        </is>
      </c>
      <c r="B656" s="1" t="n">
        <v>45238</v>
      </c>
      <c r="C656" s="1" t="n">
        <v>45845</v>
      </c>
      <c r="D656" t="inlineStr">
        <is>
          <t>UPPSALA LÄN</t>
        </is>
      </c>
      <c r="E656" t="inlineStr">
        <is>
          <t>ENKÖPING</t>
        </is>
      </c>
      <c r="F656" t="inlineStr">
        <is>
          <t>Allmännings- och besparingsskogar</t>
        </is>
      </c>
      <c r="G656" t="n">
        <v>13.3</v>
      </c>
      <c r="H656" t="n">
        <v>0</v>
      </c>
      <c r="I656" t="n">
        <v>0</v>
      </c>
      <c r="J656" t="n">
        <v>0</v>
      </c>
      <c r="K656" t="n">
        <v>0</v>
      </c>
      <c r="L656" t="n">
        <v>0</v>
      </c>
      <c r="M656" t="n">
        <v>0</v>
      </c>
      <c r="N656" t="n">
        <v>0</v>
      </c>
      <c r="O656" t="n">
        <v>0</v>
      </c>
      <c r="P656" t="n">
        <v>0</v>
      </c>
      <c r="Q656" t="n">
        <v>0</v>
      </c>
      <c r="R656" s="2" t="inlineStr"/>
    </row>
    <row r="657" ht="15" customHeight="1">
      <c r="A657" t="inlineStr">
        <is>
          <t>A 56886-2023</t>
        </is>
      </c>
      <c r="B657" s="1" t="n">
        <v>45239</v>
      </c>
      <c r="C657" s="1" t="n">
        <v>45845</v>
      </c>
      <c r="D657" t="inlineStr">
        <is>
          <t>UPPSALA LÄN</t>
        </is>
      </c>
      <c r="E657" t="inlineStr">
        <is>
          <t>ENKÖPING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57018-2023</t>
        </is>
      </c>
      <c r="B658" s="1" t="n">
        <v>45244</v>
      </c>
      <c r="C658" s="1" t="n">
        <v>45845</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57662-2023</t>
        </is>
      </c>
      <c r="B659" s="1" t="n">
        <v>45246</v>
      </c>
      <c r="C659" s="1" t="n">
        <v>45845</v>
      </c>
      <c r="D659" t="inlineStr">
        <is>
          <t>UPPSALA LÄN</t>
        </is>
      </c>
      <c r="E659" t="inlineStr">
        <is>
          <t>ENKÖPING</t>
        </is>
      </c>
      <c r="G659" t="n">
        <v>10.9</v>
      </c>
      <c r="H659" t="n">
        <v>0</v>
      </c>
      <c r="I659" t="n">
        <v>0</v>
      </c>
      <c r="J659" t="n">
        <v>0</v>
      </c>
      <c r="K659" t="n">
        <v>0</v>
      </c>
      <c r="L659" t="n">
        <v>0</v>
      </c>
      <c r="M659" t="n">
        <v>0</v>
      </c>
      <c r="N659" t="n">
        <v>0</v>
      </c>
      <c r="O659" t="n">
        <v>0</v>
      </c>
      <c r="P659" t="n">
        <v>0</v>
      </c>
      <c r="Q659" t="n">
        <v>0</v>
      </c>
      <c r="R659" s="2" t="inlineStr"/>
    </row>
    <row r="660" ht="15" customHeight="1">
      <c r="A660" t="inlineStr">
        <is>
          <t>A 58114-2023</t>
        </is>
      </c>
      <c r="B660" s="1" t="n">
        <v>45249</v>
      </c>
      <c r="C660" s="1" t="n">
        <v>45845</v>
      </c>
      <c r="D660" t="inlineStr">
        <is>
          <t>UPPSALA LÄN</t>
        </is>
      </c>
      <c r="E660" t="inlineStr">
        <is>
          <t>ENKÖPING</t>
        </is>
      </c>
      <c r="G660" t="n">
        <v>15.4</v>
      </c>
      <c r="H660" t="n">
        <v>0</v>
      </c>
      <c r="I660" t="n">
        <v>0</v>
      </c>
      <c r="J660" t="n">
        <v>0</v>
      </c>
      <c r="K660" t="n">
        <v>0</v>
      </c>
      <c r="L660" t="n">
        <v>0</v>
      </c>
      <c r="M660" t="n">
        <v>0</v>
      </c>
      <c r="N660" t="n">
        <v>0</v>
      </c>
      <c r="O660" t="n">
        <v>0</v>
      </c>
      <c r="P660" t="n">
        <v>0</v>
      </c>
      <c r="Q660" t="n">
        <v>0</v>
      </c>
      <c r="R660" s="2" t="inlineStr"/>
    </row>
    <row r="661" ht="15" customHeight="1">
      <c r="A661" t="inlineStr">
        <is>
          <t>A 59866-2023</t>
        </is>
      </c>
      <c r="B661" s="1" t="n">
        <v>45257</v>
      </c>
      <c r="C661" s="1" t="n">
        <v>45845</v>
      </c>
      <c r="D661" t="inlineStr">
        <is>
          <t>UPPSALA LÄN</t>
        </is>
      </c>
      <c r="E661" t="inlineStr">
        <is>
          <t>ENKÖPING</t>
        </is>
      </c>
      <c r="G661" t="n">
        <v>3.5</v>
      </c>
      <c r="H661" t="n">
        <v>0</v>
      </c>
      <c r="I661" t="n">
        <v>0</v>
      </c>
      <c r="J661" t="n">
        <v>0</v>
      </c>
      <c r="K661" t="n">
        <v>0</v>
      </c>
      <c r="L661" t="n">
        <v>0</v>
      </c>
      <c r="M661" t="n">
        <v>0</v>
      </c>
      <c r="N661" t="n">
        <v>0</v>
      </c>
      <c r="O661" t="n">
        <v>0</v>
      </c>
      <c r="P661" t="n">
        <v>0</v>
      </c>
      <c r="Q661" t="n">
        <v>0</v>
      </c>
      <c r="R661" s="2" t="inlineStr"/>
    </row>
    <row r="662" ht="15" customHeight="1">
      <c r="A662" t="inlineStr">
        <is>
          <t>A 60200-2023</t>
        </is>
      </c>
      <c r="B662" s="1" t="n">
        <v>45258</v>
      </c>
      <c r="C662" s="1" t="n">
        <v>45845</v>
      </c>
      <c r="D662" t="inlineStr">
        <is>
          <t>UPPSALA LÄN</t>
        </is>
      </c>
      <c r="E662" t="inlineStr">
        <is>
          <t>ENKÖPING</t>
        </is>
      </c>
      <c r="F662" t="inlineStr">
        <is>
          <t>Allmännings- och besparingsskogar</t>
        </is>
      </c>
      <c r="G662" t="n">
        <v>9.4</v>
      </c>
      <c r="H662" t="n">
        <v>0</v>
      </c>
      <c r="I662" t="n">
        <v>0</v>
      </c>
      <c r="J662" t="n">
        <v>0</v>
      </c>
      <c r="K662" t="n">
        <v>0</v>
      </c>
      <c r="L662" t="n">
        <v>0</v>
      </c>
      <c r="M662" t="n">
        <v>0</v>
      </c>
      <c r="N662" t="n">
        <v>0</v>
      </c>
      <c r="O662" t="n">
        <v>0</v>
      </c>
      <c r="P662" t="n">
        <v>0</v>
      </c>
      <c r="Q662" t="n">
        <v>0</v>
      </c>
      <c r="R662" s="2" t="inlineStr"/>
    </row>
    <row r="663" ht="15" customHeight="1">
      <c r="A663" t="inlineStr">
        <is>
          <t>A 60641-2023</t>
        </is>
      </c>
      <c r="B663" s="1" t="n">
        <v>45260</v>
      </c>
      <c r="C663" s="1" t="n">
        <v>45845</v>
      </c>
      <c r="D663" t="inlineStr">
        <is>
          <t>UPPSALA LÄN</t>
        </is>
      </c>
      <c r="E663" t="inlineStr">
        <is>
          <t>ENKÖPING</t>
        </is>
      </c>
      <c r="G663" t="n">
        <v>13.1</v>
      </c>
      <c r="H663" t="n">
        <v>0</v>
      </c>
      <c r="I663" t="n">
        <v>0</v>
      </c>
      <c r="J663" t="n">
        <v>0</v>
      </c>
      <c r="K663" t="n">
        <v>0</v>
      </c>
      <c r="L663" t="n">
        <v>0</v>
      </c>
      <c r="M663" t="n">
        <v>0</v>
      </c>
      <c r="N663" t="n">
        <v>0</v>
      </c>
      <c r="O663" t="n">
        <v>0</v>
      </c>
      <c r="P663" t="n">
        <v>0</v>
      </c>
      <c r="Q663" t="n">
        <v>0</v>
      </c>
      <c r="R663" s="2" t="inlineStr"/>
    </row>
    <row r="664" ht="15" customHeight="1">
      <c r="A664" t="inlineStr">
        <is>
          <t>A 61040-2023</t>
        </is>
      </c>
      <c r="B664" s="1" t="n">
        <v>45260</v>
      </c>
      <c r="C664" s="1" t="n">
        <v>45845</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60874-2023</t>
        </is>
      </c>
      <c r="B665" s="1" t="n">
        <v>45261</v>
      </c>
      <c r="C665" s="1" t="n">
        <v>45845</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61207-2023</t>
        </is>
      </c>
      <c r="B666" s="1" t="n">
        <v>45264</v>
      </c>
      <c r="C666" s="1" t="n">
        <v>45845</v>
      </c>
      <c r="D666" t="inlineStr">
        <is>
          <t>UPPSALA LÄN</t>
        </is>
      </c>
      <c r="E666" t="inlineStr">
        <is>
          <t>ENKÖPING</t>
        </is>
      </c>
      <c r="G666" t="n">
        <v>10.8</v>
      </c>
      <c r="H666" t="n">
        <v>0</v>
      </c>
      <c r="I666" t="n">
        <v>0</v>
      </c>
      <c r="J666" t="n">
        <v>0</v>
      </c>
      <c r="K666" t="n">
        <v>0</v>
      </c>
      <c r="L666" t="n">
        <v>0</v>
      </c>
      <c r="M666" t="n">
        <v>0</v>
      </c>
      <c r="N666" t="n">
        <v>0</v>
      </c>
      <c r="O666" t="n">
        <v>0</v>
      </c>
      <c r="P666" t="n">
        <v>0</v>
      </c>
      <c r="Q666" t="n">
        <v>0</v>
      </c>
      <c r="R666" s="2" t="inlineStr"/>
    </row>
    <row r="667" ht="15" customHeight="1">
      <c r="A667" t="inlineStr">
        <is>
          <t>A 61710-2023</t>
        </is>
      </c>
      <c r="B667" s="1" t="n">
        <v>45265</v>
      </c>
      <c r="C667" s="1" t="n">
        <v>45845</v>
      </c>
      <c r="D667" t="inlineStr">
        <is>
          <t>UPPSALA LÄN</t>
        </is>
      </c>
      <c r="E667" t="inlineStr">
        <is>
          <t>ENKÖPING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62158-2023</t>
        </is>
      </c>
      <c r="B668" s="1" t="n">
        <v>45267</v>
      </c>
      <c r="C668" s="1" t="n">
        <v>45845</v>
      </c>
      <c r="D668" t="inlineStr">
        <is>
          <t>UPPSALA LÄN</t>
        </is>
      </c>
      <c r="E668" t="inlineStr">
        <is>
          <t>ENKÖPING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62265-2023</t>
        </is>
      </c>
      <c r="B669" s="1" t="n">
        <v>45267</v>
      </c>
      <c r="C669" s="1" t="n">
        <v>45845</v>
      </c>
      <c r="D669" t="inlineStr">
        <is>
          <t>UPPSALA LÄN</t>
        </is>
      </c>
      <c r="E669" t="inlineStr">
        <is>
          <t>ENKÖPING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63431-2023</t>
        </is>
      </c>
      <c r="B670" s="1" t="n">
        <v>45274</v>
      </c>
      <c r="C670" s="1" t="n">
        <v>45845</v>
      </c>
      <c r="D670" t="inlineStr">
        <is>
          <t>UPPSALA LÄN</t>
        </is>
      </c>
      <c r="E670" t="inlineStr">
        <is>
          <t>ENKÖPING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63404-2023</t>
        </is>
      </c>
      <c r="B671" s="1" t="n">
        <v>45274</v>
      </c>
      <c r="C671" s="1" t="n">
        <v>45845</v>
      </c>
      <c r="D671" t="inlineStr">
        <is>
          <t>UPPSALA LÄN</t>
        </is>
      </c>
      <c r="E671" t="inlineStr">
        <is>
          <t>ENKÖPING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63402-2023</t>
        </is>
      </c>
      <c r="B672" s="1" t="n">
        <v>45274</v>
      </c>
      <c r="C672" s="1" t="n">
        <v>45845</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63406-2023</t>
        </is>
      </c>
      <c r="B673" s="1" t="n">
        <v>45274</v>
      </c>
      <c r="C673" s="1" t="n">
        <v>45845</v>
      </c>
      <c r="D673" t="inlineStr">
        <is>
          <t>UPPSALA LÄN</t>
        </is>
      </c>
      <c r="E673" t="inlineStr">
        <is>
          <t>ENKÖPING</t>
        </is>
      </c>
      <c r="G673" t="n">
        <v>0.3</v>
      </c>
      <c r="H673" t="n">
        <v>0</v>
      </c>
      <c r="I673" t="n">
        <v>0</v>
      </c>
      <c r="J673" t="n">
        <v>0</v>
      </c>
      <c r="K673" t="n">
        <v>0</v>
      </c>
      <c r="L673" t="n">
        <v>0</v>
      </c>
      <c r="M673" t="n">
        <v>0</v>
      </c>
      <c r="N673" t="n">
        <v>0</v>
      </c>
      <c r="O673" t="n">
        <v>0</v>
      </c>
      <c r="P673" t="n">
        <v>0</v>
      </c>
      <c r="Q673" t="n">
        <v>0</v>
      </c>
      <c r="R673" s="2" t="inlineStr"/>
    </row>
    <row r="674" ht="15" customHeight="1">
      <c r="A674" t="inlineStr">
        <is>
          <t>A 64800-2023</t>
        </is>
      </c>
      <c r="B674" s="1" t="n">
        <v>45282</v>
      </c>
      <c r="C674" s="1" t="n">
        <v>45845</v>
      </c>
      <c r="D674" t="inlineStr">
        <is>
          <t>UPPSALA LÄN</t>
        </is>
      </c>
      <c r="E674" t="inlineStr">
        <is>
          <t>ENKÖPING</t>
        </is>
      </c>
      <c r="G674" t="n">
        <v>2.1</v>
      </c>
      <c r="H674" t="n">
        <v>0</v>
      </c>
      <c r="I674" t="n">
        <v>0</v>
      </c>
      <c r="J674" t="n">
        <v>0</v>
      </c>
      <c r="K674" t="n">
        <v>0</v>
      </c>
      <c r="L674" t="n">
        <v>0</v>
      </c>
      <c r="M674" t="n">
        <v>0</v>
      </c>
      <c r="N674" t="n">
        <v>0</v>
      </c>
      <c r="O674" t="n">
        <v>0</v>
      </c>
      <c r="P674" t="n">
        <v>0</v>
      </c>
      <c r="Q674" t="n">
        <v>0</v>
      </c>
      <c r="R674" s="2" t="inlineStr"/>
    </row>
    <row r="675" ht="15" customHeight="1">
      <c r="A675" t="inlineStr">
        <is>
          <t>A 351-2024</t>
        </is>
      </c>
      <c r="B675" s="1" t="n">
        <v>45295</v>
      </c>
      <c r="C675" s="1" t="n">
        <v>45845</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352-2024</t>
        </is>
      </c>
      <c r="B676" s="1" t="n">
        <v>45295</v>
      </c>
      <c r="C676" s="1" t="n">
        <v>45845</v>
      </c>
      <c r="D676" t="inlineStr">
        <is>
          <t>UPPSALA LÄN</t>
        </is>
      </c>
      <c r="E676" t="inlineStr">
        <is>
          <t>ENKÖPING</t>
        </is>
      </c>
      <c r="G676" t="n">
        <v>3.9</v>
      </c>
      <c r="H676" t="n">
        <v>0</v>
      </c>
      <c r="I676" t="n">
        <v>0</v>
      </c>
      <c r="J676" t="n">
        <v>0</v>
      </c>
      <c r="K676" t="n">
        <v>0</v>
      </c>
      <c r="L676" t="n">
        <v>0</v>
      </c>
      <c r="M676" t="n">
        <v>0</v>
      </c>
      <c r="N676" t="n">
        <v>0</v>
      </c>
      <c r="O676" t="n">
        <v>0</v>
      </c>
      <c r="P676" t="n">
        <v>0</v>
      </c>
      <c r="Q676" t="n">
        <v>0</v>
      </c>
      <c r="R676" s="2" t="inlineStr"/>
    </row>
    <row r="677" ht="15" customHeight="1">
      <c r="A677" t="inlineStr">
        <is>
          <t>A 353-2024</t>
        </is>
      </c>
      <c r="B677" s="1" t="n">
        <v>45295</v>
      </c>
      <c r="C677" s="1" t="n">
        <v>45845</v>
      </c>
      <c r="D677" t="inlineStr">
        <is>
          <t>UPPSALA LÄN</t>
        </is>
      </c>
      <c r="E677" t="inlineStr">
        <is>
          <t>ENKÖPING</t>
        </is>
      </c>
      <c r="G677" t="n">
        <v>4.3</v>
      </c>
      <c r="H677" t="n">
        <v>0</v>
      </c>
      <c r="I677" t="n">
        <v>0</v>
      </c>
      <c r="J677" t="n">
        <v>0</v>
      </c>
      <c r="K677" t="n">
        <v>0</v>
      </c>
      <c r="L677" t="n">
        <v>0</v>
      </c>
      <c r="M677" t="n">
        <v>0</v>
      </c>
      <c r="N677" t="n">
        <v>0</v>
      </c>
      <c r="O677" t="n">
        <v>0</v>
      </c>
      <c r="P677" t="n">
        <v>0</v>
      </c>
      <c r="Q677" t="n">
        <v>0</v>
      </c>
      <c r="R677" s="2" t="inlineStr"/>
    </row>
    <row r="678" ht="15" customHeight="1">
      <c r="A678" t="inlineStr">
        <is>
          <t>A 422-2024</t>
        </is>
      </c>
      <c r="B678" s="1" t="n">
        <v>45296</v>
      </c>
      <c r="C678" s="1" t="n">
        <v>45845</v>
      </c>
      <c r="D678" t="inlineStr">
        <is>
          <t>UPPSALA LÄN</t>
        </is>
      </c>
      <c r="E678" t="inlineStr">
        <is>
          <t>ENKÖPING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420-2024</t>
        </is>
      </c>
      <c r="B679" s="1" t="n">
        <v>45296</v>
      </c>
      <c r="C679" s="1" t="n">
        <v>45845</v>
      </c>
      <c r="D679" t="inlineStr">
        <is>
          <t>UPPSALA LÄN</t>
        </is>
      </c>
      <c r="E679" t="inlineStr">
        <is>
          <t>ENKÖPING</t>
        </is>
      </c>
      <c r="G679" t="n">
        <v>2.8</v>
      </c>
      <c r="H679" t="n">
        <v>0</v>
      </c>
      <c r="I679" t="n">
        <v>0</v>
      </c>
      <c r="J679" t="n">
        <v>0</v>
      </c>
      <c r="K679" t="n">
        <v>0</v>
      </c>
      <c r="L679" t="n">
        <v>0</v>
      </c>
      <c r="M679" t="n">
        <v>0</v>
      </c>
      <c r="N679" t="n">
        <v>0</v>
      </c>
      <c r="O679" t="n">
        <v>0</v>
      </c>
      <c r="P679" t="n">
        <v>0</v>
      </c>
      <c r="Q679" t="n">
        <v>0</v>
      </c>
      <c r="R679" s="2" t="inlineStr"/>
    </row>
    <row r="680" ht="15" customHeight="1">
      <c r="A680" t="inlineStr">
        <is>
          <t>A 582-2024</t>
        </is>
      </c>
      <c r="B680" s="1" t="n">
        <v>45299</v>
      </c>
      <c r="C680" s="1" t="n">
        <v>45845</v>
      </c>
      <c r="D680" t="inlineStr">
        <is>
          <t>UPPSALA LÄN</t>
        </is>
      </c>
      <c r="E680" t="inlineStr">
        <is>
          <t>ENKÖPING</t>
        </is>
      </c>
      <c r="G680" t="n">
        <v>3.7</v>
      </c>
      <c r="H680" t="n">
        <v>0</v>
      </c>
      <c r="I680" t="n">
        <v>0</v>
      </c>
      <c r="J680" t="n">
        <v>0</v>
      </c>
      <c r="K680" t="n">
        <v>0</v>
      </c>
      <c r="L680" t="n">
        <v>0</v>
      </c>
      <c r="M680" t="n">
        <v>0</v>
      </c>
      <c r="N680" t="n">
        <v>0</v>
      </c>
      <c r="O680" t="n">
        <v>0</v>
      </c>
      <c r="P680" t="n">
        <v>0</v>
      </c>
      <c r="Q680" t="n">
        <v>0</v>
      </c>
      <c r="R680" s="2" t="inlineStr"/>
    </row>
    <row r="681" ht="15" customHeight="1">
      <c r="A681" t="inlineStr">
        <is>
          <t>A 580-2024</t>
        </is>
      </c>
      <c r="B681" s="1" t="n">
        <v>45299</v>
      </c>
      <c r="C681" s="1" t="n">
        <v>45845</v>
      </c>
      <c r="D681" t="inlineStr">
        <is>
          <t>UPPSALA LÄN</t>
        </is>
      </c>
      <c r="E681" t="inlineStr">
        <is>
          <t>ENKÖPING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1536-2024</t>
        </is>
      </c>
      <c r="B682" s="1" t="n">
        <v>45306</v>
      </c>
      <c r="C682" s="1" t="n">
        <v>45845</v>
      </c>
      <c r="D682" t="inlineStr">
        <is>
          <t>UPPSALA LÄN</t>
        </is>
      </c>
      <c r="E682" t="inlineStr">
        <is>
          <t>ENKÖPING</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1651-2024</t>
        </is>
      </c>
      <c r="B683" s="1" t="n">
        <v>45306</v>
      </c>
      <c r="C683" s="1" t="n">
        <v>45845</v>
      </c>
      <c r="D683" t="inlineStr">
        <is>
          <t>UPPSALA LÄN</t>
        </is>
      </c>
      <c r="E683" t="inlineStr">
        <is>
          <t>ENKÖPING</t>
        </is>
      </c>
      <c r="G683" t="n">
        <v>10.2</v>
      </c>
      <c r="H683" t="n">
        <v>0</v>
      </c>
      <c r="I683" t="n">
        <v>0</v>
      </c>
      <c r="J683" t="n">
        <v>0</v>
      </c>
      <c r="K683" t="n">
        <v>0</v>
      </c>
      <c r="L683" t="n">
        <v>0</v>
      </c>
      <c r="M683" t="n">
        <v>0</v>
      </c>
      <c r="N683" t="n">
        <v>0</v>
      </c>
      <c r="O683" t="n">
        <v>0</v>
      </c>
      <c r="P683" t="n">
        <v>0</v>
      </c>
      <c r="Q683" t="n">
        <v>0</v>
      </c>
      <c r="R683" s="2" t="inlineStr"/>
    </row>
    <row r="684" ht="15" customHeight="1">
      <c r="A684" t="inlineStr">
        <is>
          <t>A 2221-2024</t>
        </is>
      </c>
      <c r="B684" s="1" t="n">
        <v>45309</v>
      </c>
      <c r="C684" s="1" t="n">
        <v>45845</v>
      </c>
      <c r="D684" t="inlineStr">
        <is>
          <t>UPPSALA LÄN</t>
        </is>
      </c>
      <c r="E684" t="inlineStr">
        <is>
          <t>ENKÖPING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2322-2024</t>
        </is>
      </c>
      <c r="B685" s="1" t="n">
        <v>45309</v>
      </c>
      <c r="C685" s="1" t="n">
        <v>45845</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2456-2024</t>
        </is>
      </c>
      <c r="B686" s="1" t="n">
        <v>45312</v>
      </c>
      <c r="C686" s="1" t="n">
        <v>45845</v>
      </c>
      <c r="D686" t="inlineStr">
        <is>
          <t>UPPSALA LÄN</t>
        </is>
      </c>
      <c r="E686" t="inlineStr">
        <is>
          <t>ENKÖPING</t>
        </is>
      </c>
      <c r="G686" t="n">
        <v>2.6</v>
      </c>
      <c r="H686" t="n">
        <v>0</v>
      </c>
      <c r="I686" t="n">
        <v>0</v>
      </c>
      <c r="J686" t="n">
        <v>0</v>
      </c>
      <c r="K686" t="n">
        <v>0</v>
      </c>
      <c r="L686" t="n">
        <v>0</v>
      </c>
      <c r="M686" t="n">
        <v>0</v>
      </c>
      <c r="N686" t="n">
        <v>0</v>
      </c>
      <c r="O686" t="n">
        <v>0</v>
      </c>
      <c r="P686" t="n">
        <v>0</v>
      </c>
      <c r="Q686" t="n">
        <v>0</v>
      </c>
      <c r="R686" s="2" t="inlineStr"/>
    </row>
    <row r="687" ht="15" customHeight="1">
      <c r="A687" t="inlineStr">
        <is>
          <t>A 2983-2024</t>
        </is>
      </c>
      <c r="B687" s="1" t="n">
        <v>45315</v>
      </c>
      <c r="C687" s="1" t="n">
        <v>45845</v>
      </c>
      <c r="D687" t="inlineStr">
        <is>
          <t>UPPSALA LÄN</t>
        </is>
      </c>
      <c r="E687" t="inlineStr">
        <is>
          <t>ENKÖPING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3051-2024</t>
        </is>
      </c>
      <c r="B688" s="1" t="n">
        <v>45316</v>
      </c>
      <c r="C688" s="1" t="n">
        <v>45845</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3130-2024</t>
        </is>
      </c>
      <c r="B689" s="1" t="n">
        <v>45316</v>
      </c>
      <c r="C689" s="1" t="n">
        <v>45845</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3977-2024</t>
        </is>
      </c>
      <c r="B690" s="1" t="n">
        <v>45322</v>
      </c>
      <c r="C690" s="1" t="n">
        <v>45845</v>
      </c>
      <c r="D690" t="inlineStr">
        <is>
          <t>UPPSALA LÄN</t>
        </is>
      </c>
      <c r="E690" t="inlineStr">
        <is>
          <t>ENKÖPING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4044-2024</t>
        </is>
      </c>
      <c r="B691" s="1" t="n">
        <v>45323</v>
      </c>
      <c r="C691" s="1" t="n">
        <v>45845</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5211-2024</t>
        </is>
      </c>
      <c r="B692" s="1" t="n">
        <v>45330</v>
      </c>
      <c r="C692" s="1" t="n">
        <v>45845</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5521-2024</t>
        </is>
      </c>
      <c r="B693" s="1" t="n">
        <v>45334</v>
      </c>
      <c r="C693" s="1" t="n">
        <v>45845</v>
      </c>
      <c r="D693" t="inlineStr">
        <is>
          <t>UPPSALA LÄN</t>
        </is>
      </c>
      <c r="E693" t="inlineStr">
        <is>
          <t>ENKÖPING</t>
        </is>
      </c>
      <c r="G693" t="n">
        <v>8.4</v>
      </c>
      <c r="H693" t="n">
        <v>0</v>
      </c>
      <c r="I693" t="n">
        <v>0</v>
      </c>
      <c r="J693" t="n">
        <v>0</v>
      </c>
      <c r="K693" t="n">
        <v>0</v>
      </c>
      <c r="L693" t="n">
        <v>0</v>
      </c>
      <c r="M693" t="n">
        <v>0</v>
      </c>
      <c r="N693" t="n">
        <v>0</v>
      </c>
      <c r="O693" t="n">
        <v>0</v>
      </c>
      <c r="P693" t="n">
        <v>0</v>
      </c>
      <c r="Q693" t="n">
        <v>0</v>
      </c>
      <c r="R693" s="2" t="inlineStr"/>
    </row>
    <row r="694" ht="15" customHeight="1">
      <c r="A694" t="inlineStr">
        <is>
          <t>A 6247-2024</t>
        </is>
      </c>
      <c r="B694" s="1" t="n">
        <v>45337</v>
      </c>
      <c r="C694" s="1" t="n">
        <v>45845</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6144-2024</t>
        </is>
      </c>
      <c r="B695" s="1" t="n">
        <v>45337</v>
      </c>
      <c r="C695" s="1" t="n">
        <v>45845</v>
      </c>
      <c r="D695" t="inlineStr">
        <is>
          <t>UPPSALA LÄN</t>
        </is>
      </c>
      <c r="E695" t="inlineStr">
        <is>
          <t>ENKÖPING</t>
        </is>
      </c>
      <c r="G695" t="n">
        <v>13.8</v>
      </c>
      <c r="H695" t="n">
        <v>0</v>
      </c>
      <c r="I695" t="n">
        <v>0</v>
      </c>
      <c r="J695" t="n">
        <v>0</v>
      </c>
      <c r="K695" t="n">
        <v>0</v>
      </c>
      <c r="L695" t="n">
        <v>0</v>
      </c>
      <c r="M695" t="n">
        <v>0</v>
      </c>
      <c r="N695" t="n">
        <v>0</v>
      </c>
      <c r="O695" t="n">
        <v>0</v>
      </c>
      <c r="P695" t="n">
        <v>0</v>
      </c>
      <c r="Q695" t="n">
        <v>0</v>
      </c>
      <c r="R695" s="2" t="inlineStr"/>
    </row>
    <row r="696" ht="15" customHeight="1">
      <c r="A696" t="inlineStr">
        <is>
          <t>A 7868-2024</t>
        </is>
      </c>
      <c r="B696" s="1" t="n">
        <v>45350</v>
      </c>
      <c r="C696" s="1" t="n">
        <v>45845</v>
      </c>
      <c r="D696" t="inlineStr">
        <is>
          <t>UPPSALA LÄN</t>
        </is>
      </c>
      <c r="E696" t="inlineStr">
        <is>
          <t>ENKÖPING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7866-2024</t>
        </is>
      </c>
      <c r="B697" s="1" t="n">
        <v>45350</v>
      </c>
      <c r="C697" s="1" t="n">
        <v>45845</v>
      </c>
      <c r="D697" t="inlineStr">
        <is>
          <t>UPPSALA LÄN</t>
        </is>
      </c>
      <c r="E697" t="inlineStr">
        <is>
          <t>ENKÖPING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7870-2024</t>
        </is>
      </c>
      <c r="B698" s="1" t="n">
        <v>45350</v>
      </c>
      <c r="C698" s="1" t="n">
        <v>45845</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8103-2024</t>
        </is>
      </c>
      <c r="B699" s="1" t="n">
        <v>45351</v>
      </c>
      <c r="C699" s="1" t="n">
        <v>45845</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8217-2024</t>
        </is>
      </c>
      <c r="B700" s="1" t="n">
        <v>45351</v>
      </c>
      <c r="C700" s="1" t="n">
        <v>45845</v>
      </c>
      <c r="D700" t="inlineStr">
        <is>
          <t>UPPSALA LÄN</t>
        </is>
      </c>
      <c r="E700" t="inlineStr">
        <is>
          <t>ENKÖPING</t>
        </is>
      </c>
      <c r="G700" t="n">
        <v>3.1</v>
      </c>
      <c r="H700" t="n">
        <v>0</v>
      </c>
      <c r="I700" t="n">
        <v>0</v>
      </c>
      <c r="J700" t="n">
        <v>0</v>
      </c>
      <c r="K700" t="n">
        <v>0</v>
      </c>
      <c r="L700" t="n">
        <v>0</v>
      </c>
      <c r="M700" t="n">
        <v>0</v>
      </c>
      <c r="N700" t="n">
        <v>0</v>
      </c>
      <c r="O700" t="n">
        <v>0</v>
      </c>
      <c r="P700" t="n">
        <v>0</v>
      </c>
      <c r="Q700" t="n">
        <v>0</v>
      </c>
      <c r="R700" s="2" t="inlineStr"/>
    </row>
    <row r="701" ht="15" customHeight="1">
      <c r="A701" t="inlineStr">
        <is>
          <t>A 9185-2024</t>
        </is>
      </c>
      <c r="B701" s="1" t="n">
        <v>45358</v>
      </c>
      <c r="C701" s="1" t="n">
        <v>45845</v>
      </c>
      <c r="D701" t="inlineStr">
        <is>
          <t>UPPSALA LÄN</t>
        </is>
      </c>
      <c r="E701" t="inlineStr">
        <is>
          <t>ENKÖPING</t>
        </is>
      </c>
      <c r="G701" t="n">
        <v>4.4</v>
      </c>
      <c r="H701" t="n">
        <v>0</v>
      </c>
      <c r="I701" t="n">
        <v>0</v>
      </c>
      <c r="J701" t="n">
        <v>0</v>
      </c>
      <c r="K701" t="n">
        <v>0</v>
      </c>
      <c r="L701" t="n">
        <v>0</v>
      </c>
      <c r="M701" t="n">
        <v>0</v>
      </c>
      <c r="N701" t="n">
        <v>0</v>
      </c>
      <c r="O701" t="n">
        <v>0</v>
      </c>
      <c r="P701" t="n">
        <v>0</v>
      </c>
      <c r="Q701" t="n">
        <v>0</v>
      </c>
      <c r="R701" s="2" t="inlineStr"/>
    </row>
    <row r="702" ht="15" customHeight="1">
      <c r="A702" t="inlineStr">
        <is>
          <t>A 9174-2024</t>
        </is>
      </c>
      <c r="B702" s="1" t="n">
        <v>45358</v>
      </c>
      <c r="C702" s="1" t="n">
        <v>45845</v>
      </c>
      <c r="D702" t="inlineStr">
        <is>
          <t>UPPSALA LÄN</t>
        </is>
      </c>
      <c r="E702" t="inlineStr">
        <is>
          <t>ENKÖPING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9171-2024</t>
        </is>
      </c>
      <c r="B703" s="1" t="n">
        <v>45358</v>
      </c>
      <c r="C703" s="1" t="n">
        <v>45845</v>
      </c>
      <c r="D703" t="inlineStr">
        <is>
          <t>UPPSALA LÄN</t>
        </is>
      </c>
      <c r="E703" t="inlineStr">
        <is>
          <t>ENKÖPING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9175-2024</t>
        </is>
      </c>
      <c r="B704" s="1" t="n">
        <v>45358</v>
      </c>
      <c r="C704" s="1" t="n">
        <v>45845</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9192-2024</t>
        </is>
      </c>
      <c r="B705" s="1" t="n">
        <v>45358</v>
      </c>
      <c r="C705" s="1" t="n">
        <v>45845</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9667-2024</t>
        </is>
      </c>
      <c r="B706" s="1" t="n">
        <v>45362</v>
      </c>
      <c r="C706" s="1" t="n">
        <v>45845</v>
      </c>
      <c r="D706" t="inlineStr">
        <is>
          <t>UPPSALA LÄN</t>
        </is>
      </c>
      <c r="E706" t="inlineStr">
        <is>
          <t>ENKÖPING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10829-2024</t>
        </is>
      </c>
      <c r="B707" s="1" t="n">
        <v>45369</v>
      </c>
      <c r="C707" s="1" t="n">
        <v>45845</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10756-2024</t>
        </is>
      </c>
      <c r="B708" s="1" t="n">
        <v>45369</v>
      </c>
      <c r="C708" s="1" t="n">
        <v>45845</v>
      </c>
      <c r="D708" t="inlineStr">
        <is>
          <t>UPPSALA LÄN</t>
        </is>
      </c>
      <c r="E708" t="inlineStr">
        <is>
          <t>ENKÖPING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10752-2024</t>
        </is>
      </c>
      <c r="B709" s="1" t="n">
        <v>45369</v>
      </c>
      <c r="C709" s="1" t="n">
        <v>45845</v>
      </c>
      <c r="D709" t="inlineStr">
        <is>
          <t>UPPSALA LÄN</t>
        </is>
      </c>
      <c r="E709" t="inlineStr">
        <is>
          <t>ENKÖPING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10832-2024</t>
        </is>
      </c>
      <c r="B710" s="1" t="n">
        <v>45369</v>
      </c>
      <c r="C710" s="1" t="n">
        <v>45845</v>
      </c>
      <c r="D710" t="inlineStr">
        <is>
          <t>UPPSALA LÄN</t>
        </is>
      </c>
      <c r="E710" t="inlineStr">
        <is>
          <t>ENKÖPING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10831-2024</t>
        </is>
      </c>
      <c r="B711" s="1" t="n">
        <v>45369</v>
      </c>
      <c r="C711" s="1" t="n">
        <v>45845</v>
      </c>
      <c r="D711" t="inlineStr">
        <is>
          <t>UPPSALA LÄN</t>
        </is>
      </c>
      <c r="E711" t="inlineStr">
        <is>
          <t>ENKÖPING</t>
        </is>
      </c>
      <c r="G711" t="n">
        <v>2.9</v>
      </c>
      <c r="H711" t="n">
        <v>0</v>
      </c>
      <c r="I711" t="n">
        <v>0</v>
      </c>
      <c r="J711" t="n">
        <v>0</v>
      </c>
      <c r="K711" t="n">
        <v>0</v>
      </c>
      <c r="L711" t="n">
        <v>0</v>
      </c>
      <c r="M711" t="n">
        <v>0</v>
      </c>
      <c r="N711" t="n">
        <v>0</v>
      </c>
      <c r="O711" t="n">
        <v>0</v>
      </c>
      <c r="P711" t="n">
        <v>0</v>
      </c>
      <c r="Q711" t="n">
        <v>0</v>
      </c>
      <c r="R711" s="2" t="inlineStr"/>
    </row>
    <row r="712" ht="15" customHeight="1">
      <c r="A712" t="inlineStr">
        <is>
          <t>A 11503-2024</t>
        </is>
      </c>
      <c r="B712" s="1" t="n">
        <v>45372</v>
      </c>
      <c r="C712" s="1" t="n">
        <v>45845</v>
      </c>
      <c r="D712" t="inlineStr">
        <is>
          <t>UPPSALA LÄN</t>
        </is>
      </c>
      <c r="E712" t="inlineStr">
        <is>
          <t>ENKÖPING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11908-2024</t>
        </is>
      </c>
      <c r="B713" s="1" t="n">
        <v>45376</v>
      </c>
      <c r="C713" s="1" t="n">
        <v>45845</v>
      </c>
      <c r="D713" t="inlineStr">
        <is>
          <t>UPPSALA LÄN</t>
        </is>
      </c>
      <c r="E713" t="inlineStr">
        <is>
          <t>ENKÖPING</t>
        </is>
      </c>
      <c r="G713" t="n">
        <v>7.9</v>
      </c>
      <c r="H713" t="n">
        <v>0</v>
      </c>
      <c r="I713" t="n">
        <v>0</v>
      </c>
      <c r="J713" t="n">
        <v>0</v>
      </c>
      <c r="K713" t="n">
        <v>0</v>
      </c>
      <c r="L713" t="n">
        <v>0</v>
      </c>
      <c r="M713" t="n">
        <v>0</v>
      </c>
      <c r="N713" t="n">
        <v>0</v>
      </c>
      <c r="O713" t="n">
        <v>0</v>
      </c>
      <c r="P713" t="n">
        <v>0</v>
      </c>
      <c r="Q713" t="n">
        <v>0</v>
      </c>
      <c r="R713" s="2" t="inlineStr"/>
    </row>
    <row r="714" ht="15" customHeight="1">
      <c r="A714" t="inlineStr">
        <is>
          <t>A 12020-2024</t>
        </is>
      </c>
      <c r="B714" s="1" t="n">
        <v>45377</v>
      </c>
      <c r="C714" s="1" t="n">
        <v>45845</v>
      </c>
      <c r="D714" t="inlineStr">
        <is>
          <t>UPPSALA LÄN</t>
        </is>
      </c>
      <c r="E714" t="inlineStr">
        <is>
          <t>ENKÖPING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12102-2024</t>
        </is>
      </c>
      <c r="B715" s="1" t="n">
        <v>45377</v>
      </c>
      <c r="C715" s="1" t="n">
        <v>45845</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12751-2024</t>
        </is>
      </c>
      <c r="B716" s="1" t="n">
        <v>45384</v>
      </c>
      <c r="C716" s="1" t="n">
        <v>45845</v>
      </c>
      <c r="D716" t="inlineStr">
        <is>
          <t>UPPSALA LÄN</t>
        </is>
      </c>
      <c r="E716" t="inlineStr">
        <is>
          <t>ENKÖPING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12958-2024</t>
        </is>
      </c>
      <c r="B717" s="1" t="n">
        <v>45385</v>
      </c>
      <c r="C717" s="1" t="n">
        <v>45845</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13247-2024</t>
        </is>
      </c>
      <c r="B718" s="1" t="n">
        <v>45386</v>
      </c>
      <c r="C718" s="1" t="n">
        <v>45845</v>
      </c>
      <c r="D718" t="inlineStr">
        <is>
          <t>UPPSALA LÄN</t>
        </is>
      </c>
      <c r="E718" t="inlineStr">
        <is>
          <t>ENKÖPING</t>
        </is>
      </c>
      <c r="G718" t="n">
        <v>2.3</v>
      </c>
      <c r="H718" t="n">
        <v>0</v>
      </c>
      <c r="I718" t="n">
        <v>0</v>
      </c>
      <c r="J718" t="n">
        <v>0</v>
      </c>
      <c r="K718" t="n">
        <v>0</v>
      </c>
      <c r="L718" t="n">
        <v>0</v>
      </c>
      <c r="M718" t="n">
        <v>0</v>
      </c>
      <c r="N718" t="n">
        <v>0</v>
      </c>
      <c r="O718" t="n">
        <v>0</v>
      </c>
      <c r="P718" t="n">
        <v>0</v>
      </c>
      <c r="Q718" t="n">
        <v>0</v>
      </c>
      <c r="R718" s="2" t="inlineStr"/>
    </row>
    <row r="719" ht="15" customHeight="1">
      <c r="A719" t="inlineStr">
        <is>
          <t>A 13168-2024</t>
        </is>
      </c>
      <c r="B719" s="1" t="n">
        <v>45386</v>
      </c>
      <c r="C719" s="1" t="n">
        <v>45845</v>
      </c>
      <c r="D719" t="inlineStr">
        <is>
          <t>UPPSALA LÄN</t>
        </is>
      </c>
      <c r="E719" t="inlineStr">
        <is>
          <t>ENKÖPING</t>
        </is>
      </c>
      <c r="G719" t="n">
        <v>3.5</v>
      </c>
      <c r="H719" t="n">
        <v>0</v>
      </c>
      <c r="I719" t="n">
        <v>0</v>
      </c>
      <c r="J719" t="n">
        <v>0</v>
      </c>
      <c r="K719" t="n">
        <v>0</v>
      </c>
      <c r="L719" t="n">
        <v>0</v>
      </c>
      <c r="M719" t="n">
        <v>0</v>
      </c>
      <c r="N719" t="n">
        <v>0</v>
      </c>
      <c r="O719" t="n">
        <v>0</v>
      </c>
      <c r="P719" t="n">
        <v>0</v>
      </c>
      <c r="Q719" t="n">
        <v>0</v>
      </c>
      <c r="R719" s="2" t="inlineStr"/>
    </row>
    <row r="720" ht="15" customHeight="1">
      <c r="A720" t="inlineStr">
        <is>
          <t>A 13530-2024</t>
        </is>
      </c>
      <c r="B720" s="1" t="n">
        <v>45387</v>
      </c>
      <c r="C720" s="1" t="n">
        <v>45845</v>
      </c>
      <c r="D720" t="inlineStr">
        <is>
          <t>UPPSALA LÄN</t>
        </is>
      </c>
      <c r="E720" t="inlineStr">
        <is>
          <t>ENKÖPING</t>
        </is>
      </c>
      <c r="G720" t="n">
        <v>2.6</v>
      </c>
      <c r="H720" t="n">
        <v>0</v>
      </c>
      <c r="I720" t="n">
        <v>0</v>
      </c>
      <c r="J720" t="n">
        <v>0</v>
      </c>
      <c r="K720" t="n">
        <v>0</v>
      </c>
      <c r="L720" t="n">
        <v>0</v>
      </c>
      <c r="M720" t="n">
        <v>0</v>
      </c>
      <c r="N720" t="n">
        <v>0</v>
      </c>
      <c r="O720" t="n">
        <v>0</v>
      </c>
      <c r="P720" t="n">
        <v>0</v>
      </c>
      <c r="Q720" t="n">
        <v>0</v>
      </c>
      <c r="R720" s="2" t="inlineStr"/>
    </row>
    <row r="721" ht="15" customHeight="1">
      <c r="A721" t="inlineStr">
        <is>
          <t>A 13528-2024</t>
        </is>
      </c>
      <c r="B721" s="1" t="n">
        <v>45387</v>
      </c>
      <c r="C721" s="1" t="n">
        <v>45845</v>
      </c>
      <c r="D721" t="inlineStr">
        <is>
          <t>UPPSALA LÄN</t>
        </is>
      </c>
      <c r="E721" t="inlineStr">
        <is>
          <t>ENKÖPING</t>
        </is>
      </c>
      <c r="G721" t="n">
        <v>5.7</v>
      </c>
      <c r="H721" t="n">
        <v>0</v>
      </c>
      <c r="I721" t="n">
        <v>0</v>
      </c>
      <c r="J721" t="n">
        <v>0</v>
      </c>
      <c r="K721" t="n">
        <v>0</v>
      </c>
      <c r="L721" t="n">
        <v>0</v>
      </c>
      <c r="M721" t="n">
        <v>0</v>
      </c>
      <c r="N721" t="n">
        <v>0</v>
      </c>
      <c r="O721" t="n">
        <v>0</v>
      </c>
      <c r="P721" t="n">
        <v>0</v>
      </c>
      <c r="Q721" t="n">
        <v>0</v>
      </c>
      <c r="R721" s="2" t="inlineStr"/>
    </row>
    <row r="722" ht="15" customHeight="1">
      <c r="A722" t="inlineStr">
        <is>
          <t>A 14334-2024</t>
        </is>
      </c>
      <c r="B722" s="1" t="n">
        <v>45393</v>
      </c>
      <c r="C722" s="1" t="n">
        <v>45845</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14332-2024</t>
        </is>
      </c>
      <c r="B723" s="1" t="n">
        <v>45393</v>
      </c>
      <c r="C723" s="1" t="n">
        <v>45845</v>
      </c>
      <c r="D723" t="inlineStr">
        <is>
          <t>UPPSALA LÄN</t>
        </is>
      </c>
      <c r="E723" t="inlineStr">
        <is>
          <t>ENKÖPING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15823-2024</t>
        </is>
      </c>
      <c r="B724" s="1" t="n">
        <v>45404</v>
      </c>
      <c r="C724" s="1" t="n">
        <v>45845</v>
      </c>
      <c r="D724" t="inlineStr">
        <is>
          <t>UPPSALA LÄN</t>
        </is>
      </c>
      <c r="E724" t="inlineStr">
        <is>
          <t>ENKÖPING</t>
        </is>
      </c>
      <c r="G724" t="n">
        <v>1.4</v>
      </c>
      <c r="H724" t="n">
        <v>0</v>
      </c>
      <c r="I724" t="n">
        <v>0</v>
      </c>
      <c r="J724" t="n">
        <v>0</v>
      </c>
      <c r="K724" t="n">
        <v>0</v>
      </c>
      <c r="L724" t="n">
        <v>0</v>
      </c>
      <c r="M724" t="n">
        <v>0</v>
      </c>
      <c r="N724" t="n">
        <v>0</v>
      </c>
      <c r="O724" t="n">
        <v>0</v>
      </c>
      <c r="P724" t="n">
        <v>0</v>
      </c>
      <c r="Q724" t="n">
        <v>0</v>
      </c>
      <c r="R724" s="2" t="inlineStr"/>
    </row>
    <row r="725" ht="15" customHeight="1">
      <c r="A725" t="inlineStr">
        <is>
          <t>A 15816-2024</t>
        </is>
      </c>
      <c r="B725" s="1" t="n">
        <v>45404</v>
      </c>
      <c r="C725" s="1" t="n">
        <v>45845</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15824-2024</t>
        </is>
      </c>
      <c r="B726" s="1" t="n">
        <v>45404</v>
      </c>
      <c r="C726" s="1" t="n">
        <v>45845</v>
      </c>
      <c r="D726" t="inlineStr">
        <is>
          <t>UPPSALA LÄN</t>
        </is>
      </c>
      <c r="E726" t="inlineStr">
        <is>
          <t>ENKÖPING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15814-2024</t>
        </is>
      </c>
      <c r="B727" s="1" t="n">
        <v>45404</v>
      </c>
      <c r="C727" s="1" t="n">
        <v>45845</v>
      </c>
      <c r="D727" t="inlineStr">
        <is>
          <t>UPPSALA LÄN</t>
        </is>
      </c>
      <c r="E727" t="inlineStr">
        <is>
          <t>ENKÖPING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15826-2024</t>
        </is>
      </c>
      <c r="B728" s="1" t="n">
        <v>45404</v>
      </c>
      <c r="C728" s="1" t="n">
        <v>45845</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15813-2024</t>
        </is>
      </c>
      <c r="B729" s="1" t="n">
        <v>45404</v>
      </c>
      <c r="C729" s="1" t="n">
        <v>45845</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15878-2024</t>
        </is>
      </c>
      <c r="B730" s="1" t="n">
        <v>45405</v>
      </c>
      <c r="C730" s="1" t="n">
        <v>45845</v>
      </c>
      <c r="D730" t="inlineStr">
        <is>
          <t>UPPSALA LÄN</t>
        </is>
      </c>
      <c r="E730" t="inlineStr">
        <is>
          <t>ENKÖPING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15893-2024</t>
        </is>
      </c>
      <c r="B731" s="1" t="n">
        <v>45405</v>
      </c>
      <c r="C731" s="1" t="n">
        <v>45845</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19147-2024</t>
        </is>
      </c>
      <c r="B732" s="1" t="n">
        <v>45428</v>
      </c>
      <c r="C732" s="1" t="n">
        <v>45845</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19378-2024</t>
        </is>
      </c>
      <c r="B733" s="1" t="n">
        <v>45429</v>
      </c>
      <c r="C733" s="1" t="n">
        <v>45845</v>
      </c>
      <c r="D733" t="inlineStr">
        <is>
          <t>UPPSALA LÄN</t>
        </is>
      </c>
      <c r="E733" t="inlineStr">
        <is>
          <t>ENKÖPING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19376-2024</t>
        </is>
      </c>
      <c r="B734" s="1" t="n">
        <v>45429</v>
      </c>
      <c r="C734" s="1" t="n">
        <v>45845</v>
      </c>
      <c r="D734" t="inlineStr">
        <is>
          <t>UPPSALA LÄN</t>
        </is>
      </c>
      <c r="E734" t="inlineStr">
        <is>
          <t>ENKÖPING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20112-2024</t>
        </is>
      </c>
      <c r="B735" s="1" t="n">
        <v>45434</v>
      </c>
      <c r="C735" s="1" t="n">
        <v>45845</v>
      </c>
      <c r="D735" t="inlineStr">
        <is>
          <t>UPPSALA LÄN</t>
        </is>
      </c>
      <c r="E735" t="inlineStr">
        <is>
          <t>ENKÖPING</t>
        </is>
      </c>
      <c r="G735" t="n">
        <v>1.8</v>
      </c>
      <c r="H735" t="n">
        <v>0</v>
      </c>
      <c r="I735" t="n">
        <v>0</v>
      </c>
      <c r="J735" t="n">
        <v>0</v>
      </c>
      <c r="K735" t="n">
        <v>0</v>
      </c>
      <c r="L735" t="n">
        <v>0</v>
      </c>
      <c r="M735" t="n">
        <v>0</v>
      </c>
      <c r="N735" t="n">
        <v>0</v>
      </c>
      <c r="O735" t="n">
        <v>0</v>
      </c>
      <c r="P735" t="n">
        <v>0</v>
      </c>
      <c r="Q735" t="n">
        <v>0</v>
      </c>
      <c r="R735" s="2" t="inlineStr"/>
    </row>
    <row r="736" ht="15" customHeight="1">
      <c r="A736" t="inlineStr">
        <is>
          <t>A 20105-2024</t>
        </is>
      </c>
      <c r="B736" s="1" t="n">
        <v>45434</v>
      </c>
      <c r="C736" s="1" t="n">
        <v>45845</v>
      </c>
      <c r="D736" t="inlineStr">
        <is>
          <t>UPPSALA LÄN</t>
        </is>
      </c>
      <c r="E736" t="inlineStr">
        <is>
          <t>ENKÖPING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21435-2024</t>
        </is>
      </c>
      <c r="B737" s="1" t="n">
        <v>45441</v>
      </c>
      <c r="C737" s="1" t="n">
        <v>45845</v>
      </c>
      <c r="D737" t="inlineStr">
        <is>
          <t>UPPSALA LÄN</t>
        </is>
      </c>
      <c r="E737" t="inlineStr">
        <is>
          <t>ENKÖPING</t>
        </is>
      </c>
      <c r="G737" t="n">
        <v>2.6</v>
      </c>
      <c r="H737" t="n">
        <v>0</v>
      </c>
      <c r="I737" t="n">
        <v>0</v>
      </c>
      <c r="J737" t="n">
        <v>0</v>
      </c>
      <c r="K737" t="n">
        <v>0</v>
      </c>
      <c r="L737" t="n">
        <v>0</v>
      </c>
      <c r="M737" t="n">
        <v>0</v>
      </c>
      <c r="N737" t="n">
        <v>0</v>
      </c>
      <c r="O737" t="n">
        <v>0</v>
      </c>
      <c r="P737" t="n">
        <v>0</v>
      </c>
      <c r="Q737" t="n">
        <v>0</v>
      </c>
      <c r="R737" s="2" t="inlineStr"/>
    </row>
    <row r="738" ht="15" customHeight="1">
      <c r="A738" t="inlineStr">
        <is>
          <t>A 22912-2024</t>
        </is>
      </c>
      <c r="B738" s="1" t="n">
        <v>45448</v>
      </c>
      <c r="C738" s="1" t="n">
        <v>45845</v>
      </c>
      <c r="D738" t="inlineStr">
        <is>
          <t>UPPSALA LÄN</t>
        </is>
      </c>
      <c r="E738" t="inlineStr">
        <is>
          <t>ENKÖPING</t>
        </is>
      </c>
      <c r="G738" t="n">
        <v>2.8</v>
      </c>
      <c r="H738" t="n">
        <v>0</v>
      </c>
      <c r="I738" t="n">
        <v>0</v>
      </c>
      <c r="J738" t="n">
        <v>0</v>
      </c>
      <c r="K738" t="n">
        <v>0</v>
      </c>
      <c r="L738" t="n">
        <v>0</v>
      </c>
      <c r="M738" t="n">
        <v>0</v>
      </c>
      <c r="N738" t="n">
        <v>0</v>
      </c>
      <c r="O738" t="n">
        <v>0</v>
      </c>
      <c r="P738" t="n">
        <v>0</v>
      </c>
      <c r="Q738" t="n">
        <v>0</v>
      </c>
      <c r="R738" s="2" t="inlineStr"/>
    </row>
    <row r="739" ht="15" customHeight="1">
      <c r="A739" t="inlineStr">
        <is>
          <t>A 23301-2024</t>
        </is>
      </c>
      <c r="B739" s="1" t="n">
        <v>45453</v>
      </c>
      <c r="C739" s="1" t="n">
        <v>45845</v>
      </c>
      <c r="D739" t="inlineStr">
        <is>
          <t>UPPSALA LÄN</t>
        </is>
      </c>
      <c r="E739" t="inlineStr">
        <is>
          <t>ENKÖPING</t>
        </is>
      </c>
      <c r="G739" t="n">
        <v>4.3</v>
      </c>
      <c r="H739" t="n">
        <v>0</v>
      </c>
      <c r="I739" t="n">
        <v>0</v>
      </c>
      <c r="J739" t="n">
        <v>0</v>
      </c>
      <c r="K739" t="n">
        <v>0</v>
      </c>
      <c r="L739" t="n">
        <v>0</v>
      </c>
      <c r="M739" t="n">
        <v>0</v>
      </c>
      <c r="N739" t="n">
        <v>0</v>
      </c>
      <c r="O739" t="n">
        <v>0</v>
      </c>
      <c r="P739" t="n">
        <v>0</v>
      </c>
      <c r="Q739" t="n">
        <v>0</v>
      </c>
      <c r="R739" s="2" t="inlineStr"/>
    </row>
    <row r="740" ht="15" customHeight="1">
      <c r="A740" t="inlineStr">
        <is>
          <t>A 23264-2024</t>
        </is>
      </c>
      <c r="B740" s="1" t="n">
        <v>45453</v>
      </c>
      <c r="C740" s="1" t="n">
        <v>45845</v>
      </c>
      <c r="D740" t="inlineStr">
        <is>
          <t>UPPSALA LÄN</t>
        </is>
      </c>
      <c r="E740" t="inlineStr">
        <is>
          <t>ENKÖPING</t>
        </is>
      </c>
      <c r="G740" t="n">
        <v>9.4</v>
      </c>
      <c r="H740" t="n">
        <v>0</v>
      </c>
      <c r="I740" t="n">
        <v>0</v>
      </c>
      <c r="J740" t="n">
        <v>0</v>
      </c>
      <c r="K740" t="n">
        <v>0</v>
      </c>
      <c r="L740" t="n">
        <v>0</v>
      </c>
      <c r="M740" t="n">
        <v>0</v>
      </c>
      <c r="N740" t="n">
        <v>0</v>
      </c>
      <c r="O740" t="n">
        <v>0</v>
      </c>
      <c r="P740" t="n">
        <v>0</v>
      </c>
      <c r="Q740" t="n">
        <v>0</v>
      </c>
      <c r="R740" s="2" t="inlineStr"/>
    </row>
    <row r="741" ht="15" customHeight="1">
      <c r="A741" t="inlineStr">
        <is>
          <t>A 24306-2024</t>
        </is>
      </c>
      <c r="B741" s="1" t="n">
        <v>45457</v>
      </c>
      <c r="C741" s="1" t="n">
        <v>45845</v>
      </c>
      <c r="D741" t="inlineStr">
        <is>
          <t>UPPSALA LÄN</t>
        </is>
      </c>
      <c r="E741" t="inlineStr">
        <is>
          <t>ENKÖPING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24259-2024</t>
        </is>
      </c>
      <c r="B742" s="1" t="n">
        <v>45457</v>
      </c>
      <c r="C742" s="1" t="n">
        <v>45845</v>
      </c>
      <c r="D742" t="inlineStr">
        <is>
          <t>UPPSALA LÄN</t>
        </is>
      </c>
      <c r="E742" t="inlineStr">
        <is>
          <t>ENKÖPING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24291-2024</t>
        </is>
      </c>
      <c r="B743" s="1" t="n">
        <v>45457</v>
      </c>
      <c r="C743" s="1" t="n">
        <v>45845</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24411-2024</t>
        </is>
      </c>
      <c r="B744" s="1" t="n">
        <v>45457</v>
      </c>
      <c r="C744" s="1" t="n">
        <v>45845</v>
      </c>
      <c r="D744" t="inlineStr">
        <is>
          <t>UPPSALA LÄN</t>
        </is>
      </c>
      <c r="E744" t="inlineStr">
        <is>
          <t>ENKÖPING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25607-2024</t>
        </is>
      </c>
      <c r="B745" s="1" t="n">
        <v>45463</v>
      </c>
      <c r="C745" s="1" t="n">
        <v>45845</v>
      </c>
      <c r="D745" t="inlineStr">
        <is>
          <t>UPPSALA LÄN</t>
        </is>
      </c>
      <c r="E745" t="inlineStr">
        <is>
          <t>ENKÖPING</t>
        </is>
      </c>
      <c r="G745" t="n">
        <v>6.3</v>
      </c>
      <c r="H745" t="n">
        <v>0</v>
      </c>
      <c r="I745" t="n">
        <v>0</v>
      </c>
      <c r="J745" t="n">
        <v>0</v>
      </c>
      <c r="K745" t="n">
        <v>0</v>
      </c>
      <c r="L745" t="n">
        <v>0</v>
      </c>
      <c r="M745" t="n">
        <v>0</v>
      </c>
      <c r="N745" t="n">
        <v>0</v>
      </c>
      <c r="O745" t="n">
        <v>0</v>
      </c>
      <c r="P745" t="n">
        <v>0</v>
      </c>
      <c r="Q745" t="n">
        <v>0</v>
      </c>
      <c r="R745" s="2" t="inlineStr"/>
    </row>
    <row r="746" ht="15" customHeight="1">
      <c r="A746" t="inlineStr">
        <is>
          <t>A 25595-2024</t>
        </is>
      </c>
      <c r="B746" s="1" t="n">
        <v>45463</v>
      </c>
      <c r="C746" s="1" t="n">
        <v>45845</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25601-2024</t>
        </is>
      </c>
      <c r="B747" s="1" t="n">
        <v>45463</v>
      </c>
      <c r="C747" s="1" t="n">
        <v>45845</v>
      </c>
      <c r="D747" t="inlineStr">
        <is>
          <t>UPPSALA LÄN</t>
        </is>
      </c>
      <c r="E747" t="inlineStr">
        <is>
          <t>ENKÖPING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25930-2024</t>
        </is>
      </c>
      <c r="B748" s="1" t="n">
        <v>45467</v>
      </c>
      <c r="C748" s="1" t="n">
        <v>45845</v>
      </c>
      <c r="D748" t="inlineStr">
        <is>
          <t>UPPSALA LÄN</t>
        </is>
      </c>
      <c r="E748" t="inlineStr">
        <is>
          <t>ENKÖPING</t>
        </is>
      </c>
      <c r="G748" t="n">
        <v>5.7</v>
      </c>
      <c r="H748" t="n">
        <v>0</v>
      </c>
      <c r="I748" t="n">
        <v>0</v>
      </c>
      <c r="J748" t="n">
        <v>0</v>
      </c>
      <c r="K748" t="n">
        <v>0</v>
      </c>
      <c r="L748" t="n">
        <v>0</v>
      </c>
      <c r="M748" t="n">
        <v>0</v>
      </c>
      <c r="N748" t="n">
        <v>0</v>
      </c>
      <c r="O748" t="n">
        <v>0</v>
      </c>
      <c r="P748" t="n">
        <v>0</v>
      </c>
      <c r="Q748" t="n">
        <v>0</v>
      </c>
      <c r="R748" s="2" t="inlineStr"/>
    </row>
    <row r="749" ht="15" customHeight="1">
      <c r="A749" t="inlineStr">
        <is>
          <t>A 27172-2024</t>
        </is>
      </c>
      <c r="B749" s="1" t="n">
        <v>45471</v>
      </c>
      <c r="C749" s="1" t="n">
        <v>45845</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27998-2024</t>
        </is>
      </c>
      <c r="B750" s="1" t="n">
        <v>45476</v>
      </c>
      <c r="C750" s="1" t="n">
        <v>45845</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27983-2024</t>
        </is>
      </c>
      <c r="B751" s="1" t="n">
        <v>45476</v>
      </c>
      <c r="C751" s="1" t="n">
        <v>45845</v>
      </c>
      <c r="D751" t="inlineStr">
        <is>
          <t>UPPSALA LÄN</t>
        </is>
      </c>
      <c r="E751" t="inlineStr">
        <is>
          <t>ENKÖPING</t>
        </is>
      </c>
      <c r="G751" t="n">
        <v>3.2</v>
      </c>
      <c r="H751" t="n">
        <v>0</v>
      </c>
      <c r="I751" t="n">
        <v>0</v>
      </c>
      <c r="J751" t="n">
        <v>0</v>
      </c>
      <c r="K751" t="n">
        <v>0</v>
      </c>
      <c r="L751" t="n">
        <v>0</v>
      </c>
      <c r="M751" t="n">
        <v>0</v>
      </c>
      <c r="N751" t="n">
        <v>0</v>
      </c>
      <c r="O751" t="n">
        <v>0</v>
      </c>
      <c r="P751" t="n">
        <v>0</v>
      </c>
      <c r="Q751" t="n">
        <v>0</v>
      </c>
      <c r="R751" s="2" t="inlineStr"/>
    </row>
    <row r="752" ht="15" customHeight="1">
      <c r="A752" t="inlineStr">
        <is>
          <t>A 27993-2024</t>
        </is>
      </c>
      <c r="B752" s="1" t="n">
        <v>45476</v>
      </c>
      <c r="C752" s="1" t="n">
        <v>45845</v>
      </c>
      <c r="D752" t="inlineStr">
        <is>
          <t>UPPSALA LÄN</t>
        </is>
      </c>
      <c r="E752" t="inlineStr">
        <is>
          <t>ENKÖPING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28325-2024</t>
        </is>
      </c>
      <c r="B753" s="1" t="n">
        <v>45477</v>
      </c>
      <c r="C753" s="1" t="n">
        <v>45845</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28518-2024</t>
        </is>
      </c>
      <c r="B754" s="1" t="n">
        <v>45477</v>
      </c>
      <c r="C754" s="1" t="n">
        <v>45845</v>
      </c>
      <c r="D754" t="inlineStr">
        <is>
          <t>UPPSALA LÄN</t>
        </is>
      </c>
      <c r="E754" t="inlineStr">
        <is>
          <t>ENKÖPING</t>
        </is>
      </c>
      <c r="G754" t="n">
        <v>3.4</v>
      </c>
      <c r="H754" t="n">
        <v>0</v>
      </c>
      <c r="I754" t="n">
        <v>0</v>
      </c>
      <c r="J754" t="n">
        <v>0</v>
      </c>
      <c r="K754" t="n">
        <v>0</v>
      </c>
      <c r="L754" t="n">
        <v>0</v>
      </c>
      <c r="M754" t="n">
        <v>0</v>
      </c>
      <c r="N754" t="n">
        <v>0</v>
      </c>
      <c r="O754" t="n">
        <v>0</v>
      </c>
      <c r="P754" t="n">
        <v>0</v>
      </c>
      <c r="Q754" t="n">
        <v>0</v>
      </c>
      <c r="R754" s="2" t="inlineStr"/>
    </row>
    <row r="755" ht="15" customHeight="1">
      <c r="A755" t="inlineStr">
        <is>
          <t>A 28318-2024</t>
        </is>
      </c>
      <c r="B755" s="1" t="n">
        <v>45477</v>
      </c>
      <c r="C755" s="1" t="n">
        <v>45845</v>
      </c>
      <c r="D755" t="inlineStr">
        <is>
          <t>UPPSALA LÄN</t>
        </is>
      </c>
      <c r="E755" t="inlineStr">
        <is>
          <t>ENKÖPING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28515-2024</t>
        </is>
      </c>
      <c r="B756" s="1" t="n">
        <v>45477</v>
      </c>
      <c r="C756" s="1" t="n">
        <v>45845</v>
      </c>
      <c r="D756" t="inlineStr">
        <is>
          <t>UPPSALA LÄN</t>
        </is>
      </c>
      <c r="E756" t="inlineStr">
        <is>
          <t>ENKÖPING</t>
        </is>
      </c>
      <c r="G756" t="n">
        <v>5.9</v>
      </c>
      <c r="H756" t="n">
        <v>0</v>
      </c>
      <c r="I756" t="n">
        <v>0</v>
      </c>
      <c r="J756" t="n">
        <v>0</v>
      </c>
      <c r="K756" t="n">
        <v>0</v>
      </c>
      <c r="L756" t="n">
        <v>0</v>
      </c>
      <c r="M756" t="n">
        <v>0</v>
      </c>
      <c r="N756" t="n">
        <v>0</v>
      </c>
      <c r="O756" t="n">
        <v>0</v>
      </c>
      <c r="P756" t="n">
        <v>0</v>
      </c>
      <c r="Q756" t="n">
        <v>0</v>
      </c>
      <c r="R756" s="2" t="inlineStr"/>
    </row>
    <row r="757" ht="15" customHeight="1">
      <c r="A757" t="inlineStr">
        <is>
          <t>A 28848-2024</t>
        </is>
      </c>
      <c r="B757" s="1" t="n">
        <v>45478</v>
      </c>
      <c r="C757" s="1" t="n">
        <v>45845</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30092-2024</t>
        </is>
      </c>
      <c r="B758" s="1" t="n">
        <v>45489</v>
      </c>
      <c r="C758" s="1" t="n">
        <v>45845</v>
      </c>
      <c r="D758" t="inlineStr">
        <is>
          <t>UPPSALA LÄN</t>
        </is>
      </c>
      <c r="E758" t="inlineStr">
        <is>
          <t>ENKÖPING</t>
        </is>
      </c>
      <c r="G758" t="n">
        <v>2.3</v>
      </c>
      <c r="H758" t="n">
        <v>0</v>
      </c>
      <c r="I758" t="n">
        <v>0</v>
      </c>
      <c r="J758" t="n">
        <v>0</v>
      </c>
      <c r="K758" t="n">
        <v>0</v>
      </c>
      <c r="L758" t="n">
        <v>0</v>
      </c>
      <c r="M758" t="n">
        <v>0</v>
      </c>
      <c r="N758" t="n">
        <v>0</v>
      </c>
      <c r="O758" t="n">
        <v>0</v>
      </c>
      <c r="P758" t="n">
        <v>0</v>
      </c>
      <c r="Q758" t="n">
        <v>0</v>
      </c>
      <c r="R758" s="2" t="inlineStr"/>
    </row>
    <row r="759" ht="15" customHeight="1">
      <c r="A759" t="inlineStr">
        <is>
          <t>A 30109-2024</t>
        </is>
      </c>
      <c r="B759" s="1" t="n">
        <v>45489</v>
      </c>
      <c r="C759" s="1" t="n">
        <v>45845</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30098-2024</t>
        </is>
      </c>
      <c r="B760" s="1" t="n">
        <v>45489</v>
      </c>
      <c r="C760" s="1" t="n">
        <v>45845</v>
      </c>
      <c r="D760" t="inlineStr">
        <is>
          <t>UPPSALA LÄN</t>
        </is>
      </c>
      <c r="E760" t="inlineStr">
        <is>
          <t>ENKÖPING</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30087-2024</t>
        </is>
      </c>
      <c r="B761" s="1" t="n">
        <v>45489</v>
      </c>
      <c r="C761" s="1" t="n">
        <v>45845</v>
      </c>
      <c r="D761" t="inlineStr">
        <is>
          <t>UPPSALA LÄN</t>
        </is>
      </c>
      <c r="E761" t="inlineStr">
        <is>
          <t>ENKÖPING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30394-2024</t>
        </is>
      </c>
      <c r="B762" s="1" t="n">
        <v>45491</v>
      </c>
      <c r="C762" s="1" t="n">
        <v>45845</v>
      </c>
      <c r="D762" t="inlineStr">
        <is>
          <t>UPPSALA LÄN</t>
        </is>
      </c>
      <c r="E762" t="inlineStr">
        <is>
          <t>ENKÖPING</t>
        </is>
      </c>
      <c r="G762" t="n">
        <v>4.8</v>
      </c>
      <c r="H762" t="n">
        <v>0</v>
      </c>
      <c r="I762" t="n">
        <v>0</v>
      </c>
      <c r="J762" t="n">
        <v>0</v>
      </c>
      <c r="K762" t="n">
        <v>0</v>
      </c>
      <c r="L762" t="n">
        <v>0</v>
      </c>
      <c r="M762" t="n">
        <v>0</v>
      </c>
      <c r="N762" t="n">
        <v>0</v>
      </c>
      <c r="O762" t="n">
        <v>0</v>
      </c>
      <c r="P762" t="n">
        <v>0</v>
      </c>
      <c r="Q762" t="n">
        <v>0</v>
      </c>
      <c r="R762" s="2" t="inlineStr"/>
    </row>
    <row r="763" ht="15" customHeight="1">
      <c r="A763" t="inlineStr">
        <is>
          <t>A 31241-2024</t>
        </is>
      </c>
      <c r="B763" s="1" t="n">
        <v>45503</v>
      </c>
      <c r="C763" s="1" t="n">
        <v>45845</v>
      </c>
      <c r="D763" t="inlineStr">
        <is>
          <t>UPPSALA LÄN</t>
        </is>
      </c>
      <c r="E763" t="inlineStr">
        <is>
          <t>ENKÖPING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31252-2024</t>
        </is>
      </c>
      <c r="B764" s="1" t="n">
        <v>45503</v>
      </c>
      <c r="C764" s="1" t="n">
        <v>45845</v>
      </c>
      <c r="D764" t="inlineStr">
        <is>
          <t>UPPSALA LÄN</t>
        </is>
      </c>
      <c r="E764" t="inlineStr">
        <is>
          <t>ENKÖPING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31240-2024</t>
        </is>
      </c>
      <c r="B765" s="1" t="n">
        <v>45503</v>
      </c>
      <c r="C765" s="1" t="n">
        <v>45845</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31253-2024</t>
        </is>
      </c>
      <c r="B766" s="1" t="n">
        <v>45503</v>
      </c>
      <c r="C766" s="1" t="n">
        <v>45845</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32028-2024</t>
        </is>
      </c>
      <c r="B767" s="1" t="n">
        <v>45510</v>
      </c>
      <c r="C767" s="1" t="n">
        <v>45845</v>
      </c>
      <c r="D767" t="inlineStr">
        <is>
          <t>UPPSALA LÄN</t>
        </is>
      </c>
      <c r="E767" t="inlineStr">
        <is>
          <t>ENKÖPING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32083-2024</t>
        </is>
      </c>
      <c r="B768" s="1" t="n">
        <v>45511</v>
      </c>
      <c r="C768" s="1" t="n">
        <v>45845</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32086-2024</t>
        </is>
      </c>
      <c r="B769" s="1" t="n">
        <v>45511</v>
      </c>
      <c r="C769" s="1" t="n">
        <v>45845</v>
      </c>
      <c r="D769" t="inlineStr">
        <is>
          <t>UPPSALA LÄN</t>
        </is>
      </c>
      <c r="E769" t="inlineStr">
        <is>
          <t>ENKÖPING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32080-2024</t>
        </is>
      </c>
      <c r="B770" s="1" t="n">
        <v>45511</v>
      </c>
      <c r="C770" s="1" t="n">
        <v>45845</v>
      </c>
      <c r="D770" t="inlineStr">
        <is>
          <t>UPPSALA LÄN</t>
        </is>
      </c>
      <c r="E770" t="inlineStr">
        <is>
          <t>ENKÖPING</t>
        </is>
      </c>
      <c r="G770" t="n">
        <v>2.9</v>
      </c>
      <c r="H770" t="n">
        <v>0</v>
      </c>
      <c r="I770" t="n">
        <v>0</v>
      </c>
      <c r="J770" t="n">
        <v>0</v>
      </c>
      <c r="K770" t="n">
        <v>0</v>
      </c>
      <c r="L770" t="n">
        <v>0</v>
      </c>
      <c r="M770" t="n">
        <v>0</v>
      </c>
      <c r="N770" t="n">
        <v>0</v>
      </c>
      <c r="O770" t="n">
        <v>0</v>
      </c>
      <c r="P770" t="n">
        <v>0</v>
      </c>
      <c r="Q770" t="n">
        <v>0</v>
      </c>
      <c r="R770" s="2" t="inlineStr"/>
    </row>
    <row r="771" ht="15" customHeight="1">
      <c r="A771" t="inlineStr">
        <is>
          <t>A 32085-2024</t>
        </is>
      </c>
      <c r="B771" s="1" t="n">
        <v>45511</v>
      </c>
      <c r="C771" s="1" t="n">
        <v>45845</v>
      </c>
      <c r="D771" t="inlineStr">
        <is>
          <t>UPPSALA LÄN</t>
        </is>
      </c>
      <c r="E771" t="inlineStr">
        <is>
          <t>ENKÖPING</t>
        </is>
      </c>
      <c r="G771" t="n">
        <v>7.1</v>
      </c>
      <c r="H771" t="n">
        <v>0</v>
      </c>
      <c r="I771" t="n">
        <v>0</v>
      </c>
      <c r="J771" t="n">
        <v>0</v>
      </c>
      <c r="K771" t="n">
        <v>0</v>
      </c>
      <c r="L771" t="n">
        <v>0</v>
      </c>
      <c r="M771" t="n">
        <v>0</v>
      </c>
      <c r="N771" t="n">
        <v>0</v>
      </c>
      <c r="O771" t="n">
        <v>0</v>
      </c>
      <c r="P771" t="n">
        <v>0</v>
      </c>
      <c r="Q771" t="n">
        <v>0</v>
      </c>
      <c r="R771" s="2" t="inlineStr"/>
    </row>
    <row r="772" ht="15" customHeight="1">
      <c r="A772" t="inlineStr">
        <is>
          <t>A 32081-2024</t>
        </is>
      </c>
      <c r="B772" s="1" t="n">
        <v>45511</v>
      </c>
      <c r="C772" s="1" t="n">
        <v>45845</v>
      </c>
      <c r="D772" t="inlineStr">
        <is>
          <t>UPPSALA LÄN</t>
        </is>
      </c>
      <c r="E772" t="inlineStr">
        <is>
          <t>ENKÖPING</t>
        </is>
      </c>
      <c r="G772" t="n">
        <v>5.4</v>
      </c>
      <c r="H772" t="n">
        <v>0</v>
      </c>
      <c r="I772" t="n">
        <v>0</v>
      </c>
      <c r="J772" t="n">
        <v>0</v>
      </c>
      <c r="K772" t="n">
        <v>0</v>
      </c>
      <c r="L772" t="n">
        <v>0</v>
      </c>
      <c r="M772" t="n">
        <v>0</v>
      </c>
      <c r="N772" t="n">
        <v>0</v>
      </c>
      <c r="O772" t="n">
        <v>0</v>
      </c>
      <c r="P772" t="n">
        <v>0</v>
      </c>
      <c r="Q772" t="n">
        <v>0</v>
      </c>
      <c r="R772" s="2" t="inlineStr"/>
    </row>
    <row r="773" ht="15" customHeight="1">
      <c r="A773" t="inlineStr">
        <is>
          <t>A 33349-2024</t>
        </is>
      </c>
      <c r="B773" s="1" t="n">
        <v>45519</v>
      </c>
      <c r="C773" s="1" t="n">
        <v>45845</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33343-2024</t>
        </is>
      </c>
      <c r="B774" s="1" t="n">
        <v>45519</v>
      </c>
      <c r="C774" s="1" t="n">
        <v>45845</v>
      </c>
      <c r="D774" t="inlineStr">
        <is>
          <t>UPPSALA LÄN</t>
        </is>
      </c>
      <c r="E774" t="inlineStr">
        <is>
          <t>ENKÖPING</t>
        </is>
      </c>
      <c r="G774" t="n">
        <v>2</v>
      </c>
      <c r="H774" t="n">
        <v>0</v>
      </c>
      <c r="I774" t="n">
        <v>0</v>
      </c>
      <c r="J774" t="n">
        <v>0</v>
      </c>
      <c r="K774" t="n">
        <v>0</v>
      </c>
      <c r="L774" t="n">
        <v>0</v>
      </c>
      <c r="M774" t="n">
        <v>0</v>
      </c>
      <c r="N774" t="n">
        <v>0</v>
      </c>
      <c r="O774" t="n">
        <v>0</v>
      </c>
      <c r="P774" t="n">
        <v>0</v>
      </c>
      <c r="Q774" t="n">
        <v>0</v>
      </c>
      <c r="R774" s="2" t="inlineStr"/>
    </row>
    <row r="775" ht="15" customHeight="1">
      <c r="A775" t="inlineStr">
        <is>
          <t>A 33448-2024</t>
        </is>
      </c>
      <c r="B775" s="1" t="n">
        <v>45519</v>
      </c>
      <c r="C775" s="1" t="n">
        <v>45845</v>
      </c>
      <c r="D775" t="inlineStr">
        <is>
          <t>UPPSALA LÄN</t>
        </is>
      </c>
      <c r="E775" t="inlineStr">
        <is>
          <t>ENKÖPING</t>
        </is>
      </c>
      <c r="G775" t="n">
        <v>6.1</v>
      </c>
      <c r="H775" t="n">
        <v>0</v>
      </c>
      <c r="I775" t="n">
        <v>0</v>
      </c>
      <c r="J775" t="n">
        <v>0</v>
      </c>
      <c r="K775" t="n">
        <v>0</v>
      </c>
      <c r="L775" t="n">
        <v>0</v>
      </c>
      <c r="M775" t="n">
        <v>0</v>
      </c>
      <c r="N775" t="n">
        <v>0</v>
      </c>
      <c r="O775" t="n">
        <v>0</v>
      </c>
      <c r="P775" t="n">
        <v>0</v>
      </c>
      <c r="Q775" t="n">
        <v>0</v>
      </c>
      <c r="R775" s="2" t="inlineStr"/>
    </row>
    <row r="776" ht="15" customHeight="1">
      <c r="A776" t="inlineStr">
        <is>
          <t>A 33665-2024</t>
        </is>
      </c>
      <c r="B776" s="1" t="n">
        <v>45520</v>
      </c>
      <c r="C776" s="1" t="n">
        <v>45845</v>
      </c>
      <c r="D776" t="inlineStr">
        <is>
          <t>UPPSALA LÄN</t>
        </is>
      </c>
      <c r="E776" t="inlineStr">
        <is>
          <t>ENKÖPING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33669-2024</t>
        </is>
      </c>
      <c r="B777" s="1" t="n">
        <v>45520</v>
      </c>
      <c r="C777" s="1" t="n">
        <v>45845</v>
      </c>
      <c r="D777" t="inlineStr">
        <is>
          <t>UPPSALA LÄN</t>
        </is>
      </c>
      <c r="E777" t="inlineStr">
        <is>
          <t>ENKÖPING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33663-2024</t>
        </is>
      </c>
      <c r="B778" s="1" t="n">
        <v>45520</v>
      </c>
      <c r="C778" s="1" t="n">
        <v>45845</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33670-2024</t>
        </is>
      </c>
      <c r="B779" s="1" t="n">
        <v>45520</v>
      </c>
      <c r="C779" s="1" t="n">
        <v>45845</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33956-2024</t>
        </is>
      </c>
      <c r="B780" s="1" t="n">
        <v>45523</v>
      </c>
      <c r="C780" s="1" t="n">
        <v>45845</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33951-2024</t>
        </is>
      </c>
      <c r="B781" s="1" t="n">
        <v>45523</v>
      </c>
      <c r="C781" s="1" t="n">
        <v>45845</v>
      </c>
      <c r="D781" t="inlineStr">
        <is>
          <t>UPPSALA LÄN</t>
        </is>
      </c>
      <c r="E781" t="inlineStr">
        <is>
          <t>ENKÖPING</t>
        </is>
      </c>
      <c r="G781" t="n">
        <v>3.5</v>
      </c>
      <c r="H781" t="n">
        <v>0</v>
      </c>
      <c r="I781" t="n">
        <v>0</v>
      </c>
      <c r="J781" t="n">
        <v>0</v>
      </c>
      <c r="K781" t="n">
        <v>0</v>
      </c>
      <c r="L781" t="n">
        <v>0</v>
      </c>
      <c r="M781" t="n">
        <v>0</v>
      </c>
      <c r="N781" t="n">
        <v>0</v>
      </c>
      <c r="O781" t="n">
        <v>0</v>
      </c>
      <c r="P781" t="n">
        <v>0</v>
      </c>
      <c r="Q781" t="n">
        <v>0</v>
      </c>
      <c r="R781" s="2" t="inlineStr"/>
    </row>
    <row r="782" ht="15" customHeight="1">
      <c r="A782" t="inlineStr">
        <is>
          <t>A 33955-2024</t>
        </is>
      </c>
      <c r="B782" s="1" t="n">
        <v>45523</v>
      </c>
      <c r="C782" s="1" t="n">
        <v>45845</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34060-2024</t>
        </is>
      </c>
      <c r="B783" s="1" t="n">
        <v>45523</v>
      </c>
      <c r="C783" s="1" t="n">
        <v>45845</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34805-2024</t>
        </is>
      </c>
      <c r="B784" s="1" t="n">
        <v>45526</v>
      </c>
      <c r="C784" s="1" t="n">
        <v>45845</v>
      </c>
      <c r="D784" t="inlineStr">
        <is>
          <t>UPPSALA LÄN</t>
        </is>
      </c>
      <c r="E784" t="inlineStr">
        <is>
          <t>ENKÖPING</t>
        </is>
      </c>
      <c r="G784" t="n">
        <v>3.6</v>
      </c>
      <c r="H784" t="n">
        <v>0</v>
      </c>
      <c r="I784" t="n">
        <v>0</v>
      </c>
      <c r="J784" t="n">
        <v>0</v>
      </c>
      <c r="K784" t="n">
        <v>0</v>
      </c>
      <c r="L784" t="n">
        <v>0</v>
      </c>
      <c r="M784" t="n">
        <v>0</v>
      </c>
      <c r="N784" t="n">
        <v>0</v>
      </c>
      <c r="O784" t="n">
        <v>0</v>
      </c>
      <c r="P784" t="n">
        <v>0</v>
      </c>
      <c r="Q784" t="n">
        <v>0</v>
      </c>
      <c r="R784" s="2" t="inlineStr"/>
    </row>
    <row r="785" ht="15" customHeight="1">
      <c r="A785" t="inlineStr">
        <is>
          <t>A 35052-2024</t>
        </is>
      </c>
      <c r="B785" s="1" t="n">
        <v>45527</v>
      </c>
      <c r="C785" s="1" t="n">
        <v>45845</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35056-2024</t>
        </is>
      </c>
      <c r="B786" s="1" t="n">
        <v>45527</v>
      </c>
      <c r="C786" s="1" t="n">
        <v>45845</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35064-2024</t>
        </is>
      </c>
      <c r="B787" s="1" t="n">
        <v>45527</v>
      </c>
      <c r="C787" s="1" t="n">
        <v>45845</v>
      </c>
      <c r="D787" t="inlineStr">
        <is>
          <t>UPPSALA LÄN</t>
        </is>
      </c>
      <c r="E787" t="inlineStr">
        <is>
          <t>ENKÖPING</t>
        </is>
      </c>
      <c r="G787" t="n">
        <v>2.4</v>
      </c>
      <c r="H787" t="n">
        <v>0</v>
      </c>
      <c r="I787" t="n">
        <v>0</v>
      </c>
      <c r="J787" t="n">
        <v>0</v>
      </c>
      <c r="K787" t="n">
        <v>0</v>
      </c>
      <c r="L787" t="n">
        <v>0</v>
      </c>
      <c r="M787" t="n">
        <v>0</v>
      </c>
      <c r="N787" t="n">
        <v>0</v>
      </c>
      <c r="O787" t="n">
        <v>0</v>
      </c>
      <c r="P787" t="n">
        <v>0</v>
      </c>
      <c r="Q787" t="n">
        <v>0</v>
      </c>
      <c r="R787" s="2" t="inlineStr"/>
    </row>
    <row r="788" ht="15" customHeight="1">
      <c r="A788" t="inlineStr">
        <is>
          <t>A 35072-2024</t>
        </is>
      </c>
      <c r="B788" s="1" t="n">
        <v>45527</v>
      </c>
      <c r="C788" s="1" t="n">
        <v>45845</v>
      </c>
      <c r="D788" t="inlineStr">
        <is>
          <t>UPPSALA LÄN</t>
        </is>
      </c>
      <c r="E788" t="inlineStr">
        <is>
          <t>ENKÖPING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35067-2024</t>
        </is>
      </c>
      <c r="B789" s="1" t="n">
        <v>45527</v>
      </c>
      <c r="C789" s="1" t="n">
        <v>45845</v>
      </c>
      <c r="D789" t="inlineStr">
        <is>
          <t>UPPSALA LÄN</t>
        </is>
      </c>
      <c r="E789" t="inlineStr">
        <is>
          <t>ENKÖPING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35079-2024</t>
        </is>
      </c>
      <c r="B790" s="1" t="n">
        <v>45527</v>
      </c>
      <c r="C790" s="1" t="n">
        <v>45845</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35680-2024</t>
        </is>
      </c>
      <c r="B791" s="1" t="n">
        <v>45532</v>
      </c>
      <c r="C791" s="1" t="n">
        <v>45845</v>
      </c>
      <c r="D791" t="inlineStr">
        <is>
          <t>UPPSALA LÄN</t>
        </is>
      </c>
      <c r="E791" t="inlineStr">
        <is>
          <t>ENKÖPING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36007-2024</t>
        </is>
      </c>
      <c r="B792" s="1" t="n">
        <v>45533</v>
      </c>
      <c r="C792" s="1" t="n">
        <v>45845</v>
      </c>
      <c r="D792" t="inlineStr">
        <is>
          <t>UPPSALA LÄN</t>
        </is>
      </c>
      <c r="E792" t="inlineStr">
        <is>
          <t>ENKÖPING</t>
        </is>
      </c>
      <c r="G792" t="n">
        <v>3.1</v>
      </c>
      <c r="H792" t="n">
        <v>0</v>
      </c>
      <c r="I792" t="n">
        <v>0</v>
      </c>
      <c r="J792" t="n">
        <v>0</v>
      </c>
      <c r="K792" t="n">
        <v>0</v>
      </c>
      <c r="L792" t="n">
        <v>0</v>
      </c>
      <c r="M792" t="n">
        <v>0</v>
      </c>
      <c r="N792" t="n">
        <v>0</v>
      </c>
      <c r="O792" t="n">
        <v>0</v>
      </c>
      <c r="P792" t="n">
        <v>0</v>
      </c>
      <c r="Q792" t="n">
        <v>0</v>
      </c>
      <c r="R792" s="2" t="inlineStr"/>
    </row>
    <row r="793" ht="15" customHeight="1">
      <c r="A793" t="inlineStr">
        <is>
          <t>A 37115-2024</t>
        </is>
      </c>
      <c r="B793" s="1" t="n">
        <v>45539</v>
      </c>
      <c r="C793" s="1" t="n">
        <v>45845</v>
      </c>
      <c r="D793" t="inlineStr">
        <is>
          <t>UPPSALA LÄN</t>
        </is>
      </c>
      <c r="E793" t="inlineStr">
        <is>
          <t>ENKÖPING</t>
        </is>
      </c>
      <c r="G793" t="n">
        <v>1.8</v>
      </c>
      <c r="H793" t="n">
        <v>0</v>
      </c>
      <c r="I793" t="n">
        <v>0</v>
      </c>
      <c r="J793" t="n">
        <v>0</v>
      </c>
      <c r="K793" t="n">
        <v>0</v>
      </c>
      <c r="L793" t="n">
        <v>0</v>
      </c>
      <c r="M793" t="n">
        <v>0</v>
      </c>
      <c r="N793" t="n">
        <v>0</v>
      </c>
      <c r="O793" t="n">
        <v>0</v>
      </c>
      <c r="P793" t="n">
        <v>0</v>
      </c>
      <c r="Q793" t="n">
        <v>0</v>
      </c>
      <c r="R793" s="2" t="inlineStr"/>
    </row>
    <row r="794" ht="15" customHeight="1">
      <c r="A794" t="inlineStr">
        <is>
          <t>A 37465-2024</t>
        </is>
      </c>
      <c r="B794" s="1" t="n">
        <v>45540</v>
      </c>
      <c r="C794" s="1" t="n">
        <v>45845</v>
      </c>
      <c r="D794" t="inlineStr">
        <is>
          <t>UPPSALA LÄN</t>
        </is>
      </c>
      <c r="E794" t="inlineStr">
        <is>
          <t>ENKÖPING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37466-2024</t>
        </is>
      </c>
      <c r="B795" s="1" t="n">
        <v>45540</v>
      </c>
      <c r="C795" s="1" t="n">
        <v>45845</v>
      </c>
      <c r="D795" t="inlineStr">
        <is>
          <t>UPPSALA LÄN</t>
        </is>
      </c>
      <c r="E795" t="inlineStr">
        <is>
          <t>ENKÖPING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37704-2024</t>
        </is>
      </c>
      <c r="B796" s="1" t="n">
        <v>45541</v>
      </c>
      <c r="C796" s="1" t="n">
        <v>45845</v>
      </c>
      <c r="D796" t="inlineStr">
        <is>
          <t>UPPSALA LÄN</t>
        </is>
      </c>
      <c r="E796" t="inlineStr">
        <is>
          <t>ENKÖPING</t>
        </is>
      </c>
      <c r="G796" t="n">
        <v>4.7</v>
      </c>
      <c r="H796" t="n">
        <v>0</v>
      </c>
      <c r="I796" t="n">
        <v>0</v>
      </c>
      <c r="J796" t="n">
        <v>0</v>
      </c>
      <c r="K796" t="n">
        <v>0</v>
      </c>
      <c r="L796" t="n">
        <v>0</v>
      </c>
      <c r="M796" t="n">
        <v>0</v>
      </c>
      <c r="N796" t="n">
        <v>0</v>
      </c>
      <c r="O796" t="n">
        <v>0</v>
      </c>
      <c r="P796" t="n">
        <v>0</v>
      </c>
      <c r="Q796" t="n">
        <v>0</v>
      </c>
      <c r="R796" s="2" t="inlineStr"/>
    </row>
    <row r="797" ht="15" customHeight="1">
      <c r="A797" t="inlineStr">
        <is>
          <t>A 39009-2024</t>
        </is>
      </c>
      <c r="B797" s="1" t="n">
        <v>45548</v>
      </c>
      <c r="C797" s="1" t="n">
        <v>45845</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39115-2024</t>
        </is>
      </c>
      <c r="B798" s="1" t="n">
        <v>45548</v>
      </c>
      <c r="C798" s="1" t="n">
        <v>45845</v>
      </c>
      <c r="D798" t="inlineStr">
        <is>
          <t>UPPSALA LÄN</t>
        </is>
      </c>
      <c r="E798" t="inlineStr">
        <is>
          <t>ENKÖPING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39858-2024</t>
        </is>
      </c>
      <c r="B799" s="1" t="n">
        <v>45553</v>
      </c>
      <c r="C799" s="1" t="n">
        <v>45845</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40217-2024</t>
        </is>
      </c>
      <c r="B800" s="1" t="n">
        <v>45554</v>
      </c>
      <c r="C800" s="1" t="n">
        <v>45845</v>
      </c>
      <c r="D800" t="inlineStr">
        <is>
          <t>UPPSALA LÄN</t>
        </is>
      </c>
      <c r="E800" t="inlineStr">
        <is>
          <t>ENKÖPING</t>
        </is>
      </c>
      <c r="G800" t="n">
        <v>4</v>
      </c>
      <c r="H800" t="n">
        <v>0</v>
      </c>
      <c r="I800" t="n">
        <v>0</v>
      </c>
      <c r="J800" t="n">
        <v>0</v>
      </c>
      <c r="K800" t="n">
        <v>0</v>
      </c>
      <c r="L800" t="n">
        <v>0</v>
      </c>
      <c r="M800" t="n">
        <v>0</v>
      </c>
      <c r="N800" t="n">
        <v>0</v>
      </c>
      <c r="O800" t="n">
        <v>0</v>
      </c>
      <c r="P800" t="n">
        <v>0</v>
      </c>
      <c r="Q800" t="n">
        <v>0</v>
      </c>
      <c r="R800" s="2" t="inlineStr"/>
    </row>
    <row r="801" ht="15" customHeight="1">
      <c r="A801" t="inlineStr">
        <is>
          <t>A 40223-2024</t>
        </is>
      </c>
      <c r="B801" s="1" t="n">
        <v>45554</v>
      </c>
      <c r="C801" s="1" t="n">
        <v>45845</v>
      </c>
      <c r="D801" t="inlineStr">
        <is>
          <t>UPPSALA LÄN</t>
        </is>
      </c>
      <c r="E801" t="inlineStr">
        <is>
          <t>ENKÖPING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40202-2024</t>
        </is>
      </c>
      <c r="B802" s="1" t="n">
        <v>45554</v>
      </c>
      <c r="C802" s="1" t="n">
        <v>45845</v>
      </c>
      <c r="D802" t="inlineStr">
        <is>
          <t>UPPSALA LÄN</t>
        </is>
      </c>
      <c r="E802" t="inlineStr">
        <is>
          <t>ENKÖPING</t>
        </is>
      </c>
      <c r="G802" t="n">
        <v>6.2</v>
      </c>
      <c r="H802" t="n">
        <v>0</v>
      </c>
      <c r="I802" t="n">
        <v>0</v>
      </c>
      <c r="J802" t="n">
        <v>0</v>
      </c>
      <c r="K802" t="n">
        <v>0</v>
      </c>
      <c r="L802" t="n">
        <v>0</v>
      </c>
      <c r="M802" t="n">
        <v>0</v>
      </c>
      <c r="N802" t="n">
        <v>0</v>
      </c>
      <c r="O802" t="n">
        <v>0</v>
      </c>
      <c r="P802" t="n">
        <v>0</v>
      </c>
      <c r="Q802" t="n">
        <v>0</v>
      </c>
      <c r="R802" s="2" t="inlineStr"/>
    </row>
    <row r="803" ht="15" customHeight="1">
      <c r="A803" t="inlineStr">
        <is>
          <t>A 41828-2024</t>
        </is>
      </c>
      <c r="B803" s="1" t="n">
        <v>45561</v>
      </c>
      <c r="C803" s="1" t="n">
        <v>45845</v>
      </c>
      <c r="D803" t="inlineStr">
        <is>
          <t>UPPSALA LÄN</t>
        </is>
      </c>
      <c r="E803" t="inlineStr">
        <is>
          <t>ENKÖPING</t>
        </is>
      </c>
      <c r="G803" t="n">
        <v>2.5</v>
      </c>
      <c r="H803" t="n">
        <v>0</v>
      </c>
      <c r="I803" t="n">
        <v>0</v>
      </c>
      <c r="J803" t="n">
        <v>0</v>
      </c>
      <c r="K803" t="n">
        <v>0</v>
      </c>
      <c r="L803" t="n">
        <v>0</v>
      </c>
      <c r="M803" t="n">
        <v>0</v>
      </c>
      <c r="N803" t="n">
        <v>0</v>
      </c>
      <c r="O803" t="n">
        <v>0</v>
      </c>
      <c r="P803" t="n">
        <v>0</v>
      </c>
      <c r="Q803" t="n">
        <v>0</v>
      </c>
      <c r="R803" s="2" t="inlineStr"/>
    </row>
    <row r="804" ht="15" customHeight="1">
      <c r="A804" t="inlineStr">
        <is>
          <t>A 41856-2024</t>
        </is>
      </c>
      <c r="B804" s="1" t="n">
        <v>45561</v>
      </c>
      <c r="C804" s="1" t="n">
        <v>45845</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41826-2024</t>
        </is>
      </c>
      <c r="B805" s="1" t="n">
        <v>45561</v>
      </c>
      <c r="C805" s="1" t="n">
        <v>45845</v>
      </c>
      <c r="D805" t="inlineStr">
        <is>
          <t>UPPSALA LÄN</t>
        </is>
      </c>
      <c r="E805" t="inlineStr">
        <is>
          <t>ENKÖPING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41850-2024</t>
        </is>
      </c>
      <c r="B806" s="1" t="n">
        <v>45561</v>
      </c>
      <c r="C806" s="1" t="n">
        <v>45845</v>
      </c>
      <c r="D806" t="inlineStr">
        <is>
          <t>UPPSALA LÄN</t>
        </is>
      </c>
      <c r="E806" t="inlineStr">
        <is>
          <t>ENKÖPING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42564-2024</t>
        </is>
      </c>
      <c r="B807" s="1" t="n">
        <v>45565</v>
      </c>
      <c r="C807" s="1" t="n">
        <v>45845</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42459-2024</t>
        </is>
      </c>
      <c r="B808" s="1" t="n">
        <v>45565</v>
      </c>
      <c r="C808" s="1" t="n">
        <v>45845</v>
      </c>
      <c r="D808" t="inlineStr">
        <is>
          <t>UPPSALA LÄN</t>
        </is>
      </c>
      <c r="E808" t="inlineStr">
        <is>
          <t>ENKÖPING</t>
        </is>
      </c>
      <c r="G808" t="n">
        <v>3.6</v>
      </c>
      <c r="H808" t="n">
        <v>0</v>
      </c>
      <c r="I808" t="n">
        <v>0</v>
      </c>
      <c r="J808" t="n">
        <v>0</v>
      </c>
      <c r="K808" t="n">
        <v>0</v>
      </c>
      <c r="L808" t="n">
        <v>0</v>
      </c>
      <c r="M808" t="n">
        <v>0</v>
      </c>
      <c r="N808" t="n">
        <v>0</v>
      </c>
      <c r="O808" t="n">
        <v>0</v>
      </c>
      <c r="P808" t="n">
        <v>0</v>
      </c>
      <c r="Q808" t="n">
        <v>0</v>
      </c>
      <c r="R808" s="2" t="inlineStr"/>
    </row>
    <row r="809" ht="15" customHeight="1">
      <c r="A809" t="inlineStr">
        <is>
          <t>A 43205-2024</t>
        </is>
      </c>
      <c r="B809" s="1" t="n">
        <v>45567</v>
      </c>
      <c r="C809" s="1" t="n">
        <v>45845</v>
      </c>
      <c r="D809" t="inlineStr">
        <is>
          <t>UPPSALA LÄN</t>
        </is>
      </c>
      <c r="E809" t="inlineStr">
        <is>
          <t>ENKÖPING</t>
        </is>
      </c>
      <c r="G809" t="n">
        <v>4.8</v>
      </c>
      <c r="H809" t="n">
        <v>0</v>
      </c>
      <c r="I809" t="n">
        <v>0</v>
      </c>
      <c r="J809" t="n">
        <v>0</v>
      </c>
      <c r="K809" t="n">
        <v>0</v>
      </c>
      <c r="L809" t="n">
        <v>0</v>
      </c>
      <c r="M809" t="n">
        <v>0</v>
      </c>
      <c r="N809" t="n">
        <v>0</v>
      </c>
      <c r="O809" t="n">
        <v>0</v>
      </c>
      <c r="P809" t="n">
        <v>0</v>
      </c>
      <c r="Q809" t="n">
        <v>0</v>
      </c>
      <c r="R809" s="2" t="inlineStr"/>
    </row>
    <row r="810" ht="15" customHeight="1">
      <c r="A810" t="inlineStr">
        <is>
          <t>A 43697-2024</t>
        </is>
      </c>
      <c r="B810" s="1" t="n">
        <v>45569</v>
      </c>
      <c r="C810" s="1" t="n">
        <v>45845</v>
      </c>
      <c r="D810" t="inlineStr">
        <is>
          <t>UPPSALA LÄN</t>
        </is>
      </c>
      <c r="E810" t="inlineStr">
        <is>
          <t>ENKÖPING</t>
        </is>
      </c>
      <c r="G810" t="n">
        <v>2.1</v>
      </c>
      <c r="H810" t="n">
        <v>0</v>
      </c>
      <c r="I810" t="n">
        <v>0</v>
      </c>
      <c r="J810" t="n">
        <v>0</v>
      </c>
      <c r="K810" t="n">
        <v>0</v>
      </c>
      <c r="L810" t="n">
        <v>0</v>
      </c>
      <c r="M810" t="n">
        <v>0</v>
      </c>
      <c r="N810" t="n">
        <v>0</v>
      </c>
      <c r="O810" t="n">
        <v>0</v>
      </c>
      <c r="P810" t="n">
        <v>0</v>
      </c>
      <c r="Q810" t="n">
        <v>0</v>
      </c>
      <c r="R810" s="2" t="inlineStr"/>
    </row>
    <row r="811" ht="15" customHeight="1">
      <c r="A811" t="inlineStr">
        <is>
          <t>A 43691-2024</t>
        </is>
      </c>
      <c r="B811" s="1" t="n">
        <v>45569</v>
      </c>
      <c r="C811" s="1" t="n">
        <v>45845</v>
      </c>
      <c r="D811" t="inlineStr">
        <is>
          <t>UPPSALA LÄN</t>
        </is>
      </c>
      <c r="E811" t="inlineStr">
        <is>
          <t>ENKÖPING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44024-2024</t>
        </is>
      </c>
      <c r="B812" s="1" t="n">
        <v>45572</v>
      </c>
      <c r="C812" s="1" t="n">
        <v>45845</v>
      </c>
      <c r="D812" t="inlineStr">
        <is>
          <t>UPPSALA LÄN</t>
        </is>
      </c>
      <c r="E812" t="inlineStr">
        <is>
          <t>ENKÖPING</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44074-2024</t>
        </is>
      </c>
      <c r="B813" s="1" t="n">
        <v>45572</v>
      </c>
      <c r="C813" s="1" t="n">
        <v>45845</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44115-2024</t>
        </is>
      </c>
      <c r="B814" s="1" t="n">
        <v>45572</v>
      </c>
      <c r="C814" s="1" t="n">
        <v>45845</v>
      </c>
      <c r="D814" t="inlineStr">
        <is>
          <t>UPPSALA LÄN</t>
        </is>
      </c>
      <c r="E814" t="inlineStr">
        <is>
          <t>ENKÖPING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44055-2024</t>
        </is>
      </c>
      <c r="B815" s="1" t="n">
        <v>45572</v>
      </c>
      <c r="C815" s="1" t="n">
        <v>45845</v>
      </c>
      <c r="D815" t="inlineStr">
        <is>
          <t>UPPSALA LÄN</t>
        </is>
      </c>
      <c r="E815" t="inlineStr">
        <is>
          <t>ENKÖPING</t>
        </is>
      </c>
      <c r="G815" t="n">
        <v>2.6</v>
      </c>
      <c r="H815" t="n">
        <v>0</v>
      </c>
      <c r="I815" t="n">
        <v>0</v>
      </c>
      <c r="J815" t="n">
        <v>0</v>
      </c>
      <c r="K815" t="n">
        <v>0</v>
      </c>
      <c r="L815" t="n">
        <v>0</v>
      </c>
      <c r="M815" t="n">
        <v>0</v>
      </c>
      <c r="N815" t="n">
        <v>0</v>
      </c>
      <c r="O815" t="n">
        <v>0</v>
      </c>
      <c r="P815" t="n">
        <v>0</v>
      </c>
      <c r="Q815" t="n">
        <v>0</v>
      </c>
      <c r="R815" s="2" t="inlineStr"/>
    </row>
    <row r="816" ht="15" customHeight="1">
      <c r="A816" t="inlineStr">
        <is>
          <t>A 44067-2024</t>
        </is>
      </c>
      <c r="B816" s="1" t="n">
        <v>45572</v>
      </c>
      <c r="C816" s="1" t="n">
        <v>45845</v>
      </c>
      <c r="D816" t="inlineStr">
        <is>
          <t>UPPSALA LÄN</t>
        </is>
      </c>
      <c r="E816" t="inlineStr">
        <is>
          <t>ENKÖPING</t>
        </is>
      </c>
      <c r="G816" t="n">
        <v>2.9</v>
      </c>
      <c r="H816" t="n">
        <v>0</v>
      </c>
      <c r="I816" t="n">
        <v>0</v>
      </c>
      <c r="J816" t="n">
        <v>0</v>
      </c>
      <c r="K816" t="n">
        <v>0</v>
      </c>
      <c r="L816" t="n">
        <v>0</v>
      </c>
      <c r="M816" t="n">
        <v>0</v>
      </c>
      <c r="N816" t="n">
        <v>0</v>
      </c>
      <c r="O816" t="n">
        <v>0</v>
      </c>
      <c r="P816" t="n">
        <v>0</v>
      </c>
      <c r="Q816" t="n">
        <v>0</v>
      </c>
      <c r="R816" s="2" t="inlineStr"/>
    </row>
    <row r="817" ht="15" customHeight="1">
      <c r="A817" t="inlineStr">
        <is>
          <t>A 44084-2024</t>
        </is>
      </c>
      <c r="B817" s="1" t="n">
        <v>45572</v>
      </c>
      <c r="C817" s="1" t="n">
        <v>45845</v>
      </c>
      <c r="D817" t="inlineStr">
        <is>
          <t>UPPSALA LÄN</t>
        </is>
      </c>
      <c r="E817" t="inlineStr">
        <is>
          <t>ENKÖPING</t>
        </is>
      </c>
      <c r="G817" t="n">
        <v>1.2</v>
      </c>
      <c r="H817" t="n">
        <v>0</v>
      </c>
      <c r="I817" t="n">
        <v>0</v>
      </c>
      <c r="J817" t="n">
        <v>0</v>
      </c>
      <c r="K817" t="n">
        <v>0</v>
      </c>
      <c r="L817" t="n">
        <v>0</v>
      </c>
      <c r="M817" t="n">
        <v>0</v>
      </c>
      <c r="N817" t="n">
        <v>0</v>
      </c>
      <c r="O817" t="n">
        <v>0</v>
      </c>
      <c r="P817" t="n">
        <v>0</v>
      </c>
      <c r="Q817" t="n">
        <v>0</v>
      </c>
      <c r="R817" s="2" t="inlineStr"/>
    </row>
    <row r="818" ht="15" customHeight="1">
      <c r="A818" t="inlineStr">
        <is>
          <t>A 45155-2024</t>
        </is>
      </c>
      <c r="B818" s="1" t="n">
        <v>45575</v>
      </c>
      <c r="C818" s="1" t="n">
        <v>45845</v>
      </c>
      <c r="D818" t="inlineStr">
        <is>
          <t>UPPSALA LÄN</t>
        </is>
      </c>
      <c r="E818" t="inlineStr">
        <is>
          <t>ENKÖPING</t>
        </is>
      </c>
      <c r="G818" t="n">
        <v>3.9</v>
      </c>
      <c r="H818" t="n">
        <v>0</v>
      </c>
      <c r="I818" t="n">
        <v>0</v>
      </c>
      <c r="J818" t="n">
        <v>0</v>
      </c>
      <c r="K818" t="n">
        <v>0</v>
      </c>
      <c r="L818" t="n">
        <v>0</v>
      </c>
      <c r="M818" t="n">
        <v>0</v>
      </c>
      <c r="N818" t="n">
        <v>0</v>
      </c>
      <c r="O818" t="n">
        <v>0</v>
      </c>
      <c r="P818" t="n">
        <v>0</v>
      </c>
      <c r="Q818" t="n">
        <v>0</v>
      </c>
      <c r="R818" s="2" t="inlineStr"/>
    </row>
    <row r="819" ht="15" customHeight="1">
      <c r="A819" t="inlineStr">
        <is>
          <t>A 45064-2024</t>
        </is>
      </c>
      <c r="B819" s="1" t="n">
        <v>45575</v>
      </c>
      <c r="C819" s="1" t="n">
        <v>45845</v>
      </c>
      <c r="D819" t="inlineStr">
        <is>
          <t>UPPSALA LÄN</t>
        </is>
      </c>
      <c r="E819" t="inlineStr">
        <is>
          <t>ENKÖPING</t>
        </is>
      </c>
      <c r="G819" t="n">
        <v>1.7</v>
      </c>
      <c r="H819" t="n">
        <v>0</v>
      </c>
      <c r="I819" t="n">
        <v>0</v>
      </c>
      <c r="J819" t="n">
        <v>0</v>
      </c>
      <c r="K819" t="n">
        <v>0</v>
      </c>
      <c r="L819" t="n">
        <v>0</v>
      </c>
      <c r="M819" t="n">
        <v>0</v>
      </c>
      <c r="N819" t="n">
        <v>0</v>
      </c>
      <c r="O819" t="n">
        <v>0</v>
      </c>
      <c r="P819" t="n">
        <v>0</v>
      </c>
      <c r="Q819" t="n">
        <v>0</v>
      </c>
      <c r="R819" s="2" t="inlineStr"/>
    </row>
    <row r="820" ht="15" customHeight="1">
      <c r="A820" t="inlineStr">
        <is>
          <t>A 45615-2024</t>
        </is>
      </c>
      <c r="B820" s="1" t="n">
        <v>45579</v>
      </c>
      <c r="C820" s="1" t="n">
        <v>45845</v>
      </c>
      <c r="D820" t="inlineStr">
        <is>
          <t>UPPSALA LÄN</t>
        </is>
      </c>
      <c r="E820" t="inlineStr">
        <is>
          <t>ENKÖPING</t>
        </is>
      </c>
      <c r="G820" t="n">
        <v>3.2</v>
      </c>
      <c r="H820" t="n">
        <v>0</v>
      </c>
      <c r="I820" t="n">
        <v>0</v>
      </c>
      <c r="J820" t="n">
        <v>0</v>
      </c>
      <c r="K820" t="n">
        <v>0</v>
      </c>
      <c r="L820" t="n">
        <v>0</v>
      </c>
      <c r="M820" t="n">
        <v>0</v>
      </c>
      <c r="N820" t="n">
        <v>0</v>
      </c>
      <c r="O820" t="n">
        <v>0</v>
      </c>
      <c r="P820" t="n">
        <v>0</v>
      </c>
      <c r="Q820" t="n">
        <v>0</v>
      </c>
      <c r="R820" s="2" t="inlineStr"/>
    </row>
    <row r="821" ht="15" customHeight="1">
      <c r="A821" t="inlineStr">
        <is>
          <t>A 45996-2024</t>
        </is>
      </c>
      <c r="B821" s="1" t="n">
        <v>45580</v>
      </c>
      <c r="C821" s="1" t="n">
        <v>45845</v>
      </c>
      <c r="D821" t="inlineStr">
        <is>
          <t>UPPSALA LÄN</t>
        </is>
      </c>
      <c r="E821" t="inlineStr">
        <is>
          <t>ENKÖPING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45956-2024</t>
        </is>
      </c>
      <c r="B822" s="1" t="n">
        <v>45580</v>
      </c>
      <c r="C822" s="1" t="n">
        <v>45845</v>
      </c>
      <c r="D822" t="inlineStr">
        <is>
          <t>UPPSALA LÄN</t>
        </is>
      </c>
      <c r="E822" t="inlineStr">
        <is>
          <t>ENKÖPING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47101-2024</t>
        </is>
      </c>
      <c r="B823" s="1" t="n">
        <v>45586</v>
      </c>
      <c r="C823" s="1" t="n">
        <v>45845</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47681-2024</t>
        </is>
      </c>
      <c r="B824" s="1" t="n">
        <v>45588</v>
      </c>
      <c r="C824" s="1" t="n">
        <v>45845</v>
      </c>
      <c r="D824" t="inlineStr">
        <is>
          <t>UPPSALA LÄN</t>
        </is>
      </c>
      <c r="E824" t="inlineStr">
        <is>
          <t>ENKÖPING</t>
        </is>
      </c>
      <c r="G824" t="n">
        <v>4.2</v>
      </c>
      <c r="H824" t="n">
        <v>0</v>
      </c>
      <c r="I824" t="n">
        <v>0</v>
      </c>
      <c r="J824" t="n">
        <v>0</v>
      </c>
      <c r="K824" t="n">
        <v>0</v>
      </c>
      <c r="L824" t="n">
        <v>0</v>
      </c>
      <c r="M824" t="n">
        <v>0</v>
      </c>
      <c r="N824" t="n">
        <v>0</v>
      </c>
      <c r="O824" t="n">
        <v>0</v>
      </c>
      <c r="P824" t="n">
        <v>0</v>
      </c>
      <c r="Q824" t="n">
        <v>0</v>
      </c>
      <c r="R824" s="2" t="inlineStr"/>
    </row>
    <row r="825" ht="15" customHeight="1">
      <c r="A825" t="inlineStr">
        <is>
          <t>A 48060-2024</t>
        </is>
      </c>
      <c r="B825" s="1" t="n">
        <v>45589</v>
      </c>
      <c r="C825" s="1" t="n">
        <v>45845</v>
      </c>
      <c r="D825" t="inlineStr">
        <is>
          <t>UPPSALA LÄN</t>
        </is>
      </c>
      <c r="E825" t="inlineStr">
        <is>
          <t>ENKÖPING</t>
        </is>
      </c>
      <c r="G825" t="n">
        <v>1.7</v>
      </c>
      <c r="H825" t="n">
        <v>0</v>
      </c>
      <c r="I825" t="n">
        <v>0</v>
      </c>
      <c r="J825" t="n">
        <v>0</v>
      </c>
      <c r="K825" t="n">
        <v>0</v>
      </c>
      <c r="L825" t="n">
        <v>0</v>
      </c>
      <c r="M825" t="n">
        <v>0</v>
      </c>
      <c r="N825" t="n">
        <v>0</v>
      </c>
      <c r="O825" t="n">
        <v>0</v>
      </c>
      <c r="P825" t="n">
        <v>0</v>
      </c>
      <c r="Q825" t="n">
        <v>0</v>
      </c>
      <c r="R825" s="2" t="inlineStr"/>
    </row>
    <row r="826" ht="15" customHeight="1">
      <c r="A826" t="inlineStr">
        <is>
          <t>A 47909-2024</t>
        </is>
      </c>
      <c r="B826" s="1" t="n">
        <v>45589</v>
      </c>
      <c r="C826" s="1" t="n">
        <v>45845</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48450-2024</t>
        </is>
      </c>
      <c r="B827" s="1" t="n">
        <v>45590</v>
      </c>
      <c r="C827" s="1" t="n">
        <v>45845</v>
      </c>
      <c r="D827" t="inlineStr">
        <is>
          <t>UPPSALA LÄN</t>
        </is>
      </c>
      <c r="E827" t="inlineStr">
        <is>
          <t>ENKÖPING</t>
        </is>
      </c>
      <c r="F827" t="inlineStr">
        <is>
          <t>Allmännings- och besparingsskogar</t>
        </is>
      </c>
      <c r="G827" t="n">
        <v>7.8</v>
      </c>
      <c r="H827" t="n">
        <v>0</v>
      </c>
      <c r="I827" t="n">
        <v>0</v>
      </c>
      <c r="J827" t="n">
        <v>0</v>
      </c>
      <c r="K827" t="n">
        <v>0</v>
      </c>
      <c r="L827" t="n">
        <v>0</v>
      </c>
      <c r="M827" t="n">
        <v>0</v>
      </c>
      <c r="N827" t="n">
        <v>0</v>
      </c>
      <c r="O827" t="n">
        <v>0</v>
      </c>
      <c r="P827" t="n">
        <v>0</v>
      </c>
      <c r="Q827" t="n">
        <v>0</v>
      </c>
      <c r="R827" s="2" t="inlineStr"/>
    </row>
    <row r="828" ht="15" customHeight="1">
      <c r="A828" t="inlineStr">
        <is>
          <t>A 48447-2024</t>
        </is>
      </c>
      <c r="B828" s="1" t="n">
        <v>45590</v>
      </c>
      <c r="C828" s="1" t="n">
        <v>45845</v>
      </c>
      <c r="D828" t="inlineStr">
        <is>
          <t>UPPSALA LÄN</t>
        </is>
      </c>
      <c r="E828" t="inlineStr">
        <is>
          <t>ENKÖPING</t>
        </is>
      </c>
      <c r="F828" t="inlineStr">
        <is>
          <t>Allmännings- och besparingsskogar</t>
        </is>
      </c>
      <c r="G828" t="n">
        <v>3.7</v>
      </c>
      <c r="H828" t="n">
        <v>0</v>
      </c>
      <c r="I828" t="n">
        <v>0</v>
      </c>
      <c r="J828" t="n">
        <v>0</v>
      </c>
      <c r="K828" t="n">
        <v>0</v>
      </c>
      <c r="L828" t="n">
        <v>0</v>
      </c>
      <c r="M828" t="n">
        <v>0</v>
      </c>
      <c r="N828" t="n">
        <v>0</v>
      </c>
      <c r="O828" t="n">
        <v>0</v>
      </c>
      <c r="P828" t="n">
        <v>0</v>
      </c>
      <c r="Q828" t="n">
        <v>0</v>
      </c>
      <c r="R828" s="2" t="inlineStr"/>
    </row>
    <row r="829" ht="15" customHeight="1">
      <c r="A829" t="inlineStr">
        <is>
          <t>A 49063-2024</t>
        </is>
      </c>
      <c r="B829" s="1" t="n">
        <v>45594</v>
      </c>
      <c r="C829" s="1" t="n">
        <v>45845</v>
      </c>
      <c r="D829" t="inlineStr">
        <is>
          <t>UPPSALA LÄN</t>
        </is>
      </c>
      <c r="E829" t="inlineStr">
        <is>
          <t>ENKÖPING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49340-2024</t>
        </is>
      </c>
      <c r="B830" s="1" t="n">
        <v>45595</v>
      </c>
      <c r="C830" s="1" t="n">
        <v>45845</v>
      </c>
      <c r="D830" t="inlineStr">
        <is>
          <t>UPPSALA LÄN</t>
        </is>
      </c>
      <c r="E830" t="inlineStr">
        <is>
          <t>ENKÖPING</t>
        </is>
      </c>
      <c r="G830" t="n">
        <v>2.8</v>
      </c>
      <c r="H830" t="n">
        <v>0</v>
      </c>
      <c r="I830" t="n">
        <v>0</v>
      </c>
      <c r="J830" t="n">
        <v>0</v>
      </c>
      <c r="K830" t="n">
        <v>0</v>
      </c>
      <c r="L830" t="n">
        <v>0</v>
      </c>
      <c r="M830" t="n">
        <v>0</v>
      </c>
      <c r="N830" t="n">
        <v>0</v>
      </c>
      <c r="O830" t="n">
        <v>0</v>
      </c>
      <c r="P830" t="n">
        <v>0</v>
      </c>
      <c r="Q830" t="n">
        <v>0</v>
      </c>
      <c r="R830" s="2" t="inlineStr"/>
    </row>
    <row r="831" ht="15" customHeight="1">
      <c r="A831" t="inlineStr">
        <is>
          <t>A 49601-2024</t>
        </is>
      </c>
      <c r="B831" s="1" t="n">
        <v>45596</v>
      </c>
      <c r="C831" s="1" t="n">
        <v>45845</v>
      </c>
      <c r="D831" t="inlineStr">
        <is>
          <t>UPPSALA LÄN</t>
        </is>
      </c>
      <c r="E831" t="inlineStr">
        <is>
          <t>ENKÖPING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49614-2024</t>
        </is>
      </c>
      <c r="B832" s="1" t="n">
        <v>45596</v>
      </c>
      <c r="C832" s="1" t="n">
        <v>45845</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49623-2024</t>
        </is>
      </c>
      <c r="B833" s="1" t="n">
        <v>45596</v>
      </c>
      <c r="C833" s="1" t="n">
        <v>45845</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49627-2024</t>
        </is>
      </c>
      <c r="B834" s="1" t="n">
        <v>45596</v>
      </c>
      <c r="C834" s="1" t="n">
        <v>45845</v>
      </c>
      <c r="D834" t="inlineStr">
        <is>
          <t>UPPSALA LÄN</t>
        </is>
      </c>
      <c r="E834" t="inlineStr">
        <is>
          <t>ENKÖPING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49632-2024</t>
        </is>
      </c>
      <c r="B835" s="1" t="n">
        <v>45596</v>
      </c>
      <c r="C835" s="1" t="n">
        <v>45845</v>
      </c>
      <c r="D835" t="inlineStr">
        <is>
          <t>UPPSALA LÄN</t>
        </is>
      </c>
      <c r="E835" t="inlineStr">
        <is>
          <t>ENKÖPING</t>
        </is>
      </c>
      <c r="G835" t="n">
        <v>1.8</v>
      </c>
      <c r="H835" t="n">
        <v>0</v>
      </c>
      <c r="I835" t="n">
        <v>0</v>
      </c>
      <c r="J835" t="n">
        <v>0</v>
      </c>
      <c r="K835" t="n">
        <v>0</v>
      </c>
      <c r="L835" t="n">
        <v>0</v>
      </c>
      <c r="M835" t="n">
        <v>0</v>
      </c>
      <c r="N835" t="n">
        <v>0</v>
      </c>
      <c r="O835" t="n">
        <v>0</v>
      </c>
      <c r="P835" t="n">
        <v>0</v>
      </c>
      <c r="Q835" t="n">
        <v>0</v>
      </c>
      <c r="R835" s="2" t="inlineStr"/>
    </row>
    <row r="836" ht="15" customHeight="1">
      <c r="A836" t="inlineStr">
        <is>
          <t>A 49597-2024</t>
        </is>
      </c>
      <c r="B836" s="1" t="n">
        <v>45596</v>
      </c>
      <c r="C836" s="1" t="n">
        <v>45845</v>
      </c>
      <c r="D836" t="inlineStr">
        <is>
          <t>UPPSALA LÄN</t>
        </is>
      </c>
      <c r="E836" t="inlineStr">
        <is>
          <t>ENKÖPING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49613-2024</t>
        </is>
      </c>
      <c r="B837" s="1" t="n">
        <v>45596</v>
      </c>
      <c r="C837" s="1" t="n">
        <v>45845</v>
      </c>
      <c r="D837" t="inlineStr">
        <is>
          <t>UPPSALA LÄN</t>
        </is>
      </c>
      <c r="E837" t="inlineStr">
        <is>
          <t>ENKÖPING</t>
        </is>
      </c>
      <c r="G837" t="n">
        <v>2.5</v>
      </c>
      <c r="H837" t="n">
        <v>0</v>
      </c>
      <c r="I837" t="n">
        <v>0</v>
      </c>
      <c r="J837" t="n">
        <v>0</v>
      </c>
      <c r="K837" t="n">
        <v>0</v>
      </c>
      <c r="L837" t="n">
        <v>0</v>
      </c>
      <c r="M837" t="n">
        <v>0</v>
      </c>
      <c r="N837" t="n">
        <v>0</v>
      </c>
      <c r="O837" t="n">
        <v>0</v>
      </c>
      <c r="P837" t="n">
        <v>0</v>
      </c>
      <c r="Q837" t="n">
        <v>0</v>
      </c>
      <c r="R837" s="2" t="inlineStr"/>
    </row>
    <row r="838" ht="15" customHeight="1">
      <c r="A838" t="inlineStr">
        <is>
          <t>A 49622-2024</t>
        </is>
      </c>
      <c r="B838" s="1" t="n">
        <v>45596</v>
      </c>
      <c r="C838" s="1" t="n">
        <v>45845</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49617-2024</t>
        </is>
      </c>
      <c r="B839" s="1" t="n">
        <v>45596</v>
      </c>
      <c r="C839" s="1" t="n">
        <v>45845</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49625-2024</t>
        </is>
      </c>
      <c r="B840" s="1" t="n">
        <v>45596</v>
      </c>
      <c r="C840" s="1" t="n">
        <v>45845</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49637-2024</t>
        </is>
      </c>
      <c r="B841" s="1" t="n">
        <v>45596</v>
      </c>
      <c r="C841" s="1" t="n">
        <v>45845</v>
      </c>
      <c r="D841" t="inlineStr">
        <is>
          <t>UPPSALA LÄN</t>
        </is>
      </c>
      <c r="E841" t="inlineStr">
        <is>
          <t>ENKÖPING</t>
        </is>
      </c>
      <c r="G841" t="n">
        <v>4.9</v>
      </c>
      <c r="H841" t="n">
        <v>0</v>
      </c>
      <c r="I841" t="n">
        <v>0</v>
      </c>
      <c r="J841" t="n">
        <v>0</v>
      </c>
      <c r="K841" t="n">
        <v>0</v>
      </c>
      <c r="L841" t="n">
        <v>0</v>
      </c>
      <c r="M841" t="n">
        <v>0</v>
      </c>
      <c r="N841" t="n">
        <v>0</v>
      </c>
      <c r="O841" t="n">
        <v>0</v>
      </c>
      <c r="P841" t="n">
        <v>0</v>
      </c>
      <c r="Q841" t="n">
        <v>0</v>
      </c>
      <c r="R841" s="2" t="inlineStr"/>
    </row>
    <row r="842" ht="15" customHeight="1">
      <c r="A842" t="inlineStr">
        <is>
          <t>A 50394-2024</t>
        </is>
      </c>
      <c r="B842" s="1" t="n">
        <v>45600</v>
      </c>
      <c r="C842" s="1" t="n">
        <v>45845</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50248-2024</t>
        </is>
      </c>
      <c r="B843" s="1" t="n">
        <v>45600</v>
      </c>
      <c r="C843" s="1" t="n">
        <v>45845</v>
      </c>
      <c r="D843" t="inlineStr">
        <is>
          <t>UPPSALA LÄN</t>
        </is>
      </c>
      <c r="E843" t="inlineStr">
        <is>
          <t>ENKÖPING</t>
        </is>
      </c>
      <c r="G843" t="n">
        <v>1.3</v>
      </c>
      <c r="H843" t="n">
        <v>0</v>
      </c>
      <c r="I843" t="n">
        <v>0</v>
      </c>
      <c r="J843" t="n">
        <v>0</v>
      </c>
      <c r="K843" t="n">
        <v>0</v>
      </c>
      <c r="L843" t="n">
        <v>0</v>
      </c>
      <c r="M843" t="n">
        <v>0</v>
      </c>
      <c r="N843" t="n">
        <v>0</v>
      </c>
      <c r="O843" t="n">
        <v>0</v>
      </c>
      <c r="P843" t="n">
        <v>0</v>
      </c>
      <c r="Q843" t="n">
        <v>0</v>
      </c>
      <c r="R843" s="2" t="inlineStr"/>
    </row>
    <row r="844" ht="15" customHeight="1">
      <c r="A844" t="inlineStr">
        <is>
          <t>A 50247-2024</t>
        </is>
      </c>
      <c r="B844" s="1" t="n">
        <v>45600</v>
      </c>
      <c r="C844" s="1" t="n">
        <v>45845</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51010-2024</t>
        </is>
      </c>
      <c r="B845" s="1" t="n">
        <v>45603</v>
      </c>
      <c r="C845" s="1" t="n">
        <v>45845</v>
      </c>
      <c r="D845" t="inlineStr">
        <is>
          <t>UPPSALA LÄN</t>
        </is>
      </c>
      <c r="E845" t="inlineStr">
        <is>
          <t>ENKÖPING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51030-2024</t>
        </is>
      </c>
      <c r="B846" s="1" t="n">
        <v>45603</v>
      </c>
      <c r="C846" s="1" t="n">
        <v>45845</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51034-2024</t>
        </is>
      </c>
      <c r="B847" s="1" t="n">
        <v>45603</v>
      </c>
      <c r="C847" s="1" t="n">
        <v>45845</v>
      </c>
      <c r="D847" t="inlineStr">
        <is>
          <t>UPPSALA LÄN</t>
        </is>
      </c>
      <c r="E847" t="inlineStr">
        <is>
          <t>ENKÖPING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51042-2024</t>
        </is>
      </c>
      <c r="B848" s="1" t="n">
        <v>45603</v>
      </c>
      <c r="C848" s="1" t="n">
        <v>45845</v>
      </c>
      <c r="D848" t="inlineStr">
        <is>
          <t>UPPSALA LÄN</t>
        </is>
      </c>
      <c r="E848" t="inlineStr">
        <is>
          <t>ENKÖPING</t>
        </is>
      </c>
      <c r="G848" t="n">
        <v>4.6</v>
      </c>
      <c r="H848" t="n">
        <v>0</v>
      </c>
      <c r="I848" t="n">
        <v>0</v>
      </c>
      <c r="J848" t="n">
        <v>0</v>
      </c>
      <c r="K848" t="n">
        <v>0</v>
      </c>
      <c r="L848" t="n">
        <v>0</v>
      </c>
      <c r="M848" t="n">
        <v>0</v>
      </c>
      <c r="N848" t="n">
        <v>0</v>
      </c>
      <c r="O848" t="n">
        <v>0</v>
      </c>
      <c r="P848" t="n">
        <v>0</v>
      </c>
      <c r="Q848" t="n">
        <v>0</v>
      </c>
      <c r="R848" s="2" t="inlineStr"/>
    </row>
    <row r="849" ht="15" customHeight="1">
      <c r="A849" t="inlineStr">
        <is>
          <t>A 51011-2024</t>
        </is>
      </c>
      <c r="B849" s="1" t="n">
        <v>45603</v>
      </c>
      <c r="C849" s="1" t="n">
        <v>45845</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51027-2024</t>
        </is>
      </c>
      <c r="B850" s="1" t="n">
        <v>45603</v>
      </c>
      <c r="C850" s="1" t="n">
        <v>45845</v>
      </c>
      <c r="D850" t="inlineStr">
        <is>
          <t>UPPSALA LÄN</t>
        </is>
      </c>
      <c r="E850" t="inlineStr">
        <is>
          <t>ENKÖPING</t>
        </is>
      </c>
      <c r="G850" t="n">
        <v>3.5</v>
      </c>
      <c r="H850" t="n">
        <v>0</v>
      </c>
      <c r="I850" t="n">
        <v>0</v>
      </c>
      <c r="J850" t="n">
        <v>0</v>
      </c>
      <c r="K850" t="n">
        <v>0</v>
      </c>
      <c r="L850" t="n">
        <v>0</v>
      </c>
      <c r="M850" t="n">
        <v>0</v>
      </c>
      <c r="N850" t="n">
        <v>0</v>
      </c>
      <c r="O850" t="n">
        <v>0</v>
      </c>
      <c r="P850" t="n">
        <v>0</v>
      </c>
      <c r="Q850" t="n">
        <v>0</v>
      </c>
      <c r="R850" s="2" t="inlineStr"/>
    </row>
    <row r="851" ht="15" customHeight="1">
      <c r="A851" t="inlineStr">
        <is>
          <t>A 51008-2024</t>
        </is>
      </c>
      <c r="B851" s="1" t="n">
        <v>45603</v>
      </c>
      <c r="C851" s="1" t="n">
        <v>45845</v>
      </c>
      <c r="D851" t="inlineStr">
        <is>
          <t>UPPSALA LÄN</t>
        </is>
      </c>
      <c r="E851" t="inlineStr">
        <is>
          <t>ENKÖPING</t>
        </is>
      </c>
      <c r="G851" t="n">
        <v>2.4</v>
      </c>
      <c r="H851" t="n">
        <v>0</v>
      </c>
      <c r="I851" t="n">
        <v>0</v>
      </c>
      <c r="J851" t="n">
        <v>0</v>
      </c>
      <c r="K851" t="n">
        <v>0</v>
      </c>
      <c r="L851" t="n">
        <v>0</v>
      </c>
      <c r="M851" t="n">
        <v>0</v>
      </c>
      <c r="N851" t="n">
        <v>0</v>
      </c>
      <c r="O851" t="n">
        <v>0</v>
      </c>
      <c r="P851" t="n">
        <v>0</v>
      </c>
      <c r="Q851" t="n">
        <v>0</v>
      </c>
      <c r="R851" s="2" t="inlineStr"/>
    </row>
    <row r="852" ht="15" customHeight="1">
      <c r="A852" t="inlineStr">
        <is>
          <t>A 51012-2024</t>
        </is>
      </c>
      <c r="B852" s="1" t="n">
        <v>45603</v>
      </c>
      <c r="C852" s="1" t="n">
        <v>45845</v>
      </c>
      <c r="D852" t="inlineStr">
        <is>
          <t>UPPSALA LÄN</t>
        </is>
      </c>
      <c r="E852" t="inlineStr">
        <is>
          <t>ENKÖPING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51036-2024</t>
        </is>
      </c>
      <c r="B853" s="1" t="n">
        <v>45603</v>
      </c>
      <c r="C853" s="1" t="n">
        <v>45845</v>
      </c>
      <c r="D853" t="inlineStr">
        <is>
          <t>UPPSALA LÄN</t>
        </is>
      </c>
      <c r="E853" t="inlineStr">
        <is>
          <t>ENKÖPING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51037-2024</t>
        </is>
      </c>
      <c r="B854" s="1" t="n">
        <v>45603</v>
      </c>
      <c r="C854" s="1" t="n">
        <v>45845</v>
      </c>
      <c r="D854" t="inlineStr">
        <is>
          <t>UPPSALA LÄN</t>
        </is>
      </c>
      <c r="E854" t="inlineStr">
        <is>
          <t>ENKÖPING</t>
        </is>
      </c>
      <c r="G854" t="n">
        <v>5.7</v>
      </c>
      <c r="H854" t="n">
        <v>0</v>
      </c>
      <c r="I854" t="n">
        <v>0</v>
      </c>
      <c r="J854" t="n">
        <v>0</v>
      </c>
      <c r="K854" t="n">
        <v>0</v>
      </c>
      <c r="L854" t="n">
        <v>0</v>
      </c>
      <c r="M854" t="n">
        <v>0</v>
      </c>
      <c r="N854" t="n">
        <v>0</v>
      </c>
      <c r="O854" t="n">
        <v>0</v>
      </c>
      <c r="P854" t="n">
        <v>0</v>
      </c>
      <c r="Q854" t="n">
        <v>0</v>
      </c>
      <c r="R854" s="2" t="inlineStr"/>
    </row>
    <row r="855" ht="15" customHeight="1">
      <c r="A855" t="inlineStr">
        <is>
          <t>A 52005-2024</t>
        </is>
      </c>
      <c r="B855" s="1" t="n">
        <v>45607</v>
      </c>
      <c r="C855" s="1" t="n">
        <v>45845</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52219-2024</t>
        </is>
      </c>
      <c r="B856" s="1" t="n">
        <v>45608</v>
      </c>
      <c r="C856" s="1" t="n">
        <v>45845</v>
      </c>
      <c r="D856" t="inlineStr">
        <is>
          <t>UPPSALA LÄN</t>
        </is>
      </c>
      <c r="E856" t="inlineStr">
        <is>
          <t>ENKÖPING</t>
        </is>
      </c>
      <c r="G856" t="n">
        <v>2.1</v>
      </c>
      <c r="H856" t="n">
        <v>0</v>
      </c>
      <c r="I856" t="n">
        <v>0</v>
      </c>
      <c r="J856" t="n">
        <v>0</v>
      </c>
      <c r="K856" t="n">
        <v>0</v>
      </c>
      <c r="L856" t="n">
        <v>0</v>
      </c>
      <c r="M856" t="n">
        <v>0</v>
      </c>
      <c r="N856" t="n">
        <v>0</v>
      </c>
      <c r="O856" t="n">
        <v>0</v>
      </c>
      <c r="P856" t="n">
        <v>0</v>
      </c>
      <c r="Q856" t="n">
        <v>0</v>
      </c>
      <c r="R856" s="2" t="inlineStr"/>
    </row>
    <row r="857" ht="15" customHeight="1">
      <c r="A857" t="inlineStr">
        <is>
          <t>A 52388-2024</t>
        </is>
      </c>
      <c r="B857" s="1" t="n">
        <v>45609</v>
      </c>
      <c r="C857" s="1" t="n">
        <v>45845</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52380-2024</t>
        </is>
      </c>
      <c r="B858" s="1" t="n">
        <v>45609</v>
      </c>
      <c r="C858" s="1" t="n">
        <v>45845</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53587-2024</t>
        </is>
      </c>
      <c r="B859" s="1" t="n">
        <v>45614</v>
      </c>
      <c r="C859" s="1" t="n">
        <v>45845</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53586-2024</t>
        </is>
      </c>
      <c r="B860" s="1" t="n">
        <v>45614</v>
      </c>
      <c r="C860" s="1" t="n">
        <v>45845</v>
      </c>
      <c r="D860" t="inlineStr">
        <is>
          <t>UPPSALA LÄN</t>
        </is>
      </c>
      <c r="E860" t="inlineStr">
        <is>
          <t>ENKÖPING</t>
        </is>
      </c>
      <c r="G860" t="n">
        <v>6.6</v>
      </c>
      <c r="H860" t="n">
        <v>0</v>
      </c>
      <c r="I860" t="n">
        <v>0</v>
      </c>
      <c r="J860" t="n">
        <v>0</v>
      </c>
      <c r="K860" t="n">
        <v>0</v>
      </c>
      <c r="L860" t="n">
        <v>0</v>
      </c>
      <c r="M860" t="n">
        <v>0</v>
      </c>
      <c r="N860" t="n">
        <v>0</v>
      </c>
      <c r="O860" t="n">
        <v>0</v>
      </c>
      <c r="P860" t="n">
        <v>0</v>
      </c>
      <c r="Q860" t="n">
        <v>0</v>
      </c>
      <c r="R860" s="2" t="inlineStr"/>
    </row>
    <row r="861" ht="15" customHeight="1">
      <c r="A861" t="inlineStr">
        <is>
          <t>A 53557-2024</t>
        </is>
      </c>
      <c r="B861" s="1" t="n">
        <v>45614</v>
      </c>
      <c r="C861" s="1" t="n">
        <v>45845</v>
      </c>
      <c r="D861" t="inlineStr">
        <is>
          <t>UPPSALA LÄN</t>
        </is>
      </c>
      <c r="E861" t="inlineStr">
        <is>
          <t>ENKÖPING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53348-2024</t>
        </is>
      </c>
      <c r="B862" s="1" t="n">
        <v>45614</v>
      </c>
      <c r="C862" s="1" t="n">
        <v>45845</v>
      </c>
      <c r="D862" t="inlineStr">
        <is>
          <t>UPPSALA LÄN</t>
        </is>
      </c>
      <c r="E862" t="inlineStr">
        <is>
          <t>ENKÖPING</t>
        </is>
      </c>
      <c r="G862" t="n">
        <v>6.2</v>
      </c>
      <c r="H862" t="n">
        <v>0</v>
      </c>
      <c r="I862" t="n">
        <v>0</v>
      </c>
      <c r="J862" t="n">
        <v>0</v>
      </c>
      <c r="K862" t="n">
        <v>0</v>
      </c>
      <c r="L862" t="n">
        <v>0</v>
      </c>
      <c r="M862" t="n">
        <v>0</v>
      </c>
      <c r="N862" t="n">
        <v>0</v>
      </c>
      <c r="O862" t="n">
        <v>0</v>
      </c>
      <c r="P862" t="n">
        <v>0</v>
      </c>
      <c r="Q862" t="n">
        <v>0</v>
      </c>
      <c r="R862" s="2" t="inlineStr"/>
    </row>
    <row r="863" ht="15" customHeight="1">
      <c r="A863" t="inlineStr">
        <is>
          <t>A 54010-2024</t>
        </is>
      </c>
      <c r="B863" s="1" t="n">
        <v>45616</v>
      </c>
      <c r="C863" s="1" t="n">
        <v>45845</v>
      </c>
      <c r="D863" t="inlineStr">
        <is>
          <t>UPPSALA LÄN</t>
        </is>
      </c>
      <c r="E863" t="inlineStr">
        <is>
          <t>ENKÖPING</t>
        </is>
      </c>
      <c r="G863" t="n">
        <v>2</v>
      </c>
      <c r="H863" t="n">
        <v>0</v>
      </c>
      <c r="I863" t="n">
        <v>0</v>
      </c>
      <c r="J863" t="n">
        <v>0</v>
      </c>
      <c r="K863" t="n">
        <v>0</v>
      </c>
      <c r="L863" t="n">
        <v>0</v>
      </c>
      <c r="M863" t="n">
        <v>0</v>
      </c>
      <c r="N863" t="n">
        <v>0</v>
      </c>
      <c r="O863" t="n">
        <v>0</v>
      </c>
      <c r="P863" t="n">
        <v>0</v>
      </c>
      <c r="Q863" t="n">
        <v>0</v>
      </c>
      <c r="R863" s="2" t="inlineStr"/>
    </row>
    <row r="864" ht="15" customHeight="1">
      <c r="A864" t="inlineStr">
        <is>
          <t>A 54588-2024</t>
        </is>
      </c>
      <c r="B864" s="1" t="n">
        <v>45617</v>
      </c>
      <c r="C864" s="1" t="n">
        <v>45845</v>
      </c>
      <c r="D864" t="inlineStr">
        <is>
          <t>UPPSALA LÄN</t>
        </is>
      </c>
      <c r="E864" t="inlineStr">
        <is>
          <t>ENKÖPING</t>
        </is>
      </c>
      <c r="G864" t="n">
        <v>3.7</v>
      </c>
      <c r="H864" t="n">
        <v>0</v>
      </c>
      <c r="I864" t="n">
        <v>0</v>
      </c>
      <c r="J864" t="n">
        <v>0</v>
      </c>
      <c r="K864" t="n">
        <v>0</v>
      </c>
      <c r="L864" t="n">
        <v>0</v>
      </c>
      <c r="M864" t="n">
        <v>0</v>
      </c>
      <c r="N864" t="n">
        <v>0</v>
      </c>
      <c r="O864" t="n">
        <v>0</v>
      </c>
      <c r="P864" t="n">
        <v>0</v>
      </c>
      <c r="Q864" t="n">
        <v>0</v>
      </c>
      <c r="R864" s="2" t="inlineStr"/>
    </row>
    <row r="865" ht="15" customHeight="1">
      <c r="A865" t="inlineStr">
        <is>
          <t>A 54776-2024</t>
        </is>
      </c>
      <c r="B865" s="1" t="n">
        <v>45618</v>
      </c>
      <c r="C865" s="1" t="n">
        <v>45845</v>
      </c>
      <c r="D865" t="inlineStr">
        <is>
          <t>UPPSALA LÄN</t>
        </is>
      </c>
      <c r="E865" t="inlineStr">
        <is>
          <t>ENKÖPING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55863-2024</t>
        </is>
      </c>
      <c r="B866" s="1" t="n">
        <v>45623</v>
      </c>
      <c r="C866" s="1" t="n">
        <v>45845</v>
      </c>
      <c r="D866" t="inlineStr">
        <is>
          <t>UPPSALA LÄN</t>
        </is>
      </c>
      <c r="E866" t="inlineStr">
        <is>
          <t>ENKÖPING</t>
        </is>
      </c>
      <c r="G866" t="n">
        <v>2.9</v>
      </c>
      <c r="H866" t="n">
        <v>0</v>
      </c>
      <c r="I866" t="n">
        <v>0</v>
      </c>
      <c r="J866" t="n">
        <v>0</v>
      </c>
      <c r="K866" t="n">
        <v>0</v>
      </c>
      <c r="L866" t="n">
        <v>0</v>
      </c>
      <c r="M866" t="n">
        <v>0</v>
      </c>
      <c r="N866" t="n">
        <v>0</v>
      </c>
      <c r="O866" t="n">
        <v>0</v>
      </c>
      <c r="P866" t="n">
        <v>0</v>
      </c>
      <c r="Q866" t="n">
        <v>0</v>
      </c>
      <c r="R866" s="2" t="inlineStr"/>
    </row>
    <row r="867" ht="15" customHeight="1">
      <c r="A867" t="inlineStr">
        <is>
          <t>A 55876-2024</t>
        </is>
      </c>
      <c r="B867" s="1" t="n">
        <v>45623</v>
      </c>
      <c r="C867" s="1" t="n">
        <v>45845</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55862-2024</t>
        </is>
      </c>
      <c r="B868" s="1" t="n">
        <v>45623</v>
      </c>
      <c r="C868" s="1" t="n">
        <v>45845</v>
      </c>
      <c r="D868" t="inlineStr">
        <is>
          <t>UPPSALA LÄN</t>
        </is>
      </c>
      <c r="E868" t="inlineStr">
        <is>
          <t>ENKÖPING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56225-2024</t>
        </is>
      </c>
      <c r="B869" s="1" t="n">
        <v>45624</v>
      </c>
      <c r="C869" s="1" t="n">
        <v>45845</v>
      </c>
      <c r="D869" t="inlineStr">
        <is>
          <t>UPPSALA LÄN</t>
        </is>
      </c>
      <c r="E869" t="inlineStr">
        <is>
          <t>ENKÖPING</t>
        </is>
      </c>
      <c r="G869" t="n">
        <v>11.7</v>
      </c>
      <c r="H869" t="n">
        <v>0</v>
      </c>
      <c r="I869" t="n">
        <v>0</v>
      </c>
      <c r="J869" t="n">
        <v>0</v>
      </c>
      <c r="K869" t="n">
        <v>0</v>
      </c>
      <c r="L869" t="n">
        <v>0</v>
      </c>
      <c r="M869" t="n">
        <v>0</v>
      </c>
      <c r="N869" t="n">
        <v>0</v>
      </c>
      <c r="O869" t="n">
        <v>0</v>
      </c>
      <c r="P869" t="n">
        <v>0</v>
      </c>
      <c r="Q869" t="n">
        <v>0</v>
      </c>
      <c r="R869" s="2" t="inlineStr"/>
    </row>
    <row r="870" ht="15" customHeight="1">
      <c r="A870" t="inlineStr">
        <is>
          <t>A 56837-2024</t>
        </is>
      </c>
      <c r="B870" s="1" t="n">
        <v>45628</v>
      </c>
      <c r="C870" s="1" t="n">
        <v>45845</v>
      </c>
      <c r="D870" t="inlineStr">
        <is>
          <t>UPPSALA LÄN</t>
        </is>
      </c>
      <c r="E870" t="inlineStr">
        <is>
          <t>ENKÖPING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56713-2024</t>
        </is>
      </c>
      <c r="B871" s="1" t="n">
        <v>45628</v>
      </c>
      <c r="C871" s="1" t="n">
        <v>45845</v>
      </c>
      <c r="D871" t="inlineStr">
        <is>
          <t>UPPSALA LÄN</t>
        </is>
      </c>
      <c r="E871" t="inlineStr">
        <is>
          <t>ENKÖPING</t>
        </is>
      </c>
      <c r="G871" t="n">
        <v>1.7</v>
      </c>
      <c r="H871" t="n">
        <v>0</v>
      </c>
      <c r="I871" t="n">
        <v>0</v>
      </c>
      <c r="J871" t="n">
        <v>0</v>
      </c>
      <c r="K871" t="n">
        <v>0</v>
      </c>
      <c r="L871" t="n">
        <v>0</v>
      </c>
      <c r="M871" t="n">
        <v>0</v>
      </c>
      <c r="N871" t="n">
        <v>0</v>
      </c>
      <c r="O871" t="n">
        <v>0</v>
      </c>
      <c r="P871" t="n">
        <v>0</v>
      </c>
      <c r="Q871" t="n">
        <v>0</v>
      </c>
      <c r="R871" s="2" t="inlineStr"/>
    </row>
    <row r="872" ht="15" customHeight="1">
      <c r="A872" t="inlineStr">
        <is>
          <t>A 57209-2024</t>
        </is>
      </c>
      <c r="B872" s="1" t="n">
        <v>45629</v>
      </c>
      <c r="C872" s="1" t="n">
        <v>45845</v>
      </c>
      <c r="D872" t="inlineStr">
        <is>
          <t>UPPSALA LÄN</t>
        </is>
      </c>
      <c r="E872" t="inlineStr">
        <is>
          <t>ENKÖPING</t>
        </is>
      </c>
      <c r="G872" t="n">
        <v>3.2</v>
      </c>
      <c r="H872" t="n">
        <v>0</v>
      </c>
      <c r="I872" t="n">
        <v>0</v>
      </c>
      <c r="J872" t="n">
        <v>0</v>
      </c>
      <c r="K872" t="n">
        <v>0</v>
      </c>
      <c r="L872" t="n">
        <v>0</v>
      </c>
      <c r="M872" t="n">
        <v>0</v>
      </c>
      <c r="N872" t="n">
        <v>0</v>
      </c>
      <c r="O872" t="n">
        <v>0</v>
      </c>
      <c r="P872" t="n">
        <v>0</v>
      </c>
      <c r="Q872" t="n">
        <v>0</v>
      </c>
      <c r="R872" s="2" t="inlineStr"/>
    </row>
    <row r="873" ht="15" customHeight="1">
      <c r="A873" t="inlineStr">
        <is>
          <t>A 57215-2024</t>
        </is>
      </c>
      <c r="B873" s="1" t="n">
        <v>45629</v>
      </c>
      <c r="C873" s="1" t="n">
        <v>45845</v>
      </c>
      <c r="D873" t="inlineStr">
        <is>
          <t>UPPSALA LÄN</t>
        </is>
      </c>
      <c r="E873" t="inlineStr">
        <is>
          <t>ENKÖPING</t>
        </is>
      </c>
      <c r="G873" t="n">
        <v>2.4</v>
      </c>
      <c r="H873" t="n">
        <v>0</v>
      </c>
      <c r="I873" t="n">
        <v>0</v>
      </c>
      <c r="J873" t="n">
        <v>0</v>
      </c>
      <c r="K873" t="n">
        <v>0</v>
      </c>
      <c r="L873" t="n">
        <v>0</v>
      </c>
      <c r="M873" t="n">
        <v>0</v>
      </c>
      <c r="N873" t="n">
        <v>0</v>
      </c>
      <c r="O873" t="n">
        <v>0</v>
      </c>
      <c r="P873" t="n">
        <v>0</v>
      </c>
      <c r="Q873" t="n">
        <v>0</v>
      </c>
      <c r="R873" s="2" t="inlineStr"/>
    </row>
    <row r="874" ht="15" customHeight="1">
      <c r="A874" t="inlineStr">
        <is>
          <t>A 57335-2024</t>
        </is>
      </c>
      <c r="B874" s="1" t="n">
        <v>45629</v>
      </c>
      <c r="C874" s="1" t="n">
        <v>45845</v>
      </c>
      <c r="D874" t="inlineStr">
        <is>
          <t>UPPSALA LÄN</t>
        </is>
      </c>
      <c r="E874" t="inlineStr">
        <is>
          <t>ENKÖPING</t>
        </is>
      </c>
      <c r="G874" t="n">
        <v>2.1</v>
      </c>
      <c r="H874" t="n">
        <v>0</v>
      </c>
      <c r="I874" t="n">
        <v>0</v>
      </c>
      <c r="J874" t="n">
        <v>0</v>
      </c>
      <c r="K874" t="n">
        <v>0</v>
      </c>
      <c r="L874" t="n">
        <v>0</v>
      </c>
      <c r="M874" t="n">
        <v>0</v>
      </c>
      <c r="N874" t="n">
        <v>0</v>
      </c>
      <c r="O874" t="n">
        <v>0</v>
      </c>
      <c r="P874" t="n">
        <v>0</v>
      </c>
      <c r="Q874" t="n">
        <v>0</v>
      </c>
      <c r="R874" s="2" t="inlineStr"/>
    </row>
    <row r="875" ht="15" customHeight="1">
      <c r="A875" t="inlineStr">
        <is>
          <t>A 57214-2024</t>
        </is>
      </c>
      <c r="B875" s="1" t="n">
        <v>45629</v>
      </c>
      <c r="C875" s="1" t="n">
        <v>45845</v>
      </c>
      <c r="D875" t="inlineStr">
        <is>
          <t>UPPSALA LÄN</t>
        </is>
      </c>
      <c r="E875" t="inlineStr">
        <is>
          <t>ENKÖPING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57218-2024</t>
        </is>
      </c>
      <c r="B876" s="1" t="n">
        <v>45629</v>
      </c>
      <c r="C876" s="1" t="n">
        <v>45845</v>
      </c>
      <c r="D876" t="inlineStr">
        <is>
          <t>UPPSALA LÄN</t>
        </is>
      </c>
      <c r="E876" t="inlineStr">
        <is>
          <t>ENKÖPING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57415-2024</t>
        </is>
      </c>
      <c r="B877" s="1" t="n">
        <v>45629</v>
      </c>
      <c r="C877" s="1" t="n">
        <v>45845</v>
      </c>
      <c r="D877" t="inlineStr">
        <is>
          <t>UPPSALA LÄN</t>
        </is>
      </c>
      <c r="E877" t="inlineStr">
        <is>
          <t>ENKÖPING</t>
        </is>
      </c>
      <c r="F877" t="inlineStr">
        <is>
          <t>Allmännings- och besparingsskogar</t>
        </is>
      </c>
      <c r="G877" t="n">
        <v>11.8</v>
      </c>
      <c r="H877" t="n">
        <v>0</v>
      </c>
      <c r="I877" t="n">
        <v>0</v>
      </c>
      <c r="J877" t="n">
        <v>0</v>
      </c>
      <c r="K877" t="n">
        <v>0</v>
      </c>
      <c r="L877" t="n">
        <v>0</v>
      </c>
      <c r="M877" t="n">
        <v>0</v>
      </c>
      <c r="N877" t="n">
        <v>0</v>
      </c>
      <c r="O877" t="n">
        <v>0</v>
      </c>
      <c r="P877" t="n">
        <v>0</v>
      </c>
      <c r="Q877" t="n">
        <v>0</v>
      </c>
      <c r="R877" s="2" t="inlineStr"/>
    </row>
    <row r="878" ht="15" customHeight="1">
      <c r="A878" t="inlineStr">
        <is>
          <t>A 57328-2024</t>
        </is>
      </c>
      <c r="B878" s="1" t="n">
        <v>45629</v>
      </c>
      <c r="C878" s="1" t="n">
        <v>45845</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57833-2024</t>
        </is>
      </c>
      <c r="B879" s="1" t="n">
        <v>45631</v>
      </c>
      <c r="C879" s="1" t="n">
        <v>45845</v>
      </c>
      <c r="D879" t="inlineStr">
        <is>
          <t>UPPSALA LÄN</t>
        </is>
      </c>
      <c r="E879" t="inlineStr">
        <is>
          <t>ENKÖPING</t>
        </is>
      </c>
      <c r="G879" t="n">
        <v>2.8</v>
      </c>
      <c r="H879" t="n">
        <v>0</v>
      </c>
      <c r="I879" t="n">
        <v>0</v>
      </c>
      <c r="J879" t="n">
        <v>0</v>
      </c>
      <c r="K879" t="n">
        <v>0</v>
      </c>
      <c r="L879" t="n">
        <v>0</v>
      </c>
      <c r="M879" t="n">
        <v>0</v>
      </c>
      <c r="N879" t="n">
        <v>0</v>
      </c>
      <c r="O879" t="n">
        <v>0</v>
      </c>
      <c r="P879" t="n">
        <v>0</v>
      </c>
      <c r="Q879" t="n">
        <v>0</v>
      </c>
      <c r="R879" s="2" t="inlineStr"/>
    </row>
    <row r="880" ht="15" customHeight="1">
      <c r="A880" t="inlineStr">
        <is>
          <t>A 57831-2024</t>
        </is>
      </c>
      <c r="B880" s="1" t="n">
        <v>45631</v>
      </c>
      <c r="C880" s="1" t="n">
        <v>45845</v>
      </c>
      <c r="D880" t="inlineStr">
        <is>
          <t>UPPSALA LÄN</t>
        </is>
      </c>
      <c r="E880" t="inlineStr">
        <is>
          <t>ENKÖPING</t>
        </is>
      </c>
      <c r="G880" t="n">
        <v>7.2</v>
      </c>
      <c r="H880" t="n">
        <v>0</v>
      </c>
      <c r="I880" t="n">
        <v>0</v>
      </c>
      <c r="J880" t="n">
        <v>0</v>
      </c>
      <c r="K880" t="n">
        <v>0</v>
      </c>
      <c r="L880" t="n">
        <v>0</v>
      </c>
      <c r="M880" t="n">
        <v>0</v>
      </c>
      <c r="N880" t="n">
        <v>0</v>
      </c>
      <c r="O880" t="n">
        <v>0</v>
      </c>
      <c r="P880" t="n">
        <v>0</v>
      </c>
      <c r="Q880" t="n">
        <v>0</v>
      </c>
      <c r="R880" s="2" t="inlineStr"/>
    </row>
    <row r="881" ht="15" customHeight="1">
      <c r="A881" t="inlineStr">
        <is>
          <t>A 57835-2024</t>
        </is>
      </c>
      <c r="B881" s="1" t="n">
        <v>45631</v>
      </c>
      <c r="C881" s="1" t="n">
        <v>45845</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57848-2024</t>
        </is>
      </c>
      <c r="B882" s="1" t="n">
        <v>45631</v>
      </c>
      <c r="C882" s="1" t="n">
        <v>45845</v>
      </c>
      <c r="D882" t="inlineStr">
        <is>
          <t>UPPSALA LÄN</t>
        </is>
      </c>
      <c r="E882" t="inlineStr">
        <is>
          <t>ENKÖPING</t>
        </is>
      </c>
      <c r="G882" t="n">
        <v>1.2</v>
      </c>
      <c r="H882" t="n">
        <v>0</v>
      </c>
      <c r="I882" t="n">
        <v>0</v>
      </c>
      <c r="J882" t="n">
        <v>0</v>
      </c>
      <c r="K882" t="n">
        <v>0</v>
      </c>
      <c r="L882" t="n">
        <v>0</v>
      </c>
      <c r="M882" t="n">
        <v>0</v>
      </c>
      <c r="N882" t="n">
        <v>0</v>
      </c>
      <c r="O882" t="n">
        <v>0</v>
      </c>
      <c r="P882" t="n">
        <v>0</v>
      </c>
      <c r="Q882" t="n">
        <v>0</v>
      </c>
      <c r="R882" s="2" t="inlineStr"/>
    </row>
    <row r="883" ht="15" customHeight="1">
      <c r="A883" t="inlineStr">
        <is>
          <t>A 57937-2024</t>
        </is>
      </c>
      <c r="B883" s="1" t="n">
        <v>45631</v>
      </c>
      <c r="C883" s="1" t="n">
        <v>45845</v>
      </c>
      <c r="D883" t="inlineStr">
        <is>
          <t>UPPSALA LÄN</t>
        </is>
      </c>
      <c r="E883" t="inlineStr">
        <is>
          <t>ENKÖPING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57841-2024</t>
        </is>
      </c>
      <c r="B884" s="1" t="n">
        <v>45631</v>
      </c>
      <c r="C884" s="1" t="n">
        <v>45845</v>
      </c>
      <c r="D884" t="inlineStr">
        <is>
          <t>UPPSALA LÄN</t>
        </is>
      </c>
      <c r="E884" t="inlineStr">
        <is>
          <t>ENKÖPING</t>
        </is>
      </c>
      <c r="G884" t="n">
        <v>3.4</v>
      </c>
      <c r="H884" t="n">
        <v>0</v>
      </c>
      <c r="I884" t="n">
        <v>0</v>
      </c>
      <c r="J884" t="n">
        <v>0</v>
      </c>
      <c r="K884" t="n">
        <v>0</v>
      </c>
      <c r="L884" t="n">
        <v>0</v>
      </c>
      <c r="M884" t="n">
        <v>0</v>
      </c>
      <c r="N884" t="n">
        <v>0</v>
      </c>
      <c r="O884" t="n">
        <v>0</v>
      </c>
      <c r="P884" t="n">
        <v>0</v>
      </c>
      <c r="Q884" t="n">
        <v>0</v>
      </c>
      <c r="R884" s="2" t="inlineStr"/>
    </row>
    <row r="885" ht="15" customHeight="1">
      <c r="A885" t="inlineStr">
        <is>
          <t>A 57998-2024</t>
        </is>
      </c>
      <c r="B885" s="1" t="n">
        <v>45631</v>
      </c>
      <c r="C885" s="1" t="n">
        <v>45845</v>
      </c>
      <c r="D885" t="inlineStr">
        <is>
          <t>UPPSALA LÄN</t>
        </is>
      </c>
      <c r="E885" t="inlineStr">
        <is>
          <t>ENKÖPING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58092-2024</t>
        </is>
      </c>
      <c r="B886" s="1" t="n">
        <v>45632</v>
      </c>
      <c r="C886" s="1" t="n">
        <v>45845</v>
      </c>
      <c r="D886" t="inlineStr">
        <is>
          <t>UPPSALA LÄN</t>
        </is>
      </c>
      <c r="E886" t="inlineStr">
        <is>
          <t>ENKÖPING</t>
        </is>
      </c>
      <c r="G886" t="n">
        <v>4.8</v>
      </c>
      <c r="H886" t="n">
        <v>0</v>
      </c>
      <c r="I886" t="n">
        <v>0</v>
      </c>
      <c r="J886" t="n">
        <v>0</v>
      </c>
      <c r="K886" t="n">
        <v>0</v>
      </c>
      <c r="L886" t="n">
        <v>0</v>
      </c>
      <c r="M886" t="n">
        <v>0</v>
      </c>
      <c r="N886" t="n">
        <v>0</v>
      </c>
      <c r="O886" t="n">
        <v>0</v>
      </c>
      <c r="P886" t="n">
        <v>0</v>
      </c>
      <c r="Q886" t="n">
        <v>0</v>
      </c>
      <c r="R886" s="2" t="inlineStr"/>
    </row>
    <row r="887" ht="15" customHeight="1">
      <c r="A887" t="inlineStr">
        <is>
          <t>A 58147-2024</t>
        </is>
      </c>
      <c r="B887" s="1" t="n">
        <v>45632</v>
      </c>
      <c r="C887" s="1" t="n">
        <v>45845</v>
      </c>
      <c r="D887" t="inlineStr">
        <is>
          <t>UPPSALA LÄN</t>
        </is>
      </c>
      <c r="E887" t="inlineStr">
        <is>
          <t>ENKÖPING</t>
        </is>
      </c>
      <c r="G887" t="n">
        <v>3</v>
      </c>
      <c r="H887" t="n">
        <v>0</v>
      </c>
      <c r="I887" t="n">
        <v>0</v>
      </c>
      <c r="J887" t="n">
        <v>0</v>
      </c>
      <c r="K887" t="n">
        <v>0</v>
      </c>
      <c r="L887" t="n">
        <v>0</v>
      </c>
      <c r="M887" t="n">
        <v>0</v>
      </c>
      <c r="N887" t="n">
        <v>0</v>
      </c>
      <c r="O887" t="n">
        <v>0</v>
      </c>
      <c r="P887" t="n">
        <v>0</v>
      </c>
      <c r="Q887" t="n">
        <v>0</v>
      </c>
      <c r="R887" s="2" t="inlineStr"/>
    </row>
    <row r="888" ht="15" customHeight="1">
      <c r="A888" t="inlineStr">
        <is>
          <t>A 58961-2024</t>
        </is>
      </c>
      <c r="B888" s="1" t="n">
        <v>45636</v>
      </c>
      <c r="C888" s="1" t="n">
        <v>45845</v>
      </c>
      <c r="D888" t="inlineStr">
        <is>
          <t>UPPSALA LÄN</t>
        </is>
      </c>
      <c r="E888" t="inlineStr">
        <is>
          <t>ENKÖPING</t>
        </is>
      </c>
      <c r="G888" t="n">
        <v>4</v>
      </c>
      <c r="H888" t="n">
        <v>0</v>
      </c>
      <c r="I888" t="n">
        <v>0</v>
      </c>
      <c r="J888" t="n">
        <v>0</v>
      </c>
      <c r="K888" t="n">
        <v>0</v>
      </c>
      <c r="L888" t="n">
        <v>0</v>
      </c>
      <c r="M888" t="n">
        <v>0</v>
      </c>
      <c r="N888" t="n">
        <v>0</v>
      </c>
      <c r="O888" t="n">
        <v>0</v>
      </c>
      <c r="P888" t="n">
        <v>0</v>
      </c>
      <c r="Q888" t="n">
        <v>0</v>
      </c>
      <c r="R888" s="2" t="inlineStr"/>
    </row>
    <row r="889" ht="15" customHeight="1">
      <c r="A889" t="inlineStr">
        <is>
          <t>A 59027-2024</t>
        </is>
      </c>
      <c r="B889" s="1" t="n">
        <v>45636</v>
      </c>
      <c r="C889" s="1" t="n">
        <v>45845</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59570-2024</t>
        </is>
      </c>
      <c r="B890" s="1" t="n">
        <v>45638</v>
      </c>
      <c r="C890" s="1" t="n">
        <v>45845</v>
      </c>
      <c r="D890" t="inlineStr">
        <is>
          <t>UPPSALA LÄN</t>
        </is>
      </c>
      <c r="E890" t="inlineStr">
        <is>
          <t>ENKÖPING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59602-2024</t>
        </is>
      </c>
      <c r="B891" s="1" t="n">
        <v>45638</v>
      </c>
      <c r="C891" s="1" t="n">
        <v>45845</v>
      </c>
      <c r="D891" t="inlineStr">
        <is>
          <t>UPPSALA LÄN</t>
        </is>
      </c>
      <c r="E891" t="inlineStr">
        <is>
          <t>ENKÖPING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60125-2024</t>
        </is>
      </c>
      <c r="B892" s="1" t="n">
        <v>45642</v>
      </c>
      <c r="C892" s="1" t="n">
        <v>45845</v>
      </c>
      <c r="D892" t="inlineStr">
        <is>
          <t>UPPSALA LÄN</t>
        </is>
      </c>
      <c r="E892" t="inlineStr">
        <is>
          <t>ENKÖPING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60538-2024</t>
        </is>
      </c>
      <c r="B893" s="1" t="n">
        <v>45643</v>
      </c>
      <c r="C893" s="1" t="n">
        <v>45845</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60519-2024</t>
        </is>
      </c>
      <c r="B894" s="1" t="n">
        <v>45643</v>
      </c>
      <c r="C894" s="1" t="n">
        <v>45845</v>
      </c>
      <c r="D894" t="inlineStr">
        <is>
          <t>UPPSALA LÄN</t>
        </is>
      </c>
      <c r="E894" t="inlineStr">
        <is>
          <t>ENKÖPING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60539-2024</t>
        </is>
      </c>
      <c r="B895" s="1" t="n">
        <v>45643</v>
      </c>
      <c r="C895" s="1" t="n">
        <v>45845</v>
      </c>
      <c r="D895" t="inlineStr">
        <is>
          <t>UPPSALA LÄN</t>
        </is>
      </c>
      <c r="E895" t="inlineStr">
        <is>
          <t>ENKÖPING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192-2025</t>
        </is>
      </c>
      <c r="B896" s="1" t="n">
        <v>45649</v>
      </c>
      <c r="C896" s="1" t="n">
        <v>45845</v>
      </c>
      <c r="D896" t="inlineStr">
        <is>
          <t>UPPSALA LÄN</t>
        </is>
      </c>
      <c r="E896" t="inlineStr">
        <is>
          <t>ENKÖPING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314-2025</t>
        </is>
      </c>
      <c r="B897" s="1" t="n">
        <v>45656</v>
      </c>
      <c r="C897" s="1" t="n">
        <v>45845</v>
      </c>
      <c r="D897" t="inlineStr">
        <is>
          <t>UPPSALA LÄN</t>
        </is>
      </c>
      <c r="E897" t="inlineStr">
        <is>
          <t>ENKÖPING</t>
        </is>
      </c>
      <c r="G897" t="n">
        <v>9</v>
      </c>
      <c r="H897" t="n">
        <v>0</v>
      </c>
      <c r="I897" t="n">
        <v>0</v>
      </c>
      <c r="J897" t="n">
        <v>0</v>
      </c>
      <c r="K897" t="n">
        <v>0</v>
      </c>
      <c r="L897" t="n">
        <v>0</v>
      </c>
      <c r="M897" t="n">
        <v>0</v>
      </c>
      <c r="N897" t="n">
        <v>0</v>
      </c>
      <c r="O897" t="n">
        <v>0</v>
      </c>
      <c r="P897" t="n">
        <v>0</v>
      </c>
      <c r="Q897" t="n">
        <v>0</v>
      </c>
      <c r="R897" s="2" t="inlineStr"/>
    </row>
    <row r="898" ht="15" customHeight="1">
      <c r="A898" t="inlineStr">
        <is>
          <t>A 819-2025</t>
        </is>
      </c>
      <c r="B898" s="1" t="n">
        <v>45665</v>
      </c>
      <c r="C898" s="1" t="n">
        <v>45845</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845-2025</t>
        </is>
      </c>
      <c r="B899" s="1" t="n">
        <v>45665</v>
      </c>
      <c r="C899" s="1" t="n">
        <v>45845</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849-2025</t>
        </is>
      </c>
      <c r="B900" s="1" t="n">
        <v>45665</v>
      </c>
      <c r="C900" s="1" t="n">
        <v>45845</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840-2025</t>
        </is>
      </c>
      <c r="B901" s="1" t="n">
        <v>45665</v>
      </c>
      <c r="C901" s="1" t="n">
        <v>45845</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1695-2025</t>
        </is>
      </c>
      <c r="B902" s="1" t="n">
        <v>45670</v>
      </c>
      <c r="C902" s="1" t="n">
        <v>45845</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1656-2025</t>
        </is>
      </c>
      <c r="B903" s="1" t="n">
        <v>45670</v>
      </c>
      <c r="C903" s="1" t="n">
        <v>45845</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2850-2025</t>
        </is>
      </c>
      <c r="B904" s="1" t="n">
        <v>45677</v>
      </c>
      <c r="C904" s="1" t="n">
        <v>45845</v>
      </c>
      <c r="D904" t="inlineStr">
        <is>
          <t>UPPSALA LÄN</t>
        </is>
      </c>
      <c r="E904" t="inlineStr">
        <is>
          <t>ENKÖPING</t>
        </is>
      </c>
      <c r="G904" t="n">
        <v>0.3</v>
      </c>
      <c r="H904" t="n">
        <v>0</v>
      </c>
      <c r="I904" t="n">
        <v>0</v>
      </c>
      <c r="J904" t="n">
        <v>0</v>
      </c>
      <c r="K904" t="n">
        <v>0</v>
      </c>
      <c r="L904" t="n">
        <v>0</v>
      </c>
      <c r="M904" t="n">
        <v>0</v>
      </c>
      <c r="N904" t="n">
        <v>0</v>
      </c>
      <c r="O904" t="n">
        <v>0</v>
      </c>
      <c r="P904" t="n">
        <v>0</v>
      </c>
      <c r="Q904" t="n">
        <v>0</v>
      </c>
      <c r="R904" s="2" t="inlineStr"/>
    </row>
    <row r="905" ht="15" customHeight="1">
      <c r="A905" t="inlineStr">
        <is>
          <t>A 2833-2025</t>
        </is>
      </c>
      <c r="B905" s="1" t="n">
        <v>45677</v>
      </c>
      <c r="C905" s="1" t="n">
        <v>45845</v>
      </c>
      <c r="D905" t="inlineStr">
        <is>
          <t>UPPSALA LÄN</t>
        </is>
      </c>
      <c r="E905" t="inlineStr">
        <is>
          <t>ENKÖPING</t>
        </is>
      </c>
      <c r="G905" t="n">
        <v>0.8</v>
      </c>
      <c r="H905" t="n">
        <v>0</v>
      </c>
      <c r="I905" t="n">
        <v>0</v>
      </c>
      <c r="J905" t="n">
        <v>0</v>
      </c>
      <c r="K905" t="n">
        <v>0</v>
      </c>
      <c r="L905" t="n">
        <v>0</v>
      </c>
      <c r="M905" t="n">
        <v>0</v>
      </c>
      <c r="N905" t="n">
        <v>0</v>
      </c>
      <c r="O905" t="n">
        <v>0</v>
      </c>
      <c r="P905" t="n">
        <v>0</v>
      </c>
      <c r="Q905" t="n">
        <v>0</v>
      </c>
      <c r="R905" s="2" t="inlineStr"/>
    </row>
    <row r="906" ht="15" customHeight="1">
      <c r="A906" t="inlineStr">
        <is>
          <t>A 2974-2025</t>
        </is>
      </c>
      <c r="B906" s="1" t="n">
        <v>45678</v>
      </c>
      <c r="C906" s="1" t="n">
        <v>45845</v>
      </c>
      <c r="D906" t="inlineStr">
        <is>
          <t>UPPSALA LÄN</t>
        </is>
      </c>
      <c r="E906" t="inlineStr">
        <is>
          <t>ENKÖPING</t>
        </is>
      </c>
      <c r="G906" t="n">
        <v>1.6</v>
      </c>
      <c r="H906" t="n">
        <v>0</v>
      </c>
      <c r="I906" t="n">
        <v>0</v>
      </c>
      <c r="J906" t="n">
        <v>0</v>
      </c>
      <c r="K906" t="n">
        <v>0</v>
      </c>
      <c r="L906" t="n">
        <v>0</v>
      </c>
      <c r="M906" t="n">
        <v>0</v>
      </c>
      <c r="N906" t="n">
        <v>0</v>
      </c>
      <c r="O906" t="n">
        <v>0</v>
      </c>
      <c r="P906" t="n">
        <v>0</v>
      </c>
      <c r="Q906" t="n">
        <v>0</v>
      </c>
      <c r="R906" s="2" t="inlineStr"/>
    </row>
    <row r="907" ht="15" customHeight="1">
      <c r="A907" t="inlineStr">
        <is>
          <t>A 2968-2025</t>
        </is>
      </c>
      <c r="B907" s="1" t="n">
        <v>45678</v>
      </c>
      <c r="C907" s="1" t="n">
        <v>45845</v>
      </c>
      <c r="D907" t="inlineStr">
        <is>
          <t>UPPSALA LÄN</t>
        </is>
      </c>
      <c r="E907" t="inlineStr">
        <is>
          <t>ENKÖPING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3301-2025</t>
        </is>
      </c>
      <c r="B908" s="1" t="n">
        <v>45679</v>
      </c>
      <c r="C908" s="1" t="n">
        <v>45845</v>
      </c>
      <c r="D908" t="inlineStr">
        <is>
          <t>UPPSALA LÄN</t>
        </is>
      </c>
      <c r="E908" t="inlineStr">
        <is>
          <t>ENKÖPING</t>
        </is>
      </c>
      <c r="G908" t="n">
        <v>20.9</v>
      </c>
      <c r="H908" t="n">
        <v>0</v>
      </c>
      <c r="I908" t="n">
        <v>0</v>
      </c>
      <c r="J908" t="n">
        <v>0</v>
      </c>
      <c r="K908" t="n">
        <v>0</v>
      </c>
      <c r="L908" t="n">
        <v>0</v>
      </c>
      <c r="M908" t="n">
        <v>0</v>
      </c>
      <c r="N908" t="n">
        <v>0</v>
      </c>
      <c r="O908" t="n">
        <v>0</v>
      </c>
      <c r="P908" t="n">
        <v>0</v>
      </c>
      <c r="Q908" t="n">
        <v>0</v>
      </c>
      <c r="R908" s="2" t="inlineStr"/>
    </row>
    <row r="909" ht="15" customHeight="1">
      <c r="A909" t="inlineStr">
        <is>
          <t>A 3235-2025</t>
        </is>
      </c>
      <c r="B909" s="1" t="n">
        <v>45679</v>
      </c>
      <c r="C909" s="1" t="n">
        <v>45845</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3197-2025</t>
        </is>
      </c>
      <c r="B910" s="1" t="n">
        <v>45679</v>
      </c>
      <c r="C910" s="1" t="n">
        <v>45845</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3300-2025</t>
        </is>
      </c>
      <c r="B911" s="1" t="n">
        <v>45679</v>
      </c>
      <c r="C911" s="1" t="n">
        <v>45845</v>
      </c>
      <c r="D911" t="inlineStr">
        <is>
          <t>UPPSALA LÄN</t>
        </is>
      </c>
      <c r="E911" t="inlineStr">
        <is>
          <t>ENKÖPING</t>
        </is>
      </c>
      <c r="G911" t="n">
        <v>8.9</v>
      </c>
      <c r="H911" t="n">
        <v>0</v>
      </c>
      <c r="I911" t="n">
        <v>0</v>
      </c>
      <c r="J911" t="n">
        <v>0</v>
      </c>
      <c r="K911" t="n">
        <v>0</v>
      </c>
      <c r="L911" t="n">
        <v>0</v>
      </c>
      <c r="M911" t="n">
        <v>0</v>
      </c>
      <c r="N911" t="n">
        <v>0</v>
      </c>
      <c r="O911" t="n">
        <v>0</v>
      </c>
      <c r="P911" t="n">
        <v>0</v>
      </c>
      <c r="Q911" t="n">
        <v>0</v>
      </c>
      <c r="R911" s="2" t="inlineStr"/>
    </row>
    <row r="912" ht="15" customHeight="1">
      <c r="A912" t="inlineStr">
        <is>
          <t>A 3499-2025</t>
        </is>
      </c>
      <c r="B912" s="1" t="n">
        <v>45680</v>
      </c>
      <c r="C912" s="1" t="n">
        <v>45845</v>
      </c>
      <c r="D912" t="inlineStr">
        <is>
          <t>UPPSALA LÄN</t>
        </is>
      </c>
      <c r="E912" t="inlineStr">
        <is>
          <t>ENKÖPING</t>
        </is>
      </c>
      <c r="G912" t="n">
        <v>1.2</v>
      </c>
      <c r="H912" t="n">
        <v>0</v>
      </c>
      <c r="I912" t="n">
        <v>0</v>
      </c>
      <c r="J912" t="n">
        <v>0</v>
      </c>
      <c r="K912" t="n">
        <v>0</v>
      </c>
      <c r="L912" t="n">
        <v>0</v>
      </c>
      <c r="M912" t="n">
        <v>0</v>
      </c>
      <c r="N912" t="n">
        <v>0</v>
      </c>
      <c r="O912" t="n">
        <v>0</v>
      </c>
      <c r="P912" t="n">
        <v>0</v>
      </c>
      <c r="Q912" t="n">
        <v>0</v>
      </c>
      <c r="R912" s="2" t="inlineStr"/>
    </row>
    <row r="913" ht="15" customHeight="1">
      <c r="A913" t="inlineStr">
        <is>
          <t>A 3400-2025</t>
        </is>
      </c>
      <c r="B913" s="1" t="n">
        <v>45680</v>
      </c>
      <c r="C913" s="1" t="n">
        <v>45845</v>
      </c>
      <c r="D913" t="inlineStr">
        <is>
          <t>UPPSALA LÄN</t>
        </is>
      </c>
      <c r="E913" t="inlineStr">
        <is>
          <t>ENKÖPING</t>
        </is>
      </c>
      <c r="G913" t="n">
        <v>5.3</v>
      </c>
      <c r="H913" t="n">
        <v>0</v>
      </c>
      <c r="I913" t="n">
        <v>0</v>
      </c>
      <c r="J913" t="n">
        <v>0</v>
      </c>
      <c r="K913" t="n">
        <v>0</v>
      </c>
      <c r="L913" t="n">
        <v>0</v>
      </c>
      <c r="M913" t="n">
        <v>0</v>
      </c>
      <c r="N913" t="n">
        <v>0</v>
      </c>
      <c r="O913" t="n">
        <v>0</v>
      </c>
      <c r="P913" t="n">
        <v>0</v>
      </c>
      <c r="Q913" t="n">
        <v>0</v>
      </c>
      <c r="R913" s="2" t="inlineStr"/>
    </row>
    <row r="914" ht="15" customHeight="1">
      <c r="A914" t="inlineStr">
        <is>
          <t>A 4562-2025</t>
        </is>
      </c>
      <c r="B914" s="1" t="n">
        <v>45687</v>
      </c>
      <c r="C914" s="1" t="n">
        <v>45845</v>
      </c>
      <c r="D914" t="inlineStr">
        <is>
          <t>UPPSALA LÄN</t>
        </is>
      </c>
      <c r="E914" t="inlineStr">
        <is>
          <t>ENKÖPING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5013-2025</t>
        </is>
      </c>
      <c r="B915" s="1" t="n">
        <v>45691</v>
      </c>
      <c r="C915" s="1" t="n">
        <v>45845</v>
      </c>
      <c r="D915" t="inlineStr">
        <is>
          <t>UPPSALA LÄN</t>
        </is>
      </c>
      <c r="E915" t="inlineStr">
        <is>
          <t>ENKÖPING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5712-2025</t>
        </is>
      </c>
      <c r="B916" s="1" t="n">
        <v>45694</v>
      </c>
      <c r="C916" s="1" t="n">
        <v>45845</v>
      </c>
      <c r="D916" t="inlineStr">
        <is>
          <t>UPPSALA LÄN</t>
        </is>
      </c>
      <c r="E916" t="inlineStr">
        <is>
          <t>ENKÖPING</t>
        </is>
      </c>
      <c r="G916" t="n">
        <v>5.1</v>
      </c>
      <c r="H916" t="n">
        <v>0</v>
      </c>
      <c r="I916" t="n">
        <v>0</v>
      </c>
      <c r="J916" t="n">
        <v>0</v>
      </c>
      <c r="K916" t="n">
        <v>0</v>
      </c>
      <c r="L916" t="n">
        <v>0</v>
      </c>
      <c r="M916" t="n">
        <v>0</v>
      </c>
      <c r="N916" t="n">
        <v>0</v>
      </c>
      <c r="O916" t="n">
        <v>0</v>
      </c>
      <c r="P916" t="n">
        <v>0</v>
      </c>
      <c r="Q916" t="n">
        <v>0</v>
      </c>
      <c r="R916" s="2" t="inlineStr"/>
    </row>
    <row r="917" ht="15" customHeight="1">
      <c r="A917" t="inlineStr">
        <is>
          <t>A 5749-2025</t>
        </is>
      </c>
      <c r="B917" s="1" t="n">
        <v>45694</v>
      </c>
      <c r="C917" s="1" t="n">
        <v>45845</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5699-2025</t>
        </is>
      </c>
      <c r="B918" s="1" t="n">
        <v>45694</v>
      </c>
      <c r="C918" s="1" t="n">
        <v>45845</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6242-2025</t>
        </is>
      </c>
      <c r="B919" s="1" t="n">
        <v>45697</v>
      </c>
      <c r="C919" s="1" t="n">
        <v>45845</v>
      </c>
      <c r="D919" t="inlineStr">
        <is>
          <t>UPPSALA LÄN</t>
        </is>
      </c>
      <c r="E919" t="inlineStr">
        <is>
          <t>ENKÖPING</t>
        </is>
      </c>
      <c r="G919" t="n">
        <v>17.9</v>
      </c>
      <c r="H919" t="n">
        <v>0</v>
      </c>
      <c r="I919" t="n">
        <v>0</v>
      </c>
      <c r="J919" t="n">
        <v>0</v>
      </c>
      <c r="K919" t="n">
        <v>0</v>
      </c>
      <c r="L919" t="n">
        <v>0</v>
      </c>
      <c r="M919" t="n">
        <v>0</v>
      </c>
      <c r="N919" t="n">
        <v>0</v>
      </c>
      <c r="O919" t="n">
        <v>0</v>
      </c>
      <c r="P919" t="n">
        <v>0</v>
      </c>
      <c r="Q919" t="n">
        <v>0</v>
      </c>
      <c r="R919" s="2" t="inlineStr"/>
    </row>
    <row r="920" ht="15" customHeight="1">
      <c r="A920" t="inlineStr">
        <is>
          <t>A 6959-2025</t>
        </is>
      </c>
      <c r="B920" s="1" t="n">
        <v>45701</v>
      </c>
      <c r="C920" s="1" t="n">
        <v>45845</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6981-2025</t>
        </is>
      </c>
      <c r="B921" s="1" t="n">
        <v>45701</v>
      </c>
      <c r="C921" s="1" t="n">
        <v>45845</v>
      </c>
      <c r="D921" t="inlineStr">
        <is>
          <t>UPPSALA LÄN</t>
        </is>
      </c>
      <c r="E921" t="inlineStr">
        <is>
          <t>ENKÖPING</t>
        </is>
      </c>
      <c r="G921" t="n">
        <v>0.9</v>
      </c>
      <c r="H921" t="n">
        <v>0</v>
      </c>
      <c r="I921" t="n">
        <v>0</v>
      </c>
      <c r="J921" t="n">
        <v>0</v>
      </c>
      <c r="K921" t="n">
        <v>0</v>
      </c>
      <c r="L921" t="n">
        <v>0</v>
      </c>
      <c r="M921" t="n">
        <v>0</v>
      </c>
      <c r="N921" t="n">
        <v>0</v>
      </c>
      <c r="O921" t="n">
        <v>0</v>
      </c>
      <c r="P921" t="n">
        <v>0</v>
      </c>
      <c r="Q921" t="n">
        <v>0</v>
      </c>
      <c r="R921" s="2" t="inlineStr"/>
    </row>
    <row r="922" ht="15" customHeight="1">
      <c r="A922" t="inlineStr">
        <is>
          <t>A 8137-2025</t>
        </is>
      </c>
      <c r="B922" s="1" t="n">
        <v>45707</v>
      </c>
      <c r="C922" s="1" t="n">
        <v>45845</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8136-2025</t>
        </is>
      </c>
      <c r="B923" s="1" t="n">
        <v>45707</v>
      </c>
      <c r="C923" s="1" t="n">
        <v>45845</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8537-2025</t>
        </is>
      </c>
      <c r="B924" s="1" t="n">
        <v>45709</v>
      </c>
      <c r="C924" s="1" t="n">
        <v>45845</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9487-2025</t>
        </is>
      </c>
      <c r="B925" s="1" t="n">
        <v>45715</v>
      </c>
      <c r="C925" s="1" t="n">
        <v>45845</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9493-2025</t>
        </is>
      </c>
      <c r="B926" s="1" t="n">
        <v>45715</v>
      </c>
      <c r="C926" s="1" t="n">
        <v>45845</v>
      </c>
      <c r="D926" t="inlineStr">
        <is>
          <t>UPPSALA LÄN</t>
        </is>
      </c>
      <c r="E926" t="inlineStr">
        <is>
          <t>ENKÖPING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9490-2025</t>
        </is>
      </c>
      <c r="B927" s="1" t="n">
        <v>45715</v>
      </c>
      <c r="C927" s="1" t="n">
        <v>45845</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9660-2025</t>
        </is>
      </c>
      <c r="B928" s="1" t="n">
        <v>45716</v>
      </c>
      <c r="C928" s="1" t="n">
        <v>45845</v>
      </c>
      <c r="D928" t="inlineStr">
        <is>
          <t>UPPSALA LÄN</t>
        </is>
      </c>
      <c r="E928" t="inlineStr">
        <is>
          <t>ENKÖPING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9656-2025</t>
        </is>
      </c>
      <c r="B929" s="1" t="n">
        <v>45716</v>
      </c>
      <c r="C929" s="1" t="n">
        <v>45845</v>
      </c>
      <c r="D929" t="inlineStr">
        <is>
          <t>UPPSALA LÄN</t>
        </is>
      </c>
      <c r="E929" t="inlineStr">
        <is>
          <t>ENKÖPING</t>
        </is>
      </c>
      <c r="G929" t="n">
        <v>3.6</v>
      </c>
      <c r="H929" t="n">
        <v>0</v>
      </c>
      <c r="I929" t="n">
        <v>0</v>
      </c>
      <c r="J929" t="n">
        <v>0</v>
      </c>
      <c r="K929" t="n">
        <v>0</v>
      </c>
      <c r="L929" t="n">
        <v>0</v>
      </c>
      <c r="M929" t="n">
        <v>0</v>
      </c>
      <c r="N929" t="n">
        <v>0</v>
      </c>
      <c r="O929" t="n">
        <v>0</v>
      </c>
      <c r="P929" t="n">
        <v>0</v>
      </c>
      <c r="Q929" t="n">
        <v>0</v>
      </c>
      <c r="R929" s="2" t="inlineStr"/>
    </row>
    <row r="930" ht="15" customHeight="1">
      <c r="A930" t="inlineStr">
        <is>
          <t>A 9662-2025</t>
        </is>
      </c>
      <c r="B930" s="1" t="n">
        <v>45716</v>
      </c>
      <c r="C930" s="1" t="n">
        <v>45845</v>
      </c>
      <c r="D930" t="inlineStr">
        <is>
          <t>UPPSALA LÄN</t>
        </is>
      </c>
      <c r="E930" t="inlineStr">
        <is>
          <t>ENKÖPING</t>
        </is>
      </c>
      <c r="G930" t="n">
        <v>1.6</v>
      </c>
      <c r="H930" t="n">
        <v>0</v>
      </c>
      <c r="I930" t="n">
        <v>0</v>
      </c>
      <c r="J930" t="n">
        <v>0</v>
      </c>
      <c r="K930" t="n">
        <v>0</v>
      </c>
      <c r="L930" t="n">
        <v>0</v>
      </c>
      <c r="M930" t="n">
        <v>0</v>
      </c>
      <c r="N930" t="n">
        <v>0</v>
      </c>
      <c r="O930" t="n">
        <v>0</v>
      </c>
      <c r="P930" t="n">
        <v>0</v>
      </c>
      <c r="Q930" t="n">
        <v>0</v>
      </c>
      <c r="R930" s="2" t="inlineStr"/>
    </row>
    <row r="931" ht="15" customHeight="1">
      <c r="A931" t="inlineStr">
        <is>
          <t>A 9658-2025</t>
        </is>
      </c>
      <c r="B931" s="1" t="n">
        <v>45716</v>
      </c>
      <c r="C931" s="1" t="n">
        <v>45845</v>
      </c>
      <c r="D931" t="inlineStr">
        <is>
          <t>UPPSALA LÄN</t>
        </is>
      </c>
      <c r="E931" t="inlineStr">
        <is>
          <t>ENKÖPING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10212-2025</t>
        </is>
      </c>
      <c r="B932" s="1" t="n">
        <v>45719</v>
      </c>
      <c r="C932" s="1" t="n">
        <v>45845</v>
      </c>
      <c r="D932" t="inlineStr">
        <is>
          <t>UPPSALA LÄN</t>
        </is>
      </c>
      <c r="E932" t="inlineStr">
        <is>
          <t>ENKÖPING</t>
        </is>
      </c>
      <c r="G932" t="n">
        <v>1.5</v>
      </c>
      <c r="H932" t="n">
        <v>0</v>
      </c>
      <c r="I932" t="n">
        <v>0</v>
      </c>
      <c r="J932" t="n">
        <v>0</v>
      </c>
      <c r="K932" t="n">
        <v>0</v>
      </c>
      <c r="L932" t="n">
        <v>0</v>
      </c>
      <c r="M932" t="n">
        <v>0</v>
      </c>
      <c r="N932" t="n">
        <v>0</v>
      </c>
      <c r="O932" t="n">
        <v>0</v>
      </c>
      <c r="P932" t="n">
        <v>0</v>
      </c>
      <c r="Q932" t="n">
        <v>0</v>
      </c>
      <c r="R932" s="2" t="inlineStr"/>
    </row>
    <row r="933" ht="15" customHeight="1">
      <c r="A933" t="inlineStr">
        <is>
          <t>A 10468-2025</t>
        </is>
      </c>
      <c r="B933" s="1" t="n">
        <v>45720</v>
      </c>
      <c r="C933" s="1" t="n">
        <v>45845</v>
      </c>
      <c r="D933" t="inlineStr">
        <is>
          <t>UPPSALA LÄN</t>
        </is>
      </c>
      <c r="E933" t="inlineStr">
        <is>
          <t>ENKÖPING</t>
        </is>
      </c>
      <c r="G933" t="n">
        <v>1.6</v>
      </c>
      <c r="H933" t="n">
        <v>0</v>
      </c>
      <c r="I933" t="n">
        <v>0</v>
      </c>
      <c r="J933" t="n">
        <v>0</v>
      </c>
      <c r="K933" t="n">
        <v>0</v>
      </c>
      <c r="L933" t="n">
        <v>0</v>
      </c>
      <c r="M933" t="n">
        <v>0</v>
      </c>
      <c r="N933" t="n">
        <v>0</v>
      </c>
      <c r="O933" t="n">
        <v>0</v>
      </c>
      <c r="P933" t="n">
        <v>0</v>
      </c>
      <c r="Q933" t="n">
        <v>0</v>
      </c>
      <c r="R933" s="2" t="inlineStr"/>
    </row>
    <row r="934" ht="15" customHeight="1">
      <c r="A934" t="inlineStr">
        <is>
          <t>A 10409-2025</t>
        </is>
      </c>
      <c r="B934" s="1" t="n">
        <v>45720</v>
      </c>
      <c r="C934" s="1" t="n">
        <v>45845</v>
      </c>
      <c r="D934" t="inlineStr">
        <is>
          <t>UPPSALA LÄN</t>
        </is>
      </c>
      <c r="E934" t="inlineStr">
        <is>
          <t>ENKÖPING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10670-2025</t>
        </is>
      </c>
      <c r="B935" s="1" t="n">
        <v>45721</v>
      </c>
      <c r="C935" s="1" t="n">
        <v>45845</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11380-2025</t>
        </is>
      </c>
      <c r="B936" s="1" t="n">
        <v>45726</v>
      </c>
      <c r="C936" s="1" t="n">
        <v>45845</v>
      </c>
      <c r="D936" t="inlineStr">
        <is>
          <t>UPPSALA LÄN</t>
        </is>
      </c>
      <c r="E936" t="inlineStr">
        <is>
          <t>ENKÖPING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11604-2025</t>
        </is>
      </c>
      <c r="B937" s="1" t="n">
        <v>45727</v>
      </c>
      <c r="C937" s="1" t="n">
        <v>45845</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11627-2025</t>
        </is>
      </c>
      <c r="B938" s="1" t="n">
        <v>45727</v>
      </c>
      <c r="C938" s="1" t="n">
        <v>45845</v>
      </c>
      <c r="D938" t="inlineStr">
        <is>
          <t>UPPSALA LÄN</t>
        </is>
      </c>
      <c r="E938" t="inlineStr">
        <is>
          <t>ENKÖPING</t>
        </is>
      </c>
      <c r="G938" t="n">
        <v>5.5</v>
      </c>
      <c r="H938" t="n">
        <v>0</v>
      </c>
      <c r="I938" t="n">
        <v>0</v>
      </c>
      <c r="J938" t="n">
        <v>0</v>
      </c>
      <c r="K938" t="n">
        <v>0</v>
      </c>
      <c r="L938" t="n">
        <v>0</v>
      </c>
      <c r="M938" t="n">
        <v>0</v>
      </c>
      <c r="N938" t="n">
        <v>0</v>
      </c>
      <c r="O938" t="n">
        <v>0</v>
      </c>
      <c r="P938" t="n">
        <v>0</v>
      </c>
      <c r="Q938" t="n">
        <v>0</v>
      </c>
      <c r="R938" s="2" t="inlineStr"/>
    </row>
    <row r="939" ht="15" customHeight="1">
      <c r="A939" t="inlineStr">
        <is>
          <t>A 11918-2025</t>
        </is>
      </c>
      <c r="B939" s="1" t="n">
        <v>45728</v>
      </c>
      <c r="C939" s="1" t="n">
        <v>45845</v>
      </c>
      <c r="D939" t="inlineStr">
        <is>
          <t>UPPSALA LÄN</t>
        </is>
      </c>
      <c r="E939" t="inlineStr">
        <is>
          <t>ENKÖPING</t>
        </is>
      </c>
      <c r="G939" t="n">
        <v>1.2</v>
      </c>
      <c r="H939" t="n">
        <v>0</v>
      </c>
      <c r="I939" t="n">
        <v>0</v>
      </c>
      <c r="J939" t="n">
        <v>0</v>
      </c>
      <c r="K939" t="n">
        <v>0</v>
      </c>
      <c r="L939" t="n">
        <v>0</v>
      </c>
      <c r="M939" t="n">
        <v>0</v>
      </c>
      <c r="N939" t="n">
        <v>0</v>
      </c>
      <c r="O939" t="n">
        <v>0</v>
      </c>
      <c r="P939" t="n">
        <v>0</v>
      </c>
      <c r="Q939" t="n">
        <v>0</v>
      </c>
      <c r="R939" s="2" t="inlineStr"/>
    </row>
    <row r="940" ht="15" customHeight="1">
      <c r="A940" t="inlineStr">
        <is>
          <t>A 12755-2025</t>
        </is>
      </c>
      <c r="B940" s="1" t="n">
        <v>45733</v>
      </c>
      <c r="C940" s="1" t="n">
        <v>45845</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12754-2025</t>
        </is>
      </c>
      <c r="B941" s="1" t="n">
        <v>45733</v>
      </c>
      <c r="C941" s="1" t="n">
        <v>45845</v>
      </c>
      <c r="D941" t="inlineStr">
        <is>
          <t>UPPSALA LÄN</t>
        </is>
      </c>
      <c r="E941" t="inlineStr">
        <is>
          <t>ENKÖPING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12878-2025</t>
        </is>
      </c>
      <c r="B942" s="1" t="n">
        <v>45733</v>
      </c>
      <c r="C942" s="1" t="n">
        <v>45845</v>
      </c>
      <c r="D942" t="inlineStr">
        <is>
          <t>UPPSALA LÄN</t>
        </is>
      </c>
      <c r="E942" t="inlineStr">
        <is>
          <t>ENKÖPING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14243-2025</t>
        </is>
      </c>
      <c r="B943" s="1" t="n">
        <v>45740</v>
      </c>
      <c r="C943" s="1" t="n">
        <v>45845</v>
      </c>
      <c r="D943" t="inlineStr">
        <is>
          <t>UPPSALA LÄN</t>
        </is>
      </c>
      <c r="E943" t="inlineStr">
        <is>
          <t>ENKÖPING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14083-2025</t>
        </is>
      </c>
      <c r="B944" s="1" t="n">
        <v>45740</v>
      </c>
      <c r="C944" s="1" t="n">
        <v>45845</v>
      </c>
      <c r="D944" t="inlineStr">
        <is>
          <t>UPPSALA LÄN</t>
        </is>
      </c>
      <c r="E944" t="inlineStr">
        <is>
          <t>ENKÖPING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14104-2025</t>
        </is>
      </c>
      <c r="B945" s="1" t="n">
        <v>45740</v>
      </c>
      <c r="C945" s="1" t="n">
        <v>45845</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14517-2025</t>
        </is>
      </c>
      <c r="B946" s="1" t="n">
        <v>45741</v>
      </c>
      <c r="C946" s="1" t="n">
        <v>45845</v>
      </c>
      <c r="D946" t="inlineStr">
        <is>
          <t>UPPSALA LÄN</t>
        </is>
      </c>
      <c r="E946" t="inlineStr">
        <is>
          <t>ENKÖPING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14518-2025</t>
        </is>
      </c>
      <c r="B947" s="1" t="n">
        <v>45741</v>
      </c>
      <c r="C947" s="1" t="n">
        <v>45845</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14519-2025</t>
        </is>
      </c>
      <c r="B948" s="1" t="n">
        <v>45741</v>
      </c>
      <c r="C948" s="1" t="n">
        <v>45845</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15162-2025</t>
        </is>
      </c>
      <c r="B949" s="1" t="n">
        <v>45744</v>
      </c>
      <c r="C949" s="1" t="n">
        <v>45845</v>
      </c>
      <c r="D949" t="inlineStr">
        <is>
          <t>UPPSALA LÄN</t>
        </is>
      </c>
      <c r="E949" t="inlineStr">
        <is>
          <t>ENKÖPING</t>
        </is>
      </c>
      <c r="G949" t="n">
        <v>4.2</v>
      </c>
      <c r="H949" t="n">
        <v>0</v>
      </c>
      <c r="I949" t="n">
        <v>0</v>
      </c>
      <c r="J949" t="n">
        <v>0</v>
      </c>
      <c r="K949" t="n">
        <v>0</v>
      </c>
      <c r="L949" t="n">
        <v>0</v>
      </c>
      <c r="M949" t="n">
        <v>0</v>
      </c>
      <c r="N949" t="n">
        <v>0</v>
      </c>
      <c r="O949" t="n">
        <v>0</v>
      </c>
      <c r="P949" t="n">
        <v>0</v>
      </c>
      <c r="Q949" t="n">
        <v>0</v>
      </c>
      <c r="R949" s="2" t="inlineStr"/>
    </row>
    <row r="950" ht="15" customHeight="1">
      <c r="A950" t="inlineStr">
        <is>
          <t>A 15409-2025</t>
        </is>
      </c>
      <c r="B950" s="1" t="n">
        <v>45747</v>
      </c>
      <c r="C950" s="1" t="n">
        <v>45845</v>
      </c>
      <c r="D950" t="inlineStr">
        <is>
          <t>UPPSALA LÄN</t>
        </is>
      </c>
      <c r="E950" t="inlineStr">
        <is>
          <t>ENKÖPING</t>
        </is>
      </c>
      <c r="G950" t="n">
        <v>2.5</v>
      </c>
      <c r="H950" t="n">
        <v>0</v>
      </c>
      <c r="I950" t="n">
        <v>0</v>
      </c>
      <c r="J950" t="n">
        <v>0</v>
      </c>
      <c r="K950" t="n">
        <v>0</v>
      </c>
      <c r="L950" t="n">
        <v>0</v>
      </c>
      <c r="M950" t="n">
        <v>0</v>
      </c>
      <c r="N950" t="n">
        <v>0</v>
      </c>
      <c r="O950" t="n">
        <v>0</v>
      </c>
      <c r="P950" t="n">
        <v>0</v>
      </c>
      <c r="Q950" t="n">
        <v>0</v>
      </c>
      <c r="R950" s="2" t="inlineStr"/>
    </row>
    <row r="951" ht="15" customHeight="1">
      <c r="A951" t="inlineStr">
        <is>
          <t>A 15405-2025</t>
        </is>
      </c>
      <c r="B951" s="1" t="n">
        <v>45747</v>
      </c>
      <c r="C951" s="1" t="n">
        <v>45845</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15764-2025</t>
        </is>
      </c>
      <c r="B952" s="1" t="n">
        <v>45748</v>
      </c>
      <c r="C952" s="1" t="n">
        <v>45845</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15711-2025</t>
        </is>
      </c>
      <c r="B953" s="1" t="n">
        <v>45748</v>
      </c>
      <c r="C953" s="1" t="n">
        <v>45845</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15740-2025</t>
        </is>
      </c>
      <c r="B954" s="1" t="n">
        <v>45748</v>
      </c>
      <c r="C954" s="1" t="n">
        <v>45845</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16176-2025</t>
        </is>
      </c>
      <c r="B955" s="1" t="n">
        <v>45750</v>
      </c>
      <c r="C955" s="1" t="n">
        <v>45845</v>
      </c>
      <c r="D955" t="inlineStr">
        <is>
          <t>UPPSALA LÄN</t>
        </is>
      </c>
      <c r="E955" t="inlineStr">
        <is>
          <t>ENKÖPING</t>
        </is>
      </c>
      <c r="G955" t="n">
        <v>3.9</v>
      </c>
      <c r="H955" t="n">
        <v>0</v>
      </c>
      <c r="I955" t="n">
        <v>0</v>
      </c>
      <c r="J955" t="n">
        <v>0</v>
      </c>
      <c r="K955" t="n">
        <v>0</v>
      </c>
      <c r="L955" t="n">
        <v>0</v>
      </c>
      <c r="M955" t="n">
        <v>0</v>
      </c>
      <c r="N955" t="n">
        <v>0</v>
      </c>
      <c r="O955" t="n">
        <v>0</v>
      </c>
      <c r="P955" t="n">
        <v>0</v>
      </c>
      <c r="Q955" t="n">
        <v>0</v>
      </c>
      <c r="R955" s="2" t="inlineStr"/>
    </row>
    <row r="956" ht="15" customHeight="1">
      <c r="A956" t="inlineStr">
        <is>
          <t>A 16521-2025</t>
        </is>
      </c>
      <c r="B956" s="1" t="n">
        <v>45751</v>
      </c>
      <c r="C956" s="1" t="n">
        <v>45845</v>
      </c>
      <c r="D956" t="inlineStr">
        <is>
          <t>UPPSALA LÄN</t>
        </is>
      </c>
      <c r="E956" t="inlineStr">
        <is>
          <t>ENKÖPING</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17029-2025</t>
        </is>
      </c>
      <c r="B957" s="1" t="n">
        <v>45755</v>
      </c>
      <c r="C957" s="1" t="n">
        <v>45845</v>
      </c>
      <c r="D957" t="inlineStr">
        <is>
          <t>UPPSALA LÄN</t>
        </is>
      </c>
      <c r="E957" t="inlineStr">
        <is>
          <t>ENKÖPING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17038-2025</t>
        </is>
      </c>
      <c r="B958" s="1" t="n">
        <v>45755</v>
      </c>
      <c r="C958" s="1" t="n">
        <v>45845</v>
      </c>
      <c r="D958" t="inlineStr">
        <is>
          <t>UPPSALA LÄN</t>
        </is>
      </c>
      <c r="E958" t="inlineStr">
        <is>
          <t>ENKÖPING</t>
        </is>
      </c>
      <c r="G958" t="n">
        <v>4.8</v>
      </c>
      <c r="H958" t="n">
        <v>0</v>
      </c>
      <c r="I958" t="n">
        <v>0</v>
      </c>
      <c r="J958" t="n">
        <v>0</v>
      </c>
      <c r="K958" t="n">
        <v>0</v>
      </c>
      <c r="L958" t="n">
        <v>0</v>
      </c>
      <c r="M958" t="n">
        <v>0</v>
      </c>
      <c r="N958" t="n">
        <v>0</v>
      </c>
      <c r="O958" t="n">
        <v>0</v>
      </c>
      <c r="P958" t="n">
        <v>0</v>
      </c>
      <c r="Q958" t="n">
        <v>0</v>
      </c>
      <c r="R958" s="2" t="inlineStr"/>
    </row>
    <row r="959" ht="15" customHeight="1">
      <c r="A959" t="inlineStr">
        <is>
          <t>A 17165-2025</t>
        </is>
      </c>
      <c r="B959" s="1" t="n">
        <v>45756</v>
      </c>
      <c r="C959" s="1" t="n">
        <v>45845</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17844-2025</t>
        </is>
      </c>
      <c r="B960" s="1" t="n">
        <v>45758</v>
      </c>
      <c r="C960" s="1" t="n">
        <v>45845</v>
      </c>
      <c r="D960" t="inlineStr">
        <is>
          <t>UPPSALA LÄN</t>
        </is>
      </c>
      <c r="E960" t="inlineStr">
        <is>
          <t>ENKÖPING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17657-2025</t>
        </is>
      </c>
      <c r="B961" s="1" t="n">
        <v>45758</v>
      </c>
      <c r="C961" s="1" t="n">
        <v>45845</v>
      </c>
      <c r="D961" t="inlineStr">
        <is>
          <t>UPPSALA LÄN</t>
        </is>
      </c>
      <c r="E961" t="inlineStr">
        <is>
          <t>ENKÖPING</t>
        </is>
      </c>
      <c r="G961" t="n">
        <v>3</v>
      </c>
      <c r="H961" t="n">
        <v>0</v>
      </c>
      <c r="I961" t="n">
        <v>0</v>
      </c>
      <c r="J961" t="n">
        <v>0</v>
      </c>
      <c r="K961" t="n">
        <v>0</v>
      </c>
      <c r="L961" t="n">
        <v>0</v>
      </c>
      <c r="M961" t="n">
        <v>0</v>
      </c>
      <c r="N961" t="n">
        <v>0</v>
      </c>
      <c r="O961" t="n">
        <v>0</v>
      </c>
      <c r="P961" t="n">
        <v>0</v>
      </c>
      <c r="Q961" t="n">
        <v>0</v>
      </c>
      <c r="R961" s="2" t="inlineStr"/>
    </row>
    <row r="962" ht="15" customHeight="1">
      <c r="A962" t="inlineStr">
        <is>
          <t>A 18038-2025</t>
        </is>
      </c>
      <c r="B962" s="1" t="n">
        <v>45761</v>
      </c>
      <c r="C962" s="1" t="n">
        <v>45845</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17979-2025</t>
        </is>
      </c>
      <c r="B963" s="1" t="n">
        <v>45761</v>
      </c>
      <c r="C963" s="1" t="n">
        <v>45845</v>
      </c>
      <c r="D963" t="inlineStr">
        <is>
          <t>UPPSALA LÄN</t>
        </is>
      </c>
      <c r="E963" t="inlineStr">
        <is>
          <t>ENKÖPING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18299-2025</t>
        </is>
      </c>
      <c r="B964" s="1" t="n">
        <v>45762</v>
      </c>
      <c r="C964" s="1" t="n">
        <v>45845</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18259-2025</t>
        </is>
      </c>
      <c r="B965" s="1" t="n">
        <v>45762</v>
      </c>
      <c r="C965" s="1" t="n">
        <v>45845</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18302-2025</t>
        </is>
      </c>
      <c r="B966" s="1" t="n">
        <v>45762</v>
      </c>
      <c r="C966" s="1" t="n">
        <v>45845</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18986-2025</t>
        </is>
      </c>
      <c r="B967" s="1" t="n">
        <v>45764</v>
      </c>
      <c r="C967" s="1" t="n">
        <v>45845</v>
      </c>
      <c r="D967" t="inlineStr">
        <is>
          <t>UPPSALA LÄN</t>
        </is>
      </c>
      <c r="E967" t="inlineStr">
        <is>
          <t>ENKÖPING</t>
        </is>
      </c>
      <c r="G967" t="n">
        <v>6.9</v>
      </c>
      <c r="H967" t="n">
        <v>0</v>
      </c>
      <c r="I967" t="n">
        <v>0</v>
      </c>
      <c r="J967" t="n">
        <v>0</v>
      </c>
      <c r="K967" t="n">
        <v>0</v>
      </c>
      <c r="L967" t="n">
        <v>0</v>
      </c>
      <c r="M967" t="n">
        <v>0</v>
      </c>
      <c r="N967" t="n">
        <v>0</v>
      </c>
      <c r="O967" t="n">
        <v>0</v>
      </c>
      <c r="P967" t="n">
        <v>0</v>
      </c>
      <c r="Q967" t="n">
        <v>0</v>
      </c>
      <c r="R967" s="2" t="inlineStr"/>
    </row>
    <row r="968" ht="15" customHeight="1">
      <c r="A968" t="inlineStr">
        <is>
          <t>A 18994-2025</t>
        </is>
      </c>
      <c r="B968" s="1" t="n">
        <v>45764</v>
      </c>
      <c r="C968" s="1" t="n">
        <v>45845</v>
      </c>
      <c r="D968" t="inlineStr">
        <is>
          <t>UPPSALA LÄN</t>
        </is>
      </c>
      <c r="E968" t="inlineStr">
        <is>
          <t>ENKÖPING</t>
        </is>
      </c>
      <c r="G968" t="n">
        <v>3.8</v>
      </c>
      <c r="H968" t="n">
        <v>0</v>
      </c>
      <c r="I968" t="n">
        <v>0</v>
      </c>
      <c r="J968" t="n">
        <v>0</v>
      </c>
      <c r="K968" t="n">
        <v>0</v>
      </c>
      <c r="L968" t="n">
        <v>0</v>
      </c>
      <c r="M968" t="n">
        <v>0</v>
      </c>
      <c r="N968" t="n">
        <v>0</v>
      </c>
      <c r="O968" t="n">
        <v>0</v>
      </c>
      <c r="P968" t="n">
        <v>0</v>
      </c>
      <c r="Q968" t="n">
        <v>0</v>
      </c>
      <c r="R968" s="2" t="inlineStr"/>
    </row>
    <row r="969" ht="15" customHeight="1">
      <c r="A969" t="inlineStr">
        <is>
          <t>A 19014-2025</t>
        </is>
      </c>
      <c r="B969" s="1" t="n">
        <v>45764</v>
      </c>
      <c r="C969" s="1" t="n">
        <v>45845</v>
      </c>
      <c r="D969" t="inlineStr">
        <is>
          <t>UPPSALA LÄN</t>
        </is>
      </c>
      <c r="E969" t="inlineStr">
        <is>
          <t>ENKÖPING</t>
        </is>
      </c>
      <c r="G969" t="n">
        <v>0.2</v>
      </c>
      <c r="H969" t="n">
        <v>0</v>
      </c>
      <c r="I969" t="n">
        <v>0</v>
      </c>
      <c r="J969" t="n">
        <v>0</v>
      </c>
      <c r="K969" t="n">
        <v>0</v>
      </c>
      <c r="L969" t="n">
        <v>0</v>
      </c>
      <c r="M969" t="n">
        <v>0</v>
      </c>
      <c r="N969" t="n">
        <v>0</v>
      </c>
      <c r="O969" t="n">
        <v>0</v>
      </c>
      <c r="P969" t="n">
        <v>0</v>
      </c>
      <c r="Q969" t="n">
        <v>0</v>
      </c>
      <c r="R969" s="2" t="inlineStr"/>
    </row>
    <row r="970" ht="15" customHeight="1">
      <c r="A970" t="inlineStr">
        <is>
          <t>A 19013-2025</t>
        </is>
      </c>
      <c r="B970" s="1" t="n">
        <v>45764</v>
      </c>
      <c r="C970" s="1" t="n">
        <v>45845</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20440-2025</t>
        </is>
      </c>
      <c r="B971" s="1" t="n">
        <v>45775</v>
      </c>
      <c r="C971" s="1" t="n">
        <v>45845</v>
      </c>
      <c r="D971" t="inlineStr">
        <is>
          <t>UPPSALA LÄN</t>
        </is>
      </c>
      <c r="E971" t="inlineStr">
        <is>
          <t>ENKÖPING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21501-2025</t>
        </is>
      </c>
      <c r="B972" s="1" t="n">
        <v>45782</v>
      </c>
      <c r="C972" s="1" t="n">
        <v>45845</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21970-2025</t>
        </is>
      </c>
      <c r="B973" s="1" t="n">
        <v>45784</v>
      </c>
      <c r="C973" s="1" t="n">
        <v>45845</v>
      </c>
      <c r="D973" t="inlineStr">
        <is>
          <t>UPPSALA LÄN</t>
        </is>
      </c>
      <c r="E973" t="inlineStr">
        <is>
          <t>ENKÖPING</t>
        </is>
      </c>
      <c r="G973" t="n">
        <v>5.3</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45845</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45845</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45845</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45845</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45845</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45845</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45845</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45845</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45845</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45845</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45845</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45845</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45845</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45845</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45845</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45845</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45845</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45845</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45845</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45845</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45845</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45845</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45845</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45845</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45845</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45845</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45845</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45845</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45845</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45845</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45845</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45845</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45845</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27837-2025</t>
        </is>
      </c>
      <c r="B1007" s="1" t="n">
        <v>45817</v>
      </c>
      <c r="C1007" s="1" t="n">
        <v>45845</v>
      </c>
      <c r="D1007" t="inlineStr">
        <is>
          <t>UPPSALA LÄN</t>
        </is>
      </c>
      <c r="E1007" t="inlineStr">
        <is>
          <t>ENKÖPING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27829-2025</t>
        </is>
      </c>
      <c r="B1008" s="1" t="n">
        <v>45817</v>
      </c>
      <c r="C1008" s="1" t="n">
        <v>45845</v>
      </c>
      <c r="D1008" t="inlineStr">
        <is>
          <t>UPPSALA LÄN</t>
        </is>
      </c>
      <c r="E1008" t="inlineStr">
        <is>
          <t>ENKÖPING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28758-2025</t>
        </is>
      </c>
      <c r="B1009" s="1" t="n">
        <v>45820</v>
      </c>
      <c r="C1009" s="1" t="n">
        <v>45845</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28862-2025</t>
        </is>
      </c>
      <c r="B1010" s="1" t="n">
        <v>45820</v>
      </c>
      <c r="C1010" s="1" t="n">
        <v>45845</v>
      </c>
      <c r="D1010" t="inlineStr">
        <is>
          <t>UPPSALA LÄN</t>
        </is>
      </c>
      <c r="E1010" t="inlineStr">
        <is>
          <t>ENKÖPING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28855-2025</t>
        </is>
      </c>
      <c r="B1011" s="1" t="n">
        <v>45820</v>
      </c>
      <c r="C1011" s="1" t="n">
        <v>45845</v>
      </c>
      <c r="D1011" t="inlineStr">
        <is>
          <t>UPPSALA LÄN</t>
        </is>
      </c>
      <c r="E1011" t="inlineStr">
        <is>
          <t>ENKÖPING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45845</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45845</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45845</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45845</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32031-2025</t>
        </is>
      </c>
      <c r="B1016" s="1" t="n">
        <v>45835</v>
      </c>
      <c r="C1016" s="1" t="n">
        <v>45845</v>
      </c>
      <c r="D1016" t="inlineStr">
        <is>
          <t>UPPSALA LÄN</t>
        </is>
      </c>
      <c r="E1016" t="inlineStr">
        <is>
          <t>ENKÖPING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32111-2025</t>
        </is>
      </c>
      <c r="B1017" s="1" t="n">
        <v>45835</v>
      </c>
      <c r="C1017" s="1" t="n">
        <v>45845</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c r="A1018" t="inlineStr">
        <is>
          <t>A 32477-2025</t>
        </is>
      </c>
      <c r="B1018" s="1" t="n">
        <v>45838</v>
      </c>
      <c r="C1018" s="1" t="n">
        <v>45845</v>
      </c>
      <c r="D1018" t="inlineStr">
        <is>
          <t>UPPSALA LÄN</t>
        </is>
      </c>
      <c r="E1018" t="inlineStr">
        <is>
          <t>ENKÖPING</t>
        </is>
      </c>
      <c r="G1018" t="n">
        <v>2.7</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2025-07-07T19:41:56Z</dcterms:created>
  <dcterms:modified xmlns:dcterms="http://purl.org/dc/terms/" xmlns:xsi="http://www.w3.org/2001/XMLSchema-instance" xsi:type="dcterms:W3CDTF">2025-07-07T19:41:57Z</dcterms:modified>
</cp:coreProperties>
</file>