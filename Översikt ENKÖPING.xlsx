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45738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45738</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45738</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45738</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45738</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45738</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45738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45738</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45738</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45738</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45738</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45738</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45738</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45738</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45738</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45738</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45738</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45738</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45738</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45738</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45738</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45738</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45738</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45738</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45738</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45738</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45738</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45738</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45738</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45738</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45738</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45738</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45738</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45738</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45738</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45738</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45738</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45738</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45738</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45738</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45738</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45738</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45738</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45738</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45738</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45738</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45738</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45738</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45738</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45738</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45738</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45738</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45738</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45738</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45738</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45738</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10671-2025</t>
        </is>
      </c>
      <c r="B58" s="1" t="n">
        <v>45721</v>
      </c>
      <c r="C58" s="1" t="n">
        <v>45738</v>
      </c>
      <c r="D58" t="inlineStr">
        <is>
          <t>UPPSALA LÄN</t>
        </is>
      </c>
      <c r="E58" t="inlineStr">
        <is>
          <t>ENKÖPING</t>
        </is>
      </c>
      <c r="G58" t="n">
        <v>5.1</v>
      </c>
      <c r="H58" t="n">
        <v>1</v>
      </c>
      <c r="I58" t="n">
        <v>1</v>
      </c>
      <c r="J58" t="n">
        <v>0</v>
      </c>
      <c r="K58" t="n">
        <v>0</v>
      </c>
      <c r="L58" t="n">
        <v>0</v>
      </c>
      <c r="M58" t="n">
        <v>0</v>
      </c>
      <c r="N58" t="n">
        <v>0</v>
      </c>
      <c r="O58" t="n">
        <v>0</v>
      </c>
      <c r="P58" t="n">
        <v>0</v>
      </c>
      <c r="Q58" t="n">
        <v>1</v>
      </c>
      <c r="R58" s="2" t="inlineStr">
        <is>
          <t>Korallrot</t>
        </is>
      </c>
      <c r="S58">
        <f>HYPERLINK("https://klasma.github.io/Logging_0381/artfynd/A 10671-2025 artfynd.xlsx", "A 10671-2025")</f>
        <v/>
      </c>
      <c r="T58">
        <f>HYPERLINK("https://klasma.github.io/Logging_0381/kartor/A 10671-2025 karta.png", "A 10671-2025")</f>
        <v/>
      </c>
      <c r="V58">
        <f>HYPERLINK("https://klasma.github.io/Logging_0381/klagomål/A 10671-2025 FSC-klagomål.docx", "A 10671-2025")</f>
        <v/>
      </c>
      <c r="W58">
        <f>HYPERLINK("https://klasma.github.io/Logging_0381/klagomålsmail/A 10671-2025 FSC-klagomål mail.docx", "A 10671-2025")</f>
        <v/>
      </c>
      <c r="X58">
        <f>HYPERLINK("https://klasma.github.io/Logging_0381/tillsyn/A 10671-2025 tillsynsbegäran.docx", "A 10671-2025")</f>
        <v/>
      </c>
      <c r="Y58">
        <f>HYPERLINK("https://klasma.github.io/Logging_0381/tillsynsmail/A 10671-2025 tillsynsbegäran mail.docx", "A 10671-2025")</f>
        <v/>
      </c>
    </row>
    <row r="59" ht="15" customHeight="1">
      <c r="A59" t="inlineStr">
        <is>
          <t>A 11018-2025</t>
        </is>
      </c>
      <c r="B59" s="1" t="n">
        <v>45723</v>
      </c>
      <c r="C59" s="1" t="n">
        <v>45738</v>
      </c>
      <c r="D59" t="inlineStr">
        <is>
          <t>UPPSALA LÄN</t>
        </is>
      </c>
      <c r="E59" t="inlineStr">
        <is>
          <t>ENKÖPING</t>
        </is>
      </c>
      <c r="G59" t="n">
        <v>1.6</v>
      </c>
      <c r="H59" t="n">
        <v>0</v>
      </c>
      <c r="I59" t="n">
        <v>0</v>
      </c>
      <c r="J59" t="n">
        <v>0</v>
      </c>
      <c r="K59" t="n">
        <v>0</v>
      </c>
      <c r="L59" t="n">
        <v>1</v>
      </c>
      <c r="M59" t="n">
        <v>0</v>
      </c>
      <c r="N59" t="n">
        <v>0</v>
      </c>
      <c r="O59" t="n">
        <v>1</v>
      </c>
      <c r="P59" t="n">
        <v>1</v>
      </c>
      <c r="Q59" t="n">
        <v>1</v>
      </c>
      <c r="R59" s="2" t="inlineStr">
        <is>
          <t>Ask</t>
        </is>
      </c>
      <c r="S59">
        <f>HYPERLINK("https://klasma.github.io/Logging_0381/artfynd/A 11018-2025 artfynd.xlsx", "A 11018-2025")</f>
        <v/>
      </c>
      <c r="T59">
        <f>HYPERLINK("https://klasma.github.io/Logging_0381/kartor/A 11018-2025 karta.png", "A 11018-2025")</f>
        <v/>
      </c>
      <c r="V59">
        <f>HYPERLINK("https://klasma.github.io/Logging_0381/klagomål/A 11018-2025 FSC-klagomål.docx", "A 11018-2025")</f>
        <v/>
      </c>
      <c r="W59">
        <f>HYPERLINK("https://klasma.github.io/Logging_0381/klagomålsmail/A 11018-2025 FSC-klagomål mail.docx", "A 11018-2025")</f>
        <v/>
      </c>
      <c r="X59">
        <f>HYPERLINK("https://klasma.github.io/Logging_0381/tillsyn/A 11018-2025 tillsynsbegäran.docx", "A 11018-2025")</f>
        <v/>
      </c>
      <c r="Y59">
        <f>HYPERLINK("https://klasma.github.io/Logging_0381/tillsynsmail/A 11018-2025 tillsynsbegäran mail.docx", "A 11018-2025")</f>
        <v/>
      </c>
    </row>
    <row r="60" ht="15" customHeight="1">
      <c r="A60" t="inlineStr">
        <is>
          <t>A 11015-2025</t>
        </is>
      </c>
      <c r="B60" s="1" t="n">
        <v>45723</v>
      </c>
      <c r="C60" s="1" t="n">
        <v>45738</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HYPERLINK("https://klasma.github.io/Logging_0381/artfynd/A 11015-2025 artfynd.xlsx", "A 11015-2025")</f>
        <v/>
      </c>
      <c r="T60">
        <f>HYPERLINK("https://klasma.github.io/Logging_0381/kartor/A 11015-2025 karta.png", "A 11015-2025")</f>
        <v/>
      </c>
      <c r="V60">
        <f>HYPERLINK("https://klasma.github.io/Logging_0381/klagomål/A 11015-2025 FSC-klagomål.docx", "A 11015-2025")</f>
        <v/>
      </c>
      <c r="W60">
        <f>HYPERLINK("https://klasma.github.io/Logging_0381/klagomålsmail/A 11015-2025 FSC-klagomål mail.docx", "A 11015-2025")</f>
        <v/>
      </c>
      <c r="X60">
        <f>HYPERLINK("https://klasma.github.io/Logging_0381/tillsyn/A 11015-2025 tillsynsbegäran.docx", "A 11015-2025")</f>
        <v/>
      </c>
      <c r="Y60">
        <f>HYPERLINK("https://klasma.github.io/Logging_0381/tillsynsmail/A 11015-2025 tillsynsbegäran mail.docx", "A 11015-2025")</f>
        <v/>
      </c>
    </row>
    <row r="61" ht="15" customHeight="1">
      <c r="A61" t="inlineStr">
        <is>
          <t>A 18148-2019</t>
        </is>
      </c>
      <c r="B61" s="1" t="n">
        <v>43558</v>
      </c>
      <c r="C61" s="1" t="n">
        <v>45738</v>
      </c>
      <c r="D61" t="inlineStr">
        <is>
          <t>UPPSALA LÄN</t>
        </is>
      </c>
      <c r="E61" t="inlineStr">
        <is>
          <t>ENKÖPING</t>
        </is>
      </c>
      <c r="G61" t="n">
        <v>4.5</v>
      </c>
      <c r="H61" t="n">
        <v>0</v>
      </c>
      <c r="I61" t="n">
        <v>0</v>
      </c>
      <c r="J61" t="n">
        <v>0</v>
      </c>
      <c r="K61" t="n">
        <v>0</v>
      </c>
      <c r="L61" t="n">
        <v>0</v>
      </c>
      <c r="M61" t="n">
        <v>0</v>
      </c>
      <c r="N61" t="n">
        <v>0</v>
      </c>
      <c r="O61" t="n">
        <v>0</v>
      </c>
      <c r="P61" t="n">
        <v>0</v>
      </c>
      <c r="Q61" t="n">
        <v>0</v>
      </c>
      <c r="R61" s="2" t="inlineStr"/>
    </row>
    <row r="62" ht="15" customHeight="1">
      <c r="A62" t="inlineStr">
        <is>
          <t>A 22750-2019</t>
        </is>
      </c>
      <c r="B62" s="1" t="n">
        <v>43588</v>
      </c>
      <c r="C62" s="1" t="n">
        <v>45738</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23328-2019</t>
        </is>
      </c>
      <c r="B63" s="1" t="n">
        <v>43593</v>
      </c>
      <c r="C63" s="1" t="n">
        <v>45738</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26926-2019</t>
        </is>
      </c>
      <c r="B64" s="1" t="n">
        <v>43613</v>
      </c>
      <c r="C64" s="1" t="n">
        <v>45738</v>
      </c>
      <c r="D64" t="inlineStr">
        <is>
          <t>UPPSALA LÄN</t>
        </is>
      </c>
      <c r="E64" t="inlineStr">
        <is>
          <t>ENKÖPING</t>
        </is>
      </c>
      <c r="G64" t="n">
        <v>1.4</v>
      </c>
      <c r="H64" t="n">
        <v>0</v>
      </c>
      <c r="I64" t="n">
        <v>0</v>
      </c>
      <c r="J64" t="n">
        <v>0</v>
      </c>
      <c r="K64" t="n">
        <v>0</v>
      </c>
      <c r="L64" t="n">
        <v>0</v>
      </c>
      <c r="M64" t="n">
        <v>0</v>
      </c>
      <c r="N64" t="n">
        <v>0</v>
      </c>
      <c r="O64" t="n">
        <v>0</v>
      </c>
      <c r="P64" t="n">
        <v>0</v>
      </c>
      <c r="Q64" t="n">
        <v>0</v>
      </c>
      <c r="R64" s="2" t="inlineStr"/>
    </row>
    <row r="65" ht="15" customHeight="1">
      <c r="A65" t="inlineStr">
        <is>
          <t>A 28134-2019</t>
        </is>
      </c>
      <c r="B65" s="1" t="n">
        <v>43621</v>
      </c>
      <c r="C65" s="1" t="n">
        <v>45738</v>
      </c>
      <c r="D65" t="inlineStr">
        <is>
          <t>UPPSALA LÄN</t>
        </is>
      </c>
      <c r="E65" t="inlineStr">
        <is>
          <t>ENKÖPING</t>
        </is>
      </c>
      <c r="G65" t="n">
        <v>0.9</v>
      </c>
      <c r="H65" t="n">
        <v>0</v>
      </c>
      <c r="I65" t="n">
        <v>0</v>
      </c>
      <c r="J65" t="n">
        <v>0</v>
      </c>
      <c r="K65" t="n">
        <v>0</v>
      </c>
      <c r="L65" t="n">
        <v>0</v>
      </c>
      <c r="M65" t="n">
        <v>0</v>
      </c>
      <c r="N65" t="n">
        <v>0</v>
      </c>
      <c r="O65" t="n">
        <v>0</v>
      </c>
      <c r="P65" t="n">
        <v>0</v>
      </c>
      <c r="Q65" t="n">
        <v>0</v>
      </c>
      <c r="R65" s="2" t="inlineStr"/>
    </row>
    <row r="66" ht="15" customHeight="1">
      <c r="A66" t="inlineStr">
        <is>
          <t>A 30036-2019</t>
        </is>
      </c>
      <c r="B66" s="1" t="n">
        <v>43633</v>
      </c>
      <c r="C66" s="1" t="n">
        <v>45738</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29979-2019</t>
        </is>
      </c>
      <c r="B67" s="1" t="n">
        <v>43633</v>
      </c>
      <c r="C67" s="1" t="n">
        <v>45738</v>
      </c>
      <c r="D67" t="inlineStr">
        <is>
          <t>UPPSALA LÄN</t>
        </is>
      </c>
      <c r="E67" t="inlineStr">
        <is>
          <t>ENKÖPING</t>
        </is>
      </c>
      <c r="G67" t="n">
        <v>2.3</v>
      </c>
      <c r="H67" t="n">
        <v>0</v>
      </c>
      <c r="I67" t="n">
        <v>0</v>
      </c>
      <c r="J67" t="n">
        <v>0</v>
      </c>
      <c r="K67" t="n">
        <v>0</v>
      </c>
      <c r="L67" t="n">
        <v>0</v>
      </c>
      <c r="M67" t="n">
        <v>0</v>
      </c>
      <c r="N67" t="n">
        <v>0</v>
      </c>
      <c r="O67" t="n">
        <v>0</v>
      </c>
      <c r="P67" t="n">
        <v>0</v>
      </c>
      <c r="Q67" t="n">
        <v>0</v>
      </c>
      <c r="R67" s="2" t="inlineStr"/>
    </row>
    <row r="68" ht="15" customHeight="1">
      <c r="A68" t="inlineStr">
        <is>
          <t>A 31081-2019</t>
        </is>
      </c>
      <c r="B68" s="1" t="n">
        <v>43640</v>
      </c>
      <c r="C68" s="1" t="n">
        <v>45738</v>
      </c>
      <c r="D68" t="inlineStr">
        <is>
          <t>UPPSALA LÄN</t>
        </is>
      </c>
      <c r="E68" t="inlineStr">
        <is>
          <t>ENKÖPING</t>
        </is>
      </c>
      <c r="G68" t="n">
        <v>3.1</v>
      </c>
      <c r="H68" t="n">
        <v>0</v>
      </c>
      <c r="I68" t="n">
        <v>0</v>
      </c>
      <c r="J68" t="n">
        <v>0</v>
      </c>
      <c r="K68" t="n">
        <v>0</v>
      </c>
      <c r="L68" t="n">
        <v>0</v>
      </c>
      <c r="M68" t="n">
        <v>0</v>
      </c>
      <c r="N68" t="n">
        <v>0</v>
      </c>
      <c r="O68" t="n">
        <v>0</v>
      </c>
      <c r="P68" t="n">
        <v>0</v>
      </c>
      <c r="Q68" t="n">
        <v>0</v>
      </c>
      <c r="R68" s="2" t="inlineStr"/>
    </row>
    <row r="69" ht="15" customHeight="1">
      <c r="A69" t="inlineStr">
        <is>
          <t>A 31074-2019</t>
        </is>
      </c>
      <c r="B69" s="1" t="n">
        <v>43640</v>
      </c>
      <c r="C69" s="1" t="n">
        <v>45738</v>
      </c>
      <c r="D69" t="inlineStr">
        <is>
          <t>UPPSALA LÄN</t>
        </is>
      </c>
      <c r="E69" t="inlineStr">
        <is>
          <t>ENKÖPING</t>
        </is>
      </c>
      <c r="G69" t="n">
        <v>1.3</v>
      </c>
      <c r="H69" t="n">
        <v>0</v>
      </c>
      <c r="I69" t="n">
        <v>0</v>
      </c>
      <c r="J69" t="n">
        <v>0</v>
      </c>
      <c r="K69" t="n">
        <v>0</v>
      </c>
      <c r="L69" t="n">
        <v>0</v>
      </c>
      <c r="M69" t="n">
        <v>0</v>
      </c>
      <c r="N69" t="n">
        <v>0</v>
      </c>
      <c r="O69" t="n">
        <v>0</v>
      </c>
      <c r="P69" t="n">
        <v>0</v>
      </c>
      <c r="Q69" t="n">
        <v>0</v>
      </c>
      <c r="R69" s="2" t="inlineStr"/>
    </row>
    <row r="70" ht="15" customHeight="1">
      <c r="A70" t="inlineStr">
        <is>
          <t>A 32310-2019</t>
        </is>
      </c>
      <c r="B70" s="1" t="n">
        <v>43644</v>
      </c>
      <c r="C70" s="1" t="n">
        <v>45738</v>
      </c>
      <c r="D70" t="inlineStr">
        <is>
          <t>UPPSALA LÄN</t>
        </is>
      </c>
      <c r="E70" t="inlineStr">
        <is>
          <t>ENKÖPING</t>
        </is>
      </c>
      <c r="G70" t="n">
        <v>2.7</v>
      </c>
      <c r="H70" t="n">
        <v>0</v>
      </c>
      <c r="I70" t="n">
        <v>0</v>
      </c>
      <c r="J70" t="n">
        <v>0</v>
      </c>
      <c r="K70" t="n">
        <v>0</v>
      </c>
      <c r="L70" t="n">
        <v>0</v>
      </c>
      <c r="M70" t="n">
        <v>0</v>
      </c>
      <c r="N70" t="n">
        <v>0</v>
      </c>
      <c r="O70" t="n">
        <v>0</v>
      </c>
      <c r="P70" t="n">
        <v>0</v>
      </c>
      <c r="Q70" t="n">
        <v>0</v>
      </c>
      <c r="R70" s="2" t="inlineStr"/>
    </row>
    <row r="71" ht="15" customHeight="1">
      <c r="A71" t="inlineStr">
        <is>
          <t>A 32640-2019</t>
        </is>
      </c>
      <c r="B71" s="1" t="n">
        <v>43647</v>
      </c>
      <c r="C71" s="1" t="n">
        <v>45738</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33339-2019</t>
        </is>
      </c>
      <c r="B72" s="1" t="n">
        <v>43650</v>
      </c>
      <c r="C72" s="1" t="n">
        <v>45738</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35752-2019</t>
        </is>
      </c>
      <c r="B73" s="1" t="n">
        <v>43665</v>
      </c>
      <c r="C73" s="1" t="n">
        <v>45738</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36370-2019</t>
        </is>
      </c>
      <c r="B74" s="1" t="n">
        <v>43670</v>
      </c>
      <c r="C74" s="1" t="n">
        <v>45738</v>
      </c>
      <c r="D74" t="inlineStr">
        <is>
          <t>UPPSALA LÄN</t>
        </is>
      </c>
      <c r="E74" t="inlineStr">
        <is>
          <t>ENKÖPING</t>
        </is>
      </c>
      <c r="G74" t="n">
        <v>26.9</v>
      </c>
      <c r="H74" t="n">
        <v>0</v>
      </c>
      <c r="I74" t="n">
        <v>0</v>
      </c>
      <c r="J74" t="n">
        <v>0</v>
      </c>
      <c r="K74" t="n">
        <v>0</v>
      </c>
      <c r="L74" t="n">
        <v>0</v>
      </c>
      <c r="M74" t="n">
        <v>0</v>
      </c>
      <c r="N74" t="n">
        <v>0</v>
      </c>
      <c r="O74" t="n">
        <v>0</v>
      </c>
      <c r="P74" t="n">
        <v>0</v>
      </c>
      <c r="Q74" t="n">
        <v>0</v>
      </c>
      <c r="R74" s="2" t="inlineStr"/>
    </row>
    <row r="75" ht="15" customHeight="1">
      <c r="A75" t="inlineStr">
        <is>
          <t>A 36733-2019</t>
        </is>
      </c>
      <c r="B75" s="1" t="n">
        <v>43672</v>
      </c>
      <c r="C75" s="1" t="n">
        <v>45738</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37519-2019</t>
        </is>
      </c>
      <c r="B76" s="1" t="n">
        <v>43679</v>
      </c>
      <c r="C76" s="1" t="n">
        <v>45738</v>
      </c>
      <c r="D76" t="inlineStr">
        <is>
          <t>UPPSALA LÄN</t>
        </is>
      </c>
      <c r="E76" t="inlineStr">
        <is>
          <t>ENKÖPING</t>
        </is>
      </c>
      <c r="G76" t="n">
        <v>1</v>
      </c>
      <c r="H76" t="n">
        <v>0</v>
      </c>
      <c r="I76" t="n">
        <v>0</v>
      </c>
      <c r="J76" t="n">
        <v>0</v>
      </c>
      <c r="K76" t="n">
        <v>0</v>
      </c>
      <c r="L76" t="n">
        <v>0</v>
      </c>
      <c r="M76" t="n">
        <v>0</v>
      </c>
      <c r="N76" t="n">
        <v>0</v>
      </c>
      <c r="O76" t="n">
        <v>0</v>
      </c>
      <c r="P76" t="n">
        <v>0</v>
      </c>
      <c r="Q76" t="n">
        <v>0</v>
      </c>
      <c r="R76" s="2" t="inlineStr"/>
    </row>
    <row r="77" ht="15" customHeight="1">
      <c r="A77" t="inlineStr">
        <is>
          <t>A 37702-2019</t>
        </is>
      </c>
      <c r="B77" s="1" t="n">
        <v>43682</v>
      </c>
      <c r="C77" s="1" t="n">
        <v>45738</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37700-2019</t>
        </is>
      </c>
      <c r="B78" s="1" t="n">
        <v>43682</v>
      </c>
      <c r="C78" s="1" t="n">
        <v>45738</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37936-2019</t>
        </is>
      </c>
      <c r="B79" s="1" t="n">
        <v>43683</v>
      </c>
      <c r="C79" s="1" t="n">
        <v>45738</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38204-2019</t>
        </is>
      </c>
      <c r="B80" s="1" t="n">
        <v>43683</v>
      </c>
      <c r="C80" s="1" t="n">
        <v>45738</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38189-2019</t>
        </is>
      </c>
      <c r="B81" s="1" t="n">
        <v>43684</v>
      </c>
      <c r="C81" s="1" t="n">
        <v>45738</v>
      </c>
      <c r="D81" t="inlineStr">
        <is>
          <t>UPPSALA LÄN</t>
        </is>
      </c>
      <c r="E81" t="inlineStr">
        <is>
          <t>ENKÖPING</t>
        </is>
      </c>
      <c r="G81" t="n">
        <v>1.3</v>
      </c>
      <c r="H81" t="n">
        <v>0</v>
      </c>
      <c r="I81" t="n">
        <v>0</v>
      </c>
      <c r="J81" t="n">
        <v>0</v>
      </c>
      <c r="K81" t="n">
        <v>0</v>
      </c>
      <c r="L81" t="n">
        <v>0</v>
      </c>
      <c r="M81" t="n">
        <v>0</v>
      </c>
      <c r="N81" t="n">
        <v>0</v>
      </c>
      <c r="O81" t="n">
        <v>0</v>
      </c>
      <c r="P81" t="n">
        <v>0</v>
      </c>
      <c r="Q81" t="n">
        <v>0</v>
      </c>
      <c r="R81" s="2" t="inlineStr"/>
    </row>
    <row r="82" ht="15" customHeight="1">
      <c r="A82" t="inlineStr">
        <is>
          <t>A 38205-2019</t>
        </is>
      </c>
      <c r="B82" s="1" t="n">
        <v>43684</v>
      </c>
      <c r="C82" s="1" t="n">
        <v>45738</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38475-2019</t>
        </is>
      </c>
      <c r="B83" s="1" t="n">
        <v>43685</v>
      </c>
      <c r="C83" s="1" t="n">
        <v>45738</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38896-2019</t>
        </is>
      </c>
      <c r="B84" s="1" t="n">
        <v>43689</v>
      </c>
      <c r="C84" s="1" t="n">
        <v>45738</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38899-2019</t>
        </is>
      </c>
      <c r="B85" s="1" t="n">
        <v>43689</v>
      </c>
      <c r="C85" s="1" t="n">
        <v>45738</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40247-2019</t>
        </is>
      </c>
      <c r="B86" s="1" t="n">
        <v>43695</v>
      </c>
      <c r="C86" s="1" t="n">
        <v>45738</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40839-2019</t>
        </is>
      </c>
      <c r="B87" s="1" t="n">
        <v>43697</v>
      </c>
      <c r="C87" s="1" t="n">
        <v>45738</v>
      </c>
      <c r="D87" t="inlineStr">
        <is>
          <t>UPPSALA LÄN</t>
        </is>
      </c>
      <c r="E87" t="inlineStr">
        <is>
          <t>ENKÖPING</t>
        </is>
      </c>
      <c r="G87" t="n">
        <v>1.9</v>
      </c>
      <c r="H87" t="n">
        <v>0</v>
      </c>
      <c r="I87" t="n">
        <v>0</v>
      </c>
      <c r="J87" t="n">
        <v>0</v>
      </c>
      <c r="K87" t="n">
        <v>0</v>
      </c>
      <c r="L87" t="n">
        <v>0</v>
      </c>
      <c r="M87" t="n">
        <v>0</v>
      </c>
      <c r="N87" t="n">
        <v>0</v>
      </c>
      <c r="O87" t="n">
        <v>0</v>
      </c>
      <c r="P87" t="n">
        <v>0</v>
      </c>
      <c r="Q87" t="n">
        <v>0</v>
      </c>
      <c r="R87" s="2" t="inlineStr"/>
    </row>
    <row r="88" ht="15" customHeight="1">
      <c r="A88" t="inlineStr">
        <is>
          <t>A 40843-2019</t>
        </is>
      </c>
      <c r="B88" s="1" t="n">
        <v>43697</v>
      </c>
      <c r="C88" s="1" t="n">
        <v>45738</v>
      </c>
      <c r="D88" t="inlineStr">
        <is>
          <t>UPPSALA LÄN</t>
        </is>
      </c>
      <c r="E88" t="inlineStr">
        <is>
          <t>ENKÖPING</t>
        </is>
      </c>
      <c r="G88" t="n">
        <v>1.6</v>
      </c>
      <c r="H88" t="n">
        <v>0</v>
      </c>
      <c r="I88" t="n">
        <v>0</v>
      </c>
      <c r="J88" t="n">
        <v>0</v>
      </c>
      <c r="K88" t="n">
        <v>0</v>
      </c>
      <c r="L88" t="n">
        <v>0</v>
      </c>
      <c r="M88" t="n">
        <v>0</v>
      </c>
      <c r="N88" t="n">
        <v>0</v>
      </c>
      <c r="O88" t="n">
        <v>0</v>
      </c>
      <c r="P88" t="n">
        <v>0</v>
      </c>
      <c r="Q88" t="n">
        <v>0</v>
      </c>
      <c r="R88" s="2" t="inlineStr"/>
    </row>
    <row r="89" ht="15" customHeight="1">
      <c r="A89" t="inlineStr">
        <is>
          <t>A 41512-2019</t>
        </is>
      </c>
      <c r="B89" s="1" t="n">
        <v>43699</v>
      </c>
      <c r="C89" s="1" t="n">
        <v>45738</v>
      </c>
      <c r="D89" t="inlineStr">
        <is>
          <t>UPPSALA LÄN</t>
        </is>
      </c>
      <c r="E89" t="inlineStr">
        <is>
          <t>ENKÖPING</t>
        </is>
      </c>
      <c r="G89" t="n">
        <v>5.8</v>
      </c>
      <c r="H89" t="n">
        <v>0</v>
      </c>
      <c r="I89" t="n">
        <v>0</v>
      </c>
      <c r="J89" t="n">
        <v>0</v>
      </c>
      <c r="K89" t="n">
        <v>0</v>
      </c>
      <c r="L89" t="n">
        <v>0</v>
      </c>
      <c r="M89" t="n">
        <v>0</v>
      </c>
      <c r="N89" t="n">
        <v>0</v>
      </c>
      <c r="O89" t="n">
        <v>0</v>
      </c>
      <c r="P89" t="n">
        <v>0</v>
      </c>
      <c r="Q89" t="n">
        <v>0</v>
      </c>
      <c r="R89" s="2" t="inlineStr"/>
    </row>
    <row r="90" ht="15" customHeight="1">
      <c r="A90" t="inlineStr">
        <is>
          <t>A 42350-2019</t>
        </is>
      </c>
      <c r="B90" s="1" t="n">
        <v>43703</v>
      </c>
      <c r="C90" s="1" t="n">
        <v>45738</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42624-2019</t>
        </is>
      </c>
      <c r="B91" s="1" t="n">
        <v>43704</v>
      </c>
      <c r="C91" s="1" t="n">
        <v>45738</v>
      </c>
      <c r="D91" t="inlineStr">
        <is>
          <t>UPPSALA LÄN</t>
        </is>
      </c>
      <c r="E91" t="inlineStr">
        <is>
          <t>ENKÖPING</t>
        </is>
      </c>
      <c r="G91" t="n">
        <v>1.5</v>
      </c>
      <c r="H91" t="n">
        <v>0</v>
      </c>
      <c r="I91" t="n">
        <v>0</v>
      </c>
      <c r="J91" t="n">
        <v>0</v>
      </c>
      <c r="K91" t="n">
        <v>0</v>
      </c>
      <c r="L91" t="n">
        <v>0</v>
      </c>
      <c r="M91" t="n">
        <v>0</v>
      </c>
      <c r="N91" t="n">
        <v>0</v>
      </c>
      <c r="O91" t="n">
        <v>0</v>
      </c>
      <c r="P91" t="n">
        <v>0</v>
      </c>
      <c r="Q91" t="n">
        <v>0</v>
      </c>
      <c r="R91" s="2" t="inlineStr"/>
    </row>
    <row r="92" ht="15" customHeight="1">
      <c r="A92" t="inlineStr">
        <is>
          <t>A 42829-2019</t>
        </is>
      </c>
      <c r="B92" s="1" t="n">
        <v>43705</v>
      </c>
      <c r="C92" s="1" t="n">
        <v>45738</v>
      </c>
      <c r="D92" t="inlineStr">
        <is>
          <t>UPPSALA LÄN</t>
        </is>
      </c>
      <c r="E92" t="inlineStr">
        <is>
          <t>ENKÖPING</t>
        </is>
      </c>
      <c r="G92" t="n">
        <v>6.7</v>
      </c>
      <c r="H92" t="n">
        <v>0</v>
      </c>
      <c r="I92" t="n">
        <v>0</v>
      </c>
      <c r="J92" t="n">
        <v>0</v>
      </c>
      <c r="K92" t="n">
        <v>0</v>
      </c>
      <c r="L92" t="n">
        <v>0</v>
      </c>
      <c r="M92" t="n">
        <v>0</v>
      </c>
      <c r="N92" t="n">
        <v>0</v>
      </c>
      <c r="O92" t="n">
        <v>0</v>
      </c>
      <c r="P92" t="n">
        <v>0</v>
      </c>
      <c r="Q92" t="n">
        <v>0</v>
      </c>
      <c r="R92" s="2" t="inlineStr"/>
    </row>
    <row r="93" ht="15" customHeight="1">
      <c r="A93" t="inlineStr">
        <is>
          <t>A 43308-2019</t>
        </is>
      </c>
      <c r="B93" s="1" t="n">
        <v>43706</v>
      </c>
      <c r="C93" s="1" t="n">
        <v>45738</v>
      </c>
      <c r="D93" t="inlineStr">
        <is>
          <t>UPPSALA LÄN</t>
        </is>
      </c>
      <c r="E93" t="inlineStr">
        <is>
          <t>ENKÖPING</t>
        </is>
      </c>
      <c r="G93" t="n">
        <v>3.3</v>
      </c>
      <c r="H93" t="n">
        <v>0</v>
      </c>
      <c r="I93" t="n">
        <v>0</v>
      </c>
      <c r="J93" t="n">
        <v>0</v>
      </c>
      <c r="K93" t="n">
        <v>0</v>
      </c>
      <c r="L93" t="n">
        <v>0</v>
      </c>
      <c r="M93" t="n">
        <v>0</v>
      </c>
      <c r="N93" t="n">
        <v>0</v>
      </c>
      <c r="O93" t="n">
        <v>0</v>
      </c>
      <c r="P93" t="n">
        <v>0</v>
      </c>
      <c r="Q93" t="n">
        <v>0</v>
      </c>
      <c r="R93" s="2" t="inlineStr"/>
    </row>
    <row r="94" ht="15" customHeight="1">
      <c r="A94" t="inlineStr">
        <is>
          <t>A 43998-2019</t>
        </is>
      </c>
      <c r="B94" s="1" t="n">
        <v>43709</v>
      </c>
      <c r="C94" s="1" t="n">
        <v>45738</v>
      </c>
      <c r="D94" t="inlineStr">
        <is>
          <t>UPPSALA LÄN</t>
        </is>
      </c>
      <c r="E94" t="inlineStr">
        <is>
          <t>ENKÖPING</t>
        </is>
      </c>
      <c r="G94" t="n">
        <v>1.3</v>
      </c>
      <c r="H94" t="n">
        <v>0</v>
      </c>
      <c r="I94" t="n">
        <v>0</v>
      </c>
      <c r="J94" t="n">
        <v>0</v>
      </c>
      <c r="K94" t="n">
        <v>0</v>
      </c>
      <c r="L94" t="n">
        <v>0</v>
      </c>
      <c r="M94" t="n">
        <v>0</v>
      </c>
      <c r="N94" t="n">
        <v>0</v>
      </c>
      <c r="O94" t="n">
        <v>0</v>
      </c>
      <c r="P94" t="n">
        <v>0</v>
      </c>
      <c r="Q94" t="n">
        <v>0</v>
      </c>
      <c r="R94" s="2" t="inlineStr"/>
    </row>
    <row r="95" ht="15" customHeight="1">
      <c r="A95" t="inlineStr">
        <is>
          <t>A 43999-2019</t>
        </is>
      </c>
      <c r="B95" s="1" t="n">
        <v>43709</v>
      </c>
      <c r="C95" s="1" t="n">
        <v>45738</v>
      </c>
      <c r="D95" t="inlineStr">
        <is>
          <t>UPPSALA LÄN</t>
        </is>
      </c>
      <c r="E95" t="inlineStr">
        <is>
          <t>ENKÖPING</t>
        </is>
      </c>
      <c r="G95" t="n">
        <v>0.1</v>
      </c>
      <c r="H95" t="n">
        <v>0</v>
      </c>
      <c r="I95" t="n">
        <v>0</v>
      </c>
      <c r="J95" t="n">
        <v>0</v>
      </c>
      <c r="K95" t="n">
        <v>0</v>
      </c>
      <c r="L95" t="n">
        <v>0</v>
      </c>
      <c r="M95" t="n">
        <v>0</v>
      </c>
      <c r="N95" t="n">
        <v>0</v>
      </c>
      <c r="O95" t="n">
        <v>0</v>
      </c>
      <c r="P95" t="n">
        <v>0</v>
      </c>
      <c r="Q95" t="n">
        <v>0</v>
      </c>
      <c r="R95" s="2" t="inlineStr"/>
    </row>
    <row r="96" ht="15" customHeight="1">
      <c r="A96" t="inlineStr">
        <is>
          <t>A 44749-2019</t>
        </is>
      </c>
      <c r="B96" s="1" t="n">
        <v>43712</v>
      </c>
      <c r="C96" s="1" t="n">
        <v>45738</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45007-2019</t>
        </is>
      </c>
      <c r="B97" s="1" t="n">
        <v>43713</v>
      </c>
      <c r="C97" s="1" t="n">
        <v>45738</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45481-2019</t>
        </is>
      </c>
      <c r="B98" s="1" t="n">
        <v>43714</v>
      </c>
      <c r="C98" s="1" t="n">
        <v>45738</v>
      </c>
      <c r="D98" t="inlineStr">
        <is>
          <t>UPPSALA LÄN</t>
        </is>
      </c>
      <c r="E98" t="inlineStr">
        <is>
          <t>ENKÖPING</t>
        </is>
      </c>
      <c r="G98" t="n">
        <v>2</v>
      </c>
      <c r="H98" t="n">
        <v>0</v>
      </c>
      <c r="I98" t="n">
        <v>0</v>
      </c>
      <c r="J98" t="n">
        <v>0</v>
      </c>
      <c r="K98" t="n">
        <v>0</v>
      </c>
      <c r="L98" t="n">
        <v>0</v>
      </c>
      <c r="M98" t="n">
        <v>0</v>
      </c>
      <c r="N98" t="n">
        <v>0</v>
      </c>
      <c r="O98" t="n">
        <v>0</v>
      </c>
      <c r="P98" t="n">
        <v>0</v>
      </c>
      <c r="Q98" t="n">
        <v>0</v>
      </c>
      <c r="R98" s="2" t="inlineStr"/>
    </row>
    <row r="99" ht="15" customHeight="1">
      <c r="A99" t="inlineStr">
        <is>
          <t>A 45729-2019</t>
        </is>
      </c>
      <c r="B99" s="1" t="n">
        <v>43717</v>
      </c>
      <c r="C99" s="1" t="n">
        <v>45738</v>
      </c>
      <c r="D99" t="inlineStr">
        <is>
          <t>UPPSALA LÄN</t>
        </is>
      </c>
      <c r="E99" t="inlineStr">
        <is>
          <t>ENKÖPING</t>
        </is>
      </c>
      <c r="G99" t="n">
        <v>0.3</v>
      </c>
      <c r="H99" t="n">
        <v>0</v>
      </c>
      <c r="I99" t="n">
        <v>0</v>
      </c>
      <c r="J99" t="n">
        <v>0</v>
      </c>
      <c r="K99" t="n">
        <v>0</v>
      </c>
      <c r="L99" t="n">
        <v>0</v>
      </c>
      <c r="M99" t="n">
        <v>0</v>
      </c>
      <c r="N99" t="n">
        <v>0</v>
      </c>
      <c r="O99" t="n">
        <v>0</v>
      </c>
      <c r="P99" t="n">
        <v>0</v>
      </c>
      <c r="Q99" t="n">
        <v>0</v>
      </c>
      <c r="R99" s="2" t="inlineStr"/>
    </row>
    <row r="100" ht="15" customHeight="1">
      <c r="A100" t="inlineStr">
        <is>
          <t>A 45767-2019</t>
        </is>
      </c>
      <c r="B100" s="1" t="n">
        <v>43717</v>
      </c>
      <c r="C100" s="1" t="n">
        <v>45738</v>
      </c>
      <c r="D100" t="inlineStr">
        <is>
          <t>UPPSALA LÄN</t>
        </is>
      </c>
      <c r="E100" t="inlineStr">
        <is>
          <t>ENKÖPING</t>
        </is>
      </c>
      <c r="G100" t="n">
        <v>2.6</v>
      </c>
      <c r="H100" t="n">
        <v>0</v>
      </c>
      <c r="I100" t="n">
        <v>0</v>
      </c>
      <c r="J100" t="n">
        <v>0</v>
      </c>
      <c r="K100" t="n">
        <v>0</v>
      </c>
      <c r="L100" t="n">
        <v>0</v>
      </c>
      <c r="M100" t="n">
        <v>0</v>
      </c>
      <c r="N100" t="n">
        <v>0</v>
      </c>
      <c r="O100" t="n">
        <v>0</v>
      </c>
      <c r="P100" t="n">
        <v>0</v>
      </c>
      <c r="Q100" t="n">
        <v>0</v>
      </c>
      <c r="R100" s="2" t="inlineStr"/>
    </row>
    <row r="101" ht="15" customHeight="1">
      <c r="A101" t="inlineStr">
        <is>
          <t>A 45784-2019</t>
        </is>
      </c>
      <c r="B101" s="1" t="n">
        <v>43717</v>
      </c>
      <c r="C101" s="1" t="n">
        <v>45738</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46292-2019</t>
        </is>
      </c>
      <c r="B102" s="1" t="n">
        <v>43718</v>
      </c>
      <c r="C102" s="1" t="n">
        <v>45738</v>
      </c>
      <c r="D102" t="inlineStr">
        <is>
          <t>UPPSALA LÄN</t>
        </is>
      </c>
      <c r="E102" t="inlineStr">
        <is>
          <t>ENKÖPING</t>
        </is>
      </c>
      <c r="G102" t="n">
        <v>1</v>
      </c>
      <c r="H102" t="n">
        <v>0</v>
      </c>
      <c r="I102" t="n">
        <v>0</v>
      </c>
      <c r="J102" t="n">
        <v>0</v>
      </c>
      <c r="K102" t="n">
        <v>0</v>
      </c>
      <c r="L102" t="n">
        <v>0</v>
      </c>
      <c r="M102" t="n">
        <v>0</v>
      </c>
      <c r="N102" t="n">
        <v>0</v>
      </c>
      <c r="O102" t="n">
        <v>0</v>
      </c>
      <c r="P102" t="n">
        <v>0</v>
      </c>
      <c r="Q102" t="n">
        <v>0</v>
      </c>
      <c r="R102" s="2" t="inlineStr"/>
    </row>
    <row r="103" ht="15" customHeight="1">
      <c r="A103" t="inlineStr">
        <is>
          <t>A 46274-2019</t>
        </is>
      </c>
      <c r="B103" s="1" t="n">
        <v>43718</v>
      </c>
      <c r="C103" s="1" t="n">
        <v>45738</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46971-2019</t>
        </is>
      </c>
      <c r="B104" s="1" t="n">
        <v>43720</v>
      </c>
      <c r="C104" s="1" t="n">
        <v>45738</v>
      </c>
      <c r="D104" t="inlineStr">
        <is>
          <t>UPPSALA LÄN</t>
        </is>
      </c>
      <c r="E104" t="inlineStr">
        <is>
          <t>ENKÖPING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47039-2019</t>
        </is>
      </c>
      <c r="B105" s="1" t="n">
        <v>43720</v>
      </c>
      <c r="C105" s="1" t="n">
        <v>45738</v>
      </c>
      <c r="D105" t="inlineStr">
        <is>
          <t>UPPSALA LÄN</t>
        </is>
      </c>
      <c r="E105" t="inlineStr">
        <is>
          <t>ENKÖPING</t>
        </is>
      </c>
      <c r="G105" t="n">
        <v>0.3</v>
      </c>
      <c r="H105" t="n">
        <v>0</v>
      </c>
      <c r="I105" t="n">
        <v>0</v>
      </c>
      <c r="J105" t="n">
        <v>0</v>
      </c>
      <c r="K105" t="n">
        <v>0</v>
      </c>
      <c r="L105" t="n">
        <v>0</v>
      </c>
      <c r="M105" t="n">
        <v>0</v>
      </c>
      <c r="N105" t="n">
        <v>0</v>
      </c>
      <c r="O105" t="n">
        <v>0</v>
      </c>
      <c r="P105" t="n">
        <v>0</v>
      </c>
      <c r="Q105" t="n">
        <v>0</v>
      </c>
      <c r="R105" s="2" t="inlineStr"/>
    </row>
    <row r="106" ht="15" customHeight="1">
      <c r="A106" t="inlineStr">
        <is>
          <t>A 47368-2019</t>
        </is>
      </c>
      <c r="B106" s="1" t="n">
        <v>43721</v>
      </c>
      <c r="C106" s="1" t="n">
        <v>45738</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47476-2019</t>
        </is>
      </c>
      <c r="B107" s="1" t="n">
        <v>43724</v>
      </c>
      <c r="C107" s="1" t="n">
        <v>45738</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48098-2019</t>
        </is>
      </c>
      <c r="B108" s="1" t="n">
        <v>43725</v>
      </c>
      <c r="C108" s="1" t="n">
        <v>45738</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48095-2019</t>
        </is>
      </c>
      <c r="B109" s="1" t="n">
        <v>43725</v>
      </c>
      <c r="C109" s="1" t="n">
        <v>45738</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48096-2019</t>
        </is>
      </c>
      <c r="B110" s="1" t="n">
        <v>43725</v>
      </c>
      <c r="C110" s="1" t="n">
        <v>45738</v>
      </c>
      <c r="D110" t="inlineStr">
        <is>
          <t>UPPSALA LÄN</t>
        </is>
      </c>
      <c r="E110" t="inlineStr">
        <is>
          <t>ENKÖPING</t>
        </is>
      </c>
      <c r="G110" t="n">
        <v>0.2</v>
      </c>
      <c r="H110" t="n">
        <v>0</v>
      </c>
      <c r="I110" t="n">
        <v>0</v>
      </c>
      <c r="J110" t="n">
        <v>0</v>
      </c>
      <c r="K110" t="n">
        <v>0</v>
      </c>
      <c r="L110" t="n">
        <v>0</v>
      </c>
      <c r="M110" t="n">
        <v>0</v>
      </c>
      <c r="N110" t="n">
        <v>0</v>
      </c>
      <c r="O110" t="n">
        <v>0</v>
      </c>
      <c r="P110" t="n">
        <v>0</v>
      </c>
      <c r="Q110" t="n">
        <v>0</v>
      </c>
      <c r="R110" s="2" t="inlineStr"/>
    </row>
    <row r="111" ht="15" customHeight="1">
      <c r="A111" t="inlineStr">
        <is>
          <t>A 48515-2019</t>
        </is>
      </c>
      <c r="B111" s="1" t="n">
        <v>43727</v>
      </c>
      <c r="C111" s="1" t="n">
        <v>45738</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48511-2019</t>
        </is>
      </c>
      <c r="B112" s="1" t="n">
        <v>43727</v>
      </c>
      <c r="C112" s="1" t="n">
        <v>45738</v>
      </c>
      <c r="D112" t="inlineStr">
        <is>
          <t>UPPSALA LÄN</t>
        </is>
      </c>
      <c r="E112" t="inlineStr">
        <is>
          <t>ENKÖPING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49856-2019</t>
        </is>
      </c>
      <c r="B113" s="1" t="n">
        <v>43733</v>
      </c>
      <c r="C113" s="1" t="n">
        <v>45738</v>
      </c>
      <c r="D113" t="inlineStr">
        <is>
          <t>UPPSALA LÄN</t>
        </is>
      </c>
      <c r="E113" t="inlineStr">
        <is>
          <t>ENKÖPING</t>
        </is>
      </c>
      <c r="G113" t="n">
        <v>9.9</v>
      </c>
      <c r="H113" t="n">
        <v>0</v>
      </c>
      <c r="I113" t="n">
        <v>0</v>
      </c>
      <c r="J113" t="n">
        <v>0</v>
      </c>
      <c r="K113" t="n">
        <v>0</v>
      </c>
      <c r="L113" t="n">
        <v>0</v>
      </c>
      <c r="M113" t="n">
        <v>0</v>
      </c>
      <c r="N113" t="n">
        <v>0</v>
      </c>
      <c r="O113" t="n">
        <v>0</v>
      </c>
      <c r="P113" t="n">
        <v>0</v>
      </c>
      <c r="Q113" t="n">
        <v>0</v>
      </c>
      <c r="R113" s="2" t="inlineStr"/>
    </row>
    <row r="114" ht="15" customHeight="1">
      <c r="A114" t="inlineStr">
        <is>
          <t>A 49941-2019</t>
        </is>
      </c>
      <c r="B114" s="1" t="n">
        <v>43733</v>
      </c>
      <c r="C114" s="1" t="n">
        <v>45738</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50893-2019</t>
        </is>
      </c>
      <c r="B115" s="1" t="n">
        <v>43738</v>
      </c>
      <c r="C115" s="1" t="n">
        <v>45738</v>
      </c>
      <c r="D115" t="inlineStr">
        <is>
          <t>UPPSALA LÄN</t>
        </is>
      </c>
      <c r="E115" t="inlineStr">
        <is>
          <t>ENKÖPING</t>
        </is>
      </c>
      <c r="G115" t="n">
        <v>4.3</v>
      </c>
      <c r="H115" t="n">
        <v>0</v>
      </c>
      <c r="I115" t="n">
        <v>0</v>
      </c>
      <c r="J115" t="n">
        <v>0</v>
      </c>
      <c r="K115" t="n">
        <v>0</v>
      </c>
      <c r="L115" t="n">
        <v>0</v>
      </c>
      <c r="M115" t="n">
        <v>0</v>
      </c>
      <c r="N115" t="n">
        <v>0</v>
      </c>
      <c r="O115" t="n">
        <v>0</v>
      </c>
      <c r="P115" t="n">
        <v>0</v>
      </c>
      <c r="Q115" t="n">
        <v>0</v>
      </c>
      <c r="R115" s="2" t="inlineStr"/>
    </row>
    <row r="116" ht="15" customHeight="1">
      <c r="A116" t="inlineStr">
        <is>
          <t>A 52516-2019</t>
        </is>
      </c>
      <c r="B116" s="1" t="n">
        <v>43738</v>
      </c>
      <c r="C116" s="1" t="n">
        <v>45738</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51782-2019</t>
        </is>
      </c>
      <c r="B117" s="1" t="n">
        <v>43741</v>
      </c>
      <c r="C117" s="1" t="n">
        <v>45738</v>
      </c>
      <c r="D117" t="inlineStr">
        <is>
          <t>UPPSALA LÄN</t>
        </is>
      </c>
      <c r="E117" t="inlineStr">
        <is>
          <t>ENKÖPING</t>
        </is>
      </c>
      <c r="G117" t="n">
        <v>2.5</v>
      </c>
      <c r="H117" t="n">
        <v>0</v>
      </c>
      <c r="I117" t="n">
        <v>0</v>
      </c>
      <c r="J117" t="n">
        <v>0</v>
      </c>
      <c r="K117" t="n">
        <v>0</v>
      </c>
      <c r="L117" t="n">
        <v>0</v>
      </c>
      <c r="M117" t="n">
        <v>0</v>
      </c>
      <c r="N117" t="n">
        <v>0</v>
      </c>
      <c r="O117" t="n">
        <v>0</v>
      </c>
      <c r="P117" t="n">
        <v>0</v>
      </c>
      <c r="Q117" t="n">
        <v>0</v>
      </c>
      <c r="R117" s="2" t="inlineStr"/>
    </row>
    <row r="118" ht="15" customHeight="1">
      <c r="A118" t="inlineStr">
        <is>
          <t>A 51802-2019</t>
        </is>
      </c>
      <c r="B118" s="1" t="n">
        <v>43741</v>
      </c>
      <c r="C118" s="1" t="n">
        <v>45738</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51836-2019</t>
        </is>
      </c>
      <c r="B119" s="1" t="n">
        <v>43741</v>
      </c>
      <c r="C119" s="1" t="n">
        <v>45738</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51805-2019</t>
        </is>
      </c>
      <c r="B120" s="1" t="n">
        <v>43741</v>
      </c>
      <c r="C120" s="1" t="n">
        <v>45738</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51905-2019</t>
        </is>
      </c>
      <c r="B121" s="1" t="n">
        <v>43741</v>
      </c>
      <c r="C121" s="1" t="n">
        <v>45738</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51912-2019</t>
        </is>
      </c>
      <c r="B122" s="1" t="n">
        <v>43741</v>
      </c>
      <c r="C122" s="1" t="n">
        <v>45738</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52524-2019</t>
        </is>
      </c>
      <c r="B123" s="1" t="n">
        <v>43745</v>
      </c>
      <c r="C123" s="1" t="n">
        <v>45738</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52394-2019</t>
        </is>
      </c>
      <c r="B124" s="1" t="n">
        <v>43745</v>
      </c>
      <c r="C124" s="1" t="n">
        <v>45738</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52726-2019</t>
        </is>
      </c>
      <c r="B125" s="1" t="n">
        <v>43746</v>
      </c>
      <c r="C125" s="1" t="n">
        <v>45738</v>
      </c>
      <c r="D125" t="inlineStr">
        <is>
          <t>UPPSALA LÄN</t>
        </is>
      </c>
      <c r="E125" t="inlineStr">
        <is>
          <t>ENKÖPING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53840-2019</t>
        </is>
      </c>
      <c r="B126" s="1" t="n">
        <v>43752</v>
      </c>
      <c r="C126" s="1" t="n">
        <v>45738</v>
      </c>
      <c r="D126" t="inlineStr">
        <is>
          <t>UPPSALA LÄN</t>
        </is>
      </c>
      <c r="E126" t="inlineStr">
        <is>
          <t>ENKÖPING</t>
        </is>
      </c>
      <c r="G126" t="n">
        <v>10.1</v>
      </c>
      <c r="H126" t="n">
        <v>0</v>
      </c>
      <c r="I126" t="n">
        <v>0</v>
      </c>
      <c r="J126" t="n">
        <v>0</v>
      </c>
      <c r="K126" t="n">
        <v>0</v>
      </c>
      <c r="L126" t="n">
        <v>0</v>
      </c>
      <c r="M126" t="n">
        <v>0</v>
      </c>
      <c r="N126" t="n">
        <v>0</v>
      </c>
      <c r="O126" t="n">
        <v>0</v>
      </c>
      <c r="P126" t="n">
        <v>0</v>
      </c>
      <c r="Q126" t="n">
        <v>0</v>
      </c>
      <c r="R126" s="2" t="inlineStr"/>
    </row>
    <row r="127" ht="15" customHeight="1">
      <c r="A127" t="inlineStr">
        <is>
          <t>A 56153-2019</t>
        </is>
      </c>
      <c r="B127" s="1" t="n">
        <v>43756</v>
      </c>
      <c r="C127" s="1" t="n">
        <v>45738</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55516-2019</t>
        </is>
      </c>
      <c r="B128" s="1" t="n">
        <v>43759</v>
      </c>
      <c r="C128" s="1" t="n">
        <v>45738</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55872-2019</t>
        </is>
      </c>
      <c r="B129" s="1" t="n">
        <v>43759</v>
      </c>
      <c r="C129" s="1" t="n">
        <v>45738</v>
      </c>
      <c r="D129" t="inlineStr">
        <is>
          <t>UPPSALA LÄN</t>
        </is>
      </c>
      <c r="E129" t="inlineStr">
        <is>
          <t>ENKÖPING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55512-2019</t>
        </is>
      </c>
      <c r="B130" s="1" t="n">
        <v>43759</v>
      </c>
      <c r="C130" s="1" t="n">
        <v>45738</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56309-2019</t>
        </is>
      </c>
      <c r="B131" s="1" t="n">
        <v>43762</v>
      </c>
      <c r="C131" s="1" t="n">
        <v>45738</v>
      </c>
      <c r="D131" t="inlineStr">
        <is>
          <t>UPPSALA LÄN</t>
        </is>
      </c>
      <c r="E131" t="inlineStr">
        <is>
          <t>ENKÖPING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56932-2019</t>
        </is>
      </c>
      <c r="B132" s="1" t="n">
        <v>43766</v>
      </c>
      <c r="C132" s="1" t="n">
        <v>45738</v>
      </c>
      <c r="D132" t="inlineStr">
        <is>
          <t>UPPSALA LÄN</t>
        </is>
      </c>
      <c r="E132" t="inlineStr">
        <is>
          <t>ENKÖPING</t>
        </is>
      </c>
      <c r="G132" t="n">
        <v>0.6</v>
      </c>
      <c r="H132" t="n">
        <v>0</v>
      </c>
      <c r="I132" t="n">
        <v>0</v>
      </c>
      <c r="J132" t="n">
        <v>0</v>
      </c>
      <c r="K132" t="n">
        <v>0</v>
      </c>
      <c r="L132" t="n">
        <v>0</v>
      </c>
      <c r="M132" t="n">
        <v>0</v>
      </c>
      <c r="N132" t="n">
        <v>0</v>
      </c>
      <c r="O132" t="n">
        <v>0</v>
      </c>
      <c r="P132" t="n">
        <v>0</v>
      </c>
      <c r="Q132" t="n">
        <v>0</v>
      </c>
      <c r="R132" s="2" t="inlineStr"/>
    </row>
    <row r="133" ht="15" customHeight="1">
      <c r="A133" t="inlineStr">
        <is>
          <t>A 56910-2019</t>
        </is>
      </c>
      <c r="B133" s="1" t="n">
        <v>43766</v>
      </c>
      <c r="C133" s="1" t="n">
        <v>45738</v>
      </c>
      <c r="D133" t="inlineStr">
        <is>
          <t>UPPSALA LÄN</t>
        </is>
      </c>
      <c r="E133" t="inlineStr">
        <is>
          <t>ENKÖPING</t>
        </is>
      </c>
      <c r="G133" t="n">
        <v>1.4</v>
      </c>
      <c r="H133" t="n">
        <v>0</v>
      </c>
      <c r="I133" t="n">
        <v>0</v>
      </c>
      <c r="J133" t="n">
        <v>0</v>
      </c>
      <c r="K133" t="n">
        <v>0</v>
      </c>
      <c r="L133" t="n">
        <v>0</v>
      </c>
      <c r="M133" t="n">
        <v>0</v>
      </c>
      <c r="N133" t="n">
        <v>0</v>
      </c>
      <c r="O133" t="n">
        <v>0</v>
      </c>
      <c r="P133" t="n">
        <v>0</v>
      </c>
      <c r="Q133" t="n">
        <v>0</v>
      </c>
      <c r="R133" s="2" t="inlineStr"/>
    </row>
    <row r="134" ht="15" customHeight="1">
      <c r="A134" t="inlineStr">
        <is>
          <t>A 57066-2019</t>
        </is>
      </c>
      <c r="B134" s="1" t="n">
        <v>43766</v>
      </c>
      <c r="C134" s="1" t="n">
        <v>45738</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56897-2019</t>
        </is>
      </c>
      <c r="B135" s="1" t="n">
        <v>43766</v>
      </c>
      <c r="C135" s="1" t="n">
        <v>45738</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57126-2019</t>
        </is>
      </c>
      <c r="B136" s="1" t="n">
        <v>43766</v>
      </c>
      <c r="C136" s="1" t="n">
        <v>45738</v>
      </c>
      <c r="D136" t="inlineStr">
        <is>
          <t>UPPSALA LÄN</t>
        </is>
      </c>
      <c r="E136" t="inlineStr">
        <is>
          <t>ENKÖPING</t>
        </is>
      </c>
      <c r="G136" t="n">
        <v>3.3</v>
      </c>
      <c r="H136" t="n">
        <v>0</v>
      </c>
      <c r="I136" t="n">
        <v>0</v>
      </c>
      <c r="J136" t="n">
        <v>0</v>
      </c>
      <c r="K136" t="n">
        <v>0</v>
      </c>
      <c r="L136" t="n">
        <v>0</v>
      </c>
      <c r="M136" t="n">
        <v>0</v>
      </c>
      <c r="N136" t="n">
        <v>0</v>
      </c>
      <c r="O136" t="n">
        <v>0</v>
      </c>
      <c r="P136" t="n">
        <v>0</v>
      </c>
      <c r="Q136" t="n">
        <v>0</v>
      </c>
      <c r="R136" s="2" t="inlineStr"/>
    </row>
    <row r="137" ht="15" customHeight="1">
      <c r="A137" t="inlineStr">
        <is>
          <t>A 57813-2019</t>
        </is>
      </c>
      <c r="B137" s="1" t="n">
        <v>43768</v>
      </c>
      <c r="C137" s="1" t="n">
        <v>45738</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57821-2019</t>
        </is>
      </c>
      <c r="B138" s="1" t="n">
        <v>43768</v>
      </c>
      <c r="C138" s="1" t="n">
        <v>45738</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57820-2019</t>
        </is>
      </c>
      <c r="B139" s="1" t="n">
        <v>43768</v>
      </c>
      <c r="C139" s="1" t="n">
        <v>45738</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58491-2019</t>
        </is>
      </c>
      <c r="B140" s="1" t="n">
        <v>43773</v>
      </c>
      <c r="C140" s="1" t="n">
        <v>45738</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58558-2019</t>
        </is>
      </c>
      <c r="B141" s="1" t="n">
        <v>43773</v>
      </c>
      <c r="C141" s="1" t="n">
        <v>45738</v>
      </c>
      <c r="D141" t="inlineStr">
        <is>
          <t>UPPSALA LÄN</t>
        </is>
      </c>
      <c r="E141" t="inlineStr">
        <is>
          <t>ENKÖPING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60054-2019</t>
        </is>
      </c>
      <c r="B142" s="1" t="n">
        <v>43775</v>
      </c>
      <c r="C142" s="1" t="n">
        <v>45738</v>
      </c>
      <c r="D142" t="inlineStr">
        <is>
          <t>UPPSALA LÄN</t>
        </is>
      </c>
      <c r="E142" t="inlineStr">
        <is>
          <t>ENKÖPING</t>
        </is>
      </c>
      <c r="G142" t="n">
        <v>18.4</v>
      </c>
      <c r="H142" t="n">
        <v>0</v>
      </c>
      <c r="I142" t="n">
        <v>0</v>
      </c>
      <c r="J142" t="n">
        <v>0</v>
      </c>
      <c r="K142" t="n">
        <v>0</v>
      </c>
      <c r="L142" t="n">
        <v>0</v>
      </c>
      <c r="M142" t="n">
        <v>0</v>
      </c>
      <c r="N142" t="n">
        <v>0</v>
      </c>
      <c r="O142" t="n">
        <v>0</v>
      </c>
      <c r="P142" t="n">
        <v>0</v>
      </c>
      <c r="Q142" t="n">
        <v>0</v>
      </c>
      <c r="R142" s="2" t="inlineStr"/>
    </row>
    <row r="143" ht="15" customHeight="1">
      <c r="A143" t="inlineStr">
        <is>
          <t>A 59600-2019</t>
        </is>
      </c>
      <c r="B143" s="1" t="n">
        <v>43776</v>
      </c>
      <c r="C143" s="1" t="n">
        <v>45738</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60070-2019</t>
        </is>
      </c>
      <c r="B144" s="1" t="n">
        <v>43777</v>
      </c>
      <c r="C144" s="1" t="n">
        <v>45738</v>
      </c>
      <c r="D144" t="inlineStr">
        <is>
          <t>UPPSALA LÄN</t>
        </is>
      </c>
      <c r="E144" t="inlineStr">
        <is>
          <t>ENKÖPING</t>
        </is>
      </c>
      <c r="G144" t="n">
        <v>2</v>
      </c>
      <c r="H144" t="n">
        <v>0</v>
      </c>
      <c r="I144" t="n">
        <v>0</v>
      </c>
      <c r="J144" t="n">
        <v>0</v>
      </c>
      <c r="K144" t="n">
        <v>0</v>
      </c>
      <c r="L144" t="n">
        <v>0</v>
      </c>
      <c r="M144" t="n">
        <v>0</v>
      </c>
      <c r="N144" t="n">
        <v>0</v>
      </c>
      <c r="O144" t="n">
        <v>0</v>
      </c>
      <c r="P144" t="n">
        <v>0</v>
      </c>
      <c r="Q144" t="n">
        <v>0</v>
      </c>
      <c r="R144" s="2" t="inlineStr"/>
    </row>
    <row r="145" ht="15" customHeight="1">
      <c r="A145" t="inlineStr">
        <is>
          <t>A 60062-2019</t>
        </is>
      </c>
      <c r="B145" s="1" t="n">
        <v>43777</v>
      </c>
      <c r="C145" s="1" t="n">
        <v>45738</v>
      </c>
      <c r="D145" t="inlineStr">
        <is>
          <t>UPPSALA LÄN</t>
        </is>
      </c>
      <c r="E145" t="inlineStr">
        <is>
          <t>ENKÖPING</t>
        </is>
      </c>
      <c r="G145" t="n">
        <v>6.4</v>
      </c>
      <c r="H145" t="n">
        <v>0</v>
      </c>
      <c r="I145" t="n">
        <v>0</v>
      </c>
      <c r="J145" t="n">
        <v>0</v>
      </c>
      <c r="K145" t="n">
        <v>0</v>
      </c>
      <c r="L145" t="n">
        <v>0</v>
      </c>
      <c r="M145" t="n">
        <v>0</v>
      </c>
      <c r="N145" t="n">
        <v>0</v>
      </c>
      <c r="O145" t="n">
        <v>0</v>
      </c>
      <c r="P145" t="n">
        <v>0</v>
      </c>
      <c r="Q145" t="n">
        <v>0</v>
      </c>
      <c r="R145" s="2" t="inlineStr"/>
    </row>
    <row r="146" ht="15" customHeight="1">
      <c r="A146" t="inlineStr">
        <is>
          <t>A 61005-2019</t>
        </is>
      </c>
      <c r="B146" s="1" t="n">
        <v>43782</v>
      </c>
      <c r="C146" s="1" t="n">
        <v>45738</v>
      </c>
      <c r="D146" t="inlineStr">
        <is>
          <t>UPPSALA LÄN</t>
        </is>
      </c>
      <c r="E146" t="inlineStr">
        <is>
          <t>ENKÖPING</t>
        </is>
      </c>
      <c r="G146" t="n">
        <v>11.8</v>
      </c>
      <c r="H146" t="n">
        <v>0</v>
      </c>
      <c r="I146" t="n">
        <v>0</v>
      </c>
      <c r="J146" t="n">
        <v>0</v>
      </c>
      <c r="K146" t="n">
        <v>0</v>
      </c>
      <c r="L146" t="n">
        <v>0</v>
      </c>
      <c r="M146" t="n">
        <v>0</v>
      </c>
      <c r="N146" t="n">
        <v>0</v>
      </c>
      <c r="O146" t="n">
        <v>0</v>
      </c>
      <c r="P146" t="n">
        <v>0</v>
      </c>
      <c r="Q146" t="n">
        <v>0</v>
      </c>
      <c r="R146" s="2" t="inlineStr"/>
    </row>
    <row r="147" ht="15" customHeight="1">
      <c r="A147" t="inlineStr">
        <is>
          <t>A 62868-2019</t>
        </is>
      </c>
      <c r="B147" s="1" t="n">
        <v>43790</v>
      </c>
      <c r="C147" s="1" t="n">
        <v>45738</v>
      </c>
      <c r="D147" t="inlineStr">
        <is>
          <t>UPPSALA LÄN</t>
        </is>
      </c>
      <c r="E147" t="inlineStr">
        <is>
          <t>ENKÖPING</t>
        </is>
      </c>
      <c r="G147" t="n">
        <v>0.4</v>
      </c>
      <c r="H147" t="n">
        <v>0</v>
      </c>
      <c r="I147" t="n">
        <v>0</v>
      </c>
      <c r="J147" t="n">
        <v>0</v>
      </c>
      <c r="K147" t="n">
        <v>0</v>
      </c>
      <c r="L147" t="n">
        <v>0</v>
      </c>
      <c r="M147" t="n">
        <v>0</v>
      </c>
      <c r="N147" t="n">
        <v>0</v>
      </c>
      <c r="O147" t="n">
        <v>0</v>
      </c>
      <c r="P147" t="n">
        <v>0</v>
      </c>
      <c r="Q147" t="n">
        <v>0</v>
      </c>
      <c r="R147" s="2" t="inlineStr"/>
    </row>
    <row r="148" ht="15" customHeight="1">
      <c r="A148" t="inlineStr">
        <is>
          <t>A 65182-2019</t>
        </is>
      </c>
      <c r="B148" s="1" t="n">
        <v>43802</v>
      </c>
      <c r="C148" s="1" t="n">
        <v>45738</v>
      </c>
      <c r="D148" t="inlineStr">
        <is>
          <t>UPPSALA LÄN</t>
        </is>
      </c>
      <c r="E148" t="inlineStr">
        <is>
          <t>ENKÖPING</t>
        </is>
      </c>
      <c r="G148" t="n">
        <v>1.5</v>
      </c>
      <c r="H148" t="n">
        <v>0</v>
      </c>
      <c r="I148" t="n">
        <v>0</v>
      </c>
      <c r="J148" t="n">
        <v>0</v>
      </c>
      <c r="K148" t="n">
        <v>0</v>
      </c>
      <c r="L148" t="n">
        <v>0</v>
      </c>
      <c r="M148" t="n">
        <v>0</v>
      </c>
      <c r="N148" t="n">
        <v>0</v>
      </c>
      <c r="O148" t="n">
        <v>0</v>
      </c>
      <c r="P148" t="n">
        <v>0</v>
      </c>
      <c r="Q148" t="n">
        <v>0</v>
      </c>
      <c r="R148" s="2" t="inlineStr"/>
    </row>
    <row r="149" ht="15" customHeight="1">
      <c r="A149" t="inlineStr">
        <is>
          <t>A 66556-2019</t>
        </is>
      </c>
      <c r="B149" s="1" t="n">
        <v>43803</v>
      </c>
      <c r="C149" s="1" t="n">
        <v>45738</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66298-2019</t>
        </is>
      </c>
      <c r="B150" s="1" t="n">
        <v>43808</v>
      </c>
      <c r="C150" s="1" t="n">
        <v>45738</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67190-2019</t>
        </is>
      </c>
      <c r="B151" s="1" t="n">
        <v>43811</v>
      </c>
      <c r="C151" s="1" t="n">
        <v>45738</v>
      </c>
      <c r="D151" t="inlineStr">
        <is>
          <t>UPPSALA LÄN</t>
        </is>
      </c>
      <c r="E151" t="inlineStr">
        <is>
          <t>ENKÖPING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67196-2019</t>
        </is>
      </c>
      <c r="B152" s="1" t="n">
        <v>43811</v>
      </c>
      <c r="C152" s="1" t="n">
        <v>45738</v>
      </c>
      <c r="D152" t="inlineStr">
        <is>
          <t>UPPSALA LÄN</t>
        </is>
      </c>
      <c r="E152" t="inlineStr">
        <is>
          <t>ENKÖPING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67244-2019</t>
        </is>
      </c>
      <c r="B153" s="1" t="n">
        <v>43812</v>
      </c>
      <c r="C153" s="1" t="n">
        <v>45738</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67448-2019</t>
        </is>
      </c>
      <c r="B154" s="1" t="n">
        <v>43812</v>
      </c>
      <c r="C154" s="1" t="n">
        <v>45738</v>
      </c>
      <c r="D154" t="inlineStr">
        <is>
          <t>UPPSALA LÄN</t>
        </is>
      </c>
      <c r="E154" t="inlineStr">
        <is>
          <t>ENKÖPING</t>
        </is>
      </c>
      <c r="F154" t="inlineStr">
        <is>
          <t>Allmännings- och besparingsskogar</t>
        </is>
      </c>
      <c r="G154" t="n">
        <v>15.1</v>
      </c>
      <c r="H154" t="n">
        <v>0</v>
      </c>
      <c r="I154" t="n">
        <v>0</v>
      </c>
      <c r="J154" t="n">
        <v>0</v>
      </c>
      <c r="K154" t="n">
        <v>0</v>
      </c>
      <c r="L154" t="n">
        <v>0</v>
      </c>
      <c r="M154" t="n">
        <v>0</v>
      </c>
      <c r="N154" t="n">
        <v>0</v>
      </c>
      <c r="O154" t="n">
        <v>0</v>
      </c>
      <c r="P154" t="n">
        <v>0</v>
      </c>
      <c r="Q154" t="n">
        <v>0</v>
      </c>
      <c r="R154" s="2" t="inlineStr"/>
    </row>
    <row r="155" ht="15" customHeight="1">
      <c r="A155" t="inlineStr">
        <is>
          <t>A 68186-2019</t>
        </is>
      </c>
      <c r="B155" s="1" t="n">
        <v>43817</v>
      </c>
      <c r="C155" s="1" t="n">
        <v>45738</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68188-2019</t>
        </is>
      </c>
      <c r="B156" s="1" t="n">
        <v>43817</v>
      </c>
      <c r="C156" s="1" t="n">
        <v>45738</v>
      </c>
      <c r="D156" t="inlineStr">
        <is>
          <t>UPPSALA LÄN</t>
        </is>
      </c>
      <c r="E156" t="inlineStr">
        <is>
          <t>ENKÖPING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69015-2019</t>
        </is>
      </c>
      <c r="B157" s="1" t="n">
        <v>43826</v>
      </c>
      <c r="C157" s="1" t="n">
        <v>45738</v>
      </c>
      <c r="D157" t="inlineStr">
        <is>
          <t>UPPSALA LÄN</t>
        </is>
      </c>
      <c r="E157" t="inlineStr">
        <is>
          <t>ENKÖPING</t>
        </is>
      </c>
      <c r="G157" t="n">
        <v>15.7</v>
      </c>
      <c r="H157" t="n">
        <v>0</v>
      </c>
      <c r="I157" t="n">
        <v>0</v>
      </c>
      <c r="J157" t="n">
        <v>0</v>
      </c>
      <c r="K157" t="n">
        <v>0</v>
      </c>
      <c r="L157" t="n">
        <v>0</v>
      </c>
      <c r="M157" t="n">
        <v>0</v>
      </c>
      <c r="N157" t="n">
        <v>0</v>
      </c>
      <c r="O157" t="n">
        <v>0</v>
      </c>
      <c r="P157" t="n">
        <v>0</v>
      </c>
      <c r="Q157" t="n">
        <v>0</v>
      </c>
      <c r="R157" s="2" t="inlineStr"/>
    </row>
    <row r="158" ht="15" customHeight="1">
      <c r="A158" t="inlineStr">
        <is>
          <t>A 69029-2019</t>
        </is>
      </c>
      <c r="B158" s="1" t="n">
        <v>43826</v>
      </c>
      <c r="C158" s="1" t="n">
        <v>45738</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69016-2019</t>
        </is>
      </c>
      <c r="B159" s="1" t="n">
        <v>43826</v>
      </c>
      <c r="C159" s="1" t="n">
        <v>45738</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69020-2019</t>
        </is>
      </c>
      <c r="B160" s="1" t="n">
        <v>43826</v>
      </c>
      <c r="C160" s="1" t="n">
        <v>45738</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38-2020</t>
        </is>
      </c>
      <c r="B161" s="1" t="n">
        <v>43832</v>
      </c>
      <c r="C161" s="1" t="n">
        <v>45738</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499-2020</t>
        </is>
      </c>
      <c r="B162" s="1" t="n">
        <v>43837</v>
      </c>
      <c r="C162" s="1" t="n">
        <v>45738</v>
      </c>
      <c r="D162" t="inlineStr">
        <is>
          <t>UPPSALA LÄN</t>
        </is>
      </c>
      <c r="E162" t="inlineStr">
        <is>
          <t>ENKÖPING</t>
        </is>
      </c>
      <c r="G162" t="n">
        <v>4.9</v>
      </c>
      <c r="H162" t="n">
        <v>0</v>
      </c>
      <c r="I162" t="n">
        <v>0</v>
      </c>
      <c r="J162" t="n">
        <v>0</v>
      </c>
      <c r="K162" t="n">
        <v>0</v>
      </c>
      <c r="L162" t="n">
        <v>0</v>
      </c>
      <c r="M162" t="n">
        <v>0</v>
      </c>
      <c r="N162" t="n">
        <v>0</v>
      </c>
      <c r="O162" t="n">
        <v>0</v>
      </c>
      <c r="P162" t="n">
        <v>0</v>
      </c>
      <c r="Q162" t="n">
        <v>0</v>
      </c>
      <c r="R162" s="2" t="inlineStr"/>
    </row>
    <row r="163" ht="15" customHeight="1">
      <c r="A163" t="inlineStr">
        <is>
          <t>A 724-2020</t>
        </is>
      </c>
      <c r="B163" s="1" t="n">
        <v>43838</v>
      </c>
      <c r="C163" s="1" t="n">
        <v>45738</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892-2020</t>
        </is>
      </c>
      <c r="B164" s="1" t="n">
        <v>43839</v>
      </c>
      <c r="C164" s="1" t="n">
        <v>45738</v>
      </c>
      <c r="D164" t="inlineStr">
        <is>
          <t>UPPSALA LÄN</t>
        </is>
      </c>
      <c r="E164" t="inlineStr">
        <is>
          <t>ENKÖPING</t>
        </is>
      </c>
      <c r="G164" t="n">
        <v>2.1</v>
      </c>
      <c r="H164" t="n">
        <v>0</v>
      </c>
      <c r="I164" t="n">
        <v>0</v>
      </c>
      <c r="J164" t="n">
        <v>0</v>
      </c>
      <c r="K164" t="n">
        <v>0</v>
      </c>
      <c r="L164" t="n">
        <v>0</v>
      </c>
      <c r="M164" t="n">
        <v>0</v>
      </c>
      <c r="N164" t="n">
        <v>0</v>
      </c>
      <c r="O164" t="n">
        <v>0</v>
      </c>
      <c r="P164" t="n">
        <v>0</v>
      </c>
      <c r="Q164" t="n">
        <v>0</v>
      </c>
      <c r="R164" s="2" t="inlineStr"/>
    </row>
    <row r="165" ht="15" customHeight="1">
      <c r="A165" t="inlineStr">
        <is>
          <t>A 1348-2020</t>
        </is>
      </c>
      <c r="B165" s="1" t="n">
        <v>43843</v>
      </c>
      <c r="C165" s="1" t="n">
        <v>45738</v>
      </c>
      <c r="D165" t="inlineStr">
        <is>
          <t>UPPSALA LÄN</t>
        </is>
      </c>
      <c r="E165" t="inlineStr">
        <is>
          <t>ENKÖPING</t>
        </is>
      </c>
      <c r="G165" t="n">
        <v>0.3</v>
      </c>
      <c r="H165" t="n">
        <v>0</v>
      </c>
      <c r="I165" t="n">
        <v>0</v>
      </c>
      <c r="J165" t="n">
        <v>0</v>
      </c>
      <c r="K165" t="n">
        <v>0</v>
      </c>
      <c r="L165" t="n">
        <v>0</v>
      </c>
      <c r="M165" t="n">
        <v>0</v>
      </c>
      <c r="N165" t="n">
        <v>0</v>
      </c>
      <c r="O165" t="n">
        <v>0</v>
      </c>
      <c r="P165" t="n">
        <v>0</v>
      </c>
      <c r="Q165" t="n">
        <v>0</v>
      </c>
      <c r="R165" s="2" t="inlineStr"/>
    </row>
    <row r="166" ht="15" customHeight="1">
      <c r="A166" t="inlineStr">
        <is>
          <t>A 2182-2020</t>
        </is>
      </c>
      <c r="B166" s="1" t="n">
        <v>43846</v>
      </c>
      <c r="C166" s="1" t="n">
        <v>45738</v>
      </c>
      <c r="D166" t="inlineStr">
        <is>
          <t>UPPSALA LÄN</t>
        </is>
      </c>
      <c r="E166" t="inlineStr">
        <is>
          <t>ENKÖPING</t>
        </is>
      </c>
      <c r="F166" t="inlineStr">
        <is>
          <t>Övriga statliga verk och myndigheter</t>
        </is>
      </c>
      <c r="G166" t="n">
        <v>7.7</v>
      </c>
      <c r="H166" t="n">
        <v>0</v>
      </c>
      <c r="I166" t="n">
        <v>0</v>
      </c>
      <c r="J166" t="n">
        <v>0</v>
      </c>
      <c r="K166" t="n">
        <v>0</v>
      </c>
      <c r="L166" t="n">
        <v>0</v>
      </c>
      <c r="M166" t="n">
        <v>0</v>
      </c>
      <c r="N166" t="n">
        <v>0</v>
      </c>
      <c r="O166" t="n">
        <v>0</v>
      </c>
      <c r="P166" t="n">
        <v>0</v>
      </c>
      <c r="Q166" t="n">
        <v>0</v>
      </c>
      <c r="R166" s="2" t="inlineStr"/>
    </row>
    <row r="167" ht="15" customHeight="1">
      <c r="A167" t="inlineStr">
        <is>
          <t>A 2205-2020</t>
        </is>
      </c>
      <c r="B167" s="1" t="n">
        <v>43846</v>
      </c>
      <c r="C167" s="1" t="n">
        <v>45738</v>
      </c>
      <c r="D167" t="inlineStr">
        <is>
          <t>UPPSALA LÄN</t>
        </is>
      </c>
      <c r="E167" t="inlineStr">
        <is>
          <t>ENKÖPING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2177-2020</t>
        </is>
      </c>
      <c r="B168" s="1" t="n">
        <v>43846</v>
      </c>
      <c r="C168" s="1" t="n">
        <v>45738</v>
      </c>
      <c r="D168" t="inlineStr">
        <is>
          <t>UPPSALA LÄN</t>
        </is>
      </c>
      <c r="E168" t="inlineStr">
        <is>
          <t>ENKÖPING</t>
        </is>
      </c>
      <c r="F168" t="inlineStr">
        <is>
          <t>Övriga statliga verk och myndigheter</t>
        </is>
      </c>
      <c r="G168" t="n">
        <v>10.2</v>
      </c>
      <c r="H168" t="n">
        <v>0</v>
      </c>
      <c r="I168" t="n">
        <v>0</v>
      </c>
      <c r="J168" t="n">
        <v>0</v>
      </c>
      <c r="K168" t="n">
        <v>0</v>
      </c>
      <c r="L168" t="n">
        <v>0</v>
      </c>
      <c r="M168" t="n">
        <v>0</v>
      </c>
      <c r="N168" t="n">
        <v>0</v>
      </c>
      <c r="O168" t="n">
        <v>0</v>
      </c>
      <c r="P168" t="n">
        <v>0</v>
      </c>
      <c r="Q168" t="n">
        <v>0</v>
      </c>
      <c r="R168" s="2" t="inlineStr"/>
    </row>
    <row r="169" ht="15" customHeight="1">
      <c r="A169" t="inlineStr">
        <is>
          <t>A 2220-2020</t>
        </is>
      </c>
      <c r="B169" s="1" t="n">
        <v>43846</v>
      </c>
      <c r="C169" s="1" t="n">
        <v>45738</v>
      </c>
      <c r="D169" t="inlineStr">
        <is>
          <t>UPPSALA LÄN</t>
        </is>
      </c>
      <c r="E169" t="inlineStr">
        <is>
          <t>ENKÖPING</t>
        </is>
      </c>
      <c r="F169" t="inlineStr">
        <is>
          <t>Övriga statliga verk och myndigheter</t>
        </is>
      </c>
      <c r="G169" t="n">
        <v>11.8</v>
      </c>
      <c r="H169" t="n">
        <v>0</v>
      </c>
      <c r="I169" t="n">
        <v>0</v>
      </c>
      <c r="J169" t="n">
        <v>0</v>
      </c>
      <c r="K169" t="n">
        <v>0</v>
      </c>
      <c r="L169" t="n">
        <v>0</v>
      </c>
      <c r="M169" t="n">
        <v>0</v>
      </c>
      <c r="N169" t="n">
        <v>0</v>
      </c>
      <c r="O169" t="n">
        <v>0</v>
      </c>
      <c r="P169" t="n">
        <v>0</v>
      </c>
      <c r="Q169" t="n">
        <v>0</v>
      </c>
      <c r="R169" s="2" t="inlineStr"/>
    </row>
    <row r="170" ht="15" customHeight="1">
      <c r="A170" t="inlineStr">
        <is>
          <t>A 2186-2020</t>
        </is>
      </c>
      <c r="B170" s="1" t="n">
        <v>43846</v>
      </c>
      <c r="C170" s="1" t="n">
        <v>45738</v>
      </c>
      <c r="D170" t="inlineStr">
        <is>
          <t>UPPSALA LÄN</t>
        </is>
      </c>
      <c r="E170" t="inlineStr">
        <is>
          <t>ENKÖPING</t>
        </is>
      </c>
      <c r="F170" t="inlineStr">
        <is>
          <t>Övriga statliga verk och myndigheter</t>
        </is>
      </c>
      <c r="G170" t="n">
        <v>12.3</v>
      </c>
      <c r="H170" t="n">
        <v>0</v>
      </c>
      <c r="I170" t="n">
        <v>0</v>
      </c>
      <c r="J170" t="n">
        <v>0</v>
      </c>
      <c r="K170" t="n">
        <v>0</v>
      </c>
      <c r="L170" t="n">
        <v>0</v>
      </c>
      <c r="M170" t="n">
        <v>0</v>
      </c>
      <c r="N170" t="n">
        <v>0</v>
      </c>
      <c r="O170" t="n">
        <v>0</v>
      </c>
      <c r="P170" t="n">
        <v>0</v>
      </c>
      <c r="Q170" t="n">
        <v>0</v>
      </c>
      <c r="R170" s="2" t="inlineStr"/>
    </row>
    <row r="171" ht="15" customHeight="1">
      <c r="A171" t="inlineStr">
        <is>
          <t>A 2225-2020</t>
        </is>
      </c>
      <c r="B171" s="1" t="n">
        <v>43846</v>
      </c>
      <c r="C171" s="1" t="n">
        <v>45738</v>
      </c>
      <c r="D171" t="inlineStr">
        <is>
          <t>UPPSALA LÄN</t>
        </is>
      </c>
      <c r="E171" t="inlineStr">
        <is>
          <t>ENKÖPING</t>
        </is>
      </c>
      <c r="F171" t="inlineStr">
        <is>
          <t>Övriga statliga verk och myndigheter</t>
        </is>
      </c>
      <c r="G171" t="n">
        <v>5.2</v>
      </c>
      <c r="H171" t="n">
        <v>0</v>
      </c>
      <c r="I171" t="n">
        <v>0</v>
      </c>
      <c r="J171" t="n">
        <v>0</v>
      </c>
      <c r="K171" t="n">
        <v>0</v>
      </c>
      <c r="L171" t="n">
        <v>0</v>
      </c>
      <c r="M171" t="n">
        <v>0</v>
      </c>
      <c r="N171" t="n">
        <v>0</v>
      </c>
      <c r="O171" t="n">
        <v>0</v>
      </c>
      <c r="P171" t="n">
        <v>0</v>
      </c>
      <c r="Q171" t="n">
        <v>0</v>
      </c>
      <c r="R171" s="2" t="inlineStr"/>
    </row>
    <row r="172" ht="15" customHeight="1">
      <c r="A172" t="inlineStr">
        <is>
          <t>A 2217-2020</t>
        </is>
      </c>
      <c r="B172" s="1" t="n">
        <v>43846</v>
      </c>
      <c r="C172" s="1" t="n">
        <v>45738</v>
      </c>
      <c r="D172" t="inlineStr">
        <is>
          <t>UPPSALA LÄN</t>
        </is>
      </c>
      <c r="E172" t="inlineStr">
        <is>
          <t>ENKÖPING</t>
        </is>
      </c>
      <c r="F172" t="inlineStr">
        <is>
          <t>Övriga statliga verk och myndigheter</t>
        </is>
      </c>
      <c r="G172" t="n">
        <v>7.7</v>
      </c>
      <c r="H172" t="n">
        <v>0</v>
      </c>
      <c r="I172" t="n">
        <v>0</v>
      </c>
      <c r="J172" t="n">
        <v>0</v>
      </c>
      <c r="K172" t="n">
        <v>0</v>
      </c>
      <c r="L172" t="n">
        <v>0</v>
      </c>
      <c r="M172" t="n">
        <v>0</v>
      </c>
      <c r="N172" t="n">
        <v>0</v>
      </c>
      <c r="O172" t="n">
        <v>0</v>
      </c>
      <c r="P172" t="n">
        <v>0</v>
      </c>
      <c r="Q172" t="n">
        <v>0</v>
      </c>
      <c r="R172" s="2" t="inlineStr"/>
    </row>
    <row r="173" ht="15" customHeight="1">
      <c r="A173" t="inlineStr">
        <is>
          <t>A 2222-2020</t>
        </is>
      </c>
      <c r="B173" s="1" t="n">
        <v>43846</v>
      </c>
      <c r="C173" s="1" t="n">
        <v>45738</v>
      </c>
      <c r="D173" t="inlineStr">
        <is>
          <t>UPPSALA LÄN</t>
        </is>
      </c>
      <c r="E173" t="inlineStr">
        <is>
          <t>ENKÖPING</t>
        </is>
      </c>
      <c r="F173" t="inlineStr">
        <is>
          <t>Övriga statliga verk och myndigheter</t>
        </is>
      </c>
      <c r="G173" t="n">
        <v>3.3</v>
      </c>
      <c r="H173" t="n">
        <v>0</v>
      </c>
      <c r="I173" t="n">
        <v>0</v>
      </c>
      <c r="J173" t="n">
        <v>0</v>
      </c>
      <c r="K173" t="n">
        <v>0</v>
      </c>
      <c r="L173" t="n">
        <v>0</v>
      </c>
      <c r="M173" t="n">
        <v>0</v>
      </c>
      <c r="N173" t="n">
        <v>0</v>
      </c>
      <c r="O173" t="n">
        <v>0</v>
      </c>
      <c r="P173" t="n">
        <v>0</v>
      </c>
      <c r="Q173" t="n">
        <v>0</v>
      </c>
      <c r="R173" s="2" t="inlineStr"/>
    </row>
    <row r="174" ht="15" customHeight="1">
      <c r="A174" t="inlineStr">
        <is>
          <t>A 4073-2020</t>
        </is>
      </c>
      <c r="B174" s="1" t="n">
        <v>43857</v>
      </c>
      <c r="C174" s="1" t="n">
        <v>45738</v>
      </c>
      <c r="D174" t="inlineStr">
        <is>
          <t>UPPSALA LÄN</t>
        </is>
      </c>
      <c r="E174" t="inlineStr">
        <is>
          <t>ENKÖPING</t>
        </is>
      </c>
      <c r="G174" t="n">
        <v>2.4</v>
      </c>
      <c r="H174" t="n">
        <v>0</v>
      </c>
      <c r="I174" t="n">
        <v>0</v>
      </c>
      <c r="J174" t="n">
        <v>0</v>
      </c>
      <c r="K174" t="n">
        <v>0</v>
      </c>
      <c r="L174" t="n">
        <v>0</v>
      </c>
      <c r="M174" t="n">
        <v>0</v>
      </c>
      <c r="N174" t="n">
        <v>0</v>
      </c>
      <c r="O174" t="n">
        <v>0</v>
      </c>
      <c r="P174" t="n">
        <v>0</v>
      </c>
      <c r="Q174" t="n">
        <v>0</v>
      </c>
      <c r="R174" s="2" t="inlineStr"/>
    </row>
    <row r="175" ht="15" customHeight="1">
      <c r="A175" t="inlineStr">
        <is>
          <t>A 5032-2020</t>
        </is>
      </c>
      <c r="B175" s="1" t="n">
        <v>43859</v>
      </c>
      <c r="C175" s="1" t="n">
        <v>45738</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5345-2020</t>
        </is>
      </c>
      <c r="B176" s="1" t="n">
        <v>43860</v>
      </c>
      <c r="C176" s="1" t="n">
        <v>45738</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5178-2020</t>
        </is>
      </c>
      <c r="B177" s="1" t="n">
        <v>43860</v>
      </c>
      <c r="C177" s="1" t="n">
        <v>45738</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6045-2020</t>
        </is>
      </c>
      <c r="B178" s="1" t="n">
        <v>43865</v>
      </c>
      <c r="C178" s="1" t="n">
        <v>45738</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6320-2020</t>
        </is>
      </c>
      <c r="B179" s="1" t="n">
        <v>43866</v>
      </c>
      <c r="C179" s="1" t="n">
        <v>45738</v>
      </c>
      <c r="D179" t="inlineStr">
        <is>
          <t>UPPSALA LÄN</t>
        </is>
      </c>
      <c r="E179" t="inlineStr">
        <is>
          <t>ENKÖPING</t>
        </is>
      </c>
      <c r="F179" t="inlineStr">
        <is>
          <t>Övriga statliga verk och myndigheter</t>
        </is>
      </c>
      <c r="G179" t="n">
        <v>1.6</v>
      </c>
      <c r="H179" t="n">
        <v>0</v>
      </c>
      <c r="I179" t="n">
        <v>0</v>
      </c>
      <c r="J179" t="n">
        <v>0</v>
      </c>
      <c r="K179" t="n">
        <v>0</v>
      </c>
      <c r="L179" t="n">
        <v>0</v>
      </c>
      <c r="M179" t="n">
        <v>0</v>
      </c>
      <c r="N179" t="n">
        <v>0</v>
      </c>
      <c r="O179" t="n">
        <v>0</v>
      </c>
      <c r="P179" t="n">
        <v>0</v>
      </c>
      <c r="Q179" t="n">
        <v>0</v>
      </c>
      <c r="R179" s="2" t="inlineStr"/>
    </row>
    <row r="180" ht="15" customHeight="1">
      <c r="A180" t="inlineStr">
        <is>
          <t>A 6345-2020</t>
        </is>
      </c>
      <c r="B180" s="1" t="n">
        <v>43866</v>
      </c>
      <c r="C180" s="1" t="n">
        <v>45738</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6700-2020</t>
        </is>
      </c>
      <c r="B181" s="1" t="n">
        <v>43866</v>
      </c>
      <c r="C181" s="1" t="n">
        <v>45738</v>
      </c>
      <c r="D181" t="inlineStr">
        <is>
          <t>UPPSALA LÄN</t>
        </is>
      </c>
      <c r="E181" t="inlineStr">
        <is>
          <t>ENKÖPING</t>
        </is>
      </c>
      <c r="G181" t="n">
        <v>2.6</v>
      </c>
      <c r="H181" t="n">
        <v>0</v>
      </c>
      <c r="I181" t="n">
        <v>0</v>
      </c>
      <c r="J181" t="n">
        <v>0</v>
      </c>
      <c r="K181" t="n">
        <v>0</v>
      </c>
      <c r="L181" t="n">
        <v>0</v>
      </c>
      <c r="M181" t="n">
        <v>0</v>
      </c>
      <c r="N181" t="n">
        <v>0</v>
      </c>
      <c r="O181" t="n">
        <v>0</v>
      </c>
      <c r="P181" t="n">
        <v>0</v>
      </c>
      <c r="Q181" t="n">
        <v>0</v>
      </c>
      <c r="R181" s="2" t="inlineStr"/>
    </row>
    <row r="182" ht="15" customHeight="1">
      <c r="A182" t="inlineStr">
        <is>
          <t>A 6434-2020</t>
        </is>
      </c>
      <c r="B182" s="1" t="n">
        <v>43866</v>
      </c>
      <c r="C182" s="1" t="n">
        <v>45738</v>
      </c>
      <c r="D182" t="inlineStr">
        <is>
          <t>UPPSALA LÄN</t>
        </is>
      </c>
      <c r="E182" t="inlineStr">
        <is>
          <t>ENKÖPING</t>
        </is>
      </c>
      <c r="G182" t="n">
        <v>8.4</v>
      </c>
      <c r="H182" t="n">
        <v>0</v>
      </c>
      <c r="I182" t="n">
        <v>0</v>
      </c>
      <c r="J182" t="n">
        <v>0</v>
      </c>
      <c r="K182" t="n">
        <v>0</v>
      </c>
      <c r="L182" t="n">
        <v>0</v>
      </c>
      <c r="M182" t="n">
        <v>0</v>
      </c>
      <c r="N182" t="n">
        <v>0</v>
      </c>
      <c r="O182" t="n">
        <v>0</v>
      </c>
      <c r="P182" t="n">
        <v>0</v>
      </c>
      <c r="Q182" t="n">
        <v>0</v>
      </c>
      <c r="R182" s="2" t="inlineStr"/>
    </row>
    <row r="183" ht="15" customHeight="1">
      <c r="A183" t="inlineStr">
        <is>
          <t>A 6990-2020</t>
        </is>
      </c>
      <c r="B183" s="1" t="n">
        <v>43868</v>
      </c>
      <c r="C183" s="1" t="n">
        <v>45738</v>
      </c>
      <c r="D183" t="inlineStr">
        <is>
          <t>UPPSALA LÄN</t>
        </is>
      </c>
      <c r="E183" t="inlineStr">
        <is>
          <t>ENKÖPING</t>
        </is>
      </c>
      <c r="G183" t="n">
        <v>2.9</v>
      </c>
      <c r="H183" t="n">
        <v>0</v>
      </c>
      <c r="I183" t="n">
        <v>0</v>
      </c>
      <c r="J183" t="n">
        <v>0</v>
      </c>
      <c r="K183" t="n">
        <v>0</v>
      </c>
      <c r="L183" t="n">
        <v>0</v>
      </c>
      <c r="M183" t="n">
        <v>0</v>
      </c>
      <c r="N183" t="n">
        <v>0</v>
      </c>
      <c r="O183" t="n">
        <v>0</v>
      </c>
      <c r="P183" t="n">
        <v>0</v>
      </c>
      <c r="Q183" t="n">
        <v>0</v>
      </c>
      <c r="R183" s="2" t="inlineStr"/>
    </row>
    <row r="184" ht="15" customHeight="1">
      <c r="A184" t="inlineStr">
        <is>
          <t>A 8185-2020</t>
        </is>
      </c>
      <c r="B184" s="1" t="n">
        <v>43874</v>
      </c>
      <c r="C184" s="1" t="n">
        <v>45738</v>
      </c>
      <c r="D184" t="inlineStr">
        <is>
          <t>UPPSALA LÄN</t>
        </is>
      </c>
      <c r="E184" t="inlineStr">
        <is>
          <t>ENKÖPING</t>
        </is>
      </c>
      <c r="G184" t="n">
        <v>4.7</v>
      </c>
      <c r="H184" t="n">
        <v>0</v>
      </c>
      <c r="I184" t="n">
        <v>0</v>
      </c>
      <c r="J184" t="n">
        <v>0</v>
      </c>
      <c r="K184" t="n">
        <v>0</v>
      </c>
      <c r="L184" t="n">
        <v>0</v>
      </c>
      <c r="M184" t="n">
        <v>0</v>
      </c>
      <c r="N184" t="n">
        <v>0</v>
      </c>
      <c r="O184" t="n">
        <v>0</v>
      </c>
      <c r="P184" t="n">
        <v>0</v>
      </c>
      <c r="Q184" t="n">
        <v>0</v>
      </c>
      <c r="R184" s="2" t="inlineStr"/>
    </row>
    <row r="185" ht="15" customHeight="1">
      <c r="A185" t="inlineStr">
        <is>
          <t>A 8320-2020</t>
        </is>
      </c>
      <c r="B185" s="1" t="n">
        <v>43875</v>
      </c>
      <c r="C185" s="1" t="n">
        <v>45738</v>
      </c>
      <c r="D185" t="inlineStr">
        <is>
          <t>UPPSALA LÄN</t>
        </is>
      </c>
      <c r="E185" t="inlineStr">
        <is>
          <t>ENKÖPING</t>
        </is>
      </c>
      <c r="G185" t="n">
        <v>6.1</v>
      </c>
      <c r="H185" t="n">
        <v>0</v>
      </c>
      <c r="I185" t="n">
        <v>0</v>
      </c>
      <c r="J185" t="n">
        <v>0</v>
      </c>
      <c r="K185" t="n">
        <v>0</v>
      </c>
      <c r="L185" t="n">
        <v>0</v>
      </c>
      <c r="M185" t="n">
        <v>0</v>
      </c>
      <c r="N185" t="n">
        <v>0</v>
      </c>
      <c r="O185" t="n">
        <v>0</v>
      </c>
      <c r="P185" t="n">
        <v>0</v>
      </c>
      <c r="Q185" t="n">
        <v>0</v>
      </c>
      <c r="R185" s="2" t="inlineStr"/>
    </row>
    <row r="186" ht="15" customHeight="1">
      <c r="A186" t="inlineStr">
        <is>
          <t>A 8344-2020</t>
        </is>
      </c>
      <c r="B186" s="1" t="n">
        <v>43875</v>
      </c>
      <c r="C186" s="1" t="n">
        <v>45738</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8692-2020</t>
        </is>
      </c>
      <c r="B187" s="1" t="n">
        <v>43878</v>
      </c>
      <c r="C187" s="1" t="n">
        <v>45738</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8700-2020</t>
        </is>
      </c>
      <c r="B188" s="1" t="n">
        <v>43878</v>
      </c>
      <c r="C188" s="1" t="n">
        <v>45738</v>
      </c>
      <c r="D188" t="inlineStr">
        <is>
          <t>UPPSALA LÄN</t>
        </is>
      </c>
      <c r="E188" t="inlineStr">
        <is>
          <t>ENKÖPING</t>
        </is>
      </c>
      <c r="F188" t="inlineStr">
        <is>
          <t>Kyrkan</t>
        </is>
      </c>
      <c r="G188" t="n">
        <v>1.5</v>
      </c>
      <c r="H188" t="n">
        <v>0</v>
      </c>
      <c r="I188" t="n">
        <v>0</v>
      </c>
      <c r="J188" t="n">
        <v>0</v>
      </c>
      <c r="K188" t="n">
        <v>0</v>
      </c>
      <c r="L188" t="n">
        <v>0</v>
      </c>
      <c r="M188" t="n">
        <v>0</v>
      </c>
      <c r="N188" t="n">
        <v>0</v>
      </c>
      <c r="O188" t="n">
        <v>0</v>
      </c>
      <c r="P188" t="n">
        <v>0</v>
      </c>
      <c r="Q188" t="n">
        <v>0</v>
      </c>
      <c r="R188" s="2" t="inlineStr"/>
    </row>
    <row r="189" ht="15" customHeight="1">
      <c r="A189" t="inlineStr">
        <is>
          <t>A 9122-2020</t>
        </is>
      </c>
      <c r="B189" s="1" t="n">
        <v>43879</v>
      </c>
      <c r="C189" s="1" t="n">
        <v>45738</v>
      </c>
      <c r="D189" t="inlineStr">
        <is>
          <t>UPPSALA LÄN</t>
        </is>
      </c>
      <c r="E189" t="inlineStr">
        <is>
          <t>ENKÖPING</t>
        </is>
      </c>
      <c r="G189" t="n">
        <v>0.9</v>
      </c>
      <c r="H189" t="n">
        <v>0</v>
      </c>
      <c r="I189" t="n">
        <v>0</v>
      </c>
      <c r="J189" t="n">
        <v>0</v>
      </c>
      <c r="K189" t="n">
        <v>0</v>
      </c>
      <c r="L189" t="n">
        <v>0</v>
      </c>
      <c r="M189" t="n">
        <v>0</v>
      </c>
      <c r="N189" t="n">
        <v>0</v>
      </c>
      <c r="O189" t="n">
        <v>0</v>
      </c>
      <c r="P189" t="n">
        <v>0</v>
      </c>
      <c r="Q189" t="n">
        <v>0</v>
      </c>
      <c r="R189" s="2" t="inlineStr"/>
    </row>
    <row r="190" ht="15" customHeight="1">
      <c r="A190" t="inlineStr">
        <is>
          <t>A 9351-2020</t>
        </is>
      </c>
      <c r="B190" s="1" t="n">
        <v>43880</v>
      </c>
      <c r="C190" s="1" t="n">
        <v>45738</v>
      </c>
      <c r="D190" t="inlineStr">
        <is>
          <t>UPPSALA LÄN</t>
        </is>
      </c>
      <c r="E190" t="inlineStr">
        <is>
          <t>ENKÖPING</t>
        </is>
      </c>
      <c r="G190" t="n">
        <v>2.3</v>
      </c>
      <c r="H190" t="n">
        <v>0</v>
      </c>
      <c r="I190" t="n">
        <v>0</v>
      </c>
      <c r="J190" t="n">
        <v>0</v>
      </c>
      <c r="K190" t="n">
        <v>0</v>
      </c>
      <c r="L190" t="n">
        <v>0</v>
      </c>
      <c r="M190" t="n">
        <v>0</v>
      </c>
      <c r="N190" t="n">
        <v>0</v>
      </c>
      <c r="O190" t="n">
        <v>0</v>
      </c>
      <c r="P190" t="n">
        <v>0</v>
      </c>
      <c r="Q190" t="n">
        <v>0</v>
      </c>
      <c r="R190" s="2" t="inlineStr"/>
    </row>
    <row r="191" ht="15" customHeight="1">
      <c r="A191" t="inlineStr">
        <is>
          <t>A 9380-2020</t>
        </is>
      </c>
      <c r="B191" s="1" t="n">
        <v>43880</v>
      </c>
      <c r="C191" s="1" t="n">
        <v>45738</v>
      </c>
      <c r="D191" t="inlineStr">
        <is>
          <t>UPPSALA LÄN</t>
        </is>
      </c>
      <c r="E191" t="inlineStr">
        <is>
          <t>ENKÖPING</t>
        </is>
      </c>
      <c r="G191" t="n">
        <v>1.5</v>
      </c>
      <c r="H191" t="n">
        <v>0</v>
      </c>
      <c r="I191" t="n">
        <v>0</v>
      </c>
      <c r="J191" t="n">
        <v>0</v>
      </c>
      <c r="K191" t="n">
        <v>0</v>
      </c>
      <c r="L191" t="n">
        <v>0</v>
      </c>
      <c r="M191" t="n">
        <v>0</v>
      </c>
      <c r="N191" t="n">
        <v>0</v>
      </c>
      <c r="O191" t="n">
        <v>0</v>
      </c>
      <c r="P191" t="n">
        <v>0</v>
      </c>
      <c r="Q191" t="n">
        <v>0</v>
      </c>
      <c r="R191" s="2" t="inlineStr"/>
    </row>
    <row r="192" ht="15" customHeight="1">
      <c r="A192" t="inlineStr">
        <is>
          <t>A 10795-2020</t>
        </is>
      </c>
      <c r="B192" s="1" t="n">
        <v>43888</v>
      </c>
      <c r="C192" s="1" t="n">
        <v>45738</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11060-2020</t>
        </is>
      </c>
      <c r="B193" s="1" t="n">
        <v>43889</v>
      </c>
      <c r="C193" s="1" t="n">
        <v>45738</v>
      </c>
      <c r="D193" t="inlineStr">
        <is>
          <t>UPPSALA LÄN</t>
        </is>
      </c>
      <c r="E193" t="inlineStr">
        <is>
          <t>ENKÖPING</t>
        </is>
      </c>
      <c r="G193" t="n">
        <v>22.7</v>
      </c>
      <c r="H193" t="n">
        <v>0</v>
      </c>
      <c r="I193" t="n">
        <v>0</v>
      </c>
      <c r="J193" t="n">
        <v>0</v>
      </c>
      <c r="K193" t="n">
        <v>0</v>
      </c>
      <c r="L193" t="n">
        <v>0</v>
      </c>
      <c r="M193" t="n">
        <v>0</v>
      </c>
      <c r="N193" t="n">
        <v>0</v>
      </c>
      <c r="O193" t="n">
        <v>0</v>
      </c>
      <c r="P193" t="n">
        <v>0</v>
      </c>
      <c r="Q193" t="n">
        <v>0</v>
      </c>
      <c r="R193" s="2" t="inlineStr"/>
    </row>
    <row r="194" ht="15" customHeight="1">
      <c r="A194" t="inlineStr">
        <is>
          <t>A 11228-2020</t>
        </is>
      </c>
      <c r="B194" s="1" t="n">
        <v>43892</v>
      </c>
      <c r="C194" s="1" t="n">
        <v>45738</v>
      </c>
      <c r="D194" t="inlineStr">
        <is>
          <t>UPPSALA LÄN</t>
        </is>
      </c>
      <c r="E194" t="inlineStr">
        <is>
          <t>ENKÖPING</t>
        </is>
      </c>
      <c r="G194" t="n">
        <v>3.1</v>
      </c>
      <c r="H194" t="n">
        <v>0</v>
      </c>
      <c r="I194" t="n">
        <v>0</v>
      </c>
      <c r="J194" t="n">
        <v>0</v>
      </c>
      <c r="K194" t="n">
        <v>0</v>
      </c>
      <c r="L194" t="n">
        <v>0</v>
      </c>
      <c r="M194" t="n">
        <v>0</v>
      </c>
      <c r="N194" t="n">
        <v>0</v>
      </c>
      <c r="O194" t="n">
        <v>0</v>
      </c>
      <c r="P194" t="n">
        <v>0</v>
      </c>
      <c r="Q194" t="n">
        <v>0</v>
      </c>
      <c r="R194" s="2" t="inlineStr"/>
    </row>
    <row r="195" ht="15" customHeight="1">
      <c r="A195" t="inlineStr">
        <is>
          <t>A 12272-2020</t>
        </is>
      </c>
      <c r="B195" s="1" t="n">
        <v>43895</v>
      </c>
      <c r="C195" s="1" t="n">
        <v>45738</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16320-2020</t>
        </is>
      </c>
      <c r="B196" s="1" t="n">
        <v>43917</v>
      </c>
      <c r="C196" s="1" t="n">
        <v>45738</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17888-2020</t>
        </is>
      </c>
      <c r="B197" s="1" t="n">
        <v>43924</v>
      </c>
      <c r="C197" s="1" t="n">
        <v>45738</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18101-2020</t>
        </is>
      </c>
      <c r="B198" s="1" t="n">
        <v>43927</v>
      </c>
      <c r="C198" s="1" t="n">
        <v>45738</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18097-2020</t>
        </is>
      </c>
      <c r="B199" s="1" t="n">
        <v>43927</v>
      </c>
      <c r="C199" s="1" t="n">
        <v>45738</v>
      </c>
      <c r="D199" t="inlineStr">
        <is>
          <t>UPPSALA LÄN</t>
        </is>
      </c>
      <c r="E199" t="inlineStr">
        <is>
          <t>ENKÖPING</t>
        </is>
      </c>
      <c r="G199" t="n">
        <v>4.6</v>
      </c>
      <c r="H199" t="n">
        <v>0</v>
      </c>
      <c r="I199" t="n">
        <v>0</v>
      </c>
      <c r="J199" t="n">
        <v>0</v>
      </c>
      <c r="K199" t="n">
        <v>0</v>
      </c>
      <c r="L199" t="n">
        <v>0</v>
      </c>
      <c r="M199" t="n">
        <v>0</v>
      </c>
      <c r="N199" t="n">
        <v>0</v>
      </c>
      <c r="O199" t="n">
        <v>0</v>
      </c>
      <c r="P199" t="n">
        <v>0</v>
      </c>
      <c r="Q199" t="n">
        <v>0</v>
      </c>
      <c r="R199" s="2" t="inlineStr"/>
    </row>
    <row r="200" ht="15" customHeight="1">
      <c r="A200" t="inlineStr">
        <is>
          <t>A 18489-2020</t>
        </is>
      </c>
      <c r="B200" s="1" t="n">
        <v>43929</v>
      </c>
      <c r="C200" s="1" t="n">
        <v>45738</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18486-2020</t>
        </is>
      </c>
      <c r="B201" s="1" t="n">
        <v>43929</v>
      </c>
      <c r="C201" s="1" t="n">
        <v>45738</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19499-2020</t>
        </is>
      </c>
      <c r="B202" s="1" t="n">
        <v>43938</v>
      </c>
      <c r="C202" s="1" t="n">
        <v>45738</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19463-2020</t>
        </is>
      </c>
      <c r="B203" s="1" t="n">
        <v>43938</v>
      </c>
      <c r="C203" s="1" t="n">
        <v>45738</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20286-2020</t>
        </is>
      </c>
      <c r="B204" s="1" t="n">
        <v>43945</v>
      </c>
      <c r="C204" s="1" t="n">
        <v>45738</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20552-2020</t>
        </is>
      </c>
      <c r="B205" s="1" t="n">
        <v>43948</v>
      </c>
      <c r="C205" s="1" t="n">
        <v>45738</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21573-2020</t>
        </is>
      </c>
      <c r="B206" s="1" t="n">
        <v>43956</v>
      </c>
      <c r="C206" s="1" t="n">
        <v>45738</v>
      </c>
      <c r="D206" t="inlineStr">
        <is>
          <t>UPPSALA LÄN</t>
        </is>
      </c>
      <c r="E206" t="inlineStr">
        <is>
          <t>ENKÖPING</t>
        </is>
      </c>
      <c r="G206" t="n">
        <v>1.3</v>
      </c>
      <c r="H206" t="n">
        <v>0</v>
      </c>
      <c r="I206" t="n">
        <v>0</v>
      </c>
      <c r="J206" t="n">
        <v>0</v>
      </c>
      <c r="K206" t="n">
        <v>0</v>
      </c>
      <c r="L206" t="n">
        <v>0</v>
      </c>
      <c r="M206" t="n">
        <v>0</v>
      </c>
      <c r="N206" t="n">
        <v>0</v>
      </c>
      <c r="O206" t="n">
        <v>0</v>
      </c>
      <c r="P206" t="n">
        <v>0</v>
      </c>
      <c r="Q206" t="n">
        <v>0</v>
      </c>
      <c r="R206" s="2" t="inlineStr"/>
    </row>
    <row r="207" ht="15" customHeight="1">
      <c r="A207" t="inlineStr">
        <is>
          <t>A 21651-2020</t>
        </is>
      </c>
      <c r="B207" s="1" t="n">
        <v>43957</v>
      </c>
      <c r="C207" s="1" t="n">
        <v>45738</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21666-2020</t>
        </is>
      </c>
      <c r="B208" s="1" t="n">
        <v>43957</v>
      </c>
      <c r="C208" s="1" t="n">
        <v>45738</v>
      </c>
      <c r="D208" t="inlineStr">
        <is>
          <t>UPPSALA LÄN</t>
        </is>
      </c>
      <c r="E208" t="inlineStr">
        <is>
          <t>ENKÖPING</t>
        </is>
      </c>
      <c r="G208" t="n">
        <v>0.4</v>
      </c>
      <c r="H208" t="n">
        <v>0</v>
      </c>
      <c r="I208" t="n">
        <v>0</v>
      </c>
      <c r="J208" t="n">
        <v>0</v>
      </c>
      <c r="K208" t="n">
        <v>0</v>
      </c>
      <c r="L208" t="n">
        <v>0</v>
      </c>
      <c r="M208" t="n">
        <v>0</v>
      </c>
      <c r="N208" t="n">
        <v>0</v>
      </c>
      <c r="O208" t="n">
        <v>0</v>
      </c>
      <c r="P208" t="n">
        <v>0</v>
      </c>
      <c r="Q208" t="n">
        <v>0</v>
      </c>
      <c r="R208" s="2" t="inlineStr"/>
    </row>
    <row r="209" ht="15" customHeight="1">
      <c r="A209" t="inlineStr">
        <is>
          <t>A 21896-2020</t>
        </is>
      </c>
      <c r="B209" s="1" t="n">
        <v>43958</v>
      </c>
      <c r="C209" s="1" t="n">
        <v>45738</v>
      </c>
      <c r="D209" t="inlineStr">
        <is>
          <t>UPPSALA LÄN</t>
        </is>
      </c>
      <c r="E209" t="inlineStr">
        <is>
          <t>ENKÖPING</t>
        </is>
      </c>
      <c r="G209" t="n">
        <v>0.3</v>
      </c>
      <c r="H209" t="n">
        <v>0</v>
      </c>
      <c r="I209" t="n">
        <v>0</v>
      </c>
      <c r="J209" t="n">
        <v>0</v>
      </c>
      <c r="K209" t="n">
        <v>0</v>
      </c>
      <c r="L209" t="n">
        <v>0</v>
      </c>
      <c r="M209" t="n">
        <v>0</v>
      </c>
      <c r="N209" t="n">
        <v>0</v>
      </c>
      <c r="O209" t="n">
        <v>0</v>
      </c>
      <c r="P209" t="n">
        <v>0</v>
      </c>
      <c r="Q209" t="n">
        <v>0</v>
      </c>
      <c r="R209" s="2" t="inlineStr"/>
    </row>
    <row r="210" ht="15" customHeight="1">
      <c r="A210" t="inlineStr">
        <is>
          <t>A 22772-2020</t>
        </is>
      </c>
      <c r="B210" s="1" t="n">
        <v>43964</v>
      </c>
      <c r="C210" s="1" t="n">
        <v>45738</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22816-2020</t>
        </is>
      </c>
      <c r="B211" s="1" t="n">
        <v>43964</v>
      </c>
      <c r="C211" s="1" t="n">
        <v>45738</v>
      </c>
      <c r="D211" t="inlineStr">
        <is>
          <t>UPPSALA LÄN</t>
        </is>
      </c>
      <c r="E211" t="inlineStr">
        <is>
          <t>ENKÖPING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22970-2020</t>
        </is>
      </c>
      <c r="B212" s="1" t="n">
        <v>43965</v>
      </c>
      <c r="C212" s="1" t="n">
        <v>45738</v>
      </c>
      <c r="D212" t="inlineStr">
        <is>
          <t>UPPSALA LÄN</t>
        </is>
      </c>
      <c r="E212" t="inlineStr">
        <is>
          <t>ENKÖPING</t>
        </is>
      </c>
      <c r="G212" t="n">
        <v>1.8</v>
      </c>
      <c r="H212" t="n">
        <v>0</v>
      </c>
      <c r="I212" t="n">
        <v>0</v>
      </c>
      <c r="J212" t="n">
        <v>0</v>
      </c>
      <c r="K212" t="n">
        <v>0</v>
      </c>
      <c r="L212" t="n">
        <v>0</v>
      </c>
      <c r="M212" t="n">
        <v>0</v>
      </c>
      <c r="N212" t="n">
        <v>0</v>
      </c>
      <c r="O212" t="n">
        <v>0</v>
      </c>
      <c r="P212" t="n">
        <v>0</v>
      </c>
      <c r="Q212" t="n">
        <v>0</v>
      </c>
      <c r="R212" s="2" t="inlineStr"/>
    </row>
    <row r="213" ht="15" customHeight="1">
      <c r="A213" t="inlineStr">
        <is>
          <t>A 23782-2020</t>
        </is>
      </c>
      <c r="B213" s="1" t="n">
        <v>43970</v>
      </c>
      <c r="C213" s="1" t="n">
        <v>45738</v>
      </c>
      <c r="D213" t="inlineStr">
        <is>
          <t>UPPSALA LÄN</t>
        </is>
      </c>
      <c r="E213" t="inlineStr">
        <is>
          <t>ENKÖPING</t>
        </is>
      </c>
      <c r="G213" t="n">
        <v>0.7</v>
      </c>
      <c r="H213" t="n">
        <v>0</v>
      </c>
      <c r="I213" t="n">
        <v>0</v>
      </c>
      <c r="J213" t="n">
        <v>0</v>
      </c>
      <c r="K213" t="n">
        <v>0</v>
      </c>
      <c r="L213" t="n">
        <v>0</v>
      </c>
      <c r="M213" t="n">
        <v>0</v>
      </c>
      <c r="N213" t="n">
        <v>0</v>
      </c>
      <c r="O213" t="n">
        <v>0</v>
      </c>
      <c r="P213" t="n">
        <v>0</v>
      </c>
      <c r="Q213" t="n">
        <v>0</v>
      </c>
      <c r="R213" s="2" t="inlineStr"/>
    </row>
    <row r="214" ht="15" customHeight="1">
      <c r="A214" t="inlineStr">
        <is>
          <t>A 23809-2020</t>
        </is>
      </c>
      <c r="B214" s="1" t="n">
        <v>43970</v>
      </c>
      <c r="C214" s="1" t="n">
        <v>45738</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23808-2020</t>
        </is>
      </c>
      <c r="B215" s="1" t="n">
        <v>43970</v>
      </c>
      <c r="C215" s="1" t="n">
        <v>45738</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24476-2020</t>
        </is>
      </c>
      <c r="B216" s="1" t="n">
        <v>43977</v>
      </c>
      <c r="C216" s="1" t="n">
        <v>45738</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24496-2020</t>
        </is>
      </c>
      <c r="B217" s="1" t="n">
        <v>43977</v>
      </c>
      <c r="C217" s="1" t="n">
        <v>45738</v>
      </c>
      <c r="D217" t="inlineStr">
        <is>
          <t>UPPSALA LÄN</t>
        </is>
      </c>
      <c r="E217" t="inlineStr">
        <is>
          <t>ENKÖPING</t>
        </is>
      </c>
      <c r="G217" t="n">
        <v>2.4</v>
      </c>
      <c r="H217" t="n">
        <v>0</v>
      </c>
      <c r="I217" t="n">
        <v>0</v>
      </c>
      <c r="J217" t="n">
        <v>0</v>
      </c>
      <c r="K217" t="n">
        <v>0</v>
      </c>
      <c r="L217" t="n">
        <v>0</v>
      </c>
      <c r="M217" t="n">
        <v>0</v>
      </c>
      <c r="N217" t="n">
        <v>0</v>
      </c>
      <c r="O217" t="n">
        <v>0</v>
      </c>
      <c r="P217" t="n">
        <v>0</v>
      </c>
      <c r="Q217" t="n">
        <v>0</v>
      </c>
      <c r="R217" s="2" t="inlineStr"/>
    </row>
    <row r="218" ht="15" customHeight="1">
      <c r="A218" t="inlineStr">
        <is>
          <t>A 25081-2020</t>
        </is>
      </c>
      <c r="B218" s="1" t="n">
        <v>43979</v>
      </c>
      <c r="C218" s="1" t="n">
        <v>45738</v>
      </c>
      <c r="D218" t="inlineStr">
        <is>
          <t>UPPSALA LÄN</t>
        </is>
      </c>
      <c r="E218" t="inlineStr">
        <is>
          <t>ENKÖPING</t>
        </is>
      </c>
      <c r="G218" t="n">
        <v>5.5</v>
      </c>
      <c r="H218" t="n">
        <v>0</v>
      </c>
      <c r="I218" t="n">
        <v>0</v>
      </c>
      <c r="J218" t="n">
        <v>0</v>
      </c>
      <c r="K218" t="n">
        <v>0</v>
      </c>
      <c r="L218" t="n">
        <v>0</v>
      </c>
      <c r="M218" t="n">
        <v>0</v>
      </c>
      <c r="N218" t="n">
        <v>0</v>
      </c>
      <c r="O218" t="n">
        <v>0</v>
      </c>
      <c r="P218" t="n">
        <v>0</v>
      </c>
      <c r="Q218" t="n">
        <v>0</v>
      </c>
      <c r="R218" s="2" t="inlineStr"/>
    </row>
    <row r="219" ht="15" customHeight="1">
      <c r="A219" t="inlineStr">
        <is>
          <t>A 25895-2020</t>
        </is>
      </c>
      <c r="B219" s="1" t="n">
        <v>43984</v>
      </c>
      <c r="C219" s="1" t="n">
        <v>45738</v>
      </c>
      <c r="D219" t="inlineStr">
        <is>
          <t>UPPSALA LÄN</t>
        </is>
      </c>
      <c r="E219" t="inlineStr">
        <is>
          <t>ENKÖPING</t>
        </is>
      </c>
      <c r="G219" t="n">
        <v>1.3</v>
      </c>
      <c r="H219" t="n">
        <v>0</v>
      </c>
      <c r="I219" t="n">
        <v>0</v>
      </c>
      <c r="J219" t="n">
        <v>0</v>
      </c>
      <c r="K219" t="n">
        <v>0</v>
      </c>
      <c r="L219" t="n">
        <v>0</v>
      </c>
      <c r="M219" t="n">
        <v>0</v>
      </c>
      <c r="N219" t="n">
        <v>0</v>
      </c>
      <c r="O219" t="n">
        <v>0</v>
      </c>
      <c r="P219" t="n">
        <v>0</v>
      </c>
      <c r="Q219" t="n">
        <v>0</v>
      </c>
      <c r="R219" s="2" t="inlineStr"/>
    </row>
    <row r="220" ht="15" customHeight="1">
      <c r="A220" t="inlineStr">
        <is>
          <t>A 26032-2020</t>
        </is>
      </c>
      <c r="B220" s="1" t="n">
        <v>43985</v>
      </c>
      <c r="C220" s="1" t="n">
        <v>45738</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26151-2020</t>
        </is>
      </c>
      <c r="B221" s="1" t="n">
        <v>43985</v>
      </c>
      <c r="C221" s="1" t="n">
        <v>45738</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26860-2020</t>
        </is>
      </c>
      <c r="B222" s="1" t="n">
        <v>43990</v>
      </c>
      <c r="C222" s="1" t="n">
        <v>45738</v>
      </c>
      <c r="D222" t="inlineStr">
        <is>
          <t>UPPSALA LÄN</t>
        </is>
      </c>
      <c r="E222" t="inlineStr">
        <is>
          <t>ENKÖPING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28799-2020</t>
        </is>
      </c>
      <c r="B223" s="1" t="n">
        <v>44000</v>
      </c>
      <c r="C223" s="1" t="n">
        <v>45738</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28801-2020</t>
        </is>
      </c>
      <c r="B224" s="1" t="n">
        <v>44000</v>
      </c>
      <c r="C224" s="1" t="n">
        <v>45738</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29934-2020</t>
        </is>
      </c>
      <c r="B225" s="1" t="n">
        <v>44006</v>
      </c>
      <c r="C225" s="1" t="n">
        <v>45738</v>
      </c>
      <c r="D225" t="inlineStr">
        <is>
          <t>UPPSALA LÄN</t>
        </is>
      </c>
      <c r="E225" t="inlineStr">
        <is>
          <t>ENKÖPING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29948-2020</t>
        </is>
      </c>
      <c r="B226" s="1" t="n">
        <v>44006</v>
      </c>
      <c r="C226" s="1" t="n">
        <v>45738</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30280-2020</t>
        </is>
      </c>
      <c r="B227" s="1" t="n">
        <v>44007</v>
      </c>
      <c r="C227" s="1" t="n">
        <v>45738</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30571-2020</t>
        </is>
      </c>
      <c r="B228" s="1" t="n">
        <v>44008</v>
      </c>
      <c r="C228" s="1" t="n">
        <v>45738</v>
      </c>
      <c r="D228" t="inlineStr">
        <is>
          <t>UPPSALA LÄN</t>
        </is>
      </c>
      <c r="E228" t="inlineStr">
        <is>
          <t>ENKÖPING</t>
        </is>
      </c>
      <c r="G228" t="n">
        <v>8.9</v>
      </c>
      <c r="H228" t="n">
        <v>0</v>
      </c>
      <c r="I228" t="n">
        <v>0</v>
      </c>
      <c r="J228" t="n">
        <v>0</v>
      </c>
      <c r="K228" t="n">
        <v>0</v>
      </c>
      <c r="L228" t="n">
        <v>0</v>
      </c>
      <c r="M228" t="n">
        <v>0</v>
      </c>
      <c r="N228" t="n">
        <v>0</v>
      </c>
      <c r="O228" t="n">
        <v>0</v>
      </c>
      <c r="P228" t="n">
        <v>0</v>
      </c>
      <c r="Q228" t="n">
        <v>0</v>
      </c>
      <c r="R228" s="2" t="inlineStr"/>
    </row>
    <row r="229" ht="15" customHeight="1">
      <c r="A229" t="inlineStr">
        <is>
          <t>A 31472-2020</t>
        </is>
      </c>
      <c r="B229" s="1" t="n">
        <v>44013</v>
      </c>
      <c r="C229" s="1" t="n">
        <v>45738</v>
      </c>
      <c r="D229" t="inlineStr">
        <is>
          <t>UPPSALA LÄN</t>
        </is>
      </c>
      <c r="E229" t="inlineStr">
        <is>
          <t>ENKÖPING</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31473-2020</t>
        </is>
      </c>
      <c r="B230" s="1" t="n">
        <v>44013</v>
      </c>
      <c r="C230" s="1" t="n">
        <v>45738</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32209-2020</t>
        </is>
      </c>
      <c r="B231" s="1" t="n">
        <v>44015</v>
      </c>
      <c r="C231" s="1" t="n">
        <v>45738</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32047-2020</t>
        </is>
      </c>
      <c r="B232" s="1" t="n">
        <v>44015</v>
      </c>
      <c r="C232" s="1" t="n">
        <v>45738</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32454-2020</t>
        </is>
      </c>
      <c r="B233" s="1" t="n">
        <v>44018</v>
      </c>
      <c r="C233" s="1" t="n">
        <v>45738</v>
      </c>
      <c r="D233" t="inlineStr">
        <is>
          <t>UPPSALA LÄN</t>
        </is>
      </c>
      <c r="E233" t="inlineStr">
        <is>
          <t>ENKÖPING</t>
        </is>
      </c>
      <c r="G233" t="n">
        <v>2.6</v>
      </c>
      <c r="H233" t="n">
        <v>0</v>
      </c>
      <c r="I233" t="n">
        <v>0</v>
      </c>
      <c r="J233" t="n">
        <v>0</v>
      </c>
      <c r="K233" t="n">
        <v>0</v>
      </c>
      <c r="L233" t="n">
        <v>0</v>
      </c>
      <c r="M233" t="n">
        <v>0</v>
      </c>
      <c r="N233" t="n">
        <v>0</v>
      </c>
      <c r="O233" t="n">
        <v>0</v>
      </c>
      <c r="P233" t="n">
        <v>0</v>
      </c>
      <c r="Q233" t="n">
        <v>0</v>
      </c>
      <c r="R233" s="2" t="inlineStr"/>
    </row>
    <row r="234" ht="15" customHeight="1">
      <c r="A234" t="inlineStr">
        <is>
          <t>A 32497-2020</t>
        </is>
      </c>
      <c r="B234" s="1" t="n">
        <v>44018</v>
      </c>
      <c r="C234" s="1" t="n">
        <v>45738</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33585-2020</t>
        </is>
      </c>
      <c r="B235" s="1" t="n">
        <v>44022</v>
      </c>
      <c r="C235" s="1" t="n">
        <v>45738</v>
      </c>
      <c r="D235" t="inlineStr">
        <is>
          <t>UPPSALA LÄN</t>
        </is>
      </c>
      <c r="E235" t="inlineStr">
        <is>
          <t>ENKÖPING</t>
        </is>
      </c>
      <c r="G235" t="n">
        <v>2.9</v>
      </c>
      <c r="H235" t="n">
        <v>0</v>
      </c>
      <c r="I235" t="n">
        <v>0</v>
      </c>
      <c r="J235" t="n">
        <v>0</v>
      </c>
      <c r="K235" t="n">
        <v>0</v>
      </c>
      <c r="L235" t="n">
        <v>0</v>
      </c>
      <c r="M235" t="n">
        <v>0</v>
      </c>
      <c r="N235" t="n">
        <v>0</v>
      </c>
      <c r="O235" t="n">
        <v>0</v>
      </c>
      <c r="P235" t="n">
        <v>0</v>
      </c>
      <c r="Q235" t="n">
        <v>0</v>
      </c>
      <c r="R235" s="2" t="inlineStr"/>
    </row>
    <row r="236" ht="15" customHeight="1">
      <c r="A236" t="inlineStr">
        <is>
          <t>A 37738-2020</t>
        </is>
      </c>
      <c r="B236" s="1" t="n">
        <v>44056</v>
      </c>
      <c r="C236" s="1" t="n">
        <v>45738</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39935-2020</t>
        </is>
      </c>
      <c r="B237" s="1" t="n">
        <v>44067</v>
      </c>
      <c r="C237" s="1" t="n">
        <v>45738</v>
      </c>
      <c r="D237" t="inlineStr">
        <is>
          <t>UPPSALA LÄN</t>
        </is>
      </c>
      <c r="E237" t="inlineStr">
        <is>
          <t>ENKÖPING</t>
        </is>
      </c>
      <c r="G237" t="n">
        <v>4.2</v>
      </c>
      <c r="H237" t="n">
        <v>0</v>
      </c>
      <c r="I237" t="n">
        <v>0</v>
      </c>
      <c r="J237" t="n">
        <v>0</v>
      </c>
      <c r="K237" t="n">
        <v>0</v>
      </c>
      <c r="L237" t="n">
        <v>0</v>
      </c>
      <c r="M237" t="n">
        <v>0</v>
      </c>
      <c r="N237" t="n">
        <v>0</v>
      </c>
      <c r="O237" t="n">
        <v>0</v>
      </c>
      <c r="P237" t="n">
        <v>0</v>
      </c>
      <c r="Q237" t="n">
        <v>0</v>
      </c>
      <c r="R237" s="2" t="inlineStr"/>
    </row>
    <row r="238" ht="15" customHeight="1">
      <c r="A238" t="inlineStr">
        <is>
          <t>A 45378-2020</t>
        </is>
      </c>
      <c r="B238" s="1" t="n">
        <v>44089</v>
      </c>
      <c r="C238" s="1" t="n">
        <v>45738</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46593-2020</t>
        </is>
      </c>
      <c r="B239" s="1" t="n">
        <v>44095</v>
      </c>
      <c r="C239" s="1" t="n">
        <v>45738</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48362-2020</t>
        </is>
      </c>
      <c r="B240" s="1" t="n">
        <v>44102</v>
      </c>
      <c r="C240" s="1" t="n">
        <v>45738</v>
      </c>
      <c r="D240" t="inlineStr">
        <is>
          <t>UPPSALA LÄN</t>
        </is>
      </c>
      <c r="E240" t="inlineStr">
        <is>
          <t>ENKÖPING</t>
        </is>
      </c>
      <c r="G240" t="n">
        <v>2.4</v>
      </c>
      <c r="H240" t="n">
        <v>0</v>
      </c>
      <c r="I240" t="n">
        <v>0</v>
      </c>
      <c r="J240" t="n">
        <v>0</v>
      </c>
      <c r="K240" t="n">
        <v>0</v>
      </c>
      <c r="L240" t="n">
        <v>0</v>
      </c>
      <c r="M240" t="n">
        <v>0</v>
      </c>
      <c r="N240" t="n">
        <v>0</v>
      </c>
      <c r="O240" t="n">
        <v>0</v>
      </c>
      <c r="P240" t="n">
        <v>0</v>
      </c>
      <c r="Q240" t="n">
        <v>0</v>
      </c>
      <c r="R240" s="2" t="inlineStr"/>
    </row>
    <row r="241" ht="15" customHeight="1">
      <c r="A241" t="inlineStr">
        <is>
          <t>A 48484-2020</t>
        </is>
      </c>
      <c r="B241" s="1" t="n">
        <v>44103</v>
      </c>
      <c r="C241" s="1" t="n">
        <v>45738</v>
      </c>
      <c r="D241" t="inlineStr">
        <is>
          <t>UPPSALA LÄN</t>
        </is>
      </c>
      <c r="E241" t="inlineStr">
        <is>
          <t>ENKÖPING</t>
        </is>
      </c>
      <c r="G241" t="n">
        <v>1.6</v>
      </c>
      <c r="H241" t="n">
        <v>0</v>
      </c>
      <c r="I241" t="n">
        <v>0</v>
      </c>
      <c r="J241" t="n">
        <v>0</v>
      </c>
      <c r="K241" t="n">
        <v>0</v>
      </c>
      <c r="L241" t="n">
        <v>0</v>
      </c>
      <c r="M241" t="n">
        <v>0</v>
      </c>
      <c r="N241" t="n">
        <v>0</v>
      </c>
      <c r="O241" t="n">
        <v>0</v>
      </c>
      <c r="P241" t="n">
        <v>0</v>
      </c>
      <c r="Q241" t="n">
        <v>0</v>
      </c>
      <c r="R241" s="2" t="inlineStr"/>
    </row>
    <row r="242" ht="15" customHeight="1">
      <c r="A242" t="inlineStr">
        <is>
          <t>A 51400-2020</t>
        </is>
      </c>
      <c r="B242" s="1" t="n">
        <v>44106</v>
      </c>
      <c r="C242" s="1" t="n">
        <v>45738</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51092-2020</t>
        </is>
      </c>
      <c r="B243" s="1" t="n">
        <v>44112</v>
      </c>
      <c r="C243" s="1" t="n">
        <v>45738</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51091-2020</t>
        </is>
      </c>
      <c r="B244" s="1" t="n">
        <v>44112</v>
      </c>
      <c r="C244" s="1" t="n">
        <v>45738</v>
      </c>
      <c r="D244" t="inlineStr">
        <is>
          <t>UPPSALA LÄN</t>
        </is>
      </c>
      <c r="E244" t="inlineStr">
        <is>
          <t>ENKÖPING</t>
        </is>
      </c>
      <c r="G244" t="n">
        <v>3.6</v>
      </c>
      <c r="H244" t="n">
        <v>0</v>
      </c>
      <c r="I244" t="n">
        <v>0</v>
      </c>
      <c r="J244" t="n">
        <v>0</v>
      </c>
      <c r="K244" t="n">
        <v>0</v>
      </c>
      <c r="L244" t="n">
        <v>0</v>
      </c>
      <c r="M244" t="n">
        <v>0</v>
      </c>
      <c r="N244" t="n">
        <v>0</v>
      </c>
      <c r="O244" t="n">
        <v>0</v>
      </c>
      <c r="P244" t="n">
        <v>0</v>
      </c>
      <c r="Q244" t="n">
        <v>0</v>
      </c>
      <c r="R244" s="2" t="inlineStr"/>
    </row>
    <row r="245" ht="15" customHeight="1">
      <c r="A245" t="inlineStr">
        <is>
          <t>A 52308-2020</t>
        </is>
      </c>
      <c r="B245" s="1" t="n">
        <v>44117</v>
      </c>
      <c r="C245" s="1" t="n">
        <v>45738</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52102-2020</t>
        </is>
      </c>
      <c r="B246" s="1" t="n">
        <v>44117</v>
      </c>
      <c r="C246" s="1" t="n">
        <v>45738</v>
      </c>
      <c r="D246" t="inlineStr">
        <is>
          <t>UPPSALA LÄN</t>
        </is>
      </c>
      <c r="E246" t="inlineStr">
        <is>
          <t>ENKÖPING</t>
        </is>
      </c>
      <c r="F246" t="inlineStr">
        <is>
          <t>Allmännings- och besparingsskogar</t>
        </is>
      </c>
      <c r="G246" t="n">
        <v>1.1</v>
      </c>
      <c r="H246" t="n">
        <v>0</v>
      </c>
      <c r="I246" t="n">
        <v>0</v>
      </c>
      <c r="J246" t="n">
        <v>0</v>
      </c>
      <c r="K246" t="n">
        <v>0</v>
      </c>
      <c r="L246" t="n">
        <v>0</v>
      </c>
      <c r="M246" t="n">
        <v>0</v>
      </c>
      <c r="N246" t="n">
        <v>0</v>
      </c>
      <c r="O246" t="n">
        <v>0</v>
      </c>
      <c r="P246" t="n">
        <v>0</v>
      </c>
      <c r="Q246" t="n">
        <v>0</v>
      </c>
      <c r="R246" s="2" t="inlineStr"/>
    </row>
    <row r="247" ht="15" customHeight="1">
      <c r="A247" t="inlineStr">
        <is>
          <t>A 52169-2020</t>
        </is>
      </c>
      <c r="B247" s="1" t="n">
        <v>44117</v>
      </c>
      <c r="C247" s="1" t="n">
        <v>45738</v>
      </c>
      <c r="D247" t="inlineStr">
        <is>
          <t>UPPSALA LÄN</t>
        </is>
      </c>
      <c r="E247" t="inlineStr">
        <is>
          <t>ENKÖPING</t>
        </is>
      </c>
      <c r="F247" t="inlineStr">
        <is>
          <t>Allmännings- och besparingsskogar</t>
        </is>
      </c>
      <c r="G247" t="n">
        <v>1.5</v>
      </c>
      <c r="H247" t="n">
        <v>0</v>
      </c>
      <c r="I247" t="n">
        <v>0</v>
      </c>
      <c r="J247" t="n">
        <v>0</v>
      </c>
      <c r="K247" t="n">
        <v>0</v>
      </c>
      <c r="L247" t="n">
        <v>0</v>
      </c>
      <c r="M247" t="n">
        <v>0</v>
      </c>
      <c r="N247" t="n">
        <v>0</v>
      </c>
      <c r="O247" t="n">
        <v>0</v>
      </c>
      <c r="P247" t="n">
        <v>0</v>
      </c>
      <c r="Q247" t="n">
        <v>0</v>
      </c>
      <c r="R247" s="2" t="inlineStr"/>
    </row>
    <row r="248" ht="15" customHeight="1">
      <c r="A248" t="inlineStr">
        <is>
          <t>A 52223-2020</t>
        </is>
      </c>
      <c r="B248" s="1" t="n">
        <v>44117</v>
      </c>
      <c r="C248" s="1" t="n">
        <v>45738</v>
      </c>
      <c r="D248" t="inlineStr">
        <is>
          <t>UPPSALA LÄN</t>
        </is>
      </c>
      <c r="E248" t="inlineStr">
        <is>
          <t>ENKÖPING</t>
        </is>
      </c>
      <c r="G248" t="n">
        <v>5.8</v>
      </c>
      <c r="H248" t="n">
        <v>0</v>
      </c>
      <c r="I248" t="n">
        <v>0</v>
      </c>
      <c r="J248" t="n">
        <v>0</v>
      </c>
      <c r="K248" t="n">
        <v>0</v>
      </c>
      <c r="L248" t="n">
        <v>0</v>
      </c>
      <c r="M248" t="n">
        <v>0</v>
      </c>
      <c r="N248" t="n">
        <v>0</v>
      </c>
      <c r="O248" t="n">
        <v>0</v>
      </c>
      <c r="P248" t="n">
        <v>0</v>
      </c>
      <c r="Q248" t="n">
        <v>0</v>
      </c>
      <c r="R248" s="2" t="inlineStr"/>
    </row>
    <row r="249" ht="15" customHeight="1">
      <c r="A249" t="inlineStr">
        <is>
          <t>A 52464-2020</t>
        </is>
      </c>
      <c r="B249" s="1" t="n">
        <v>44118</v>
      </c>
      <c r="C249" s="1" t="n">
        <v>45738</v>
      </c>
      <c r="D249" t="inlineStr">
        <is>
          <t>UPPSALA LÄN</t>
        </is>
      </c>
      <c r="E249" t="inlineStr">
        <is>
          <t>ENKÖPING</t>
        </is>
      </c>
      <c r="G249" t="n">
        <v>4.6</v>
      </c>
      <c r="H249" t="n">
        <v>0</v>
      </c>
      <c r="I249" t="n">
        <v>0</v>
      </c>
      <c r="J249" t="n">
        <v>0</v>
      </c>
      <c r="K249" t="n">
        <v>0</v>
      </c>
      <c r="L249" t="n">
        <v>0</v>
      </c>
      <c r="M249" t="n">
        <v>0</v>
      </c>
      <c r="N249" t="n">
        <v>0</v>
      </c>
      <c r="O249" t="n">
        <v>0</v>
      </c>
      <c r="P249" t="n">
        <v>0</v>
      </c>
      <c r="Q249" t="n">
        <v>0</v>
      </c>
      <c r="R249" s="2" t="inlineStr"/>
    </row>
    <row r="250" ht="15" customHeight="1">
      <c r="A250" t="inlineStr">
        <is>
          <t>A 53149-2020</t>
        </is>
      </c>
      <c r="B250" s="1" t="n">
        <v>44120</v>
      </c>
      <c r="C250" s="1" t="n">
        <v>45738</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53338-2020</t>
        </is>
      </c>
      <c r="B251" s="1" t="n">
        <v>44123</v>
      </c>
      <c r="C251" s="1" t="n">
        <v>45738</v>
      </c>
      <c r="D251" t="inlineStr">
        <is>
          <t>UPPSALA LÄN</t>
        </is>
      </c>
      <c r="E251" t="inlineStr">
        <is>
          <t>ENKÖPING</t>
        </is>
      </c>
      <c r="G251" t="n">
        <v>12.1</v>
      </c>
      <c r="H251" t="n">
        <v>0</v>
      </c>
      <c r="I251" t="n">
        <v>0</v>
      </c>
      <c r="J251" t="n">
        <v>0</v>
      </c>
      <c r="K251" t="n">
        <v>0</v>
      </c>
      <c r="L251" t="n">
        <v>0</v>
      </c>
      <c r="M251" t="n">
        <v>0</v>
      </c>
      <c r="N251" t="n">
        <v>0</v>
      </c>
      <c r="O251" t="n">
        <v>0</v>
      </c>
      <c r="P251" t="n">
        <v>0</v>
      </c>
      <c r="Q251" t="n">
        <v>0</v>
      </c>
      <c r="R251" s="2" t="inlineStr"/>
    </row>
    <row r="252" ht="15" customHeight="1">
      <c r="A252" t="inlineStr">
        <is>
          <t>A 53352-2020</t>
        </is>
      </c>
      <c r="B252" s="1" t="n">
        <v>44123</v>
      </c>
      <c r="C252" s="1" t="n">
        <v>45738</v>
      </c>
      <c r="D252" t="inlineStr">
        <is>
          <t>UPPSALA LÄN</t>
        </is>
      </c>
      <c r="E252" t="inlineStr">
        <is>
          <t>ENKÖPING</t>
        </is>
      </c>
      <c r="G252" t="n">
        <v>2.9</v>
      </c>
      <c r="H252" t="n">
        <v>0</v>
      </c>
      <c r="I252" t="n">
        <v>0</v>
      </c>
      <c r="J252" t="n">
        <v>0</v>
      </c>
      <c r="K252" t="n">
        <v>0</v>
      </c>
      <c r="L252" t="n">
        <v>0</v>
      </c>
      <c r="M252" t="n">
        <v>0</v>
      </c>
      <c r="N252" t="n">
        <v>0</v>
      </c>
      <c r="O252" t="n">
        <v>0</v>
      </c>
      <c r="P252" t="n">
        <v>0</v>
      </c>
      <c r="Q252" t="n">
        <v>0</v>
      </c>
      <c r="R252" s="2" t="inlineStr"/>
    </row>
    <row r="253" ht="15" customHeight="1">
      <c r="A253" t="inlineStr">
        <is>
          <t>A 53343-2020</t>
        </is>
      </c>
      <c r="B253" s="1" t="n">
        <v>44123</v>
      </c>
      <c r="C253" s="1" t="n">
        <v>45738</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53337-2020</t>
        </is>
      </c>
      <c r="B254" s="1" t="n">
        <v>44123</v>
      </c>
      <c r="C254" s="1" t="n">
        <v>45738</v>
      </c>
      <c r="D254" t="inlineStr">
        <is>
          <t>UPPSALA LÄN</t>
        </is>
      </c>
      <c r="E254" t="inlineStr">
        <is>
          <t>ENKÖPING</t>
        </is>
      </c>
      <c r="G254" t="n">
        <v>6.4</v>
      </c>
      <c r="H254" t="n">
        <v>0</v>
      </c>
      <c r="I254" t="n">
        <v>0</v>
      </c>
      <c r="J254" t="n">
        <v>0</v>
      </c>
      <c r="K254" t="n">
        <v>0</v>
      </c>
      <c r="L254" t="n">
        <v>0</v>
      </c>
      <c r="M254" t="n">
        <v>0</v>
      </c>
      <c r="N254" t="n">
        <v>0</v>
      </c>
      <c r="O254" t="n">
        <v>0</v>
      </c>
      <c r="P254" t="n">
        <v>0</v>
      </c>
      <c r="Q254" t="n">
        <v>0</v>
      </c>
      <c r="R254" s="2" t="inlineStr"/>
    </row>
    <row r="255" ht="15" customHeight="1">
      <c r="A255" t="inlineStr">
        <is>
          <t>A 53344-2020</t>
        </is>
      </c>
      <c r="B255" s="1" t="n">
        <v>44123</v>
      </c>
      <c r="C255" s="1" t="n">
        <v>45738</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55051-2020</t>
        </is>
      </c>
      <c r="B256" s="1" t="n">
        <v>44130</v>
      </c>
      <c r="C256" s="1" t="n">
        <v>45738</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56919-2020</t>
        </is>
      </c>
      <c r="B257" s="1" t="n">
        <v>44138</v>
      </c>
      <c r="C257" s="1" t="n">
        <v>45738</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57802-2020</t>
        </is>
      </c>
      <c r="B258" s="1" t="n">
        <v>44141</v>
      </c>
      <c r="C258" s="1" t="n">
        <v>45738</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58062-2020</t>
        </is>
      </c>
      <c r="B259" s="1" t="n">
        <v>44144</v>
      </c>
      <c r="C259" s="1" t="n">
        <v>45738</v>
      </c>
      <c r="D259" t="inlineStr">
        <is>
          <t>UPPSALA LÄN</t>
        </is>
      </c>
      <c r="E259" t="inlineStr">
        <is>
          <t>ENKÖPING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58896-2020</t>
        </is>
      </c>
      <c r="B260" s="1" t="n">
        <v>44146</v>
      </c>
      <c r="C260" s="1" t="n">
        <v>45738</v>
      </c>
      <c r="D260" t="inlineStr">
        <is>
          <t>UPPSALA LÄN</t>
        </is>
      </c>
      <c r="E260" t="inlineStr">
        <is>
          <t>ENKÖPING</t>
        </is>
      </c>
      <c r="G260" t="n">
        <v>2.5</v>
      </c>
      <c r="H260" t="n">
        <v>0</v>
      </c>
      <c r="I260" t="n">
        <v>0</v>
      </c>
      <c r="J260" t="n">
        <v>0</v>
      </c>
      <c r="K260" t="n">
        <v>0</v>
      </c>
      <c r="L260" t="n">
        <v>0</v>
      </c>
      <c r="M260" t="n">
        <v>0</v>
      </c>
      <c r="N260" t="n">
        <v>0</v>
      </c>
      <c r="O260" t="n">
        <v>0</v>
      </c>
      <c r="P260" t="n">
        <v>0</v>
      </c>
      <c r="Q260" t="n">
        <v>0</v>
      </c>
      <c r="R260" s="2" t="inlineStr"/>
    </row>
    <row r="261" ht="15" customHeight="1">
      <c r="A261" t="inlineStr">
        <is>
          <t>A 58798-2020</t>
        </is>
      </c>
      <c r="B261" s="1" t="n">
        <v>44146</v>
      </c>
      <c r="C261" s="1" t="n">
        <v>45738</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59132-2020</t>
        </is>
      </c>
      <c r="B262" s="1" t="n">
        <v>44147</v>
      </c>
      <c r="C262" s="1" t="n">
        <v>45738</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59441-2020</t>
        </is>
      </c>
      <c r="B263" s="1" t="n">
        <v>44148</v>
      </c>
      <c r="C263" s="1" t="n">
        <v>45738</v>
      </c>
      <c r="D263" t="inlineStr">
        <is>
          <t>UPPSALA LÄN</t>
        </is>
      </c>
      <c r="E263" t="inlineStr">
        <is>
          <t>ENKÖPING</t>
        </is>
      </c>
      <c r="G263" t="n">
        <v>4.8</v>
      </c>
      <c r="H263" t="n">
        <v>0</v>
      </c>
      <c r="I263" t="n">
        <v>0</v>
      </c>
      <c r="J263" t="n">
        <v>0</v>
      </c>
      <c r="K263" t="n">
        <v>0</v>
      </c>
      <c r="L263" t="n">
        <v>0</v>
      </c>
      <c r="M263" t="n">
        <v>0</v>
      </c>
      <c r="N263" t="n">
        <v>0</v>
      </c>
      <c r="O263" t="n">
        <v>0</v>
      </c>
      <c r="P263" t="n">
        <v>0</v>
      </c>
      <c r="Q263" t="n">
        <v>0</v>
      </c>
      <c r="R263" s="2" t="inlineStr"/>
    </row>
    <row r="264" ht="15" customHeight="1">
      <c r="A264" t="inlineStr">
        <is>
          <t>A 59428-2020</t>
        </is>
      </c>
      <c r="B264" s="1" t="n">
        <v>44148</v>
      </c>
      <c r="C264" s="1" t="n">
        <v>45738</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60138-2020</t>
        </is>
      </c>
      <c r="B265" s="1" t="n">
        <v>44151</v>
      </c>
      <c r="C265" s="1" t="n">
        <v>45738</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61711-2020</t>
        </is>
      </c>
      <c r="B266" s="1" t="n">
        <v>44158</v>
      </c>
      <c r="C266" s="1" t="n">
        <v>45738</v>
      </c>
      <c r="D266" t="inlineStr">
        <is>
          <t>UPPSALA LÄN</t>
        </is>
      </c>
      <c r="E266" t="inlineStr">
        <is>
          <t>ENKÖPING</t>
        </is>
      </c>
      <c r="G266" t="n">
        <v>1.1</v>
      </c>
      <c r="H266" t="n">
        <v>0</v>
      </c>
      <c r="I266" t="n">
        <v>0</v>
      </c>
      <c r="J266" t="n">
        <v>0</v>
      </c>
      <c r="K266" t="n">
        <v>0</v>
      </c>
      <c r="L266" t="n">
        <v>0</v>
      </c>
      <c r="M266" t="n">
        <v>0</v>
      </c>
      <c r="N266" t="n">
        <v>0</v>
      </c>
      <c r="O266" t="n">
        <v>0</v>
      </c>
      <c r="P266" t="n">
        <v>0</v>
      </c>
      <c r="Q266" t="n">
        <v>0</v>
      </c>
      <c r="R266" s="2" t="inlineStr"/>
    </row>
    <row r="267" ht="15" customHeight="1">
      <c r="A267" t="inlineStr">
        <is>
          <t>A 63715-2020</t>
        </is>
      </c>
      <c r="B267" s="1" t="n">
        <v>44166</v>
      </c>
      <c r="C267" s="1" t="n">
        <v>45738</v>
      </c>
      <c r="D267" t="inlineStr">
        <is>
          <t>UPPSALA LÄN</t>
        </is>
      </c>
      <c r="E267" t="inlineStr">
        <is>
          <t>ENKÖPING</t>
        </is>
      </c>
      <c r="F267" t="inlineStr">
        <is>
          <t>Övriga statliga verk och myndigheter</t>
        </is>
      </c>
      <c r="G267" t="n">
        <v>5.9</v>
      </c>
      <c r="H267" t="n">
        <v>0</v>
      </c>
      <c r="I267" t="n">
        <v>0</v>
      </c>
      <c r="J267" t="n">
        <v>0</v>
      </c>
      <c r="K267" t="n">
        <v>0</v>
      </c>
      <c r="L267" t="n">
        <v>0</v>
      </c>
      <c r="M267" t="n">
        <v>0</v>
      </c>
      <c r="N267" t="n">
        <v>0</v>
      </c>
      <c r="O267" t="n">
        <v>0</v>
      </c>
      <c r="P267" t="n">
        <v>0</v>
      </c>
      <c r="Q267" t="n">
        <v>0</v>
      </c>
      <c r="R267" s="2" t="inlineStr"/>
    </row>
    <row r="268" ht="15" customHeight="1">
      <c r="A268" t="inlineStr">
        <is>
          <t>A 66517-2020</t>
        </is>
      </c>
      <c r="B268" s="1" t="n">
        <v>44178</v>
      </c>
      <c r="C268" s="1" t="n">
        <v>45738</v>
      </c>
      <c r="D268" t="inlineStr">
        <is>
          <t>UPPSALA LÄN</t>
        </is>
      </c>
      <c r="E268" t="inlineStr">
        <is>
          <t>ENKÖPING</t>
        </is>
      </c>
      <c r="G268" t="n">
        <v>4</v>
      </c>
      <c r="H268" t="n">
        <v>0</v>
      </c>
      <c r="I268" t="n">
        <v>0</v>
      </c>
      <c r="J268" t="n">
        <v>0</v>
      </c>
      <c r="K268" t="n">
        <v>0</v>
      </c>
      <c r="L268" t="n">
        <v>0</v>
      </c>
      <c r="M268" t="n">
        <v>0</v>
      </c>
      <c r="N268" t="n">
        <v>0</v>
      </c>
      <c r="O268" t="n">
        <v>0</v>
      </c>
      <c r="P268" t="n">
        <v>0</v>
      </c>
      <c r="Q268" t="n">
        <v>0</v>
      </c>
      <c r="R268" s="2" t="inlineStr"/>
    </row>
    <row r="269" ht="15" customHeight="1">
      <c r="A269" t="inlineStr">
        <is>
          <t>A 67765-2020</t>
        </is>
      </c>
      <c r="B269" s="1" t="n">
        <v>44182</v>
      </c>
      <c r="C269" s="1" t="n">
        <v>45738</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67713-2020</t>
        </is>
      </c>
      <c r="B270" s="1" t="n">
        <v>44182</v>
      </c>
      <c r="C270" s="1" t="n">
        <v>45738</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69567-2020</t>
        </is>
      </c>
      <c r="B271" s="1" t="n">
        <v>44194</v>
      </c>
      <c r="C271" s="1" t="n">
        <v>45738</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3903-2021</t>
        </is>
      </c>
      <c r="B272" s="1" t="n">
        <v>44217</v>
      </c>
      <c r="C272" s="1" t="n">
        <v>45738</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4203-2021</t>
        </is>
      </c>
      <c r="B273" s="1" t="n">
        <v>44223</v>
      </c>
      <c r="C273" s="1" t="n">
        <v>45738</v>
      </c>
      <c r="D273" t="inlineStr">
        <is>
          <t>UPPSALA LÄN</t>
        </is>
      </c>
      <c r="E273" t="inlineStr">
        <is>
          <t>ENKÖPING</t>
        </is>
      </c>
      <c r="G273" t="n">
        <v>11.6</v>
      </c>
      <c r="H273" t="n">
        <v>0</v>
      </c>
      <c r="I273" t="n">
        <v>0</v>
      </c>
      <c r="J273" t="n">
        <v>0</v>
      </c>
      <c r="K273" t="n">
        <v>0</v>
      </c>
      <c r="L273" t="n">
        <v>0</v>
      </c>
      <c r="M273" t="n">
        <v>0</v>
      </c>
      <c r="N273" t="n">
        <v>0</v>
      </c>
      <c r="O273" t="n">
        <v>0</v>
      </c>
      <c r="P273" t="n">
        <v>0</v>
      </c>
      <c r="Q273" t="n">
        <v>0</v>
      </c>
      <c r="R273" s="2" t="inlineStr"/>
    </row>
    <row r="274" ht="15" customHeight="1">
      <c r="A274" t="inlineStr">
        <is>
          <t>A 4775-2021</t>
        </is>
      </c>
      <c r="B274" s="1" t="n">
        <v>44225</v>
      </c>
      <c r="C274" s="1" t="n">
        <v>45738</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6157-2021</t>
        </is>
      </c>
      <c r="B275" s="1" t="n">
        <v>44232</v>
      </c>
      <c r="C275" s="1" t="n">
        <v>45738</v>
      </c>
      <c r="D275" t="inlineStr">
        <is>
          <t>UPPSALA LÄN</t>
        </is>
      </c>
      <c r="E275" t="inlineStr">
        <is>
          <t>ENKÖPING</t>
        </is>
      </c>
      <c r="G275" t="n">
        <v>3.9</v>
      </c>
      <c r="H275" t="n">
        <v>0</v>
      </c>
      <c r="I275" t="n">
        <v>0</v>
      </c>
      <c r="J275" t="n">
        <v>0</v>
      </c>
      <c r="K275" t="n">
        <v>0</v>
      </c>
      <c r="L275" t="n">
        <v>0</v>
      </c>
      <c r="M275" t="n">
        <v>0</v>
      </c>
      <c r="N275" t="n">
        <v>0</v>
      </c>
      <c r="O275" t="n">
        <v>0</v>
      </c>
      <c r="P275" t="n">
        <v>0</v>
      </c>
      <c r="Q275" t="n">
        <v>0</v>
      </c>
      <c r="R275" s="2" t="inlineStr"/>
    </row>
    <row r="276" ht="15" customHeight="1">
      <c r="A276" t="inlineStr">
        <is>
          <t>A 6147-2021</t>
        </is>
      </c>
      <c r="B276" s="1" t="n">
        <v>44232</v>
      </c>
      <c r="C276" s="1" t="n">
        <v>45738</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6298-2021</t>
        </is>
      </c>
      <c r="B277" s="1" t="n">
        <v>44235</v>
      </c>
      <c r="C277" s="1" t="n">
        <v>45738</v>
      </c>
      <c r="D277" t="inlineStr">
        <is>
          <t>UPPSALA LÄN</t>
        </is>
      </c>
      <c r="E277" t="inlineStr">
        <is>
          <t>ENKÖPING</t>
        </is>
      </c>
      <c r="G277" t="n">
        <v>1.4</v>
      </c>
      <c r="H277" t="n">
        <v>0</v>
      </c>
      <c r="I277" t="n">
        <v>0</v>
      </c>
      <c r="J277" t="n">
        <v>0</v>
      </c>
      <c r="K277" t="n">
        <v>0</v>
      </c>
      <c r="L277" t="n">
        <v>0</v>
      </c>
      <c r="M277" t="n">
        <v>0</v>
      </c>
      <c r="N277" t="n">
        <v>0</v>
      </c>
      <c r="O277" t="n">
        <v>0</v>
      </c>
      <c r="P277" t="n">
        <v>0</v>
      </c>
      <c r="Q277" t="n">
        <v>0</v>
      </c>
      <c r="R277" s="2" t="inlineStr"/>
    </row>
    <row r="278" ht="15" customHeight="1">
      <c r="A278" t="inlineStr">
        <is>
          <t>A 8306-2021</t>
        </is>
      </c>
      <c r="B278" s="1" t="n">
        <v>44244</v>
      </c>
      <c r="C278" s="1" t="n">
        <v>45738</v>
      </c>
      <c r="D278" t="inlineStr">
        <is>
          <t>UPPSALA LÄN</t>
        </is>
      </c>
      <c r="E278" t="inlineStr">
        <is>
          <t>ENKÖPING</t>
        </is>
      </c>
      <c r="G278" t="n">
        <v>14.9</v>
      </c>
      <c r="H278" t="n">
        <v>0</v>
      </c>
      <c r="I278" t="n">
        <v>0</v>
      </c>
      <c r="J278" t="n">
        <v>0</v>
      </c>
      <c r="K278" t="n">
        <v>0</v>
      </c>
      <c r="L278" t="n">
        <v>0</v>
      </c>
      <c r="M278" t="n">
        <v>0</v>
      </c>
      <c r="N278" t="n">
        <v>0</v>
      </c>
      <c r="O278" t="n">
        <v>0</v>
      </c>
      <c r="P278" t="n">
        <v>0</v>
      </c>
      <c r="Q278" t="n">
        <v>0</v>
      </c>
      <c r="R278" s="2" t="inlineStr"/>
    </row>
    <row r="279" ht="15" customHeight="1">
      <c r="A279" t="inlineStr">
        <is>
          <t>A 10989-2021</t>
        </is>
      </c>
      <c r="B279" s="1" t="n">
        <v>44260</v>
      </c>
      <c r="C279" s="1" t="n">
        <v>45738</v>
      </c>
      <c r="D279" t="inlineStr">
        <is>
          <t>UPPSALA LÄN</t>
        </is>
      </c>
      <c r="E279" t="inlineStr">
        <is>
          <t>ENKÖPING</t>
        </is>
      </c>
      <c r="G279" t="n">
        <v>3.5</v>
      </c>
      <c r="H279" t="n">
        <v>0</v>
      </c>
      <c r="I279" t="n">
        <v>0</v>
      </c>
      <c r="J279" t="n">
        <v>0</v>
      </c>
      <c r="K279" t="n">
        <v>0</v>
      </c>
      <c r="L279" t="n">
        <v>0</v>
      </c>
      <c r="M279" t="n">
        <v>0</v>
      </c>
      <c r="N279" t="n">
        <v>0</v>
      </c>
      <c r="O279" t="n">
        <v>0</v>
      </c>
      <c r="P279" t="n">
        <v>0</v>
      </c>
      <c r="Q279" t="n">
        <v>0</v>
      </c>
      <c r="R279" s="2" t="inlineStr"/>
    </row>
    <row r="280" ht="15" customHeight="1">
      <c r="A280" t="inlineStr">
        <is>
          <t>A 11688-2021</t>
        </is>
      </c>
      <c r="B280" s="1" t="n">
        <v>44264</v>
      </c>
      <c r="C280" s="1" t="n">
        <v>45738</v>
      </c>
      <c r="D280" t="inlineStr">
        <is>
          <t>UPPSALA LÄN</t>
        </is>
      </c>
      <c r="E280" t="inlineStr">
        <is>
          <t>ENKÖPING</t>
        </is>
      </c>
      <c r="G280" t="n">
        <v>4.7</v>
      </c>
      <c r="H280" t="n">
        <v>0</v>
      </c>
      <c r="I280" t="n">
        <v>0</v>
      </c>
      <c r="J280" t="n">
        <v>0</v>
      </c>
      <c r="K280" t="n">
        <v>0</v>
      </c>
      <c r="L280" t="n">
        <v>0</v>
      </c>
      <c r="M280" t="n">
        <v>0</v>
      </c>
      <c r="N280" t="n">
        <v>0</v>
      </c>
      <c r="O280" t="n">
        <v>0</v>
      </c>
      <c r="P280" t="n">
        <v>0</v>
      </c>
      <c r="Q280" t="n">
        <v>0</v>
      </c>
      <c r="R280" s="2" t="inlineStr"/>
    </row>
    <row r="281" ht="15" customHeight="1">
      <c r="A281" t="inlineStr">
        <is>
          <t>A 12434-2021</t>
        </is>
      </c>
      <c r="B281" s="1" t="n">
        <v>44267</v>
      </c>
      <c r="C281" s="1" t="n">
        <v>45738</v>
      </c>
      <c r="D281" t="inlineStr">
        <is>
          <t>UPPSALA LÄN</t>
        </is>
      </c>
      <c r="E281" t="inlineStr">
        <is>
          <t>ENKÖPING</t>
        </is>
      </c>
      <c r="G281" t="n">
        <v>5.3</v>
      </c>
      <c r="H281" t="n">
        <v>0</v>
      </c>
      <c r="I281" t="n">
        <v>0</v>
      </c>
      <c r="J281" t="n">
        <v>0</v>
      </c>
      <c r="K281" t="n">
        <v>0</v>
      </c>
      <c r="L281" t="n">
        <v>0</v>
      </c>
      <c r="M281" t="n">
        <v>0</v>
      </c>
      <c r="N281" t="n">
        <v>0</v>
      </c>
      <c r="O281" t="n">
        <v>0</v>
      </c>
      <c r="P281" t="n">
        <v>0</v>
      </c>
      <c r="Q281" t="n">
        <v>0</v>
      </c>
      <c r="R281" s="2" t="inlineStr"/>
    </row>
    <row r="282" ht="15" customHeight="1">
      <c r="A282" t="inlineStr">
        <is>
          <t>A 12538-2021</t>
        </is>
      </c>
      <c r="B282" s="1" t="n">
        <v>44269</v>
      </c>
      <c r="C282" s="1" t="n">
        <v>45738</v>
      </c>
      <c r="D282" t="inlineStr">
        <is>
          <t>UPPSALA LÄN</t>
        </is>
      </c>
      <c r="E282" t="inlineStr">
        <is>
          <t>ENKÖPING</t>
        </is>
      </c>
      <c r="G282" t="n">
        <v>3.3</v>
      </c>
      <c r="H282" t="n">
        <v>0</v>
      </c>
      <c r="I282" t="n">
        <v>0</v>
      </c>
      <c r="J282" t="n">
        <v>0</v>
      </c>
      <c r="K282" t="n">
        <v>0</v>
      </c>
      <c r="L282" t="n">
        <v>0</v>
      </c>
      <c r="M282" t="n">
        <v>0</v>
      </c>
      <c r="N282" t="n">
        <v>0</v>
      </c>
      <c r="O282" t="n">
        <v>0</v>
      </c>
      <c r="P282" t="n">
        <v>0</v>
      </c>
      <c r="Q282" t="n">
        <v>0</v>
      </c>
      <c r="R282" s="2" t="inlineStr"/>
    </row>
    <row r="283" ht="15" customHeight="1">
      <c r="A283" t="inlineStr">
        <is>
          <t>A 12572-2021</t>
        </is>
      </c>
      <c r="B283" s="1" t="n">
        <v>44270</v>
      </c>
      <c r="C283" s="1" t="n">
        <v>45738</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12729-2021</t>
        </is>
      </c>
      <c r="B284" s="1" t="n">
        <v>44270</v>
      </c>
      <c r="C284" s="1" t="n">
        <v>45738</v>
      </c>
      <c r="D284" t="inlineStr">
        <is>
          <t>UPPSALA LÄN</t>
        </is>
      </c>
      <c r="E284" t="inlineStr">
        <is>
          <t>ENKÖPING</t>
        </is>
      </c>
      <c r="G284" t="n">
        <v>3</v>
      </c>
      <c r="H284" t="n">
        <v>0</v>
      </c>
      <c r="I284" t="n">
        <v>0</v>
      </c>
      <c r="J284" t="n">
        <v>0</v>
      </c>
      <c r="K284" t="n">
        <v>0</v>
      </c>
      <c r="L284" t="n">
        <v>0</v>
      </c>
      <c r="M284" t="n">
        <v>0</v>
      </c>
      <c r="N284" t="n">
        <v>0</v>
      </c>
      <c r="O284" t="n">
        <v>0</v>
      </c>
      <c r="P284" t="n">
        <v>0</v>
      </c>
      <c r="Q284" t="n">
        <v>0</v>
      </c>
      <c r="R284" s="2" t="inlineStr"/>
    </row>
    <row r="285" ht="15" customHeight="1">
      <c r="A285" t="inlineStr">
        <is>
          <t>A 12727-2021</t>
        </is>
      </c>
      <c r="B285" s="1" t="n">
        <v>44270</v>
      </c>
      <c r="C285" s="1" t="n">
        <v>45738</v>
      </c>
      <c r="D285" t="inlineStr">
        <is>
          <t>UPPSALA LÄN</t>
        </is>
      </c>
      <c r="E285" t="inlineStr">
        <is>
          <t>ENKÖPING</t>
        </is>
      </c>
      <c r="G285" t="n">
        <v>3.6</v>
      </c>
      <c r="H285" t="n">
        <v>0</v>
      </c>
      <c r="I285" t="n">
        <v>0</v>
      </c>
      <c r="J285" t="n">
        <v>0</v>
      </c>
      <c r="K285" t="n">
        <v>0</v>
      </c>
      <c r="L285" t="n">
        <v>0</v>
      </c>
      <c r="M285" t="n">
        <v>0</v>
      </c>
      <c r="N285" t="n">
        <v>0</v>
      </c>
      <c r="O285" t="n">
        <v>0</v>
      </c>
      <c r="P285" t="n">
        <v>0</v>
      </c>
      <c r="Q285" t="n">
        <v>0</v>
      </c>
      <c r="R285" s="2" t="inlineStr"/>
    </row>
    <row r="286" ht="15" customHeight="1">
      <c r="A286" t="inlineStr">
        <is>
          <t>A 12732-2021</t>
        </is>
      </c>
      <c r="B286" s="1" t="n">
        <v>44270</v>
      </c>
      <c r="C286" s="1" t="n">
        <v>45738</v>
      </c>
      <c r="D286" t="inlineStr">
        <is>
          <t>UPPSALA LÄN</t>
        </is>
      </c>
      <c r="E286" t="inlineStr">
        <is>
          <t>ENKÖPING</t>
        </is>
      </c>
      <c r="G286" t="n">
        <v>1.1</v>
      </c>
      <c r="H286" t="n">
        <v>0</v>
      </c>
      <c r="I286" t="n">
        <v>0</v>
      </c>
      <c r="J286" t="n">
        <v>0</v>
      </c>
      <c r="K286" t="n">
        <v>0</v>
      </c>
      <c r="L286" t="n">
        <v>0</v>
      </c>
      <c r="M286" t="n">
        <v>0</v>
      </c>
      <c r="N286" t="n">
        <v>0</v>
      </c>
      <c r="O286" t="n">
        <v>0</v>
      </c>
      <c r="P286" t="n">
        <v>0</v>
      </c>
      <c r="Q286" t="n">
        <v>0</v>
      </c>
      <c r="R286" s="2" t="inlineStr"/>
    </row>
    <row r="287" ht="15" customHeight="1">
      <c r="A287" t="inlineStr">
        <is>
          <t>A 13201-2021</t>
        </is>
      </c>
      <c r="B287" s="1" t="n">
        <v>44272</v>
      </c>
      <c r="C287" s="1" t="n">
        <v>45738</v>
      </c>
      <c r="D287" t="inlineStr">
        <is>
          <t>UPPSALA LÄN</t>
        </is>
      </c>
      <c r="E287" t="inlineStr">
        <is>
          <t>ENKÖPING</t>
        </is>
      </c>
      <c r="G287" t="n">
        <v>0.1</v>
      </c>
      <c r="H287" t="n">
        <v>0</v>
      </c>
      <c r="I287" t="n">
        <v>0</v>
      </c>
      <c r="J287" t="n">
        <v>0</v>
      </c>
      <c r="K287" t="n">
        <v>0</v>
      </c>
      <c r="L287" t="n">
        <v>0</v>
      </c>
      <c r="M287" t="n">
        <v>0</v>
      </c>
      <c r="N287" t="n">
        <v>0</v>
      </c>
      <c r="O287" t="n">
        <v>0</v>
      </c>
      <c r="P287" t="n">
        <v>0</v>
      </c>
      <c r="Q287" t="n">
        <v>0</v>
      </c>
      <c r="R287" s="2" t="inlineStr"/>
    </row>
    <row r="288" ht="15" customHeight="1">
      <c r="A288" t="inlineStr">
        <is>
          <t>A 13813-2021</t>
        </is>
      </c>
      <c r="B288" s="1" t="n">
        <v>44276</v>
      </c>
      <c r="C288" s="1" t="n">
        <v>45738</v>
      </c>
      <c r="D288" t="inlineStr">
        <is>
          <t>UPPSALA LÄN</t>
        </is>
      </c>
      <c r="E288" t="inlineStr">
        <is>
          <t>ENKÖPING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13816-2021</t>
        </is>
      </c>
      <c r="B289" s="1" t="n">
        <v>44276</v>
      </c>
      <c r="C289" s="1" t="n">
        <v>45738</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14840-2021</t>
        </is>
      </c>
      <c r="B290" s="1" t="n">
        <v>44280</v>
      </c>
      <c r="C290" s="1" t="n">
        <v>45738</v>
      </c>
      <c r="D290" t="inlineStr">
        <is>
          <t>UPPSALA LÄN</t>
        </is>
      </c>
      <c r="E290" t="inlineStr">
        <is>
          <t>ENKÖPING</t>
        </is>
      </c>
      <c r="G290" t="n">
        <v>16</v>
      </c>
      <c r="H290" t="n">
        <v>0</v>
      </c>
      <c r="I290" t="n">
        <v>0</v>
      </c>
      <c r="J290" t="n">
        <v>0</v>
      </c>
      <c r="K290" t="n">
        <v>0</v>
      </c>
      <c r="L290" t="n">
        <v>0</v>
      </c>
      <c r="M290" t="n">
        <v>0</v>
      </c>
      <c r="N290" t="n">
        <v>0</v>
      </c>
      <c r="O290" t="n">
        <v>0</v>
      </c>
      <c r="P290" t="n">
        <v>0</v>
      </c>
      <c r="Q290" t="n">
        <v>0</v>
      </c>
      <c r="R290" s="2" t="inlineStr"/>
    </row>
    <row r="291" ht="15" customHeight="1">
      <c r="A291" t="inlineStr">
        <is>
          <t>A 14841-2021</t>
        </is>
      </c>
      <c r="B291" s="1" t="n">
        <v>44280</v>
      </c>
      <c r="C291" s="1" t="n">
        <v>45738</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14839-2021</t>
        </is>
      </c>
      <c r="B292" s="1" t="n">
        <v>44280</v>
      </c>
      <c r="C292" s="1" t="n">
        <v>45738</v>
      </c>
      <c r="D292" t="inlineStr">
        <is>
          <t>UPPSALA LÄN</t>
        </is>
      </c>
      <c r="E292" t="inlineStr">
        <is>
          <t>ENKÖPING</t>
        </is>
      </c>
      <c r="G292" t="n">
        <v>11.4</v>
      </c>
      <c r="H292" t="n">
        <v>0</v>
      </c>
      <c r="I292" t="n">
        <v>0</v>
      </c>
      <c r="J292" t="n">
        <v>0</v>
      </c>
      <c r="K292" t="n">
        <v>0</v>
      </c>
      <c r="L292" t="n">
        <v>0</v>
      </c>
      <c r="M292" t="n">
        <v>0</v>
      </c>
      <c r="N292" t="n">
        <v>0</v>
      </c>
      <c r="O292" t="n">
        <v>0</v>
      </c>
      <c r="P292" t="n">
        <v>0</v>
      </c>
      <c r="Q292" t="n">
        <v>0</v>
      </c>
      <c r="R292" s="2" t="inlineStr"/>
    </row>
    <row r="293" ht="15" customHeight="1">
      <c r="A293" t="inlineStr">
        <is>
          <t>A 15298-2021</t>
        </is>
      </c>
      <c r="B293" s="1" t="n">
        <v>44284</v>
      </c>
      <c r="C293" s="1" t="n">
        <v>45738</v>
      </c>
      <c r="D293" t="inlineStr">
        <is>
          <t>UPPSALA LÄN</t>
        </is>
      </c>
      <c r="E293" t="inlineStr">
        <is>
          <t>ENKÖPING</t>
        </is>
      </c>
      <c r="G293" t="n">
        <v>6</v>
      </c>
      <c r="H293" t="n">
        <v>0</v>
      </c>
      <c r="I293" t="n">
        <v>0</v>
      </c>
      <c r="J293" t="n">
        <v>0</v>
      </c>
      <c r="K293" t="n">
        <v>0</v>
      </c>
      <c r="L293" t="n">
        <v>0</v>
      </c>
      <c r="M293" t="n">
        <v>0</v>
      </c>
      <c r="N293" t="n">
        <v>0</v>
      </c>
      <c r="O293" t="n">
        <v>0</v>
      </c>
      <c r="P293" t="n">
        <v>0</v>
      </c>
      <c r="Q293" t="n">
        <v>0</v>
      </c>
      <c r="R293" s="2" t="inlineStr"/>
    </row>
    <row r="294" ht="15" customHeight="1">
      <c r="A294" t="inlineStr">
        <is>
          <t>A 15997-2021</t>
        </is>
      </c>
      <c r="B294" s="1" t="n">
        <v>44287</v>
      </c>
      <c r="C294" s="1" t="n">
        <v>45738</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16309-2021</t>
        </is>
      </c>
      <c r="B295" s="1" t="n">
        <v>44292</v>
      </c>
      <c r="C295" s="1" t="n">
        <v>45738</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16498-2021</t>
        </is>
      </c>
      <c r="B296" s="1" t="n">
        <v>44293</v>
      </c>
      <c r="C296" s="1" t="n">
        <v>45738</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16683-2021</t>
        </is>
      </c>
      <c r="B297" s="1" t="n">
        <v>44294</v>
      </c>
      <c r="C297" s="1" t="n">
        <v>45738</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17264-2021</t>
        </is>
      </c>
      <c r="B298" s="1" t="n">
        <v>44298</v>
      </c>
      <c r="C298" s="1" t="n">
        <v>45738</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17268-2021</t>
        </is>
      </c>
      <c r="B299" s="1" t="n">
        <v>44298</v>
      </c>
      <c r="C299" s="1" t="n">
        <v>45738</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18037-2021</t>
        </is>
      </c>
      <c r="B300" s="1" t="n">
        <v>44301</v>
      </c>
      <c r="C300" s="1" t="n">
        <v>45738</v>
      </c>
      <c r="D300" t="inlineStr">
        <is>
          <t>UPPSALA LÄN</t>
        </is>
      </c>
      <c r="E300" t="inlineStr">
        <is>
          <t>ENKÖPING</t>
        </is>
      </c>
      <c r="G300" t="n">
        <v>17.2</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45738</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45738</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45738</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45738</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45738</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45738</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45738</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45738</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45738</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45738</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45738</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45738</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45738</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45738</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45738</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45738</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45738</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45738</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45738</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45738</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45738</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45738</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45738</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45738</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45738</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45738</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45738</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45738</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45738</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45738</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45738</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45738</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45738</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45738</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45738</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45738</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45738</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45738</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45738</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45738</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45738</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45738</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45738</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45738</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45738</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45738</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45738</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45738</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45738</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45738</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45738</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45738</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45738</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45738</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45738</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45738</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45738</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45738</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45738</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45738</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45738</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45738</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45738</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45738</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45738</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45738</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45738</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45738</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45738</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45738</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45738</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45738</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45738</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45738</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45738</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45738</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45738</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45738</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45738</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45738</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45738</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45738</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45738</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45738</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45738</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45738</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45738</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45738</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45738</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45738</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45738</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45738</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45738</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45738</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45738</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45738</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45738</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45738</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45738</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45738</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45738</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45738</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45738</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45738</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45738</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45738</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45738</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45738</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45738</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45738</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45738</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45738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45738</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45738</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45738</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45738</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45738</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45738</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45738</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45738</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45738</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45738</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45738</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45738</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45738</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45738</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45738</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45738</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45738</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45738</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45738</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45738</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45738</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45738</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45738</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45738</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45738</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45738</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45738</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45738</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45738</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45738</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45738</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45738</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45738</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45738</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45738</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45738</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45738</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45738</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45738</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45738</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45738</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45738</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45738</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45738</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45738</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45738</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45738</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45738</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45738</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45738</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45738</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45738</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45738</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45738</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45738</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45738</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45738</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45738</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45738</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45738</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45738</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45738</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45738</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45738</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45738</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45738</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45738</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45738</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45738</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45738</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45738</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45738</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45738</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45738</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45738</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45738</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45738</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45738</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45738</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45738</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45738</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45738</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45738</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45738</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45738</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45738</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45738</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45738</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45738</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45738</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45738</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45738</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45738</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45738</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45738</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45738</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45738</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45738</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45738</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45738</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45738</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45738</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45738</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45738</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45738</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45738</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45738</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45738</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45738</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45738</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45738</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45738</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45738</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45738</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45738</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45738</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45738</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45738</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45738</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45738</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45738</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45738</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45738</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45738</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45738</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45738</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45738</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45738</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45738</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45738</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45738</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45738</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45738</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45738</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45738</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45738</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45738</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45738</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45738</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45738</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45738</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45738</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45738</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45738</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45738</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45738</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45738</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45738</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45738</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45738</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45738</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45738</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45738</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45738</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45738</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45738</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45738</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45738</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45738</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45738</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45738</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45738</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45738</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45738</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45738</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45738</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45738</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45738</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45738</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45738</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45738</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45738</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45738</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45738</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45738</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45738</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45738</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45738</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45738</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45738</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45738</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45738</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45738</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45738</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45738</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45738</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45738</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45738</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45738</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45738</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45738</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45738</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45738</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45738</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45738</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45738</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45738</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45738</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45738</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45738</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45738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45738</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45738</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45738</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45738</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45738</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45738</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45738</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45738</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45738</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45738</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45738</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45738</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45738</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45738</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45738</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45738</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45738</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45738</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45738</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45738</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45738</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45738</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45738</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45738</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45738</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45738</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45738</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45738</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45738</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45738</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45738</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45738</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45738</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45738</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45738</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45738</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45738</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45738</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45738</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45738</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45738</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45738</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45738</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45738</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45738</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45738</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45738</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45738</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45738</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45738</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45738</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45738</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45738</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45738</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45738</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45738</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45738</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45738</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45738</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45738</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45738</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45738</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45738</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45738</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45738</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45738</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45738</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45738</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45738</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45738</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45738</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45738</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45738</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45738</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45738</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45738</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45738</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45738</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45738</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45738</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45738</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45738</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45738</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45738</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45738</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45738</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45738</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45738</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45738</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45738</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45738</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45738</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45738</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45738</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45738</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45738</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45738</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45738</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45738</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45738</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45738</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45738</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45738</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45738</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45738</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45738</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45738</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45738</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45738</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45738</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45738</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45738</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45738</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45738</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45738</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45738</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45738</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45738</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45738</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45738</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45738</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45738</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45738</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45738</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45738</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45738</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45738</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45738</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45738</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45738</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45738</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45738</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45738</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45738</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45738</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45738</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45738</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45738</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45738</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45738</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45738</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45738</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45738</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45738</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45738</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45738</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45738</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45738</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45738</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45738</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45738</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45738</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45738</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45738</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45738</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45738</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45738</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45738</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45738</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45738</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45738</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45738</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45738</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45738</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45738</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45738</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45738</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45738</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45738</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45738</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45738</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45738</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45738</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45738</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45738</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45738</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45738</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45738</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45738</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45738</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45738</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45738</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45738</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45738</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45738</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45738</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45738</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45738</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45738</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45738</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45738</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45738</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45738</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45738</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45738</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45738</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45738</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45738</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45738</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45738</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45738</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45738</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45738</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45738</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45738</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45738</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45738</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45738</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45738</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45738</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45738</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45738</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45738</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45738</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45738</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45738</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45738</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45738</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45738</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45738</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45738</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45738</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45738</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45738</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45738</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45738</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45738</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45738</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45738</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45738</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45738</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45738</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45738</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45738</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45738</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45738</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45738</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45738</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45738</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45738</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45738</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45738</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45738</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45738</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45738</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45738</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45738</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45738</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45738</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45738</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45738</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45738</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45738</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45738</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45738</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45738</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45738</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45738</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45738</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45738</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45738</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45738</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45738</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45738</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45738</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45738</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45738</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45738</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45738</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45738</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45738</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45738</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45738</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45738</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45738</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45738</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45738</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45738</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45738</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45738</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45738</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45738</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45738</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45738</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45738</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45738</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45738</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45738</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45738</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45738</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45738</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45738</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45738</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45738</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45738</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45738</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45738</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45738</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45738</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45738</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45738</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45738</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45738</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45738</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45738</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45738</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45738</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45738</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45738</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9662-2025</t>
        </is>
      </c>
      <c r="B923" s="1" t="n">
        <v>45716</v>
      </c>
      <c r="C923" s="1" t="n">
        <v>45738</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9656-2025</t>
        </is>
      </c>
      <c r="B924" s="1" t="n">
        <v>45716</v>
      </c>
      <c r="C924" s="1" t="n">
        <v>45738</v>
      </c>
      <c r="D924" t="inlineStr">
        <is>
          <t>UPPSALA LÄN</t>
        </is>
      </c>
      <c r="E924" t="inlineStr">
        <is>
          <t>ENKÖPING</t>
        </is>
      </c>
      <c r="G924" t="n">
        <v>3.6</v>
      </c>
      <c r="H924" t="n">
        <v>0</v>
      </c>
      <c r="I924" t="n">
        <v>0</v>
      </c>
      <c r="J924" t="n">
        <v>0</v>
      </c>
      <c r="K924" t="n">
        <v>0</v>
      </c>
      <c r="L924" t="n">
        <v>0</v>
      </c>
      <c r="M924" t="n">
        <v>0</v>
      </c>
      <c r="N924" t="n">
        <v>0</v>
      </c>
      <c r="O924" t="n">
        <v>0</v>
      </c>
      <c r="P924" t="n">
        <v>0</v>
      </c>
      <c r="Q924" t="n">
        <v>0</v>
      </c>
      <c r="R924" s="2" t="inlineStr"/>
    </row>
    <row r="925" ht="15" customHeight="1">
      <c r="A925" t="inlineStr">
        <is>
          <t>A 9660-2025</t>
        </is>
      </c>
      <c r="B925" s="1" t="n">
        <v>45716</v>
      </c>
      <c r="C925" s="1" t="n">
        <v>45738</v>
      </c>
      <c r="D925" t="inlineStr">
        <is>
          <t>UPPSALA LÄN</t>
        </is>
      </c>
      <c r="E925" t="inlineStr">
        <is>
          <t>ENKÖPING</t>
        </is>
      </c>
      <c r="G925" t="n">
        <v>2.5</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45738</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45738</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45738</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45738</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45738</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45738</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45738</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45738</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45738</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45738</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c r="A936" t="inlineStr">
        <is>
          <t>A 12878-2025</t>
        </is>
      </c>
      <c r="B936" s="1" t="n">
        <v>45733</v>
      </c>
      <c r="C936" s="1" t="n">
        <v>45738</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2025-03-22T16:23:08Z</dcterms:created>
  <dcterms:modified xmlns:dcterms="http://purl.org/dc/terms/" xmlns:xsi="http://www.w3.org/2001/XMLSchema-instance" xsi:type="dcterms:W3CDTF">2025-03-22T16:23:09Z</dcterms:modified>
</cp:coreProperties>
</file>