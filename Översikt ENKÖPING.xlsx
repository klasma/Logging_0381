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45880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45880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45880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45880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45880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45880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45880</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45880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45880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45880</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45880</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45880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45880</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45880</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45880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45880</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45880</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45880</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45880</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46749-2024</t>
        </is>
      </c>
      <c r="B21" s="1" t="n">
        <v>45583.48347222222</v>
      </c>
      <c r="C21" s="1" t="n">
        <v>45880</v>
      </c>
      <c r="D21" t="inlineStr">
        <is>
          <t>UPPSALA LÄN</t>
        </is>
      </c>
      <c r="E21" t="inlineStr">
        <is>
          <t>ENKÖPING</t>
        </is>
      </c>
      <c r="G21" t="n">
        <v>8.5</v>
      </c>
      <c r="H21" t="n">
        <v>0</v>
      </c>
      <c r="I21" t="n">
        <v>0</v>
      </c>
      <c r="J21" t="n">
        <v>1</v>
      </c>
      <c r="K21" t="n">
        <v>0</v>
      </c>
      <c r="L21" t="n">
        <v>0</v>
      </c>
      <c r="M21" t="n">
        <v>0</v>
      </c>
      <c r="N21" t="n">
        <v>0</v>
      </c>
      <c r="O21" t="n">
        <v>1</v>
      </c>
      <c r="P21" t="n">
        <v>0</v>
      </c>
      <c r="Q21" t="n">
        <v>1</v>
      </c>
      <c r="R21" s="2" t="inlineStr">
        <is>
          <t>Leptoporus erubescens</t>
        </is>
      </c>
      <c r="S21">
        <f>HYPERLINK("https://klasma.github.io/Logging_0381/artfynd/A 46749-2024 artfynd.xlsx", "A 46749-2024")</f>
        <v/>
      </c>
      <c r="T21">
        <f>HYPERLINK("https://klasma.github.io/Logging_0381/kartor/A 46749-2024 karta.png", "A 46749-2024")</f>
        <v/>
      </c>
      <c r="V21">
        <f>HYPERLINK("https://klasma.github.io/Logging_0381/klagomål/A 46749-2024 FSC-klagomål.docx", "A 46749-2024")</f>
        <v/>
      </c>
      <c r="W21">
        <f>HYPERLINK("https://klasma.github.io/Logging_0381/klagomålsmail/A 46749-2024 FSC-klagomål mail.docx", "A 46749-2024")</f>
        <v/>
      </c>
      <c r="X21">
        <f>HYPERLINK("https://klasma.github.io/Logging_0381/tillsyn/A 46749-2024 tillsynsbegäran.docx", "A 46749-2024")</f>
        <v/>
      </c>
      <c r="Y21">
        <f>HYPERLINK("https://klasma.github.io/Logging_0381/tillsynsmail/A 46749-2024 tillsynsbegäran mail.docx", "A 46749-2024")</f>
        <v/>
      </c>
    </row>
    <row r="22" ht="15" customHeight="1">
      <c r="A22" t="inlineStr">
        <is>
          <t>A 33339-2024</t>
        </is>
      </c>
      <c r="B22" s="1" t="n">
        <v>45519</v>
      </c>
      <c r="C22" s="1" t="n">
        <v>45880</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21970-2025</t>
        </is>
      </c>
      <c r="B23" s="1" t="n">
        <v>45784.63335648148</v>
      </c>
      <c r="C23" s="1" t="n">
        <v>45880</v>
      </c>
      <c r="D23" t="inlineStr">
        <is>
          <t>UPPSALA LÄN</t>
        </is>
      </c>
      <c r="E23" t="inlineStr">
        <is>
          <t>ENKÖPING</t>
        </is>
      </c>
      <c r="G23" t="n">
        <v>5.3</v>
      </c>
      <c r="H23" t="n">
        <v>1</v>
      </c>
      <c r="I23" t="n">
        <v>0</v>
      </c>
      <c r="J23" t="n">
        <v>0</v>
      </c>
      <c r="K23" t="n">
        <v>0</v>
      </c>
      <c r="L23" t="n">
        <v>0</v>
      </c>
      <c r="M23" t="n">
        <v>0</v>
      </c>
      <c r="N23" t="n">
        <v>0</v>
      </c>
      <c r="O23" t="n">
        <v>0</v>
      </c>
      <c r="P23" t="n">
        <v>0</v>
      </c>
      <c r="Q23" t="n">
        <v>1</v>
      </c>
      <c r="R23" s="2" t="inlineStr">
        <is>
          <t>Blåsippa</t>
        </is>
      </c>
      <c r="S23">
        <f>HYPERLINK("https://klasma.github.io/Logging_0381/artfynd/A 21970-2025 artfynd.xlsx", "A 21970-2025")</f>
        <v/>
      </c>
      <c r="T23">
        <f>HYPERLINK("https://klasma.github.io/Logging_0381/kartor/A 21970-2025 karta.png", "A 21970-2025")</f>
        <v/>
      </c>
      <c r="V23">
        <f>HYPERLINK("https://klasma.github.io/Logging_0381/klagomål/A 21970-2025 FSC-klagomål.docx", "A 21970-2025")</f>
        <v/>
      </c>
      <c r="W23">
        <f>HYPERLINK("https://klasma.github.io/Logging_0381/klagomålsmail/A 21970-2025 FSC-klagomål mail.docx", "A 21970-2025")</f>
        <v/>
      </c>
      <c r="X23">
        <f>HYPERLINK("https://klasma.github.io/Logging_0381/tillsyn/A 21970-2025 tillsynsbegäran.docx", "A 21970-2025")</f>
        <v/>
      </c>
      <c r="Y23">
        <f>HYPERLINK("https://klasma.github.io/Logging_0381/tillsynsmail/A 21970-2025 tillsynsbegäran mail.docx", "A 21970-2025")</f>
        <v/>
      </c>
    </row>
    <row r="24" ht="15" customHeight="1">
      <c r="A24" t="inlineStr">
        <is>
          <t>A 11015-2025</t>
        </is>
      </c>
      <c r="B24" s="1" t="n">
        <v>45723.46288194445</v>
      </c>
      <c r="C24" s="1" t="n">
        <v>45880</v>
      </c>
      <c r="D24" t="inlineStr">
        <is>
          <t>UPPSALA LÄN</t>
        </is>
      </c>
      <c r="E24" t="inlineStr">
        <is>
          <t>ENKÖPING</t>
        </is>
      </c>
      <c r="G24" t="n">
        <v>1.3</v>
      </c>
      <c r="H24" t="n">
        <v>0</v>
      </c>
      <c r="I24" t="n">
        <v>1</v>
      </c>
      <c r="J24" t="n">
        <v>0</v>
      </c>
      <c r="K24" t="n">
        <v>0</v>
      </c>
      <c r="L24" t="n">
        <v>0</v>
      </c>
      <c r="M24" t="n">
        <v>0</v>
      </c>
      <c r="N24" t="n">
        <v>0</v>
      </c>
      <c r="O24" t="n">
        <v>0</v>
      </c>
      <c r="P24" t="n">
        <v>0</v>
      </c>
      <c r="Q24" t="n">
        <v>1</v>
      </c>
      <c r="R24" s="2" t="inlineStr">
        <is>
          <t>Svart trolldruva</t>
        </is>
      </c>
      <c r="S24">
        <f>HYPERLINK("https://klasma.github.io/Logging_0381/artfynd/A 11015-2025 artfynd.xlsx", "A 11015-2025")</f>
        <v/>
      </c>
      <c r="T24">
        <f>HYPERLINK("https://klasma.github.io/Logging_0381/kartor/A 11015-2025 karta.png", "A 11015-2025")</f>
        <v/>
      </c>
      <c r="V24">
        <f>HYPERLINK("https://klasma.github.io/Logging_0381/klagomål/A 11015-2025 FSC-klagomål.docx", "A 11015-2025")</f>
        <v/>
      </c>
      <c r="W24">
        <f>HYPERLINK("https://klasma.github.io/Logging_0381/klagomålsmail/A 11015-2025 FSC-klagomål mail.docx", "A 11015-2025")</f>
        <v/>
      </c>
      <c r="X24">
        <f>HYPERLINK("https://klasma.github.io/Logging_0381/tillsyn/A 11015-2025 tillsynsbegäran.docx", "A 11015-2025")</f>
        <v/>
      </c>
      <c r="Y24">
        <f>HYPERLINK("https://klasma.github.io/Logging_0381/tillsynsmail/A 11015-2025 tillsynsbegäran mail.docx", "A 11015-2025")</f>
        <v/>
      </c>
    </row>
    <row r="25" ht="15" customHeight="1">
      <c r="A25" t="inlineStr">
        <is>
          <t>A 11018-2025</t>
        </is>
      </c>
      <c r="B25" s="1" t="n">
        <v>45723.46591435185</v>
      </c>
      <c r="C25" s="1" t="n">
        <v>45880</v>
      </c>
      <c r="D25" t="inlineStr">
        <is>
          <t>UPPSALA LÄN</t>
        </is>
      </c>
      <c r="E25" t="inlineStr">
        <is>
          <t>ENKÖPING</t>
        </is>
      </c>
      <c r="G25" t="n">
        <v>1.6</v>
      </c>
      <c r="H25" t="n">
        <v>0</v>
      </c>
      <c r="I25" t="n">
        <v>0</v>
      </c>
      <c r="J25" t="n">
        <v>0</v>
      </c>
      <c r="K25" t="n">
        <v>0</v>
      </c>
      <c r="L25" t="n">
        <v>1</v>
      </c>
      <c r="M25" t="n">
        <v>0</v>
      </c>
      <c r="N25" t="n">
        <v>0</v>
      </c>
      <c r="O25" t="n">
        <v>1</v>
      </c>
      <c r="P25" t="n">
        <v>1</v>
      </c>
      <c r="Q25" t="n">
        <v>1</v>
      </c>
      <c r="R25" s="2" t="inlineStr">
        <is>
          <t>Ask</t>
        </is>
      </c>
      <c r="S25">
        <f>HYPERLINK("https://klasma.github.io/Logging_0381/artfynd/A 11018-2025 artfynd.xlsx", "A 11018-2025")</f>
        <v/>
      </c>
      <c r="T25">
        <f>HYPERLINK("https://klasma.github.io/Logging_0381/kartor/A 11018-2025 karta.png", "A 11018-2025")</f>
        <v/>
      </c>
      <c r="V25">
        <f>HYPERLINK("https://klasma.github.io/Logging_0381/klagomål/A 11018-2025 FSC-klagomål.docx", "A 11018-2025")</f>
        <v/>
      </c>
      <c r="W25">
        <f>HYPERLINK("https://klasma.github.io/Logging_0381/klagomålsmail/A 11018-2025 FSC-klagomål mail.docx", "A 11018-2025")</f>
        <v/>
      </c>
      <c r="X25">
        <f>HYPERLINK("https://klasma.github.io/Logging_0381/tillsyn/A 11018-2025 tillsynsbegäran.docx", "A 11018-2025")</f>
        <v/>
      </c>
      <c r="Y25">
        <f>HYPERLINK("https://klasma.github.io/Logging_0381/tillsynsmail/A 11018-2025 tillsynsbegäran mail.docx", "A 11018-2025")</f>
        <v/>
      </c>
    </row>
    <row r="26" ht="15" customHeight="1">
      <c r="A26" t="inlineStr">
        <is>
          <t>A 45116-2023</t>
        </is>
      </c>
      <c r="B26" s="1" t="n">
        <v>45191</v>
      </c>
      <c r="C26" s="1" t="n">
        <v>45880</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23961-2022</t>
        </is>
      </c>
      <c r="B27" s="1" t="n">
        <v>44722</v>
      </c>
      <c r="C27" s="1" t="n">
        <v>45880</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Blåsippa</t>
        </is>
      </c>
      <c r="S27">
        <f>HYPERLINK("https://klasma.github.io/Logging_0381/artfynd/A 23961-2022 artfynd.xlsx", "A 23961-2022")</f>
        <v/>
      </c>
      <c r="T27">
        <f>HYPERLINK("https://klasma.github.io/Logging_0381/kartor/A 23961-2022 karta.png", "A 23961-2022")</f>
        <v/>
      </c>
      <c r="V27">
        <f>HYPERLINK("https://klasma.github.io/Logging_0381/klagomål/A 23961-2022 FSC-klagomål.docx", "A 23961-2022")</f>
        <v/>
      </c>
      <c r="W27">
        <f>HYPERLINK("https://klasma.github.io/Logging_0381/klagomålsmail/A 23961-2022 FSC-klagomål mail.docx", "A 23961-2022")</f>
        <v/>
      </c>
      <c r="X27">
        <f>HYPERLINK("https://klasma.github.io/Logging_0381/tillsyn/A 23961-2022 tillsynsbegäran.docx", "A 23961-2022")</f>
        <v/>
      </c>
      <c r="Y27">
        <f>HYPERLINK("https://klasma.github.io/Logging_0381/tillsynsmail/A 23961-2022 tillsynsbegäran mail.docx", "A 23961-2022")</f>
        <v/>
      </c>
    </row>
    <row r="28" ht="15" customHeight="1">
      <c r="A28" t="inlineStr">
        <is>
          <t>A 28900-2024</t>
        </is>
      </c>
      <c r="B28" s="1" t="n">
        <v>45480</v>
      </c>
      <c r="C28" s="1" t="n">
        <v>45880</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26347-2025</t>
        </is>
      </c>
      <c r="B29" s="1" t="n">
        <v>45805.7403125</v>
      </c>
      <c r="C29" s="1" t="n">
        <v>45880</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17942-2024</t>
        </is>
      </c>
      <c r="B30" s="1" t="n">
        <v>45419</v>
      </c>
      <c r="C30" s="1" t="n">
        <v>45880</v>
      </c>
      <c r="D30" t="inlineStr">
        <is>
          <t>UPPSALA LÄN</t>
        </is>
      </c>
      <c r="E30" t="inlineStr">
        <is>
          <t>ENKÖPING</t>
        </is>
      </c>
      <c r="G30" t="n">
        <v>0.8</v>
      </c>
      <c r="H30" t="n">
        <v>0</v>
      </c>
      <c r="I30" t="n">
        <v>0</v>
      </c>
      <c r="J30" t="n">
        <v>1</v>
      </c>
      <c r="K30" t="n">
        <v>0</v>
      </c>
      <c r="L30" t="n">
        <v>0</v>
      </c>
      <c r="M30" t="n">
        <v>0</v>
      </c>
      <c r="N30" t="n">
        <v>0</v>
      </c>
      <c r="O30" t="n">
        <v>1</v>
      </c>
      <c r="P30" t="n">
        <v>0</v>
      </c>
      <c r="Q30" t="n">
        <v>1</v>
      </c>
      <c r="R30" s="2" t="inlineStr">
        <is>
          <t>Ängsskära</t>
        </is>
      </c>
      <c r="S30">
        <f>HYPERLINK("https://klasma.github.io/Logging_0381/artfynd/A 17942-2024 artfynd.xlsx", "A 17942-2024")</f>
        <v/>
      </c>
      <c r="T30">
        <f>HYPERLINK("https://klasma.github.io/Logging_0381/kartor/A 17942-2024 karta.png", "A 17942-2024")</f>
        <v/>
      </c>
      <c r="V30">
        <f>HYPERLINK("https://klasma.github.io/Logging_0381/klagomål/A 17942-2024 FSC-klagomål.docx", "A 17942-2024")</f>
        <v/>
      </c>
      <c r="W30">
        <f>HYPERLINK("https://klasma.github.io/Logging_0381/klagomålsmail/A 17942-2024 FSC-klagomål mail.docx", "A 17942-2024")</f>
        <v/>
      </c>
      <c r="X30">
        <f>HYPERLINK("https://klasma.github.io/Logging_0381/tillsyn/A 17942-2024 tillsynsbegäran.docx", "A 17942-2024")</f>
        <v/>
      </c>
      <c r="Y30">
        <f>HYPERLINK("https://klasma.github.io/Logging_0381/tillsynsmail/A 17942-2024 tillsynsbegäran mail.docx", "A 17942-2024")</f>
        <v/>
      </c>
    </row>
    <row r="31" ht="15" customHeight="1">
      <c r="A31" t="inlineStr">
        <is>
          <t>A 27060-2025</t>
        </is>
      </c>
      <c r="B31" s="1" t="n">
        <v>45811.63590277778</v>
      </c>
      <c r="C31" s="1" t="n">
        <v>45880</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29510-2025</t>
        </is>
      </c>
      <c r="B32" s="1" t="n">
        <v>45825</v>
      </c>
      <c r="C32" s="1" t="n">
        <v>45880</v>
      </c>
      <c r="D32" t="inlineStr">
        <is>
          <t>UPPSALA LÄN</t>
        </is>
      </c>
      <c r="E32" t="inlineStr">
        <is>
          <t>ENKÖPING</t>
        </is>
      </c>
      <c r="G32" t="n">
        <v>2.4</v>
      </c>
      <c r="H32" t="n">
        <v>0</v>
      </c>
      <c r="I32" t="n">
        <v>0</v>
      </c>
      <c r="J32" t="n">
        <v>0</v>
      </c>
      <c r="K32" t="n">
        <v>1</v>
      </c>
      <c r="L32" t="n">
        <v>0</v>
      </c>
      <c r="M32" t="n">
        <v>0</v>
      </c>
      <c r="N32" t="n">
        <v>0</v>
      </c>
      <c r="O32" t="n">
        <v>1</v>
      </c>
      <c r="P32" t="n">
        <v>1</v>
      </c>
      <c r="Q32" t="n">
        <v>1</v>
      </c>
      <c r="R32" s="2" t="inlineStr">
        <is>
          <t>Toppjungfrulin</t>
        </is>
      </c>
      <c r="S32">
        <f>HYPERLINK("https://klasma.github.io/Logging_0381/artfynd/A 29510-2025 artfynd.xlsx", "A 29510-2025")</f>
        <v/>
      </c>
      <c r="T32">
        <f>HYPERLINK("https://klasma.github.io/Logging_0381/kartor/A 29510-2025 karta.png", "A 29510-2025")</f>
        <v/>
      </c>
      <c r="V32">
        <f>HYPERLINK("https://klasma.github.io/Logging_0381/klagomål/A 29510-2025 FSC-klagomål.docx", "A 29510-2025")</f>
        <v/>
      </c>
      <c r="W32">
        <f>HYPERLINK("https://klasma.github.io/Logging_0381/klagomålsmail/A 29510-2025 FSC-klagomål mail.docx", "A 29510-2025")</f>
        <v/>
      </c>
      <c r="X32">
        <f>HYPERLINK("https://klasma.github.io/Logging_0381/tillsyn/A 29510-2025 tillsynsbegäran.docx", "A 29510-2025")</f>
        <v/>
      </c>
      <c r="Y32">
        <f>HYPERLINK("https://klasma.github.io/Logging_0381/tillsynsmail/A 29510-2025 tillsynsbegäran mail.docx", "A 29510-2025")</f>
        <v/>
      </c>
    </row>
    <row r="33" ht="15" customHeight="1">
      <c r="A33" t="inlineStr">
        <is>
          <t>A 1524-2023</t>
        </is>
      </c>
      <c r="B33" s="1" t="n">
        <v>44935</v>
      </c>
      <c r="C33" s="1" t="n">
        <v>45880</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16683-2021</t>
        </is>
      </c>
      <c r="B34" s="1" t="n">
        <v>44294.58495370371</v>
      </c>
      <c r="C34" s="1" t="n">
        <v>45880</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45880</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45880</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45880</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45880</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45880</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45880</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45880</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45880</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45880</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45880</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45880</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45880</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45880</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48362-2020</t>
        </is>
      </c>
      <c r="B48" s="1" t="n">
        <v>44102</v>
      </c>
      <c r="C48" s="1" t="n">
        <v>45880</v>
      </c>
      <c r="D48" t="inlineStr">
        <is>
          <t>UPPSALA LÄN</t>
        </is>
      </c>
      <c r="E48" t="inlineStr">
        <is>
          <t>ENKÖPING</t>
        </is>
      </c>
      <c r="G48" t="n">
        <v>2.4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45880</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45880</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45880</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10202-2022</t>
        </is>
      </c>
      <c r="B52" s="1" t="n">
        <v>44622</v>
      </c>
      <c r="C52" s="1" t="n">
        <v>45880</v>
      </c>
      <c r="D52" t="inlineStr">
        <is>
          <t>UPPSALA LÄN</t>
        </is>
      </c>
      <c r="E52" t="inlineStr">
        <is>
          <t>ENKÖPING</t>
        </is>
      </c>
      <c r="G52" t="n">
        <v>5.6</v>
      </c>
      <c r="H52" t="n">
        <v>0</v>
      </c>
      <c r="I52" t="n">
        <v>0</v>
      </c>
      <c r="J52" t="n">
        <v>0</v>
      </c>
      <c r="K52" t="n">
        <v>0</v>
      </c>
      <c r="L52" t="n">
        <v>0</v>
      </c>
      <c r="M52" t="n">
        <v>0</v>
      </c>
      <c r="N52" t="n">
        <v>0</v>
      </c>
      <c r="O52" t="n">
        <v>0</v>
      </c>
      <c r="P52" t="n">
        <v>0</v>
      </c>
      <c r="Q52" t="n">
        <v>0</v>
      </c>
      <c r="R52" s="2" t="inlineStr"/>
    </row>
    <row r="53" ht="15" customHeight="1">
      <c r="A53" t="inlineStr">
        <is>
          <t>A 10207-2022</t>
        </is>
      </c>
      <c r="B53" s="1" t="n">
        <v>44622</v>
      </c>
      <c r="C53" s="1" t="n">
        <v>45880</v>
      </c>
      <c r="D53" t="inlineStr">
        <is>
          <t>UPPSALA LÄN</t>
        </is>
      </c>
      <c r="E53" t="inlineStr">
        <is>
          <t>ENKÖPING</t>
        </is>
      </c>
      <c r="G53" t="n">
        <v>4.9</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45880</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45880</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45880</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45880</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53344-2020</t>
        </is>
      </c>
      <c r="B58" s="1" t="n">
        <v>44123</v>
      </c>
      <c r="C58" s="1" t="n">
        <v>45880</v>
      </c>
      <c r="D58" t="inlineStr">
        <is>
          <t>UPPSALA LÄN</t>
        </is>
      </c>
      <c r="E58" t="inlineStr">
        <is>
          <t>ENKÖPING</t>
        </is>
      </c>
      <c r="G58" t="n">
        <v>0.8</v>
      </c>
      <c r="H58" t="n">
        <v>0</v>
      </c>
      <c r="I58" t="n">
        <v>0</v>
      </c>
      <c r="J58" t="n">
        <v>0</v>
      </c>
      <c r="K58" t="n">
        <v>0</v>
      </c>
      <c r="L58" t="n">
        <v>0</v>
      </c>
      <c r="M58" t="n">
        <v>0</v>
      </c>
      <c r="N58" t="n">
        <v>0</v>
      </c>
      <c r="O58" t="n">
        <v>0</v>
      </c>
      <c r="P58" t="n">
        <v>0</v>
      </c>
      <c r="Q58" t="n">
        <v>0</v>
      </c>
      <c r="R58" s="2" t="inlineStr"/>
    </row>
    <row r="59" ht="15" customHeight="1">
      <c r="A59" t="inlineStr">
        <is>
          <t>A 39922-2022</t>
        </is>
      </c>
      <c r="B59" s="1" t="n">
        <v>44819</v>
      </c>
      <c r="C59" s="1" t="n">
        <v>45880</v>
      </c>
      <c r="D59" t="inlineStr">
        <is>
          <t>UPPSALA LÄN</t>
        </is>
      </c>
      <c r="E59" t="inlineStr">
        <is>
          <t>ENKÖPING</t>
        </is>
      </c>
      <c r="G59" t="n">
        <v>1.7</v>
      </c>
      <c r="H59" t="n">
        <v>0</v>
      </c>
      <c r="I59" t="n">
        <v>0</v>
      </c>
      <c r="J59" t="n">
        <v>0</v>
      </c>
      <c r="K59" t="n">
        <v>0</v>
      </c>
      <c r="L59" t="n">
        <v>0</v>
      </c>
      <c r="M59" t="n">
        <v>0</v>
      </c>
      <c r="N59" t="n">
        <v>0</v>
      </c>
      <c r="O59" t="n">
        <v>0</v>
      </c>
      <c r="P59" t="n">
        <v>0</v>
      </c>
      <c r="Q59" t="n">
        <v>0</v>
      </c>
      <c r="R59" s="2" t="inlineStr"/>
    </row>
    <row r="60" ht="15" customHeight="1">
      <c r="A60" t="inlineStr">
        <is>
          <t>A 41736-2022</t>
        </is>
      </c>
      <c r="B60" s="1" t="n">
        <v>44827</v>
      </c>
      <c r="C60" s="1" t="n">
        <v>45880</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3861-2022</t>
        </is>
      </c>
      <c r="B61" s="1" t="n">
        <v>44587</v>
      </c>
      <c r="C61" s="1" t="n">
        <v>45880</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16967-2022</t>
        </is>
      </c>
      <c r="B62" s="1" t="n">
        <v>44676</v>
      </c>
      <c r="C62" s="1" t="n">
        <v>45880</v>
      </c>
      <c r="D62" t="inlineStr">
        <is>
          <t>UPPSALA LÄN</t>
        </is>
      </c>
      <c r="E62" t="inlineStr">
        <is>
          <t>ENKÖPING</t>
        </is>
      </c>
      <c r="G62" t="n">
        <v>0.6</v>
      </c>
      <c r="H62" t="n">
        <v>0</v>
      </c>
      <c r="I62" t="n">
        <v>0</v>
      </c>
      <c r="J62" t="n">
        <v>0</v>
      </c>
      <c r="K62" t="n">
        <v>0</v>
      </c>
      <c r="L62" t="n">
        <v>0</v>
      </c>
      <c r="M62" t="n">
        <v>0</v>
      </c>
      <c r="N62" t="n">
        <v>0</v>
      </c>
      <c r="O62" t="n">
        <v>0</v>
      </c>
      <c r="P62" t="n">
        <v>0</v>
      </c>
      <c r="Q62" t="n">
        <v>0</v>
      </c>
      <c r="R62" s="2" t="inlineStr"/>
    </row>
    <row r="63" ht="15" customHeight="1">
      <c r="A63" t="inlineStr">
        <is>
          <t>A 498-2022</t>
        </is>
      </c>
      <c r="B63" s="1" t="n">
        <v>44566</v>
      </c>
      <c r="C63" s="1" t="n">
        <v>45880</v>
      </c>
      <c r="D63" t="inlineStr">
        <is>
          <t>UPPSALA LÄN</t>
        </is>
      </c>
      <c r="E63" t="inlineStr">
        <is>
          <t>ENKÖPING</t>
        </is>
      </c>
      <c r="F63" t="inlineStr">
        <is>
          <t>Övriga statliga verk och myndigheter</t>
        </is>
      </c>
      <c r="G63" t="n">
        <v>11.1</v>
      </c>
      <c r="H63" t="n">
        <v>0</v>
      </c>
      <c r="I63" t="n">
        <v>0</v>
      </c>
      <c r="J63" t="n">
        <v>0</v>
      </c>
      <c r="K63" t="n">
        <v>0</v>
      </c>
      <c r="L63" t="n">
        <v>0</v>
      </c>
      <c r="M63" t="n">
        <v>0</v>
      </c>
      <c r="N63" t="n">
        <v>0</v>
      </c>
      <c r="O63" t="n">
        <v>0</v>
      </c>
      <c r="P63" t="n">
        <v>0</v>
      </c>
      <c r="Q63" t="n">
        <v>0</v>
      </c>
      <c r="R63" s="2" t="inlineStr"/>
    </row>
    <row r="64" ht="15" customHeight="1">
      <c r="A64" t="inlineStr">
        <is>
          <t>A 1965-2022</t>
        </is>
      </c>
      <c r="B64" s="1" t="n">
        <v>44575</v>
      </c>
      <c r="C64" s="1" t="n">
        <v>45880</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48230-2022</t>
        </is>
      </c>
      <c r="B65" s="1" t="n">
        <v>44858.45100694444</v>
      </c>
      <c r="C65" s="1" t="n">
        <v>45880</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14531-2022</t>
        </is>
      </c>
      <c r="B66" s="1" t="n">
        <v>44655</v>
      </c>
      <c r="C66" s="1" t="n">
        <v>45880</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48233-2022</t>
        </is>
      </c>
      <c r="B67" s="1" t="n">
        <v>44858.45300925926</v>
      </c>
      <c r="C67" s="1" t="n">
        <v>45880</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51091-2020</t>
        </is>
      </c>
      <c r="B68" s="1" t="n">
        <v>44112</v>
      </c>
      <c r="C68" s="1" t="n">
        <v>45880</v>
      </c>
      <c r="D68" t="inlineStr">
        <is>
          <t>UPPSALA LÄN</t>
        </is>
      </c>
      <c r="E68" t="inlineStr">
        <is>
          <t>ENKÖPING</t>
        </is>
      </c>
      <c r="G68" t="n">
        <v>3.6</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45880</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4775-2021</t>
        </is>
      </c>
      <c r="B70" s="1" t="n">
        <v>44225</v>
      </c>
      <c r="C70" s="1" t="n">
        <v>45880</v>
      </c>
      <c r="D70" t="inlineStr">
        <is>
          <t>UPPSALA LÄN</t>
        </is>
      </c>
      <c r="E70" t="inlineStr">
        <is>
          <t>ENKÖPING</t>
        </is>
      </c>
      <c r="F70" t="inlineStr">
        <is>
          <t>Allmännings- och besparingsskogar</t>
        </is>
      </c>
      <c r="G70" t="n">
        <v>3.5</v>
      </c>
      <c r="H70" t="n">
        <v>0</v>
      </c>
      <c r="I70" t="n">
        <v>0</v>
      </c>
      <c r="J70" t="n">
        <v>0</v>
      </c>
      <c r="K70" t="n">
        <v>0</v>
      </c>
      <c r="L70" t="n">
        <v>0</v>
      </c>
      <c r="M70" t="n">
        <v>0</v>
      </c>
      <c r="N70" t="n">
        <v>0</v>
      </c>
      <c r="O70" t="n">
        <v>0</v>
      </c>
      <c r="P70" t="n">
        <v>0</v>
      </c>
      <c r="Q70" t="n">
        <v>0</v>
      </c>
      <c r="R70" s="2" t="inlineStr"/>
    </row>
    <row r="71" ht="15" customHeight="1">
      <c r="A71" t="inlineStr">
        <is>
          <t>A 16498-2021</t>
        </is>
      </c>
      <c r="B71" s="1" t="n">
        <v>44293</v>
      </c>
      <c r="C71" s="1" t="n">
        <v>45880</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39473-2021</t>
        </is>
      </c>
      <c r="B72" s="1" t="n">
        <v>44414</v>
      </c>
      <c r="C72" s="1" t="n">
        <v>45880</v>
      </c>
      <c r="D72" t="inlineStr">
        <is>
          <t>UPPSALA LÄN</t>
        </is>
      </c>
      <c r="E72" t="inlineStr">
        <is>
          <t>ENKÖPING</t>
        </is>
      </c>
      <c r="G72" t="n">
        <v>3.2</v>
      </c>
      <c r="H72" t="n">
        <v>0</v>
      </c>
      <c r="I72" t="n">
        <v>0</v>
      </c>
      <c r="J72" t="n">
        <v>0</v>
      </c>
      <c r="K72" t="n">
        <v>0</v>
      </c>
      <c r="L72" t="n">
        <v>0</v>
      </c>
      <c r="M72" t="n">
        <v>0</v>
      </c>
      <c r="N72" t="n">
        <v>0</v>
      </c>
      <c r="O72" t="n">
        <v>0</v>
      </c>
      <c r="P72" t="n">
        <v>0</v>
      </c>
      <c r="Q72" t="n">
        <v>0</v>
      </c>
      <c r="R72" s="2" t="inlineStr"/>
    </row>
    <row r="73" ht="15" customHeight="1">
      <c r="A73" t="inlineStr">
        <is>
          <t>A 4170-2022</t>
        </is>
      </c>
      <c r="B73" s="1" t="n">
        <v>44588</v>
      </c>
      <c r="C73" s="1" t="n">
        <v>45880</v>
      </c>
      <c r="D73" t="inlineStr">
        <is>
          <t>UPPSALA LÄN</t>
        </is>
      </c>
      <c r="E73" t="inlineStr">
        <is>
          <t>ENKÖPING</t>
        </is>
      </c>
      <c r="G73" t="n">
        <v>2</v>
      </c>
      <c r="H73" t="n">
        <v>0</v>
      </c>
      <c r="I73" t="n">
        <v>0</v>
      </c>
      <c r="J73" t="n">
        <v>0</v>
      </c>
      <c r="K73" t="n">
        <v>0</v>
      </c>
      <c r="L73" t="n">
        <v>0</v>
      </c>
      <c r="M73" t="n">
        <v>0</v>
      </c>
      <c r="N73" t="n">
        <v>0</v>
      </c>
      <c r="O73" t="n">
        <v>0</v>
      </c>
      <c r="P73" t="n">
        <v>0</v>
      </c>
      <c r="Q73" t="n">
        <v>0</v>
      </c>
      <c r="R73" s="2" t="inlineStr"/>
    </row>
    <row r="74" ht="15" customHeight="1">
      <c r="A74" t="inlineStr">
        <is>
          <t>A 38005-2022</t>
        </is>
      </c>
      <c r="B74" s="1" t="n">
        <v>44810</v>
      </c>
      <c r="C74" s="1" t="n">
        <v>45880</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63715-2020</t>
        </is>
      </c>
      <c r="B75" s="1" t="n">
        <v>44166</v>
      </c>
      <c r="C75" s="1" t="n">
        <v>45880</v>
      </c>
      <c r="D75" t="inlineStr">
        <is>
          <t>UPPSALA LÄN</t>
        </is>
      </c>
      <c r="E75" t="inlineStr">
        <is>
          <t>ENKÖPING</t>
        </is>
      </c>
      <c r="F75" t="inlineStr">
        <is>
          <t>Övriga statliga verk och myndigheter</t>
        </is>
      </c>
      <c r="G75" t="n">
        <v>5.9</v>
      </c>
      <c r="H75" t="n">
        <v>0</v>
      </c>
      <c r="I75" t="n">
        <v>0</v>
      </c>
      <c r="J75" t="n">
        <v>0</v>
      </c>
      <c r="K75" t="n">
        <v>0</v>
      </c>
      <c r="L75" t="n">
        <v>0</v>
      </c>
      <c r="M75" t="n">
        <v>0</v>
      </c>
      <c r="N75" t="n">
        <v>0</v>
      </c>
      <c r="O75" t="n">
        <v>0</v>
      </c>
      <c r="P75" t="n">
        <v>0</v>
      </c>
      <c r="Q75" t="n">
        <v>0</v>
      </c>
      <c r="R75" s="2" t="inlineStr"/>
    </row>
    <row r="76" ht="15" customHeight="1">
      <c r="A76" t="inlineStr">
        <is>
          <t>A 29425-2022</t>
        </is>
      </c>
      <c r="B76" s="1" t="n">
        <v>44753.47837962963</v>
      </c>
      <c r="C76" s="1" t="n">
        <v>45880</v>
      </c>
      <c r="D76" t="inlineStr">
        <is>
          <t>UPPSALA LÄN</t>
        </is>
      </c>
      <c r="E76" t="inlineStr">
        <is>
          <t>ENKÖPING</t>
        </is>
      </c>
      <c r="G76" t="n">
        <v>2.5</v>
      </c>
      <c r="H76" t="n">
        <v>0</v>
      </c>
      <c r="I76" t="n">
        <v>0</v>
      </c>
      <c r="J76" t="n">
        <v>0</v>
      </c>
      <c r="K76" t="n">
        <v>0</v>
      </c>
      <c r="L76" t="n">
        <v>0</v>
      </c>
      <c r="M76" t="n">
        <v>0</v>
      </c>
      <c r="N76" t="n">
        <v>0</v>
      </c>
      <c r="O76" t="n">
        <v>0</v>
      </c>
      <c r="P76" t="n">
        <v>0</v>
      </c>
      <c r="Q76" t="n">
        <v>0</v>
      </c>
      <c r="R76" s="2" t="inlineStr"/>
    </row>
    <row r="77" ht="15" customHeight="1">
      <c r="A77" t="inlineStr">
        <is>
          <t>A 52896-2022</t>
        </is>
      </c>
      <c r="B77" s="1" t="n">
        <v>44875.5665625</v>
      </c>
      <c r="C77" s="1" t="n">
        <v>45880</v>
      </c>
      <c r="D77" t="inlineStr">
        <is>
          <t>UPPSALA LÄN</t>
        </is>
      </c>
      <c r="E77" t="inlineStr">
        <is>
          <t>ENKÖPING</t>
        </is>
      </c>
      <c r="G77" t="n">
        <v>0.8</v>
      </c>
      <c r="H77" t="n">
        <v>0</v>
      </c>
      <c r="I77" t="n">
        <v>0</v>
      </c>
      <c r="J77" t="n">
        <v>0</v>
      </c>
      <c r="K77" t="n">
        <v>0</v>
      </c>
      <c r="L77" t="n">
        <v>0</v>
      </c>
      <c r="M77" t="n">
        <v>0</v>
      </c>
      <c r="N77" t="n">
        <v>0</v>
      </c>
      <c r="O77" t="n">
        <v>0</v>
      </c>
      <c r="P77" t="n">
        <v>0</v>
      </c>
      <c r="Q77" t="n">
        <v>0</v>
      </c>
      <c r="R77" s="2" t="inlineStr"/>
    </row>
    <row r="78" ht="15" customHeight="1">
      <c r="A78" t="inlineStr">
        <is>
          <t>A 2680-2022</t>
        </is>
      </c>
      <c r="B78" s="1" t="n">
        <v>44580</v>
      </c>
      <c r="C78" s="1" t="n">
        <v>45880</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12732-2021</t>
        </is>
      </c>
      <c r="B79" s="1" t="n">
        <v>44270.62864583333</v>
      </c>
      <c r="C79" s="1" t="n">
        <v>45880</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3903-2021</t>
        </is>
      </c>
      <c r="B80" s="1" t="n">
        <v>44217</v>
      </c>
      <c r="C80" s="1" t="n">
        <v>45880</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52014-2021</t>
        </is>
      </c>
      <c r="B81" s="1" t="n">
        <v>44463.3425462963</v>
      </c>
      <c r="C81" s="1" t="n">
        <v>45880</v>
      </c>
      <c r="D81" t="inlineStr">
        <is>
          <t>UPPSALA LÄN</t>
        </is>
      </c>
      <c r="E81" t="inlineStr">
        <is>
          <t>ENKÖPING</t>
        </is>
      </c>
      <c r="G81" t="n">
        <v>5.8</v>
      </c>
      <c r="H81" t="n">
        <v>0</v>
      </c>
      <c r="I81" t="n">
        <v>0</v>
      </c>
      <c r="J81" t="n">
        <v>0</v>
      </c>
      <c r="K81" t="n">
        <v>0</v>
      </c>
      <c r="L81" t="n">
        <v>0</v>
      </c>
      <c r="M81" t="n">
        <v>0</v>
      </c>
      <c r="N81" t="n">
        <v>0</v>
      </c>
      <c r="O81" t="n">
        <v>0</v>
      </c>
      <c r="P81" t="n">
        <v>0</v>
      </c>
      <c r="Q81" t="n">
        <v>0</v>
      </c>
      <c r="R81" s="2" t="inlineStr"/>
    </row>
    <row r="82" ht="15" customHeight="1">
      <c r="A82" t="inlineStr">
        <is>
          <t>A 17264-2021</t>
        </is>
      </c>
      <c r="B82" s="1" t="n">
        <v>44298.56068287037</v>
      </c>
      <c r="C82" s="1" t="n">
        <v>45880</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17268-2021</t>
        </is>
      </c>
      <c r="B83" s="1" t="n">
        <v>44298.56302083333</v>
      </c>
      <c r="C83" s="1" t="n">
        <v>45880</v>
      </c>
      <c r="D83" t="inlineStr">
        <is>
          <t>UPPSALA LÄN</t>
        </is>
      </c>
      <c r="E83" t="inlineStr">
        <is>
          <t>ENKÖPING</t>
        </is>
      </c>
      <c r="G83" t="n">
        <v>0.4</v>
      </c>
      <c r="H83" t="n">
        <v>0</v>
      </c>
      <c r="I83" t="n">
        <v>0</v>
      </c>
      <c r="J83" t="n">
        <v>0</v>
      </c>
      <c r="K83" t="n">
        <v>0</v>
      </c>
      <c r="L83" t="n">
        <v>0</v>
      </c>
      <c r="M83" t="n">
        <v>0</v>
      </c>
      <c r="N83" t="n">
        <v>0</v>
      </c>
      <c r="O83" t="n">
        <v>0</v>
      </c>
      <c r="P83" t="n">
        <v>0</v>
      </c>
      <c r="Q83" t="n">
        <v>0</v>
      </c>
      <c r="R83" s="2" t="inlineStr"/>
    </row>
    <row r="84" ht="15" customHeight="1">
      <c r="A84" t="inlineStr">
        <is>
          <t>A 37410-2022</t>
        </is>
      </c>
      <c r="B84" s="1" t="n">
        <v>44809</v>
      </c>
      <c r="C84" s="1" t="n">
        <v>45880</v>
      </c>
      <c r="D84" t="inlineStr">
        <is>
          <t>UPPSALA LÄN</t>
        </is>
      </c>
      <c r="E84" t="inlineStr">
        <is>
          <t>ENKÖPING</t>
        </is>
      </c>
      <c r="G84" t="n">
        <v>3.6</v>
      </c>
      <c r="H84" t="n">
        <v>0</v>
      </c>
      <c r="I84" t="n">
        <v>0</v>
      </c>
      <c r="J84" t="n">
        <v>0</v>
      </c>
      <c r="K84" t="n">
        <v>0</v>
      </c>
      <c r="L84" t="n">
        <v>0</v>
      </c>
      <c r="M84" t="n">
        <v>0</v>
      </c>
      <c r="N84" t="n">
        <v>0</v>
      </c>
      <c r="O84" t="n">
        <v>0</v>
      </c>
      <c r="P84" t="n">
        <v>0</v>
      </c>
      <c r="Q84" t="n">
        <v>0</v>
      </c>
      <c r="R84" s="2" t="inlineStr"/>
    </row>
    <row r="85" ht="15" customHeight="1">
      <c r="A85" t="inlineStr">
        <is>
          <t>A 67713-2020</t>
        </is>
      </c>
      <c r="B85" s="1" t="n">
        <v>44182</v>
      </c>
      <c r="C85" s="1" t="n">
        <v>45880</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1979-2022</t>
        </is>
      </c>
      <c r="B86" s="1" t="n">
        <v>44575</v>
      </c>
      <c r="C86" s="1" t="n">
        <v>45880</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40773-2022</t>
        </is>
      </c>
      <c r="B87" s="1" t="n">
        <v>44824.61237268519</v>
      </c>
      <c r="C87" s="1" t="n">
        <v>45880</v>
      </c>
      <c r="D87" t="inlineStr">
        <is>
          <t>UPPSALA LÄN</t>
        </is>
      </c>
      <c r="E87" t="inlineStr">
        <is>
          <t>ENKÖPING</t>
        </is>
      </c>
      <c r="G87" t="n">
        <v>0.6</v>
      </c>
      <c r="H87" t="n">
        <v>0</v>
      </c>
      <c r="I87" t="n">
        <v>0</v>
      </c>
      <c r="J87" t="n">
        <v>0</v>
      </c>
      <c r="K87" t="n">
        <v>0</v>
      </c>
      <c r="L87" t="n">
        <v>0</v>
      </c>
      <c r="M87" t="n">
        <v>0</v>
      </c>
      <c r="N87" t="n">
        <v>0</v>
      </c>
      <c r="O87" t="n">
        <v>0</v>
      </c>
      <c r="P87" t="n">
        <v>0</v>
      </c>
      <c r="Q87" t="n">
        <v>0</v>
      </c>
      <c r="R87" s="2" t="inlineStr"/>
    </row>
    <row r="88" ht="15" customHeight="1">
      <c r="A88" t="inlineStr">
        <is>
          <t>A 53352-2020</t>
        </is>
      </c>
      <c r="B88" s="1" t="n">
        <v>44123</v>
      </c>
      <c r="C88" s="1" t="n">
        <v>45880</v>
      </c>
      <c r="D88" t="inlineStr">
        <is>
          <t>UPPSALA LÄN</t>
        </is>
      </c>
      <c r="E88" t="inlineStr">
        <is>
          <t>ENKÖPING</t>
        </is>
      </c>
      <c r="G88" t="n">
        <v>2.9</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45880</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11688-2021</t>
        </is>
      </c>
      <c r="B90" s="1" t="n">
        <v>44264</v>
      </c>
      <c r="C90" s="1" t="n">
        <v>45880</v>
      </c>
      <c r="D90" t="inlineStr">
        <is>
          <t>UPPSALA LÄN</t>
        </is>
      </c>
      <c r="E90" t="inlineStr">
        <is>
          <t>ENKÖPING</t>
        </is>
      </c>
      <c r="G90" t="n">
        <v>4.7</v>
      </c>
      <c r="H90" t="n">
        <v>0</v>
      </c>
      <c r="I90" t="n">
        <v>0</v>
      </c>
      <c r="J90" t="n">
        <v>0</v>
      </c>
      <c r="K90" t="n">
        <v>0</v>
      </c>
      <c r="L90" t="n">
        <v>0</v>
      </c>
      <c r="M90" t="n">
        <v>0</v>
      </c>
      <c r="N90" t="n">
        <v>0</v>
      </c>
      <c r="O90" t="n">
        <v>0</v>
      </c>
      <c r="P90" t="n">
        <v>0</v>
      </c>
      <c r="Q90" t="n">
        <v>0</v>
      </c>
      <c r="R90" s="2" t="inlineStr"/>
    </row>
    <row r="91" ht="15" customHeight="1">
      <c r="A91" t="inlineStr">
        <is>
          <t>A 12538-2021</t>
        </is>
      </c>
      <c r="B91" s="1" t="n">
        <v>44269</v>
      </c>
      <c r="C91" s="1" t="n">
        <v>45880</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14839-2021</t>
        </is>
      </c>
      <c r="B92" s="1" t="n">
        <v>44280</v>
      </c>
      <c r="C92" s="1" t="n">
        <v>45880</v>
      </c>
      <c r="D92" t="inlineStr">
        <is>
          <t>UPPSALA LÄN</t>
        </is>
      </c>
      <c r="E92" t="inlineStr">
        <is>
          <t>ENKÖPING</t>
        </is>
      </c>
      <c r="G92" t="n">
        <v>11.4</v>
      </c>
      <c r="H92" t="n">
        <v>0</v>
      </c>
      <c r="I92" t="n">
        <v>0</v>
      </c>
      <c r="J92" t="n">
        <v>0</v>
      </c>
      <c r="K92" t="n">
        <v>0</v>
      </c>
      <c r="L92" t="n">
        <v>0</v>
      </c>
      <c r="M92" t="n">
        <v>0</v>
      </c>
      <c r="N92" t="n">
        <v>0</v>
      </c>
      <c r="O92" t="n">
        <v>0</v>
      </c>
      <c r="P92" t="n">
        <v>0</v>
      </c>
      <c r="Q92" t="n">
        <v>0</v>
      </c>
      <c r="R92" s="2" t="inlineStr"/>
    </row>
    <row r="93" ht="15" customHeight="1">
      <c r="A93" t="inlineStr">
        <is>
          <t>A 28795-2021</t>
        </is>
      </c>
      <c r="B93" s="1" t="n">
        <v>44357</v>
      </c>
      <c r="C93" s="1" t="n">
        <v>45880</v>
      </c>
      <c r="D93" t="inlineStr">
        <is>
          <t>UPPSALA LÄN</t>
        </is>
      </c>
      <c r="E93" t="inlineStr">
        <is>
          <t>ENKÖPING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15997-2021</t>
        </is>
      </c>
      <c r="B94" s="1" t="n">
        <v>44287</v>
      </c>
      <c r="C94" s="1" t="n">
        <v>45880</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68107-2021</t>
        </is>
      </c>
      <c r="B95" s="1" t="n">
        <v>44526</v>
      </c>
      <c r="C95" s="1" t="n">
        <v>45880</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69791-2021</t>
        </is>
      </c>
      <c r="B96" s="1" t="n">
        <v>44532</v>
      </c>
      <c r="C96" s="1" t="n">
        <v>45880</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49375-2021</t>
        </is>
      </c>
      <c r="B97" s="1" t="n">
        <v>44454</v>
      </c>
      <c r="C97" s="1" t="n">
        <v>45880</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1971-2022</t>
        </is>
      </c>
      <c r="B98" s="1" t="n">
        <v>44575</v>
      </c>
      <c r="C98" s="1" t="n">
        <v>45880</v>
      </c>
      <c r="D98" t="inlineStr">
        <is>
          <t>UPPSALA LÄN</t>
        </is>
      </c>
      <c r="E98" t="inlineStr">
        <is>
          <t>ENKÖPING</t>
        </is>
      </c>
      <c r="G98" t="n">
        <v>1.4</v>
      </c>
      <c r="H98" t="n">
        <v>0</v>
      </c>
      <c r="I98" t="n">
        <v>0</v>
      </c>
      <c r="J98" t="n">
        <v>0</v>
      </c>
      <c r="K98" t="n">
        <v>0</v>
      </c>
      <c r="L98" t="n">
        <v>0</v>
      </c>
      <c r="M98" t="n">
        <v>0</v>
      </c>
      <c r="N98" t="n">
        <v>0</v>
      </c>
      <c r="O98" t="n">
        <v>0</v>
      </c>
      <c r="P98" t="n">
        <v>0</v>
      </c>
      <c r="Q98" t="n">
        <v>0</v>
      </c>
      <c r="R98" s="2" t="inlineStr"/>
    </row>
    <row r="99" ht="15" customHeight="1">
      <c r="A99" t="inlineStr">
        <is>
          <t>A 24883-2022</t>
        </is>
      </c>
      <c r="B99" s="1" t="n">
        <v>44728</v>
      </c>
      <c r="C99" s="1" t="n">
        <v>45880</v>
      </c>
      <c r="D99" t="inlineStr">
        <is>
          <t>UPPSALA LÄN</t>
        </is>
      </c>
      <c r="E99" t="inlineStr">
        <is>
          <t>ENKÖPING</t>
        </is>
      </c>
      <c r="G99" t="n">
        <v>2.5</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45880</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57055-2021</t>
        </is>
      </c>
      <c r="B101" s="1" t="n">
        <v>44482.55201388889</v>
      </c>
      <c r="C101" s="1" t="n">
        <v>45880</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20067-2021</t>
        </is>
      </c>
      <c r="B102" s="1" t="n">
        <v>44314</v>
      </c>
      <c r="C102" s="1" t="n">
        <v>45880</v>
      </c>
      <c r="D102" t="inlineStr">
        <is>
          <t>UPPSALA LÄN</t>
        </is>
      </c>
      <c r="E102" t="inlineStr">
        <is>
          <t>ENKÖPING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60874-2021</t>
        </is>
      </c>
      <c r="B103" s="1" t="n">
        <v>44497</v>
      </c>
      <c r="C103" s="1" t="n">
        <v>45880</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15924-2022</t>
        </is>
      </c>
      <c r="B104" s="1" t="n">
        <v>44664</v>
      </c>
      <c r="C104" s="1" t="n">
        <v>45880</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15943-2022</t>
        </is>
      </c>
      <c r="B105" s="1" t="n">
        <v>44664.66428240741</v>
      </c>
      <c r="C105" s="1" t="n">
        <v>45880</v>
      </c>
      <c r="D105" t="inlineStr">
        <is>
          <t>UPPSALA LÄN</t>
        </is>
      </c>
      <c r="E105" t="inlineStr">
        <is>
          <t>ENKÖPING</t>
        </is>
      </c>
      <c r="G105" t="n">
        <v>0.6</v>
      </c>
      <c r="H105" t="n">
        <v>0</v>
      </c>
      <c r="I105" t="n">
        <v>0</v>
      </c>
      <c r="J105" t="n">
        <v>0</v>
      </c>
      <c r="K105" t="n">
        <v>0</v>
      </c>
      <c r="L105" t="n">
        <v>0</v>
      </c>
      <c r="M105" t="n">
        <v>0</v>
      </c>
      <c r="N105" t="n">
        <v>0</v>
      </c>
      <c r="O105" t="n">
        <v>0</v>
      </c>
      <c r="P105" t="n">
        <v>0</v>
      </c>
      <c r="Q105" t="n">
        <v>0</v>
      </c>
      <c r="R105" s="2" t="inlineStr"/>
    </row>
    <row r="106" ht="15" customHeight="1">
      <c r="A106" t="inlineStr">
        <is>
          <t>A 47106-2021</t>
        </is>
      </c>
      <c r="B106" s="1" t="n">
        <v>44446</v>
      </c>
      <c r="C106" s="1" t="n">
        <v>45880</v>
      </c>
      <c r="D106" t="inlineStr">
        <is>
          <t>UPPSALA LÄN</t>
        </is>
      </c>
      <c r="E106" t="inlineStr">
        <is>
          <t>ENKÖPING</t>
        </is>
      </c>
      <c r="G106" t="n">
        <v>7.6</v>
      </c>
      <c r="H106" t="n">
        <v>0</v>
      </c>
      <c r="I106" t="n">
        <v>0</v>
      </c>
      <c r="J106" t="n">
        <v>0</v>
      </c>
      <c r="K106" t="n">
        <v>0</v>
      </c>
      <c r="L106" t="n">
        <v>0</v>
      </c>
      <c r="M106" t="n">
        <v>0</v>
      </c>
      <c r="N106" t="n">
        <v>0</v>
      </c>
      <c r="O106" t="n">
        <v>0</v>
      </c>
      <c r="P106" t="n">
        <v>0</v>
      </c>
      <c r="Q106" t="n">
        <v>0</v>
      </c>
      <c r="R106" s="2" t="inlineStr"/>
    </row>
    <row r="107" ht="15" customHeight="1">
      <c r="A107" t="inlineStr">
        <is>
          <t>A 59121-2021</t>
        </is>
      </c>
      <c r="B107" s="1" t="n">
        <v>44490</v>
      </c>
      <c r="C107" s="1" t="n">
        <v>45880</v>
      </c>
      <c r="D107" t="inlineStr">
        <is>
          <t>UPPSALA LÄN</t>
        </is>
      </c>
      <c r="E107" t="inlineStr">
        <is>
          <t>ENKÖPING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19731-2022</t>
        </is>
      </c>
      <c r="B108" s="1" t="n">
        <v>44694</v>
      </c>
      <c r="C108" s="1" t="n">
        <v>45880</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68127-2021</t>
        </is>
      </c>
      <c r="B109" s="1" t="n">
        <v>44526.39513888889</v>
      </c>
      <c r="C109" s="1" t="n">
        <v>45880</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24815-2022</t>
        </is>
      </c>
      <c r="B110" s="1" t="n">
        <v>44728</v>
      </c>
      <c r="C110" s="1" t="n">
        <v>45880</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57078-2021</t>
        </is>
      </c>
      <c r="B111" s="1" t="n">
        <v>44482.57855324074</v>
      </c>
      <c r="C111" s="1" t="n">
        <v>45880</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57043-2021</t>
        </is>
      </c>
      <c r="B112" s="1" t="n">
        <v>44482.53399305556</v>
      </c>
      <c r="C112" s="1" t="n">
        <v>45880</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47516-2022</t>
        </is>
      </c>
      <c r="B113" s="1" t="n">
        <v>44853.68895833333</v>
      </c>
      <c r="C113" s="1" t="n">
        <v>45880</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15021-2022</t>
        </is>
      </c>
      <c r="B114" s="1" t="n">
        <v>44657</v>
      </c>
      <c r="C114" s="1" t="n">
        <v>45880</v>
      </c>
      <c r="D114" t="inlineStr">
        <is>
          <t>UPPSALA LÄN</t>
        </is>
      </c>
      <c r="E114" t="inlineStr">
        <is>
          <t>ENKÖPING</t>
        </is>
      </c>
      <c r="G114" t="n">
        <v>1.1</v>
      </c>
      <c r="H114" t="n">
        <v>0</v>
      </c>
      <c r="I114" t="n">
        <v>0</v>
      </c>
      <c r="J114" t="n">
        <v>0</v>
      </c>
      <c r="K114" t="n">
        <v>0</v>
      </c>
      <c r="L114" t="n">
        <v>0</v>
      </c>
      <c r="M114" t="n">
        <v>0</v>
      </c>
      <c r="N114" t="n">
        <v>0</v>
      </c>
      <c r="O114" t="n">
        <v>0</v>
      </c>
      <c r="P114" t="n">
        <v>0</v>
      </c>
      <c r="Q114" t="n">
        <v>0</v>
      </c>
      <c r="R114" s="2" t="inlineStr"/>
    </row>
    <row r="115" ht="15" customHeight="1">
      <c r="A115" t="inlineStr">
        <is>
          <t>A 58798-2020</t>
        </is>
      </c>
      <c r="B115" s="1" t="n">
        <v>44146</v>
      </c>
      <c r="C115" s="1" t="n">
        <v>45880</v>
      </c>
      <c r="D115" t="inlineStr">
        <is>
          <t>UPPSALA LÄN</t>
        </is>
      </c>
      <c r="E115" t="inlineStr">
        <is>
          <t>ENKÖPING</t>
        </is>
      </c>
      <c r="G115" t="n">
        <v>1.8</v>
      </c>
      <c r="H115" t="n">
        <v>0</v>
      </c>
      <c r="I115" t="n">
        <v>0</v>
      </c>
      <c r="J115" t="n">
        <v>0</v>
      </c>
      <c r="K115" t="n">
        <v>0</v>
      </c>
      <c r="L115" t="n">
        <v>0</v>
      </c>
      <c r="M115" t="n">
        <v>0</v>
      </c>
      <c r="N115" t="n">
        <v>0</v>
      </c>
      <c r="O115" t="n">
        <v>0</v>
      </c>
      <c r="P115" t="n">
        <v>0</v>
      </c>
      <c r="Q115" t="n">
        <v>0</v>
      </c>
      <c r="R115" s="2" t="inlineStr"/>
    </row>
    <row r="116" ht="15" customHeight="1">
      <c r="A116" t="inlineStr">
        <is>
          <t>A 57802-2020</t>
        </is>
      </c>
      <c r="B116" s="1" t="n">
        <v>44141</v>
      </c>
      <c r="C116" s="1" t="n">
        <v>45880</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29983-2021</t>
        </is>
      </c>
      <c r="B117" s="1" t="n">
        <v>44363</v>
      </c>
      <c r="C117" s="1" t="n">
        <v>45880</v>
      </c>
      <c r="D117" t="inlineStr">
        <is>
          <t>UPPSALA LÄN</t>
        </is>
      </c>
      <c r="E117" t="inlineStr">
        <is>
          <t>ENKÖPING</t>
        </is>
      </c>
      <c r="F117" t="inlineStr">
        <is>
          <t>Kommuner</t>
        </is>
      </c>
      <c r="G117" t="n">
        <v>3.1</v>
      </c>
      <c r="H117" t="n">
        <v>0</v>
      </c>
      <c r="I117" t="n">
        <v>0</v>
      </c>
      <c r="J117" t="n">
        <v>0</v>
      </c>
      <c r="K117" t="n">
        <v>0</v>
      </c>
      <c r="L117" t="n">
        <v>0</v>
      </c>
      <c r="M117" t="n">
        <v>0</v>
      </c>
      <c r="N117" t="n">
        <v>0</v>
      </c>
      <c r="O117" t="n">
        <v>0</v>
      </c>
      <c r="P117" t="n">
        <v>0</v>
      </c>
      <c r="Q117" t="n">
        <v>0</v>
      </c>
      <c r="R117" s="2" t="inlineStr"/>
    </row>
    <row r="118" ht="15" customHeight="1">
      <c r="A118" t="inlineStr">
        <is>
          <t>A 42021-2021</t>
        </is>
      </c>
      <c r="B118" s="1" t="n">
        <v>44426</v>
      </c>
      <c r="C118" s="1" t="n">
        <v>45880</v>
      </c>
      <c r="D118" t="inlineStr">
        <is>
          <t>UPPSALA LÄN</t>
        </is>
      </c>
      <c r="E118" t="inlineStr">
        <is>
          <t>ENKÖPING</t>
        </is>
      </c>
      <c r="G118" t="n">
        <v>2.2</v>
      </c>
      <c r="H118" t="n">
        <v>0</v>
      </c>
      <c r="I118" t="n">
        <v>0</v>
      </c>
      <c r="J118" t="n">
        <v>0</v>
      </c>
      <c r="K118" t="n">
        <v>0</v>
      </c>
      <c r="L118" t="n">
        <v>0</v>
      </c>
      <c r="M118" t="n">
        <v>0</v>
      </c>
      <c r="N118" t="n">
        <v>0</v>
      </c>
      <c r="O118" t="n">
        <v>0</v>
      </c>
      <c r="P118" t="n">
        <v>0</v>
      </c>
      <c r="Q118" t="n">
        <v>0</v>
      </c>
      <c r="R118" s="2" t="inlineStr"/>
    </row>
    <row r="119" ht="15" customHeight="1">
      <c r="A119" t="inlineStr">
        <is>
          <t>A 52464-2020</t>
        </is>
      </c>
      <c r="B119" s="1" t="n">
        <v>44118</v>
      </c>
      <c r="C119" s="1" t="n">
        <v>45880</v>
      </c>
      <c r="D119" t="inlineStr">
        <is>
          <t>UPPSALA LÄN</t>
        </is>
      </c>
      <c r="E119" t="inlineStr">
        <is>
          <t>ENKÖPING</t>
        </is>
      </c>
      <c r="G119" t="n">
        <v>4.6</v>
      </c>
      <c r="H119" t="n">
        <v>0</v>
      </c>
      <c r="I119" t="n">
        <v>0</v>
      </c>
      <c r="J119" t="n">
        <v>0</v>
      </c>
      <c r="K119" t="n">
        <v>0</v>
      </c>
      <c r="L119" t="n">
        <v>0</v>
      </c>
      <c r="M119" t="n">
        <v>0</v>
      </c>
      <c r="N119" t="n">
        <v>0</v>
      </c>
      <c r="O119" t="n">
        <v>0</v>
      </c>
      <c r="P119" t="n">
        <v>0</v>
      </c>
      <c r="Q119" t="n">
        <v>0</v>
      </c>
      <c r="R119" s="2" t="inlineStr"/>
    </row>
    <row r="120" ht="15" customHeight="1">
      <c r="A120" t="inlineStr">
        <is>
          <t>A 17467-2022</t>
        </is>
      </c>
      <c r="B120" s="1" t="n">
        <v>44679</v>
      </c>
      <c r="C120" s="1" t="n">
        <v>45880</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31013-2022</t>
        </is>
      </c>
      <c r="B121" s="1" t="n">
        <v>44768</v>
      </c>
      <c r="C121" s="1" t="n">
        <v>45880</v>
      </c>
      <c r="D121" t="inlineStr">
        <is>
          <t>UPPSALA LÄN</t>
        </is>
      </c>
      <c r="E121" t="inlineStr">
        <is>
          <t>ENKÖPING</t>
        </is>
      </c>
      <c r="F121" t="inlineStr">
        <is>
          <t>Allmännings- och besparingsskogar</t>
        </is>
      </c>
      <c r="G121" t="n">
        <v>0.5</v>
      </c>
      <c r="H121" t="n">
        <v>0</v>
      </c>
      <c r="I121" t="n">
        <v>0</v>
      </c>
      <c r="J121" t="n">
        <v>0</v>
      </c>
      <c r="K121" t="n">
        <v>0</v>
      </c>
      <c r="L121" t="n">
        <v>0</v>
      </c>
      <c r="M121" t="n">
        <v>0</v>
      </c>
      <c r="N121" t="n">
        <v>0</v>
      </c>
      <c r="O121" t="n">
        <v>0</v>
      </c>
      <c r="P121" t="n">
        <v>0</v>
      </c>
      <c r="Q121" t="n">
        <v>0</v>
      </c>
      <c r="R121" s="2" t="inlineStr"/>
    </row>
    <row r="122" ht="15" customHeight="1">
      <c r="A122" t="inlineStr">
        <is>
          <t>A 46186-2023</t>
        </is>
      </c>
      <c r="B122" s="1" t="n">
        <v>45196</v>
      </c>
      <c r="C122" s="1" t="n">
        <v>45880</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15162-2025</t>
        </is>
      </c>
      <c r="B123" s="1" t="n">
        <v>45744</v>
      </c>
      <c r="C123" s="1" t="n">
        <v>45880</v>
      </c>
      <c r="D123" t="inlineStr">
        <is>
          <t>UPPSALA LÄN</t>
        </is>
      </c>
      <c r="E123" t="inlineStr">
        <is>
          <t>ENKÖPING</t>
        </is>
      </c>
      <c r="G123" t="n">
        <v>4.2</v>
      </c>
      <c r="H123" t="n">
        <v>0</v>
      </c>
      <c r="I123" t="n">
        <v>0</v>
      </c>
      <c r="J123" t="n">
        <v>0</v>
      </c>
      <c r="K123" t="n">
        <v>0</v>
      </c>
      <c r="L123" t="n">
        <v>0</v>
      </c>
      <c r="M123" t="n">
        <v>0</v>
      </c>
      <c r="N123" t="n">
        <v>0</v>
      </c>
      <c r="O123" t="n">
        <v>0</v>
      </c>
      <c r="P123" t="n">
        <v>0</v>
      </c>
      <c r="Q123" t="n">
        <v>0</v>
      </c>
      <c r="R123" s="2" t="inlineStr"/>
    </row>
    <row r="124" ht="15" customHeight="1">
      <c r="A124" t="inlineStr">
        <is>
          <t>A 60533-2021</t>
        </is>
      </c>
      <c r="B124" s="1" t="n">
        <v>44496</v>
      </c>
      <c r="C124" s="1" t="n">
        <v>45880</v>
      </c>
      <c r="D124" t="inlineStr">
        <is>
          <t>UPPSALA LÄN</t>
        </is>
      </c>
      <c r="E124" t="inlineStr">
        <is>
          <t>ENKÖPING</t>
        </is>
      </c>
      <c r="G124" t="n">
        <v>2.2</v>
      </c>
      <c r="H124" t="n">
        <v>0</v>
      </c>
      <c r="I124" t="n">
        <v>0</v>
      </c>
      <c r="J124" t="n">
        <v>0</v>
      </c>
      <c r="K124" t="n">
        <v>0</v>
      </c>
      <c r="L124" t="n">
        <v>0</v>
      </c>
      <c r="M124" t="n">
        <v>0</v>
      </c>
      <c r="N124" t="n">
        <v>0</v>
      </c>
      <c r="O124" t="n">
        <v>0</v>
      </c>
      <c r="P124" t="n">
        <v>0</v>
      </c>
      <c r="Q124" t="n">
        <v>0</v>
      </c>
      <c r="R124" s="2" t="inlineStr"/>
    </row>
    <row r="125" ht="15" customHeight="1">
      <c r="A125" t="inlineStr">
        <is>
          <t>A 15757-2023</t>
        </is>
      </c>
      <c r="B125" s="1" t="n">
        <v>45021</v>
      </c>
      <c r="C125" s="1" t="n">
        <v>45880</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43230-2023</t>
        </is>
      </c>
      <c r="B126" s="1" t="n">
        <v>45183</v>
      </c>
      <c r="C126" s="1" t="n">
        <v>45880</v>
      </c>
      <c r="D126" t="inlineStr">
        <is>
          <t>UPPSALA LÄN</t>
        </is>
      </c>
      <c r="E126" t="inlineStr">
        <is>
          <t>ENKÖPING</t>
        </is>
      </c>
      <c r="G126" t="n">
        <v>2.1</v>
      </c>
      <c r="H126" t="n">
        <v>0</v>
      </c>
      <c r="I126" t="n">
        <v>0</v>
      </c>
      <c r="J126" t="n">
        <v>0</v>
      </c>
      <c r="K126" t="n">
        <v>0</v>
      </c>
      <c r="L126" t="n">
        <v>0</v>
      </c>
      <c r="M126" t="n">
        <v>0</v>
      </c>
      <c r="N126" t="n">
        <v>0</v>
      </c>
      <c r="O126" t="n">
        <v>0</v>
      </c>
      <c r="P126" t="n">
        <v>0</v>
      </c>
      <c r="Q126" t="n">
        <v>0</v>
      </c>
      <c r="R126" s="2" t="inlineStr"/>
    </row>
    <row r="127" ht="15" customHeight="1">
      <c r="A127" t="inlineStr">
        <is>
          <t>A 42029-2021</t>
        </is>
      </c>
      <c r="B127" s="1" t="n">
        <v>44426</v>
      </c>
      <c r="C127" s="1" t="n">
        <v>45880</v>
      </c>
      <c r="D127" t="inlineStr">
        <is>
          <t>UPPSALA LÄN</t>
        </is>
      </c>
      <c r="E127" t="inlineStr">
        <is>
          <t>ENKÖPING</t>
        </is>
      </c>
      <c r="G127" t="n">
        <v>5.3</v>
      </c>
      <c r="H127" t="n">
        <v>0</v>
      </c>
      <c r="I127" t="n">
        <v>0</v>
      </c>
      <c r="J127" t="n">
        <v>0</v>
      </c>
      <c r="K127" t="n">
        <v>0</v>
      </c>
      <c r="L127" t="n">
        <v>0</v>
      </c>
      <c r="M127" t="n">
        <v>0</v>
      </c>
      <c r="N127" t="n">
        <v>0</v>
      </c>
      <c r="O127" t="n">
        <v>0</v>
      </c>
      <c r="P127" t="n">
        <v>0</v>
      </c>
      <c r="Q127" t="n">
        <v>0</v>
      </c>
      <c r="R127" s="2" t="inlineStr"/>
    </row>
    <row r="128" ht="15" customHeight="1">
      <c r="A128" t="inlineStr">
        <is>
          <t>A 56886-2023</t>
        </is>
      </c>
      <c r="B128" s="1" t="n">
        <v>45239</v>
      </c>
      <c r="C128" s="1" t="n">
        <v>45880</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31965-2021</t>
        </is>
      </c>
      <c r="B129" s="1" t="n">
        <v>44370.56901620371</v>
      </c>
      <c r="C129" s="1" t="n">
        <v>45880</v>
      </c>
      <c r="D129" t="inlineStr">
        <is>
          <t>UPPSALA LÄN</t>
        </is>
      </c>
      <c r="E129" t="inlineStr">
        <is>
          <t>ENKÖPING</t>
        </is>
      </c>
      <c r="G129" t="n">
        <v>0.9</v>
      </c>
      <c r="H129" t="n">
        <v>0</v>
      </c>
      <c r="I129" t="n">
        <v>0</v>
      </c>
      <c r="J129" t="n">
        <v>0</v>
      </c>
      <c r="K129" t="n">
        <v>0</v>
      </c>
      <c r="L129" t="n">
        <v>0</v>
      </c>
      <c r="M129" t="n">
        <v>0</v>
      </c>
      <c r="N129" t="n">
        <v>0</v>
      </c>
      <c r="O129" t="n">
        <v>0</v>
      </c>
      <c r="P129" t="n">
        <v>0</v>
      </c>
      <c r="Q129" t="n">
        <v>0</v>
      </c>
      <c r="R129" s="2" t="inlineStr"/>
    </row>
    <row r="130" ht="15" customHeight="1">
      <c r="A130" t="inlineStr">
        <is>
          <t>A 18299-2025</t>
        </is>
      </c>
      <c r="B130" s="1" t="n">
        <v>45762</v>
      </c>
      <c r="C130" s="1" t="n">
        <v>45880</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10468-2025</t>
        </is>
      </c>
      <c r="B131" s="1" t="n">
        <v>45720</v>
      </c>
      <c r="C131" s="1" t="n">
        <v>45880</v>
      </c>
      <c r="D131" t="inlineStr">
        <is>
          <t>UPPSALA LÄN</t>
        </is>
      </c>
      <c r="E131" t="inlineStr">
        <is>
          <t>ENKÖPING</t>
        </is>
      </c>
      <c r="G131" t="n">
        <v>1.6</v>
      </c>
      <c r="H131" t="n">
        <v>0</v>
      </c>
      <c r="I131" t="n">
        <v>0</v>
      </c>
      <c r="J131" t="n">
        <v>0</v>
      </c>
      <c r="K131" t="n">
        <v>0</v>
      </c>
      <c r="L131" t="n">
        <v>0</v>
      </c>
      <c r="M131" t="n">
        <v>0</v>
      </c>
      <c r="N131" t="n">
        <v>0</v>
      </c>
      <c r="O131" t="n">
        <v>0</v>
      </c>
      <c r="P131" t="n">
        <v>0</v>
      </c>
      <c r="Q131" t="n">
        <v>0</v>
      </c>
      <c r="R131" s="2" t="inlineStr"/>
    </row>
    <row r="132" ht="15" customHeight="1">
      <c r="A132" t="inlineStr">
        <is>
          <t>A 51011-2024</t>
        </is>
      </c>
      <c r="B132" s="1" t="n">
        <v>45603.39427083333</v>
      </c>
      <c r="C132" s="1" t="n">
        <v>45880</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6242-2025</t>
        </is>
      </c>
      <c r="B133" s="1" t="n">
        <v>45697</v>
      </c>
      <c r="C133" s="1" t="n">
        <v>45880</v>
      </c>
      <c r="D133" t="inlineStr">
        <is>
          <t>UPPSALA LÄN</t>
        </is>
      </c>
      <c r="E133" t="inlineStr">
        <is>
          <t>ENKÖPING</t>
        </is>
      </c>
      <c r="G133" t="n">
        <v>17.9</v>
      </c>
      <c r="H133" t="n">
        <v>0</v>
      </c>
      <c r="I133" t="n">
        <v>0</v>
      </c>
      <c r="J133" t="n">
        <v>0</v>
      </c>
      <c r="K133" t="n">
        <v>0</v>
      </c>
      <c r="L133" t="n">
        <v>0</v>
      </c>
      <c r="M133" t="n">
        <v>0</v>
      </c>
      <c r="N133" t="n">
        <v>0</v>
      </c>
      <c r="O133" t="n">
        <v>0</v>
      </c>
      <c r="P133" t="n">
        <v>0</v>
      </c>
      <c r="Q133" t="n">
        <v>0</v>
      </c>
      <c r="R133" s="2" t="inlineStr"/>
    </row>
    <row r="134" ht="15" customHeight="1">
      <c r="A134" t="inlineStr">
        <is>
          <t>A 43488-2023</t>
        </is>
      </c>
      <c r="B134" s="1" t="n">
        <v>45181</v>
      </c>
      <c r="C134" s="1" t="n">
        <v>45880</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12755-2025</t>
        </is>
      </c>
      <c r="B135" s="1" t="n">
        <v>45733.56541666666</v>
      </c>
      <c r="C135" s="1" t="n">
        <v>45880</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6144-2024</t>
        </is>
      </c>
      <c r="B136" s="1" t="n">
        <v>45337.4684837963</v>
      </c>
      <c r="C136" s="1" t="n">
        <v>45880</v>
      </c>
      <c r="D136" t="inlineStr">
        <is>
          <t>UPPSALA LÄN</t>
        </is>
      </c>
      <c r="E136" t="inlineStr">
        <is>
          <t>ENKÖPING</t>
        </is>
      </c>
      <c r="G136" t="n">
        <v>13.8</v>
      </c>
      <c r="H136" t="n">
        <v>0</v>
      </c>
      <c r="I136" t="n">
        <v>0</v>
      </c>
      <c r="J136" t="n">
        <v>0</v>
      </c>
      <c r="K136" t="n">
        <v>0</v>
      </c>
      <c r="L136" t="n">
        <v>0</v>
      </c>
      <c r="M136" t="n">
        <v>0</v>
      </c>
      <c r="N136" t="n">
        <v>0</v>
      </c>
      <c r="O136" t="n">
        <v>0</v>
      </c>
      <c r="P136" t="n">
        <v>0</v>
      </c>
      <c r="Q136" t="n">
        <v>0</v>
      </c>
      <c r="R136" s="2" t="inlineStr"/>
    </row>
    <row r="137" ht="15" customHeight="1">
      <c r="A137" t="inlineStr">
        <is>
          <t>A 67984-2021</t>
        </is>
      </c>
      <c r="B137" s="1" t="n">
        <v>44525.70237268518</v>
      </c>
      <c r="C137" s="1" t="n">
        <v>45880</v>
      </c>
      <c r="D137" t="inlineStr">
        <is>
          <t>UPPSALA LÄN</t>
        </is>
      </c>
      <c r="E137" t="inlineStr">
        <is>
          <t>ENKÖPING</t>
        </is>
      </c>
      <c r="G137" t="n">
        <v>1.4</v>
      </c>
      <c r="H137" t="n">
        <v>0</v>
      </c>
      <c r="I137" t="n">
        <v>0</v>
      </c>
      <c r="J137" t="n">
        <v>0</v>
      </c>
      <c r="K137" t="n">
        <v>0</v>
      </c>
      <c r="L137" t="n">
        <v>0</v>
      </c>
      <c r="M137" t="n">
        <v>0</v>
      </c>
      <c r="N137" t="n">
        <v>0</v>
      </c>
      <c r="O137" t="n">
        <v>0</v>
      </c>
      <c r="P137" t="n">
        <v>0</v>
      </c>
      <c r="Q137" t="n">
        <v>0</v>
      </c>
      <c r="R137" s="2" t="inlineStr"/>
    </row>
    <row r="138" ht="15" customHeight="1">
      <c r="A138" t="inlineStr">
        <is>
          <t>A 4044-2024</t>
        </is>
      </c>
      <c r="B138" s="1" t="n">
        <v>45323.45954861111</v>
      </c>
      <c r="C138" s="1" t="n">
        <v>45880</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46593-2020</t>
        </is>
      </c>
      <c r="B139" s="1" t="n">
        <v>44095</v>
      </c>
      <c r="C139" s="1" t="n">
        <v>45880</v>
      </c>
      <c r="D139" t="inlineStr">
        <is>
          <t>UPPSALA LÄN</t>
        </is>
      </c>
      <c r="E139" t="inlineStr">
        <is>
          <t>ENKÖPING</t>
        </is>
      </c>
      <c r="G139" t="n">
        <v>1.1</v>
      </c>
      <c r="H139" t="n">
        <v>0</v>
      </c>
      <c r="I139" t="n">
        <v>0</v>
      </c>
      <c r="J139" t="n">
        <v>0</v>
      </c>
      <c r="K139" t="n">
        <v>0</v>
      </c>
      <c r="L139" t="n">
        <v>0</v>
      </c>
      <c r="M139" t="n">
        <v>0</v>
      </c>
      <c r="N139" t="n">
        <v>0</v>
      </c>
      <c r="O139" t="n">
        <v>0</v>
      </c>
      <c r="P139" t="n">
        <v>0</v>
      </c>
      <c r="Q139" t="n">
        <v>0</v>
      </c>
      <c r="R139" s="2" t="inlineStr"/>
    </row>
    <row r="140" ht="15" customHeight="1">
      <c r="A140" t="inlineStr">
        <is>
          <t>A 5211-2024</t>
        </is>
      </c>
      <c r="B140" s="1" t="n">
        <v>45330</v>
      </c>
      <c r="C140" s="1" t="n">
        <v>45880</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12102-2024</t>
        </is>
      </c>
      <c r="B141" s="1" t="n">
        <v>45377</v>
      </c>
      <c r="C141" s="1" t="n">
        <v>45880</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46103-2023</t>
        </is>
      </c>
      <c r="B142" s="1" t="n">
        <v>45190</v>
      </c>
      <c r="C142" s="1" t="n">
        <v>45880</v>
      </c>
      <c r="D142" t="inlineStr">
        <is>
          <t>UPPSALA LÄN</t>
        </is>
      </c>
      <c r="E142" t="inlineStr">
        <is>
          <t>ENKÖPING</t>
        </is>
      </c>
      <c r="G142" t="n">
        <v>4.6</v>
      </c>
      <c r="H142" t="n">
        <v>0</v>
      </c>
      <c r="I142" t="n">
        <v>0</v>
      </c>
      <c r="J142" t="n">
        <v>0</v>
      </c>
      <c r="K142" t="n">
        <v>0</v>
      </c>
      <c r="L142" t="n">
        <v>0</v>
      </c>
      <c r="M142" t="n">
        <v>0</v>
      </c>
      <c r="N142" t="n">
        <v>0</v>
      </c>
      <c r="O142" t="n">
        <v>0</v>
      </c>
      <c r="P142" t="n">
        <v>0</v>
      </c>
      <c r="Q142" t="n">
        <v>0</v>
      </c>
      <c r="R142" s="2" t="inlineStr"/>
    </row>
    <row r="143" ht="15" customHeight="1">
      <c r="A143" t="inlineStr">
        <is>
          <t>A 18592-2021</t>
        </is>
      </c>
      <c r="B143" s="1" t="n">
        <v>44306</v>
      </c>
      <c r="C143" s="1" t="n">
        <v>45880</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11918-2025</t>
        </is>
      </c>
      <c r="B144" s="1" t="n">
        <v>45728.49331018519</v>
      </c>
      <c r="C144" s="1" t="n">
        <v>45880</v>
      </c>
      <c r="D144" t="inlineStr">
        <is>
          <t>UPPSALA LÄN</t>
        </is>
      </c>
      <c r="E144" t="inlineStr">
        <is>
          <t>ENKÖPING</t>
        </is>
      </c>
      <c r="G144" t="n">
        <v>1.2</v>
      </c>
      <c r="H144" t="n">
        <v>0</v>
      </c>
      <c r="I144" t="n">
        <v>0</v>
      </c>
      <c r="J144" t="n">
        <v>0</v>
      </c>
      <c r="K144" t="n">
        <v>0</v>
      </c>
      <c r="L144" t="n">
        <v>0</v>
      </c>
      <c r="M144" t="n">
        <v>0</v>
      </c>
      <c r="N144" t="n">
        <v>0</v>
      </c>
      <c r="O144" t="n">
        <v>0</v>
      </c>
      <c r="P144" t="n">
        <v>0</v>
      </c>
      <c r="Q144" t="n">
        <v>0</v>
      </c>
      <c r="R144" s="2" t="inlineStr"/>
    </row>
    <row r="145" ht="15" customHeight="1">
      <c r="A145" t="inlineStr">
        <is>
          <t>A 58961-2024</t>
        </is>
      </c>
      <c r="B145" s="1" t="n">
        <v>45636.585</v>
      </c>
      <c r="C145" s="1" t="n">
        <v>45880</v>
      </c>
      <c r="D145" t="inlineStr">
        <is>
          <t>UPPSALA LÄN</t>
        </is>
      </c>
      <c r="E145" t="inlineStr">
        <is>
          <t>ENKÖPING</t>
        </is>
      </c>
      <c r="G145" t="n">
        <v>4</v>
      </c>
      <c r="H145" t="n">
        <v>0</v>
      </c>
      <c r="I145" t="n">
        <v>0</v>
      </c>
      <c r="J145" t="n">
        <v>0</v>
      </c>
      <c r="K145" t="n">
        <v>0</v>
      </c>
      <c r="L145" t="n">
        <v>0</v>
      </c>
      <c r="M145" t="n">
        <v>0</v>
      </c>
      <c r="N145" t="n">
        <v>0</v>
      </c>
      <c r="O145" t="n">
        <v>0</v>
      </c>
      <c r="P145" t="n">
        <v>0</v>
      </c>
      <c r="Q145" t="n">
        <v>0</v>
      </c>
      <c r="R145" s="2" t="inlineStr"/>
    </row>
    <row r="146" ht="15" customHeight="1">
      <c r="A146" t="inlineStr">
        <is>
          <t>A 45283-2022</t>
        </is>
      </c>
      <c r="B146" s="1" t="n">
        <v>44844</v>
      </c>
      <c r="C146" s="1" t="n">
        <v>45880</v>
      </c>
      <c r="D146" t="inlineStr">
        <is>
          <t>UPPSALA LÄN</t>
        </is>
      </c>
      <c r="E146" t="inlineStr">
        <is>
          <t>ENKÖPING</t>
        </is>
      </c>
      <c r="G146" t="n">
        <v>5.9</v>
      </c>
      <c r="H146" t="n">
        <v>0</v>
      </c>
      <c r="I146" t="n">
        <v>0</v>
      </c>
      <c r="J146" t="n">
        <v>0</v>
      </c>
      <c r="K146" t="n">
        <v>0</v>
      </c>
      <c r="L146" t="n">
        <v>0</v>
      </c>
      <c r="M146" t="n">
        <v>0</v>
      </c>
      <c r="N146" t="n">
        <v>0</v>
      </c>
      <c r="O146" t="n">
        <v>0</v>
      </c>
      <c r="P146" t="n">
        <v>0</v>
      </c>
      <c r="Q146" t="n">
        <v>0</v>
      </c>
      <c r="R146" s="2" t="inlineStr"/>
    </row>
    <row r="147" ht="15" customHeight="1">
      <c r="A147" t="inlineStr">
        <is>
          <t>A 845-2025</t>
        </is>
      </c>
      <c r="B147" s="1" t="n">
        <v>45665</v>
      </c>
      <c r="C147" s="1" t="n">
        <v>45880</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849-2025</t>
        </is>
      </c>
      <c r="B148" s="1" t="n">
        <v>45665</v>
      </c>
      <c r="C148" s="1" t="n">
        <v>45880</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52169-2020</t>
        </is>
      </c>
      <c r="B149" s="1" t="n">
        <v>44117</v>
      </c>
      <c r="C149" s="1" t="n">
        <v>45880</v>
      </c>
      <c r="D149" t="inlineStr">
        <is>
          <t>UPPSALA LÄN</t>
        </is>
      </c>
      <c r="E149" t="inlineStr">
        <is>
          <t>ENKÖPING</t>
        </is>
      </c>
      <c r="F149" t="inlineStr">
        <is>
          <t>Allmännings- och besparingsskogar</t>
        </is>
      </c>
      <c r="G149" t="n">
        <v>1.5</v>
      </c>
      <c r="H149" t="n">
        <v>0</v>
      </c>
      <c r="I149" t="n">
        <v>0</v>
      </c>
      <c r="J149" t="n">
        <v>0</v>
      </c>
      <c r="K149" t="n">
        <v>0</v>
      </c>
      <c r="L149" t="n">
        <v>0</v>
      </c>
      <c r="M149" t="n">
        <v>0</v>
      </c>
      <c r="N149" t="n">
        <v>0</v>
      </c>
      <c r="O149" t="n">
        <v>0</v>
      </c>
      <c r="P149" t="n">
        <v>0</v>
      </c>
      <c r="Q149" t="n">
        <v>0</v>
      </c>
      <c r="R149" s="2" t="inlineStr"/>
    </row>
    <row r="150" ht="15" customHeight="1">
      <c r="A150" t="inlineStr">
        <is>
          <t>A 25333-2023</t>
        </is>
      </c>
      <c r="B150" s="1" t="n">
        <v>45083</v>
      </c>
      <c r="C150" s="1" t="n">
        <v>45880</v>
      </c>
      <c r="D150" t="inlineStr">
        <is>
          <t>UPPSALA LÄN</t>
        </is>
      </c>
      <c r="E150" t="inlineStr">
        <is>
          <t>ENKÖPING</t>
        </is>
      </c>
      <c r="G150" t="n">
        <v>2.7</v>
      </c>
      <c r="H150" t="n">
        <v>0</v>
      </c>
      <c r="I150" t="n">
        <v>0</v>
      </c>
      <c r="J150" t="n">
        <v>0</v>
      </c>
      <c r="K150" t="n">
        <v>0</v>
      </c>
      <c r="L150" t="n">
        <v>0</v>
      </c>
      <c r="M150" t="n">
        <v>0</v>
      </c>
      <c r="N150" t="n">
        <v>0</v>
      </c>
      <c r="O150" t="n">
        <v>0</v>
      </c>
      <c r="P150" t="n">
        <v>0</v>
      </c>
      <c r="Q150" t="n">
        <v>0</v>
      </c>
      <c r="R150" s="2" t="inlineStr"/>
    </row>
    <row r="151" ht="15" customHeight="1">
      <c r="A151" t="inlineStr">
        <is>
          <t>A 50747-2022</t>
        </is>
      </c>
      <c r="B151" s="1" t="n">
        <v>44867.40162037037</v>
      </c>
      <c r="C151" s="1" t="n">
        <v>45880</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43896-2022</t>
        </is>
      </c>
      <c r="B152" s="1" t="n">
        <v>44838</v>
      </c>
      <c r="C152" s="1" t="n">
        <v>45880</v>
      </c>
      <c r="D152" t="inlineStr">
        <is>
          <t>UPPSALA LÄN</t>
        </is>
      </c>
      <c r="E152" t="inlineStr">
        <is>
          <t>ENKÖPING</t>
        </is>
      </c>
      <c r="G152" t="n">
        <v>5.3</v>
      </c>
      <c r="H152" t="n">
        <v>0</v>
      </c>
      <c r="I152" t="n">
        <v>0</v>
      </c>
      <c r="J152" t="n">
        <v>0</v>
      </c>
      <c r="K152" t="n">
        <v>0</v>
      </c>
      <c r="L152" t="n">
        <v>0</v>
      </c>
      <c r="M152" t="n">
        <v>0</v>
      </c>
      <c r="N152" t="n">
        <v>0</v>
      </c>
      <c r="O152" t="n">
        <v>0</v>
      </c>
      <c r="P152" t="n">
        <v>0</v>
      </c>
      <c r="Q152" t="n">
        <v>0</v>
      </c>
      <c r="R152" s="2" t="inlineStr"/>
    </row>
    <row r="153" ht="15" customHeight="1">
      <c r="A153" t="inlineStr">
        <is>
          <t>A 57152-2021</t>
        </is>
      </c>
      <c r="B153" s="1" t="n">
        <v>44482</v>
      </c>
      <c r="C153" s="1" t="n">
        <v>45880</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17038-2025</t>
        </is>
      </c>
      <c r="B154" s="1" t="n">
        <v>45755.57776620371</v>
      </c>
      <c r="C154" s="1" t="n">
        <v>45880</v>
      </c>
      <c r="D154" t="inlineStr">
        <is>
          <t>UPPSALA LÄN</t>
        </is>
      </c>
      <c r="E154" t="inlineStr">
        <is>
          <t>ENKÖPING</t>
        </is>
      </c>
      <c r="G154" t="n">
        <v>4.8</v>
      </c>
      <c r="H154" t="n">
        <v>0</v>
      </c>
      <c r="I154" t="n">
        <v>0</v>
      </c>
      <c r="J154" t="n">
        <v>0</v>
      </c>
      <c r="K154" t="n">
        <v>0</v>
      </c>
      <c r="L154" t="n">
        <v>0</v>
      </c>
      <c r="M154" t="n">
        <v>0</v>
      </c>
      <c r="N154" t="n">
        <v>0</v>
      </c>
      <c r="O154" t="n">
        <v>0</v>
      </c>
      <c r="P154" t="n">
        <v>0</v>
      </c>
      <c r="Q154" t="n">
        <v>0</v>
      </c>
      <c r="R154" s="2" t="inlineStr"/>
    </row>
    <row r="155" ht="15" customHeight="1">
      <c r="A155" t="inlineStr">
        <is>
          <t>A 20440-2025</t>
        </is>
      </c>
      <c r="B155" s="1" t="n">
        <v>45775</v>
      </c>
      <c r="C155" s="1" t="n">
        <v>45880</v>
      </c>
      <c r="D155" t="inlineStr">
        <is>
          <t>UPPSALA LÄN</t>
        </is>
      </c>
      <c r="E155" t="inlineStr">
        <is>
          <t>ENKÖPING</t>
        </is>
      </c>
      <c r="G155" t="n">
        <v>1.6</v>
      </c>
      <c r="H155" t="n">
        <v>0</v>
      </c>
      <c r="I155" t="n">
        <v>0</v>
      </c>
      <c r="J155" t="n">
        <v>0</v>
      </c>
      <c r="K155" t="n">
        <v>0</v>
      </c>
      <c r="L155" t="n">
        <v>0</v>
      </c>
      <c r="M155" t="n">
        <v>0</v>
      </c>
      <c r="N155" t="n">
        <v>0</v>
      </c>
      <c r="O155" t="n">
        <v>0</v>
      </c>
      <c r="P155" t="n">
        <v>0</v>
      </c>
      <c r="Q155" t="n">
        <v>0</v>
      </c>
      <c r="R155" s="2" t="inlineStr"/>
    </row>
    <row r="156" ht="15" customHeight="1">
      <c r="A156" t="inlineStr">
        <is>
          <t>A 30437-2022</t>
        </is>
      </c>
      <c r="B156" s="1" t="n">
        <v>44761</v>
      </c>
      <c r="C156" s="1" t="n">
        <v>45880</v>
      </c>
      <c r="D156" t="inlineStr">
        <is>
          <t>UPPSALA LÄN</t>
        </is>
      </c>
      <c r="E156" t="inlineStr">
        <is>
          <t>ENKÖPING</t>
        </is>
      </c>
      <c r="G156" t="n">
        <v>3.4</v>
      </c>
      <c r="H156" t="n">
        <v>0</v>
      </c>
      <c r="I156" t="n">
        <v>0</v>
      </c>
      <c r="J156" t="n">
        <v>0</v>
      </c>
      <c r="K156" t="n">
        <v>0</v>
      </c>
      <c r="L156" t="n">
        <v>0</v>
      </c>
      <c r="M156" t="n">
        <v>0</v>
      </c>
      <c r="N156" t="n">
        <v>0</v>
      </c>
      <c r="O156" t="n">
        <v>0</v>
      </c>
      <c r="P156" t="n">
        <v>0</v>
      </c>
      <c r="Q156" t="n">
        <v>0</v>
      </c>
      <c r="R156" s="2" t="inlineStr"/>
    </row>
    <row r="157" ht="15" customHeight="1">
      <c r="A157" t="inlineStr">
        <is>
          <t>A 18038-2025</t>
        </is>
      </c>
      <c r="B157" s="1" t="n">
        <v>45761</v>
      </c>
      <c r="C157" s="1" t="n">
        <v>45880</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12572-2021</t>
        </is>
      </c>
      <c r="B158" s="1" t="n">
        <v>44270.36438657407</v>
      </c>
      <c r="C158" s="1" t="n">
        <v>45880</v>
      </c>
      <c r="D158" t="inlineStr">
        <is>
          <t>UPPSALA LÄN</t>
        </is>
      </c>
      <c r="E158" t="inlineStr">
        <is>
          <t>ENKÖPING</t>
        </is>
      </c>
      <c r="G158" t="n">
        <v>3.3</v>
      </c>
      <c r="H158" t="n">
        <v>0</v>
      </c>
      <c r="I158" t="n">
        <v>0</v>
      </c>
      <c r="J158" t="n">
        <v>0</v>
      </c>
      <c r="K158" t="n">
        <v>0</v>
      </c>
      <c r="L158" t="n">
        <v>0</v>
      </c>
      <c r="M158" t="n">
        <v>0</v>
      </c>
      <c r="N158" t="n">
        <v>0</v>
      </c>
      <c r="O158" t="n">
        <v>0</v>
      </c>
      <c r="P158" t="n">
        <v>0</v>
      </c>
      <c r="Q158" t="n">
        <v>0</v>
      </c>
      <c r="R158" s="2" t="inlineStr"/>
    </row>
    <row r="159" ht="15" customHeight="1">
      <c r="A159" t="inlineStr">
        <is>
          <t>A 58147-2024</t>
        </is>
      </c>
      <c r="B159" s="1" t="n">
        <v>45632.4334375</v>
      </c>
      <c r="C159" s="1" t="n">
        <v>45880</v>
      </c>
      <c r="D159" t="inlineStr">
        <is>
          <t>UPPSALA LÄN</t>
        </is>
      </c>
      <c r="E159" t="inlineStr">
        <is>
          <t>ENKÖPING</t>
        </is>
      </c>
      <c r="G159" t="n">
        <v>3</v>
      </c>
      <c r="H159" t="n">
        <v>0</v>
      </c>
      <c r="I159" t="n">
        <v>0</v>
      </c>
      <c r="J159" t="n">
        <v>0</v>
      </c>
      <c r="K159" t="n">
        <v>0</v>
      </c>
      <c r="L159" t="n">
        <v>0</v>
      </c>
      <c r="M159" t="n">
        <v>0</v>
      </c>
      <c r="N159" t="n">
        <v>0</v>
      </c>
      <c r="O159" t="n">
        <v>0</v>
      </c>
      <c r="P159" t="n">
        <v>0</v>
      </c>
      <c r="Q159" t="n">
        <v>0</v>
      </c>
      <c r="R159" s="2" t="inlineStr"/>
    </row>
    <row r="160" ht="15" customHeight="1">
      <c r="A160" t="inlineStr">
        <is>
          <t>A 41737-2022</t>
        </is>
      </c>
      <c r="B160" s="1" t="n">
        <v>44827.63826388889</v>
      </c>
      <c r="C160" s="1" t="n">
        <v>45880</v>
      </c>
      <c r="D160" t="inlineStr">
        <is>
          <t>UPPSALA LÄN</t>
        </is>
      </c>
      <c r="E160" t="inlineStr">
        <is>
          <t>ENKÖPING</t>
        </is>
      </c>
      <c r="G160" t="n">
        <v>1.5</v>
      </c>
      <c r="H160" t="n">
        <v>0</v>
      </c>
      <c r="I160" t="n">
        <v>0</v>
      </c>
      <c r="J160" t="n">
        <v>0</v>
      </c>
      <c r="K160" t="n">
        <v>0</v>
      </c>
      <c r="L160" t="n">
        <v>0</v>
      </c>
      <c r="M160" t="n">
        <v>0</v>
      </c>
      <c r="N160" t="n">
        <v>0</v>
      </c>
      <c r="O160" t="n">
        <v>0</v>
      </c>
      <c r="P160" t="n">
        <v>0</v>
      </c>
      <c r="Q160" t="n">
        <v>0</v>
      </c>
      <c r="R160" s="2" t="inlineStr"/>
    </row>
    <row r="161" ht="15" customHeight="1">
      <c r="A161" t="inlineStr">
        <is>
          <t>A 20112-2024</t>
        </is>
      </c>
      <c r="B161" s="1" t="n">
        <v>45434</v>
      </c>
      <c r="C161" s="1" t="n">
        <v>45880</v>
      </c>
      <c r="D161" t="inlineStr">
        <is>
          <t>UPPSALA LÄN</t>
        </is>
      </c>
      <c r="E161" t="inlineStr">
        <is>
          <t>ENKÖPING</t>
        </is>
      </c>
      <c r="G161" t="n">
        <v>1.8</v>
      </c>
      <c r="H161" t="n">
        <v>0</v>
      </c>
      <c r="I161" t="n">
        <v>0</v>
      </c>
      <c r="J161" t="n">
        <v>0</v>
      </c>
      <c r="K161" t="n">
        <v>0</v>
      </c>
      <c r="L161" t="n">
        <v>0</v>
      </c>
      <c r="M161" t="n">
        <v>0</v>
      </c>
      <c r="N161" t="n">
        <v>0</v>
      </c>
      <c r="O161" t="n">
        <v>0</v>
      </c>
      <c r="P161" t="n">
        <v>0</v>
      </c>
      <c r="Q161" t="n">
        <v>0</v>
      </c>
      <c r="R161" s="2" t="inlineStr"/>
    </row>
    <row r="162" ht="15" customHeight="1">
      <c r="A162" t="inlineStr">
        <is>
          <t>A 54595-2021</t>
        </is>
      </c>
      <c r="B162" s="1" t="n">
        <v>44473.58824074074</v>
      </c>
      <c r="C162" s="1" t="n">
        <v>45880</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22094-2023</t>
        </is>
      </c>
      <c r="B163" s="1" t="n">
        <v>45069</v>
      </c>
      <c r="C163" s="1" t="n">
        <v>45880</v>
      </c>
      <c r="D163" t="inlineStr">
        <is>
          <t>UPPSALA LÄN</t>
        </is>
      </c>
      <c r="E163" t="inlineStr">
        <is>
          <t>ENKÖPING</t>
        </is>
      </c>
      <c r="G163" t="n">
        <v>2.1</v>
      </c>
      <c r="H163" t="n">
        <v>0</v>
      </c>
      <c r="I163" t="n">
        <v>0</v>
      </c>
      <c r="J163" t="n">
        <v>0</v>
      </c>
      <c r="K163" t="n">
        <v>0</v>
      </c>
      <c r="L163" t="n">
        <v>0</v>
      </c>
      <c r="M163" t="n">
        <v>0</v>
      </c>
      <c r="N163" t="n">
        <v>0</v>
      </c>
      <c r="O163" t="n">
        <v>0</v>
      </c>
      <c r="P163" t="n">
        <v>0</v>
      </c>
      <c r="Q163" t="n">
        <v>0</v>
      </c>
      <c r="R163" s="2" t="inlineStr"/>
    </row>
    <row r="164" ht="15" customHeight="1">
      <c r="A164" t="inlineStr">
        <is>
          <t>A 18302-2025</t>
        </is>
      </c>
      <c r="B164" s="1" t="n">
        <v>45762</v>
      </c>
      <c r="C164" s="1" t="n">
        <v>45880</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34735-2023</t>
        </is>
      </c>
      <c r="B165" s="1" t="n">
        <v>45139</v>
      </c>
      <c r="C165" s="1" t="n">
        <v>45880</v>
      </c>
      <c r="D165" t="inlineStr">
        <is>
          <t>UPPSALA LÄN</t>
        </is>
      </c>
      <c r="E165" t="inlineStr">
        <is>
          <t>ENKÖPING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30514-2021</t>
        </is>
      </c>
      <c r="B166" s="1" t="n">
        <v>44364</v>
      </c>
      <c r="C166" s="1" t="n">
        <v>45880</v>
      </c>
      <c r="D166" t="inlineStr">
        <is>
          <t>UPPSALA LÄN</t>
        </is>
      </c>
      <c r="E166" t="inlineStr">
        <is>
          <t>ENKÖPING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51932-2022</t>
        </is>
      </c>
      <c r="B167" s="1" t="n">
        <v>44872</v>
      </c>
      <c r="C167" s="1" t="n">
        <v>45880</v>
      </c>
      <c r="D167" t="inlineStr">
        <is>
          <t>UPPSALA LÄN</t>
        </is>
      </c>
      <c r="E167" t="inlineStr">
        <is>
          <t>ENKÖPING</t>
        </is>
      </c>
      <c r="G167" t="n">
        <v>5.5</v>
      </c>
      <c r="H167" t="n">
        <v>0</v>
      </c>
      <c r="I167" t="n">
        <v>0</v>
      </c>
      <c r="J167" t="n">
        <v>0</v>
      </c>
      <c r="K167" t="n">
        <v>0</v>
      </c>
      <c r="L167" t="n">
        <v>0</v>
      </c>
      <c r="M167" t="n">
        <v>0</v>
      </c>
      <c r="N167" t="n">
        <v>0</v>
      </c>
      <c r="O167" t="n">
        <v>0</v>
      </c>
      <c r="P167" t="n">
        <v>0</v>
      </c>
      <c r="Q167" t="n">
        <v>0</v>
      </c>
      <c r="R167" s="2" t="inlineStr"/>
    </row>
    <row r="168" ht="15" customHeight="1">
      <c r="A168" t="inlineStr">
        <is>
          <t>A 35647-2021</t>
        </is>
      </c>
      <c r="B168" s="1" t="n">
        <v>44386</v>
      </c>
      <c r="C168" s="1" t="n">
        <v>45880</v>
      </c>
      <c r="D168" t="inlineStr">
        <is>
          <t>UPPSALA LÄN</t>
        </is>
      </c>
      <c r="E168" t="inlineStr">
        <is>
          <t>ENKÖPING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12958-2024</t>
        </is>
      </c>
      <c r="B169" s="1" t="n">
        <v>45385</v>
      </c>
      <c r="C169" s="1" t="n">
        <v>45880</v>
      </c>
      <c r="D169" t="inlineStr">
        <is>
          <t>UPPSALA LÄN</t>
        </is>
      </c>
      <c r="E169" t="inlineStr">
        <is>
          <t>ENKÖPING</t>
        </is>
      </c>
      <c r="G169" t="n">
        <v>2.1</v>
      </c>
      <c r="H169" t="n">
        <v>0</v>
      </c>
      <c r="I169" t="n">
        <v>0</v>
      </c>
      <c r="J169" t="n">
        <v>0</v>
      </c>
      <c r="K169" t="n">
        <v>0</v>
      </c>
      <c r="L169" t="n">
        <v>0</v>
      </c>
      <c r="M169" t="n">
        <v>0</v>
      </c>
      <c r="N169" t="n">
        <v>0</v>
      </c>
      <c r="O169" t="n">
        <v>0</v>
      </c>
      <c r="P169" t="n">
        <v>0</v>
      </c>
      <c r="Q169" t="n">
        <v>0</v>
      </c>
      <c r="R169" s="2" t="inlineStr"/>
    </row>
    <row r="170" ht="15" customHeight="1">
      <c r="A170" t="inlineStr">
        <is>
          <t>A 24962-2023</t>
        </is>
      </c>
      <c r="B170" s="1" t="n">
        <v>45085.60123842592</v>
      </c>
      <c r="C170" s="1" t="n">
        <v>45880</v>
      </c>
      <c r="D170" t="inlineStr">
        <is>
          <t>UPPSALA LÄN</t>
        </is>
      </c>
      <c r="E170" t="inlineStr">
        <is>
          <t>ENKÖPING</t>
        </is>
      </c>
      <c r="G170" t="n">
        <v>2.8</v>
      </c>
      <c r="H170" t="n">
        <v>0</v>
      </c>
      <c r="I170" t="n">
        <v>0</v>
      </c>
      <c r="J170" t="n">
        <v>0</v>
      </c>
      <c r="K170" t="n">
        <v>0</v>
      </c>
      <c r="L170" t="n">
        <v>0</v>
      </c>
      <c r="M170" t="n">
        <v>0</v>
      </c>
      <c r="N170" t="n">
        <v>0</v>
      </c>
      <c r="O170" t="n">
        <v>0</v>
      </c>
      <c r="P170" t="n">
        <v>0</v>
      </c>
      <c r="Q170" t="n">
        <v>0</v>
      </c>
      <c r="R170" s="2" t="inlineStr"/>
    </row>
    <row r="171" ht="15" customHeight="1">
      <c r="A171" t="inlineStr">
        <is>
          <t>A 44131-2023</t>
        </is>
      </c>
      <c r="B171" s="1" t="n">
        <v>45188</v>
      </c>
      <c r="C171" s="1" t="n">
        <v>45880</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29482-2022</t>
        </is>
      </c>
      <c r="B172" s="1" t="n">
        <v>44753.57703703704</v>
      </c>
      <c r="C172" s="1" t="n">
        <v>45880</v>
      </c>
      <c r="D172" t="inlineStr">
        <is>
          <t>UPPSALA LÄN</t>
        </is>
      </c>
      <c r="E172" t="inlineStr">
        <is>
          <t>ENKÖPING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29483-2022</t>
        </is>
      </c>
      <c r="B173" s="1" t="n">
        <v>44753.57829861111</v>
      </c>
      <c r="C173" s="1" t="n">
        <v>45880</v>
      </c>
      <c r="D173" t="inlineStr">
        <is>
          <t>UPPSALA LÄN</t>
        </is>
      </c>
      <c r="E173" t="inlineStr">
        <is>
          <t>ENKÖPING</t>
        </is>
      </c>
      <c r="G173" t="n">
        <v>3.6</v>
      </c>
      <c r="H173" t="n">
        <v>0</v>
      </c>
      <c r="I173" t="n">
        <v>0</v>
      </c>
      <c r="J173" t="n">
        <v>0</v>
      </c>
      <c r="K173" t="n">
        <v>0</v>
      </c>
      <c r="L173" t="n">
        <v>0</v>
      </c>
      <c r="M173" t="n">
        <v>0</v>
      </c>
      <c r="N173" t="n">
        <v>0</v>
      </c>
      <c r="O173" t="n">
        <v>0</v>
      </c>
      <c r="P173" t="n">
        <v>0</v>
      </c>
      <c r="Q173" t="n">
        <v>0</v>
      </c>
      <c r="R173" s="2" t="inlineStr"/>
    </row>
    <row r="174" ht="15" customHeight="1">
      <c r="A174" t="inlineStr">
        <is>
          <t>A 37170-2021</t>
        </is>
      </c>
      <c r="B174" s="1" t="n">
        <v>44395</v>
      </c>
      <c r="C174" s="1" t="n">
        <v>45880</v>
      </c>
      <c r="D174" t="inlineStr">
        <is>
          <t>UPPSALA LÄN</t>
        </is>
      </c>
      <c r="E174" t="inlineStr">
        <is>
          <t>ENKÖPING</t>
        </is>
      </c>
      <c r="G174" t="n">
        <v>1.5</v>
      </c>
      <c r="H174" t="n">
        <v>0</v>
      </c>
      <c r="I174" t="n">
        <v>0</v>
      </c>
      <c r="J174" t="n">
        <v>0</v>
      </c>
      <c r="K174" t="n">
        <v>0</v>
      </c>
      <c r="L174" t="n">
        <v>0</v>
      </c>
      <c r="M174" t="n">
        <v>0</v>
      </c>
      <c r="N174" t="n">
        <v>0</v>
      </c>
      <c r="O174" t="n">
        <v>0</v>
      </c>
      <c r="P174" t="n">
        <v>0</v>
      </c>
      <c r="Q174" t="n">
        <v>0</v>
      </c>
      <c r="R174" s="2" t="inlineStr"/>
    </row>
    <row r="175" ht="15" customHeight="1">
      <c r="A175" t="inlineStr">
        <is>
          <t>A 53343-2020</t>
        </is>
      </c>
      <c r="B175" s="1" t="n">
        <v>44123.53505787037</v>
      </c>
      <c r="C175" s="1" t="n">
        <v>45880</v>
      </c>
      <c r="D175" t="inlineStr">
        <is>
          <t>UPPSALA LÄN</t>
        </is>
      </c>
      <c r="E175" t="inlineStr">
        <is>
          <t>ENKÖPING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40812-2022</t>
        </is>
      </c>
      <c r="B176" s="1" t="n">
        <v>44824.68791666667</v>
      </c>
      <c r="C176" s="1" t="n">
        <v>45880</v>
      </c>
      <c r="D176" t="inlineStr">
        <is>
          <t>UPPSALA LÄN</t>
        </is>
      </c>
      <c r="E176" t="inlineStr">
        <is>
          <t>ENKÖPING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24291-2024</t>
        </is>
      </c>
      <c r="B177" s="1" t="n">
        <v>45457.4584837963</v>
      </c>
      <c r="C177" s="1" t="n">
        <v>45880</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21017-2023</t>
        </is>
      </c>
      <c r="B178" s="1" t="n">
        <v>45061</v>
      </c>
      <c r="C178" s="1" t="n">
        <v>45880</v>
      </c>
      <c r="D178" t="inlineStr">
        <is>
          <t>UPPSALA LÄN</t>
        </is>
      </c>
      <c r="E178" t="inlineStr">
        <is>
          <t>ENKÖPING</t>
        </is>
      </c>
      <c r="G178" t="n">
        <v>4.8</v>
      </c>
      <c r="H178" t="n">
        <v>0</v>
      </c>
      <c r="I178" t="n">
        <v>0</v>
      </c>
      <c r="J178" t="n">
        <v>0</v>
      </c>
      <c r="K178" t="n">
        <v>0</v>
      </c>
      <c r="L178" t="n">
        <v>0</v>
      </c>
      <c r="M178" t="n">
        <v>0</v>
      </c>
      <c r="N178" t="n">
        <v>0</v>
      </c>
      <c r="O178" t="n">
        <v>0</v>
      </c>
      <c r="P178" t="n">
        <v>0</v>
      </c>
      <c r="Q178" t="n">
        <v>0</v>
      </c>
      <c r="R178" s="2" t="inlineStr"/>
    </row>
    <row r="179" ht="15" customHeight="1">
      <c r="A179" t="inlineStr">
        <is>
          <t>A 53496-2022</t>
        </is>
      </c>
      <c r="B179" s="1" t="n">
        <v>44879.57217592592</v>
      </c>
      <c r="C179" s="1" t="n">
        <v>45880</v>
      </c>
      <c r="D179" t="inlineStr">
        <is>
          <t>UPPSALA LÄN</t>
        </is>
      </c>
      <c r="E179" t="inlineStr">
        <is>
          <t>ENKÖPING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57209-2024</t>
        </is>
      </c>
      <c r="B180" s="1" t="n">
        <v>45629.49311342592</v>
      </c>
      <c r="C180" s="1" t="n">
        <v>45880</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7870-2024</t>
        </is>
      </c>
      <c r="B181" s="1" t="n">
        <v>45350.33349537037</v>
      </c>
      <c r="C181" s="1" t="n">
        <v>45880</v>
      </c>
      <c r="D181" t="inlineStr">
        <is>
          <t>UPPSALA LÄN</t>
        </is>
      </c>
      <c r="E181" t="inlineStr">
        <is>
          <t>ENKÖPING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28243-2023</t>
        </is>
      </c>
      <c r="B182" s="1" t="n">
        <v>45099.58885416666</v>
      </c>
      <c r="C182" s="1" t="n">
        <v>45880</v>
      </c>
      <c r="D182" t="inlineStr">
        <is>
          <t>UPPSALA LÄN</t>
        </is>
      </c>
      <c r="E182" t="inlineStr">
        <is>
          <t>ENKÖPING</t>
        </is>
      </c>
      <c r="G182" t="n">
        <v>1.9</v>
      </c>
      <c r="H182" t="n">
        <v>0</v>
      </c>
      <c r="I182" t="n">
        <v>0</v>
      </c>
      <c r="J182" t="n">
        <v>0</v>
      </c>
      <c r="K182" t="n">
        <v>0</v>
      </c>
      <c r="L182" t="n">
        <v>0</v>
      </c>
      <c r="M182" t="n">
        <v>0</v>
      </c>
      <c r="N182" t="n">
        <v>0</v>
      </c>
      <c r="O182" t="n">
        <v>0</v>
      </c>
      <c r="P182" t="n">
        <v>0</v>
      </c>
      <c r="Q182" t="n">
        <v>0</v>
      </c>
      <c r="R182" s="2" t="inlineStr"/>
    </row>
    <row r="183" ht="15" customHeight="1">
      <c r="A183" t="inlineStr">
        <is>
          <t>A 44232-2022</t>
        </is>
      </c>
      <c r="B183" s="1" t="n">
        <v>44839</v>
      </c>
      <c r="C183" s="1" t="n">
        <v>45880</v>
      </c>
      <c r="D183" t="inlineStr">
        <is>
          <t>UPPSALA LÄN</t>
        </is>
      </c>
      <c r="E183" t="inlineStr">
        <is>
          <t>ENKÖPING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10829-2024</t>
        </is>
      </c>
      <c r="B184" s="1" t="n">
        <v>45369</v>
      </c>
      <c r="C184" s="1" t="n">
        <v>45880</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13110-2023</t>
        </is>
      </c>
      <c r="B185" s="1" t="n">
        <v>45001</v>
      </c>
      <c r="C185" s="1" t="n">
        <v>45880</v>
      </c>
      <c r="D185" t="inlineStr">
        <is>
          <t>UPPSALA LÄN</t>
        </is>
      </c>
      <c r="E185" t="inlineStr">
        <is>
          <t>ENKÖPING</t>
        </is>
      </c>
      <c r="G185" t="n">
        <v>2.5</v>
      </c>
      <c r="H185" t="n">
        <v>0</v>
      </c>
      <c r="I185" t="n">
        <v>0</v>
      </c>
      <c r="J185" t="n">
        <v>0</v>
      </c>
      <c r="K185" t="n">
        <v>0</v>
      </c>
      <c r="L185" t="n">
        <v>0</v>
      </c>
      <c r="M185" t="n">
        <v>0</v>
      </c>
      <c r="N185" t="n">
        <v>0</v>
      </c>
      <c r="O185" t="n">
        <v>0</v>
      </c>
      <c r="P185" t="n">
        <v>0</v>
      </c>
      <c r="Q185" t="n">
        <v>0</v>
      </c>
      <c r="R185" s="2" t="inlineStr"/>
    </row>
    <row r="186" ht="15" customHeight="1">
      <c r="A186" t="inlineStr">
        <is>
          <t>A 49623-2024</t>
        </is>
      </c>
      <c r="B186" s="1" t="n">
        <v>45596</v>
      </c>
      <c r="C186" s="1" t="n">
        <v>45880</v>
      </c>
      <c r="D186" t="inlineStr">
        <is>
          <t>UPPSALA LÄN</t>
        </is>
      </c>
      <c r="E186" t="inlineStr">
        <is>
          <t>ENKÖPING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49627-2024</t>
        </is>
      </c>
      <c r="B187" s="1" t="n">
        <v>45596.59140046296</v>
      </c>
      <c r="C187" s="1" t="n">
        <v>45880</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2161-2023</t>
        </is>
      </c>
      <c r="B188" s="1" t="n">
        <v>44941</v>
      </c>
      <c r="C188" s="1" t="n">
        <v>45880</v>
      </c>
      <c r="D188" t="inlineStr">
        <is>
          <t>UPPSALA LÄN</t>
        </is>
      </c>
      <c r="E188" t="inlineStr">
        <is>
          <t>ENKÖPING</t>
        </is>
      </c>
      <c r="G188" t="n">
        <v>0.9</v>
      </c>
      <c r="H188" t="n">
        <v>0</v>
      </c>
      <c r="I188" t="n">
        <v>0</v>
      </c>
      <c r="J188" t="n">
        <v>0</v>
      </c>
      <c r="K188" t="n">
        <v>0</v>
      </c>
      <c r="L188" t="n">
        <v>0</v>
      </c>
      <c r="M188" t="n">
        <v>0</v>
      </c>
      <c r="N188" t="n">
        <v>0</v>
      </c>
      <c r="O188" t="n">
        <v>0</v>
      </c>
      <c r="P188" t="n">
        <v>0</v>
      </c>
      <c r="Q188" t="n">
        <v>0</v>
      </c>
      <c r="R188" s="2" t="inlineStr"/>
    </row>
    <row r="189" ht="15" customHeight="1">
      <c r="A189" t="inlineStr">
        <is>
          <t>A 2165-2023</t>
        </is>
      </c>
      <c r="B189" s="1" t="n">
        <v>44941</v>
      </c>
      <c r="C189" s="1" t="n">
        <v>45880</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9231-2023</t>
        </is>
      </c>
      <c r="B190" s="1" t="n">
        <v>44980</v>
      </c>
      <c r="C190" s="1" t="n">
        <v>45880</v>
      </c>
      <c r="D190" t="inlineStr">
        <is>
          <t>UPPSALA LÄN</t>
        </is>
      </c>
      <c r="E190" t="inlineStr">
        <is>
          <t>ENKÖPING</t>
        </is>
      </c>
      <c r="G190" t="n">
        <v>1.5</v>
      </c>
      <c r="H190" t="n">
        <v>0</v>
      </c>
      <c r="I190" t="n">
        <v>0</v>
      </c>
      <c r="J190" t="n">
        <v>0</v>
      </c>
      <c r="K190" t="n">
        <v>0</v>
      </c>
      <c r="L190" t="n">
        <v>0</v>
      </c>
      <c r="M190" t="n">
        <v>0</v>
      </c>
      <c r="N190" t="n">
        <v>0</v>
      </c>
      <c r="O190" t="n">
        <v>0</v>
      </c>
      <c r="P190" t="n">
        <v>0</v>
      </c>
      <c r="Q190" t="n">
        <v>0</v>
      </c>
      <c r="R190" s="2" t="inlineStr"/>
    </row>
    <row r="191" ht="15" customHeight="1">
      <c r="A191" t="inlineStr">
        <is>
          <t>A 27538-2023</t>
        </is>
      </c>
      <c r="B191" s="1" t="n">
        <v>45097</v>
      </c>
      <c r="C191" s="1" t="n">
        <v>45880</v>
      </c>
      <c r="D191" t="inlineStr">
        <is>
          <t>UPPSALA LÄN</t>
        </is>
      </c>
      <c r="E191" t="inlineStr">
        <is>
          <t>ENKÖPING</t>
        </is>
      </c>
      <c r="G191" t="n">
        <v>5.8</v>
      </c>
      <c r="H191" t="n">
        <v>0</v>
      </c>
      <c r="I191" t="n">
        <v>0</v>
      </c>
      <c r="J191" t="n">
        <v>0</v>
      </c>
      <c r="K191" t="n">
        <v>0</v>
      </c>
      <c r="L191" t="n">
        <v>0</v>
      </c>
      <c r="M191" t="n">
        <v>0</v>
      </c>
      <c r="N191" t="n">
        <v>0</v>
      </c>
      <c r="O191" t="n">
        <v>0</v>
      </c>
      <c r="P191" t="n">
        <v>0</v>
      </c>
      <c r="Q191" t="n">
        <v>0</v>
      </c>
      <c r="R191" s="2" t="inlineStr"/>
    </row>
    <row r="192" ht="15" customHeight="1">
      <c r="A192" t="inlineStr">
        <is>
          <t>A 47428-2023</t>
        </is>
      </c>
      <c r="B192" s="1" t="n">
        <v>45202.66664351852</v>
      </c>
      <c r="C192" s="1" t="n">
        <v>45880</v>
      </c>
      <c r="D192" t="inlineStr">
        <is>
          <t>UPPSALA LÄN</t>
        </is>
      </c>
      <c r="E192" t="inlineStr">
        <is>
          <t>ENKÖPING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8306-2021</t>
        </is>
      </c>
      <c r="B193" s="1" t="n">
        <v>44244</v>
      </c>
      <c r="C193" s="1" t="n">
        <v>45880</v>
      </c>
      <c r="D193" t="inlineStr">
        <is>
          <t>UPPSALA LÄN</t>
        </is>
      </c>
      <c r="E193" t="inlineStr">
        <is>
          <t>ENKÖPING</t>
        </is>
      </c>
      <c r="G193" t="n">
        <v>14.9</v>
      </c>
      <c r="H193" t="n">
        <v>0</v>
      </c>
      <c r="I193" t="n">
        <v>0</v>
      </c>
      <c r="J193" t="n">
        <v>0</v>
      </c>
      <c r="K193" t="n">
        <v>0</v>
      </c>
      <c r="L193" t="n">
        <v>0</v>
      </c>
      <c r="M193" t="n">
        <v>0</v>
      </c>
      <c r="N193" t="n">
        <v>0</v>
      </c>
      <c r="O193" t="n">
        <v>0</v>
      </c>
      <c r="P193" t="n">
        <v>0</v>
      </c>
      <c r="Q193" t="n">
        <v>0</v>
      </c>
      <c r="R193" s="2" t="inlineStr"/>
    </row>
    <row r="194" ht="15" customHeight="1">
      <c r="A194" t="inlineStr">
        <is>
          <t>A 18821-2023</t>
        </is>
      </c>
      <c r="B194" s="1" t="n">
        <v>45044.3782175926</v>
      </c>
      <c r="C194" s="1" t="n">
        <v>45880</v>
      </c>
      <c r="D194" t="inlineStr">
        <is>
          <t>UPPSALA LÄN</t>
        </is>
      </c>
      <c r="E194" t="inlineStr">
        <is>
          <t>ENKÖPING</t>
        </is>
      </c>
      <c r="G194" t="n">
        <v>6</v>
      </c>
      <c r="H194" t="n">
        <v>0</v>
      </c>
      <c r="I194" t="n">
        <v>0</v>
      </c>
      <c r="J194" t="n">
        <v>0</v>
      </c>
      <c r="K194" t="n">
        <v>0</v>
      </c>
      <c r="L194" t="n">
        <v>0</v>
      </c>
      <c r="M194" t="n">
        <v>0</v>
      </c>
      <c r="N194" t="n">
        <v>0</v>
      </c>
      <c r="O194" t="n">
        <v>0</v>
      </c>
      <c r="P194" t="n">
        <v>0</v>
      </c>
      <c r="Q194" t="n">
        <v>0</v>
      </c>
      <c r="R194" s="2" t="inlineStr"/>
    </row>
    <row r="195" ht="15" customHeight="1">
      <c r="A195" t="inlineStr">
        <is>
          <t>A 45362-2022</t>
        </is>
      </c>
      <c r="B195" s="1" t="n">
        <v>44844.62366898148</v>
      </c>
      <c r="C195" s="1" t="n">
        <v>45880</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56526-2022</t>
        </is>
      </c>
      <c r="B196" s="1" t="n">
        <v>44893</v>
      </c>
      <c r="C196" s="1" t="n">
        <v>45880</v>
      </c>
      <c r="D196" t="inlineStr">
        <is>
          <t>UPPSALA LÄN</t>
        </is>
      </c>
      <c r="E196" t="inlineStr">
        <is>
          <t>ENKÖPING</t>
        </is>
      </c>
      <c r="G196" t="n">
        <v>3.8</v>
      </c>
      <c r="H196" t="n">
        <v>0</v>
      </c>
      <c r="I196" t="n">
        <v>0</v>
      </c>
      <c r="J196" t="n">
        <v>0</v>
      </c>
      <c r="K196" t="n">
        <v>0</v>
      </c>
      <c r="L196" t="n">
        <v>0</v>
      </c>
      <c r="M196" t="n">
        <v>0</v>
      </c>
      <c r="N196" t="n">
        <v>0</v>
      </c>
      <c r="O196" t="n">
        <v>0</v>
      </c>
      <c r="P196" t="n">
        <v>0</v>
      </c>
      <c r="Q196" t="n">
        <v>0</v>
      </c>
      <c r="R196" s="2" t="inlineStr"/>
    </row>
    <row r="197" ht="15" customHeight="1">
      <c r="A197" t="inlineStr">
        <is>
          <t>A 52380-2024</t>
        </is>
      </c>
      <c r="B197" s="1" t="n">
        <v>45609</v>
      </c>
      <c r="C197" s="1" t="n">
        <v>45880</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9041-2023</t>
        </is>
      </c>
      <c r="B198" s="1" t="n">
        <v>44979</v>
      </c>
      <c r="C198" s="1" t="n">
        <v>45880</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27786-2023</t>
        </is>
      </c>
      <c r="B199" s="1" t="n">
        <v>45098</v>
      </c>
      <c r="C199" s="1" t="n">
        <v>45880</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60350-2022</t>
        </is>
      </c>
      <c r="B200" s="1" t="n">
        <v>44910</v>
      </c>
      <c r="C200" s="1" t="n">
        <v>45880</v>
      </c>
      <c r="D200" t="inlineStr">
        <is>
          <t>UPPSALA LÄN</t>
        </is>
      </c>
      <c r="E200" t="inlineStr">
        <is>
          <t>ENKÖPING</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28518-2024</t>
        </is>
      </c>
      <c r="B201" s="1" t="n">
        <v>45477</v>
      </c>
      <c r="C201" s="1" t="n">
        <v>45880</v>
      </c>
      <c r="D201" t="inlineStr">
        <is>
          <t>UPPSALA LÄN</t>
        </is>
      </c>
      <c r="E201" t="inlineStr">
        <is>
          <t>ENKÖPING</t>
        </is>
      </c>
      <c r="G201" t="n">
        <v>3.4</v>
      </c>
      <c r="H201" t="n">
        <v>0</v>
      </c>
      <c r="I201" t="n">
        <v>0</v>
      </c>
      <c r="J201" t="n">
        <v>0</v>
      </c>
      <c r="K201" t="n">
        <v>0</v>
      </c>
      <c r="L201" t="n">
        <v>0</v>
      </c>
      <c r="M201" t="n">
        <v>0</v>
      </c>
      <c r="N201" t="n">
        <v>0</v>
      </c>
      <c r="O201" t="n">
        <v>0</v>
      </c>
      <c r="P201" t="n">
        <v>0</v>
      </c>
      <c r="Q201" t="n">
        <v>0</v>
      </c>
      <c r="R201" s="2" t="inlineStr"/>
    </row>
    <row r="202" ht="15" customHeight="1">
      <c r="A202" t="inlineStr">
        <is>
          <t>A 49622-2024</t>
        </is>
      </c>
      <c r="B202" s="1" t="n">
        <v>45596.58372685185</v>
      </c>
      <c r="C202" s="1" t="n">
        <v>45880</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17979-2025</t>
        </is>
      </c>
      <c r="B203" s="1" t="n">
        <v>45761</v>
      </c>
      <c r="C203" s="1" t="n">
        <v>45880</v>
      </c>
      <c r="D203" t="inlineStr">
        <is>
          <t>UPPSALA LÄN</t>
        </is>
      </c>
      <c r="E203" t="inlineStr">
        <is>
          <t>ENKÖPING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15942-2022</t>
        </is>
      </c>
      <c r="B204" s="1" t="n">
        <v>44664</v>
      </c>
      <c r="C204" s="1" t="n">
        <v>45880</v>
      </c>
      <c r="D204" t="inlineStr">
        <is>
          <t>UPPSALA LÄN</t>
        </is>
      </c>
      <c r="E204" t="inlineStr">
        <is>
          <t>ENKÖPING</t>
        </is>
      </c>
      <c r="G204" t="n">
        <v>6.6</v>
      </c>
      <c r="H204" t="n">
        <v>0</v>
      </c>
      <c r="I204" t="n">
        <v>0</v>
      </c>
      <c r="J204" t="n">
        <v>0</v>
      </c>
      <c r="K204" t="n">
        <v>0</v>
      </c>
      <c r="L204" t="n">
        <v>0</v>
      </c>
      <c r="M204" t="n">
        <v>0</v>
      </c>
      <c r="N204" t="n">
        <v>0</v>
      </c>
      <c r="O204" t="n">
        <v>0</v>
      </c>
      <c r="P204" t="n">
        <v>0</v>
      </c>
      <c r="Q204" t="n">
        <v>0</v>
      </c>
      <c r="R204" s="2" t="inlineStr"/>
    </row>
    <row r="205" ht="15" customHeight="1">
      <c r="A205" t="inlineStr">
        <is>
          <t>A 30098-2024</t>
        </is>
      </c>
      <c r="B205" s="1" t="n">
        <v>45489.41609953704</v>
      </c>
      <c r="C205" s="1" t="n">
        <v>45880</v>
      </c>
      <c r="D205" t="inlineStr">
        <is>
          <t>UPPSALA LÄN</t>
        </is>
      </c>
      <c r="E205" t="inlineStr">
        <is>
          <t>ENKÖPING</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2850-2025</t>
        </is>
      </c>
      <c r="B206" s="1" t="n">
        <v>45677</v>
      </c>
      <c r="C206" s="1" t="n">
        <v>45880</v>
      </c>
      <c r="D206" t="inlineStr">
        <is>
          <t>UPPSALA LÄN</t>
        </is>
      </c>
      <c r="E206" t="inlineStr">
        <is>
          <t>ENKÖPING</t>
        </is>
      </c>
      <c r="G206" t="n">
        <v>0.3</v>
      </c>
      <c r="H206" t="n">
        <v>0</v>
      </c>
      <c r="I206" t="n">
        <v>0</v>
      </c>
      <c r="J206" t="n">
        <v>0</v>
      </c>
      <c r="K206" t="n">
        <v>0</v>
      </c>
      <c r="L206" t="n">
        <v>0</v>
      </c>
      <c r="M206" t="n">
        <v>0</v>
      </c>
      <c r="N206" t="n">
        <v>0</v>
      </c>
      <c r="O206" t="n">
        <v>0</v>
      </c>
      <c r="P206" t="n">
        <v>0</v>
      </c>
      <c r="Q206" t="n">
        <v>0</v>
      </c>
      <c r="R206" s="2" t="inlineStr"/>
    </row>
    <row r="207" ht="15" customHeight="1">
      <c r="A207" t="inlineStr">
        <is>
          <t>A 27837-2025</t>
        </is>
      </c>
      <c r="B207" s="1" t="n">
        <v>45817.37207175926</v>
      </c>
      <c r="C207" s="1" t="n">
        <v>45880</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50006-2023</t>
        </is>
      </c>
      <c r="B208" s="1" t="n">
        <v>45215</v>
      </c>
      <c r="C208" s="1" t="n">
        <v>45880</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49601-2024</t>
        </is>
      </c>
      <c r="B209" s="1" t="n">
        <v>45596.56288194445</v>
      </c>
      <c r="C209" s="1" t="n">
        <v>45880</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1651-2024</t>
        </is>
      </c>
      <c r="B210" s="1" t="n">
        <v>45306.73770833333</v>
      </c>
      <c r="C210" s="1" t="n">
        <v>45880</v>
      </c>
      <c r="D210" t="inlineStr">
        <is>
          <t>UPPSALA LÄN</t>
        </is>
      </c>
      <c r="E210" t="inlineStr">
        <is>
          <t>ENKÖPING</t>
        </is>
      </c>
      <c r="G210" t="n">
        <v>10.2</v>
      </c>
      <c r="H210" t="n">
        <v>0</v>
      </c>
      <c r="I210" t="n">
        <v>0</v>
      </c>
      <c r="J210" t="n">
        <v>0</v>
      </c>
      <c r="K210" t="n">
        <v>0</v>
      </c>
      <c r="L210" t="n">
        <v>0</v>
      </c>
      <c r="M210" t="n">
        <v>0</v>
      </c>
      <c r="N210" t="n">
        <v>0</v>
      </c>
      <c r="O210" t="n">
        <v>0</v>
      </c>
      <c r="P210" t="n">
        <v>0</v>
      </c>
      <c r="Q210" t="n">
        <v>0</v>
      </c>
      <c r="R210" s="2" t="inlineStr"/>
    </row>
    <row r="211" ht="15" customHeight="1">
      <c r="A211" t="inlineStr">
        <is>
          <t>A 60289-2022</t>
        </is>
      </c>
      <c r="B211" s="1" t="n">
        <v>44910.53026620371</v>
      </c>
      <c r="C211" s="1" t="n">
        <v>45880</v>
      </c>
      <c r="D211" t="inlineStr">
        <is>
          <t>UPPSALA LÄN</t>
        </is>
      </c>
      <c r="E211" t="inlineStr">
        <is>
          <t>ENKÖPING</t>
        </is>
      </c>
      <c r="G211" t="n">
        <v>3.2</v>
      </c>
      <c r="H211" t="n">
        <v>0</v>
      </c>
      <c r="I211" t="n">
        <v>0</v>
      </c>
      <c r="J211" t="n">
        <v>0</v>
      </c>
      <c r="K211" t="n">
        <v>0</v>
      </c>
      <c r="L211" t="n">
        <v>0</v>
      </c>
      <c r="M211" t="n">
        <v>0</v>
      </c>
      <c r="N211" t="n">
        <v>0</v>
      </c>
      <c r="O211" t="n">
        <v>0</v>
      </c>
      <c r="P211" t="n">
        <v>0</v>
      </c>
      <c r="Q211" t="n">
        <v>0</v>
      </c>
      <c r="R211" s="2" t="inlineStr"/>
    </row>
    <row r="212" ht="15" customHeight="1">
      <c r="A212" t="inlineStr">
        <is>
          <t>A 53607-2023</t>
        </is>
      </c>
      <c r="B212" s="1" t="n">
        <v>45230</v>
      </c>
      <c r="C212" s="1" t="n">
        <v>45880</v>
      </c>
      <c r="D212" t="inlineStr">
        <is>
          <t>UPPSALA LÄN</t>
        </is>
      </c>
      <c r="E212" t="inlineStr">
        <is>
          <t>ENKÖPING</t>
        </is>
      </c>
      <c r="F212" t="inlineStr">
        <is>
          <t>Allmännings- och besparingsskogar</t>
        </is>
      </c>
      <c r="G212" t="n">
        <v>6.3</v>
      </c>
      <c r="H212" t="n">
        <v>0</v>
      </c>
      <c r="I212" t="n">
        <v>0</v>
      </c>
      <c r="J212" t="n">
        <v>0</v>
      </c>
      <c r="K212" t="n">
        <v>0</v>
      </c>
      <c r="L212" t="n">
        <v>0</v>
      </c>
      <c r="M212" t="n">
        <v>0</v>
      </c>
      <c r="N212" t="n">
        <v>0</v>
      </c>
      <c r="O212" t="n">
        <v>0</v>
      </c>
      <c r="P212" t="n">
        <v>0</v>
      </c>
      <c r="Q212" t="n">
        <v>0</v>
      </c>
      <c r="R212" s="2" t="inlineStr"/>
    </row>
    <row r="213" ht="15" customHeight="1">
      <c r="A213" t="inlineStr">
        <is>
          <t>A 59497-2022</t>
        </is>
      </c>
      <c r="B213" s="1" t="n">
        <v>44907.48258101852</v>
      </c>
      <c r="C213" s="1" t="n">
        <v>45880</v>
      </c>
      <c r="D213" t="inlineStr">
        <is>
          <t>UPPSALA LÄN</t>
        </is>
      </c>
      <c r="E213" t="inlineStr">
        <is>
          <t>ENKÖPING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9660-2025</t>
        </is>
      </c>
      <c r="B214" s="1" t="n">
        <v>45716</v>
      </c>
      <c r="C214" s="1" t="n">
        <v>45880</v>
      </c>
      <c r="D214" t="inlineStr">
        <is>
          <t>UPPSALA LÄN</t>
        </is>
      </c>
      <c r="E214" t="inlineStr">
        <is>
          <t>ENKÖPING</t>
        </is>
      </c>
      <c r="G214" t="n">
        <v>2.5</v>
      </c>
      <c r="H214" t="n">
        <v>0</v>
      </c>
      <c r="I214" t="n">
        <v>0</v>
      </c>
      <c r="J214" t="n">
        <v>0</v>
      </c>
      <c r="K214" t="n">
        <v>0</v>
      </c>
      <c r="L214" t="n">
        <v>0</v>
      </c>
      <c r="M214" t="n">
        <v>0</v>
      </c>
      <c r="N214" t="n">
        <v>0</v>
      </c>
      <c r="O214" t="n">
        <v>0</v>
      </c>
      <c r="P214" t="n">
        <v>0</v>
      </c>
      <c r="Q214" t="n">
        <v>0</v>
      </c>
      <c r="R214" s="2" t="inlineStr"/>
    </row>
    <row r="215" ht="15" customHeight="1">
      <c r="A215" t="inlineStr">
        <is>
          <t>A 13853-2023</t>
        </is>
      </c>
      <c r="B215" s="1" t="n">
        <v>45007</v>
      </c>
      <c r="C215" s="1" t="n">
        <v>45880</v>
      </c>
      <c r="D215" t="inlineStr">
        <is>
          <t>UPPSALA LÄN</t>
        </is>
      </c>
      <c r="E215" t="inlineStr">
        <is>
          <t>ENKÖPING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49613-2024</t>
        </is>
      </c>
      <c r="B216" s="1" t="n">
        <v>45596.57475694444</v>
      </c>
      <c r="C216" s="1" t="n">
        <v>45880</v>
      </c>
      <c r="D216" t="inlineStr">
        <is>
          <t>UPPSALA LÄN</t>
        </is>
      </c>
      <c r="E216" t="inlineStr">
        <is>
          <t>ENKÖPING</t>
        </is>
      </c>
      <c r="G216" t="n">
        <v>2.5</v>
      </c>
      <c r="H216" t="n">
        <v>0</v>
      </c>
      <c r="I216" t="n">
        <v>0</v>
      </c>
      <c r="J216" t="n">
        <v>0</v>
      </c>
      <c r="K216" t="n">
        <v>0</v>
      </c>
      <c r="L216" t="n">
        <v>0</v>
      </c>
      <c r="M216" t="n">
        <v>0</v>
      </c>
      <c r="N216" t="n">
        <v>0</v>
      </c>
      <c r="O216" t="n">
        <v>0</v>
      </c>
      <c r="P216" t="n">
        <v>0</v>
      </c>
      <c r="Q216" t="n">
        <v>0</v>
      </c>
      <c r="R216" s="2" t="inlineStr"/>
    </row>
    <row r="217" ht="15" customHeight="1">
      <c r="A217" t="inlineStr">
        <is>
          <t>A 49614-2024</t>
        </is>
      </c>
      <c r="B217" s="1" t="n">
        <v>45596.57716435185</v>
      </c>
      <c r="C217" s="1" t="n">
        <v>45880</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49632-2024</t>
        </is>
      </c>
      <c r="B218" s="1" t="n">
        <v>45596</v>
      </c>
      <c r="C218" s="1" t="n">
        <v>45880</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63310-2021</t>
        </is>
      </c>
      <c r="B219" s="1" t="n">
        <v>44508</v>
      </c>
      <c r="C219" s="1" t="n">
        <v>45880</v>
      </c>
      <c r="D219" t="inlineStr">
        <is>
          <t>UPPSALA LÄN</t>
        </is>
      </c>
      <c r="E219" t="inlineStr">
        <is>
          <t>ENKÖPING</t>
        </is>
      </c>
      <c r="G219" t="n">
        <v>3.5</v>
      </c>
      <c r="H219" t="n">
        <v>0</v>
      </c>
      <c r="I219" t="n">
        <v>0</v>
      </c>
      <c r="J219" t="n">
        <v>0</v>
      </c>
      <c r="K219" t="n">
        <v>0</v>
      </c>
      <c r="L219" t="n">
        <v>0</v>
      </c>
      <c r="M219" t="n">
        <v>0</v>
      </c>
      <c r="N219" t="n">
        <v>0</v>
      </c>
      <c r="O219" t="n">
        <v>0</v>
      </c>
      <c r="P219" t="n">
        <v>0</v>
      </c>
      <c r="Q219" t="n">
        <v>0</v>
      </c>
      <c r="R219" s="2" t="inlineStr"/>
    </row>
    <row r="220" ht="15" customHeight="1">
      <c r="A220" t="inlineStr">
        <is>
          <t>A 51027-2024</t>
        </is>
      </c>
      <c r="B220" s="1" t="n">
        <v>45603</v>
      </c>
      <c r="C220" s="1" t="n">
        <v>45880</v>
      </c>
      <c r="D220" t="inlineStr">
        <is>
          <t>UPPSALA LÄN</t>
        </is>
      </c>
      <c r="E220" t="inlineStr">
        <is>
          <t>ENKÖPING</t>
        </is>
      </c>
      <c r="G220" t="n">
        <v>3.5</v>
      </c>
      <c r="H220" t="n">
        <v>0</v>
      </c>
      <c r="I220" t="n">
        <v>0</v>
      </c>
      <c r="J220" t="n">
        <v>0</v>
      </c>
      <c r="K220" t="n">
        <v>0</v>
      </c>
      <c r="L220" t="n">
        <v>0</v>
      </c>
      <c r="M220" t="n">
        <v>0</v>
      </c>
      <c r="N220" t="n">
        <v>0</v>
      </c>
      <c r="O220" t="n">
        <v>0</v>
      </c>
      <c r="P220" t="n">
        <v>0</v>
      </c>
      <c r="Q220" t="n">
        <v>0</v>
      </c>
      <c r="R220" s="2" t="inlineStr"/>
    </row>
    <row r="221" ht="15" customHeight="1">
      <c r="A221" t="inlineStr">
        <is>
          <t>A 51030-2024</t>
        </is>
      </c>
      <c r="B221" s="1" t="n">
        <v>45603</v>
      </c>
      <c r="C221" s="1" t="n">
        <v>45880</v>
      </c>
      <c r="D221" t="inlineStr">
        <is>
          <t>UPPSALA LÄN</t>
        </is>
      </c>
      <c r="E221" t="inlineStr">
        <is>
          <t>ENKÖPING</t>
        </is>
      </c>
      <c r="G221" t="n">
        <v>2</v>
      </c>
      <c r="H221" t="n">
        <v>0</v>
      </c>
      <c r="I221" t="n">
        <v>0</v>
      </c>
      <c r="J221" t="n">
        <v>0</v>
      </c>
      <c r="K221" t="n">
        <v>0</v>
      </c>
      <c r="L221" t="n">
        <v>0</v>
      </c>
      <c r="M221" t="n">
        <v>0</v>
      </c>
      <c r="N221" t="n">
        <v>0</v>
      </c>
      <c r="O221" t="n">
        <v>0</v>
      </c>
      <c r="P221" t="n">
        <v>0</v>
      </c>
      <c r="Q221" t="n">
        <v>0</v>
      </c>
      <c r="R221" s="2" t="inlineStr"/>
    </row>
    <row r="222" ht="15" customHeight="1">
      <c r="A222" t="inlineStr">
        <is>
          <t>A 61106-2022</t>
        </is>
      </c>
      <c r="B222" s="1" t="n">
        <v>44915.4128587963</v>
      </c>
      <c r="C222" s="1" t="n">
        <v>45880</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31242-2024</t>
        </is>
      </c>
      <c r="B223" s="1" t="n">
        <v>45503</v>
      </c>
      <c r="C223" s="1" t="n">
        <v>45880</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2162-2023</t>
        </is>
      </c>
      <c r="B224" s="1" t="n">
        <v>44941</v>
      </c>
      <c r="C224" s="1" t="n">
        <v>45880</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9171-2024</t>
        </is>
      </c>
      <c r="B225" s="1" t="n">
        <v>45358</v>
      </c>
      <c r="C225" s="1" t="n">
        <v>45880</v>
      </c>
      <c r="D225" t="inlineStr">
        <is>
          <t>UPPSALA LÄN</t>
        </is>
      </c>
      <c r="E225" t="inlineStr">
        <is>
          <t>ENKÖPING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56163-2021</t>
        </is>
      </c>
      <c r="B226" s="1" t="n">
        <v>44477</v>
      </c>
      <c r="C226" s="1" t="n">
        <v>45880</v>
      </c>
      <c r="D226" t="inlineStr">
        <is>
          <t>UPPSALA LÄN</t>
        </is>
      </c>
      <c r="E226" t="inlineStr">
        <is>
          <t>ENKÖPING</t>
        </is>
      </c>
      <c r="F226" t="inlineStr">
        <is>
          <t>Allmännings- och besparingsskogar</t>
        </is>
      </c>
      <c r="G226" t="n">
        <v>0.6</v>
      </c>
      <c r="H226" t="n">
        <v>0</v>
      </c>
      <c r="I226" t="n">
        <v>0</v>
      </c>
      <c r="J226" t="n">
        <v>0</v>
      </c>
      <c r="K226" t="n">
        <v>0</v>
      </c>
      <c r="L226" t="n">
        <v>0</v>
      </c>
      <c r="M226" t="n">
        <v>0</v>
      </c>
      <c r="N226" t="n">
        <v>0</v>
      </c>
      <c r="O226" t="n">
        <v>0</v>
      </c>
      <c r="P226" t="n">
        <v>0</v>
      </c>
      <c r="Q226" t="n">
        <v>0</v>
      </c>
      <c r="R226" s="2" t="inlineStr"/>
    </row>
    <row r="227" ht="15" customHeight="1">
      <c r="A227" t="inlineStr">
        <is>
          <t>A 15405-2025</t>
        </is>
      </c>
      <c r="B227" s="1" t="n">
        <v>45747.44670138889</v>
      </c>
      <c r="C227" s="1" t="n">
        <v>45880</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12878-2025</t>
        </is>
      </c>
      <c r="B228" s="1" t="n">
        <v>45733.68571759259</v>
      </c>
      <c r="C228" s="1" t="n">
        <v>45880</v>
      </c>
      <c r="D228" t="inlineStr">
        <is>
          <t>UPPSALA LÄN</t>
        </is>
      </c>
      <c r="E228" t="inlineStr">
        <is>
          <t>ENKÖPING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28318-2024</t>
        </is>
      </c>
      <c r="B229" s="1" t="n">
        <v>45477</v>
      </c>
      <c r="C229" s="1" t="n">
        <v>45880</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671-2022</t>
        </is>
      </c>
      <c r="B230" s="1" t="n">
        <v>44568</v>
      </c>
      <c r="C230" s="1" t="n">
        <v>45880</v>
      </c>
      <c r="D230" t="inlineStr">
        <is>
          <t>UPPSALA LÄN</t>
        </is>
      </c>
      <c r="E230" t="inlineStr">
        <is>
          <t>ENKÖPING</t>
        </is>
      </c>
      <c r="G230" t="n">
        <v>3.5</v>
      </c>
      <c r="H230" t="n">
        <v>0</v>
      </c>
      <c r="I230" t="n">
        <v>0</v>
      </c>
      <c r="J230" t="n">
        <v>0</v>
      </c>
      <c r="K230" t="n">
        <v>0</v>
      </c>
      <c r="L230" t="n">
        <v>0</v>
      </c>
      <c r="M230" t="n">
        <v>0</v>
      </c>
      <c r="N230" t="n">
        <v>0</v>
      </c>
      <c r="O230" t="n">
        <v>0</v>
      </c>
      <c r="P230" t="n">
        <v>0</v>
      </c>
      <c r="Q230" t="n">
        <v>0</v>
      </c>
      <c r="R230" s="2" t="inlineStr"/>
    </row>
    <row r="231" ht="15" customHeight="1">
      <c r="A231" t="inlineStr">
        <is>
          <t>A 11005-2023</t>
        </is>
      </c>
      <c r="B231" s="1" t="n">
        <v>44991</v>
      </c>
      <c r="C231" s="1" t="n">
        <v>45880</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52889-2022</t>
        </is>
      </c>
      <c r="B232" s="1" t="n">
        <v>44875</v>
      </c>
      <c r="C232" s="1" t="n">
        <v>45880</v>
      </c>
      <c r="D232" t="inlineStr">
        <is>
          <t>UPPSALA LÄN</t>
        </is>
      </c>
      <c r="E232" t="inlineStr">
        <is>
          <t>ENKÖPING</t>
        </is>
      </c>
      <c r="G232" t="n">
        <v>1.7</v>
      </c>
      <c r="H232" t="n">
        <v>0</v>
      </c>
      <c r="I232" t="n">
        <v>0</v>
      </c>
      <c r="J232" t="n">
        <v>0</v>
      </c>
      <c r="K232" t="n">
        <v>0</v>
      </c>
      <c r="L232" t="n">
        <v>0</v>
      </c>
      <c r="M232" t="n">
        <v>0</v>
      </c>
      <c r="N232" t="n">
        <v>0</v>
      </c>
      <c r="O232" t="n">
        <v>0</v>
      </c>
      <c r="P232" t="n">
        <v>0</v>
      </c>
      <c r="Q232" t="n">
        <v>0</v>
      </c>
      <c r="R232" s="2" t="inlineStr"/>
    </row>
    <row r="233" ht="15" customHeight="1">
      <c r="A233" t="inlineStr">
        <is>
          <t>A 45378-2020</t>
        </is>
      </c>
      <c r="B233" s="1" t="n">
        <v>44089</v>
      </c>
      <c r="C233" s="1" t="n">
        <v>45880</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47681-2024</t>
        </is>
      </c>
      <c r="B234" s="1" t="n">
        <v>45588</v>
      </c>
      <c r="C234" s="1" t="n">
        <v>45880</v>
      </c>
      <c r="D234" t="inlineStr">
        <is>
          <t>UPPSALA LÄN</t>
        </is>
      </c>
      <c r="E234" t="inlineStr">
        <is>
          <t>ENKÖPING</t>
        </is>
      </c>
      <c r="G234" t="n">
        <v>4.2</v>
      </c>
      <c r="H234" t="n">
        <v>0</v>
      </c>
      <c r="I234" t="n">
        <v>0</v>
      </c>
      <c r="J234" t="n">
        <v>0</v>
      </c>
      <c r="K234" t="n">
        <v>0</v>
      </c>
      <c r="L234" t="n">
        <v>0</v>
      </c>
      <c r="M234" t="n">
        <v>0</v>
      </c>
      <c r="N234" t="n">
        <v>0</v>
      </c>
      <c r="O234" t="n">
        <v>0</v>
      </c>
      <c r="P234" t="n">
        <v>0</v>
      </c>
      <c r="Q234" t="n">
        <v>0</v>
      </c>
      <c r="R234" s="2" t="inlineStr"/>
    </row>
    <row r="235" ht="15" customHeight="1">
      <c r="A235" t="inlineStr">
        <is>
          <t>A 29918-2023</t>
        </is>
      </c>
      <c r="B235" s="1" t="n">
        <v>45099</v>
      </c>
      <c r="C235" s="1" t="n">
        <v>45880</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12754-2025</t>
        </is>
      </c>
      <c r="B236" s="1" t="n">
        <v>45733.56331018519</v>
      </c>
      <c r="C236" s="1" t="n">
        <v>45880</v>
      </c>
      <c r="D236" t="inlineStr">
        <is>
          <t>UPPSALA LÄN</t>
        </is>
      </c>
      <c r="E236" t="inlineStr">
        <is>
          <t>ENKÖPING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54588-2024</t>
        </is>
      </c>
      <c r="B237" s="1" t="n">
        <v>45617</v>
      </c>
      <c r="C237" s="1" t="n">
        <v>45880</v>
      </c>
      <c r="D237" t="inlineStr">
        <is>
          <t>UPPSALA LÄN</t>
        </is>
      </c>
      <c r="E237" t="inlineStr">
        <is>
          <t>ENKÖPING</t>
        </is>
      </c>
      <c r="G237" t="n">
        <v>3.7</v>
      </c>
      <c r="H237" t="n">
        <v>0</v>
      </c>
      <c r="I237" t="n">
        <v>0</v>
      </c>
      <c r="J237" t="n">
        <v>0</v>
      </c>
      <c r="K237" t="n">
        <v>0</v>
      </c>
      <c r="L237" t="n">
        <v>0</v>
      </c>
      <c r="M237" t="n">
        <v>0</v>
      </c>
      <c r="N237" t="n">
        <v>0</v>
      </c>
      <c r="O237" t="n">
        <v>0</v>
      </c>
      <c r="P237" t="n">
        <v>0</v>
      </c>
      <c r="Q237" t="n">
        <v>0</v>
      </c>
      <c r="R237" s="2" t="inlineStr"/>
    </row>
    <row r="238" ht="15" customHeight="1">
      <c r="A238" t="inlineStr">
        <is>
          <t>A 14402-2023</t>
        </is>
      </c>
      <c r="B238" s="1" t="n">
        <v>45012</v>
      </c>
      <c r="C238" s="1" t="n">
        <v>45880</v>
      </c>
      <c r="D238" t="inlineStr">
        <is>
          <t>UPPSALA LÄN</t>
        </is>
      </c>
      <c r="E238" t="inlineStr">
        <is>
          <t>ENKÖPING</t>
        </is>
      </c>
      <c r="G238" t="n">
        <v>9.5</v>
      </c>
      <c r="H238" t="n">
        <v>0</v>
      </c>
      <c r="I238" t="n">
        <v>0</v>
      </c>
      <c r="J238" t="n">
        <v>0</v>
      </c>
      <c r="K238" t="n">
        <v>0</v>
      </c>
      <c r="L238" t="n">
        <v>0</v>
      </c>
      <c r="M238" t="n">
        <v>0</v>
      </c>
      <c r="N238" t="n">
        <v>0</v>
      </c>
      <c r="O238" t="n">
        <v>0</v>
      </c>
      <c r="P238" t="n">
        <v>0</v>
      </c>
      <c r="Q238" t="n">
        <v>0</v>
      </c>
      <c r="R238" s="2" t="inlineStr"/>
    </row>
    <row r="239" ht="15" customHeight="1">
      <c r="A239" t="inlineStr">
        <is>
          <t>A 56713-2024</t>
        </is>
      </c>
      <c r="B239" s="1" t="n">
        <v>45628</v>
      </c>
      <c r="C239" s="1" t="n">
        <v>45880</v>
      </c>
      <c r="D239" t="inlineStr">
        <is>
          <t>UPPSALA LÄN</t>
        </is>
      </c>
      <c r="E239" t="inlineStr">
        <is>
          <t>ENKÖPING</t>
        </is>
      </c>
      <c r="G239" t="n">
        <v>1.7</v>
      </c>
      <c r="H239" t="n">
        <v>0</v>
      </c>
      <c r="I239" t="n">
        <v>0</v>
      </c>
      <c r="J239" t="n">
        <v>0</v>
      </c>
      <c r="K239" t="n">
        <v>0</v>
      </c>
      <c r="L239" t="n">
        <v>0</v>
      </c>
      <c r="M239" t="n">
        <v>0</v>
      </c>
      <c r="N239" t="n">
        <v>0</v>
      </c>
      <c r="O239" t="n">
        <v>0</v>
      </c>
      <c r="P239" t="n">
        <v>0</v>
      </c>
      <c r="Q239" t="n">
        <v>0</v>
      </c>
      <c r="R239" s="2" t="inlineStr"/>
    </row>
    <row r="240" ht="15" customHeight="1">
      <c r="A240" t="inlineStr">
        <is>
          <t>A 58384-2022</t>
        </is>
      </c>
      <c r="B240" s="1" t="n">
        <v>44901</v>
      </c>
      <c r="C240" s="1" t="n">
        <v>45880</v>
      </c>
      <c r="D240" t="inlineStr">
        <is>
          <t>UPPSALA LÄN</t>
        </is>
      </c>
      <c r="E240" t="inlineStr">
        <is>
          <t>ENKÖPING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43016-2021</t>
        </is>
      </c>
      <c r="B241" s="1" t="n">
        <v>44431</v>
      </c>
      <c r="C241" s="1" t="n">
        <v>45880</v>
      </c>
      <c r="D241" t="inlineStr">
        <is>
          <t>UPPSALA LÄN</t>
        </is>
      </c>
      <c r="E241" t="inlineStr">
        <is>
          <t>ENKÖPING</t>
        </is>
      </c>
      <c r="G241" t="n">
        <v>1.5</v>
      </c>
      <c r="H241" t="n">
        <v>0</v>
      </c>
      <c r="I241" t="n">
        <v>0</v>
      </c>
      <c r="J241" t="n">
        <v>0</v>
      </c>
      <c r="K241" t="n">
        <v>0</v>
      </c>
      <c r="L241" t="n">
        <v>0</v>
      </c>
      <c r="M241" t="n">
        <v>0</v>
      </c>
      <c r="N241" t="n">
        <v>0</v>
      </c>
      <c r="O241" t="n">
        <v>0</v>
      </c>
      <c r="P241" t="n">
        <v>0</v>
      </c>
      <c r="Q241" t="n">
        <v>0</v>
      </c>
      <c r="R241" s="2" t="inlineStr"/>
    </row>
    <row r="242" ht="15" customHeight="1">
      <c r="A242" t="inlineStr">
        <is>
          <t>A 39115-2024</t>
        </is>
      </c>
      <c r="B242" s="1" t="n">
        <v>45548</v>
      </c>
      <c r="C242" s="1" t="n">
        <v>45880</v>
      </c>
      <c r="D242" t="inlineStr">
        <is>
          <t>UPPSALA LÄN</t>
        </is>
      </c>
      <c r="E242" t="inlineStr">
        <is>
          <t>ENKÖPING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51524-2022</t>
        </is>
      </c>
      <c r="B243" s="1" t="n">
        <v>44869</v>
      </c>
      <c r="C243" s="1" t="n">
        <v>45880</v>
      </c>
      <c r="D243" t="inlineStr">
        <is>
          <t>UPPSALA LÄN</t>
        </is>
      </c>
      <c r="E243" t="inlineStr">
        <is>
          <t>ENKÖPING</t>
        </is>
      </c>
      <c r="G243" t="n">
        <v>6.6</v>
      </c>
      <c r="H243" t="n">
        <v>0</v>
      </c>
      <c r="I243" t="n">
        <v>0</v>
      </c>
      <c r="J243" t="n">
        <v>0</v>
      </c>
      <c r="K243" t="n">
        <v>0</v>
      </c>
      <c r="L243" t="n">
        <v>0</v>
      </c>
      <c r="M243" t="n">
        <v>0</v>
      </c>
      <c r="N243" t="n">
        <v>0</v>
      </c>
      <c r="O243" t="n">
        <v>0</v>
      </c>
      <c r="P243" t="n">
        <v>0</v>
      </c>
      <c r="Q243" t="n">
        <v>0</v>
      </c>
      <c r="R243" s="2" t="inlineStr"/>
    </row>
    <row r="244" ht="15" customHeight="1">
      <c r="A244" t="inlineStr">
        <is>
          <t>A 12020-2024</t>
        </is>
      </c>
      <c r="B244" s="1" t="n">
        <v>45377</v>
      </c>
      <c r="C244" s="1" t="n">
        <v>45880</v>
      </c>
      <c r="D244" t="inlineStr">
        <is>
          <t>UPPSALA LÄN</t>
        </is>
      </c>
      <c r="E244" t="inlineStr">
        <is>
          <t>ENKÖPING</t>
        </is>
      </c>
      <c r="G244" t="n">
        <v>2</v>
      </c>
      <c r="H244" t="n">
        <v>0</v>
      </c>
      <c r="I244" t="n">
        <v>0</v>
      </c>
      <c r="J244" t="n">
        <v>0</v>
      </c>
      <c r="K244" t="n">
        <v>0</v>
      </c>
      <c r="L244" t="n">
        <v>0</v>
      </c>
      <c r="M244" t="n">
        <v>0</v>
      </c>
      <c r="N244" t="n">
        <v>0</v>
      </c>
      <c r="O244" t="n">
        <v>0</v>
      </c>
      <c r="P244" t="n">
        <v>0</v>
      </c>
      <c r="Q244" t="n">
        <v>0</v>
      </c>
      <c r="R244" s="2" t="inlineStr"/>
    </row>
    <row r="245" ht="15" customHeight="1">
      <c r="A245" t="inlineStr">
        <is>
          <t>A 15893-2024</t>
        </is>
      </c>
      <c r="B245" s="1" t="n">
        <v>45405</v>
      </c>
      <c r="C245" s="1" t="n">
        <v>45880</v>
      </c>
      <c r="D245" t="inlineStr">
        <is>
          <t>UPPSALA LÄN</t>
        </is>
      </c>
      <c r="E245" t="inlineStr">
        <is>
          <t>ENKÖPING</t>
        </is>
      </c>
      <c r="G245" t="n">
        <v>1.9</v>
      </c>
      <c r="H245" t="n">
        <v>0</v>
      </c>
      <c r="I245" t="n">
        <v>0</v>
      </c>
      <c r="J245" t="n">
        <v>0</v>
      </c>
      <c r="K245" t="n">
        <v>0</v>
      </c>
      <c r="L245" t="n">
        <v>0</v>
      </c>
      <c r="M245" t="n">
        <v>0</v>
      </c>
      <c r="N245" t="n">
        <v>0</v>
      </c>
      <c r="O245" t="n">
        <v>0</v>
      </c>
      <c r="P245" t="n">
        <v>0</v>
      </c>
      <c r="Q245" t="n">
        <v>0</v>
      </c>
      <c r="R245" s="2" t="inlineStr"/>
    </row>
    <row r="246" ht="15" customHeight="1">
      <c r="A246" t="inlineStr">
        <is>
          <t>A 33343-2024</t>
        </is>
      </c>
      <c r="B246" s="1" t="n">
        <v>45519</v>
      </c>
      <c r="C246" s="1" t="n">
        <v>45880</v>
      </c>
      <c r="D246" t="inlineStr">
        <is>
          <t>UPPSALA LÄN</t>
        </is>
      </c>
      <c r="E246" t="inlineStr">
        <is>
          <t>ENKÖPING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8137-2025</t>
        </is>
      </c>
      <c r="B247" s="1" t="n">
        <v>45707.8561574074</v>
      </c>
      <c r="C247" s="1" t="n">
        <v>45880</v>
      </c>
      <c r="D247" t="inlineStr">
        <is>
          <t>UPPSALA LÄN</t>
        </is>
      </c>
      <c r="E247" t="inlineStr">
        <is>
          <t>ENKÖPING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7868-2024</t>
        </is>
      </c>
      <c r="B248" s="1" t="n">
        <v>45350.33020833333</v>
      </c>
      <c r="C248" s="1" t="n">
        <v>45880</v>
      </c>
      <c r="D248" t="inlineStr">
        <is>
          <t>UPPSALA LÄN</t>
        </is>
      </c>
      <c r="E248" t="inlineStr">
        <is>
          <t>ENKÖPING</t>
        </is>
      </c>
      <c r="G248" t="n">
        <v>0.3</v>
      </c>
      <c r="H248" t="n">
        <v>0</v>
      </c>
      <c r="I248" t="n">
        <v>0</v>
      </c>
      <c r="J248" t="n">
        <v>0</v>
      </c>
      <c r="K248" t="n">
        <v>0</v>
      </c>
      <c r="L248" t="n">
        <v>0</v>
      </c>
      <c r="M248" t="n">
        <v>0</v>
      </c>
      <c r="N248" t="n">
        <v>0</v>
      </c>
      <c r="O248" t="n">
        <v>0</v>
      </c>
      <c r="P248" t="n">
        <v>0</v>
      </c>
      <c r="Q248" t="n">
        <v>0</v>
      </c>
      <c r="R248" s="2" t="inlineStr"/>
    </row>
    <row r="249" ht="15" customHeight="1">
      <c r="A249" t="inlineStr">
        <is>
          <t>A 57142-2021</t>
        </is>
      </c>
      <c r="B249" s="1" t="n">
        <v>44482</v>
      </c>
      <c r="C249" s="1" t="n">
        <v>45880</v>
      </c>
      <c r="D249" t="inlineStr">
        <is>
          <t>UPPSALA LÄN</t>
        </is>
      </c>
      <c r="E249" t="inlineStr">
        <is>
          <t>ENKÖPING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57153-2021</t>
        </is>
      </c>
      <c r="B250" s="1" t="n">
        <v>44482</v>
      </c>
      <c r="C250" s="1" t="n">
        <v>45880</v>
      </c>
      <c r="D250" t="inlineStr">
        <is>
          <t>UPPSALA LÄN</t>
        </is>
      </c>
      <c r="E250" t="inlineStr">
        <is>
          <t>ENKÖPING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5188-2022</t>
        </is>
      </c>
      <c r="B251" s="1" t="n">
        <v>44594.4471412037</v>
      </c>
      <c r="C251" s="1" t="n">
        <v>45880</v>
      </c>
      <c r="D251" t="inlineStr">
        <is>
          <t>UPPSALA LÄN</t>
        </is>
      </c>
      <c r="E251" t="inlineStr">
        <is>
          <t>ENKÖPING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51092-2020</t>
        </is>
      </c>
      <c r="B252" s="1" t="n">
        <v>44112</v>
      </c>
      <c r="C252" s="1" t="n">
        <v>45880</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19014-2025</t>
        </is>
      </c>
      <c r="B253" s="1" t="n">
        <v>45764.59631944444</v>
      </c>
      <c r="C253" s="1" t="n">
        <v>45880</v>
      </c>
      <c r="D253" t="inlineStr">
        <is>
          <t>UPPSALA LÄN</t>
        </is>
      </c>
      <c r="E253" t="inlineStr">
        <is>
          <t>ENKÖPING</t>
        </is>
      </c>
      <c r="G253" t="n">
        <v>0.2</v>
      </c>
      <c r="H253" t="n">
        <v>0</v>
      </c>
      <c r="I253" t="n">
        <v>0</v>
      </c>
      <c r="J253" t="n">
        <v>0</v>
      </c>
      <c r="K253" t="n">
        <v>0</v>
      </c>
      <c r="L253" t="n">
        <v>0</v>
      </c>
      <c r="M253" t="n">
        <v>0</v>
      </c>
      <c r="N253" t="n">
        <v>0</v>
      </c>
      <c r="O253" t="n">
        <v>0</v>
      </c>
      <c r="P253" t="n">
        <v>0</v>
      </c>
      <c r="Q253" t="n">
        <v>0</v>
      </c>
      <c r="R253" s="2" t="inlineStr"/>
    </row>
    <row r="254" ht="15" customHeight="1">
      <c r="A254" t="inlineStr">
        <is>
          <t>A 43691-2024</t>
        </is>
      </c>
      <c r="B254" s="1" t="n">
        <v>45569</v>
      </c>
      <c r="C254" s="1" t="n">
        <v>45880</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69344-2021</t>
        </is>
      </c>
      <c r="B255" s="1" t="n">
        <v>44531</v>
      </c>
      <c r="C255" s="1" t="n">
        <v>45880</v>
      </c>
      <c r="D255" t="inlineStr">
        <is>
          <t>UPPSALA LÄN</t>
        </is>
      </c>
      <c r="E255" t="inlineStr">
        <is>
          <t>ENKÖPING</t>
        </is>
      </c>
      <c r="G255" t="n">
        <v>2.9</v>
      </c>
      <c r="H255" t="n">
        <v>0</v>
      </c>
      <c r="I255" t="n">
        <v>0</v>
      </c>
      <c r="J255" t="n">
        <v>0</v>
      </c>
      <c r="K255" t="n">
        <v>0</v>
      </c>
      <c r="L255" t="n">
        <v>0</v>
      </c>
      <c r="M255" t="n">
        <v>0</v>
      </c>
      <c r="N255" t="n">
        <v>0</v>
      </c>
      <c r="O255" t="n">
        <v>0</v>
      </c>
      <c r="P255" t="n">
        <v>0</v>
      </c>
      <c r="Q255" t="n">
        <v>0</v>
      </c>
      <c r="R255" s="2" t="inlineStr"/>
    </row>
    <row r="256" ht="15" customHeight="1">
      <c r="A256" t="inlineStr">
        <is>
          <t>A 51008-2024</t>
        </is>
      </c>
      <c r="B256" s="1" t="n">
        <v>45603.39041666667</v>
      </c>
      <c r="C256" s="1" t="n">
        <v>45880</v>
      </c>
      <c r="D256" t="inlineStr">
        <is>
          <t>UPPSALA LÄN</t>
        </is>
      </c>
      <c r="E256" t="inlineStr">
        <is>
          <t>ENKÖPING</t>
        </is>
      </c>
      <c r="G256" t="n">
        <v>2.4</v>
      </c>
      <c r="H256" t="n">
        <v>0</v>
      </c>
      <c r="I256" t="n">
        <v>0</v>
      </c>
      <c r="J256" t="n">
        <v>0</v>
      </c>
      <c r="K256" t="n">
        <v>0</v>
      </c>
      <c r="L256" t="n">
        <v>0</v>
      </c>
      <c r="M256" t="n">
        <v>0</v>
      </c>
      <c r="N256" t="n">
        <v>0</v>
      </c>
      <c r="O256" t="n">
        <v>0</v>
      </c>
      <c r="P256" t="n">
        <v>0</v>
      </c>
      <c r="Q256" t="n">
        <v>0</v>
      </c>
      <c r="R256" s="2" t="inlineStr"/>
    </row>
    <row r="257" ht="15" customHeight="1">
      <c r="A257" t="inlineStr">
        <is>
          <t>A 35052-2024</t>
        </is>
      </c>
      <c r="B257" s="1" t="n">
        <v>45527.6516087963</v>
      </c>
      <c r="C257" s="1" t="n">
        <v>45880</v>
      </c>
      <c r="D257" t="inlineStr">
        <is>
          <t>UPPSALA LÄN</t>
        </is>
      </c>
      <c r="E257" t="inlineStr">
        <is>
          <t>ENKÖPING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34124-2021</t>
        </is>
      </c>
      <c r="B258" s="1" t="n">
        <v>44379</v>
      </c>
      <c r="C258" s="1" t="n">
        <v>45880</v>
      </c>
      <c r="D258" t="inlineStr">
        <is>
          <t>UPPSALA LÄN</t>
        </is>
      </c>
      <c r="E258" t="inlineStr">
        <is>
          <t>ENKÖPING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43697-2024</t>
        </is>
      </c>
      <c r="B259" s="1" t="n">
        <v>45569</v>
      </c>
      <c r="C259" s="1" t="n">
        <v>45880</v>
      </c>
      <c r="D259" t="inlineStr">
        <is>
          <t>UPPSALA LÄN</t>
        </is>
      </c>
      <c r="E259" t="inlineStr">
        <is>
          <t>ENKÖPING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27983-2024</t>
        </is>
      </c>
      <c r="B260" s="1" t="n">
        <v>45476</v>
      </c>
      <c r="C260" s="1" t="n">
        <v>45880</v>
      </c>
      <c r="D260" t="inlineStr">
        <is>
          <t>UPPSALA LÄN</t>
        </is>
      </c>
      <c r="E260" t="inlineStr">
        <is>
          <t>ENKÖPING</t>
        </is>
      </c>
      <c r="G260" t="n">
        <v>3.2</v>
      </c>
      <c r="H260" t="n">
        <v>0</v>
      </c>
      <c r="I260" t="n">
        <v>0</v>
      </c>
      <c r="J260" t="n">
        <v>0</v>
      </c>
      <c r="K260" t="n">
        <v>0</v>
      </c>
      <c r="L260" t="n">
        <v>0</v>
      </c>
      <c r="M260" t="n">
        <v>0</v>
      </c>
      <c r="N260" t="n">
        <v>0</v>
      </c>
      <c r="O260" t="n">
        <v>0</v>
      </c>
      <c r="P260" t="n">
        <v>0</v>
      </c>
      <c r="Q260" t="n">
        <v>0</v>
      </c>
      <c r="R260" s="2" t="inlineStr"/>
    </row>
    <row r="261" ht="15" customHeight="1">
      <c r="A261" t="inlineStr">
        <is>
          <t>A 51010-2024</t>
        </is>
      </c>
      <c r="B261" s="1" t="n">
        <v>45603.39285879629</v>
      </c>
      <c r="C261" s="1" t="n">
        <v>45880</v>
      </c>
      <c r="D261" t="inlineStr">
        <is>
          <t>UPPSALA LÄN</t>
        </is>
      </c>
      <c r="E261" t="inlineStr">
        <is>
          <t>ENKÖPING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51042-2024</t>
        </is>
      </c>
      <c r="B262" s="1" t="n">
        <v>45603.4342824074</v>
      </c>
      <c r="C262" s="1" t="n">
        <v>45880</v>
      </c>
      <c r="D262" t="inlineStr">
        <is>
          <t>UPPSALA LÄN</t>
        </is>
      </c>
      <c r="E262" t="inlineStr">
        <is>
          <t>ENKÖPING</t>
        </is>
      </c>
      <c r="G262" t="n">
        <v>4.6</v>
      </c>
      <c r="H262" t="n">
        <v>0</v>
      </c>
      <c r="I262" t="n">
        <v>0</v>
      </c>
      <c r="J262" t="n">
        <v>0</v>
      </c>
      <c r="K262" t="n">
        <v>0</v>
      </c>
      <c r="L262" t="n">
        <v>0</v>
      </c>
      <c r="M262" t="n">
        <v>0</v>
      </c>
      <c r="N262" t="n">
        <v>0</v>
      </c>
      <c r="O262" t="n">
        <v>0</v>
      </c>
      <c r="P262" t="n">
        <v>0</v>
      </c>
      <c r="Q262" t="n">
        <v>0</v>
      </c>
      <c r="R262" s="2" t="inlineStr"/>
    </row>
    <row r="263" ht="15" customHeight="1">
      <c r="A263" t="inlineStr">
        <is>
          <t>A 19376-2024</t>
        </is>
      </c>
      <c r="B263" s="1" t="n">
        <v>45429</v>
      </c>
      <c r="C263" s="1" t="n">
        <v>45880</v>
      </c>
      <c r="D263" t="inlineStr">
        <is>
          <t>UPPSALA LÄN</t>
        </is>
      </c>
      <c r="E263" t="inlineStr">
        <is>
          <t>ENKÖPING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33670-2024</t>
        </is>
      </c>
      <c r="B264" s="1" t="n">
        <v>45520</v>
      </c>
      <c r="C264" s="1" t="n">
        <v>45880</v>
      </c>
      <c r="D264" t="inlineStr">
        <is>
          <t>UPPSALA LÄN</t>
        </is>
      </c>
      <c r="E264" t="inlineStr">
        <is>
          <t>ENKÖPING</t>
        </is>
      </c>
      <c r="G264" t="n">
        <v>1.9</v>
      </c>
      <c r="H264" t="n">
        <v>0</v>
      </c>
      <c r="I264" t="n">
        <v>0</v>
      </c>
      <c r="J264" t="n">
        <v>0</v>
      </c>
      <c r="K264" t="n">
        <v>0</v>
      </c>
      <c r="L264" t="n">
        <v>0</v>
      </c>
      <c r="M264" t="n">
        <v>0</v>
      </c>
      <c r="N264" t="n">
        <v>0</v>
      </c>
      <c r="O264" t="n">
        <v>0</v>
      </c>
      <c r="P264" t="n">
        <v>0</v>
      </c>
      <c r="Q264" t="n">
        <v>0</v>
      </c>
      <c r="R264" s="2" t="inlineStr"/>
    </row>
    <row r="265" ht="15" customHeight="1">
      <c r="A265" t="inlineStr">
        <is>
          <t>A 22912-2024</t>
        </is>
      </c>
      <c r="B265" s="1" t="n">
        <v>45448.73118055556</v>
      </c>
      <c r="C265" s="1" t="n">
        <v>45880</v>
      </c>
      <c r="D265" t="inlineStr">
        <is>
          <t>UPPSALA LÄN</t>
        </is>
      </c>
      <c r="E265" t="inlineStr">
        <is>
          <t>ENKÖPING</t>
        </is>
      </c>
      <c r="G265" t="n">
        <v>2.8</v>
      </c>
      <c r="H265" t="n">
        <v>0</v>
      </c>
      <c r="I265" t="n">
        <v>0</v>
      </c>
      <c r="J265" t="n">
        <v>0</v>
      </c>
      <c r="K265" t="n">
        <v>0</v>
      </c>
      <c r="L265" t="n">
        <v>0</v>
      </c>
      <c r="M265" t="n">
        <v>0</v>
      </c>
      <c r="N265" t="n">
        <v>0</v>
      </c>
      <c r="O265" t="n">
        <v>0</v>
      </c>
      <c r="P265" t="n">
        <v>0</v>
      </c>
      <c r="Q265" t="n">
        <v>0</v>
      </c>
      <c r="R265" s="2" t="inlineStr"/>
    </row>
    <row r="266" ht="15" customHeight="1">
      <c r="A266" t="inlineStr">
        <is>
          <t>A 53149-2020</t>
        </is>
      </c>
      <c r="B266" s="1" t="n">
        <v>44120</v>
      </c>
      <c r="C266" s="1" t="n">
        <v>45880</v>
      </c>
      <c r="D266" t="inlineStr">
        <is>
          <t>UPPSALA LÄN</t>
        </is>
      </c>
      <c r="E266" t="inlineStr">
        <is>
          <t>ENKÖPING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19147-2024</t>
        </is>
      </c>
      <c r="B267" s="1" t="n">
        <v>45428</v>
      </c>
      <c r="C267" s="1" t="n">
        <v>45880</v>
      </c>
      <c r="D267" t="inlineStr">
        <is>
          <t>UPPSALA LÄN</t>
        </is>
      </c>
      <c r="E267" t="inlineStr">
        <is>
          <t>ENKÖPING</t>
        </is>
      </c>
      <c r="G267" t="n">
        <v>1.9</v>
      </c>
      <c r="H267" t="n">
        <v>0</v>
      </c>
      <c r="I267" t="n">
        <v>0</v>
      </c>
      <c r="J267" t="n">
        <v>0</v>
      </c>
      <c r="K267" t="n">
        <v>0</v>
      </c>
      <c r="L267" t="n">
        <v>0</v>
      </c>
      <c r="M267" t="n">
        <v>0</v>
      </c>
      <c r="N267" t="n">
        <v>0</v>
      </c>
      <c r="O267" t="n">
        <v>0</v>
      </c>
      <c r="P267" t="n">
        <v>0</v>
      </c>
      <c r="Q267" t="n">
        <v>0</v>
      </c>
      <c r="R267" s="2" t="inlineStr"/>
    </row>
    <row r="268" ht="15" customHeight="1">
      <c r="A268" t="inlineStr">
        <is>
          <t>A 9667-2024</t>
        </is>
      </c>
      <c r="B268" s="1" t="n">
        <v>45362.45130787037</v>
      </c>
      <c r="C268" s="1" t="n">
        <v>45880</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67982-2021</t>
        </is>
      </c>
      <c r="B269" s="1" t="n">
        <v>44525</v>
      </c>
      <c r="C269" s="1" t="n">
        <v>45880</v>
      </c>
      <c r="D269" t="inlineStr">
        <is>
          <t>UPPSALA LÄN</t>
        </is>
      </c>
      <c r="E269" t="inlineStr">
        <is>
          <t>ENKÖPING</t>
        </is>
      </c>
      <c r="G269" t="n">
        <v>1.7</v>
      </c>
      <c r="H269" t="n">
        <v>0</v>
      </c>
      <c r="I269" t="n">
        <v>0</v>
      </c>
      <c r="J269" t="n">
        <v>0</v>
      </c>
      <c r="K269" t="n">
        <v>0</v>
      </c>
      <c r="L269" t="n">
        <v>0</v>
      </c>
      <c r="M269" t="n">
        <v>0</v>
      </c>
      <c r="N269" t="n">
        <v>0</v>
      </c>
      <c r="O269" t="n">
        <v>0</v>
      </c>
      <c r="P269" t="n">
        <v>0</v>
      </c>
      <c r="Q269" t="n">
        <v>0</v>
      </c>
      <c r="R269" s="2" t="inlineStr"/>
    </row>
    <row r="270" ht="15" customHeight="1">
      <c r="A270" t="inlineStr">
        <is>
          <t>A 14518-2025</t>
        </is>
      </c>
      <c r="B270" s="1" t="n">
        <v>45741</v>
      </c>
      <c r="C270" s="1" t="n">
        <v>45880</v>
      </c>
      <c r="D270" t="inlineStr">
        <is>
          <t>UPPSALA LÄN</t>
        </is>
      </c>
      <c r="E270" t="inlineStr">
        <is>
          <t>ENKÖPING</t>
        </is>
      </c>
      <c r="G270" t="n">
        <v>2</v>
      </c>
      <c r="H270" t="n">
        <v>0</v>
      </c>
      <c r="I270" t="n">
        <v>0</v>
      </c>
      <c r="J270" t="n">
        <v>0</v>
      </c>
      <c r="K270" t="n">
        <v>0</v>
      </c>
      <c r="L270" t="n">
        <v>0</v>
      </c>
      <c r="M270" t="n">
        <v>0</v>
      </c>
      <c r="N270" t="n">
        <v>0</v>
      </c>
      <c r="O270" t="n">
        <v>0</v>
      </c>
      <c r="P270" t="n">
        <v>0</v>
      </c>
      <c r="Q270" t="n">
        <v>0</v>
      </c>
      <c r="R270" s="2" t="inlineStr"/>
    </row>
    <row r="271" ht="15" customHeight="1">
      <c r="A271" t="inlineStr">
        <is>
          <t>A 57831-2024</t>
        </is>
      </c>
      <c r="B271" s="1" t="n">
        <v>45631.39107638889</v>
      </c>
      <c r="C271" s="1" t="n">
        <v>45880</v>
      </c>
      <c r="D271" t="inlineStr">
        <is>
          <t>UPPSALA LÄN</t>
        </is>
      </c>
      <c r="E271" t="inlineStr">
        <is>
          <t>ENKÖPING</t>
        </is>
      </c>
      <c r="G271" t="n">
        <v>7.2</v>
      </c>
      <c r="H271" t="n">
        <v>0</v>
      </c>
      <c r="I271" t="n">
        <v>0</v>
      </c>
      <c r="J271" t="n">
        <v>0</v>
      </c>
      <c r="K271" t="n">
        <v>0</v>
      </c>
      <c r="L271" t="n">
        <v>0</v>
      </c>
      <c r="M271" t="n">
        <v>0</v>
      </c>
      <c r="N271" t="n">
        <v>0</v>
      </c>
      <c r="O271" t="n">
        <v>0</v>
      </c>
      <c r="P271" t="n">
        <v>0</v>
      </c>
      <c r="Q271" t="n">
        <v>0</v>
      </c>
      <c r="R271" s="2" t="inlineStr"/>
    </row>
    <row r="272" ht="15" customHeight="1">
      <c r="A272" t="inlineStr">
        <is>
          <t>A 57835-2024</t>
        </is>
      </c>
      <c r="B272" s="1" t="n">
        <v>45631.39947916667</v>
      </c>
      <c r="C272" s="1" t="n">
        <v>45880</v>
      </c>
      <c r="D272" t="inlineStr">
        <is>
          <t>UPPSALA LÄN</t>
        </is>
      </c>
      <c r="E272" t="inlineStr">
        <is>
          <t>ENKÖPING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57848-2024</t>
        </is>
      </c>
      <c r="B273" s="1" t="n">
        <v>45631.40947916666</v>
      </c>
      <c r="C273" s="1" t="n">
        <v>45880</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21612-2023</t>
        </is>
      </c>
      <c r="B274" s="1" t="n">
        <v>45063</v>
      </c>
      <c r="C274" s="1" t="n">
        <v>45880</v>
      </c>
      <c r="D274" t="inlineStr">
        <is>
          <t>UPPSALA LÄN</t>
        </is>
      </c>
      <c r="E274" t="inlineStr">
        <is>
          <t>ENKÖPING</t>
        </is>
      </c>
      <c r="F274" t="inlineStr">
        <is>
          <t>Allmännings- och besparingsskogar</t>
        </is>
      </c>
      <c r="G274" t="n">
        <v>1</v>
      </c>
      <c r="H274" t="n">
        <v>0</v>
      </c>
      <c r="I274" t="n">
        <v>0</v>
      </c>
      <c r="J274" t="n">
        <v>0</v>
      </c>
      <c r="K274" t="n">
        <v>0</v>
      </c>
      <c r="L274" t="n">
        <v>0</v>
      </c>
      <c r="M274" t="n">
        <v>0</v>
      </c>
      <c r="N274" t="n">
        <v>0</v>
      </c>
      <c r="O274" t="n">
        <v>0</v>
      </c>
      <c r="P274" t="n">
        <v>0</v>
      </c>
      <c r="Q274" t="n">
        <v>0</v>
      </c>
      <c r="R274" s="2" t="inlineStr"/>
    </row>
    <row r="275" ht="15" customHeight="1">
      <c r="A275" t="inlineStr">
        <is>
          <t>A 39624-2023</t>
        </is>
      </c>
      <c r="B275" s="1" t="n">
        <v>45164</v>
      </c>
      <c r="C275" s="1" t="n">
        <v>45880</v>
      </c>
      <c r="D275" t="inlineStr">
        <is>
          <t>UPPSALA LÄN</t>
        </is>
      </c>
      <c r="E275" t="inlineStr">
        <is>
          <t>ENKÖPING</t>
        </is>
      </c>
      <c r="G275" t="n">
        <v>0.9</v>
      </c>
      <c r="H275" t="n">
        <v>0</v>
      </c>
      <c r="I275" t="n">
        <v>0</v>
      </c>
      <c r="J275" t="n">
        <v>0</v>
      </c>
      <c r="K275" t="n">
        <v>0</v>
      </c>
      <c r="L275" t="n">
        <v>0</v>
      </c>
      <c r="M275" t="n">
        <v>0</v>
      </c>
      <c r="N275" t="n">
        <v>0</v>
      </c>
      <c r="O275" t="n">
        <v>0</v>
      </c>
      <c r="P275" t="n">
        <v>0</v>
      </c>
      <c r="Q275" t="n">
        <v>0</v>
      </c>
      <c r="R275" s="2" t="inlineStr"/>
    </row>
    <row r="276" ht="15" customHeight="1">
      <c r="A276" t="inlineStr">
        <is>
          <t>A 43506-2023</t>
        </is>
      </c>
      <c r="B276" s="1" t="n">
        <v>45181</v>
      </c>
      <c r="C276" s="1" t="n">
        <v>45880</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54776-2024</t>
        </is>
      </c>
      <c r="B277" s="1" t="n">
        <v>45618</v>
      </c>
      <c r="C277" s="1" t="n">
        <v>45880</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5892-2023</t>
        </is>
      </c>
      <c r="B278" s="1" t="n">
        <v>44963.64883101852</v>
      </c>
      <c r="C278" s="1" t="n">
        <v>45880</v>
      </c>
      <c r="D278" t="inlineStr">
        <is>
          <t>UPPSALA LÄN</t>
        </is>
      </c>
      <c r="E278" t="inlineStr">
        <is>
          <t>ENKÖPING</t>
        </is>
      </c>
      <c r="G278" t="n">
        <v>5.5</v>
      </c>
      <c r="H278" t="n">
        <v>0</v>
      </c>
      <c r="I278" t="n">
        <v>0</v>
      </c>
      <c r="J278" t="n">
        <v>0</v>
      </c>
      <c r="K278" t="n">
        <v>0</v>
      </c>
      <c r="L278" t="n">
        <v>0</v>
      </c>
      <c r="M278" t="n">
        <v>0</v>
      </c>
      <c r="N278" t="n">
        <v>0</v>
      </c>
      <c r="O278" t="n">
        <v>0</v>
      </c>
      <c r="P278" t="n">
        <v>0</v>
      </c>
      <c r="Q278" t="n">
        <v>0</v>
      </c>
      <c r="R278" s="2" t="inlineStr"/>
    </row>
    <row r="279" ht="15" customHeight="1">
      <c r="A279" t="inlineStr">
        <is>
          <t>A 14004-2023</t>
        </is>
      </c>
      <c r="B279" s="1" t="n">
        <v>45008</v>
      </c>
      <c r="C279" s="1" t="n">
        <v>45880</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22150-2025</t>
        </is>
      </c>
      <c r="B280" s="1" t="n">
        <v>45785.56398148148</v>
      </c>
      <c r="C280" s="1" t="n">
        <v>45880</v>
      </c>
      <c r="D280" t="inlineStr">
        <is>
          <t>UPPSALA LÄN</t>
        </is>
      </c>
      <c r="E280" t="inlineStr">
        <is>
          <t>ENKÖPING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39858-2024</t>
        </is>
      </c>
      <c r="B281" s="1" t="n">
        <v>45553</v>
      </c>
      <c r="C281" s="1" t="n">
        <v>45880</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51012-2024</t>
        </is>
      </c>
      <c r="B282" s="1" t="n">
        <v>45603.39686342593</v>
      </c>
      <c r="C282" s="1" t="n">
        <v>45880</v>
      </c>
      <c r="D282" t="inlineStr">
        <is>
          <t>UPPSALA LÄN</t>
        </is>
      </c>
      <c r="E282" t="inlineStr">
        <is>
          <t>ENKÖPING</t>
        </is>
      </c>
      <c r="G282" t="n">
        <v>2.7</v>
      </c>
      <c r="H282" t="n">
        <v>0</v>
      </c>
      <c r="I282" t="n">
        <v>0</v>
      </c>
      <c r="J282" t="n">
        <v>0</v>
      </c>
      <c r="K282" t="n">
        <v>0</v>
      </c>
      <c r="L282" t="n">
        <v>0</v>
      </c>
      <c r="M282" t="n">
        <v>0</v>
      </c>
      <c r="N282" t="n">
        <v>0</v>
      </c>
      <c r="O282" t="n">
        <v>0</v>
      </c>
      <c r="P282" t="n">
        <v>0</v>
      </c>
      <c r="Q282" t="n">
        <v>0</v>
      </c>
      <c r="R282" s="2" t="inlineStr"/>
    </row>
    <row r="283" ht="15" customHeight="1">
      <c r="A283" t="inlineStr">
        <is>
          <t>A 51037-2024</t>
        </is>
      </c>
      <c r="B283" s="1" t="n">
        <v>45603.43005787037</v>
      </c>
      <c r="C283" s="1" t="n">
        <v>45880</v>
      </c>
      <c r="D283" t="inlineStr">
        <is>
          <t>UPPSALA LÄN</t>
        </is>
      </c>
      <c r="E283" t="inlineStr">
        <is>
          <t>ENKÖPING</t>
        </is>
      </c>
      <c r="G283" t="n">
        <v>5.7</v>
      </c>
      <c r="H283" t="n">
        <v>0</v>
      </c>
      <c r="I283" t="n">
        <v>0</v>
      </c>
      <c r="J283" t="n">
        <v>0</v>
      </c>
      <c r="K283" t="n">
        <v>0</v>
      </c>
      <c r="L283" t="n">
        <v>0</v>
      </c>
      <c r="M283" t="n">
        <v>0</v>
      </c>
      <c r="N283" t="n">
        <v>0</v>
      </c>
      <c r="O283" t="n">
        <v>0</v>
      </c>
      <c r="P283" t="n">
        <v>0</v>
      </c>
      <c r="Q283" t="n">
        <v>0</v>
      </c>
      <c r="R283" s="2" t="inlineStr"/>
    </row>
    <row r="284" ht="15" customHeight="1">
      <c r="A284" t="inlineStr">
        <is>
          <t>A 22156-2025</t>
        </is>
      </c>
      <c r="B284" s="1" t="n">
        <v>45785.57512731481</v>
      </c>
      <c r="C284" s="1" t="n">
        <v>45880</v>
      </c>
      <c r="D284" t="inlineStr">
        <is>
          <t>UPPSALA LÄN</t>
        </is>
      </c>
      <c r="E284" t="inlineStr">
        <is>
          <t>ENKÖPING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30087-2024</t>
        </is>
      </c>
      <c r="B285" s="1" t="n">
        <v>45489.39447916667</v>
      </c>
      <c r="C285" s="1" t="n">
        <v>45880</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49597-2024</t>
        </is>
      </c>
      <c r="B286" s="1" t="n">
        <v>45596.5589699074</v>
      </c>
      <c r="C286" s="1" t="n">
        <v>45880</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41828-2024</t>
        </is>
      </c>
      <c r="B287" s="1" t="n">
        <v>45561</v>
      </c>
      <c r="C287" s="1" t="n">
        <v>45880</v>
      </c>
      <c r="D287" t="inlineStr">
        <is>
          <t>UPPSALA LÄN</t>
        </is>
      </c>
      <c r="E287" t="inlineStr">
        <is>
          <t>ENKÖPING</t>
        </is>
      </c>
      <c r="G287" t="n">
        <v>2.5</v>
      </c>
      <c r="H287" t="n">
        <v>0</v>
      </c>
      <c r="I287" t="n">
        <v>0</v>
      </c>
      <c r="J287" t="n">
        <v>0</v>
      </c>
      <c r="K287" t="n">
        <v>0</v>
      </c>
      <c r="L287" t="n">
        <v>0</v>
      </c>
      <c r="M287" t="n">
        <v>0</v>
      </c>
      <c r="N287" t="n">
        <v>0</v>
      </c>
      <c r="O287" t="n">
        <v>0</v>
      </c>
      <c r="P287" t="n">
        <v>0</v>
      </c>
      <c r="Q287" t="n">
        <v>0</v>
      </c>
      <c r="R287" s="2" t="inlineStr"/>
    </row>
    <row r="288" ht="15" customHeight="1">
      <c r="A288" t="inlineStr">
        <is>
          <t>A 22632-2025</t>
        </is>
      </c>
      <c r="B288" s="1" t="n">
        <v>45789.44361111111</v>
      </c>
      <c r="C288" s="1" t="n">
        <v>45880</v>
      </c>
      <c r="D288" t="inlineStr">
        <is>
          <t>UPPSALA LÄN</t>
        </is>
      </c>
      <c r="E288" t="inlineStr">
        <is>
          <t>ENKÖPING</t>
        </is>
      </c>
      <c r="G288" t="n">
        <v>2.1</v>
      </c>
      <c r="H288" t="n">
        <v>0</v>
      </c>
      <c r="I288" t="n">
        <v>0</v>
      </c>
      <c r="J288" t="n">
        <v>0</v>
      </c>
      <c r="K288" t="n">
        <v>0</v>
      </c>
      <c r="L288" t="n">
        <v>0</v>
      </c>
      <c r="M288" t="n">
        <v>0</v>
      </c>
      <c r="N288" t="n">
        <v>0</v>
      </c>
      <c r="O288" t="n">
        <v>0</v>
      </c>
      <c r="P288" t="n">
        <v>0</v>
      </c>
      <c r="Q288" t="n">
        <v>0</v>
      </c>
      <c r="R288" s="2" t="inlineStr"/>
    </row>
    <row r="289" ht="15" customHeight="1">
      <c r="A289" t="inlineStr">
        <is>
          <t>A 22677-2025</t>
        </is>
      </c>
      <c r="B289" s="1" t="n">
        <v>45789.49515046296</v>
      </c>
      <c r="C289" s="1" t="n">
        <v>45880</v>
      </c>
      <c r="D289" t="inlineStr">
        <is>
          <t>UPPSALA LÄN</t>
        </is>
      </c>
      <c r="E289" t="inlineStr">
        <is>
          <t>ENKÖPING</t>
        </is>
      </c>
      <c r="G289" t="n">
        <v>1</v>
      </c>
      <c r="H289" t="n">
        <v>0</v>
      </c>
      <c r="I289" t="n">
        <v>0</v>
      </c>
      <c r="J289" t="n">
        <v>0</v>
      </c>
      <c r="K289" t="n">
        <v>0</v>
      </c>
      <c r="L289" t="n">
        <v>0</v>
      </c>
      <c r="M289" t="n">
        <v>0</v>
      </c>
      <c r="N289" t="n">
        <v>0</v>
      </c>
      <c r="O289" t="n">
        <v>0</v>
      </c>
      <c r="P289" t="n">
        <v>0</v>
      </c>
      <c r="Q289" t="n">
        <v>0</v>
      </c>
      <c r="R289" s="2" t="inlineStr"/>
    </row>
    <row r="290" ht="15" customHeight="1">
      <c r="A290" t="inlineStr">
        <is>
          <t>A 22679-2025</t>
        </is>
      </c>
      <c r="B290" s="1" t="n">
        <v>45789.49747685185</v>
      </c>
      <c r="C290" s="1" t="n">
        <v>45880</v>
      </c>
      <c r="D290" t="inlineStr">
        <is>
          <t>UPPSALA LÄN</t>
        </is>
      </c>
      <c r="E290" t="inlineStr">
        <is>
          <t>ENKÖPING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22729-2025</t>
        </is>
      </c>
      <c r="B291" s="1" t="n">
        <v>45789.57790509259</v>
      </c>
      <c r="C291" s="1" t="n">
        <v>45880</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22786-2025</t>
        </is>
      </c>
      <c r="B292" s="1" t="n">
        <v>45789.64643518518</v>
      </c>
      <c r="C292" s="1" t="n">
        <v>45880</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22795-2025</t>
        </is>
      </c>
      <c r="B293" s="1" t="n">
        <v>45789.65944444444</v>
      </c>
      <c r="C293" s="1" t="n">
        <v>45880</v>
      </c>
      <c r="D293" t="inlineStr">
        <is>
          <t>UPPSALA LÄN</t>
        </is>
      </c>
      <c r="E293" t="inlineStr">
        <is>
          <t>ENKÖPING</t>
        </is>
      </c>
      <c r="G293" t="n">
        <v>10.4</v>
      </c>
      <c r="H293" t="n">
        <v>0</v>
      </c>
      <c r="I293" t="n">
        <v>0</v>
      </c>
      <c r="J293" t="n">
        <v>0</v>
      </c>
      <c r="K293" t="n">
        <v>0</v>
      </c>
      <c r="L293" t="n">
        <v>0</v>
      </c>
      <c r="M293" t="n">
        <v>0</v>
      </c>
      <c r="N293" t="n">
        <v>0</v>
      </c>
      <c r="O293" t="n">
        <v>0</v>
      </c>
      <c r="P293" t="n">
        <v>0</v>
      </c>
      <c r="Q293" t="n">
        <v>0</v>
      </c>
      <c r="R293" s="2" t="inlineStr"/>
    </row>
    <row r="294" ht="15" customHeight="1">
      <c r="A294" t="inlineStr">
        <is>
          <t>A 22802-2025</t>
        </is>
      </c>
      <c r="B294" s="1" t="n">
        <v>45789.6686574074</v>
      </c>
      <c r="C294" s="1" t="n">
        <v>45880</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9957-2023</t>
        </is>
      </c>
      <c r="B295" s="1" t="n">
        <v>44978</v>
      </c>
      <c r="C295" s="1" t="n">
        <v>45880</v>
      </c>
      <c r="D295" t="inlineStr">
        <is>
          <t>UPPSALA LÄN</t>
        </is>
      </c>
      <c r="E295" t="inlineStr">
        <is>
          <t>ENKÖPING</t>
        </is>
      </c>
      <c r="G295" t="n">
        <v>5.9</v>
      </c>
      <c r="H295" t="n">
        <v>0</v>
      </c>
      <c r="I295" t="n">
        <v>0</v>
      </c>
      <c r="J295" t="n">
        <v>0</v>
      </c>
      <c r="K295" t="n">
        <v>0</v>
      </c>
      <c r="L295" t="n">
        <v>0</v>
      </c>
      <c r="M295" t="n">
        <v>0</v>
      </c>
      <c r="N295" t="n">
        <v>0</v>
      </c>
      <c r="O295" t="n">
        <v>0</v>
      </c>
      <c r="P295" t="n">
        <v>0</v>
      </c>
      <c r="Q295" t="n">
        <v>0</v>
      </c>
      <c r="R295" s="2" t="inlineStr"/>
    </row>
    <row r="296" ht="15" customHeight="1">
      <c r="A296" t="inlineStr">
        <is>
          <t>A 10465-2022</t>
        </is>
      </c>
      <c r="B296" s="1" t="n">
        <v>44623</v>
      </c>
      <c r="C296" s="1" t="n">
        <v>45880</v>
      </c>
      <c r="D296" t="inlineStr">
        <is>
          <t>UPPSALA LÄN</t>
        </is>
      </c>
      <c r="E296" t="inlineStr">
        <is>
          <t>ENKÖPING</t>
        </is>
      </c>
      <c r="G296" t="n">
        <v>1.7</v>
      </c>
      <c r="H296" t="n">
        <v>0</v>
      </c>
      <c r="I296" t="n">
        <v>0</v>
      </c>
      <c r="J296" t="n">
        <v>0</v>
      </c>
      <c r="K296" t="n">
        <v>0</v>
      </c>
      <c r="L296" t="n">
        <v>0</v>
      </c>
      <c r="M296" t="n">
        <v>0</v>
      </c>
      <c r="N296" t="n">
        <v>0</v>
      </c>
      <c r="O296" t="n">
        <v>0</v>
      </c>
      <c r="P296" t="n">
        <v>0</v>
      </c>
      <c r="Q296" t="n">
        <v>0</v>
      </c>
      <c r="R296" s="2" t="inlineStr"/>
    </row>
    <row r="297" ht="15" customHeight="1">
      <c r="A297" t="inlineStr">
        <is>
          <t>A 8152-2022</t>
        </is>
      </c>
      <c r="B297" s="1" t="n">
        <v>44609</v>
      </c>
      <c r="C297" s="1" t="n">
        <v>45880</v>
      </c>
      <c r="D297" t="inlineStr">
        <is>
          <t>UPPSALA LÄN</t>
        </is>
      </c>
      <c r="E297" t="inlineStr">
        <is>
          <t>ENKÖPING</t>
        </is>
      </c>
      <c r="F297" t="inlineStr">
        <is>
          <t>Kyrkan</t>
        </is>
      </c>
      <c r="G297" t="n">
        <v>1.3</v>
      </c>
      <c r="H297" t="n">
        <v>0</v>
      </c>
      <c r="I297" t="n">
        <v>0</v>
      </c>
      <c r="J297" t="n">
        <v>0</v>
      </c>
      <c r="K297" t="n">
        <v>0</v>
      </c>
      <c r="L297" t="n">
        <v>0</v>
      </c>
      <c r="M297" t="n">
        <v>0</v>
      </c>
      <c r="N297" t="n">
        <v>0</v>
      </c>
      <c r="O297" t="n">
        <v>0</v>
      </c>
      <c r="P297" t="n">
        <v>0</v>
      </c>
      <c r="Q297" t="n">
        <v>0</v>
      </c>
      <c r="R297" s="2" t="inlineStr"/>
    </row>
    <row r="298" ht="15" customHeight="1">
      <c r="A298" t="inlineStr">
        <is>
          <t>A 22680-2025</t>
        </is>
      </c>
      <c r="B298" s="1" t="n">
        <v>45789.5005787037</v>
      </c>
      <c r="C298" s="1" t="n">
        <v>45880</v>
      </c>
      <c r="D298" t="inlineStr">
        <is>
          <t>UPPSALA LÄN</t>
        </is>
      </c>
      <c r="E298" t="inlineStr">
        <is>
          <t>ENKÖPING</t>
        </is>
      </c>
      <c r="G298" t="n">
        <v>1</v>
      </c>
      <c r="H298" t="n">
        <v>0</v>
      </c>
      <c r="I298" t="n">
        <v>0</v>
      </c>
      <c r="J298" t="n">
        <v>0</v>
      </c>
      <c r="K298" t="n">
        <v>0</v>
      </c>
      <c r="L298" t="n">
        <v>0</v>
      </c>
      <c r="M298" t="n">
        <v>0</v>
      </c>
      <c r="N298" t="n">
        <v>0</v>
      </c>
      <c r="O298" t="n">
        <v>0</v>
      </c>
      <c r="P298" t="n">
        <v>0</v>
      </c>
      <c r="Q298" t="n">
        <v>0</v>
      </c>
      <c r="R298" s="2" t="inlineStr"/>
    </row>
    <row r="299" ht="15" customHeight="1">
      <c r="A299" t="inlineStr">
        <is>
          <t>A 6981-2025</t>
        </is>
      </c>
      <c r="B299" s="1" t="n">
        <v>45701</v>
      </c>
      <c r="C299" s="1" t="n">
        <v>45880</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22770-2025</t>
        </is>
      </c>
      <c r="B300" s="1" t="n">
        <v>45789.63454861111</v>
      </c>
      <c r="C300" s="1" t="n">
        <v>45880</v>
      </c>
      <c r="D300" t="inlineStr">
        <is>
          <t>UPPSALA LÄN</t>
        </is>
      </c>
      <c r="E300" t="inlineStr">
        <is>
          <t>ENKÖPING</t>
        </is>
      </c>
      <c r="G300" t="n">
        <v>4.5</v>
      </c>
      <c r="H300" t="n">
        <v>0</v>
      </c>
      <c r="I300" t="n">
        <v>0</v>
      </c>
      <c r="J300" t="n">
        <v>0</v>
      </c>
      <c r="K300" t="n">
        <v>0</v>
      </c>
      <c r="L300" t="n">
        <v>0</v>
      </c>
      <c r="M300" t="n">
        <v>0</v>
      </c>
      <c r="N300" t="n">
        <v>0</v>
      </c>
      <c r="O300" t="n">
        <v>0</v>
      </c>
      <c r="P300" t="n">
        <v>0</v>
      </c>
      <c r="Q300" t="n">
        <v>0</v>
      </c>
      <c r="R300" s="2" t="inlineStr"/>
    </row>
    <row r="301" ht="15" customHeight="1">
      <c r="A301" t="inlineStr">
        <is>
          <t>A 22725-2025</t>
        </is>
      </c>
      <c r="B301" s="1" t="n">
        <v>45789.57371527778</v>
      </c>
      <c r="C301" s="1" t="n">
        <v>45880</v>
      </c>
      <c r="D301" t="inlineStr">
        <is>
          <t>UPPSALA LÄN</t>
        </is>
      </c>
      <c r="E301" t="inlineStr">
        <is>
          <t>ENKÖPING</t>
        </is>
      </c>
      <c r="G301" t="n">
        <v>4.8</v>
      </c>
      <c r="H301" t="n">
        <v>0</v>
      </c>
      <c r="I301" t="n">
        <v>0</v>
      </c>
      <c r="J301" t="n">
        <v>0</v>
      </c>
      <c r="K301" t="n">
        <v>0</v>
      </c>
      <c r="L301" t="n">
        <v>0</v>
      </c>
      <c r="M301" t="n">
        <v>0</v>
      </c>
      <c r="N301" t="n">
        <v>0</v>
      </c>
      <c r="O301" t="n">
        <v>0</v>
      </c>
      <c r="P301" t="n">
        <v>0</v>
      </c>
      <c r="Q301" t="n">
        <v>0</v>
      </c>
      <c r="R301" s="2" t="inlineStr"/>
    </row>
    <row r="302" ht="15" customHeight="1">
      <c r="A302" t="inlineStr">
        <is>
          <t>A 22981-2025</t>
        </is>
      </c>
      <c r="B302" s="1" t="n">
        <v>45790.56964120371</v>
      </c>
      <c r="C302" s="1" t="n">
        <v>45880</v>
      </c>
      <c r="D302" t="inlineStr">
        <is>
          <t>UPPSALA LÄN</t>
        </is>
      </c>
      <c r="E302" t="inlineStr">
        <is>
          <t>ENKÖPING</t>
        </is>
      </c>
      <c r="G302" t="n">
        <v>1.5</v>
      </c>
      <c r="H302" t="n">
        <v>0</v>
      </c>
      <c r="I302" t="n">
        <v>0</v>
      </c>
      <c r="J302" t="n">
        <v>0</v>
      </c>
      <c r="K302" t="n">
        <v>0</v>
      </c>
      <c r="L302" t="n">
        <v>0</v>
      </c>
      <c r="M302" t="n">
        <v>0</v>
      </c>
      <c r="N302" t="n">
        <v>0</v>
      </c>
      <c r="O302" t="n">
        <v>0</v>
      </c>
      <c r="P302" t="n">
        <v>0</v>
      </c>
      <c r="Q302" t="n">
        <v>0</v>
      </c>
      <c r="R302" s="2" t="inlineStr"/>
    </row>
    <row r="303" ht="15" customHeight="1">
      <c r="A303" t="inlineStr">
        <is>
          <t>A 23020-2025</t>
        </is>
      </c>
      <c r="B303" s="1" t="n">
        <v>45790.64706018518</v>
      </c>
      <c r="C303" s="1" t="n">
        <v>45880</v>
      </c>
      <c r="D303" t="inlineStr">
        <is>
          <t>UPPSALA LÄN</t>
        </is>
      </c>
      <c r="E303" t="inlineStr">
        <is>
          <t>ENKÖPING</t>
        </is>
      </c>
      <c r="G303" t="n">
        <v>5.2</v>
      </c>
      <c r="H303" t="n">
        <v>0</v>
      </c>
      <c r="I303" t="n">
        <v>0</v>
      </c>
      <c r="J303" t="n">
        <v>0</v>
      </c>
      <c r="K303" t="n">
        <v>0</v>
      </c>
      <c r="L303" t="n">
        <v>0</v>
      </c>
      <c r="M303" t="n">
        <v>0</v>
      </c>
      <c r="N303" t="n">
        <v>0</v>
      </c>
      <c r="O303" t="n">
        <v>0</v>
      </c>
      <c r="P303" t="n">
        <v>0</v>
      </c>
      <c r="Q303" t="n">
        <v>0</v>
      </c>
      <c r="R303" s="2" t="inlineStr"/>
    </row>
    <row r="304" ht="15" customHeight="1">
      <c r="A304" t="inlineStr">
        <is>
          <t>A 17657-2025</t>
        </is>
      </c>
      <c r="B304" s="1" t="n">
        <v>45758.35006944444</v>
      </c>
      <c r="C304" s="1" t="n">
        <v>45880</v>
      </c>
      <c r="D304" t="inlineStr">
        <is>
          <t>UPPSALA LÄN</t>
        </is>
      </c>
      <c r="E304" t="inlineStr">
        <is>
          <t>ENKÖPING</t>
        </is>
      </c>
      <c r="G304" t="n">
        <v>3</v>
      </c>
      <c r="H304" t="n">
        <v>0</v>
      </c>
      <c r="I304" t="n">
        <v>0</v>
      </c>
      <c r="J304" t="n">
        <v>0</v>
      </c>
      <c r="K304" t="n">
        <v>0</v>
      </c>
      <c r="L304" t="n">
        <v>0</v>
      </c>
      <c r="M304" t="n">
        <v>0</v>
      </c>
      <c r="N304" t="n">
        <v>0</v>
      </c>
      <c r="O304" t="n">
        <v>0</v>
      </c>
      <c r="P304" t="n">
        <v>0</v>
      </c>
      <c r="Q304" t="n">
        <v>0</v>
      </c>
      <c r="R304" s="2" t="inlineStr"/>
    </row>
    <row r="305" ht="15" customHeight="1">
      <c r="A305" t="inlineStr">
        <is>
          <t>A 68123-2021</t>
        </is>
      </c>
      <c r="B305" s="1" t="n">
        <v>44526.39126157408</v>
      </c>
      <c r="C305" s="1" t="n">
        <v>45880</v>
      </c>
      <c r="D305" t="inlineStr">
        <is>
          <t>UPPSALA LÄN</t>
        </is>
      </c>
      <c r="E305" t="inlineStr">
        <is>
          <t>ENKÖPING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22793-2025</t>
        </is>
      </c>
      <c r="B306" s="1" t="n">
        <v>45789.65693287037</v>
      </c>
      <c r="C306" s="1" t="n">
        <v>45880</v>
      </c>
      <c r="D306" t="inlineStr">
        <is>
          <t>UPPSALA LÄN</t>
        </is>
      </c>
      <c r="E306" t="inlineStr">
        <is>
          <t>ENKÖPING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22800-2025</t>
        </is>
      </c>
      <c r="B307" s="1" t="n">
        <v>45789.6669212963</v>
      </c>
      <c r="C307" s="1" t="n">
        <v>45880</v>
      </c>
      <c r="D307" t="inlineStr">
        <is>
          <t>UPPSALA LÄN</t>
        </is>
      </c>
      <c r="E307" t="inlineStr">
        <is>
          <t>ENKÖPING</t>
        </is>
      </c>
      <c r="G307" t="n">
        <v>2</v>
      </c>
      <c r="H307" t="n">
        <v>0</v>
      </c>
      <c r="I307" t="n">
        <v>0</v>
      </c>
      <c r="J307" t="n">
        <v>0</v>
      </c>
      <c r="K307" t="n">
        <v>0</v>
      </c>
      <c r="L307" t="n">
        <v>0</v>
      </c>
      <c r="M307" t="n">
        <v>0</v>
      </c>
      <c r="N307" t="n">
        <v>0</v>
      </c>
      <c r="O307" t="n">
        <v>0</v>
      </c>
      <c r="P307" t="n">
        <v>0</v>
      </c>
      <c r="Q307" t="n">
        <v>0</v>
      </c>
      <c r="R307" s="2" t="inlineStr"/>
    </row>
    <row r="308" ht="15" customHeight="1">
      <c r="A308" t="inlineStr">
        <is>
          <t>A 5013-2025</t>
        </is>
      </c>
      <c r="B308" s="1" t="n">
        <v>45691</v>
      </c>
      <c r="C308" s="1" t="n">
        <v>45880</v>
      </c>
      <c r="D308" t="inlineStr">
        <is>
          <t>UPPSALA LÄN</t>
        </is>
      </c>
      <c r="E308" t="inlineStr">
        <is>
          <t>ENKÖPING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11503-2024</t>
        </is>
      </c>
      <c r="B309" s="1" t="n">
        <v>45372.68020833333</v>
      </c>
      <c r="C309" s="1" t="n">
        <v>45880</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15939-2022</t>
        </is>
      </c>
      <c r="B310" s="1" t="n">
        <v>44664</v>
      </c>
      <c r="C310" s="1" t="n">
        <v>45880</v>
      </c>
      <c r="D310" t="inlineStr">
        <is>
          <t>UPPSALA LÄN</t>
        </is>
      </c>
      <c r="E310" t="inlineStr">
        <is>
          <t>ENKÖPING</t>
        </is>
      </c>
      <c r="G310" t="n">
        <v>2</v>
      </c>
      <c r="H310" t="n">
        <v>0</v>
      </c>
      <c r="I310" t="n">
        <v>0</v>
      </c>
      <c r="J310" t="n">
        <v>0</v>
      </c>
      <c r="K310" t="n">
        <v>0</v>
      </c>
      <c r="L310" t="n">
        <v>0</v>
      </c>
      <c r="M310" t="n">
        <v>0</v>
      </c>
      <c r="N310" t="n">
        <v>0</v>
      </c>
      <c r="O310" t="n">
        <v>0</v>
      </c>
      <c r="P310" t="n">
        <v>0</v>
      </c>
      <c r="Q310" t="n">
        <v>0</v>
      </c>
      <c r="R310" s="2" t="inlineStr"/>
    </row>
    <row r="311" ht="15" customHeight="1">
      <c r="A311" t="inlineStr">
        <is>
          <t>A 2164-2023</t>
        </is>
      </c>
      <c r="B311" s="1" t="n">
        <v>44941</v>
      </c>
      <c r="C311" s="1" t="n">
        <v>45880</v>
      </c>
      <c r="D311" t="inlineStr">
        <is>
          <t>UPPSALA LÄN</t>
        </is>
      </c>
      <c r="E311" t="inlineStr">
        <is>
          <t>ENKÖPING</t>
        </is>
      </c>
      <c r="G311" t="n">
        <v>2.5</v>
      </c>
      <c r="H311" t="n">
        <v>0</v>
      </c>
      <c r="I311" t="n">
        <v>0</v>
      </c>
      <c r="J311" t="n">
        <v>0</v>
      </c>
      <c r="K311" t="n">
        <v>0</v>
      </c>
      <c r="L311" t="n">
        <v>0</v>
      </c>
      <c r="M311" t="n">
        <v>0</v>
      </c>
      <c r="N311" t="n">
        <v>0</v>
      </c>
      <c r="O311" t="n">
        <v>0</v>
      </c>
      <c r="P311" t="n">
        <v>0</v>
      </c>
      <c r="Q311" t="n">
        <v>0</v>
      </c>
      <c r="R311" s="2" t="inlineStr"/>
    </row>
    <row r="312" ht="15" customHeight="1">
      <c r="A312" t="inlineStr">
        <is>
          <t>A 50394-2024</t>
        </is>
      </c>
      <c r="B312" s="1" t="n">
        <v>45600</v>
      </c>
      <c r="C312" s="1" t="n">
        <v>45880</v>
      </c>
      <c r="D312" t="inlineStr">
        <is>
          <t>UPPSALA LÄN</t>
        </is>
      </c>
      <c r="E312" t="inlineStr">
        <is>
          <t>ENKÖPING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72840-2021</t>
        </is>
      </c>
      <c r="B313" s="1" t="n">
        <v>44547</v>
      </c>
      <c r="C313" s="1" t="n">
        <v>45880</v>
      </c>
      <c r="D313" t="inlineStr">
        <is>
          <t>UPPSALA LÄN</t>
        </is>
      </c>
      <c r="E313" t="inlineStr">
        <is>
          <t>ENKÖPING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17729-2023</t>
        </is>
      </c>
      <c r="B314" s="1" t="n">
        <v>45037</v>
      </c>
      <c r="C314" s="1" t="n">
        <v>45880</v>
      </c>
      <c r="D314" t="inlineStr">
        <is>
          <t>UPPSALA LÄN</t>
        </is>
      </c>
      <c r="E314" t="inlineStr">
        <is>
          <t>ENKÖPING</t>
        </is>
      </c>
      <c r="G314" t="n">
        <v>10.2</v>
      </c>
      <c r="H314" t="n">
        <v>0</v>
      </c>
      <c r="I314" t="n">
        <v>0</v>
      </c>
      <c r="J314" t="n">
        <v>0</v>
      </c>
      <c r="K314" t="n">
        <v>0</v>
      </c>
      <c r="L314" t="n">
        <v>0</v>
      </c>
      <c r="M314" t="n">
        <v>0</v>
      </c>
      <c r="N314" t="n">
        <v>0</v>
      </c>
      <c r="O314" t="n">
        <v>0</v>
      </c>
      <c r="P314" t="n">
        <v>0</v>
      </c>
      <c r="Q314" t="n">
        <v>0</v>
      </c>
      <c r="R314" s="2" t="inlineStr"/>
    </row>
    <row r="315" ht="15" customHeight="1">
      <c r="A315" t="inlineStr">
        <is>
          <t>A 57841-2024</t>
        </is>
      </c>
      <c r="B315" s="1" t="n">
        <v>45631.40591435185</v>
      </c>
      <c r="C315" s="1" t="n">
        <v>45880</v>
      </c>
      <c r="D315" t="inlineStr">
        <is>
          <t>UPPSALA LÄN</t>
        </is>
      </c>
      <c r="E315" t="inlineStr">
        <is>
          <t>ENKÖPING</t>
        </is>
      </c>
      <c r="G315" t="n">
        <v>3.4</v>
      </c>
      <c r="H315" t="n">
        <v>0</v>
      </c>
      <c r="I315" t="n">
        <v>0</v>
      </c>
      <c r="J315" t="n">
        <v>0</v>
      </c>
      <c r="K315" t="n">
        <v>0</v>
      </c>
      <c r="L315" t="n">
        <v>0</v>
      </c>
      <c r="M315" t="n">
        <v>0</v>
      </c>
      <c r="N315" t="n">
        <v>0</v>
      </c>
      <c r="O315" t="n">
        <v>0</v>
      </c>
      <c r="P315" t="n">
        <v>0</v>
      </c>
      <c r="Q315" t="n">
        <v>0</v>
      </c>
      <c r="R315" s="2" t="inlineStr"/>
    </row>
    <row r="316" ht="15" customHeight="1">
      <c r="A316" t="inlineStr">
        <is>
          <t>A 5749-2025</t>
        </is>
      </c>
      <c r="B316" s="1" t="n">
        <v>45694</v>
      </c>
      <c r="C316" s="1" t="n">
        <v>45880</v>
      </c>
      <c r="D316" t="inlineStr">
        <is>
          <t>UPPSALA LÄN</t>
        </is>
      </c>
      <c r="E316" t="inlineStr">
        <is>
          <t>ENKÖPING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32031-2025</t>
        </is>
      </c>
      <c r="B317" s="1" t="n">
        <v>45835.41712962963</v>
      </c>
      <c r="C317" s="1" t="n">
        <v>45880</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33955-2024</t>
        </is>
      </c>
      <c r="B318" s="1" t="n">
        <v>45523.46952546296</v>
      </c>
      <c r="C318" s="1" t="n">
        <v>45880</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8020-2022</t>
        </is>
      </c>
      <c r="B319" s="1" t="n">
        <v>44609</v>
      </c>
      <c r="C319" s="1" t="n">
        <v>45880</v>
      </c>
      <c r="D319" t="inlineStr">
        <is>
          <t>UPPSALA LÄN</t>
        </is>
      </c>
      <c r="E319" t="inlineStr">
        <is>
          <t>ENKÖPING</t>
        </is>
      </c>
      <c r="G319" t="n">
        <v>6</v>
      </c>
      <c r="H319" t="n">
        <v>0</v>
      </c>
      <c r="I319" t="n">
        <v>0</v>
      </c>
      <c r="J319" t="n">
        <v>0</v>
      </c>
      <c r="K319" t="n">
        <v>0</v>
      </c>
      <c r="L319" t="n">
        <v>0</v>
      </c>
      <c r="M319" t="n">
        <v>0</v>
      </c>
      <c r="N319" t="n">
        <v>0</v>
      </c>
      <c r="O319" t="n">
        <v>0</v>
      </c>
      <c r="P319" t="n">
        <v>0</v>
      </c>
      <c r="Q319" t="n">
        <v>0</v>
      </c>
      <c r="R319" s="2" t="inlineStr"/>
    </row>
    <row r="320" ht="15" customHeight="1">
      <c r="A320" t="inlineStr">
        <is>
          <t>A 6172-2023</t>
        </is>
      </c>
      <c r="B320" s="1" t="n">
        <v>44964.68663194445</v>
      </c>
      <c r="C320" s="1" t="n">
        <v>45880</v>
      </c>
      <c r="D320" t="inlineStr">
        <is>
          <t>UPPSALA LÄN</t>
        </is>
      </c>
      <c r="E320" t="inlineStr">
        <is>
          <t>ENKÖPING</t>
        </is>
      </c>
      <c r="G320" t="n">
        <v>2.6</v>
      </c>
      <c r="H320" t="n">
        <v>0</v>
      </c>
      <c r="I320" t="n">
        <v>0</v>
      </c>
      <c r="J320" t="n">
        <v>0</v>
      </c>
      <c r="K320" t="n">
        <v>0</v>
      </c>
      <c r="L320" t="n">
        <v>0</v>
      </c>
      <c r="M320" t="n">
        <v>0</v>
      </c>
      <c r="N320" t="n">
        <v>0</v>
      </c>
      <c r="O320" t="n">
        <v>0</v>
      </c>
      <c r="P320" t="n">
        <v>0</v>
      </c>
      <c r="Q320" t="n">
        <v>0</v>
      </c>
      <c r="R320" s="2" t="inlineStr"/>
    </row>
    <row r="321" ht="15" customHeight="1">
      <c r="A321" t="inlineStr">
        <is>
          <t>A 10409-2025</t>
        </is>
      </c>
      <c r="B321" s="1" t="n">
        <v>45720.631875</v>
      </c>
      <c r="C321" s="1" t="n">
        <v>45880</v>
      </c>
      <c r="D321" t="inlineStr">
        <is>
          <t>UPPSALA LÄN</t>
        </is>
      </c>
      <c r="E321" t="inlineStr">
        <is>
          <t>ENKÖPING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37870-2023</t>
        </is>
      </c>
      <c r="B322" s="1" t="n">
        <v>45160.41996527778</v>
      </c>
      <c r="C322" s="1" t="n">
        <v>45880</v>
      </c>
      <c r="D322" t="inlineStr">
        <is>
          <t>UPPSALA LÄN</t>
        </is>
      </c>
      <c r="E322" t="inlineStr">
        <is>
          <t>ENKÖPING</t>
        </is>
      </c>
      <c r="G322" t="n">
        <v>3.5</v>
      </c>
      <c r="H322" t="n">
        <v>0</v>
      </c>
      <c r="I322" t="n">
        <v>0</v>
      </c>
      <c r="J322" t="n">
        <v>0</v>
      </c>
      <c r="K322" t="n">
        <v>0</v>
      </c>
      <c r="L322" t="n">
        <v>0</v>
      </c>
      <c r="M322" t="n">
        <v>0</v>
      </c>
      <c r="N322" t="n">
        <v>0</v>
      </c>
      <c r="O322" t="n">
        <v>0</v>
      </c>
      <c r="P322" t="n">
        <v>0</v>
      </c>
      <c r="Q322" t="n">
        <v>0</v>
      </c>
      <c r="R322" s="2" t="inlineStr"/>
    </row>
    <row r="323" ht="15" customHeight="1">
      <c r="A323" t="inlineStr">
        <is>
          <t>A 7090-2022</t>
        </is>
      </c>
      <c r="B323" s="1" t="n">
        <v>44603.59520833333</v>
      </c>
      <c r="C323" s="1" t="n">
        <v>45880</v>
      </c>
      <c r="D323" t="inlineStr">
        <is>
          <t>UPPSALA LÄN</t>
        </is>
      </c>
      <c r="E323" t="inlineStr">
        <is>
          <t>ENKÖPING</t>
        </is>
      </c>
      <c r="G323" t="n">
        <v>2.8</v>
      </c>
      <c r="H323" t="n">
        <v>0</v>
      </c>
      <c r="I323" t="n">
        <v>0</v>
      </c>
      <c r="J323" t="n">
        <v>0</v>
      </c>
      <c r="K323" t="n">
        <v>0</v>
      </c>
      <c r="L323" t="n">
        <v>0</v>
      </c>
      <c r="M323" t="n">
        <v>0</v>
      </c>
      <c r="N323" t="n">
        <v>0</v>
      </c>
      <c r="O323" t="n">
        <v>0</v>
      </c>
      <c r="P323" t="n">
        <v>0</v>
      </c>
      <c r="Q323" t="n">
        <v>0</v>
      </c>
      <c r="R323" s="2" t="inlineStr"/>
    </row>
    <row r="324" ht="15" customHeight="1">
      <c r="A324" t="inlineStr">
        <is>
          <t>A 49063-2024</t>
        </is>
      </c>
      <c r="B324" s="1" t="n">
        <v>45594.59869212963</v>
      </c>
      <c r="C324" s="1" t="n">
        <v>45880</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34805-2024</t>
        </is>
      </c>
      <c r="B325" s="1" t="n">
        <v>45526</v>
      </c>
      <c r="C325" s="1" t="n">
        <v>45880</v>
      </c>
      <c r="D325" t="inlineStr">
        <is>
          <t>UPPSALA LÄN</t>
        </is>
      </c>
      <c r="E325" t="inlineStr">
        <is>
          <t>ENKÖPING</t>
        </is>
      </c>
      <c r="G325" t="n">
        <v>3.6</v>
      </c>
      <c r="H325" t="n">
        <v>0</v>
      </c>
      <c r="I325" t="n">
        <v>0</v>
      </c>
      <c r="J325" t="n">
        <v>0</v>
      </c>
      <c r="K325" t="n">
        <v>0</v>
      </c>
      <c r="L325" t="n">
        <v>0</v>
      </c>
      <c r="M325" t="n">
        <v>0</v>
      </c>
      <c r="N325" t="n">
        <v>0</v>
      </c>
      <c r="O325" t="n">
        <v>0</v>
      </c>
      <c r="P325" t="n">
        <v>0</v>
      </c>
      <c r="Q325" t="n">
        <v>0</v>
      </c>
      <c r="R325" s="2" t="inlineStr"/>
    </row>
    <row r="326" ht="15" customHeight="1">
      <c r="A326" t="inlineStr">
        <is>
          <t>A 314-2025</t>
        </is>
      </c>
      <c r="B326" s="1" t="n">
        <v>45656</v>
      </c>
      <c r="C326" s="1" t="n">
        <v>45880</v>
      </c>
      <c r="D326" t="inlineStr">
        <is>
          <t>UPPSALA LÄN</t>
        </is>
      </c>
      <c r="E326" t="inlineStr">
        <is>
          <t>ENKÖPING</t>
        </is>
      </c>
      <c r="G326" t="n">
        <v>9</v>
      </c>
      <c r="H326" t="n">
        <v>0</v>
      </c>
      <c r="I326" t="n">
        <v>0</v>
      </c>
      <c r="J326" t="n">
        <v>0</v>
      </c>
      <c r="K326" t="n">
        <v>0</v>
      </c>
      <c r="L326" t="n">
        <v>0</v>
      </c>
      <c r="M326" t="n">
        <v>0</v>
      </c>
      <c r="N326" t="n">
        <v>0</v>
      </c>
      <c r="O326" t="n">
        <v>0</v>
      </c>
      <c r="P326" t="n">
        <v>0</v>
      </c>
      <c r="Q326" t="n">
        <v>0</v>
      </c>
      <c r="R326" s="2" t="inlineStr"/>
    </row>
    <row r="327" ht="15" customHeight="1">
      <c r="A327" t="inlineStr">
        <is>
          <t>A 14083-2025</t>
        </is>
      </c>
      <c r="B327" s="1" t="n">
        <v>45740</v>
      </c>
      <c r="C327" s="1" t="n">
        <v>45880</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10831-2024</t>
        </is>
      </c>
      <c r="B328" s="1" t="n">
        <v>45369</v>
      </c>
      <c r="C328" s="1" t="n">
        <v>45880</v>
      </c>
      <c r="D328" t="inlineStr">
        <is>
          <t>UPPSALA LÄN</t>
        </is>
      </c>
      <c r="E328" t="inlineStr">
        <is>
          <t>ENKÖPING</t>
        </is>
      </c>
      <c r="G328" t="n">
        <v>2.9</v>
      </c>
      <c r="H328" t="n">
        <v>0</v>
      </c>
      <c r="I328" t="n">
        <v>0</v>
      </c>
      <c r="J328" t="n">
        <v>0</v>
      </c>
      <c r="K328" t="n">
        <v>0</v>
      </c>
      <c r="L328" t="n">
        <v>0</v>
      </c>
      <c r="M328" t="n">
        <v>0</v>
      </c>
      <c r="N328" t="n">
        <v>0</v>
      </c>
      <c r="O328" t="n">
        <v>0</v>
      </c>
      <c r="P328" t="n">
        <v>0</v>
      </c>
      <c r="Q328" t="n">
        <v>0</v>
      </c>
      <c r="R328" s="2" t="inlineStr"/>
    </row>
    <row r="329" ht="15" customHeight="1">
      <c r="A329" t="inlineStr">
        <is>
          <t>A 19298-2023</t>
        </is>
      </c>
      <c r="B329" s="1" t="n">
        <v>45048</v>
      </c>
      <c r="C329" s="1" t="n">
        <v>45880</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5712-2025</t>
        </is>
      </c>
      <c r="B330" s="1" t="n">
        <v>45694</v>
      </c>
      <c r="C330" s="1" t="n">
        <v>45880</v>
      </c>
      <c r="D330" t="inlineStr">
        <is>
          <t>UPPSALA LÄN</t>
        </is>
      </c>
      <c r="E330" t="inlineStr">
        <is>
          <t>ENKÖPING</t>
        </is>
      </c>
      <c r="G330" t="n">
        <v>5.1</v>
      </c>
      <c r="H330" t="n">
        <v>0</v>
      </c>
      <c r="I330" t="n">
        <v>0</v>
      </c>
      <c r="J330" t="n">
        <v>0</v>
      </c>
      <c r="K330" t="n">
        <v>0</v>
      </c>
      <c r="L330" t="n">
        <v>0</v>
      </c>
      <c r="M330" t="n">
        <v>0</v>
      </c>
      <c r="N330" t="n">
        <v>0</v>
      </c>
      <c r="O330" t="n">
        <v>0</v>
      </c>
      <c r="P330" t="n">
        <v>0</v>
      </c>
      <c r="Q330" t="n">
        <v>0</v>
      </c>
      <c r="R330" s="2" t="inlineStr"/>
    </row>
    <row r="331" ht="15" customHeight="1">
      <c r="A331" t="inlineStr">
        <is>
          <t>A 18986-2025</t>
        </is>
      </c>
      <c r="B331" s="1" t="n">
        <v>45764.56089120371</v>
      </c>
      <c r="C331" s="1" t="n">
        <v>45880</v>
      </c>
      <c r="D331" t="inlineStr">
        <is>
          <t>UPPSALA LÄN</t>
        </is>
      </c>
      <c r="E331" t="inlineStr">
        <is>
          <t>ENKÖPING</t>
        </is>
      </c>
      <c r="G331" t="n">
        <v>6.9</v>
      </c>
      <c r="H331" t="n">
        <v>0</v>
      </c>
      <c r="I331" t="n">
        <v>0</v>
      </c>
      <c r="J331" t="n">
        <v>0</v>
      </c>
      <c r="K331" t="n">
        <v>0</v>
      </c>
      <c r="L331" t="n">
        <v>0</v>
      </c>
      <c r="M331" t="n">
        <v>0</v>
      </c>
      <c r="N331" t="n">
        <v>0</v>
      </c>
      <c r="O331" t="n">
        <v>0</v>
      </c>
      <c r="P331" t="n">
        <v>0</v>
      </c>
      <c r="Q331" t="n">
        <v>0</v>
      </c>
      <c r="R331" s="2" t="inlineStr"/>
    </row>
    <row r="332" ht="15" customHeight="1">
      <c r="A332" t="inlineStr">
        <is>
          <t>A 45956-2024</t>
        </is>
      </c>
      <c r="B332" s="1" t="n">
        <v>45580</v>
      </c>
      <c r="C332" s="1" t="n">
        <v>45880</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69567-2020</t>
        </is>
      </c>
      <c r="B333" s="1" t="n">
        <v>44194</v>
      </c>
      <c r="C333" s="1" t="n">
        <v>45880</v>
      </c>
      <c r="D333" t="inlineStr">
        <is>
          <t>UPPSALA LÄN</t>
        </is>
      </c>
      <c r="E333" t="inlineStr">
        <is>
          <t>ENKÖPING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15409-2025</t>
        </is>
      </c>
      <c r="B334" s="1" t="n">
        <v>45747</v>
      </c>
      <c r="C334" s="1" t="n">
        <v>45880</v>
      </c>
      <c r="D334" t="inlineStr">
        <is>
          <t>UPPSALA LÄN</t>
        </is>
      </c>
      <c r="E334" t="inlineStr">
        <is>
          <t>ENKÖPING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11627-2025</t>
        </is>
      </c>
      <c r="B335" s="1" t="n">
        <v>45727</v>
      </c>
      <c r="C335" s="1" t="n">
        <v>45880</v>
      </c>
      <c r="D335" t="inlineStr">
        <is>
          <t>UPPSALA LÄN</t>
        </is>
      </c>
      <c r="E335" t="inlineStr">
        <is>
          <t>ENKÖPING</t>
        </is>
      </c>
      <c r="G335" t="n">
        <v>5.5</v>
      </c>
      <c r="H335" t="n">
        <v>0</v>
      </c>
      <c r="I335" t="n">
        <v>0</v>
      </c>
      <c r="J335" t="n">
        <v>0</v>
      </c>
      <c r="K335" t="n">
        <v>0</v>
      </c>
      <c r="L335" t="n">
        <v>0</v>
      </c>
      <c r="M335" t="n">
        <v>0</v>
      </c>
      <c r="N335" t="n">
        <v>0</v>
      </c>
      <c r="O335" t="n">
        <v>0</v>
      </c>
      <c r="P335" t="n">
        <v>0</v>
      </c>
      <c r="Q335" t="n">
        <v>0</v>
      </c>
      <c r="R335" s="2" t="inlineStr"/>
    </row>
    <row r="336" ht="15" customHeight="1">
      <c r="A336" t="inlineStr">
        <is>
          <t>A 74090-2021</t>
        </is>
      </c>
      <c r="B336" s="1" t="n">
        <v>44557</v>
      </c>
      <c r="C336" s="1" t="n">
        <v>45880</v>
      </c>
      <c r="D336" t="inlineStr">
        <is>
          <t>UPPSALA LÄN</t>
        </is>
      </c>
      <c r="E336" t="inlineStr">
        <is>
          <t>ENKÖPING</t>
        </is>
      </c>
      <c r="G336" t="n">
        <v>2.1</v>
      </c>
      <c r="H336" t="n">
        <v>0</v>
      </c>
      <c r="I336" t="n">
        <v>0</v>
      </c>
      <c r="J336" t="n">
        <v>0</v>
      </c>
      <c r="K336" t="n">
        <v>0</v>
      </c>
      <c r="L336" t="n">
        <v>0</v>
      </c>
      <c r="M336" t="n">
        <v>0</v>
      </c>
      <c r="N336" t="n">
        <v>0</v>
      </c>
      <c r="O336" t="n">
        <v>0</v>
      </c>
      <c r="P336" t="n">
        <v>0</v>
      </c>
      <c r="Q336" t="n">
        <v>0</v>
      </c>
      <c r="R336" s="2" t="inlineStr"/>
    </row>
    <row r="337" ht="15" customHeight="1">
      <c r="A337" t="inlineStr">
        <is>
          <t>A 21686-2022</t>
        </is>
      </c>
      <c r="B337" s="1" t="n">
        <v>44707</v>
      </c>
      <c r="C337" s="1" t="n">
        <v>45880</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29479-2022</t>
        </is>
      </c>
      <c r="B338" s="1" t="n">
        <v>44753.57265046296</v>
      </c>
      <c r="C338" s="1" t="n">
        <v>45880</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45880</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6298-2021</t>
        </is>
      </c>
      <c r="B340" s="1" t="n">
        <v>44235</v>
      </c>
      <c r="C340" s="1" t="n">
        <v>45880</v>
      </c>
      <c r="D340" t="inlineStr">
        <is>
          <t>UPPSALA LÄN</t>
        </is>
      </c>
      <c r="E340" t="inlineStr">
        <is>
          <t>ENKÖPING</t>
        </is>
      </c>
      <c r="G340" t="n">
        <v>1.4</v>
      </c>
      <c r="H340" t="n">
        <v>0</v>
      </c>
      <c r="I340" t="n">
        <v>0</v>
      </c>
      <c r="J340" t="n">
        <v>0</v>
      </c>
      <c r="K340" t="n">
        <v>0</v>
      </c>
      <c r="L340" t="n">
        <v>0</v>
      </c>
      <c r="M340" t="n">
        <v>0</v>
      </c>
      <c r="N340" t="n">
        <v>0</v>
      </c>
      <c r="O340" t="n">
        <v>0</v>
      </c>
      <c r="P340" t="n">
        <v>0</v>
      </c>
      <c r="Q340" t="n">
        <v>0</v>
      </c>
      <c r="R340" s="2" t="inlineStr"/>
    </row>
    <row r="341" ht="15" customHeight="1">
      <c r="A341" t="inlineStr">
        <is>
          <t>A 32111-2025</t>
        </is>
      </c>
      <c r="B341" s="1" t="n">
        <v>45835</v>
      </c>
      <c r="C341" s="1" t="n">
        <v>45880</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20186-2023</t>
        </is>
      </c>
      <c r="B342" s="1" t="n">
        <v>45055.56934027778</v>
      </c>
      <c r="C342" s="1" t="n">
        <v>45880</v>
      </c>
      <c r="D342" t="inlineStr">
        <is>
          <t>UPPSALA LÄN</t>
        </is>
      </c>
      <c r="E342" t="inlineStr">
        <is>
          <t>ENKÖPING</t>
        </is>
      </c>
      <c r="G342" t="n">
        <v>4.3</v>
      </c>
      <c r="H342" t="n">
        <v>0</v>
      </c>
      <c r="I342" t="n">
        <v>0</v>
      </c>
      <c r="J342" t="n">
        <v>0</v>
      </c>
      <c r="K342" t="n">
        <v>0</v>
      </c>
      <c r="L342" t="n">
        <v>0</v>
      </c>
      <c r="M342" t="n">
        <v>0</v>
      </c>
      <c r="N342" t="n">
        <v>0</v>
      </c>
      <c r="O342" t="n">
        <v>0</v>
      </c>
      <c r="P342" t="n">
        <v>0</v>
      </c>
      <c r="Q342" t="n">
        <v>0</v>
      </c>
      <c r="R342" s="2" t="inlineStr"/>
    </row>
    <row r="343" ht="15" customHeight="1">
      <c r="A343" t="inlineStr">
        <is>
          <t>A 34617-2022</t>
        </is>
      </c>
      <c r="B343" s="1" t="n">
        <v>44795</v>
      </c>
      <c r="C343" s="1" t="n">
        <v>45880</v>
      </c>
      <c r="D343" t="inlineStr">
        <is>
          <t>UPPSALA LÄN</t>
        </is>
      </c>
      <c r="E343" t="inlineStr">
        <is>
          <t>ENKÖPING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40202-2024</t>
        </is>
      </c>
      <c r="B344" s="1" t="n">
        <v>45554</v>
      </c>
      <c r="C344" s="1" t="n">
        <v>45880</v>
      </c>
      <c r="D344" t="inlineStr">
        <is>
          <t>UPPSALA LÄN</t>
        </is>
      </c>
      <c r="E344" t="inlineStr">
        <is>
          <t>ENKÖPING</t>
        </is>
      </c>
      <c r="G344" t="n">
        <v>6.2</v>
      </c>
      <c r="H344" t="n">
        <v>0</v>
      </c>
      <c r="I344" t="n">
        <v>0</v>
      </c>
      <c r="J344" t="n">
        <v>0</v>
      </c>
      <c r="K344" t="n">
        <v>0</v>
      </c>
      <c r="L344" t="n">
        <v>0</v>
      </c>
      <c r="M344" t="n">
        <v>0</v>
      </c>
      <c r="N344" t="n">
        <v>0</v>
      </c>
      <c r="O344" t="n">
        <v>0</v>
      </c>
      <c r="P344" t="n">
        <v>0</v>
      </c>
      <c r="Q344" t="n">
        <v>0</v>
      </c>
      <c r="R344" s="2" t="inlineStr"/>
    </row>
    <row r="345" ht="15" customHeight="1">
      <c r="A345" t="inlineStr">
        <is>
          <t>A 40223-2024</t>
        </is>
      </c>
      <c r="B345" s="1" t="n">
        <v>45554</v>
      </c>
      <c r="C345" s="1" t="n">
        <v>45880</v>
      </c>
      <c r="D345" t="inlineStr">
        <is>
          <t>UPPSALA LÄN</t>
        </is>
      </c>
      <c r="E345" t="inlineStr">
        <is>
          <t>ENKÖPING</t>
        </is>
      </c>
      <c r="G345" t="n">
        <v>1.9</v>
      </c>
      <c r="H345" t="n">
        <v>0</v>
      </c>
      <c r="I345" t="n">
        <v>0</v>
      </c>
      <c r="J345" t="n">
        <v>0</v>
      </c>
      <c r="K345" t="n">
        <v>0</v>
      </c>
      <c r="L345" t="n">
        <v>0</v>
      </c>
      <c r="M345" t="n">
        <v>0</v>
      </c>
      <c r="N345" t="n">
        <v>0</v>
      </c>
      <c r="O345" t="n">
        <v>0</v>
      </c>
      <c r="P345" t="n">
        <v>0</v>
      </c>
      <c r="Q345" t="n">
        <v>0</v>
      </c>
      <c r="R345" s="2" t="inlineStr"/>
    </row>
    <row r="346" ht="15" customHeight="1">
      <c r="A346" t="inlineStr">
        <is>
          <t>A 69879-2021</t>
        </is>
      </c>
      <c r="B346" s="1" t="n">
        <v>44532</v>
      </c>
      <c r="C346" s="1" t="n">
        <v>45880</v>
      </c>
      <c r="D346" t="inlineStr">
        <is>
          <t>UPPSALA LÄN</t>
        </is>
      </c>
      <c r="E346" t="inlineStr">
        <is>
          <t>ENKÖPING</t>
        </is>
      </c>
      <c r="G346" t="n">
        <v>4.2</v>
      </c>
      <c r="H346" t="n">
        <v>0</v>
      </c>
      <c r="I346" t="n">
        <v>0</v>
      </c>
      <c r="J346" t="n">
        <v>0</v>
      </c>
      <c r="K346" t="n">
        <v>0</v>
      </c>
      <c r="L346" t="n">
        <v>0</v>
      </c>
      <c r="M346" t="n">
        <v>0</v>
      </c>
      <c r="N346" t="n">
        <v>0</v>
      </c>
      <c r="O346" t="n">
        <v>0</v>
      </c>
      <c r="P346" t="n">
        <v>0</v>
      </c>
      <c r="Q346" t="n">
        <v>0</v>
      </c>
      <c r="R346" s="2" t="inlineStr"/>
    </row>
    <row r="347" ht="15" customHeight="1">
      <c r="A347" t="inlineStr">
        <is>
          <t>A 19013-2025</t>
        </is>
      </c>
      <c r="B347" s="1" t="n">
        <v>45764.59533564815</v>
      </c>
      <c r="C347" s="1" t="n">
        <v>45880</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59441-2020</t>
        </is>
      </c>
      <c r="B348" s="1" t="n">
        <v>44148</v>
      </c>
      <c r="C348" s="1" t="n">
        <v>45880</v>
      </c>
      <c r="D348" t="inlineStr">
        <is>
          <t>UPPSALA LÄN</t>
        </is>
      </c>
      <c r="E348" t="inlineStr">
        <is>
          <t>ENKÖPING</t>
        </is>
      </c>
      <c r="G348" t="n">
        <v>4.8</v>
      </c>
      <c r="H348" t="n">
        <v>0</v>
      </c>
      <c r="I348" t="n">
        <v>0</v>
      </c>
      <c r="J348" t="n">
        <v>0</v>
      </c>
      <c r="K348" t="n">
        <v>0</v>
      </c>
      <c r="L348" t="n">
        <v>0</v>
      </c>
      <c r="M348" t="n">
        <v>0</v>
      </c>
      <c r="N348" t="n">
        <v>0</v>
      </c>
      <c r="O348" t="n">
        <v>0</v>
      </c>
      <c r="P348" t="n">
        <v>0</v>
      </c>
      <c r="Q348" t="n">
        <v>0</v>
      </c>
      <c r="R348" s="2" t="inlineStr"/>
    </row>
    <row r="349" ht="15" customHeight="1">
      <c r="A349" t="inlineStr">
        <is>
          <t>A 57335-2024</t>
        </is>
      </c>
      <c r="B349" s="1" t="n">
        <v>45629.63302083333</v>
      </c>
      <c r="C349" s="1" t="n">
        <v>45880</v>
      </c>
      <c r="D349" t="inlineStr">
        <is>
          <t>UPPSALA LÄN</t>
        </is>
      </c>
      <c r="E349" t="inlineStr">
        <is>
          <t>ENKÖPING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9662-2025</t>
        </is>
      </c>
      <c r="B350" s="1" t="n">
        <v>45716</v>
      </c>
      <c r="C350" s="1" t="n">
        <v>45880</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23301-2024</t>
        </is>
      </c>
      <c r="B351" s="1" t="n">
        <v>45453.4396412037</v>
      </c>
      <c r="C351" s="1" t="n">
        <v>45880</v>
      </c>
      <c r="D351" t="inlineStr">
        <is>
          <t>UPPSALA LÄN</t>
        </is>
      </c>
      <c r="E351" t="inlineStr">
        <is>
          <t>ENKÖPING</t>
        </is>
      </c>
      <c r="G351" t="n">
        <v>4.3</v>
      </c>
      <c r="H351" t="n">
        <v>0</v>
      </c>
      <c r="I351" t="n">
        <v>0</v>
      </c>
      <c r="J351" t="n">
        <v>0</v>
      </c>
      <c r="K351" t="n">
        <v>0</v>
      </c>
      <c r="L351" t="n">
        <v>0</v>
      </c>
      <c r="M351" t="n">
        <v>0</v>
      </c>
      <c r="N351" t="n">
        <v>0</v>
      </c>
      <c r="O351" t="n">
        <v>0</v>
      </c>
      <c r="P351" t="n">
        <v>0</v>
      </c>
      <c r="Q351" t="n">
        <v>0</v>
      </c>
      <c r="R351" s="2" t="inlineStr"/>
    </row>
    <row r="352" ht="15" customHeight="1">
      <c r="A352" t="inlineStr">
        <is>
          <t>A 57328-2024</t>
        </is>
      </c>
      <c r="B352" s="1" t="n">
        <v>45629.62798611111</v>
      </c>
      <c r="C352" s="1" t="n">
        <v>45880</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2833-2025</t>
        </is>
      </c>
      <c r="B353" s="1" t="n">
        <v>45677.63206018518</v>
      </c>
      <c r="C353" s="1" t="n">
        <v>45880</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58092-2024</t>
        </is>
      </c>
      <c r="B354" s="1" t="n">
        <v>45632</v>
      </c>
      <c r="C354" s="1" t="n">
        <v>45880</v>
      </c>
      <c r="D354" t="inlineStr">
        <is>
          <t>UPPSALA LÄN</t>
        </is>
      </c>
      <c r="E354" t="inlineStr">
        <is>
          <t>ENKÖPING</t>
        </is>
      </c>
      <c r="G354" t="n">
        <v>4.8</v>
      </c>
      <c r="H354" t="n">
        <v>0</v>
      </c>
      <c r="I354" t="n">
        <v>0</v>
      </c>
      <c r="J354" t="n">
        <v>0</v>
      </c>
      <c r="K354" t="n">
        <v>0</v>
      </c>
      <c r="L354" t="n">
        <v>0</v>
      </c>
      <c r="M354" t="n">
        <v>0</v>
      </c>
      <c r="N354" t="n">
        <v>0</v>
      </c>
      <c r="O354" t="n">
        <v>0</v>
      </c>
      <c r="P354" t="n">
        <v>0</v>
      </c>
      <c r="Q354" t="n">
        <v>0</v>
      </c>
      <c r="R354" s="2" t="inlineStr"/>
    </row>
    <row r="355" ht="15" customHeight="1">
      <c r="A355" t="inlineStr">
        <is>
          <t>A 33619-2022</t>
        </is>
      </c>
      <c r="B355" s="1" t="n">
        <v>44789</v>
      </c>
      <c r="C355" s="1" t="n">
        <v>45880</v>
      </c>
      <c r="D355" t="inlineStr">
        <is>
          <t>UPPSALA LÄN</t>
        </is>
      </c>
      <c r="E355" t="inlineStr">
        <is>
          <t>ENKÖPING</t>
        </is>
      </c>
      <c r="F355" t="inlineStr">
        <is>
          <t>Allmännings- och besparingsskogar</t>
        </is>
      </c>
      <c r="G355" t="n">
        <v>4.5</v>
      </c>
      <c r="H355" t="n">
        <v>0</v>
      </c>
      <c r="I355" t="n">
        <v>0</v>
      </c>
      <c r="J355" t="n">
        <v>0</v>
      </c>
      <c r="K355" t="n">
        <v>0</v>
      </c>
      <c r="L355" t="n">
        <v>0</v>
      </c>
      <c r="M355" t="n">
        <v>0</v>
      </c>
      <c r="N355" t="n">
        <v>0</v>
      </c>
      <c r="O355" t="n">
        <v>0</v>
      </c>
      <c r="P355" t="n">
        <v>0</v>
      </c>
      <c r="Q355" t="n">
        <v>0</v>
      </c>
      <c r="R355" s="2" t="inlineStr"/>
    </row>
    <row r="356" ht="15" customHeight="1">
      <c r="A356" t="inlineStr">
        <is>
          <t>A 56837-2024</t>
        </is>
      </c>
      <c r="B356" s="1" t="n">
        <v>45628</v>
      </c>
      <c r="C356" s="1" t="n">
        <v>45880</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31604-2023</t>
        </is>
      </c>
      <c r="B357" s="1" t="n">
        <v>45117.50368055556</v>
      </c>
      <c r="C357" s="1" t="n">
        <v>45880</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24411-2024</t>
        </is>
      </c>
      <c r="B358" s="1" t="n">
        <v>45457</v>
      </c>
      <c r="C358" s="1" t="n">
        <v>45880</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25988-2025</t>
        </is>
      </c>
      <c r="B359" s="1" t="n">
        <v>45804.64814814815</v>
      </c>
      <c r="C359" s="1" t="n">
        <v>45880</v>
      </c>
      <c r="D359" t="inlineStr">
        <is>
          <t>UPPSALA LÄN</t>
        </is>
      </c>
      <c r="E359" t="inlineStr">
        <is>
          <t>ENKÖPING</t>
        </is>
      </c>
      <c r="G359" t="n">
        <v>4.7</v>
      </c>
      <c r="H359" t="n">
        <v>0</v>
      </c>
      <c r="I359" t="n">
        <v>0</v>
      </c>
      <c r="J359" t="n">
        <v>0</v>
      </c>
      <c r="K359" t="n">
        <v>0</v>
      </c>
      <c r="L359" t="n">
        <v>0</v>
      </c>
      <c r="M359" t="n">
        <v>0</v>
      </c>
      <c r="N359" t="n">
        <v>0</v>
      </c>
      <c r="O359" t="n">
        <v>0</v>
      </c>
      <c r="P359" t="n">
        <v>0</v>
      </c>
      <c r="Q359" t="n">
        <v>0</v>
      </c>
      <c r="R359" s="2" t="inlineStr"/>
    </row>
    <row r="360" ht="15" customHeight="1">
      <c r="A360" t="inlineStr">
        <is>
          <t>A 26017-2025</t>
        </is>
      </c>
      <c r="B360" s="1" t="n">
        <v>45804</v>
      </c>
      <c r="C360" s="1" t="n">
        <v>45880</v>
      </c>
      <c r="D360" t="inlineStr">
        <is>
          <t>UPPSALA LÄN</t>
        </is>
      </c>
      <c r="E360" t="inlineStr">
        <is>
          <t>ENKÖPING</t>
        </is>
      </c>
      <c r="G360" t="n">
        <v>0.4</v>
      </c>
      <c r="H360" t="n">
        <v>0</v>
      </c>
      <c r="I360" t="n">
        <v>0</v>
      </c>
      <c r="J360" t="n">
        <v>0</v>
      </c>
      <c r="K360" t="n">
        <v>0</v>
      </c>
      <c r="L360" t="n">
        <v>0</v>
      </c>
      <c r="M360" t="n">
        <v>0</v>
      </c>
      <c r="N360" t="n">
        <v>0</v>
      </c>
      <c r="O360" t="n">
        <v>0</v>
      </c>
      <c r="P360" t="n">
        <v>0</v>
      </c>
      <c r="Q360" t="n">
        <v>0</v>
      </c>
      <c r="R360" s="2" t="inlineStr"/>
    </row>
    <row r="361" ht="15" customHeight="1">
      <c r="A361" t="inlineStr">
        <is>
          <t>A 26024-2025</t>
        </is>
      </c>
      <c r="B361" s="1" t="n">
        <v>45804.6831712963</v>
      </c>
      <c r="C361" s="1" t="n">
        <v>45880</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26042-2025</t>
        </is>
      </c>
      <c r="B362" s="1" t="n">
        <v>45804.70018518518</v>
      </c>
      <c r="C362" s="1" t="n">
        <v>45880</v>
      </c>
      <c r="D362" t="inlineStr">
        <is>
          <t>UPPSALA LÄN</t>
        </is>
      </c>
      <c r="E362" t="inlineStr">
        <is>
          <t>ENKÖPING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25990-2025</t>
        </is>
      </c>
      <c r="B363" s="1" t="n">
        <v>45804.65229166667</v>
      </c>
      <c r="C363" s="1" t="n">
        <v>45880</v>
      </c>
      <c r="D363" t="inlineStr">
        <is>
          <t>UPPSALA LÄN</t>
        </is>
      </c>
      <c r="E363" t="inlineStr">
        <is>
          <t>ENKÖPING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26030-2025</t>
        </is>
      </c>
      <c r="B364" s="1" t="n">
        <v>45804.68815972222</v>
      </c>
      <c r="C364" s="1" t="n">
        <v>45880</v>
      </c>
      <c r="D364" t="inlineStr">
        <is>
          <t>UPPSALA LÄN</t>
        </is>
      </c>
      <c r="E364" t="inlineStr">
        <is>
          <t>ENKÖPING</t>
        </is>
      </c>
      <c r="G364" t="n">
        <v>0.3</v>
      </c>
      <c r="H364" t="n">
        <v>0</v>
      </c>
      <c r="I364" t="n">
        <v>0</v>
      </c>
      <c r="J364" t="n">
        <v>0</v>
      </c>
      <c r="K364" t="n">
        <v>0</v>
      </c>
      <c r="L364" t="n">
        <v>0</v>
      </c>
      <c r="M364" t="n">
        <v>0</v>
      </c>
      <c r="N364" t="n">
        <v>0</v>
      </c>
      <c r="O364" t="n">
        <v>0</v>
      </c>
      <c r="P364" t="n">
        <v>0</v>
      </c>
      <c r="Q364" t="n">
        <v>0</v>
      </c>
      <c r="R364" s="2" t="inlineStr"/>
    </row>
    <row r="365" ht="15" customHeight="1">
      <c r="A365" t="inlineStr">
        <is>
          <t>A 59602-2024</t>
        </is>
      </c>
      <c r="B365" s="1" t="n">
        <v>45638</v>
      </c>
      <c r="C365" s="1" t="n">
        <v>45880</v>
      </c>
      <c r="D365" t="inlineStr">
        <is>
          <t>UPPSALA LÄN</t>
        </is>
      </c>
      <c r="E365" t="inlineStr">
        <is>
          <t>ENKÖPING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21501-2025</t>
        </is>
      </c>
      <c r="B366" s="1" t="n">
        <v>45782</v>
      </c>
      <c r="C366" s="1" t="n">
        <v>45880</v>
      </c>
      <c r="D366" t="inlineStr">
        <is>
          <t>UPPSALA LÄN</t>
        </is>
      </c>
      <c r="E366" t="inlineStr">
        <is>
          <t>ENKÖPING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26026-2025</t>
        </is>
      </c>
      <c r="B367" s="1" t="n">
        <v>45804.68510416667</v>
      </c>
      <c r="C367" s="1" t="n">
        <v>45880</v>
      </c>
      <c r="D367" t="inlineStr">
        <is>
          <t>UPPSALA LÄN</t>
        </is>
      </c>
      <c r="E367" t="inlineStr">
        <is>
          <t>ENKÖPING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26047-2025</t>
        </is>
      </c>
      <c r="B368" s="1" t="n">
        <v>45804.70835648148</v>
      </c>
      <c r="C368" s="1" t="n">
        <v>45880</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55876-2024</t>
        </is>
      </c>
      <c r="B369" s="1" t="n">
        <v>45623.5546412037</v>
      </c>
      <c r="C369" s="1" t="n">
        <v>45880</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25989-2025</t>
        </is>
      </c>
      <c r="B370" s="1" t="n">
        <v>45804.65050925926</v>
      </c>
      <c r="C370" s="1" t="n">
        <v>45880</v>
      </c>
      <c r="D370" t="inlineStr">
        <is>
          <t>UPPSALA LÄN</t>
        </is>
      </c>
      <c r="E370" t="inlineStr">
        <is>
          <t>ENKÖPING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14243-2025</t>
        </is>
      </c>
      <c r="B371" s="1" t="n">
        <v>45740.61288194444</v>
      </c>
      <c r="C371" s="1" t="n">
        <v>45880</v>
      </c>
      <c r="D371" t="inlineStr">
        <is>
          <t>UPPSALA LÄN</t>
        </is>
      </c>
      <c r="E371" t="inlineStr">
        <is>
          <t>ENKÖPING</t>
        </is>
      </c>
      <c r="G371" t="n">
        <v>2.2</v>
      </c>
      <c r="H371" t="n">
        <v>0</v>
      </c>
      <c r="I371" t="n">
        <v>0</v>
      </c>
      <c r="J371" t="n">
        <v>0</v>
      </c>
      <c r="K371" t="n">
        <v>0</v>
      </c>
      <c r="L371" t="n">
        <v>0</v>
      </c>
      <c r="M371" t="n">
        <v>0</v>
      </c>
      <c r="N371" t="n">
        <v>0</v>
      </c>
      <c r="O371" t="n">
        <v>0</v>
      </c>
      <c r="P371" t="n">
        <v>0</v>
      </c>
      <c r="Q371" t="n">
        <v>0</v>
      </c>
      <c r="R371" s="2" t="inlineStr"/>
    </row>
    <row r="372" ht="15" customHeight="1">
      <c r="A372" t="inlineStr">
        <is>
          <t>A 19488-2022</t>
        </is>
      </c>
      <c r="B372" s="1" t="n">
        <v>44693</v>
      </c>
      <c r="C372" s="1" t="n">
        <v>45880</v>
      </c>
      <c r="D372" t="inlineStr">
        <is>
          <t>UPPSALA LÄN</t>
        </is>
      </c>
      <c r="E372" t="inlineStr">
        <is>
          <t>ENKÖPING</t>
        </is>
      </c>
      <c r="G372" t="n">
        <v>7.8</v>
      </c>
      <c r="H372" t="n">
        <v>0</v>
      </c>
      <c r="I372" t="n">
        <v>0</v>
      </c>
      <c r="J372" t="n">
        <v>0</v>
      </c>
      <c r="K372" t="n">
        <v>0</v>
      </c>
      <c r="L372" t="n">
        <v>0</v>
      </c>
      <c r="M372" t="n">
        <v>0</v>
      </c>
      <c r="N372" t="n">
        <v>0</v>
      </c>
      <c r="O372" t="n">
        <v>0</v>
      </c>
      <c r="P372" t="n">
        <v>0</v>
      </c>
      <c r="Q372" t="n">
        <v>0</v>
      </c>
      <c r="R372" s="2" t="inlineStr"/>
    </row>
    <row r="373" ht="15" customHeight="1">
      <c r="A373" t="inlineStr">
        <is>
          <t>A 25847-2025</t>
        </is>
      </c>
      <c r="B373" s="1" t="n">
        <v>45804</v>
      </c>
      <c r="C373" s="1" t="n">
        <v>45880</v>
      </c>
      <c r="D373" t="inlineStr">
        <is>
          <t>UPPSALA LÄN</t>
        </is>
      </c>
      <c r="E373" t="inlineStr">
        <is>
          <t>ENKÖPING</t>
        </is>
      </c>
      <c r="G373" t="n">
        <v>3.6</v>
      </c>
      <c r="H373" t="n">
        <v>0</v>
      </c>
      <c r="I373" t="n">
        <v>0</v>
      </c>
      <c r="J373" t="n">
        <v>0</v>
      </c>
      <c r="K373" t="n">
        <v>0</v>
      </c>
      <c r="L373" t="n">
        <v>0</v>
      </c>
      <c r="M373" t="n">
        <v>0</v>
      </c>
      <c r="N373" t="n">
        <v>0</v>
      </c>
      <c r="O373" t="n">
        <v>0</v>
      </c>
      <c r="P373" t="n">
        <v>0</v>
      </c>
      <c r="Q373" t="n">
        <v>0</v>
      </c>
      <c r="R373" s="2" t="inlineStr"/>
    </row>
    <row r="374" ht="15" customHeight="1">
      <c r="A374" t="inlineStr">
        <is>
          <t>A 26005-2025</t>
        </is>
      </c>
      <c r="B374" s="1" t="n">
        <v>45804.67055555555</v>
      </c>
      <c r="C374" s="1" t="n">
        <v>45880</v>
      </c>
      <c r="D374" t="inlineStr">
        <is>
          <t>UPPSALA LÄN</t>
        </is>
      </c>
      <c r="E374" t="inlineStr">
        <is>
          <t>ENKÖPING</t>
        </is>
      </c>
      <c r="G374" t="n">
        <v>0.3</v>
      </c>
      <c r="H374" t="n">
        <v>0</v>
      </c>
      <c r="I374" t="n">
        <v>0</v>
      </c>
      <c r="J374" t="n">
        <v>0</v>
      </c>
      <c r="K374" t="n">
        <v>0</v>
      </c>
      <c r="L374" t="n">
        <v>0</v>
      </c>
      <c r="M374" t="n">
        <v>0</v>
      </c>
      <c r="N374" t="n">
        <v>0</v>
      </c>
      <c r="O374" t="n">
        <v>0</v>
      </c>
      <c r="P374" t="n">
        <v>0</v>
      </c>
      <c r="Q374" t="n">
        <v>0</v>
      </c>
      <c r="R374" s="2" t="inlineStr"/>
    </row>
    <row r="375" ht="15" customHeight="1">
      <c r="A375" t="inlineStr">
        <is>
          <t>A 26031-2025</t>
        </is>
      </c>
      <c r="B375" s="1" t="n">
        <v>45804.69050925926</v>
      </c>
      <c r="C375" s="1" t="n">
        <v>45880</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26041-2025</t>
        </is>
      </c>
      <c r="B376" s="1" t="n">
        <v>45804.69883101852</v>
      </c>
      <c r="C376" s="1" t="n">
        <v>45880</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26022-2025</t>
        </is>
      </c>
      <c r="B377" s="1" t="n">
        <v>45804.68006944445</v>
      </c>
      <c r="C377" s="1" t="n">
        <v>45880</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26011-2025</t>
        </is>
      </c>
      <c r="B378" s="1" t="n">
        <v>45804.67412037037</v>
      </c>
      <c r="C378" s="1" t="n">
        <v>45880</v>
      </c>
      <c r="D378" t="inlineStr">
        <is>
          <t>UPPSALA LÄN</t>
        </is>
      </c>
      <c r="E378" t="inlineStr">
        <is>
          <t>ENKÖPING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29513-2025</t>
        </is>
      </c>
      <c r="B379" s="1" t="n">
        <v>45825</v>
      </c>
      <c r="C379" s="1" t="n">
        <v>45880</v>
      </c>
      <c r="D379" t="inlineStr">
        <is>
          <t>UPPSALA LÄN</t>
        </is>
      </c>
      <c r="E379" t="inlineStr">
        <is>
          <t>ENKÖPING</t>
        </is>
      </c>
      <c r="G379" t="n">
        <v>2.6</v>
      </c>
      <c r="H379" t="n">
        <v>0</v>
      </c>
      <c r="I379" t="n">
        <v>0</v>
      </c>
      <c r="J379" t="n">
        <v>0</v>
      </c>
      <c r="K379" t="n">
        <v>0</v>
      </c>
      <c r="L379" t="n">
        <v>0</v>
      </c>
      <c r="M379" t="n">
        <v>0</v>
      </c>
      <c r="N379" t="n">
        <v>0</v>
      </c>
      <c r="O379" t="n">
        <v>0</v>
      </c>
      <c r="P379" t="n">
        <v>0</v>
      </c>
      <c r="Q379" t="n">
        <v>0</v>
      </c>
      <c r="R379" s="2" t="inlineStr"/>
    </row>
    <row r="380" ht="15" customHeight="1">
      <c r="A380" t="inlineStr">
        <is>
          <t>A 41826-2024</t>
        </is>
      </c>
      <c r="B380" s="1" t="n">
        <v>45561</v>
      </c>
      <c r="C380" s="1" t="n">
        <v>45880</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25334-2023</t>
        </is>
      </c>
      <c r="B381" s="1" t="n">
        <v>45083</v>
      </c>
      <c r="C381" s="1" t="n">
        <v>45880</v>
      </c>
      <c r="D381" t="inlineStr">
        <is>
          <t>UPPSALA LÄN</t>
        </is>
      </c>
      <c r="E381" t="inlineStr">
        <is>
          <t>ENKÖPING</t>
        </is>
      </c>
      <c r="G381" t="n">
        <v>0.2</v>
      </c>
      <c r="H381" t="n">
        <v>0</v>
      </c>
      <c r="I381" t="n">
        <v>0</v>
      </c>
      <c r="J381" t="n">
        <v>0</v>
      </c>
      <c r="K381" t="n">
        <v>0</v>
      </c>
      <c r="L381" t="n">
        <v>0</v>
      </c>
      <c r="M381" t="n">
        <v>0</v>
      </c>
      <c r="N381" t="n">
        <v>0</v>
      </c>
      <c r="O381" t="n">
        <v>0</v>
      </c>
      <c r="P381" t="n">
        <v>0</v>
      </c>
      <c r="Q381" t="n">
        <v>0</v>
      </c>
      <c r="R381" s="2" t="inlineStr"/>
    </row>
    <row r="382" ht="15" customHeight="1">
      <c r="A382" t="inlineStr">
        <is>
          <t>A 16916-2022</t>
        </is>
      </c>
      <c r="B382" s="1" t="n">
        <v>44676</v>
      </c>
      <c r="C382" s="1" t="n">
        <v>45880</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33349-2024</t>
        </is>
      </c>
      <c r="B383" s="1" t="n">
        <v>45519</v>
      </c>
      <c r="C383" s="1" t="n">
        <v>45880</v>
      </c>
      <c r="D383" t="inlineStr">
        <is>
          <t>UPPSALA LÄN</t>
        </is>
      </c>
      <c r="E383" t="inlineStr">
        <is>
          <t>ENKÖPING</t>
        </is>
      </c>
      <c r="G383" t="n">
        <v>3.6</v>
      </c>
      <c r="H383" t="n">
        <v>0</v>
      </c>
      <c r="I383" t="n">
        <v>0</v>
      </c>
      <c r="J383" t="n">
        <v>0</v>
      </c>
      <c r="K383" t="n">
        <v>0</v>
      </c>
      <c r="L383" t="n">
        <v>0</v>
      </c>
      <c r="M383" t="n">
        <v>0</v>
      </c>
      <c r="N383" t="n">
        <v>0</v>
      </c>
      <c r="O383" t="n">
        <v>0</v>
      </c>
      <c r="P383" t="n">
        <v>0</v>
      </c>
      <c r="Q383" t="n">
        <v>0</v>
      </c>
      <c r="R383" s="2" t="inlineStr"/>
    </row>
    <row r="384" ht="15" customHeight="1">
      <c r="A384" t="inlineStr">
        <is>
          <t>A 44115-2024</t>
        </is>
      </c>
      <c r="B384" s="1" t="n">
        <v>45572</v>
      </c>
      <c r="C384" s="1" t="n">
        <v>45880</v>
      </c>
      <c r="D384" t="inlineStr">
        <is>
          <t>UPPSALA LÄN</t>
        </is>
      </c>
      <c r="E384" t="inlineStr">
        <is>
          <t>ENKÖPING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30634-2022</t>
        </is>
      </c>
      <c r="B385" s="1" t="n">
        <v>44763.45711805556</v>
      </c>
      <c r="C385" s="1" t="n">
        <v>45880</v>
      </c>
      <c r="D385" t="inlineStr">
        <is>
          <t>UPPSALA LÄN</t>
        </is>
      </c>
      <c r="E385" t="inlineStr">
        <is>
          <t>ENKÖPING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53587-2024</t>
        </is>
      </c>
      <c r="B386" s="1" t="n">
        <v>45614.66953703704</v>
      </c>
      <c r="C386" s="1" t="n">
        <v>45880</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35067-2024</t>
        </is>
      </c>
      <c r="B387" s="1" t="n">
        <v>45527.66153935185</v>
      </c>
      <c r="C387" s="1" t="n">
        <v>45880</v>
      </c>
      <c r="D387" t="inlineStr">
        <is>
          <t>UPPSALA LÄN</t>
        </is>
      </c>
      <c r="E387" t="inlineStr">
        <is>
          <t>ENKÖPING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3300-2025</t>
        </is>
      </c>
      <c r="B388" s="1" t="n">
        <v>45679</v>
      </c>
      <c r="C388" s="1" t="n">
        <v>45880</v>
      </c>
      <c r="D388" t="inlineStr">
        <is>
          <t>UPPSALA LÄN</t>
        </is>
      </c>
      <c r="E388" t="inlineStr">
        <is>
          <t>ENKÖPING</t>
        </is>
      </c>
      <c r="G388" t="n">
        <v>8.9</v>
      </c>
      <c r="H388" t="n">
        <v>0</v>
      </c>
      <c r="I388" t="n">
        <v>0</v>
      </c>
      <c r="J388" t="n">
        <v>0</v>
      </c>
      <c r="K388" t="n">
        <v>0</v>
      </c>
      <c r="L388" t="n">
        <v>0</v>
      </c>
      <c r="M388" t="n">
        <v>0</v>
      </c>
      <c r="N388" t="n">
        <v>0</v>
      </c>
      <c r="O388" t="n">
        <v>0</v>
      </c>
      <c r="P388" t="n">
        <v>0</v>
      </c>
      <c r="Q388" t="n">
        <v>0</v>
      </c>
      <c r="R388" s="2" t="inlineStr"/>
    </row>
    <row r="389" ht="15" customHeight="1">
      <c r="A389" t="inlineStr">
        <is>
          <t>A 18583-2021</t>
        </is>
      </c>
      <c r="B389" s="1" t="n">
        <v>44306</v>
      </c>
      <c r="C389" s="1" t="n">
        <v>45880</v>
      </c>
      <c r="D389" t="inlineStr">
        <is>
          <t>UPPSALA LÄN</t>
        </is>
      </c>
      <c r="E389" t="inlineStr">
        <is>
          <t>ENKÖPING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60125-2024</t>
        </is>
      </c>
      <c r="B390" s="1" t="n">
        <v>45642</v>
      </c>
      <c r="C390" s="1" t="n">
        <v>45880</v>
      </c>
      <c r="D390" t="inlineStr">
        <is>
          <t>UPPSALA LÄN</t>
        </is>
      </c>
      <c r="E390" t="inlineStr">
        <is>
          <t>ENKÖPING</t>
        </is>
      </c>
      <c r="G390" t="n">
        <v>2.1</v>
      </c>
      <c r="H390" t="n">
        <v>0</v>
      </c>
      <c r="I390" t="n">
        <v>0</v>
      </c>
      <c r="J390" t="n">
        <v>0</v>
      </c>
      <c r="K390" t="n">
        <v>0</v>
      </c>
      <c r="L390" t="n">
        <v>0</v>
      </c>
      <c r="M390" t="n">
        <v>0</v>
      </c>
      <c r="N390" t="n">
        <v>0</v>
      </c>
      <c r="O390" t="n">
        <v>0</v>
      </c>
      <c r="P390" t="n">
        <v>0</v>
      </c>
      <c r="Q390" t="n">
        <v>0</v>
      </c>
      <c r="R390" s="2" t="inlineStr"/>
    </row>
    <row r="391" ht="15" customHeight="1">
      <c r="A391" t="inlineStr">
        <is>
          <t>A 1695-2025</t>
        </is>
      </c>
      <c r="B391" s="1" t="n">
        <v>45670</v>
      </c>
      <c r="C391" s="1" t="n">
        <v>45880</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59027-2024</t>
        </is>
      </c>
      <c r="B392" s="1" t="n">
        <v>45636.68755787037</v>
      </c>
      <c r="C392" s="1" t="n">
        <v>45880</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18994-2025</t>
        </is>
      </c>
      <c r="B393" s="1" t="n">
        <v>45764.57350694444</v>
      </c>
      <c r="C393" s="1" t="n">
        <v>45880</v>
      </c>
      <c r="D393" t="inlineStr">
        <is>
          <t>UPPSALA LÄN</t>
        </is>
      </c>
      <c r="E393" t="inlineStr">
        <is>
          <t>ENKÖPING</t>
        </is>
      </c>
      <c r="G393" t="n">
        <v>3.8</v>
      </c>
      <c r="H393" t="n">
        <v>0</v>
      </c>
      <c r="I393" t="n">
        <v>0</v>
      </c>
      <c r="J393" t="n">
        <v>0</v>
      </c>
      <c r="K393" t="n">
        <v>0</v>
      </c>
      <c r="L393" t="n">
        <v>0</v>
      </c>
      <c r="M393" t="n">
        <v>0</v>
      </c>
      <c r="N393" t="n">
        <v>0</v>
      </c>
      <c r="O393" t="n">
        <v>0</v>
      </c>
      <c r="P393" t="n">
        <v>0</v>
      </c>
      <c r="Q393" t="n">
        <v>0</v>
      </c>
      <c r="R393" s="2" t="inlineStr"/>
    </row>
    <row r="394" ht="15" customHeight="1">
      <c r="A394" t="inlineStr">
        <is>
          <t>A 51120-2023</t>
        </is>
      </c>
      <c r="B394" s="1" t="n">
        <v>45219.3088425926</v>
      </c>
      <c r="C394" s="1" t="n">
        <v>45880</v>
      </c>
      <c r="D394" t="inlineStr">
        <is>
          <t>UPPSALA LÄN</t>
        </is>
      </c>
      <c r="E394" t="inlineStr">
        <is>
          <t>ENKÖPING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42564-2024</t>
        </is>
      </c>
      <c r="B395" s="1" t="n">
        <v>45565.63358796296</v>
      </c>
      <c r="C395" s="1" t="n">
        <v>45880</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26319-2022</t>
        </is>
      </c>
      <c r="B396" s="1" t="n">
        <v>44735</v>
      </c>
      <c r="C396" s="1" t="n">
        <v>45880</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54357-2023</t>
        </is>
      </c>
      <c r="B397" s="1" t="n">
        <v>45225</v>
      </c>
      <c r="C397" s="1" t="n">
        <v>45880</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4203-2021</t>
        </is>
      </c>
      <c r="B398" s="1" t="n">
        <v>44223</v>
      </c>
      <c r="C398" s="1" t="n">
        <v>45880</v>
      </c>
      <c r="D398" t="inlineStr">
        <is>
          <t>UPPSALA LÄN</t>
        </is>
      </c>
      <c r="E398" t="inlineStr">
        <is>
          <t>ENKÖPING</t>
        </is>
      </c>
      <c r="G398" t="n">
        <v>11.6</v>
      </c>
      <c r="H398" t="n">
        <v>0</v>
      </c>
      <c r="I398" t="n">
        <v>0</v>
      </c>
      <c r="J398" t="n">
        <v>0</v>
      </c>
      <c r="K398" t="n">
        <v>0</v>
      </c>
      <c r="L398" t="n">
        <v>0</v>
      </c>
      <c r="M398" t="n">
        <v>0</v>
      </c>
      <c r="N398" t="n">
        <v>0</v>
      </c>
      <c r="O398" t="n">
        <v>0</v>
      </c>
      <c r="P398" t="n">
        <v>0</v>
      </c>
      <c r="Q398" t="n">
        <v>0</v>
      </c>
      <c r="R398" s="2" t="inlineStr"/>
    </row>
    <row r="399" ht="15" customHeight="1">
      <c r="A399" t="inlineStr">
        <is>
          <t>A 3235-2025</t>
        </is>
      </c>
      <c r="B399" s="1" t="n">
        <v>45679</v>
      </c>
      <c r="C399" s="1" t="n">
        <v>45880</v>
      </c>
      <c r="D399" t="inlineStr">
        <is>
          <t>UPPSALA LÄN</t>
        </is>
      </c>
      <c r="E399" t="inlineStr">
        <is>
          <t>ENKÖPING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17844-2025</t>
        </is>
      </c>
      <c r="B400" s="1" t="n">
        <v>45758.59920138889</v>
      </c>
      <c r="C400" s="1" t="n">
        <v>45880</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13816-2021</t>
        </is>
      </c>
      <c r="B401" s="1" t="n">
        <v>44276</v>
      </c>
      <c r="C401" s="1" t="n">
        <v>45880</v>
      </c>
      <c r="D401" t="inlineStr">
        <is>
          <t>UPPSALA LÄN</t>
        </is>
      </c>
      <c r="E401" t="inlineStr">
        <is>
          <t>ENKÖPING</t>
        </is>
      </c>
      <c r="G401" t="n">
        <v>0.4</v>
      </c>
      <c r="H401" t="n">
        <v>0</v>
      </c>
      <c r="I401" t="n">
        <v>0</v>
      </c>
      <c r="J401" t="n">
        <v>0</v>
      </c>
      <c r="K401" t="n">
        <v>0</v>
      </c>
      <c r="L401" t="n">
        <v>0</v>
      </c>
      <c r="M401" t="n">
        <v>0</v>
      </c>
      <c r="N401" t="n">
        <v>0</v>
      </c>
      <c r="O401" t="n">
        <v>0</v>
      </c>
      <c r="P401" t="n">
        <v>0</v>
      </c>
      <c r="Q401" t="n">
        <v>0</v>
      </c>
      <c r="R401" s="2" t="inlineStr"/>
    </row>
    <row r="402" ht="15" customHeight="1">
      <c r="A402" t="inlineStr">
        <is>
          <t>A 15711-2025</t>
        </is>
      </c>
      <c r="B402" s="1" t="n">
        <v>45748</v>
      </c>
      <c r="C402" s="1" t="n">
        <v>45880</v>
      </c>
      <c r="D402" t="inlineStr">
        <is>
          <t>UPPSALA LÄN</t>
        </is>
      </c>
      <c r="E402" t="inlineStr">
        <is>
          <t>ENKÖPING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15740-2025</t>
        </is>
      </c>
      <c r="B403" s="1" t="n">
        <v>45748</v>
      </c>
      <c r="C403" s="1" t="n">
        <v>45880</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63402-2023</t>
        </is>
      </c>
      <c r="B404" s="1" t="n">
        <v>45274.50646990741</v>
      </c>
      <c r="C404" s="1" t="n">
        <v>45880</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4562-2025</t>
        </is>
      </c>
      <c r="B405" s="1" t="n">
        <v>45687</v>
      </c>
      <c r="C405" s="1" t="n">
        <v>45880</v>
      </c>
      <c r="D405" t="inlineStr">
        <is>
          <t>UPPSALA LÄN</t>
        </is>
      </c>
      <c r="E405" t="inlineStr">
        <is>
          <t>ENKÖPING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53208-2023</t>
        </is>
      </c>
      <c r="B406" s="1" t="n">
        <v>45226</v>
      </c>
      <c r="C406" s="1" t="n">
        <v>45880</v>
      </c>
      <c r="D406" t="inlineStr">
        <is>
          <t>UPPSALA LÄN</t>
        </is>
      </c>
      <c r="E406" t="inlineStr">
        <is>
          <t>ENKÖPING</t>
        </is>
      </c>
      <c r="G406" t="n">
        <v>4.3</v>
      </c>
      <c r="H406" t="n">
        <v>0</v>
      </c>
      <c r="I406" t="n">
        <v>0</v>
      </c>
      <c r="J406" t="n">
        <v>0</v>
      </c>
      <c r="K406" t="n">
        <v>0</v>
      </c>
      <c r="L406" t="n">
        <v>0</v>
      </c>
      <c r="M406" t="n">
        <v>0</v>
      </c>
      <c r="N406" t="n">
        <v>0</v>
      </c>
      <c r="O406" t="n">
        <v>0</v>
      </c>
      <c r="P406" t="n">
        <v>0</v>
      </c>
      <c r="Q406" t="n">
        <v>0</v>
      </c>
      <c r="R406" s="2" t="inlineStr"/>
    </row>
    <row r="407" ht="15" customHeight="1">
      <c r="A407" t="inlineStr">
        <is>
          <t>A 6959-2025</t>
        </is>
      </c>
      <c r="B407" s="1" t="n">
        <v>45701.49315972222</v>
      </c>
      <c r="C407" s="1" t="n">
        <v>45880</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67765-2020</t>
        </is>
      </c>
      <c r="B408" s="1" t="n">
        <v>44182</v>
      </c>
      <c r="C408" s="1" t="n">
        <v>45880</v>
      </c>
      <c r="D408" t="inlineStr">
        <is>
          <t>UPPSALA LÄN</t>
        </is>
      </c>
      <c r="E408" t="inlineStr">
        <is>
          <t>ENKÖPING</t>
        </is>
      </c>
      <c r="G408" t="n">
        <v>3.6</v>
      </c>
      <c r="H408" t="n">
        <v>0</v>
      </c>
      <c r="I408" t="n">
        <v>0</v>
      </c>
      <c r="J408" t="n">
        <v>0</v>
      </c>
      <c r="K408" t="n">
        <v>0</v>
      </c>
      <c r="L408" t="n">
        <v>0</v>
      </c>
      <c r="M408" t="n">
        <v>0</v>
      </c>
      <c r="N408" t="n">
        <v>0</v>
      </c>
      <c r="O408" t="n">
        <v>0</v>
      </c>
      <c r="P408" t="n">
        <v>0</v>
      </c>
      <c r="Q408" t="n">
        <v>0</v>
      </c>
      <c r="R408" s="2" t="inlineStr"/>
    </row>
    <row r="409" ht="15" customHeight="1">
      <c r="A409" t="inlineStr">
        <is>
          <t>A 32477-2025</t>
        </is>
      </c>
      <c r="B409" s="1" t="n">
        <v>45838.43098379629</v>
      </c>
      <c r="C409" s="1" t="n">
        <v>45880</v>
      </c>
      <c r="D409" t="inlineStr">
        <is>
          <t>UPPSALA LÄN</t>
        </is>
      </c>
      <c r="E409" t="inlineStr">
        <is>
          <t>ENKÖPING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17165-2025</t>
        </is>
      </c>
      <c r="B410" s="1" t="n">
        <v>45756</v>
      </c>
      <c r="C410" s="1" t="n">
        <v>45880</v>
      </c>
      <c r="D410" t="inlineStr">
        <is>
          <t>UPPSALA LÄN</t>
        </is>
      </c>
      <c r="E410" t="inlineStr">
        <is>
          <t>ENKÖPING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34990-2025</t>
        </is>
      </c>
      <c r="B411" s="1" t="n">
        <v>45849.78916666667</v>
      </c>
      <c r="C411" s="1" t="n">
        <v>45880</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27829-2025</t>
        </is>
      </c>
      <c r="B412" s="1" t="n">
        <v>45817</v>
      </c>
      <c r="C412" s="1" t="n">
        <v>45880</v>
      </c>
      <c r="D412" t="inlineStr">
        <is>
          <t>UPPSALA LÄN</t>
        </is>
      </c>
      <c r="E412" t="inlineStr">
        <is>
          <t>ENKÖPING</t>
        </is>
      </c>
      <c r="G412" t="n">
        <v>2.1</v>
      </c>
      <c r="H412" t="n">
        <v>0</v>
      </c>
      <c r="I412" t="n">
        <v>0</v>
      </c>
      <c r="J412" t="n">
        <v>0</v>
      </c>
      <c r="K412" t="n">
        <v>0</v>
      </c>
      <c r="L412" t="n">
        <v>0</v>
      </c>
      <c r="M412" t="n">
        <v>0</v>
      </c>
      <c r="N412" t="n">
        <v>0</v>
      </c>
      <c r="O412" t="n">
        <v>0</v>
      </c>
      <c r="P412" t="n">
        <v>0</v>
      </c>
      <c r="Q412" t="n">
        <v>0</v>
      </c>
      <c r="R412" s="2" t="inlineStr"/>
    </row>
    <row r="413" ht="15" customHeight="1">
      <c r="A413" t="inlineStr">
        <is>
          <t>A 18259-2025</t>
        </is>
      </c>
      <c r="B413" s="1" t="n">
        <v>45762</v>
      </c>
      <c r="C413" s="1" t="n">
        <v>45880</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62158-2023</t>
        </is>
      </c>
      <c r="B414" s="1" t="n">
        <v>45267</v>
      </c>
      <c r="C414" s="1" t="n">
        <v>45880</v>
      </c>
      <c r="D414" t="inlineStr">
        <is>
          <t>UPPSALA LÄN</t>
        </is>
      </c>
      <c r="E414" t="inlineStr">
        <is>
          <t>ENKÖPING</t>
        </is>
      </c>
      <c r="G414" t="n">
        <v>1.4</v>
      </c>
      <c r="H414" t="n">
        <v>0</v>
      </c>
      <c r="I414" t="n">
        <v>0</v>
      </c>
      <c r="J414" t="n">
        <v>0</v>
      </c>
      <c r="K414" t="n">
        <v>0</v>
      </c>
      <c r="L414" t="n">
        <v>0</v>
      </c>
      <c r="M414" t="n">
        <v>0</v>
      </c>
      <c r="N414" t="n">
        <v>0</v>
      </c>
      <c r="O414" t="n">
        <v>0</v>
      </c>
      <c r="P414" t="n">
        <v>0</v>
      </c>
      <c r="Q414" t="n">
        <v>0</v>
      </c>
      <c r="R414" s="2" t="inlineStr"/>
    </row>
    <row r="415" ht="15" customHeight="1">
      <c r="A415" t="inlineStr">
        <is>
          <t>A 57833-2024</t>
        </is>
      </c>
      <c r="B415" s="1" t="n">
        <v>45631.3953587963</v>
      </c>
      <c r="C415" s="1" t="n">
        <v>45880</v>
      </c>
      <c r="D415" t="inlineStr">
        <is>
          <t>UPPSALA LÄN</t>
        </is>
      </c>
      <c r="E415" t="inlineStr">
        <is>
          <t>ENKÖPING</t>
        </is>
      </c>
      <c r="G415" t="n">
        <v>2.8</v>
      </c>
      <c r="H415" t="n">
        <v>0</v>
      </c>
      <c r="I415" t="n">
        <v>0</v>
      </c>
      <c r="J415" t="n">
        <v>0</v>
      </c>
      <c r="K415" t="n">
        <v>0</v>
      </c>
      <c r="L415" t="n">
        <v>0</v>
      </c>
      <c r="M415" t="n">
        <v>0</v>
      </c>
      <c r="N415" t="n">
        <v>0</v>
      </c>
      <c r="O415" t="n">
        <v>0</v>
      </c>
      <c r="P415" t="n">
        <v>0</v>
      </c>
      <c r="Q415" t="n">
        <v>0</v>
      </c>
      <c r="R415" s="2" t="inlineStr"/>
    </row>
    <row r="416" ht="15" customHeight="1">
      <c r="A416" t="inlineStr">
        <is>
          <t>A 28855-2025</t>
        </is>
      </c>
      <c r="B416" s="1" t="n">
        <v>45820.58274305556</v>
      </c>
      <c r="C416" s="1" t="n">
        <v>45880</v>
      </c>
      <c r="D416" t="inlineStr">
        <is>
          <t>UPPSALA LÄN</t>
        </is>
      </c>
      <c r="E416" t="inlineStr">
        <is>
          <t>ENKÖPING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28758-2025</t>
        </is>
      </c>
      <c r="B417" s="1" t="n">
        <v>45820.41212962963</v>
      </c>
      <c r="C417" s="1" t="n">
        <v>45880</v>
      </c>
      <c r="D417" t="inlineStr">
        <is>
          <t>UPPSALA LÄN</t>
        </is>
      </c>
      <c r="E417" t="inlineStr">
        <is>
          <t>ENKÖPING</t>
        </is>
      </c>
      <c r="G417" t="n">
        <v>2.4</v>
      </c>
      <c r="H417" t="n">
        <v>0</v>
      </c>
      <c r="I417" t="n">
        <v>0</v>
      </c>
      <c r="J417" t="n">
        <v>0</v>
      </c>
      <c r="K417" t="n">
        <v>0</v>
      </c>
      <c r="L417" t="n">
        <v>0</v>
      </c>
      <c r="M417" t="n">
        <v>0</v>
      </c>
      <c r="N417" t="n">
        <v>0</v>
      </c>
      <c r="O417" t="n">
        <v>0</v>
      </c>
      <c r="P417" t="n">
        <v>0</v>
      </c>
      <c r="Q417" t="n">
        <v>0</v>
      </c>
      <c r="R417" s="2" t="inlineStr"/>
    </row>
    <row r="418" ht="15" customHeight="1">
      <c r="A418" t="inlineStr">
        <is>
          <t>A 52299-2023</t>
        </is>
      </c>
      <c r="B418" s="1" t="n">
        <v>45224.61636574074</v>
      </c>
      <c r="C418" s="1" t="n">
        <v>45880</v>
      </c>
      <c r="D418" t="inlineStr">
        <is>
          <t>UPPSALA LÄN</t>
        </is>
      </c>
      <c r="E418" t="inlineStr">
        <is>
          <t>ENKÖPING</t>
        </is>
      </c>
      <c r="G418" t="n">
        <v>2.2</v>
      </c>
      <c r="H418" t="n">
        <v>0</v>
      </c>
      <c r="I418" t="n">
        <v>0</v>
      </c>
      <c r="J418" t="n">
        <v>0</v>
      </c>
      <c r="K418" t="n">
        <v>0</v>
      </c>
      <c r="L418" t="n">
        <v>0</v>
      </c>
      <c r="M418" t="n">
        <v>0</v>
      </c>
      <c r="N418" t="n">
        <v>0</v>
      </c>
      <c r="O418" t="n">
        <v>0</v>
      </c>
      <c r="P418" t="n">
        <v>0</v>
      </c>
      <c r="Q418" t="n">
        <v>0</v>
      </c>
      <c r="R418" s="2" t="inlineStr"/>
    </row>
    <row r="419" ht="15" customHeight="1">
      <c r="A419" t="inlineStr">
        <is>
          <t>A 60874-2023</t>
        </is>
      </c>
      <c r="B419" s="1" t="n">
        <v>45261.06280092592</v>
      </c>
      <c r="C419" s="1" t="n">
        <v>45880</v>
      </c>
      <c r="D419" t="inlineStr">
        <is>
          <t>UPPSALA LÄN</t>
        </is>
      </c>
      <c r="E419" t="inlineStr">
        <is>
          <t>ENKÖPING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25598-2021</t>
        </is>
      </c>
      <c r="B420" s="1" t="n">
        <v>44343.4558912037</v>
      </c>
      <c r="C420" s="1" t="n">
        <v>45880</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39009-2024</t>
        </is>
      </c>
      <c r="B421" s="1" t="n">
        <v>45548</v>
      </c>
      <c r="C421" s="1" t="n">
        <v>45880</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8537-2025</t>
        </is>
      </c>
      <c r="B422" s="1" t="n">
        <v>45709</v>
      </c>
      <c r="C422" s="1" t="n">
        <v>45880</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32081-2024</t>
        </is>
      </c>
      <c r="B423" s="1" t="n">
        <v>45511.34605324074</v>
      </c>
      <c r="C423" s="1" t="n">
        <v>45880</v>
      </c>
      <c r="D423" t="inlineStr">
        <is>
          <t>UPPSALA LÄN</t>
        </is>
      </c>
      <c r="E423" t="inlineStr">
        <is>
          <t>ENKÖPING</t>
        </is>
      </c>
      <c r="G423" t="n">
        <v>5.4</v>
      </c>
      <c r="H423" t="n">
        <v>0</v>
      </c>
      <c r="I423" t="n">
        <v>0</v>
      </c>
      <c r="J423" t="n">
        <v>0</v>
      </c>
      <c r="K423" t="n">
        <v>0</v>
      </c>
      <c r="L423" t="n">
        <v>0</v>
      </c>
      <c r="M423" t="n">
        <v>0</v>
      </c>
      <c r="N423" t="n">
        <v>0</v>
      </c>
      <c r="O423" t="n">
        <v>0</v>
      </c>
      <c r="P423" t="n">
        <v>0</v>
      </c>
      <c r="Q423" t="n">
        <v>0</v>
      </c>
      <c r="R423" s="2" t="inlineStr"/>
    </row>
    <row r="424" ht="15" customHeight="1">
      <c r="A424" t="inlineStr">
        <is>
          <t>A 28862-2025</t>
        </is>
      </c>
      <c r="B424" s="1" t="n">
        <v>45820.59189814814</v>
      </c>
      <c r="C424" s="1" t="n">
        <v>45880</v>
      </c>
      <c r="D424" t="inlineStr">
        <is>
          <t>UPPSALA LÄN</t>
        </is>
      </c>
      <c r="E424" t="inlineStr">
        <is>
          <t>ENKÖPING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34988-2025</t>
        </is>
      </c>
      <c r="B425" s="1" t="n">
        <v>45849</v>
      </c>
      <c r="C425" s="1" t="n">
        <v>45880</v>
      </c>
      <c r="D425" t="inlineStr">
        <is>
          <t>UPPSALA LÄN</t>
        </is>
      </c>
      <c r="E425" t="inlineStr">
        <is>
          <t>ENKÖPING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34987-2025</t>
        </is>
      </c>
      <c r="B426" s="1" t="n">
        <v>45849</v>
      </c>
      <c r="C426" s="1" t="n">
        <v>45880</v>
      </c>
      <c r="D426" t="inlineStr">
        <is>
          <t>UPPSALA LÄN</t>
        </is>
      </c>
      <c r="E426" t="inlineStr">
        <is>
          <t>ENKÖPING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34989-2025</t>
        </is>
      </c>
      <c r="B427" s="1" t="n">
        <v>45849</v>
      </c>
      <c r="C427" s="1" t="n">
        <v>45880</v>
      </c>
      <c r="D427" t="inlineStr">
        <is>
          <t>UPPSALA LÄN</t>
        </is>
      </c>
      <c r="E427" t="inlineStr">
        <is>
          <t>ENKÖPING</t>
        </is>
      </c>
      <c r="G427" t="n">
        <v>2.4</v>
      </c>
      <c r="H427" t="n">
        <v>0</v>
      </c>
      <c r="I427" t="n">
        <v>0</v>
      </c>
      <c r="J427" t="n">
        <v>0</v>
      </c>
      <c r="K427" t="n">
        <v>0</v>
      </c>
      <c r="L427" t="n">
        <v>0</v>
      </c>
      <c r="M427" t="n">
        <v>0</v>
      </c>
      <c r="N427" t="n">
        <v>0</v>
      </c>
      <c r="O427" t="n">
        <v>0</v>
      </c>
      <c r="P427" t="n">
        <v>0</v>
      </c>
      <c r="Q427" t="n">
        <v>0</v>
      </c>
      <c r="R427" s="2" t="inlineStr"/>
    </row>
    <row r="428" ht="15" customHeight="1">
      <c r="A428" t="inlineStr">
        <is>
          <t>A 20184-2023</t>
        </is>
      </c>
      <c r="B428" s="1" t="n">
        <v>45055.5670949074</v>
      </c>
      <c r="C428" s="1" t="n">
        <v>45880</v>
      </c>
      <c r="D428" t="inlineStr">
        <is>
          <t>UPPSALA LÄN</t>
        </is>
      </c>
      <c r="E428" t="inlineStr">
        <is>
          <t>ENKÖPING</t>
        </is>
      </c>
      <c r="G428" t="n">
        <v>3.2</v>
      </c>
      <c r="H428" t="n">
        <v>0</v>
      </c>
      <c r="I428" t="n">
        <v>0</v>
      </c>
      <c r="J428" t="n">
        <v>0</v>
      </c>
      <c r="K428" t="n">
        <v>0</v>
      </c>
      <c r="L428" t="n">
        <v>0</v>
      </c>
      <c r="M428" t="n">
        <v>0</v>
      </c>
      <c r="N428" t="n">
        <v>0</v>
      </c>
      <c r="O428" t="n">
        <v>0</v>
      </c>
      <c r="P428" t="n">
        <v>0</v>
      </c>
      <c r="Q428" t="n">
        <v>0</v>
      </c>
      <c r="R428" s="2" t="inlineStr"/>
    </row>
    <row r="429" ht="15" customHeight="1">
      <c r="A429" t="inlineStr">
        <is>
          <t>A 3550-2023</t>
        </is>
      </c>
      <c r="B429" s="1" t="n">
        <v>44950</v>
      </c>
      <c r="C429" s="1" t="n">
        <v>45880</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61952-2021</t>
        </is>
      </c>
      <c r="B430" s="1" t="n">
        <v>44502</v>
      </c>
      <c r="C430" s="1" t="n">
        <v>45880</v>
      </c>
      <c r="D430" t="inlineStr">
        <is>
          <t>UPPSALA LÄN</t>
        </is>
      </c>
      <c r="E430" t="inlineStr">
        <is>
          <t>ENKÖPING</t>
        </is>
      </c>
      <c r="G430" t="n">
        <v>2.3</v>
      </c>
      <c r="H430" t="n">
        <v>0</v>
      </c>
      <c r="I430" t="n">
        <v>0</v>
      </c>
      <c r="J430" t="n">
        <v>0</v>
      </c>
      <c r="K430" t="n">
        <v>0</v>
      </c>
      <c r="L430" t="n">
        <v>0</v>
      </c>
      <c r="M430" t="n">
        <v>0</v>
      </c>
      <c r="N430" t="n">
        <v>0</v>
      </c>
      <c r="O430" t="n">
        <v>0</v>
      </c>
      <c r="P430" t="n">
        <v>0</v>
      </c>
      <c r="Q430" t="n">
        <v>0</v>
      </c>
      <c r="R430" s="2" t="inlineStr"/>
    </row>
    <row r="431" ht="15" customHeight="1">
      <c r="A431" t="inlineStr">
        <is>
          <t>A 29093-2025</t>
        </is>
      </c>
      <c r="B431" s="1" t="n">
        <v>45821.55743055556</v>
      </c>
      <c r="C431" s="1" t="n">
        <v>45880</v>
      </c>
      <c r="D431" t="inlineStr">
        <is>
          <t>UPPSALA LÄN</t>
        </is>
      </c>
      <c r="E431" t="inlineStr">
        <is>
          <t>ENKÖPING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29477-2025</t>
        </is>
      </c>
      <c r="B432" s="1" t="n">
        <v>45824.71537037037</v>
      </c>
      <c r="C432" s="1" t="n">
        <v>45880</v>
      </c>
      <c r="D432" t="inlineStr">
        <is>
          <t>UPPSALA LÄN</t>
        </is>
      </c>
      <c r="E432" t="inlineStr">
        <is>
          <t>ENKÖPING</t>
        </is>
      </c>
      <c r="G432" t="n">
        <v>13.4</v>
      </c>
      <c r="H432" t="n">
        <v>0</v>
      </c>
      <c r="I432" t="n">
        <v>0</v>
      </c>
      <c r="J432" t="n">
        <v>0</v>
      </c>
      <c r="K432" t="n">
        <v>0</v>
      </c>
      <c r="L432" t="n">
        <v>0</v>
      </c>
      <c r="M432" t="n">
        <v>0</v>
      </c>
      <c r="N432" t="n">
        <v>0</v>
      </c>
      <c r="O432" t="n">
        <v>0</v>
      </c>
      <c r="P432" t="n">
        <v>0</v>
      </c>
      <c r="Q432" t="n">
        <v>0</v>
      </c>
      <c r="R432" s="2" t="inlineStr"/>
    </row>
    <row r="433" ht="15" customHeight="1">
      <c r="A433" t="inlineStr">
        <is>
          <t>A 26292-2022</t>
        </is>
      </c>
      <c r="B433" s="1" t="n">
        <v>44735</v>
      </c>
      <c r="C433" s="1" t="n">
        <v>45880</v>
      </c>
      <c r="D433" t="inlineStr">
        <is>
          <t>UPPSALA LÄN</t>
        </is>
      </c>
      <c r="E433" t="inlineStr">
        <is>
          <t>ENKÖPING</t>
        </is>
      </c>
      <c r="F433" t="inlineStr">
        <is>
          <t>Kyrkan</t>
        </is>
      </c>
      <c r="G433" t="n">
        <v>4.6</v>
      </c>
      <c r="H433" t="n">
        <v>0</v>
      </c>
      <c r="I433" t="n">
        <v>0</v>
      </c>
      <c r="J433" t="n">
        <v>0</v>
      </c>
      <c r="K433" t="n">
        <v>0</v>
      </c>
      <c r="L433" t="n">
        <v>0</v>
      </c>
      <c r="M433" t="n">
        <v>0</v>
      </c>
      <c r="N433" t="n">
        <v>0</v>
      </c>
      <c r="O433" t="n">
        <v>0</v>
      </c>
      <c r="P433" t="n">
        <v>0</v>
      </c>
      <c r="Q433" t="n">
        <v>0</v>
      </c>
      <c r="R433" s="2" t="inlineStr"/>
    </row>
    <row r="434" ht="15" customHeight="1">
      <c r="A434" t="inlineStr">
        <is>
          <t>A 17029-2025</t>
        </is>
      </c>
      <c r="B434" s="1" t="n">
        <v>45755.57291666666</v>
      </c>
      <c r="C434" s="1" t="n">
        <v>45880</v>
      </c>
      <c r="D434" t="inlineStr">
        <is>
          <t>UPPSALA LÄN</t>
        </is>
      </c>
      <c r="E434" t="inlineStr">
        <is>
          <t>ENKÖPING</t>
        </is>
      </c>
      <c r="G434" t="n">
        <v>1.9</v>
      </c>
      <c r="H434" t="n">
        <v>0</v>
      </c>
      <c r="I434" t="n">
        <v>0</v>
      </c>
      <c r="J434" t="n">
        <v>0</v>
      </c>
      <c r="K434" t="n">
        <v>0</v>
      </c>
      <c r="L434" t="n">
        <v>0</v>
      </c>
      <c r="M434" t="n">
        <v>0</v>
      </c>
      <c r="N434" t="n">
        <v>0</v>
      </c>
      <c r="O434" t="n">
        <v>0</v>
      </c>
      <c r="P434" t="n">
        <v>0</v>
      </c>
      <c r="Q434" t="n">
        <v>0</v>
      </c>
      <c r="R434" s="2" t="inlineStr"/>
    </row>
    <row r="435" ht="15" customHeight="1">
      <c r="A435" t="inlineStr">
        <is>
          <t>A 36350-2025</t>
        </is>
      </c>
      <c r="B435" s="1" t="n">
        <v>45868</v>
      </c>
      <c r="C435" s="1" t="n">
        <v>45880</v>
      </c>
      <c r="D435" t="inlineStr">
        <is>
          <t>UPPSALA LÄN</t>
        </is>
      </c>
      <c r="E435" t="inlineStr">
        <is>
          <t>ENKÖPING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59602-2022</t>
        </is>
      </c>
      <c r="B436" s="1" t="n">
        <v>44907.72241898148</v>
      </c>
      <c r="C436" s="1" t="n">
        <v>45880</v>
      </c>
      <c r="D436" t="inlineStr">
        <is>
          <t>UPPSALA LÄN</t>
        </is>
      </c>
      <c r="E436" t="inlineStr">
        <is>
          <t>ENKÖPING</t>
        </is>
      </c>
      <c r="G436" t="n">
        <v>14.2</v>
      </c>
      <c r="H436" t="n">
        <v>0</v>
      </c>
      <c r="I436" t="n">
        <v>0</v>
      </c>
      <c r="J436" t="n">
        <v>0</v>
      </c>
      <c r="K436" t="n">
        <v>0</v>
      </c>
      <c r="L436" t="n">
        <v>0</v>
      </c>
      <c r="M436" t="n">
        <v>0</v>
      </c>
      <c r="N436" t="n">
        <v>0</v>
      </c>
      <c r="O436" t="n">
        <v>0</v>
      </c>
      <c r="P436" t="n">
        <v>0</v>
      </c>
      <c r="Q436" t="n">
        <v>0</v>
      </c>
      <c r="R436" s="2" t="inlineStr"/>
    </row>
    <row r="437" ht="15" customHeight="1">
      <c r="A437" t="inlineStr">
        <is>
          <t>A 36368-2025</t>
        </is>
      </c>
      <c r="B437" s="1" t="n">
        <v>45868</v>
      </c>
      <c r="C437" s="1" t="n">
        <v>45880</v>
      </c>
      <c r="D437" t="inlineStr">
        <is>
          <t>UPPSALA LÄN</t>
        </is>
      </c>
      <c r="E437" t="inlineStr">
        <is>
          <t>ENKÖPING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42589-2022</t>
        </is>
      </c>
      <c r="B438" s="1" t="n">
        <v>44831</v>
      </c>
      <c r="C438" s="1" t="n">
        <v>45880</v>
      </c>
      <c r="D438" t="inlineStr">
        <is>
          <t>UPPSALA LÄN</t>
        </is>
      </c>
      <c r="E438" t="inlineStr">
        <is>
          <t>ENKÖPING</t>
        </is>
      </c>
      <c r="G438" t="n">
        <v>20</v>
      </c>
      <c r="H438" t="n">
        <v>0</v>
      </c>
      <c r="I438" t="n">
        <v>0</v>
      </c>
      <c r="J438" t="n">
        <v>0</v>
      </c>
      <c r="K438" t="n">
        <v>0</v>
      </c>
      <c r="L438" t="n">
        <v>0</v>
      </c>
      <c r="M438" t="n">
        <v>0</v>
      </c>
      <c r="N438" t="n">
        <v>0</v>
      </c>
      <c r="O438" t="n">
        <v>0</v>
      </c>
      <c r="P438" t="n">
        <v>0</v>
      </c>
      <c r="Q438" t="n">
        <v>0</v>
      </c>
      <c r="R438" s="2" t="inlineStr"/>
    </row>
    <row r="439" ht="15" customHeight="1">
      <c r="A439" t="inlineStr">
        <is>
          <t>A 35645-2021</t>
        </is>
      </c>
      <c r="B439" s="1" t="n">
        <v>44386.42</v>
      </c>
      <c r="C439" s="1" t="n">
        <v>45880</v>
      </c>
      <c r="D439" t="inlineStr">
        <is>
          <t>UPPSALA LÄN</t>
        </is>
      </c>
      <c r="E439" t="inlineStr">
        <is>
          <t>ENKÖPING</t>
        </is>
      </c>
      <c r="G439" t="n">
        <v>2.7</v>
      </c>
      <c r="H439" t="n">
        <v>0</v>
      </c>
      <c r="I439" t="n">
        <v>0</v>
      </c>
      <c r="J439" t="n">
        <v>0</v>
      </c>
      <c r="K439" t="n">
        <v>0</v>
      </c>
      <c r="L439" t="n">
        <v>0</v>
      </c>
      <c r="M439" t="n">
        <v>0</v>
      </c>
      <c r="N439" t="n">
        <v>0</v>
      </c>
      <c r="O439" t="n">
        <v>0</v>
      </c>
      <c r="P439" t="n">
        <v>0</v>
      </c>
      <c r="Q439" t="n">
        <v>0</v>
      </c>
      <c r="R439" s="2" t="inlineStr"/>
    </row>
    <row r="440" ht="15" customHeight="1">
      <c r="A440" t="inlineStr">
        <is>
          <t>A 2968-2025</t>
        </is>
      </c>
      <c r="B440" s="1" t="n">
        <v>45678</v>
      </c>
      <c r="C440" s="1" t="n">
        <v>45880</v>
      </c>
      <c r="D440" t="inlineStr">
        <is>
          <t>UPPSALA LÄN</t>
        </is>
      </c>
      <c r="E440" t="inlineStr">
        <is>
          <t>ENKÖPING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36492-2025</t>
        </is>
      </c>
      <c r="B441" s="1" t="n">
        <v>45869</v>
      </c>
      <c r="C441" s="1" t="n">
        <v>45880</v>
      </c>
      <c r="D441" t="inlineStr">
        <is>
          <t>UPPSALA LÄN</t>
        </is>
      </c>
      <c r="E441" t="inlineStr">
        <is>
          <t>ENKÖPING</t>
        </is>
      </c>
      <c r="G441" t="n">
        <v>6.3</v>
      </c>
      <c r="H441" t="n">
        <v>0</v>
      </c>
      <c r="I441" t="n">
        <v>0</v>
      </c>
      <c r="J441" t="n">
        <v>0</v>
      </c>
      <c r="K441" t="n">
        <v>0</v>
      </c>
      <c r="L441" t="n">
        <v>0</v>
      </c>
      <c r="M441" t="n">
        <v>0</v>
      </c>
      <c r="N441" t="n">
        <v>0</v>
      </c>
      <c r="O441" t="n">
        <v>0</v>
      </c>
      <c r="P441" t="n">
        <v>0</v>
      </c>
      <c r="Q441" t="n">
        <v>0</v>
      </c>
      <c r="R441" s="2" t="inlineStr"/>
    </row>
    <row r="442" ht="15" customHeight="1">
      <c r="A442" t="inlineStr">
        <is>
          <t>A 36599-2025</t>
        </is>
      </c>
      <c r="B442" s="1" t="n">
        <v>45870.51723379629</v>
      </c>
      <c r="C442" s="1" t="n">
        <v>45880</v>
      </c>
      <c r="D442" t="inlineStr">
        <is>
          <t>UPPSALA LÄN</t>
        </is>
      </c>
      <c r="E442" t="inlineStr">
        <is>
          <t>ENKÖPING</t>
        </is>
      </c>
      <c r="G442" t="n">
        <v>5.9</v>
      </c>
      <c r="H442" t="n">
        <v>0</v>
      </c>
      <c r="I442" t="n">
        <v>0</v>
      </c>
      <c r="J442" t="n">
        <v>0</v>
      </c>
      <c r="K442" t="n">
        <v>0</v>
      </c>
      <c r="L442" t="n">
        <v>0</v>
      </c>
      <c r="M442" t="n">
        <v>0</v>
      </c>
      <c r="N442" t="n">
        <v>0</v>
      </c>
      <c r="O442" t="n">
        <v>0</v>
      </c>
      <c r="P442" t="n">
        <v>0</v>
      </c>
      <c r="Q442" t="n">
        <v>0</v>
      </c>
      <c r="R442" s="2" t="inlineStr"/>
    </row>
    <row r="443" ht="15" customHeight="1">
      <c r="A443" t="inlineStr">
        <is>
          <t>A 9487-2025</t>
        </is>
      </c>
      <c r="B443" s="1" t="n">
        <v>45715.49331018519</v>
      </c>
      <c r="C443" s="1" t="n">
        <v>45880</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61207-2023</t>
        </is>
      </c>
      <c r="B444" s="1" t="n">
        <v>45264.39444444444</v>
      </c>
      <c r="C444" s="1" t="n">
        <v>45880</v>
      </c>
      <c r="D444" t="inlineStr">
        <is>
          <t>UPPSALA LÄN</t>
        </is>
      </c>
      <c r="E444" t="inlineStr">
        <is>
          <t>ENKÖPING</t>
        </is>
      </c>
      <c r="G444" t="n">
        <v>10.8</v>
      </c>
      <c r="H444" t="n">
        <v>0</v>
      </c>
      <c r="I444" t="n">
        <v>0</v>
      </c>
      <c r="J444" t="n">
        <v>0</v>
      </c>
      <c r="K444" t="n">
        <v>0</v>
      </c>
      <c r="L444" t="n">
        <v>0</v>
      </c>
      <c r="M444" t="n">
        <v>0</v>
      </c>
      <c r="N444" t="n">
        <v>0</v>
      </c>
      <c r="O444" t="n">
        <v>0</v>
      </c>
      <c r="P444" t="n">
        <v>0</v>
      </c>
      <c r="Q444" t="n">
        <v>0</v>
      </c>
      <c r="R444" s="2" t="inlineStr"/>
    </row>
    <row r="445" ht="15" customHeight="1">
      <c r="A445" t="inlineStr">
        <is>
          <t>A 16176-2025</t>
        </is>
      </c>
      <c r="B445" s="1" t="n">
        <v>45750</v>
      </c>
      <c r="C445" s="1" t="n">
        <v>45880</v>
      </c>
      <c r="D445" t="inlineStr">
        <is>
          <t>UPPSALA LÄN</t>
        </is>
      </c>
      <c r="E445" t="inlineStr">
        <is>
          <t>ENKÖPING</t>
        </is>
      </c>
      <c r="G445" t="n">
        <v>3.9</v>
      </c>
      <c r="H445" t="n">
        <v>0</v>
      </c>
      <c r="I445" t="n">
        <v>0</v>
      </c>
      <c r="J445" t="n">
        <v>0</v>
      </c>
      <c r="K445" t="n">
        <v>0</v>
      </c>
      <c r="L445" t="n">
        <v>0</v>
      </c>
      <c r="M445" t="n">
        <v>0</v>
      </c>
      <c r="N445" t="n">
        <v>0</v>
      </c>
      <c r="O445" t="n">
        <v>0</v>
      </c>
      <c r="P445" t="n">
        <v>0</v>
      </c>
      <c r="Q445" t="n">
        <v>0</v>
      </c>
      <c r="R445" s="2" t="inlineStr"/>
    </row>
    <row r="446" ht="15" customHeight="1">
      <c r="A446" t="inlineStr">
        <is>
          <t>A 37035-2023</t>
        </is>
      </c>
      <c r="B446" s="1" t="n">
        <v>45155</v>
      </c>
      <c r="C446" s="1" t="n">
        <v>45880</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30837-2025</t>
        </is>
      </c>
      <c r="B447" s="1" t="n">
        <v>45831.7063425926</v>
      </c>
      <c r="C447" s="1" t="n">
        <v>45880</v>
      </c>
      <c r="D447" t="inlineStr">
        <is>
          <t>UPPSALA LÄN</t>
        </is>
      </c>
      <c r="E447" t="inlineStr">
        <is>
          <t>ENKÖPING</t>
        </is>
      </c>
      <c r="G447" t="n">
        <v>3.8</v>
      </c>
      <c r="H447" t="n">
        <v>0</v>
      </c>
      <c r="I447" t="n">
        <v>0</v>
      </c>
      <c r="J447" t="n">
        <v>0</v>
      </c>
      <c r="K447" t="n">
        <v>0</v>
      </c>
      <c r="L447" t="n">
        <v>0</v>
      </c>
      <c r="M447" t="n">
        <v>0</v>
      </c>
      <c r="N447" t="n">
        <v>0</v>
      </c>
      <c r="O447" t="n">
        <v>0</v>
      </c>
      <c r="P447" t="n">
        <v>0</v>
      </c>
      <c r="Q447" t="n">
        <v>0</v>
      </c>
      <c r="R447" s="2" t="inlineStr"/>
    </row>
    <row r="448" ht="15" customHeight="1">
      <c r="A448" t="inlineStr">
        <is>
          <t>A 9658-2025</t>
        </is>
      </c>
      <c r="B448" s="1" t="n">
        <v>45716</v>
      </c>
      <c r="C448" s="1" t="n">
        <v>45880</v>
      </c>
      <c r="D448" t="inlineStr">
        <is>
          <t>UPPSALA LÄN</t>
        </is>
      </c>
      <c r="E448" t="inlineStr">
        <is>
          <t>ENKÖPING</t>
        </is>
      </c>
      <c r="G448" t="n">
        <v>1.3</v>
      </c>
      <c r="H448" t="n">
        <v>0</v>
      </c>
      <c r="I448" t="n">
        <v>0</v>
      </c>
      <c r="J448" t="n">
        <v>0</v>
      </c>
      <c r="K448" t="n">
        <v>0</v>
      </c>
      <c r="L448" t="n">
        <v>0</v>
      </c>
      <c r="M448" t="n">
        <v>0</v>
      </c>
      <c r="N448" t="n">
        <v>0</v>
      </c>
      <c r="O448" t="n">
        <v>0</v>
      </c>
      <c r="P448" t="n">
        <v>0</v>
      </c>
      <c r="Q448" t="n">
        <v>0</v>
      </c>
      <c r="R448" s="2" t="inlineStr"/>
    </row>
    <row r="449" ht="15" customHeight="1">
      <c r="A449" t="inlineStr">
        <is>
          <t>A 840-2025</t>
        </is>
      </c>
      <c r="B449" s="1" t="n">
        <v>45665</v>
      </c>
      <c r="C449" s="1" t="n">
        <v>45880</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10458-2022</t>
        </is>
      </c>
      <c r="B450" s="1" t="n">
        <v>44623.56711805556</v>
      </c>
      <c r="C450" s="1" t="n">
        <v>45880</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45142-2023</t>
        </is>
      </c>
      <c r="B451" s="1" t="n">
        <v>45191.4702662037</v>
      </c>
      <c r="C451" s="1" t="n">
        <v>45880</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57998-2024</t>
        </is>
      </c>
      <c r="B452" s="1" t="n">
        <v>45631</v>
      </c>
      <c r="C452" s="1" t="n">
        <v>45880</v>
      </c>
      <c r="D452" t="inlineStr">
        <is>
          <t>UPPSALA LÄN</t>
        </is>
      </c>
      <c r="E452" t="inlineStr">
        <is>
          <t>ENKÖPING</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14332-2024</t>
        </is>
      </c>
      <c r="B453" s="1" t="n">
        <v>45393</v>
      </c>
      <c r="C453" s="1" t="n">
        <v>45880</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18831-2023</t>
        </is>
      </c>
      <c r="B454" s="1" t="n">
        <v>45044.40798611111</v>
      </c>
      <c r="C454" s="1" t="n">
        <v>45880</v>
      </c>
      <c r="D454" t="inlineStr">
        <is>
          <t>UPPSALA LÄN</t>
        </is>
      </c>
      <c r="E454" t="inlineStr">
        <is>
          <t>ENKÖPING</t>
        </is>
      </c>
      <c r="G454" t="n">
        <v>4.3</v>
      </c>
      <c r="H454" t="n">
        <v>0</v>
      </c>
      <c r="I454" t="n">
        <v>0</v>
      </c>
      <c r="J454" t="n">
        <v>0</v>
      </c>
      <c r="K454" t="n">
        <v>0</v>
      </c>
      <c r="L454" t="n">
        <v>0</v>
      </c>
      <c r="M454" t="n">
        <v>0</v>
      </c>
      <c r="N454" t="n">
        <v>0</v>
      </c>
      <c r="O454" t="n">
        <v>0</v>
      </c>
      <c r="P454" t="n">
        <v>0</v>
      </c>
      <c r="Q454" t="n">
        <v>0</v>
      </c>
      <c r="R454" s="2" t="inlineStr"/>
    </row>
    <row r="455" ht="15" customHeight="1">
      <c r="A455" t="inlineStr">
        <is>
          <t>A 37319-2025</t>
        </is>
      </c>
      <c r="B455" s="1" t="n">
        <v>45876.62100694444</v>
      </c>
      <c r="C455" s="1" t="n">
        <v>45880</v>
      </c>
      <c r="D455" t="inlineStr">
        <is>
          <t>UPPSALA LÄN</t>
        </is>
      </c>
      <c r="E455" t="inlineStr">
        <is>
          <t>ENKÖPING</t>
        </is>
      </c>
      <c r="G455" t="n">
        <v>9.5</v>
      </c>
      <c r="H455" t="n">
        <v>0</v>
      </c>
      <c r="I455" t="n">
        <v>0</v>
      </c>
      <c r="J455" t="n">
        <v>0</v>
      </c>
      <c r="K455" t="n">
        <v>0</v>
      </c>
      <c r="L455" t="n">
        <v>0</v>
      </c>
      <c r="M455" t="n">
        <v>0</v>
      </c>
      <c r="N455" t="n">
        <v>0</v>
      </c>
      <c r="O455" t="n">
        <v>0</v>
      </c>
      <c r="P455" t="n">
        <v>0</v>
      </c>
      <c r="Q455" t="n">
        <v>0</v>
      </c>
      <c r="R455" s="2" t="inlineStr"/>
    </row>
    <row r="456" ht="15" customHeight="1">
      <c r="A456" t="inlineStr">
        <is>
          <t>A 37296-2025</t>
        </is>
      </c>
      <c r="B456" s="1" t="n">
        <v>45876.56584490741</v>
      </c>
      <c r="C456" s="1" t="n">
        <v>45880</v>
      </c>
      <c r="D456" t="inlineStr">
        <is>
          <t>UPPSALA LÄN</t>
        </is>
      </c>
      <c r="E456" t="inlineStr">
        <is>
          <t>ENKÖPING</t>
        </is>
      </c>
      <c r="G456" t="n">
        <v>9.5</v>
      </c>
      <c r="H456" t="n">
        <v>0</v>
      </c>
      <c r="I456" t="n">
        <v>0</v>
      </c>
      <c r="J456" t="n">
        <v>0</v>
      </c>
      <c r="K456" t="n">
        <v>0</v>
      </c>
      <c r="L456" t="n">
        <v>0</v>
      </c>
      <c r="M456" t="n">
        <v>0</v>
      </c>
      <c r="N456" t="n">
        <v>0</v>
      </c>
      <c r="O456" t="n">
        <v>0</v>
      </c>
      <c r="P456" t="n">
        <v>0</v>
      </c>
      <c r="Q456" t="n">
        <v>0</v>
      </c>
      <c r="R456" s="2" t="inlineStr"/>
    </row>
    <row r="457" ht="15" customHeight="1">
      <c r="A457" t="inlineStr">
        <is>
          <t>A 33581-2023</t>
        </is>
      </c>
      <c r="B457" s="1" t="n">
        <v>45131</v>
      </c>
      <c r="C457" s="1" t="n">
        <v>45880</v>
      </c>
      <c r="D457" t="inlineStr">
        <is>
          <t>UPPSALA LÄN</t>
        </is>
      </c>
      <c r="E457" t="inlineStr">
        <is>
          <t>ENKÖPING</t>
        </is>
      </c>
      <c r="G457" t="n">
        <v>3.5</v>
      </c>
      <c r="H457" t="n">
        <v>0</v>
      </c>
      <c r="I457" t="n">
        <v>0</v>
      </c>
      <c r="J457" t="n">
        <v>0</v>
      </c>
      <c r="K457" t="n">
        <v>0</v>
      </c>
      <c r="L457" t="n">
        <v>0</v>
      </c>
      <c r="M457" t="n">
        <v>0</v>
      </c>
      <c r="N457" t="n">
        <v>0</v>
      </c>
      <c r="O457" t="n">
        <v>0</v>
      </c>
      <c r="P457" t="n">
        <v>0</v>
      </c>
      <c r="Q457" t="n">
        <v>0</v>
      </c>
      <c r="R457" s="2" t="inlineStr"/>
    </row>
    <row r="458" ht="15" customHeight="1">
      <c r="A458" t="inlineStr">
        <is>
          <t>A 58896-2020</t>
        </is>
      </c>
      <c r="B458" s="1" t="n">
        <v>44146</v>
      </c>
      <c r="C458" s="1" t="n">
        <v>45880</v>
      </c>
      <c r="D458" t="inlineStr">
        <is>
          <t>UPPSALA LÄN</t>
        </is>
      </c>
      <c r="E458" t="inlineStr">
        <is>
          <t>ENKÖPING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37115-2024</t>
        </is>
      </c>
      <c r="B459" s="1" t="n">
        <v>45539</v>
      </c>
      <c r="C459" s="1" t="n">
        <v>45880</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58062-2020</t>
        </is>
      </c>
      <c r="B460" s="1" t="n">
        <v>44144</v>
      </c>
      <c r="C460" s="1" t="n">
        <v>45880</v>
      </c>
      <c r="D460" t="inlineStr">
        <is>
          <t>UPPSALA LÄN</t>
        </is>
      </c>
      <c r="E460" t="inlineStr">
        <is>
          <t>ENKÖPING</t>
        </is>
      </c>
      <c r="G460" t="n">
        <v>2.3</v>
      </c>
      <c r="H460" t="n">
        <v>0</v>
      </c>
      <c r="I460" t="n">
        <v>0</v>
      </c>
      <c r="J460" t="n">
        <v>0</v>
      </c>
      <c r="K460" t="n">
        <v>0</v>
      </c>
      <c r="L460" t="n">
        <v>0</v>
      </c>
      <c r="M460" t="n">
        <v>0</v>
      </c>
      <c r="N460" t="n">
        <v>0</v>
      </c>
      <c r="O460" t="n">
        <v>0</v>
      </c>
      <c r="P460" t="n">
        <v>0</v>
      </c>
      <c r="Q460" t="n">
        <v>0</v>
      </c>
      <c r="R460" s="2" t="inlineStr"/>
    </row>
    <row r="461" ht="15" customHeight="1">
      <c r="A461" t="inlineStr">
        <is>
          <t>A 6147-2021</t>
        </is>
      </c>
      <c r="B461" s="1" t="n">
        <v>44232</v>
      </c>
      <c r="C461" s="1" t="n">
        <v>45880</v>
      </c>
      <c r="D461" t="inlineStr">
        <is>
          <t>UPPSALA LÄN</t>
        </is>
      </c>
      <c r="E461" t="inlineStr">
        <is>
          <t>ENKÖPING</t>
        </is>
      </c>
      <c r="G461" t="n">
        <v>1.6</v>
      </c>
      <c r="H461" t="n">
        <v>0</v>
      </c>
      <c r="I461" t="n">
        <v>0</v>
      </c>
      <c r="J461" t="n">
        <v>0</v>
      </c>
      <c r="K461" t="n">
        <v>0</v>
      </c>
      <c r="L461" t="n">
        <v>0</v>
      </c>
      <c r="M461" t="n">
        <v>0</v>
      </c>
      <c r="N461" t="n">
        <v>0</v>
      </c>
      <c r="O461" t="n">
        <v>0</v>
      </c>
      <c r="P461" t="n">
        <v>0</v>
      </c>
      <c r="Q461" t="n">
        <v>0</v>
      </c>
      <c r="R461" s="2" t="inlineStr"/>
    </row>
    <row r="462" ht="15" customHeight="1">
      <c r="A462" t="inlineStr">
        <is>
          <t>A 1960-2022</t>
        </is>
      </c>
      <c r="B462" s="1" t="n">
        <v>44575</v>
      </c>
      <c r="C462" s="1" t="n">
        <v>45880</v>
      </c>
      <c r="D462" t="inlineStr">
        <is>
          <t>UPPSALA LÄN</t>
        </is>
      </c>
      <c r="E462" t="inlineStr">
        <is>
          <t>ENKÖPING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18028-2023</t>
        </is>
      </c>
      <c r="B463" s="1" t="n">
        <v>45040</v>
      </c>
      <c r="C463" s="1" t="n">
        <v>45880</v>
      </c>
      <c r="D463" t="inlineStr">
        <is>
          <t>UPPSALA LÄN</t>
        </is>
      </c>
      <c r="E463" t="inlineStr">
        <is>
          <t>ENKÖPING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39935-2020</t>
        </is>
      </c>
      <c r="B464" s="1" t="n">
        <v>44067</v>
      </c>
      <c r="C464" s="1" t="n">
        <v>45880</v>
      </c>
      <c r="D464" t="inlineStr">
        <is>
          <t>UPPSALA LÄN</t>
        </is>
      </c>
      <c r="E464" t="inlineStr">
        <is>
          <t>ENKÖPING</t>
        </is>
      </c>
      <c r="G464" t="n">
        <v>4.2</v>
      </c>
      <c r="H464" t="n">
        <v>0</v>
      </c>
      <c r="I464" t="n">
        <v>0</v>
      </c>
      <c r="J464" t="n">
        <v>0</v>
      </c>
      <c r="K464" t="n">
        <v>0</v>
      </c>
      <c r="L464" t="n">
        <v>0</v>
      </c>
      <c r="M464" t="n">
        <v>0</v>
      </c>
      <c r="N464" t="n">
        <v>0</v>
      </c>
      <c r="O464" t="n">
        <v>0</v>
      </c>
      <c r="P464" t="n">
        <v>0</v>
      </c>
      <c r="Q464" t="n">
        <v>0</v>
      </c>
      <c r="R464" s="2" t="inlineStr"/>
    </row>
    <row r="465" ht="15" customHeight="1">
      <c r="A465" t="inlineStr">
        <is>
          <t>A 49568-2022</t>
        </is>
      </c>
      <c r="B465" s="1" t="n">
        <v>44862.32791666667</v>
      </c>
      <c r="C465" s="1" t="n">
        <v>45880</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42459-2024</t>
        </is>
      </c>
      <c r="B466" s="1" t="n">
        <v>45565</v>
      </c>
      <c r="C466" s="1" t="n">
        <v>45880</v>
      </c>
      <c r="D466" t="inlineStr">
        <is>
          <t>UPPSALA LÄN</t>
        </is>
      </c>
      <c r="E466" t="inlineStr">
        <is>
          <t>ENKÖPING</t>
        </is>
      </c>
      <c r="G466" t="n">
        <v>3.6</v>
      </c>
      <c r="H466" t="n">
        <v>0</v>
      </c>
      <c r="I466" t="n">
        <v>0</v>
      </c>
      <c r="J466" t="n">
        <v>0</v>
      </c>
      <c r="K466" t="n">
        <v>0</v>
      </c>
      <c r="L466" t="n">
        <v>0</v>
      </c>
      <c r="M466" t="n">
        <v>0</v>
      </c>
      <c r="N466" t="n">
        <v>0</v>
      </c>
      <c r="O466" t="n">
        <v>0</v>
      </c>
      <c r="P466" t="n">
        <v>0</v>
      </c>
      <c r="Q466" t="n">
        <v>0</v>
      </c>
      <c r="R466" s="2" t="inlineStr"/>
    </row>
    <row r="467" ht="15" customHeight="1">
      <c r="A467" t="inlineStr">
        <is>
          <t>A 48864-2022</t>
        </is>
      </c>
      <c r="B467" s="1" t="n">
        <v>44859</v>
      </c>
      <c r="C467" s="1" t="n">
        <v>45880</v>
      </c>
      <c r="D467" t="inlineStr">
        <is>
          <t>UPPSALA LÄN</t>
        </is>
      </c>
      <c r="E467" t="inlineStr">
        <is>
          <t>ENKÖPING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31622-2022</t>
        </is>
      </c>
      <c r="B468" s="1" t="n">
        <v>44775</v>
      </c>
      <c r="C468" s="1" t="n">
        <v>45880</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66517-2020</t>
        </is>
      </c>
      <c r="B469" s="1" t="n">
        <v>44178</v>
      </c>
      <c r="C469" s="1" t="n">
        <v>45880</v>
      </c>
      <c r="D469" t="inlineStr">
        <is>
          <t>UPPSALA LÄN</t>
        </is>
      </c>
      <c r="E469" t="inlineStr">
        <is>
          <t>ENKÖPING</t>
        </is>
      </c>
      <c r="G469" t="n">
        <v>4</v>
      </c>
      <c r="H469" t="n">
        <v>0</v>
      </c>
      <c r="I469" t="n">
        <v>0</v>
      </c>
      <c r="J469" t="n">
        <v>0</v>
      </c>
      <c r="K469" t="n">
        <v>0</v>
      </c>
      <c r="L469" t="n">
        <v>0</v>
      </c>
      <c r="M469" t="n">
        <v>0</v>
      </c>
      <c r="N469" t="n">
        <v>0</v>
      </c>
      <c r="O469" t="n">
        <v>0</v>
      </c>
      <c r="P469" t="n">
        <v>0</v>
      </c>
      <c r="Q469" t="n">
        <v>0</v>
      </c>
      <c r="R469" s="2" t="inlineStr"/>
    </row>
    <row r="470" ht="15" customHeight="1">
      <c r="A470" t="inlineStr">
        <is>
          <t>A 6356-2022</t>
        </is>
      </c>
      <c r="B470" s="1" t="n">
        <v>44600</v>
      </c>
      <c r="C470" s="1" t="n">
        <v>45880</v>
      </c>
      <c r="D470" t="inlineStr">
        <is>
          <t>UPPSALA LÄN</t>
        </is>
      </c>
      <c r="E470" t="inlineStr">
        <is>
          <t>ENKÖPING</t>
        </is>
      </c>
      <c r="G470" t="n">
        <v>1.2</v>
      </c>
      <c r="H470" t="n">
        <v>0</v>
      </c>
      <c r="I470" t="n">
        <v>0</v>
      </c>
      <c r="J470" t="n">
        <v>0</v>
      </c>
      <c r="K470" t="n">
        <v>0</v>
      </c>
      <c r="L470" t="n">
        <v>0</v>
      </c>
      <c r="M470" t="n">
        <v>0</v>
      </c>
      <c r="N470" t="n">
        <v>0</v>
      </c>
      <c r="O470" t="n">
        <v>0</v>
      </c>
      <c r="P470" t="n">
        <v>0</v>
      </c>
      <c r="Q470" t="n">
        <v>0</v>
      </c>
      <c r="R470" s="2" t="inlineStr"/>
    </row>
    <row r="471" ht="15" customHeight="1">
      <c r="A471" t="inlineStr">
        <is>
          <t>A 49617-2024</t>
        </is>
      </c>
      <c r="B471" s="1" t="n">
        <v>45596</v>
      </c>
      <c r="C471" s="1" t="n">
        <v>45880</v>
      </c>
      <c r="D471" t="inlineStr">
        <is>
          <t>UPPSALA LÄN</t>
        </is>
      </c>
      <c r="E471" t="inlineStr">
        <is>
          <t>ENKÖPING</t>
        </is>
      </c>
      <c r="G471" t="n">
        <v>3.5</v>
      </c>
      <c r="H471" t="n">
        <v>0</v>
      </c>
      <c r="I471" t="n">
        <v>0</v>
      </c>
      <c r="J471" t="n">
        <v>0</v>
      </c>
      <c r="K471" t="n">
        <v>0</v>
      </c>
      <c r="L471" t="n">
        <v>0</v>
      </c>
      <c r="M471" t="n">
        <v>0</v>
      </c>
      <c r="N471" t="n">
        <v>0</v>
      </c>
      <c r="O471" t="n">
        <v>0</v>
      </c>
      <c r="P471" t="n">
        <v>0</v>
      </c>
      <c r="Q471" t="n">
        <v>0</v>
      </c>
      <c r="R471" s="2" t="inlineStr"/>
    </row>
    <row r="472" ht="15" customHeight="1">
      <c r="A472" t="inlineStr">
        <is>
          <t>A 49637-2024</t>
        </is>
      </c>
      <c r="B472" s="1" t="n">
        <v>45596.59831018518</v>
      </c>
      <c r="C472" s="1" t="n">
        <v>45880</v>
      </c>
      <c r="D472" t="inlineStr">
        <is>
          <t>UPPSALA LÄN</t>
        </is>
      </c>
      <c r="E472" t="inlineStr">
        <is>
          <t>ENKÖPING</t>
        </is>
      </c>
      <c r="G472" t="n">
        <v>4.9</v>
      </c>
      <c r="H472" t="n">
        <v>0</v>
      </c>
      <c r="I472" t="n">
        <v>0</v>
      </c>
      <c r="J472" t="n">
        <v>0</v>
      </c>
      <c r="K472" t="n">
        <v>0</v>
      </c>
      <c r="L472" t="n">
        <v>0</v>
      </c>
      <c r="M472" t="n">
        <v>0</v>
      </c>
      <c r="N472" t="n">
        <v>0</v>
      </c>
      <c r="O472" t="n">
        <v>0</v>
      </c>
      <c r="P472" t="n">
        <v>0</v>
      </c>
      <c r="Q472" t="n">
        <v>0</v>
      </c>
      <c r="R472" s="2" t="inlineStr"/>
    </row>
    <row r="473" ht="15" customHeight="1">
      <c r="A473" t="inlineStr">
        <is>
          <t>A 57147-2021</t>
        </is>
      </c>
      <c r="B473" s="1" t="n">
        <v>44482</v>
      </c>
      <c r="C473" s="1" t="n">
        <v>45880</v>
      </c>
      <c r="D473" t="inlineStr">
        <is>
          <t>UPPSALA LÄN</t>
        </is>
      </c>
      <c r="E473" t="inlineStr">
        <is>
          <t>ENKÖPING</t>
        </is>
      </c>
      <c r="G473" t="n">
        <v>5.7</v>
      </c>
      <c r="H473" t="n">
        <v>0</v>
      </c>
      <c r="I473" t="n">
        <v>0</v>
      </c>
      <c r="J473" t="n">
        <v>0</v>
      </c>
      <c r="K473" t="n">
        <v>0</v>
      </c>
      <c r="L473" t="n">
        <v>0</v>
      </c>
      <c r="M473" t="n">
        <v>0</v>
      </c>
      <c r="N473" t="n">
        <v>0</v>
      </c>
      <c r="O473" t="n">
        <v>0</v>
      </c>
      <c r="P473" t="n">
        <v>0</v>
      </c>
      <c r="Q473" t="n">
        <v>0</v>
      </c>
      <c r="R473" s="2" t="inlineStr"/>
    </row>
    <row r="474" ht="15" customHeight="1">
      <c r="A474" t="inlineStr">
        <is>
          <t>A 61711-2020</t>
        </is>
      </c>
      <c r="B474" s="1" t="n">
        <v>44158</v>
      </c>
      <c r="C474" s="1" t="n">
        <v>45880</v>
      </c>
      <c r="D474" t="inlineStr">
        <is>
          <t>UPPSALA LÄN</t>
        </is>
      </c>
      <c r="E474" t="inlineStr">
        <is>
          <t>ENKÖPING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47909-2024</t>
        </is>
      </c>
      <c r="B475" s="1" t="n">
        <v>45589.31866898148</v>
      </c>
      <c r="C475" s="1" t="n">
        <v>45880</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6157-2021</t>
        </is>
      </c>
      <c r="B476" s="1" t="n">
        <v>44232</v>
      </c>
      <c r="C476" s="1" t="n">
        <v>45880</v>
      </c>
      <c r="D476" t="inlineStr">
        <is>
          <t>UPPSALA LÄN</t>
        </is>
      </c>
      <c r="E476" t="inlineStr">
        <is>
          <t>ENKÖPING</t>
        </is>
      </c>
      <c r="G476" t="n">
        <v>3.9</v>
      </c>
      <c r="H476" t="n">
        <v>0</v>
      </c>
      <c r="I476" t="n">
        <v>0</v>
      </c>
      <c r="J476" t="n">
        <v>0</v>
      </c>
      <c r="K476" t="n">
        <v>0</v>
      </c>
      <c r="L476" t="n">
        <v>0</v>
      </c>
      <c r="M476" t="n">
        <v>0</v>
      </c>
      <c r="N476" t="n">
        <v>0</v>
      </c>
      <c r="O476" t="n">
        <v>0</v>
      </c>
      <c r="P476" t="n">
        <v>0</v>
      </c>
      <c r="Q476" t="n">
        <v>0</v>
      </c>
      <c r="R476" s="2" t="inlineStr"/>
    </row>
    <row r="477" ht="15" customHeight="1">
      <c r="A477" t="inlineStr">
        <is>
          <t>A 52005-2024</t>
        </is>
      </c>
      <c r="B477" s="1" t="n">
        <v>45607.7627662037</v>
      </c>
      <c r="C477" s="1" t="n">
        <v>45880</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53586-2024</t>
        </is>
      </c>
      <c r="B478" s="1" t="n">
        <v>45614</v>
      </c>
      <c r="C478" s="1" t="n">
        <v>45880</v>
      </c>
      <c r="D478" t="inlineStr">
        <is>
          <t>UPPSALA LÄN</t>
        </is>
      </c>
      <c r="E478" t="inlineStr">
        <is>
          <t>ENKÖPING</t>
        </is>
      </c>
      <c r="G478" t="n">
        <v>6.6</v>
      </c>
      <c r="H478" t="n">
        <v>0</v>
      </c>
      <c r="I478" t="n">
        <v>0</v>
      </c>
      <c r="J478" t="n">
        <v>0</v>
      </c>
      <c r="K478" t="n">
        <v>0</v>
      </c>
      <c r="L478" t="n">
        <v>0</v>
      </c>
      <c r="M478" t="n">
        <v>0</v>
      </c>
      <c r="N478" t="n">
        <v>0</v>
      </c>
      <c r="O478" t="n">
        <v>0</v>
      </c>
      <c r="P478" t="n">
        <v>0</v>
      </c>
      <c r="Q478" t="n">
        <v>0</v>
      </c>
      <c r="R478" s="2" t="inlineStr"/>
    </row>
    <row r="479" ht="15" customHeight="1">
      <c r="A479" t="inlineStr">
        <is>
          <t>A 51034-2024</t>
        </is>
      </c>
      <c r="B479" s="1" t="n">
        <v>45603.4262037037</v>
      </c>
      <c r="C479" s="1" t="n">
        <v>45880</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51036-2024</t>
        </is>
      </c>
      <c r="B480" s="1" t="n">
        <v>45603.42839120371</v>
      </c>
      <c r="C480" s="1" t="n">
        <v>45880</v>
      </c>
      <c r="D480" t="inlineStr">
        <is>
          <t>UPPSALA LÄN</t>
        </is>
      </c>
      <c r="E480" t="inlineStr">
        <is>
          <t>ENKÖPING</t>
        </is>
      </c>
      <c r="G480" t="n">
        <v>2.6</v>
      </c>
      <c r="H480" t="n">
        <v>0</v>
      </c>
      <c r="I480" t="n">
        <v>0</v>
      </c>
      <c r="J480" t="n">
        <v>0</v>
      </c>
      <c r="K480" t="n">
        <v>0</v>
      </c>
      <c r="L480" t="n">
        <v>0</v>
      </c>
      <c r="M480" t="n">
        <v>0</v>
      </c>
      <c r="N480" t="n">
        <v>0</v>
      </c>
      <c r="O480" t="n">
        <v>0</v>
      </c>
      <c r="P480" t="n">
        <v>0</v>
      </c>
      <c r="Q480" t="n">
        <v>0</v>
      </c>
      <c r="R480" s="2" t="inlineStr"/>
    </row>
    <row r="481" ht="15" customHeight="1">
      <c r="A481" t="inlineStr">
        <is>
          <t>A 43492-2023</t>
        </is>
      </c>
      <c r="B481" s="1" t="n">
        <v>45181</v>
      </c>
      <c r="C481" s="1" t="n">
        <v>45880</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1536-2024</t>
        </is>
      </c>
      <c r="B482" s="1" t="n">
        <v>45306</v>
      </c>
      <c r="C482" s="1" t="n">
        <v>45880</v>
      </c>
      <c r="D482" t="inlineStr">
        <is>
          <t>UPPSALA LÄN</t>
        </is>
      </c>
      <c r="E482" t="inlineStr">
        <is>
          <t>ENKÖPING</t>
        </is>
      </c>
      <c r="F482" t="inlineStr">
        <is>
          <t>Kyrkan</t>
        </is>
      </c>
      <c r="G482" t="n">
        <v>5.6</v>
      </c>
      <c r="H482" t="n">
        <v>0</v>
      </c>
      <c r="I482" t="n">
        <v>0</v>
      </c>
      <c r="J482" t="n">
        <v>0</v>
      </c>
      <c r="K482" t="n">
        <v>0</v>
      </c>
      <c r="L482" t="n">
        <v>0</v>
      </c>
      <c r="M482" t="n">
        <v>0</v>
      </c>
      <c r="N482" t="n">
        <v>0</v>
      </c>
      <c r="O482" t="n">
        <v>0</v>
      </c>
      <c r="P482" t="n">
        <v>0</v>
      </c>
      <c r="Q482" t="n">
        <v>0</v>
      </c>
      <c r="R482" s="2" t="inlineStr"/>
    </row>
    <row r="483" ht="15" customHeight="1">
      <c r="A483" t="inlineStr">
        <is>
          <t>A 49625-2024</t>
        </is>
      </c>
      <c r="B483" s="1" t="n">
        <v>45596.5891087963</v>
      </c>
      <c r="C483" s="1" t="n">
        <v>45880</v>
      </c>
      <c r="D483" t="inlineStr">
        <is>
          <t>UPPSALA LÄN</t>
        </is>
      </c>
      <c r="E483" t="inlineStr">
        <is>
          <t>ENKÖPING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2974-2025</t>
        </is>
      </c>
      <c r="B484" s="1" t="n">
        <v>45678.47168981482</v>
      </c>
      <c r="C484" s="1" t="n">
        <v>45880</v>
      </c>
      <c r="D484" t="inlineStr">
        <is>
          <t>UPPSALA LÄN</t>
        </is>
      </c>
      <c r="E484" t="inlineStr">
        <is>
          <t>ENKÖPING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16916-2023</t>
        </is>
      </c>
      <c r="B485" s="1" t="n">
        <v>45033.58347222222</v>
      </c>
      <c r="C485" s="1" t="n">
        <v>45880</v>
      </c>
      <c r="D485" t="inlineStr">
        <is>
          <t>UPPSALA LÄN</t>
        </is>
      </c>
      <c r="E485" t="inlineStr">
        <is>
          <t>ENKÖPING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16920-2023</t>
        </is>
      </c>
      <c r="B486" s="1" t="n">
        <v>45033.59030092593</v>
      </c>
      <c r="C486" s="1" t="n">
        <v>45880</v>
      </c>
      <c r="D486" t="inlineStr">
        <is>
          <t>UPPSALA LÄN</t>
        </is>
      </c>
      <c r="E486" t="inlineStr">
        <is>
          <t>ENKÖPING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52388-2024</t>
        </is>
      </c>
      <c r="B487" s="1" t="n">
        <v>45609.42939814815</v>
      </c>
      <c r="C487" s="1" t="n">
        <v>45880</v>
      </c>
      <c r="D487" t="inlineStr">
        <is>
          <t>UPPSALA LÄN</t>
        </is>
      </c>
      <c r="E487" t="inlineStr">
        <is>
          <t>ENKÖPING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12434-2021</t>
        </is>
      </c>
      <c r="B488" s="1" t="n">
        <v>44267</v>
      </c>
      <c r="C488" s="1" t="n">
        <v>45880</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1992-2022</t>
        </is>
      </c>
      <c r="B489" s="1" t="n">
        <v>44575.56153935185</v>
      </c>
      <c r="C489" s="1" t="n">
        <v>45880</v>
      </c>
      <c r="D489" t="inlineStr">
        <is>
          <t>UPPSALA LÄN</t>
        </is>
      </c>
      <c r="E489" t="inlineStr">
        <is>
          <t>ENKÖPING</t>
        </is>
      </c>
      <c r="G489" t="n">
        <v>2.8</v>
      </c>
      <c r="H489" t="n">
        <v>0</v>
      </c>
      <c r="I489" t="n">
        <v>0</v>
      </c>
      <c r="J489" t="n">
        <v>0</v>
      </c>
      <c r="K489" t="n">
        <v>0</v>
      </c>
      <c r="L489" t="n">
        <v>0</v>
      </c>
      <c r="M489" t="n">
        <v>0</v>
      </c>
      <c r="N489" t="n">
        <v>0</v>
      </c>
      <c r="O489" t="n">
        <v>0</v>
      </c>
      <c r="P489" t="n">
        <v>0</v>
      </c>
      <c r="Q489" t="n">
        <v>0</v>
      </c>
      <c r="R489" s="2" t="inlineStr"/>
    </row>
    <row r="490" ht="15" customHeight="1">
      <c r="A490" t="inlineStr">
        <is>
          <t>A 6626-2023</t>
        </is>
      </c>
      <c r="B490" s="1" t="n">
        <v>44966.55946759259</v>
      </c>
      <c r="C490" s="1" t="n">
        <v>45880</v>
      </c>
      <c r="D490" t="inlineStr">
        <is>
          <t>UPPSALA LÄN</t>
        </is>
      </c>
      <c r="E490" t="inlineStr">
        <is>
          <t>ENKÖPING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48843-2023</t>
        </is>
      </c>
      <c r="B491" s="1" t="n">
        <v>45209</v>
      </c>
      <c r="C491" s="1" t="n">
        <v>45880</v>
      </c>
      <c r="D491" t="inlineStr">
        <is>
          <t>UPPSALA LÄN</t>
        </is>
      </c>
      <c r="E491" t="inlineStr">
        <is>
          <t>ENKÖPING</t>
        </is>
      </c>
      <c r="G491" t="n">
        <v>1.3</v>
      </c>
      <c r="H491" t="n">
        <v>0</v>
      </c>
      <c r="I491" t="n">
        <v>0</v>
      </c>
      <c r="J491" t="n">
        <v>0</v>
      </c>
      <c r="K491" t="n">
        <v>0</v>
      </c>
      <c r="L491" t="n">
        <v>0</v>
      </c>
      <c r="M491" t="n">
        <v>0</v>
      </c>
      <c r="N491" t="n">
        <v>0</v>
      </c>
      <c r="O491" t="n">
        <v>0</v>
      </c>
      <c r="P491" t="n">
        <v>0</v>
      </c>
      <c r="Q491" t="n">
        <v>0</v>
      </c>
      <c r="R491" s="2" t="inlineStr"/>
    </row>
    <row r="492" ht="15" customHeight="1">
      <c r="A492" t="inlineStr">
        <is>
          <t>A 57940-2022</t>
        </is>
      </c>
      <c r="B492" s="1" t="n">
        <v>44900</v>
      </c>
      <c r="C492" s="1" t="n">
        <v>45880</v>
      </c>
      <c r="D492" t="inlineStr">
        <is>
          <t>UPPSALA LÄN</t>
        </is>
      </c>
      <c r="E492" t="inlineStr">
        <is>
          <t>ENKÖPING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35079-2024</t>
        </is>
      </c>
      <c r="B493" s="1" t="n">
        <v>45527.66770833333</v>
      </c>
      <c r="C493" s="1" t="n">
        <v>45880</v>
      </c>
      <c r="D493" t="inlineStr">
        <is>
          <t>UPPSALA LÄN</t>
        </is>
      </c>
      <c r="E493" t="inlineStr">
        <is>
          <t>ENKÖPING</t>
        </is>
      </c>
      <c r="G493" t="n">
        <v>0.5</v>
      </c>
      <c r="H493" t="n">
        <v>0</v>
      </c>
      <c r="I493" t="n">
        <v>0</v>
      </c>
      <c r="J493" t="n">
        <v>0</v>
      </c>
      <c r="K493" t="n">
        <v>0</v>
      </c>
      <c r="L493" t="n">
        <v>0</v>
      </c>
      <c r="M493" t="n">
        <v>0</v>
      </c>
      <c r="N493" t="n">
        <v>0</v>
      </c>
      <c r="O493" t="n">
        <v>0</v>
      </c>
      <c r="P493" t="n">
        <v>0</v>
      </c>
      <c r="Q493" t="n">
        <v>0</v>
      </c>
      <c r="R493" s="2" t="inlineStr"/>
    </row>
    <row r="494">
      <c r="A494" t="inlineStr">
        <is>
          <t>A 53595-2023</t>
        </is>
      </c>
      <c r="B494" s="1" t="n">
        <v>45223</v>
      </c>
      <c r="C494" s="1" t="n">
        <v>45880</v>
      </c>
      <c r="D494" t="inlineStr">
        <is>
          <t>UPPSALA LÄN</t>
        </is>
      </c>
      <c r="E494" t="inlineStr">
        <is>
          <t>ENKÖPING</t>
        </is>
      </c>
      <c r="G494" t="n">
        <v>2.6</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2025-08-11T08:28:12Z</dcterms:created>
  <dcterms:modified xmlns:dcterms="http://purl.org/dc/terms/" xmlns:xsi="http://www.w3.org/2001/XMLSchema-instance" xsi:type="dcterms:W3CDTF">2025-08-11T08:28:12Z</dcterms:modified>
</cp:coreProperties>
</file>