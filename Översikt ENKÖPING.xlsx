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45635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45635</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45635</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45635</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45635</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45635</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45635</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45635</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45635</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45635</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45635</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45635</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45635</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45635</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45635</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45635</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45635</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45635</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45635</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45635</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45635</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45635</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24323-2024</t>
        </is>
      </c>
      <c r="B24" s="1" t="n">
        <v>45457</v>
      </c>
      <c r="C24" s="1" t="n">
        <v>45635</v>
      </c>
      <c r="D24" t="inlineStr">
        <is>
          <t>UPPSALA LÄN</t>
        </is>
      </c>
      <c r="E24" t="inlineStr">
        <is>
          <t>ENKÖPING</t>
        </is>
      </c>
      <c r="G24" t="n">
        <v>6.3</v>
      </c>
      <c r="H24" t="n">
        <v>2</v>
      </c>
      <c r="I24" t="n">
        <v>0</v>
      </c>
      <c r="J24" t="n">
        <v>1</v>
      </c>
      <c r="K24" t="n">
        <v>0</v>
      </c>
      <c r="L24" t="n">
        <v>0</v>
      </c>
      <c r="M24" t="n">
        <v>0</v>
      </c>
      <c r="N24" t="n">
        <v>0</v>
      </c>
      <c r="O24" t="n">
        <v>1</v>
      </c>
      <c r="P24" t="n">
        <v>0</v>
      </c>
      <c r="Q24" t="n">
        <v>2</v>
      </c>
      <c r="R24" s="2" t="inlineStr">
        <is>
          <t>Spillkråka
Mattlummer</t>
        </is>
      </c>
      <c r="S24">
        <f>HYPERLINK("https://klasma.github.io/Logging_0381/artfynd/A 24323-2024 artfynd.xlsx", "A 24323-2024")</f>
        <v/>
      </c>
      <c r="T24">
        <f>HYPERLINK("https://klasma.github.io/Logging_0381/kartor/A 24323-2024 karta.png", "A 24323-2024")</f>
        <v/>
      </c>
      <c r="V24">
        <f>HYPERLINK("https://klasma.github.io/Logging_0381/klagomål/A 24323-2024 FSC-klagomål.docx", "A 24323-2024")</f>
        <v/>
      </c>
      <c r="W24">
        <f>HYPERLINK("https://klasma.github.io/Logging_0381/klagomålsmail/A 24323-2024 FSC-klagomål mail.docx", "A 24323-2024")</f>
        <v/>
      </c>
      <c r="X24">
        <f>HYPERLINK("https://klasma.github.io/Logging_0381/tillsyn/A 24323-2024 tillsynsbegäran.docx", "A 24323-2024")</f>
        <v/>
      </c>
      <c r="Y24">
        <f>HYPERLINK("https://klasma.github.io/Logging_0381/tillsynsmail/A 24323-2024 tillsynsbegäran mail.docx", "A 24323-2024")</f>
        <v/>
      </c>
      <c r="Z24">
        <f>HYPERLINK("https://klasma.github.io/Logging_0381/fåglar/A 24323-2024 prioriterade fågelarter.docx", "A 24323-2024")</f>
        <v/>
      </c>
    </row>
    <row r="25" ht="15" customHeight="1">
      <c r="A25" t="inlineStr">
        <is>
          <t>A 39974-2019</t>
        </is>
      </c>
      <c r="B25" s="1" t="n">
        <v>43692</v>
      </c>
      <c r="C25" s="1" t="n">
        <v>45635</v>
      </c>
      <c r="D25" t="inlineStr">
        <is>
          <t>UPPSALA LÄN</t>
        </is>
      </c>
      <c r="E25" t="inlineStr">
        <is>
          <t>ENKÖPING</t>
        </is>
      </c>
      <c r="G25" t="n">
        <v>6</v>
      </c>
      <c r="H25" t="n">
        <v>1</v>
      </c>
      <c r="I25" t="n">
        <v>0</v>
      </c>
      <c r="J25" t="n">
        <v>1</v>
      </c>
      <c r="K25" t="n">
        <v>0</v>
      </c>
      <c r="L25" t="n">
        <v>0</v>
      </c>
      <c r="M25" t="n">
        <v>0</v>
      </c>
      <c r="N25" t="n">
        <v>0</v>
      </c>
      <c r="O25" t="n">
        <v>1</v>
      </c>
      <c r="P25" t="n">
        <v>0</v>
      </c>
      <c r="Q25" t="n">
        <v>1</v>
      </c>
      <c r="R25" s="2" t="inlineStr">
        <is>
          <t>Havsörn</t>
        </is>
      </c>
      <c r="S25">
        <f>HYPERLINK("https://klasma.github.io/Logging_0381/artfynd/A 39974-2019 artfynd.xlsx", "A 39974-2019")</f>
        <v/>
      </c>
      <c r="T25">
        <f>HYPERLINK("https://klasma.github.io/Logging_0381/kartor/A 39974-2019 karta.png", "A 39974-2019")</f>
        <v/>
      </c>
      <c r="V25">
        <f>HYPERLINK("https://klasma.github.io/Logging_0381/klagomål/A 39974-2019 FSC-klagomål.docx", "A 39974-2019")</f>
        <v/>
      </c>
      <c r="W25">
        <f>HYPERLINK("https://klasma.github.io/Logging_0381/klagomålsmail/A 39974-2019 FSC-klagomål mail.docx", "A 39974-2019")</f>
        <v/>
      </c>
      <c r="X25">
        <f>HYPERLINK("https://klasma.github.io/Logging_0381/tillsyn/A 39974-2019 tillsynsbegäran.docx", "A 39974-2019")</f>
        <v/>
      </c>
      <c r="Y25">
        <f>HYPERLINK("https://klasma.github.io/Logging_0381/tillsynsmail/A 39974-2019 tillsynsbegäran mail.docx", "A 39974-2019")</f>
        <v/>
      </c>
      <c r="Z25">
        <f>HYPERLINK("https://klasma.github.io/Logging_0381/fåglar/A 39974-2019 prioriterade fågelarter.docx", "A 39974-2019")</f>
        <v/>
      </c>
    </row>
    <row r="26" ht="15" customHeight="1">
      <c r="A26" t="inlineStr">
        <is>
          <t>A 40881-2019</t>
        </is>
      </c>
      <c r="B26" s="1" t="n">
        <v>43697</v>
      </c>
      <c r="C26" s="1" t="n">
        <v>45635</v>
      </c>
      <c r="D26" t="inlineStr">
        <is>
          <t>UPPSALA LÄN</t>
        </is>
      </c>
      <c r="E26" t="inlineStr">
        <is>
          <t>ENKÖPING</t>
        </is>
      </c>
      <c r="G26" t="n">
        <v>21</v>
      </c>
      <c r="H26" t="n">
        <v>0</v>
      </c>
      <c r="I26" t="n">
        <v>1</v>
      </c>
      <c r="J26" t="n">
        <v>0</v>
      </c>
      <c r="K26" t="n">
        <v>0</v>
      </c>
      <c r="L26" t="n">
        <v>0</v>
      </c>
      <c r="M26" t="n">
        <v>0</v>
      </c>
      <c r="N26" t="n">
        <v>0</v>
      </c>
      <c r="O26" t="n">
        <v>0</v>
      </c>
      <c r="P26" t="n">
        <v>0</v>
      </c>
      <c r="Q26" t="n">
        <v>1</v>
      </c>
      <c r="R26" s="2" t="inlineStr">
        <is>
          <t>Rävticka</t>
        </is>
      </c>
      <c r="S26">
        <f>HYPERLINK("https://klasma.github.io/Logging_0381/artfynd/A 40881-2019 artfynd.xlsx", "A 40881-2019")</f>
        <v/>
      </c>
      <c r="T26">
        <f>HYPERLINK("https://klasma.github.io/Logging_0381/kartor/A 40881-2019 karta.png", "A 40881-2019")</f>
        <v/>
      </c>
      <c r="V26">
        <f>HYPERLINK("https://klasma.github.io/Logging_0381/klagomål/A 40881-2019 FSC-klagomål.docx", "A 40881-2019")</f>
        <v/>
      </c>
      <c r="W26">
        <f>HYPERLINK("https://klasma.github.io/Logging_0381/klagomålsmail/A 40881-2019 FSC-klagomål mail.docx", "A 40881-2019")</f>
        <v/>
      </c>
      <c r="X26">
        <f>HYPERLINK("https://klasma.github.io/Logging_0381/tillsyn/A 40881-2019 tillsynsbegäran.docx", "A 40881-2019")</f>
        <v/>
      </c>
      <c r="Y26">
        <f>HYPERLINK("https://klasma.github.io/Logging_0381/tillsynsmail/A 40881-2019 tillsynsbegäran mail.docx", "A 40881-2019")</f>
        <v/>
      </c>
    </row>
    <row r="27" ht="15" customHeight="1">
      <c r="A27" t="inlineStr">
        <is>
          <t>A 42340-2019</t>
        </is>
      </c>
      <c r="B27" s="1" t="n">
        <v>43703</v>
      </c>
      <c r="C27" s="1" t="n">
        <v>45635</v>
      </c>
      <c r="D27" t="inlineStr">
        <is>
          <t>UPPSALA LÄN</t>
        </is>
      </c>
      <c r="E27" t="inlineStr">
        <is>
          <t>ENKÖPING</t>
        </is>
      </c>
      <c r="G27" t="n">
        <v>3.9</v>
      </c>
      <c r="H27" t="n">
        <v>1</v>
      </c>
      <c r="I27" t="n">
        <v>0</v>
      </c>
      <c r="J27" t="n">
        <v>1</v>
      </c>
      <c r="K27" t="n">
        <v>0</v>
      </c>
      <c r="L27" t="n">
        <v>0</v>
      </c>
      <c r="M27" t="n">
        <v>0</v>
      </c>
      <c r="N27" t="n">
        <v>0</v>
      </c>
      <c r="O27" t="n">
        <v>1</v>
      </c>
      <c r="P27" t="n">
        <v>0</v>
      </c>
      <c r="Q27" t="n">
        <v>1</v>
      </c>
      <c r="R27" s="2" t="inlineStr">
        <is>
          <t>Spillkråka</t>
        </is>
      </c>
      <c r="S27">
        <f>HYPERLINK("https://klasma.github.io/Logging_0381/artfynd/A 42340-2019 artfynd.xlsx", "A 42340-2019")</f>
        <v/>
      </c>
      <c r="T27">
        <f>HYPERLINK("https://klasma.github.io/Logging_0381/kartor/A 42340-2019 karta.png", "A 42340-2019")</f>
        <v/>
      </c>
      <c r="V27">
        <f>HYPERLINK("https://klasma.github.io/Logging_0381/klagomål/A 42340-2019 FSC-klagomål.docx", "A 42340-2019")</f>
        <v/>
      </c>
      <c r="W27">
        <f>HYPERLINK("https://klasma.github.io/Logging_0381/klagomålsmail/A 42340-2019 FSC-klagomål mail.docx", "A 42340-2019")</f>
        <v/>
      </c>
      <c r="X27">
        <f>HYPERLINK("https://klasma.github.io/Logging_0381/tillsyn/A 42340-2019 tillsynsbegäran.docx", "A 42340-2019")</f>
        <v/>
      </c>
      <c r="Y27">
        <f>HYPERLINK("https://klasma.github.io/Logging_0381/tillsynsmail/A 42340-2019 tillsynsbegäran mail.docx", "A 42340-2019")</f>
        <v/>
      </c>
      <c r="Z27">
        <f>HYPERLINK("https://klasma.github.io/Logging_0381/fåglar/A 42340-2019 prioriterade fågelarter.docx", "A 42340-2019")</f>
        <v/>
      </c>
    </row>
    <row r="28" ht="15" customHeight="1">
      <c r="A28" t="inlineStr">
        <is>
          <t>A 49060-2019</t>
        </is>
      </c>
      <c r="B28" s="1" t="n">
        <v>43731</v>
      </c>
      <c r="C28" s="1" t="n">
        <v>45635</v>
      </c>
      <c r="D28" t="inlineStr">
        <is>
          <t>UPPSALA LÄN</t>
        </is>
      </c>
      <c r="E28" t="inlineStr">
        <is>
          <t>ENKÖPING</t>
        </is>
      </c>
      <c r="F28" t="inlineStr">
        <is>
          <t>Kyrkan</t>
        </is>
      </c>
      <c r="G28" t="n">
        <v>1.5</v>
      </c>
      <c r="H28" t="n">
        <v>0</v>
      </c>
      <c r="I28" t="n">
        <v>0</v>
      </c>
      <c r="J28" t="n">
        <v>1</v>
      </c>
      <c r="K28" t="n">
        <v>0</v>
      </c>
      <c r="L28" t="n">
        <v>0</v>
      </c>
      <c r="M28" t="n">
        <v>0</v>
      </c>
      <c r="N28" t="n">
        <v>0</v>
      </c>
      <c r="O28" t="n">
        <v>1</v>
      </c>
      <c r="P28" t="n">
        <v>0</v>
      </c>
      <c r="Q28" t="n">
        <v>1</v>
      </c>
      <c r="R28" s="2" t="inlineStr">
        <is>
          <t>Backtimjan</t>
        </is>
      </c>
      <c r="S28">
        <f>HYPERLINK("https://klasma.github.io/Logging_0381/artfynd/A 49060-2019 artfynd.xlsx", "A 49060-2019")</f>
        <v/>
      </c>
      <c r="T28">
        <f>HYPERLINK("https://klasma.github.io/Logging_0381/kartor/A 49060-2019 karta.png", "A 49060-2019")</f>
        <v/>
      </c>
      <c r="V28">
        <f>HYPERLINK("https://klasma.github.io/Logging_0381/klagomål/A 49060-2019 FSC-klagomål.docx", "A 49060-2019")</f>
        <v/>
      </c>
      <c r="W28">
        <f>HYPERLINK("https://klasma.github.io/Logging_0381/klagomålsmail/A 49060-2019 FSC-klagomål mail.docx", "A 49060-2019")</f>
        <v/>
      </c>
      <c r="X28">
        <f>HYPERLINK("https://klasma.github.io/Logging_0381/tillsyn/A 49060-2019 tillsynsbegäran.docx", "A 49060-2019")</f>
        <v/>
      </c>
      <c r="Y28">
        <f>HYPERLINK("https://klasma.github.io/Logging_0381/tillsynsmail/A 49060-2019 tillsynsbegäran mail.docx", "A 49060-2019")</f>
        <v/>
      </c>
    </row>
    <row r="29" ht="15" customHeight="1">
      <c r="A29" t="inlineStr">
        <is>
          <t>A 6075-2020</t>
        </is>
      </c>
      <c r="B29" s="1" t="n">
        <v>43865</v>
      </c>
      <c r="C29" s="1" t="n">
        <v>45635</v>
      </c>
      <c r="D29" t="inlineStr">
        <is>
          <t>UPPSALA LÄN</t>
        </is>
      </c>
      <c r="E29" t="inlineStr">
        <is>
          <t>ENKÖPING</t>
        </is>
      </c>
      <c r="G29" t="n">
        <v>7.3</v>
      </c>
      <c r="H29" t="n">
        <v>1</v>
      </c>
      <c r="I29" t="n">
        <v>0</v>
      </c>
      <c r="J29" t="n">
        <v>0</v>
      </c>
      <c r="K29" t="n">
        <v>0</v>
      </c>
      <c r="L29" t="n">
        <v>0</v>
      </c>
      <c r="M29" t="n">
        <v>0</v>
      </c>
      <c r="N29" t="n">
        <v>0</v>
      </c>
      <c r="O29" t="n">
        <v>0</v>
      </c>
      <c r="P29" t="n">
        <v>0</v>
      </c>
      <c r="Q29" t="n">
        <v>1</v>
      </c>
      <c r="R29" s="2" t="inlineStr">
        <is>
          <t>Tjäder</t>
        </is>
      </c>
      <c r="S29">
        <f>HYPERLINK("https://klasma.github.io/Logging_0381/artfynd/A 6075-2020 artfynd.xlsx", "A 6075-2020")</f>
        <v/>
      </c>
      <c r="T29">
        <f>HYPERLINK("https://klasma.github.io/Logging_0381/kartor/A 6075-2020 karta.png", "A 6075-2020")</f>
        <v/>
      </c>
      <c r="V29">
        <f>HYPERLINK("https://klasma.github.io/Logging_0381/klagomål/A 6075-2020 FSC-klagomål.docx", "A 6075-2020")</f>
        <v/>
      </c>
      <c r="W29">
        <f>HYPERLINK("https://klasma.github.io/Logging_0381/klagomålsmail/A 6075-2020 FSC-klagomål mail.docx", "A 6075-2020")</f>
        <v/>
      </c>
      <c r="X29">
        <f>HYPERLINK("https://klasma.github.io/Logging_0381/tillsyn/A 6075-2020 tillsynsbegäran.docx", "A 6075-2020")</f>
        <v/>
      </c>
      <c r="Y29">
        <f>HYPERLINK("https://klasma.github.io/Logging_0381/tillsynsmail/A 6075-2020 tillsynsbegäran mail.docx", "A 6075-2020")</f>
        <v/>
      </c>
      <c r="Z29">
        <f>HYPERLINK("https://klasma.github.io/Logging_0381/fåglar/A 6075-2020 prioriterade fågelarter.docx", "A 6075-2020")</f>
        <v/>
      </c>
    </row>
    <row r="30" ht="15" customHeight="1">
      <c r="A30" t="inlineStr">
        <is>
          <t>A 46185-2020</t>
        </is>
      </c>
      <c r="B30" s="1" t="n">
        <v>44092</v>
      </c>
      <c r="C30" s="1" t="n">
        <v>45635</v>
      </c>
      <c r="D30" t="inlineStr">
        <is>
          <t>UPPSALA LÄN</t>
        </is>
      </c>
      <c r="E30" t="inlineStr">
        <is>
          <t>ENKÖPING</t>
        </is>
      </c>
      <c r="G30" t="n">
        <v>1.7</v>
      </c>
      <c r="H30" t="n">
        <v>0</v>
      </c>
      <c r="I30" t="n">
        <v>1</v>
      </c>
      <c r="J30" t="n">
        <v>0</v>
      </c>
      <c r="K30" t="n">
        <v>0</v>
      </c>
      <c r="L30" t="n">
        <v>0</v>
      </c>
      <c r="M30" t="n">
        <v>0</v>
      </c>
      <c r="N30" t="n">
        <v>0</v>
      </c>
      <c r="O30" t="n">
        <v>0</v>
      </c>
      <c r="P30" t="n">
        <v>0</v>
      </c>
      <c r="Q30" t="n">
        <v>1</v>
      </c>
      <c r="R30" s="2" t="inlineStr">
        <is>
          <t>Vedticka</t>
        </is>
      </c>
      <c r="S30">
        <f>HYPERLINK("https://klasma.github.io/Logging_0381/artfynd/A 46185-2020 artfynd.xlsx", "A 46185-2020")</f>
        <v/>
      </c>
      <c r="T30">
        <f>HYPERLINK("https://klasma.github.io/Logging_0381/kartor/A 46185-2020 karta.png", "A 46185-2020")</f>
        <v/>
      </c>
      <c r="V30">
        <f>HYPERLINK("https://klasma.github.io/Logging_0381/klagomål/A 46185-2020 FSC-klagomål.docx", "A 46185-2020")</f>
        <v/>
      </c>
      <c r="W30">
        <f>HYPERLINK("https://klasma.github.io/Logging_0381/klagomålsmail/A 46185-2020 FSC-klagomål mail.docx", "A 46185-2020")</f>
        <v/>
      </c>
      <c r="X30">
        <f>HYPERLINK("https://klasma.github.io/Logging_0381/tillsyn/A 46185-2020 tillsynsbegäran.docx", "A 46185-2020")</f>
        <v/>
      </c>
      <c r="Y30">
        <f>HYPERLINK("https://klasma.github.io/Logging_0381/tillsynsmail/A 46185-2020 tillsynsbegäran mail.docx", "A 46185-2020")</f>
        <v/>
      </c>
    </row>
    <row r="31" ht="15" customHeight="1">
      <c r="A31" t="inlineStr">
        <is>
          <t>A 23385-2021</t>
        </is>
      </c>
      <c r="B31" s="1" t="n">
        <v>44333</v>
      </c>
      <c r="C31" s="1" t="n">
        <v>45635</v>
      </c>
      <c r="D31" t="inlineStr">
        <is>
          <t>UPPSALA LÄN</t>
        </is>
      </c>
      <c r="E31" t="inlineStr">
        <is>
          <t>ENKÖPING</t>
        </is>
      </c>
      <c r="G31" t="n">
        <v>0.7</v>
      </c>
      <c r="H31" t="n">
        <v>1</v>
      </c>
      <c r="I31" t="n">
        <v>0</v>
      </c>
      <c r="J31" t="n">
        <v>1</v>
      </c>
      <c r="K31" t="n">
        <v>0</v>
      </c>
      <c r="L31" t="n">
        <v>0</v>
      </c>
      <c r="M31" t="n">
        <v>0</v>
      </c>
      <c r="N31" t="n">
        <v>0</v>
      </c>
      <c r="O31" t="n">
        <v>1</v>
      </c>
      <c r="P31" t="n">
        <v>0</v>
      </c>
      <c r="Q31" t="n">
        <v>1</v>
      </c>
      <c r="R31" s="2" t="inlineStr">
        <is>
          <t>Talltita</t>
        </is>
      </c>
      <c r="S31">
        <f>HYPERLINK("https://klasma.github.io/Logging_0381/artfynd/A 23385-2021 artfynd.xlsx", "A 23385-2021")</f>
        <v/>
      </c>
      <c r="T31">
        <f>HYPERLINK("https://klasma.github.io/Logging_0381/kartor/A 23385-2021 karta.png", "A 23385-2021")</f>
        <v/>
      </c>
      <c r="V31">
        <f>HYPERLINK("https://klasma.github.io/Logging_0381/klagomål/A 23385-2021 FSC-klagomål.docx", "A 23385-2021")</f>
        <v/>
      </c>
      <c r="W31">
        <f>HYPERLINK("https://klasma.github.io/Logging_0381/klagomålsmail/A 23385-2021 FSC-klagomål mail.docx", "A 23385-2021")</f>
        <v/>
      </c>
      <c r="X31">
        <f>HYPERLINK("https://klasma.github.io/Logging_0381/tillsyn/A 23385-2021 tillsynsbegäran.docx", "A 23385-2021")</f>
        <v/>
      </c>
      <c r="Y31">
        <f>HYPERLINK("https://klasma.github.io/Logging_0381/tillsynsmail/A 23385-2021 tillsynsbegäran mail.docx", "A 23385-2021")</f>
        <v/>
      </c>
      <c r="Z31">
        <f>HYPERLINK("https://klasma.github.io/Logging_0381/fåglar/A 23385-2021 prioriterade fågelarter.docx", "A 23385-2021")</f>
        <v/>
      </c>
    </row>
    <row r="32" ht="15" customHeight="1">
      <c r="A32" t="inlineStr">
        <is>
          <t>A 36523-2021</t>
        </is>
      </c>
      <c r="B32" s="1" t="n">
        <v>44391</v>
      </c>
      <c r="C32" s="1" t="n">
        <v>45635</v>
      </c>
      <c r="D32" t="inlineStr">
        <is>
          <t>UPPSALA LÄN</t>
        </is>
      </c>
      <c r="E32" t="inlineStr">
        <is>
          <t>ENKÖPING</t>
        </is>
      </c>
      <c r="G32" t="n">
        <v>3.5</v>
      </c>
      <c r="H32" t="n">
        <v>1</v>
      </c>
      <c r="I32" t="n">
        <v>0</v>
      </c>
      <c r="J32" t="n">
        <v>1</v>
      </c>
      <c r="K32" t="n">
        <v>0</v>
      </c>
      <c r="L32" t="n">
        <v>0</v>
      </c>
      <c r="M32" t="n">
        <v>0</v>
      </c>
      <c r="N32" t="n">
        <v>0</v>
      </c>
      <c r="O32" t="n">
        <v>1</v>
      </c>
      <c r="P32" t="n">
        <v>0</v>
      </c>
      <c r="Q32" t="n">
        <v>1</v>
      </c>
      <c r="R32" s="2" t="inlineStr">
        <is>
          <t>Spillkråka</t>
        </is>
      </c>
      <c r="S32">
        <f>HYPERLINK("https://klasma.github.io/Logging_0381/artfynd/A 36523-2021 artfynd.xlsx", "A 36523-2021")</f>
        <v/>
      </c>
      <c r="T32">
        <f>HYPERLINK("https://klasma.github.io/Logging_0381/kartor/A 36523-2021 karta.png", "A 36523-2021")</f>
        <v/>
      </c>
      <c r="V32">
        <f>HYPERLINK("https://klasma.github.io/Logging_0381/klagomål/A 36523-2021 FSC-klagomål.docx", "A 36523-2021")</f>
        <v/>
      </c>
      <c r="W32">
        <f>HYPERLINK("https://klasma.github.io/Logging_0381/klagomålsmail/A 36523-2021 FSC-klagomål mail.docx", "A 36523-2021")</f>
        <v/>
      </c>
      <c r="X32">
        <f>HYPERLINK("https://klasma.github.io/Logging_0381/tillsyn/A 36523-2021 tillsynsbegäran.docx", "A 36523-2021")</f>
        <v/>
      </c>
      <c r="Y32">
        <f>HYPERLINK("https://klasma.github.io/Logging_0381/tillsynsmail/A 36523-2021 tillsynsbegäran mail.docx", "A 36523-2021")</f>
        <v/>
      </c>
      <c r="Z32">
        <f>HYPERLINK("https://klasma.github.io/Logging_0381/fåglar/A 36523-2021 prioriterade fågelarter.docx", "A 36523-2021")</f>
        <v/>
      </c>
    </row>
    <row r="33" ht="15" customHeight="1">
      <c r="A33" t="inlineStr">
        <is>
          <t>A 60855-2021</t>
        </is>
      </c>
      <c r="B33" s="1" t="n">
        <v>44497</v>
      </c>
      <c r="C33" s="1" t="n">
        <v>45635</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74028-2021</t>
        </is>
      </c>
      <c r="B34" s="1" t="n">
        <v>44557</v>
      </c>
      <c r="C34" s="1" t="n">
        <v>45635</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74028-2021 artfynd.xlsx", "A 74028-2021")</f>
        <v/>
      </c>
      <c r="T34">
        <f>HYPERLINK("https://klasma.github.io/Logging_0381/kartor/A 74028-2021 karta.png", "A 74028-2021")</f>
        <v/>
      </c>
      <c r="V34">
        <f>HYPERLINK("https://klasma.github.io/Logging_0381/klagomål/A 74028-2021 FSC-klagomål.docx", "A 74028-2021")</f>
        <v/>
      </c>
      <c r="W34">
        <f>HYPERLINK("https://klasma.github.io/Logging_0381/klagomålsmail/A 74028-2021 FSC-klagomål mail.docx", "A 74028-2021")</f>
        <v/>
      </c>
      <c r="X34">
        <f>HYPERLINK("https://klasma.github.io/Logging_0381/tillsyn/A 74028-2021 tillsynsbegäran.docx", "A 74028-2021")</f>
        <v/>
      </c>
      <c r="Y34">
        <f>HYPERLINK("https://klasma.github.io/Logging_0381/tillsynsmail/A 74028-2021 tillsynsbegäran mail.docx", "A 74028-2021")</f>
        <v/>
      </c>
      <c r="Z34">
        <f>HYPERLINK("https://klasma.github.io/Logging_0381/fåglar/A 74028-2021 prioriterade fågelarter.docx", "A 74028-2021")</f>
        <v/>
      </c>
    </row>
    <row r="35" ht="15" customHeight="1">
      <c r="A35" t="inlineStr">
        <is>
          <t>A 18588-2022</t>
        </is>
      </c>
      <c r="B35" s="1" t="n">
        <v>44687</v>
      </c>
      <c r="C35" s="1" t="n">
        <v>45635</v>
      </c>
      <c r="D35" t="inlineStr">
        <is>
          <t>UPPSALA LÄN</t>
        </is>
      </c>
      <c r="E35" t="inlineStr">
        <is>
          <t>ENKÖPING</t>
        </is>
      </c>
      <c r="G35" t="n">
        <v>6.7</v>
      </c>
      <c r="H35" t="n">
        <v>1</v>
      </c>
      <c r="I35" t="n">
        <v>0</v>
      </c>
      <c r="J35" t="n">
        <v>0</v>
      </c>
      <c r="K35" t="n">
        <v>1</v>
      </c>
      <c r="L35" t="n">
        <v>0</v>
      </c>
      <c r="M35" t="n">
        <v>0</v>
      </c>
      <c r="N35" t="n">
        <v>0</v>
      </c>
      <c r="O35" t="n">
        <v>1</v>
      </c>
      <c r="P35" t="n">
        <v>1</v>
      </c>
      <c r="Q35" t="n">
        <v>1</v>
      </c>
      <c r="R35" s="2" t="inlineStr">
        <is>
          <t>Bombmurkla</t>
        </is>
      </c>
      <c r="S35">
        <f>HYPERLINK("https://klasma.github.io/Logging_0381/artfynd/A 18588-2022 artfynd.xlsx", "A 18588-2022")</f>
        <v/>
      </c>
      <c r="T35">
        <f>HYPERLINK("https://klasma.github.io/Logging_0381/kartor/A 18588-2022 karta.png", "A 18588-2022")</f>
        <v/>
      </c>
      <c r="V35">
        <f>HYPERLINK("https://klasma.github.io/Logging_0381/klagomål/A 18588-2022 FSC-klagomål.docx", "A 18588-2022")</f>
        <v/>
      </c>
      <c r="W35">
        <f>HYPERLINK("https://klasma.github.io/Logging_0381/klagomålsmail/A 18588-2022 FSC-klagomål mail.docx", "A 18588-2022")</f>
        <v/>
      </c>
      <c r="X35">
        <f>HYPERLINK("https://klasma.github.io/Logging_0381/tillsyn/A 18588-2022 tillsynsbegäran.docx", "A 18588-2022")</f>
        <v/>
      </c>
      <c r="Y35">
        <f>HYPERLINK("https://klasma.github.io/Logging_0381/tillsynsmail/A 18588-2022 tillsynsbegäran mail.docx", "A 18588-2022")</f>
        <v/>
      </c>
    </row>
    <row r="36" ht="15" customHeight="1">
      <c r="A36" t="inlineStr">
        <is>
          <t>A 23961-2022</t>
        </is>
      </c>
      <c r="B36" s="1" t="n">
        <v>44722</v>
      </c>
      <c r="C36" s="1" t="n">
        <v>45635</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Blåsippa</t>
        </is>
      </c>
      <c r="S36">
        <f>HYPERLINK("https://klasma.github.io/Logging_0381/artfynd/A 23961-2022 artfynd.xlsx", "A 23961-2022")</f>
        <v/>
      </c>
      <c r="T36">
        <f>HYPERLINK("https://klasma.github.io/Logging_0381/kartor/A 23961-2022 karta.png", "A 23961-2022")</f>
        <v/>
      </c>
      <c r="V36">
        <f>HYPERLINK("https://klasma.github.io/Logging_0381/klagomål/A 23961-2022 FSC-klagomål.docx", "A 23961-2022")</f>
        <v/>
      </c>
      <c r="W36">
        <f>HYPERLINK("https://klasma.github.io/Logging_0381/klagomålsmail/A 23961-2022 FSC-klagomål mail.docx", "A 23961-2022")</f>
        <v/>
      </c>
      <c r="X36">
        <f>HYPERLINK("https://klasma.github.io/Logging_0381/tillsyn/A 23961-2022 tillsynsbegäran.docx", "A 23961-2022")</f>
        <v/>
      </c>
      <c r="Y36">
        <f>HYPERLINK("https://klasma.github.io/Logging_0381/tillsynsmail/A 23961-2022 tillsynsbegäran mail.docx", "A 23961-2022")</f>
        <v/>
      </c>
    </row>
    <row r="37" ht="15" customHeight="1">
      <c r="A37" t="inlineStr">
        <is>
          <t>A 1524-2023</t>
        </is>
      </c>
      <c r="B37" s="1" t="n">
        <v>44935</v>
      </c>
      <c r="C37" s="1" t="n">
        <v>45635</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Skogsduva</t>
        </is>
      </c>
      <c r="S37">
        <f>HYPERLINK("https://klasma.github.io/Logging_0381/artfynd/A 1524-2023 artfynd.xlsx", "A 1524-2023")</f>
        <v/>
      </c>
      <c r="T37">
        <f>HYPERLINK("https://klasma.github.io/Logging_0381/kartor/A 1524-2023 karta.png", "A 1524-2023")</f>
        <v/>
      </c>
      <c r="V37">
        <f>HYPERLINK("https://klasma.github.io/Logging_0381/klagomål/A 1524-2023 FSC-klagomål.docx", "A 1524-2023")</f>
        <v/>
      </c>
      <c r="W37">
        <f>HYPERLINK("https://klasma.github.io/Logging_0381/klagomålsmail/A 1524-2023 FSC-klagomål mail.docx", "A 1524-2023")</f>
        <v/>
      </c>
      <c r="X37">
        <f>HYPERLINK("https://klasma.github.io/Logging_0381/tillsyn/A 1524-2023 tillsynsbegäran.docx", "A 1524-2023")</f>
        <v/>
      </c>
      <c r="Y37">
        <f>HYPERLINK("https://klasma.github.io/Logging_0381/tillsynsmail/A 1524-2023 tillsynsbegäran mail.docx", "A 1524-2023")</f>
        <v/>
      </c>
      <c r="Z37">
        <f>HYPERLINK("https://klasma.github.io/Logging_0381/fåglar/A 1524-2023 prioriterade fågelarter.docx", "A 1524-2023")</f>
        <v/>
      </c>
    </row>
    <row r="38" ht="15" customHeight="1">
      <c r="A38" t="inlineStr">
        <is>
          <t>A 39623-2023</t>
        </is>
      </c>
      <c r="B38" s="1" t="n">
        <v>45164</v>
      </c>
      <c r="C38" s="1" t="n">
        <v>45635</v>
      </c>
      <c r="D38" t="inlineStr">
        <is>
          <t>UPPSALA LÄN</t>
        </is>
      </c>
      <c r="E38" t="inlineStr">
        <is>
          <t>ENKÖPING</t>
        </is>
      </c>
      <c r="G38" t="n">
        <v>7.6</v>
      </c>
      <c r="H38" t="n">
        <v>0</v>
      </c>
      <c r="I38" t="n">
        <v>1</v>
      </c>
      <c r="J38" t="n">
        <v>0</v>
      </c>
      <c r="K38" t="n">
        <v>0</v>
      </c>
      <c r="L38" t="n">
        <v>0</v>
      </c>
      <c r="M38" t="n">
        <v>0</v>
      </c>
      <c r="N38" t="n">
        <v>0</v>
      </c>
      <c r="O38" t="n">
        <v>0</v>
      </c>
      <c r="P38" t="n">
        <v>0</v>
      </c>
      <c r="Q38" t="n">
        <v>1</v>
      </c>
      <c r="R38" s="2" t="inlineStr">
        <is>
          <t>Strimspindling</t>
        </is>
      </c>
      <c r="S38">
        <f>HYPERLINK("https://klasma.github.io/Logging_0381/artfynd/A 39623-2023 artfynd.xlsx", "A 39623-2023")</f>
        <v/>
      </c>
      <c r="T38">
        <f>HYPERLINK("https://klasma.github.io/Logging_0381/kartor/A 39623-2023 karta.png", "A 39623-2023")</f>
        <v/>
      </c>
      <c r="V38">
        <f>HYPERLINK("https://klasma.github.io/Logging_0381/klagomål/A 39623-2023 FSC-klagomål.docx", "A 39623-2023")</f>
        <v/>
      </c>
      <c r="W38">
        <f>HYPERLINK("https://klasma.github.io/Logging_0381/klagomålsmail/A 39623-2023 FSC-klagomål mail.docx", "A 39623-2023")</f>
        <v/>
      </c>
      <c r="X38">
        <f>HYPERLINK("https://klasma.github.io/Logging_0381/tillsyn/A 39623-2023 tillsynsbegäran.docx", "A 39623-2023")</f>
        <v/>
      </c>
      <c r="Y38">
        <f>HYPERLINK("https://klasma.github.io/Logging_0381/tillsynsmail/A 39623-2023 tillsynsbegäran mail.docx", "A 39623-2023")</f>
        <v/>
      </c>
    </row>
    <row r="39" ht="15" customHeight="1">
      <c r="A39" t="inlineStr">
        <is>
          <t>A 45116-2023</t>
        </is>
      </c>
      <c r="B39" s="1" t="n">
        <v>45191</v>
      </c>
      <c r="C39" s="1" t="n">
        <v>45635</v>
      </c>
      <c r="D39" t="inlineStr">
        <is>
          <t>UPPSALA LÄN</t>
        </is>
      </c>
      <c r="E39" t="inlineStr">
        <is>
          <t>ENKÖPING</t>
        </is>
      </c>
      <c r="G39" t="n">
        <v>2</v>
      </c>
      <c r="H39" t="n">
        <v>0</v>
      </c>
      <c r="I39" t="n">
        <v>1</v>
      </c>
      <c r="J39" t="n">
        <v>0</v>
      </c>
      <c r="K39" t="n">
        <v>0</v>
      </c>
      <c r="L39" t="n">
        <v>0</v>
      </c>
      <c r="M39" t="n">
        <v>0</v>
      </c>
      <c r="N39" t="n">
        <v>0</v>
      </c>
      <c r="O39" t="n">
        <v>0</v>
      </c>
      <c r="P39" t="n">
        <v>0</v>
      </c>
      <c r="Q39" t="n">
        <v>1</v>
      </c>
      <c r="R39" s="2" t="inlineStr">
        <is>
          <t>Rävticka</t>
        </is>
      </c>
      <c r="S39">
        <f>HYPERLINK("https://klasma.github.io/Logging_0381/artfynd/A 45116-2023 artfynd.xlsx", "A 45116-2023")</f>
        <v/>
      </c>
      <c r="T39">
        <f>HYPERLINK("https://klasma.github.io/Logging_0381/kartor/A 45116-2023 karta.png", "A 45116-2023")</f>
        <v/>
      </c>
      <c r="V39">
        <f>HYPERLINK("https://klasma.github.io/Logging_0381/klagomål/A 45116-2023 FSC-klagomål.docx", "A 45116-2023")</f>
        <v/>
      </c>
      <c r="W39">
        <f>HYPERLINK("https://klasma.github.io/Logging_0381/klagomålsmail/A 45116-2023 FSC-klagomål mail.docx", "A 45116-2023")</f>
        <v/>
      </c>
      <c r="X39">
        <f>HYPERLINK("https://klasma.github.io/Logging_0381/tillsyn/A 45116-2023 tillsynsbegäran.docx", "A 45116-2023")</f>
        <v/>
      </c>
      <c r="Y39">
        <f>HYPERLINK("https://klasma.github.io/Logging_0381/tillsynsmail/A 45116-2023 tillsynsbegäran mail.docx", "A 45116-2023")</f>
        <v/>
      </c>
    </row>
    <row r="40" ht="15" customHeight="1">
      <c r="A40" t="inlineStr">
        <is>
          <t>A 45617-2023</t>
        </is>
      </c>
      <c r="B40" s="1" t="n">
        <v>45194</v>
      </c>
      <c r="C40" s="1" t="n">
        <v>45635</v>
      </c>
      <c r="D40" t="inlineStr">
        <is>
          <t>UPPSALA LÄN</t>
        </is>
      </c>
      <c r="E40" t="inlineStr">
        <is>
          <t>ENKÖPING</t>
        </is>
      </c>
      <c r="G40" t="n">
        <v>2.9</v>
      </c>
      <c r="H40" t="n">
        <v>1</v>
      </c>
      <c r="I40" t="n">
        <v>0</v>
      </c>
      <c r="J40" t="n">
        <v>0</v>
      </c>
      <c r="K40" t="n">
        <v>1</v>
      </c>
      <c r="L40" t="n">
        <v>0</v>
      </c>
      <c r="M40" t="n">
        <v>0</v>
      </c>
      <c r="N40" t="n">
        <v>0</v>
      </c>
      <c r="O40" t="n">
        <v>1</v>
      </c>
      <c r="P40" t="n">
        <v>1</v>
      </c>
      <c r="Q40" t="n">
        <v>1</v>
      </c>
      <c r="R40" s="2" t="inlineStr">
        <is>
          <t>Knärot</t>
        </is>
      </c>
      <c r="S40">
        <f>HYPERLINK("https://klasma.github.io/Logging_0381/artfynd/A 45617-2023 artfynd.xlsx", "A 45617-2023")</f>
        <v/>
      </c>
      <c r="T40">
        <f>HYPERLINK("https://klasma.github.io/Logging_0381/kartor/A 45617-2023 karta.png", "A 45617-2023")</f>
        <v/>
      </c>
      <c r="U40">
        <f>HYPERLINK("https://klasma.github.io/Logging_0381/knärot/A 45617-2023 karta knärot.png", "A 45617-2023")</f>
        <v/>
      </c>
      <c r="V40">
        <f>HYPERLINK("https://klasma.github.io/Logging_0381/klagomål/A 45617-2023 FSC-klagomål.docx", "A 45617-2023")</f>
        <v/>
      </c>
      <c r="W40">
        <f>HYPERLINK("https://klasma.github.io/Logging_0381/klagomålsmail/A 45617-2023 FSC-klagomål mail.docx", "A 45617-2023")</f>
        <v/>
      </c>
      <c r="X40">
        <f>HYPERLINK("https://klasma.github.io/Logging_0381/tillsyn/A 45617-2023 tillsynsbegäran.docx", "A 45617-2023")</f>
        <v/>
      </c>
      <c r="Y40">
        <f>HYPERLINK("https://klasma.github.io/Logging_0381/tillsynsmail/A 45617-2023 tillsynsbegäran mail.docx", "A 45617-2023")</f>
        <v/>
      </c>
    </row>
    <row r="41" ht="15" customHeight="1">
      <c r="A41" t="inlineStr">
        <is>
          <t>A 51382-2023</t>
        </is>
      </c>
      <c r="B41" s="1" t="n">
        <v>45219</v>
      </c>
      <c r="C41" s="1" t="n">
        <v>45635</v>
      </c>
      <c r="D41" t="inlineStr">
        <is>
          <t>UPPSALA LÄN</t>
        </is>
      </c>
      <c r="E41" t="inlineStr">
        <is>
          <t>ENKÖPING</t>
        </is>
      </c>
      <c r="F41" t="inlineStr">
        <is>
          <t>Allmännings- och besparingsskogar</t>
        </is>
      </c>
      <c r="G41" t="n">
        <v>15.9</v>
      </c>
      <c r="H41" t="n">
        <v>0</v>
      </c>
      <c r="I41" t="n">
        <v>0</v>
      </c>
      <c r="J41" t="n">
        <v>1</v>
      </c>
      <c r="K41" t="n">
        <v>0</v>
      </c>
      <c r="L41" t="n">
        <v>0</v>
      </c>
      <c r="M41" t="n">
        <v>0</v>
      </c>
      <c r="N41" t="n">
        <v>0</v>
      </c>
      <c r="O41" t="n">
        <v>1</v>
      </c>
      <c r="P41" t="n">
        <v>0</v>
      </c>
      <c r="Q41" t="n">
        <v>1</v>
      </c>
      <c r="R41" s="2" t="inlineStr">
        <is>
          <t>Krusfrö</t>
        </is>
      </c>
      <c r="S41">
        <f>HYPERLINK("https://klasma.github.io/Logging_0381/artfynd/A 51382-2023 artfynd.xlsx", "A 51382-2023")</f>
        <v/>
      </c>
      <c r="T41">
        <f>HYPERLINK("https://klasma.github.io/Logging_0381/kartor/A 51382-2023 karta.png", "A 51382-2023")</f>
        <v/>
      </c>
      <c r="V41">
        <f>HYPERLINK("https://klasma.github.io/Logging_0381/klagomål/A 51382-2023 FSC-klagomål.docx", "A 51382-2023")</f>
        <v/>
      </c>
      <c r="W41">
        <f>HYPERLINK("https://klasma.github.io/Logging_0381/klagomålsmail/A 51382-2023 FSC-klagomål mail.docx", "A 51382-2023")</f>
        <v/>
      </c>
      <c r="X41">
        <f>HYPERLINK("https://klasma.github.io/Logging_0381/tillsyn/A 51382-2023 tillsynsbegäran.docx", "A 51382-2023")</f>
        <v/>
      </c>
      <c r="Y41">
        <f>HYPERLINK("https://klasma.github.io/Logging_0381/tillsynsmail/A 51382-2023 tillsynsbegäran mail.docx", "A 51382-2023")</f>
        <v/>
      </c>
    </row>
    <row r="42" ht="15" customHeight="1">
      <c r="A42" t="inlineStr">
        <is>
          <t>A 53342-2023</t>
        </is>
      </c>
      <c r="B42" s="1" t="n">
        <v>45229</v>
      </c>
      <c r="C42" s="1" t="n">
        <v>45635</v>
      </c>
      <c r="D42" t="inlineStr">
        <is>
          <t>UPPSALA LÄN</t>
        </is>
      </c>
      <c r="E42" t="inlineStr">
        <is>
          <t>ENKÖPING</t>
        </is>
      </c>
      <c r="G42" t="n">
        <v>28.8</v>
      </c>
      <c r="H42" t="n">
        <v>0</v>
      </c>
      <c r="I42" t="n">
        <v>0</v>
      </c>
      <c r="J42" t="n">
        <v>1</v>
      </c>
      <c r="K42" t="n">
        <v>0</v>
      </c>
      <c r="L42" t="n">
        <v>0</v>
      </c>
      <c r="M42" t="n">
        <v>0</v>
      </c>
      <c r="N42" t="n">
        <v>0</v>
      </c>
      <c r="O42" t="n">
        <v>1</v>
      </c>
      <c r="P42" t="n">
        <v>0</v>
      </c>
      <c r="Q42" t="n">
        <v>1</v>
      </c>
      <c r="R42" s="2" t="inlineStr">
        <is>
          <t>Tallticka</t>
        </is>
      </c>
      <c r="S42">
        <f>HYPERLINK("https://klasma.github.io/Logging_0381/artfynd/A 53342-2023 artfynd.xlsx", "A 53342-2023")</f>
        <v/>
      </c>
      <c r="T42">
        <f>HYPERLINK("https://klasma.github.io/Logging_0381/kartor/A 53342-2023 karta.png", "A 53342-2023")</f>
        <v/>
      </c>
      <c r="V42">
        <f>HYPERLINK("https://klasma.github.io/Logging_0381/klagomål/A 53342-2023 FSC-klagomål.docx", "A 53342-2023")</f>
        <v/>
      </c>
      <c r="W42">
        <f>HYPERLINK("https://klasma.github.io/Logging_0381/klagomålsmail/A 53342-2023 FSC-klagomål mail.docx", "A 53342-2023")</f>
        <v/>
      </c>
      <c r="X42">
        <f>HYPERLINK("https://klasma.github.io/Logging_0381/tillsyn/A 53342-2023 tillsynsbegäran.docx", "A 53342-2023")</f>
        <v/>
      </c>
      <c r="Y42">
        <f>HYPERLINK("https://klasma.github.io/Logging_0381/tillsynsmail/A 53342-2023 tillsynsbegäran mail.docx", "A 53342-2023")</f>
        <v/>
      </c>
    </row>
    <row r="43" ht="15" customHeight="1">
      <c r="A43" t="inlineStr">
        <is>
          <t>A 425-2024</t>
        </is>
      </c>
      <c r="B43" s="1" t="n">
        <v>45296</v>
      </c>
      <c r="C43" s="1" t="n">
        <v>45635</v>
      </c>
      <c r="D43" t="inlineStr">
        <is>
          <t>UPPSALA LÄN</t>
        </is>
      </c>
      <c r="E43" t="inlineStr">
        <is>
          <t>ENKÖPING</t>
        </is>
      </c>
      <c r="G43" t="n">
        <v>8.300000000000001</v>
      </c>
      <c r="H43" t="n">
        <v>1</v>
      </c>
      <c r="I43" t="n">
        <v>0</v>
      </c>
      <c r="J43" t="n">
        <v>0</v>
      </c>
      <c r="K43" t="n">
        <v>0</v>
      </c>
      <c r="L43" t="n">
        <v>0</v>
      </c>
      <c r="M43" t="n">
        <v>0</v>
      </c>
      <c r="N43" t="n">
        <v>0</v>
      </c>
      <c r="O43" t="n">
        <v>0</v>
      </c>
      <c r="P43" t="n">
        <v>0</v>
      </c>
      <c r="Q43" t="n">
        <v>1</v>
      </c>
      <c r="R43" s="2" t="inlineStr">
        <is>
          <t>Orre</t>
        </is>
      </c>
      <c r="S43">
        <f>HYPERLINK("https://klasma.github.io/Logging_0381/artfynd/A 425-2024 artfynd.xlsx", "A 425-2024")</f>
        <v/>
      </c>
      <c r="T43">
        <f>HYPERLINK("https://klasma.github.io/Logging_0381/kartor/A 425-2024 karta.png", "A 425-2024")</f>
        <v/>
      </c>
      <c r="V43">
        <f>HYPERLINK("https://klasma.github.io/Logging_0381/klagomål/A 425-2024 FSC-klagomål.docx", "A 425-2024")</f>
        <v/>
      </c>
      <c r="W43">
        <f>HYPERLINK("https://klasma.github.io/Logging_0381/klagomålsmail/A 425-2024 FSC-klagomål mail.docx", "A 425-2024")</f>
        <v/>
      </c>
      <c r="X43">
        <f>HYPERLINK("https://klasma.github.io/Logging_0381/tillsyn/A 425-2024 tillsynsbegäran.docx", "A 425-2024")</f>
        <v/>
      </c>
      <c r="Y43">
        <f>HYPERLINK("https://klasma.github.io/Logging_0381/tillsynsmail/A 425-2024 tillsynsbegäran mail.docx", "A 425-2024")</f>
        <v/>
      </c>
      <c r="Z43">
        <f>HYPERLINK("https://klasma.github.io/Logging_0381/fåglar/A 425-2024 prioriterade fågelarter.docx", "A 425-2024")</f>
        <v/>
      </c>
    </row>
    <row r="44" ht="15" customHeight="1">
      <c r="A44" t="inlineStr">
        <is>
          <t>A 13255-2024</t>
        </is>
      </c>
      <c r="B44" s="1" t="n">
        <v>45386</v>
      </c>
      <c r="C44" s="1" t="n">
        <v>45635</v>
      </c>
      <c r="D44" t="inlineStr">
        <is>
          <t>UPPSALA LÄN</t>
        </is>
      </c>
      <c r="E44" t="inlineStr">
        <is>
          <t>ENKÖPING</t>
        </is>
      </c>
      <c r="G44" t="n">
        <v>3.8</v>
      </c>
      <c r="H44" t="n">
        <v>0</v>
      </c>
      <c r="I44" t="n">
        <v>1</v>
      </c>
      <c r="J44" t="n">
        <v>0</v>
      </c>
      <c r="K44" t="n">
        <v>0</v>
      </c>
      <c r="L44" t="n">
        <v>0</v>
      </c>
      <c r="M44" t="n">
        <v>0</v>
      </c>
      <c r="N44" t="n">
        <v>0</v>
      </c>
      <c r="O44" t="n">
        <v>0</v>
      </c>
      <c r="P44" t="n">
        <v>0</v>
      </c>
      <c r="Q44" t="n">
        <v>1</v>
      </c>
      <c r="R44" s="2" t="inlineStr">
        <is>
          <t>Stor aspticka</t>
        </is>
      </c>
      <c r="S44">
        <f>HYPERLINK("https://klasma.github.io/Logging_0381/artfynd/A 13255-2024 artfynd.xlsx", "A 13255-2024")</f>
        <v/>
      </c>
      <c r="T44">
        <f>HYPERLINK("https://klasma.github.io/Logging_0381/kartor/A 13255-2024 karta.png", "A 13255-2024")</f>
        <v/>
      </c>
      <c r="V44">
        <f>HYPERLINK("https://klasma.github.io/Logging_0381/klagomål/A 13255-2024 FSC-klagomål.docx", "A 13255-2024")</f>
        <v/>
      </c>
      <c r="W44">
        <f>HYPERLINK("https://klasma.github.io/Logging_0381/klagomålsmail/A 13255-2024 FSC-klagomål mail.docx", "A 13255-2024")</f>
        <v/>
      </c>
      <c r="X44">
        <f>HYPERLINK("https://klasma.github.io/Logging_0381/tillsyn/A 13255-2024 tillsynsbegäran.docx", "A 13255-2024")</f>
        <v/>
      </c>
      <c r="Y44">
        <f>HYPERLINK("https://klasma.github.io/Logging_0381/tillsynsmail/A 13255-2024 tillsynsbegäran mail.docx", "A 13255-2024")</f>
        <v/>
      </c>
    </row>
    <row r="45" ht="15" customHeight="1">
      <c r="A45" t="inlineStr">
        <is>
          <t>A 16864-2024</t>
        </is>
      </c>
      <c r="B45" s="1" t="n">
        <v>45411</v>
      </c>
      <c r="C45" s="1" t="n">
        <v>45635</v>
      </c>
      <c r="D45" t="inlineStr">
        <is>
          <t>UPPSALA LÄN</t>
        </is>
      </c>
      <c r="E45" t="inlineStr">
        <is>
          <t>ENKÖPING</t>
        </is>
      </c>
      <c r="G45" t="n">
        <v>5.9</v>
      </c>
      <c r="H45" t="n">
        <v>1</v>
      </c>
      <c r="I45" t="n">
        <v>0</v>
      </c>
      <c r="J45" t="n">
        <v>1</v>
      </c>
      <c r="K45" t="n">
        <v>0</v>
      </c>
      <c r="L45" t="n">
        <v>0</v>
      </c>
      <c r="M45" t="n">
        <v>0</v>
      </c>
      <c r="N45" t="n">
        <v>0</v>
      </c>
      <c r="O45" t="n">
        <v>1</v>
      </c>
      <c r="P45" t="n">
        <v>0</v>
      </c>
      <c r="Q45" t="n">
        <v>1</v>
      </c>
      <c r="R45" s="2" t="inlineStr">
        <is>
          <t>Spillkråka</t>
        </is>
      </c>
      <c r="S45">
        <f>HYPERLINK("https://klasma.github.io/Logging_0381/artfynd/A 16864-2024 artfynd.xlsx", "A 16864-2024")</f>
        <v/>
      </c>
      <c r="T45">
        <f>HYPERLINK("https://klasma.github.io/Logging_0381/kartor/A 16864-2024 karta.png", "A 16864-2024")</f>
        <v/>
      </c>
      <c r="V45">
        <f>HYPERLINK("https://klasma.github.io/Logging_0381/klagomål/A 16864-2024 FSC-klagomål.docx", "A 16864-2024")</f>
        <v/>
      </c>
      <c r="W45">
        <f>HYPERLINK("https://klasma.github.io/Logging_0381/klagomålsmail/A 16864-2024 FSC-klagomål mail.docx", "A 16864-2024")</f>
        <v/>
      </c>
      <c r="X45">
        <f>HYPERLINK("https://klasma.github.io/Logging_0381/tillsyn/A 16864-2024 tillsynsbegäran.docx", "A 16864-2024")</f>
        <v/>
      </c>
      <c r="Y45">
        <f>HYPERLINK("https://klasma.github.io/Logging_0381/tillsynsmail/A 16864-2024 tillsynsbegäran mail.docx", "A 16864-2024")</f>
        <v/>
      </c>
      <c r="Z45">
        <f>HYPERLINK("https://klasma.github.io/Logging_0381/fåglar/A 16864-2024 prioriterade fågelarter.docx", "A 16864-2024")</f>
        <v/>
      </c>
    </row>
    <row r="46" ht="15" customHeight="1">
      <c r="A46" t="inlineStr">
        <is>
          <t>A 17942-2024</t>
        </is>
      </c>
      <c r="B46" s="1" t="n">
        <v>45419</v>
      </c>
      <c r="C46" s="1" t="n">
        <v>45635</v>
      </c>
      <c r="D46" t="inlineStr">
        <is>
          <t>UPPSALA LÄN</t>
        </is>
      </c>
      <c r="E46" t="inlineStr">
        <is>
          <t>ENKÖPING</t>
        </is>
      </c>
      <c r="G46" t="n">
        <v>0.8</v>
      </c>
      <c r="H46" t="n">
        <v>0</v>
      </c>
      <c r="I46" t="n">
        <v>0</v>
      </c>
      <c r="J46" t="n">
        <v>1</v>
      </c>
      <c r="K46" t="n">
        <v>0</v>
      </c>
      <c r="L46" t="n">
        <v>0</v>
      </c>
      <c r="M46" t="n">
        <v>0</v>
      </c>
      <c r="N46" t="n">
        <v>0</v>
      </c>
      <c r="O46" t="n">
        <v>1</v>
      </c>
      <c r="P46" t="n">
        <v>0</v>
      </c>
      <c r="Q46" t="n">
        <v>1</v>
      </c>
      <c r="R46" s="2" t="inlineStr">
        <is>
          <t>Ängsskära</t>
        </is>
      </c>
      <c r="S46">
        <f>HYPERLINK("https://klasma.github.io/Logging_0381/artfynd/A 17942-2024 artfynd.xlsx", "A 17942-2024")</f>
        <v/>
      </c>
      <c r="T46">
        <f>HYPERLINK("https://klasma.github.io/Logging_0381/kartor/A 17942-2024 karta.png", "A 17942-2024")</f>
        <v/>
      </c>
      <c r="V46">
        <f>HYPERLINK("https://klasma.github.io/Logging_0381/klagomål/A 17942-2024 FSC-klagomål.docx", "A 17942-2024")</f>
        <v/>
      </c>
      <c r="W46">
        <f>HYPERLINK("https://klasma.github.io/Logging_0381/klagomålsmail/A 17942-2024 FSC-klagomål mail.docx", "A 17942-2024")</f>
        <v/>
      </c>
      <c r="X46">
        <f>HYPERLINK("https://klasma.github.io/Logging_0381/tillsyn/A 17942-2024 tillsynsbegäran.docx", "A 17942-2024")</f>
        <v/>
      </c>
      <c r="Y46">
        <f>HYPERLINK("https://klasma.github.io/Logging_0381/tillsynsmail/A 17942-2024 tillsynsbegäran mail.docx", "A 17942-2024")</f>
        <v/>
      </c>
    </row>
    <row r="47" ht="15" customHeight="1">
      <c r="A47" t="inlineStr">
        <is>
          <t>A 18416-2024</t>
        </is>
      </c>
      <c r="B47" s="1" t="n">
        <v>45425</v>
      </c>
      <c r="C47" s="1" t="n">
        <v>45635</v>
      </c>
      <c r="D47" t="inlineStr">
        <is>
          <t>UPPSALA LÄN</t>
        </is>
      </c>
      <c r="E47" t="inlineStr">
        <is>
          <t>ENKÖPING</t>
        </is>
      </c>
      <c r="G47" t="n">
        <v>4.5</v>
      </c>
      <c r="H47" t="n">
        <v>1</v>
      </c>
      <c r="I47" t="n">
        <v>1</v>
      </c>
      <c r="J47" t="n">
        <v>0</v>
      </c>
      <c r="K47" t="n">
        <v>0</v>
      </c>
      <c r="L47" t="n">
        <v>0</v>
      </c>
      <c r="M47" t="n">
        <v>0</v>
      </c>
      <c r="N47" t="n">
        <v>0</v>
      </c>
      <c r="O47" t="n">
        <v>0</v>
      </c>
      <c r="P47" t="n">
        <v>0</v>
      </c>
      <c r="Q47" t="n">
        <v>1</v>
      </c>
      <c r="R47" s="2" t="inlineStr">
        <is>
          <t>Grön sköldmossa</t>
        </is>
      </c>
      <c r="S47">
        <f>HYPERLINK("https://klasma.github.io/Logging_0381/artfynd/A 18416-2024 artfynd.xlsx", "A 18416-2024")</f>
        <v/>
      </c>
      <c r="T47">
        <f>HYPERLINK("https://klasma.github.io/Logging_0381/kartor/A 18416-2024 karta.png", "A 18416-2024")</f>
        <v/>
      </c>
      <c r="V47">
        <f>HYPERLINK("https://klasma.github.io/Logging_0381/klagomål/A 18416-2024 FSC-klagomål.docx", "A 18416-2024")</f>
        <v/>
      </c>
      <c r="W47">
        <f>HYPERLINK("https://klasma.github.io/Logging_0381/klagomålsmail/A 18416-2024 FSC-klagomål mail.docx", "A 18416-2024")</f>
        <v/>
      </c>
      <c r="X47">
        <f>HYPERLINK("https://klasma.github.io/Logging_0381/tillsyn/A 18416-2024 tillsynsbegäran.docx", "A 18416-2024")</f>
        <v/>
      </c>
      <c r="Y47">
        <f>HYPERLINK("https://klasma.github.io/Logging_0381/tillsynsmail/A 18416-2024 tillsynsbegäran mail.docx", "A 18416-2024")</f>
        <v/>
      </c>
    </row>
    <row r="48" ht="15" customHeight="1">
      <c r="A48" t="inlineStr">
        <is>
          <t>A 28847-2024</t>
        </is>
      </c>
      <c r="B48" s="1" t="n">
        <v>45478</v>
      </c>
      <c r="C48" s="1" t="n">
        <v>45635</v>
      </c>
      <c r="D48" t="inlineStr">
        <is>
          <t>UPPSALA LÄN</t>
        </is>
      </c>
      <c r="E48" t="inlineStr">
        <is>
          <t>ENKÖPING</t>
        </is>
      </c>
      <c r="G48" t="n">
        <v>3</v>
      </c>
      <c r="H48" t="n">
        <v>1</v>
      </c>
      <c r="I48" t="n">
        <v>0</v>
      </c>
      <c r="J48" t="n">
        <v>0</v>
      </c>
      <c r="K48" t="n">
        <v>0</v>
      </c>
      <c r="L48" t="n">
        <v>0</v>
      </c>
      <c r="M48" t="n">
        <v>0</v>
      </c>
      <c r="N48" t="n">
        <v>0</v>
      </c>
      <c r="O48" t="n">
        <v>0</v>
      </c>
      <c r="P48" t="n">
        <v>0</v>
      </c>
      <c r="Q48" t="n">
        <v>1</v>
      </c>
      <c r="R48" s="2" t="inlineStr">
        <is>
          <t>Revlummer</t>
        </is>
      </c>
      <c r="S48">
        <f>HYPERLINK("https://klasma.github.io/Logging_0381/artfynd/A 28847-2024 artfynd.xlsx", "A 28847-2024")</f>
        <v/>
      </c>
      <c r="T48">
        <f>HYPERLINK("https://klasma.github.io/Logging_0381/kartor/A 28847-2024 karta.png", "A 28847-2024")</f>
        <v/>
      </c>
      <c r="V48">
        <f>HYPERLINK("https://klasma.github.io/Logging_0381/klagomål/A 28847-2024 FSC-klagomål.docx", "A 28847-2024")</f>
        <v/>
      </c>
      <c r="W48">
        <f>HYPERLINK("https://klasma.github.io/Logging_0381/klagomålsmail/A 28847-2024 FSC-klagomål mail.docx", "A 28847-2024")</f>
        <v/>
      </c>
      <c r="X48">
        <f>HYPERLINK("https://klasma.github.io/Logging_0381/tillsyn/A 28847-2024 tillsynsbegäran.docx", "A 28847-2024")</f>
        <v/>
      </c>
      <c r="Y48">
        <f>HYPERLINK("https://klasma.github.io/Logging_0381/tillsynsmail/A 28847-2024 tillsynsbegäran mail.docx", "A 28847-2024")</f>
        <v/>
      </c>
    </row>
    <row r="49" ht="15" customHeight="1">
      <c r="A49" t="inlineStr">
        <is>
          <t>A 28900-2024</t>
        </is>
      </c>
      <c r="B49" s="1" t="n">
        <v>45480</v>
      </c>
      <c r="C49" s="1" t="n">
        <v>45635</v>
      </c>
      <c r="D49" t="inlineStr">
        <is>
          <t>UPPSALA LÄN</t>
        </is>
      </c>
      <c r="E49" t="inlineStr">
        <is>
          <t>ENKÖPING</t>
        </is>
      </c>
      <c r="G49" t="n">
        <v>8.6</v>
      </c>
      <c r="H49" t="n">
        <v>1</v>
      </c>
      <c r="I49" t="n">
        <v>0</v>
      </c>
      <c r="J49" t="n">
        <v>0</v>
      </c>
      <c r="K49" t="n">
        <v>0</v>
      </c>
      <c r="L49" t="n">
        <v>0</v>
      </c>
      <c r="M49" t="n">
        <v>0</v>
      </c>
      <c r="N49" t="n">
        <v>0</v>
      </c>
      <c r="O49" t="n">
        <v>0</v>
      </c>
      <c r="P49" t="n">
        <v>0</v>
      </c>
      <c r="Q49" t="n">
        <v>1</v>
      </c>
      <c r="R49" s="2" t="inlineStr">
        <is>
          <t>Blåsippa</t>
        </is>
      </c>
      <c r="S49">
        <f>HYPERLINK("https://klasma.github.io/Logging_0381/artfynd/A 28900-2024 artfynd.xlsx", "A 28900-2024")</f>
        <v/>
      </c>
      <c r="T49">
        <f>HYPERLINK("https://klasma.github.io/Logging_0381/kartor/A 28900-2024 karta.png", "A 28900-2024")</f>
        <v/>
      </c>
      <c r="V49">
        <f>HYPERLINK("https://klasma.github.io/Logging_0381/klagomål/A 28900-2024 FSC-klagomål.docx", "A 28900-2024")</f>
        <v/>
      </c>
      <c r="W49">
        <f>HYPERLINK("https://klasma.github.io/Logging_0381/klagomålsmail/A 28900-2024 FSC-klagomål mail.docx", "A 28900-2024")</f>
        <v/>
      </c>
      <c r="X49">
        <f>HYPERLINK("https://klasma.github.io/Logging_0381/tillsyn/A 28900-2024 tillsynsbegäran.docx", "A 28900-2024")</f>
        <v/>
      </c>
      <c r="Y49">
        <f>HYPERLINK("https://klasma.github.io/Logging_0381/tillsynsmail/A 28900-2024 tillsynsbegäran mail.docx", "A 28900-2024")</f>
        <v/>
      </c>
    </row>
    <row r="50" ht="15" customHeight="1">
      <c r="A50" t="inlineStr">
        <is>
          <t>A 32694-2024</t>
        </is>
      </c>
      <c r="B50" s="1" t="n">
        <v>45516</v>
      </c>
      <c r="C50" s="1" t="n">
        <v>45635</v>
      </c>
      <c r="D50" t="inlineStr">
        <is>
          <t>UPPSALA LÄN</t>
        </is>
      </c>
      <c r="E50" t="inlineStr">
        <is>
          <t>ENKÖPING</t>
        </is>
      </c>
      <c r="G50" t="n">
        <v>5.6</v>
      </c>
      <c r="H50" t="n">
        <v>1</v>
      </c>
      <c r="I50" t="n">
        <v>0</v>
      </c>
      <c r="J50" t="n">
        <v>0</v>
      </c>
      <c r="K50" t="n">
        <v>1</v>
      </c>
      <c r="L50" t="n">
        <v>0</v>
      </c>
      <c r="M50" t="n">
        <v>0</v>
      </c>
      <c r="N50" t="n">
        <v>0</v>
      </c>
      <c r="O50" t="n">
        <v>1</v>
      </c>
      <c r="P50" t="n">
        <v>1</v>
      </c>
      <c r="Q50" t="n">
        <v>1</v>
      </c>
      <c r="R50" s="2" t="inlineStr">
        <is>
          <t>Knärot</t>
        </is>
      </c>
      <c r="S50">
        <f>HYPERLINK("https://klasma.github.io/Logging_0381/artfynd/A 32694-2024 artfynd.xlsx", "A 32694-2024")</f>
        <v/>
      </c>
      <c r="T50">
        <f>HYPERLINK("https://klasma.github.io/Logging_0381/kartor/A 32694-2024 karta.png", "A 32694-2024")</f>
        <v/>
      </c>
      <c r="U50">
        <f>HYPERLINK("https://klasma.github.io/Logging_0381/knärot/A 32694-2024 karta knärot.png", "A 32694-2024")</f>
        <v/>
      </c>
      <c r="V50">
        <f>HYPERLINK("https://klasma.github.io/Logging_0381/klagomål/A 32694-2024 FSC-klagomål.docx", "A 32694-2024")</f>
        <v/>
      </c>
      <c r="W50">
        <f>HYPERLINK("https://klasma.github.io/Logging_0381/klagomålsmail/A 32694-2024 FSC-klagomål mail.docx", "A 32694-2024")</f>
        <v/>
      </c>
      <c r="X50">
        <f>HYPERLINK("https://klasma.github.io/Logging_0381/tillsyn/A 32694-2024 tillsynsbegäran.docx", "A 32694-2024")</f>
        <v/>
      </c>
      <c r="Y50">
        <f>HYPERLINK("https://klasma.github.io/Logging_0381/tillsynsmail/A 32694-2024 tillsynsbegäran mail.docx", "A 32694-2024")</f>
        <v/>
      </c>
    </row>
    <row r="51" ht="15" customHeight="1">
      <c r="A51" t="inlineStr">
        <is>
          <t>A 33339-2024</t>
        </is>
      </c>
      <c r="B51" s="1" t="n">
        <v>45519</v>
      </c>
      <c r="C51" s="1" t="n">
        <v>45635</v>
      </c>
      <c r="D51" t="inlineStr">
        <is>
          <t>UPPSALA LÄN</t>
        </is>
      </c>
      <c r="E51" t="inlineStr">
        <is>
          <t>ENKÖPING</t>
        </is>
      </c>
      <c r="G51" t="n">
        <v>2.3</v>
      </c>
      <c r="H51" t="n">
        <v>0</v>
      </c>
      <c r="I51" t="n">
        <v>0</v>
      </c>
      <c r="J51" t="n">
        <v>1</v>
      </c>
      <c r="K51" t="n">
        <v>0</v>
      </c>
      <c r="L51" t="n">
        <v>0</v>
      </c>
      <c r="M51" t="n">
        <v>0</v>
      </c>
      <c r="N51" t="n">
        <v>0</v>
      </c>
      <c r="O51" t="n">
        <v>1</v>
      </c>
      <c r="P51" t="n">
        <v>0</v>
      </c>
      <c r="Q51" t="n">
        <v>1</v>
      </c>
      <c r="R51" s="2" t="inlineStr">
        <is>
          <t>Ullticka</t>
        </is>
      </c>
      <c r="S51">
        <f>HYPERLINK("https://klasma.github.io/Logging_0381/artfynd/A 33339-2024 artfynd.xlsx", "A 33339-2024")</f>
        <v/>
      </c>
      <c r="T51">
        <f>HYPERLINK("https://klasma.github.io/Logging_0381/kartor/A 33339-2024 karta.png", "A 33339-2024")</f>
        <v/>
      </c>
      <c r="V51">
        <f>HYPERLINK("https://klasma.github.io/Logging_0381/klagomål/A 33339-2024 FSC-klagomål.docx", "A 33339-2024")</f>
        <v/>
      </c>
      <c r="W51">
        <f>HYPERLINK("https://klasma.github.io/Logging_0381/klagomålsmail/A 33339-2024 FSC-klagomål mail.docx", "A 33339-2024")</f>
        <v/>
      </c>
      <c r="X51">
        <f>HYPERLINK("https://klasma.github.io/Logging_0381/tillsyn/A 33339-2024 tillsynsbegäran.docx", "A 33339-2024")</f>
        <v/>
      </c>
      <c r="Y51">
        <f>HYPERLINK("https://klasma.github.io/Logging_0381/tillsynsmail/A 33339-2024 tillsynsbegäran mail.docx", "A 33339-2024")</f>
        <v/>
      </c>
    </row>
    <row r="52" ht="15" customHeight="1">
      <c r="A52" t="inlineStr">
        <is>
          <t>A 46749-2024</t>
        </is>
      </c>
      <c r="B52" s="1" t="n">
        <v>45583</v>
      </c>
      <c r="C52" s="1" t="n">
        <v>45635</v>
      </c>
      <c r="D52" t="inlineStr">
        <is>
          <t>UPPSALA LÄN</t>
        </is>
      </c>
      <c r="E52" t="inlineStr">
        <is>
          <t>ENKÖPING</t>
        </is>
      </c>
      <c r="G52" t="n">
        <v>8.5</v>
      </c>
      <c r="H52" t="n">
        <v>0</v>
      </c>
      <c r="I52" t="n">
        <v>0</v>
      </c>
      <c r="J52" t="n">
        <v>1</v>
      </c>
      <c r="K52" t="n">
        <v>0</v>
      </c>
      <c r="L52" t="n">
        <v>0</v>
      </c>
      <c r="M52" t="n">
        <v>0</v>
      </c>
      <c r="N52" t="n">
        <v>0</v>
      </c>
      <c r="O52" t="n">
        <v>1</v>
      </c>
      <c r="P52" t="n">
        <v>0</v>
      </c>
      <c r="Q52" t="n">
        <v>1</v>
      </c>
      <c r="R52" s="2" t="inlineStr">
        <is>
          <t>Leptoporus erubescens</t>
        </is>
      </c>
      <c r="S52">
        <f>HYPERLINK("https://klasma.github.io/Logging_0381/artfynd/A 46749-2024 artfynd.xlsx", "A 46749-2024")</f>
        <v/>
      </c>
      <c r="T52">
        <f>HYPERLINK("https://klasma.github.io/Logging_0381/kartor/A 46749-2024 karta.png", "A 46749-2024")</f>
        <v/>
      </c>
      <c r="V52">
        <f>HYPERLINK("https://klasma.github.io/Logging_0381/klagomål/A 46749-2024 FSC-klagomål.docx", "A 46749-2024")</f>
        <v/>
      </c>
      <c r="W52">
        <f>HYPERLINK("https://klasma.github.io/Logging_0381/klagomålsmail/A 46749-2024 FSC-klagomål mail.docx", "A 46749-2024")</f>
        <v/>
      </c>
      <c r="X52">
        <f>HYPERLINK("https://klasma.github.io/Logging_0381/tillsyn/A 46749-2024 tillsynsbegäran.docx", "A 46749-2024")</f>
        <v/>
      </c>
      <c r="Y52">
        <f>HYPERLINK("https://klasma.github.io/Logging_0381/tillsynsmail/A 46749-2024 tillsynsbegäran mail.docx", "A 46749-2024")</f>
        <v/>
      </c>
    </row>
    <row r="53" ht="15" customHeight="1">
      <c r="A53" t="inlineStr">
        <is>
          <t>A 47168-2024</t>
        </is>
      </c>
      <c r="B53" s="1" t="n">
        <v>45586</v>
      </c>
      <c r="C53" s="1" t="n">
        <v>45635</v>
      </c>
      <c r="D53" t="inlineStr">
        <is>
          <t>UPPSALA LÄN</t>
        </is>
      </c>
      <c r="E53" t="inlineStr">
        <is>
          <t>ENKÖPING</t>
        </is>
      </c>
      <c r="G53" t="n">
        <v>7.3</v>
      </c>
      <c r="H53" t="n">
        <v>0</v>
      </c>
      <c r="I53" t="n">
        <v>1</v>
      </c>
      <c r="J53" t="n">
        <v>0</v>
      </c>
      <c r="K53" t="n">
        <v>0</v>
      </c>
      <c r="L53" t="n">
        <v>0</v>
      </c>
      <c r="M53" t="n">
        <v>0</v>
      </c>
      <c r="N53" t="n">
        <v>0</v>
      </c>
      <c r="O53" t="n">
        <v>0</v>
      </c>
      <c r="P53" t="n">
        <v>0</v>
      </c>
      <c r="Q53" t="n">
        <v>1</v>
      </c>
      <c r="R53" s="2" t="inlineStr">
        <is>
          <t>Svavelriska</t>
        </is>
      </c>
      <c r="S53">
        <f>HYPERLINK("https://klasma.github.io/Logging_0381/artfynd/A 47168-2024 artfynd.xlsx", "A 47168-2024")</f>
        <v/>
      </c>
      <c r="T53">
        <f>HYPERLINK("https://klasma.github.io/Logging_0381/kartor/A 47168-2024 karta.png", "A 47168-2024")</f>
        <v/>
      </c>
      <c r="V53">
        <f>HYPERLINK("https://klasma.github.io/Logging_0381/klagomål/A 47168-2024 FSC-klagomål.docx", "A 47168-2024")</f>
        <v/>
      </c>
      <c r="W53">
        <f>HYPERLINK("https://klasma.github.io/Logging_0381/klagomålsmail/A 47168-2024 FSC-klagomål mail.docx", "A 47168-2024")</f>
        <v/>
      </c>
      <c r="X53">
        <f>HYPERLINK("https://klasma.github.io/Logging_0381/tillsyn/A 47168-2024 tillsynsbegäran.docx", "A 47168-2024")</f>
        <v/>
      </c>
      <c r="Y53">
        <f>HYPERLINK("https://klasma.github.io/Logging_0381/tillsynsmail/A 47168-2024 tillsynsbegäran mail.docx", "A 47168-2024")</f>
        <v/>
      </c>
    </row>
    <row r="54" ht="15" customHeight="1">
      <c r="A54" t="inlineStr">
        <is>
          <t>A 18148-2019</t>
        </is>
      </c>
      <c r="B54" s="1" t="n">
        <v>43558</v>
      </c>
      <c r="C54" s="1" t="n">
        <v>45635</v>
      </c>
      <c r="D54" t="inlineStr">
        <is>
          <t>UPPSALA LÄN</t>
        </is>
      </c>
      <c r="E54" t="inlineStr">
        <is>
          <t>ENKÖPING</t>
        </is>
      </c>
      <c r="G54" t="n">
        <v>4.5</v>
      </c>
      <c r="H54" t="n">
        <v>0</v>
      </c>
      <c r="I54" t="n">
        <v>0</v>
      </c>
      <c r="J54" t="n">
        <v>0</v>
      </c>
      <c r="K54" t="n">
        <v>0</v>
      </c>
      <c r="L54" t="n">
        <v>0</v>
      </c>
      <c r="M54" t="n">
        <v>0</v>
      </c>
      <c r="N54" t="n">
        <v>0</v>
      </c>
      <c r="O54" t="n">
        <v>0</v>
      </c>
      <c r="P54" t="n">
        <v>0</v>
      </c>
      <c r="Q54" t="n">
        <v>0</v>
      </c>
      <c r="R54" s="2" t="inlineStr"/>
    </row>
    <row r="55" ht="15" customHeight="1">
      <c r="A55" t="inlineStr">
        <is>
          <t>A 22750-2019</t>
        </is>
      </c>
      <c r="B55" s="1" t="n">
        <v>43588</v>
      </c>
      <c r="C55" s="1" t="n">
        <v>45635</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23328-2019</t>
        </is>
      </c>
      <c r="B56" s="1" t="n">
        <v>43593</v>
      </c>
      <c r="C56" s="1" t="n">
        <v>45635</v>
      </c>
      <c r="D56" t="inlineStr">
        <is>
          <t>UPPSALA LÄN</t>
        </is>
      </c>
      <c r="E56" t="inlineStr">
        <is>
          <t>ENKÖPING</t>
        </is>
      </c>
      <c r="G56" t="n">
        <v>0.6</v>
      </c>
      <c r="H56" t="n">
        <v>0</v>
      </c>
      <c r="I56" t="n">
        <v>0</v>
      </c>
      <c r="J56" t="n">
        <v>0</v>
      </c>
      <c r="K56" t="n">
        <v>0</v>
      </c>
      <c r="L56" t="n">
        <v>0</v>
      </c>
      <c r="M56" t="n">
        <v>0</v>
      </c>
      <c r="N56" t="n">
        <v>0</v>
      </c>
      <c r="O56" t="n">
        <v>0</v>
      </c>
      <c r="P56" t="n">
        <v>0</v>
      </c>
      <c r="Q56" t="n">
        <v>0</v>
      </c>
      <c r="R56" s="2" t="inlineStr"/>
    </row>
    <row r="57" ht="15" customHeight="1">
      <c r="A57" t="inlineStr">
        <is>
          <t>A 26926-2019</t>
        </is>
      </c>
      <c r="B57" s="1" t="n">
        <v>43613</v>
      </c>
      <c r="C57" s="1" t="n">
        <v>45635</v>
      </c>
      <c r="D57" t="inlineStr">
        <is>
          <t>UPPSALA LÄN</t>
        </is>
      </c>
      <c r="E57" t="inlineStr">
        <is>
          <t>ENKÖPING</t>
        </is>
      </c>
      <c r="G57" t="n">
        <v>1.4</v>
      </c>
      <c r="H57" t="n">
        <v>0</v>
      </c>
      <c r="I57" t="n">
        <v>0</v>
      </c>
      <c r="J57" t="n">
        <v>0</v>
      </c>
      <c r="K57" t="n">
        <v>0</v>
      </c>
      <c r="L57" t="n">
        <v>0</v>
      </c>
      <c r="M57" t="n">
        <v>0</v>
      </c>
      <c r="N57" t="n">
        <v>0</v>
      </c>
      <c r="O57" t="n">
        <v>0</v>
      </c>
      <c r="P57" t="n">
        <v>0</v>
      </c>
      <c r="Q57" t="n">
        <v>0</v>
      </c>
      <c r="R57" s="2" t="inlineStr"/>
    </row>
    <row r="58" ht="15" customHeight="1">
      <c r="A58" t="inlineStr">
        <is>
          <t>A 28134-2019</t>
        </is>
      </c>
      <c r="B58" s="1" t="n">
        <v>43621</v>
      </c>
      <c r="C58" s="1" t="n">
        <v>45635</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30036-2019</t>
        </is>
      </c>
      <c r="B59" s="1" t="n">
        <v>43633</v>
      </c>
      <c r="C59" s="1" t="n">
        <v>45635</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29979-2019</t>
        </is>
      </c>
      <c r="B60" s="1" t="n">
        <v>43633</v>
      </c>
      <c r="C60" s="1" t="n">
        <v>45635</v>
      </c>
      <c r="D60" t="inlineStr">
        <is>
          <t>UPPSALA LÄN</t>
        </is>
      </c>
      <c r="E60" t="inlineStr">
        <is>
          <t>ENKÖPING</t>
        </is>
      </c>
      <c r="G60" t="n">
        <v>2.3</v>
      </c>
      <c r="H60" t="n">
        <v>0</v>
      </c>
      <c r="I60" t="n">
        <v>0</v>
      </c>
      <c r="J60" t="n">
        <v>0</v>
      </c>
      <c r="K60" t="n">
        <v>0</v>
      </c>
      <c r="L60" t="n">
        <v>0</v>
      </c>
      <c r="M60" t="n">
        <v>0</v>
      </c>
      <c r="N60" t="n">
        <v>0</v>
      </c>
      <c r="O60" t="n">
        <v>0</v>
      </c>
      <c r="P60" t="n">
        <v>0</v>
      </c>
      <c r="Q60" t="n">
        <v>0</v>
      </c>
      <c r="R60" s="2" t="inlineStr"/>
    </row>
    <row r="61" ht="15" customHeight="1">
      <c r="A61" t="inlineStr">
        <is>
          <t>A 31081-2019</t>
        </is>
      </c>
      <c r="B61" s="1" t="n">
        <v>43640</v>
      </c>
      <c r="C61" s="1" t="n">
        <v>45635</v>
      </c>
      <c r="D61" t="inlineStr">
        <is>
          <t>UPPSALA LÄN</t>
        </is>
      </c>
      <c r="E61" t="inlineStr">
        <is>
          <t>ENKÖPING</t>
        </is>
      </c>
      <c r="G61" t="n">
        <v>3.1</v>
      </c>
      <c r="H61" t="n">
        <v>0</v>
      </c>
      <c r="I61" t="n">
        <v>0</v>
      </c>
      <c r="J61" t="n">
        <v>0</v>
      </c>
      <c r="K61" t="n">
        <v>0</v>
      </c>
      <c r="L61" t="n">
        <v>0</v>
      </c>
      <c r="M61" t="n">
        <v>0</v>
      </c>
      <c r="N61" t="n">
        <v>0</v>
      </c>
      <c r="O61" t="n">
        <v>0</v>
      </c>
      <c r="P61" t="n">
        <v>0</v>
      </c>
      <c r="Q61" t="n">
        <v>0</v>
      </c>
      <c r="R61" s="2" t="inlineStr"/>
    </row>
    <row r="62" ht="15" customHeight="1">
      <c r="A62" t="inlineStr">
        <is>
          <t>A 31074-2019</t>
        </is>
      </c>
      <c r="B62" s="1" t="n">
        <v>43640</v>
      </c>
      <c r="C62" s="1" t="n">
        <v>45635</v>
      </c>
      <c r="D62" t="inlineStr">
        <is>
          <t>UPPSALA LÄN</t>
        </is>
      </c>
      <c r="E62" t="inlineStr">
        <is>
          <t>ENKÖPING</t>
        </is>
      </c>
      <c r="G62" t="n">
        <v>1.3</v>
      </c>
      <c r="H62" t="n">
        <v>0</v>
      </c>
      <c r="I62" t="n">
        <v>0</v>
      </c>
      <c r="J62" t="n">
        <v>0</v>
      </c>
      <c r="K62" t="n">
        <v>0</v>
      </c>
      <c r="L62" t="n">
        <v>0</v>
      </c>
      <c r="M62" t="n">
        <v>0</v>
      </c>
      <c r="N62" t="n">
        <v>0</v>
      </c>
      <c r="O62" t="n">
        <v>0</v>
      </c>
      <c r="P62" t="n">
        <v>0</v>
      </c>
      <c r="Q62" t="n">
        <v>0</v>
      </c>
      <c r="R62" s="2" t="inlineStr"/>
    </row>
    <row r="63" ht="15" customHeight="1">
      <c r="A63" t="inlineStr">
        <is>
          <t>A 32310-2019</t>
        </is>
      </c>
      <c r="B63" s="1" t="n">
        <v>43644</v>
      </c>
      <c r="C63" s="1" t="n">
        <v>45635</v>
      </c>
      <c r="D63" t="inlineStr">
        <is>
          <t>UPPSALA LÄN</t>
        </is>
      </c>
      <c r="E63" t="inlineStr">
        <is>
          <t>ENKÖPING</t>
        </is>
      </c>
      <c r="G63" t="n">
        <v>2.7</v>
      </c>
      <c r="H63" t="n">
        <v>0</v>
      </c>
      <c r="I63" t="n">
        <v>0</v>
      </c>
      <c r="J63" t="n">
        <v>0</v>
      </c>
      <c r="K63" t="n">
        <v>0</v>
      </c>
      <c r="L63" t="n">
        <v>0</v>
      </c>
      <c r="M63" t="n">
        <v>0</v>
      </c>
      <c r="N63" t="n">
        <v>0</v>
      </c>
      <c r="O63" t="n">
        <v>0</v>
      </c>
      <c r="P63" t="n">
        <v>0</v>
      </c>
      <c r="Q63" t="n">
        <v>0</v>
      </c>
      <c r="R63" s="2" t="inlineStr"/>
    </row>
    <row r="64" ht="15" customHeight="1">
      <c r="A64" t="inlineStr">
        <is>
          <t>A 32640-2019</t>
        </is>
      </c>
      <c r="B64" s="1" t="n">
        <v>43647</v>
      </c>
      <c r="C64" s="1" t="n">
        <v>45635</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33339-2019</t>
        </is>
      </c>
      <c r="B65" s="1" t="n">
        <v>43650</v>
      </c>
      <c r="C65" s="1" t="n">
        <v>45635</v>
      </c>
      <c r="D65" t="inlineStr">
        <is>
          <t>UPPSALA LÄN</t>
        </is>
      </c>
      <c r="E65" t="inlineStr">
        <is>
          <t>ENKÖPING</t>
        </is>
      </c>
      <c r="G65" t="n">
        <v>3.3</v>
      </c>
      <c r="H65" t="n">
        <v>0</v>
      </c>
      <c r="I65" t="n">
        <v>0</v>
      </c>
      <c r="J65" t="n">
        <v>0</v>
      </c>
      <c r="K65" t="n">
        <v>0</v>
      </c>
      <c r="L65" t="n">
        <v>0</v>
      </c>
      <c r="M65" t="n">
        <v>0</v>
      </c>
      <c r="N65" t="n">
        <v>0</v>
      </c>
      <c r="O65" t="n">
        <v>0</v>
      </c>
      <c r="P65" t="n">
        <v>0</v>
      </c>
      <c r="Q65" t="n">
        <v>0</v>
      </c>
      <c r="R65" s="2" t="inlineStr"/>
    </row>
    <row r="66" ht="15" customHeight="1">
      <c r="A66" t="inlineStr">
        <is>
          <t>A 35752-2019</t>
        </is>
      </c>
      <c r="B66" s="1" t="n">
        <v>43665</v>
      </c>
      <c r="C66" s="1" t="n">
        <v>45635</v>
      </c>
      <c r="D66" t="inlineStr">
        <is>
          <t>UPPSALA LÄN</t>
        </is>
      </c>
      <c r="E66" t="inlineStr">
        <is>
          <t>ENKÖPING</t>
        </is>
      </c>
      <c r="G66" t="n">
        <v>2.9</v>
      </c>
      <c r="H66" t="n">
        <v>0</v>
      </c>
      <c r="I66" t="n">
        <v>0</v>
      </c>
      <c r="J66" t="n">
        <v>0</v>
      </c>
      <c r="K66" t="n">
        <v>0</v>
      </c>
      <c r="L66" t="n">
        <v>0</v>
      </c>
      <c r="M66" t="n">
        <v>0</v>
      </c>
      <c r="N66" t="n">
        <v>0</v>
      </c>
      <c r="O66" t="n">
        <v>0</v>
      </c>
      <c r="P66" t="n">
        <v>0</v>
      </c>
      <c r="Q66" t="n">
        <v>0</v>
      </c>
      <c r="R66" s="2" t="inlineStr"/>
    </row>
    <row r="67" ht="15" customHeight="1">
      <c r="A67" t="inlineStr">
        <is>
          <t>A 36370-2019</t>
        </is>
      </c>
      <c r="B67" s="1" t="n">
        <v>43670</v>
      </c>
      <c r="C67" s="1" t="n">
        <v>45635</v>
      </c>
      <c r="D67" t="inlineStr">
        <is>
          <t>UPPSALA LÄN</t>
        </is>
      </c>
      <c r="E67" t="inlineStr">
        <is>
          <t>ENKÖPING</t>
        </is>
      </c>
      <c r="G67" t="n">
        <v>26.9</v>
      </c>
      <c r="H67" t="n">
        <v>0</v>
      </c>
      <c r="I67" t="n">
        <v>0</v>
      </c>
      <c r="J67" t="n">
        <v>0</v>
      </c>
      <c r="K67" t="n">
        <v>0</v>
      </c>
      <c r="L67" t="n">
        <v>0</v>
      </c>
      <c r="M67" t="n">
        <v>0</v>
      </c>
      <c r="N67" t="n">
        <v>0</v>
      </c>
      <c r="O67" t="n">
        <v>0</v>
      </c>
      <c r="P67" t="n">
        <v>0</v>
      </c>
      <c r="Q67" t="n">
        <v>0</v>
      </c>
      <c r="R67" s="2" t="inlineStr"/>
    </row>
    <row r="68" ht="15" customHeight="1">
      <c r="A68" t="inlineStr">
        <is>
          <t>A 36733-2019</t>
        </is>
      </c>
      <c r="B68" s="1" t="n">
        <v>43672</v>
      </c>
      <c r="C68" s="1" t="n">
        <v>45635</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37519-2019</t>
        </is>
      </c>
      <c r="B69" s="1" t="n">
        <v>43679</v>
      </c>
      <c r="C69" s="1" t="n">
        <v>45635</v>
      </c>
      <c r="D69" t="inlineStr">
        <is>
          <t>UPPSALA LÄN</t>
        </is>
      </c>
      <c r="E69" t="inlineStr">
        <is>
          <t>ENKÖPING</t>
        </is>
      </c>
      <c r="G69" t="n">
        <v>1</v>
      </c>
      <c r="H69" t="n">
        <v>0</v>
      </c>
      <c r="I69" t="n">
        <v>0</v>
      </c>
      <c r="J69" t="n">
        <v>0</v>
      </c>
      <c r="K69" t="n">
        <v>0</v>
      </c>
      <c r="L69" t="n">
        <v>0</v>
      </c>
      <c r="M69" t="n">
        <v>0</v>
      </c>
      <c r="N69" t="n">
        <v>0</v>
      </c>
      <c r="O69" t="n">
        <v>0</v>
      </c>
      <c r="P69" t="n">
        <v>0</v>
      </c>
      <c r="Q69" t="n">
        <v>0</v>
      </c>
      <c r="R69" s="2" t="inlineStr"/>
    </row>
    <row r="70" ht="15" customHeight="1">
      <c r="A70" t="inlineStr">
        <is>
          <t>A 37702-2019</t>
        </is>
      </c>
      <c r="B70" s="1" t="n">
        <v>43682</v>
      </c>
      <c r="C70" s="1" t="n">
        <v>45635</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37700-2019</t>
        </is>
      </c>
      <c r="B71" s="1" t="n">
        <v>43682</v>
      </c>
      <c r="C71" s="1" t="n">
        <v>45635</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37936-2019</t>
        </is>
      </c>
      <c r="B72" s="1" t="n">
        <v>43683</v>
      </c>
      <c r="C72" s="1" t="n">
        <v>45635</v>
      </c>
      <c r="D72" t="inlineStr">
        <is>
          <t>UPPSALA LÄN</t>
        </is>
      </c>
      <c r="E72" t="inlineStr">
        <is>
          <t>ENKÖPING</t>
        </is>
      </c>
      <c r="G72" t="n">
        <v>0.9</v>
      </c>
      <c r="H72" t="n">
        <v>0</v>
      </c>
      <c r="I72" t="n">
        <v>0</v>
      </c>
      <c r="J72" t="n">
        <v>0</v>
      </c>
      <c r="K72" t="n">
        <v>0</v>
      </c>
      <c r="L72" t="n">
        <v>0</v>
      </c>
      <c r="M72" t="n">
        <v>0</v>
      </c>
      <c r="N72" t="n">
        <v>0</v>
      </c>
      <c r="O72" t="n">
        <v>0</v>
      </c>
      <c r="P72" t="n">
        <v>0</v>
      </c>
      <c r="Q72" t="n">
        <v>0</v>
      </c>
      <c r="R72" s="2" t="inlineStr"/>
    </row>
    <row r="73" ht="15" customHeight="1">
      <c r="A73" t="inlineStr">
        <is>
          <t>A 38204-2019</t>
        </is>
      </c>
      <c r="B73" s="1" t="n">
        <v>43683</v>
      </c>
      <c r="C73" s="1" t="n">
        <v>45635</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38189-2019</t>
        </is>
      </c>
      <c r="B74" s="1" t="n">
        <v>43684</v>
      </c>
      <c r="C74" s="1" t="n">
        <v>45635</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38205-2019</t>
        </is>
      </c>
      <c r="B75" s="1" t="n">
        <v>43684</v>
      </c>
      <c r="C75" s="1" t="n">
        <v>45635</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38475-2019</t>
        </is>
      </c>
      <c r="B76" s="1" t="n">
        <v>43685</v>
      </c>
      <c r="C76" s="1" t="n">
        <v>45635</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38896-2019</t>
        </is>
      </c>
      <c r="B77" s="1" t="n">
        <v>43689</v>
      </c>
      <c r="C77" s="1" t="n">
        <v>45635</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38899-2019</t>
        </is>
      </c>
      <c r="B78" s="1" t="n">
        <v>43689</v>
      </c>
      <c r="C78" s="1" t="n">
        <v>45635</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40247-2019</t>
        </is>
      </c>
      <c r="B79" s="1" t="n">
        <v>43695</v>
      </c>
      <c r="C79" s="1" t="n">
        <v>45635</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40839-2019</t>
        </is>
      </c>
      <c r="B80" s="1" t="n">
        <v>43697</v>
      </c>
      <c r="C80" s="1" t="n">
        <v>45635</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40843-2019</t>
        </is>
      </c>
      <c r="B81" s="1" t="n">
        <v>43697</v>
      </c>
      <c r="C81" s="1" t="n">
        <v>45635</v>
      </c>
      <c r="D81" t="inlineStr">
        <is>
          <t>UPPSALA LÄN</t>
        </is>
      </c>
      <c r="E81" t="inlineStr">
        <is>
          <t>ENKÖPING</t>
        </is>
      </c>
      <c r="G81" t="n">
        <v>1.6</v>
      </c>
      <c r="H81" t="n">
        <v>0</v>
      </c>
      <c r="I81" t="n">
        <v>0</v>
      </c>
      <c r="J81" t="n">
        <v>0</v>
      </c>
      <c r="K81" t="n">
        <v>0</v>
      </c>
      <c r="L81" t="n">
        <v>0</v>
      </c>
      <c r="M81" t="n">
        <v>0</v>
      </c>
      <c r="N81" t="n">
        <v>0</v>
      </c>
      <c r="O81" t="n">
        <v>0</v>
      </c>
      <c r="P81" t="n">
        <v>0</v>
      </c>
      <c r="Q81" t="n">
        <v>0</v>
      </c>
      <c r="R81" s="2" t="inlineStr"/>
    </row>
    <row r="82" ht="15" customHeight="1">
      <c r="A82" t="inlineStr">
        <is>
          <t>A 41512-2019</t>
        </is>
      </c>
      <c r="B82" s="1" t="n">
        <v>43699</v>
      </c>
      <c r="C82" s="1" t="n">
        <v>45635</v>
      </c>
      <c r="D82" t="inlineStr">
        <is>
          <t>UPPSALA LÄN</t>
        </is>
      </c>
      <c r="E82" t="inlineStr">
        <is>
          <t>ENKÖPING</t>
        </is>
      </c>
      <c r="G82" t="n">
        <v>5.8</v>
      </c>
      <c r="H82" t="n">
        <v>0</v>
      </c>
      <c r="I82" t="n">
        <v>0</v>
      </c>
      <c r="J82" t="n">
        <v>0</v>
      </c>
      <c r="K82" t="n">
        <v>0</v>
      </c>
      <c r="L82" t="n">
        <v>0</v>
      </c>
      <c r="M82" t="n">
        <v>0</v>
      </c>
      <c r="N82" t="n">
        <v>0</v>
      </c>
      <c r="O82" t="n">
        <v>0</v>
      </c>
      <c r="P82" t="n">
        <v>0</v>
      </c>
      <c r="Q82" t="n">
        <v>0</v>
      </c>
      <c r="R82" s="2" t="inlineStr"/>
    </row>
    <row r="83" ht="15" customHeight="1">
      <c r="A83" t="inlineStr">
        <is>
          <t>A 42350-2019</t>
        </is>
      </c>
      <c r="B83" s="1" t="n">
        <v>43703</v>
      </c>
      <c r="C83" s="1" t="n">
        <v>45635</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42624-2019</t>
        </is>
      </c>
      <c r="B84" s="1" t="n">
        <v>43704</v>
      </c>
      <c r="C84" s="1" t="n">
        <v>45635</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42829-2019</t>
        </is>
      </c>
      <c r="B85" s="1" t="n">
        <v>43705</v>
      </c>
      <c r="C85" s="1" t="n">
        <v>45635</v>
      </c>
      <c r="D85" t="inlineStr">
        <is>
          <t>UPPSALA LÄN</t>
        </is>
      </c>
      <c r="E85" t="inlineStr">
        <is>
          <t>ENKÖPING</t>
        </is>
      </c>
      <c r="G85" t="n">
        <v>6.7</v>
      </c>
      <c r="H85" t="n">
        <v>0</v>
      </c>
      <c r="I85" t="n">
        <v>0</v>
      </c>
      <c r="J85" t="n">
        <v>0</v>
      </c>
      <c r="K85" t="n">
        <v>0</v>
      </c>
      <c r="L85" t="n">
        <v>0</v>
      </c>
      <c r="M85" t="n">
        <v>0</v>
      </c>
      <c r="N85" t="n">
        <v>0</v>
      </c>
      <c r="O85" t="n">
        <v>0</v>
      </c>
      <c r="P85" t="n">
        <v>0</v>
      </c>
      <c r="Q85" t="n">
        <v>0</v>
      </c>
      <c r="R85" s="2" t="inlineStr"/>
    </row>
    <row r="86" ht="15" customHeight="1">
      <c r="A86" t="inlineStr">
        <is>
          <t>A 43308-2019</t>
        </is>
      </c>
      <c r="B86" s="1" t="n">
        <v>43706</v>
      </c>
      <c r="C86" s="1" t="n">
        <v>45635</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43998-2019</t>
        </is>
      </c>
      <c r="B87" s="1" t="n">
        <v>43709</v>
      </c>
      <c r="C87" s="1" t="n">
        <v>45635</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43999-2019</t>
        </is>
      </c>
      <c r="B88" s="1" t="n">
        <v>43709</v>
      </c>
      <c r="C88" s="1" t="n">
        <v>45635</v>
      </c>
      <c r="D88" t="inlineStr">
        <is>
          <t>UPPSALA LÄN</t>
        </is>
      </c>
      <c r="E88" t="inlineStr">
        <is>
          <t>ENKÖPING</t>
        </is>
      </c>
      <c r="G88" t="n">
        <v>0.1</v>
      </c>
      <c r="H88" t="n">
        <v>0</v>
      </c>
      <c r="I88" t="n">
        <v>0</v>
      </c>
      <c r="J88" t="n">
        <v>0</v>
      </c>
      <c r="K88" t="n">
        <v>0</v>
      </c>
      <c r="L88" t="n">
        <v>0</v>
      </c>
      <c r="M88" t="n">
        <v>0</v>
      </c>
      <c r="N88" t="n">
        <v>0</v>
      </c>
      <c r="O88" t="n">
        <v>0</v>
      </c>
      <c r="P88" t="n">
        <v>0</v>
      </c>
      <c r="Q88" t="n">
        <v>0</v>
      </c>
      <c r="R88" s="2" t="inlineStr"/>
    </row>
    <row r="89" ht="15" customHeight="1">
      <c r="A89" t="inlineStr">
        <is>
          <t>A 44749-2019</t>
        </is>
      </c>
      <c r="B89" s="1" t="n">
        <v>43712</v>
      </c>
      <c r="C89" s="1" t="n">
        <v>45635</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45007-2019</t>
        </is>
      </c>
      <c r="B90" s="1" t="n">
        <v>43713</v>
      </c>
      <c r="C90" s="1" t="n">
        <v>45635</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45481-2019</t>
        </is>
      </c>
      <c r="B91" s="1" t="n">
        <v>43714</v>
      </c>
      <c r="C91" s="1" t="n">
        <v>45635</v>
      </c>
      <c r="D91" t="inlineStr">
        <is>
          <t>UPPSALA LÄN</t>
        </is>
      </c>
      <c r="E91" t="inlineStr">
        <is>
          <t>ENKÖPING</t>
        </is>
      </c>
      <c r="G91" t="n">
        <v>2</v>
      </c>
      <c r="H91" t="n">
        <v>0</v>
      </c>
      <c r="I91" t="n">
        <v>0</v>
      </c>
      <c r="J91" t="n">
        <v>0</v>
      </c>
      <c r="K91" t="n">
        <v>0</v>
      </c>
      <c r="L91" t="n">
        <v>0</v>
      </c>
      <c r="M91" t="n">
        <v>0</v>
      </c>
      <c r="N91" t="n">
        <v>0</v>
      </c>
      <c r="O91" t="n">
        <v>0</v>
      </c>
      <c r="P91" t="n">
        <v>0</v>
      </c>
      <c r="Q91" t="n">
        <v>0</v>
      </c>
      <c r="R91" s="2" t="inlineStr"/>
    </row>
    <row r="92" ht="15" customHeight="1">
      <c r="A92" t="inlineStr">
        <is>
          <t>A 45729-2019</t>
        </is>
      </c>
      <c r="B92" s="1" t="n">
        <v>43717</v>
      </c>
      <c r="C92" s="1" t="n">
        <v>45635</v>
      </c>
      <c r="D92" t="inlineStr">
        <is>
          <t>UPPSALA LÄN</t>
        </is>
      </c>
      <c r="E92" t="inlineStr">
        <is>
          <t>ENKÖPING</t>
        </is>
      </c>
      <c r="G92" t="n">
        <v>0.3</v>
      </c>
      <c r="H92" t="n">
        <v>0</v>
      </c>
      <c r="I92" t="n">
        <v>0</v>
      </c>
      <c r="J92" t="n">
        <v>0</v>
      </c>
      <c r="K92" t="n">
        <v>0</v>
      </c>
      <c r="L92" t="n">
        <v>0</v>
      </c>
      <c r="M92" t="n">
        <v>0</v>
      </c>
      <c r="N92" t="n">
        <v>0</v>
      </c>
      <c r="O92" t="n">
        <v>0</v>
      </c>
      <c r="P92" t="n">
        <v>0</v>
      </c>
      <c r="Q92" t="n">
        <v>0</v>
      </c>
      <c r="R92" s="2" t="inlineStr"/>
    </row>
    <row r="93" ht="15" customHeight="1">
      <c r="A93" t="inlineStr">
        <is>
          <t>A 45767-2019</t>
        </is>
      </c>
      <c r="B93" s="1" t="n">
        <v>43717</v>
      </c>
      <c r="C93" s="1" t="n">
        <v>45635</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45784-2019</t>
        </is>
      </c>
      <c r="B94" s="1" t="n">
        <v>43717</v>
      </c>
      <c r="C94" s="1" t="n">
        <v>45635</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46292-2019</t>
        </is>
      </c>
      <c r="B95" s="1" t="n">
        <v>43718</v>
      </c>
      <c r="C95" s="1" t="n">
        <v>45635</v>
      </c>
      <c r="D95" t="inlineStr">
        <is>
          <t>UPPSALA LÄN</t>
        </is>
      </c>
      <c r="E95" t="inlineStr">
        <is>
          <t>ENKÖPING</t>
        </is>
      </c>
      <c r="G95" t="n">
        <v>1</v>
      </c>
      <c r="H95" t="n">
        <v>0</v>
      </c>
      <c r="I95" t="n">
        <v>0</v>
      </c>
      <c r="J95" t="n">
        <v>0</v>
      </c>
      <c r="K95" t="n">
        <v>0</v>
      </c>
      <c r="L95" t="n">
        <v>0</v>
      </c>
      <c r="M95" t="n">
        <v>0</v>
      </c>
      <c r="N95" t="n">
        <v>0</v>
      </c>
      <c r="O95" t="n">
        <v>0</v>
      </c>
      <c r="P95" t="n">
        <v>0</v>
      </c>
      <c r="Q95" t="n">
        <v>0</v>
      </c>
      <c r="R95" s="2" t="inlineStr"/>
    </row>
    <row r="96" ht="15" customHeight="1">
      <c r="A96" t="inlineStr">
        <is>
          <t>A 46274-2019</t>
        </is>
      </c>
      <c r="B96" s="1" t="n">
        <v>43718</v>
      </c>
      <c r="C96" s="1" t="n">
        <v>45635</v>
      </c>
      <c r="D96" t="inlineStr">
        <is>
          <t>UPPSALA LÄN</t>
        </is>
      </c>
      <c r="E96" t="inlineStr">
        <is>
          <t>ENKÖPING</t>
        </is>
      </c>
      <c r="G96" t="n">
        <v>1</v>
      </c>
      <c r="H96" t="n">
        <v>0</v>
      </c>
      <c r="I96" t="n">
        <v>0</v>
      </c>
      <c r="J96" t="n">
        <v>0</v>
      </c>
      <c r="K96" t="n">
        <v>0</v>
      </c>
      <c r="L96" t="n">
        <v>0</v>
      </c>
      <c r="M96" t="n">
        <v>0</v>
      </c>
      <c r="N96" t="n">
        <v>0</v>
      </c>
      <c r="O96" t="n">
        <v>0</v>
      </c>
      <c r="P96" t="n">
        <v>0</v>
      </c>
      <c r="Q96" t="n">
        <v>0</v>
      </c>
      <c r="R96" s="2" t="inlineStr"/>
    </row>
    <row r="97" ht="15" customHeight="1">
      <c r="A97" t="inlineStr">
        <is>
          <t>A 46971-2019</t>
        </is>
      </c>
      <c r="B97" s="1" t="n">
        <v>43720</v>
      </c>
      <c r="C97" s="1" t="n">
        <v>45635</v>
      </c>
      <c r="D97" t="inlineStr">
        <is>
          <t>UPPSALA LÄN</t>
        </is>
      </c>
      <c r="E97" t="inlineStr">
        <is>
          <t>ENKÖPING</t>
        </is>
      </c>
      <c r="G97" t="n">
        <v>1.2</v>
      </c>
      <c r="H97" t="n">
        <v>0</v>
      </c>
      <c r="I97" t="n">
        <v>0</v>
      </c>
      <c r="J97" t="n">
        <v>0</v>
      </c>
      <c r="K97" t="n">
        <v>0</v>
      </c>
      <c r="L97" t="n">
        <v>0</v>
      </c>
      <c r="M97" t="n">
        <v>0</v>
      </c>
      <c r="N97" t="n">
        <v>0</v>
      </c>
      <c r="O97" t="n">
        <v>0</v>
      </c>
      <c r="P97" t="n">
        <v>0</v>
      </c>
      <c r="Q97" t="n">
        <v>0</v>
      </c>
      <c r="R97" s="2" t="inlineStr"/>
    </row>
    <row r="98" ht="15" customHeight="1">
      <c r="A98" t="inlineStr">
        <is>
          <t>A 47039-2019</t>
        </is>
      </c>
      <c r="B98" s="1" t="n">
        <v>43720</v>
      </c>
      <c r="C98" s="1" t="n">
        <v>45635</v>
      </c>
      <c r="D98" t="inlineStr">
        <is>
          <t>UPPSALA LÄN</t>
        </is>
      </c>
      <c r="E98" t="inlineStr">
        <is>
          <t>ENKÖPING</t>
        </is>
      </c>
      <c r="G98" t="n">
        <v>0.3</v>
      </c>
      <c r="H98" t="n">
        <v>0</v>
      </c>
      <c r="I98" t="n">
        <v>0</v>
      </c>
      <c r="J98" t="n">
        <v>0</v>
      </c>
      <c r="K98" t="n">
        <v>0</v>
      </c>
      <c r="L98" t="n">
        <v>0</v>
      </c>
      <c r="M98" t="n">
        <v>0</v>
      </c>
      <c r="N98" t="n">
        <v>0</v>
      </c>
      <c r="O98" t="n">
        <v>0</v>
      </c>
      <c r="P98" t="n">
        <v>0</v>
      </c>
      <c r="Q98" t="n">
        <v>0</v>
      </c>
      <c r="R98" s="2" t="inlineStr"/>
    </row>
    <row r="99" ht="15" customHeight="1">
      <c r="A99" t="inlineStr">
        <is>
          <t>A 47368-2019</t>
        </is>
      </c>
      <c r="B99" s="1" t="n">
        <v>43721</v>
      </c>
      <c r="C99" s="1" t="n">
        <v>45635</v>
      </c>
      <c r="D99" t="inlineStr">
        <is>
          <t>UPPSALA LÄN</t>
        </is>
      </c>
      <c r="E99" t="inlineStr">
        <is>
          <t>ENKÖPING</t>
        </is>
      </c>
      <c r="G99" t="n">
        <v>0.4</v>
      </c>
      <c r="H99" t="n">
        <v>0</v>
      </c>
      <c r="I99" t="n">
        <v>0</v>
      </c>
      <c r="J99" t="n">
        <v>0</v>
      </c>
      <c r="K99" t="n">
        <v>0</v>
      </c>
      <c r="L99" t="n">
        <v>0</v>
      </c>
      <c r="M99" t="n">
        <v>0</v>
      </c>
      <c r="N99" t="n">
        <v>0</v>
      </c>
      <c r="O99" t="n">
        <v>0</v>
      </c>
      <c r="P99" t="n">
        <v>0</v>
      </c>
      <c r="Q99" t="n">
        <v>0</v>
      </c>
      <c r="R99" s="2" t="inlineStr"/>
    </row>
    <row r="100" ht="15" customHeight="1">
      <c r="A100" t="inlineStr">
        <is>
          <t>A 47476-2019</t>
        </is>
      </c>
      <c r="B100" s="1" t="n">
        <v>43724</v>
      </c>
      <c r="C100" s="1" t="n">
        <v>45635</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48098-2019</t>
        </is>
      </c>
      <c r="B101" s="1" t="n">
        <v>43725</v>
      </c>
      <c r="C101" s="1" t="n">
        <v>45635</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48095-2019</t>
        </is>
      </c>
      <c r="B102" s="1" t="n">
        <v>43725</v>
      </c>
      <c r="C102" s="1" t="n">
        <v>45635</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48096-2019</t>
        </is>
      </c>
      <c r="B103" s="1" t="n">
        <v>43725</v>
      </c>
      <c r="C103" s="1" t="n">
        <v>45635</v>
      </c>
      <c r="D103" t="inlineStr">
        <is>
          <t>UPPSALA LÄN</t>
        </is>
      </c>
      <c r="E103" t="inlineStr">
        <is>
          <t>ENKÖPING</t>
        </is>
      </c>
      <c r="G103" t="n">
        <v>0.2</v>
      </c>
      <c r="H103" t="n">
        <v>0</v>
      </c>
      <c r="I103" t="n">
        <v>0</v>
      </c>
      <c r="J103" t="n">
        <v>0</v>
      </c>
      <c r="K103" t="n">
        <v>0</v>
      </c>
      <c r="L103" t="n">
        <v>0</v>
      </c>
      <c r="M103" t="n">
        <v>0</v>
      </c>
      <c r="N103" t="n">
        <v>0</v>
      </c>
      <c r="O103" t="n">
        <v>0</v>
      </c>
      <c r="P103" t="n">
        <v>0</v>
      </c>
      <c r="Q103" t="n">
        <v>0</v>
      </c>
      <c r="R103" s="2" t="inlineStr"/>
    </row>
    <row r="104" ht="15" customHeight="1">
      <c r="A104" t="inlineStr">
        <is>
          <t>A 48515-2019</t>
        </is>
      </c>
      <c r="B104" s="1" t="n">
        <v>43727</v>
      </c>
      <c r="C104" s="1" t="n">
        <v>45635</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48511-2019</t>
        </is>
      </c>
      <c r="B105" s="1" t="n">
        <v>43727</v>
      </c>
      <c r="C105" s="1" t="n">
        <v>45635</v>
      </c>
      <c r="D105" t="inlineStr">
        <is>
          <t>UPPSALA LÄN</t>
        </is>
      </c>
      <c r="E105" t="inlineStr">
        <is>
          <t>ENKÖPING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49856-2019</t>
        </is>
      </c>
      <c r="B106" s="1" t="n">
        <v>43733</v>
      </c>
      <c r="C106" s="1" t="n">
        <v>45635</v>
      </c>
      <c r="D106" t="inlineStr">
        <is>
          <t>UPPSALA LÄN</t>
        </is>
      </c>
      <c r="E106" t="inlineStr">
        <is>
          <t>ENKÖPING</t>
        </is>
      </c>
      <c r="G106" t="n">
        <v>9.9</v>
      </c>
      <c r="H106" t="n">
        <v>0</v>
      </c>
      <c r="I106" t="n">
        <v>0</v>
      </c>
      <c r="J106" t="n">
        <v>0</v>
      </c>
      <c r="K106" t="n">
        <v>0</v>
      </c>
      <c r="L106" t="n">
        <v>0</v>
      </c>
      <c r="M106" t="n">
        <v>0</v>
      </c>
      <c r="N106" t="n">
        <v>0</v>
      </c>
      <c r="O106" t="n">
        <v>0</v>
      </c>
      <c r="P106" t="n">
        <v>0</v>
      </c>
      <c r="Q106" t="n">
        <v>0</v>
      </c>
      <c r="R106" s="2" t="inlineStr"/>
    </row>
    <row r="107" ht="15" customHeight="1">
      <c r="A107" t="inlineStr">
        <is>
          <t>A 49941-2019</t>
        </is>
      </c>
      <c r="B107" s="1" t="n">
        <v>43733</v>
      </c>
      <c r="C107" s="1" t="n">
        <v>45635</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50893-2019</t>
        </is>
      </c>
      <c r="B108" s="1" t="n">
        <v>43738</v>
      </c>
      <c r="C108" s="1" t="n">
        <v>45635</v>
      </c>
      <c r="D108" t="inlineStr">
        <is>
          <t>UPPSALA LÄN</t>
        </is>
      </c>
      <c r="E108" t="inlineStr">
        <is>
          <t>ENKÖPING</t>
        </is>
      </c>
      <c r="G108" t="n">
        <v>4.3</v>
      </c>
      <c r="H108" t="n">
        <v>0</v>
      </c>
      <c r="I108" t="n">
        <v>0</v>
      </c>
      <c r="J108" t="n">
        <v>0</v>
      </c>
      <c r="K108" t="n">
        <v>0</v>
      </c>
      <c r="L108" t="n">
        <v>0</v>
      </c>
      <c r="M108" t="n">
        <v>0</v>
      </c>
      <c r="N108" t="n">
        <v>0</v>
      </c>
      <c r="O108" t="n">
        <v>0</v>
      </c>
      <c r="P108" t="n">
        <v>0</v>
      </c>
      <c r="Q108" t="n">
        <v>0</v>
      </c>
      <c r="R108" s="2" t="inlineStr"/>
    </row>
    <row r="109" ht="15" customHeight="1">
      <c r="A109" t="inlineStr">
        <is>
          <t>A 52516-2019</t>
        </is>
      </c>
      <c r="B109" s="1" t="n">
        <v>43738</v>
      </c>
      <c r="C109" s="1" t="n">
        <v>45635</v>
      </c>
      <c r="D109" t="inlineStr">
        <is>
          <t>UPPSALA LÄN</t>
        </is>
      </c>
      <c r="E109" t="inlineStr">
        <is>
          <t>ENKÖPING</t>
        </is>
      </c>
      <c r="G109" t="n">
        <v>1.7</v>
      </c>
      <c r="H109" t="n">
        <v>0</v>
      </c>
      <c r="I109" t="n">
        <v>0</v>
      </c>
      <c r="J109" t="n">
        <v>0</v>
      </c>
      <c r="K109" t="n">
        <v>0</v>
      </c>
      <c r="L109" t="n">
        <v>0</v>
      </c>
      <c r="M109" t="n">
        <v>0</v>
      </c>
      <c r="N109" t="n">
        <v>0</v>
      </c>
      <c r="O109" t="n">
        <v>0</v>
      </c>
      <c r="P109" t="n">
        <v>0</v>
      </c>
      <c r="Q109" t="n">
        <v>0</v>
      </c>
      <c r="R109" s="2" t="inlineStr"/>
    </row>
    <row r="110" ht="15" customHeight="1">
      <c r="A110" t="inlineStr">
        <is>
          <t>A 51782-2019</t>
        </is>
      </c>
      <c r="B110" s="1" t="n">
        <v>43741</v>
      </c>
      <c r="C110" s="1" t="n">
        <v>45635</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51802-2019</t>
        </is>
      </c>
      <c r="B111" s="1" t="n">
        <v>43741</v>
      </c>
      <c r="C111" s="1" t="n">
        <v>45635</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51836-2019</t>
        </is>
      </c>
      <c r="B112" s="1" t="n">
        <v>43741</v>
      </c>
      <c r="C112" s="1" t="n">
        <v>45635</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51805-2019</t>
        </is>
      </c>
      <c r="B113" s="1" t="n">
        <v>43741</v>
      </c>
      <c r="C113" s="1" t="n">
        <v>45635</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51905-2019</t>
        </is>
      </c>
      <c r="B114" s="1" t="n">
        <v>43741</v>
      </c>
      <c r="C114" s="1" t="n">
        <v>45635</v>
      </c>
      <c r="D114" t="inlineStr">
        <is>
          <t>UPPSALA LÄN</t>
        </is>
      </c>
      <c r="E114" t="inlineStr">
        <is>
          <t>ENKÖPING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51912-2019</t>
        </is>
      </c>
      <c r="B115" s="1" t="n">
        <v>43741</v>
      </c>
      <c r="C115" s="1" t="n">
        <v>45635</v>
      </c>
      <c r="D115" t="inlineStr">
        <is>
          <t>UPPSALA LÄN</t>
        </is>
      </c>
      <c r="E115" t="inlineStr">
        <is>
          <t>ENKÖPING</t>
        </is>
      </c>
      <c r="G115" t="n">
        <v>3</v>
      </c>
      <c r="H115" t="n">
        <v>0</v>
      </c>
      <c r="I115" t="n">
        <v>0</v>
      </c>
      <c r="J115" t="n">
        <v>0</v>
      </c>
      <c r="K115" t="n">
        <v>0</v>
      </c>
      <c r="L115" t="n">
        <v>0</v>
      </c>
      <c r="M115" t="n">
        <v>0</v>
      </c>
      <c r="N115" t="n">
        <v>0</v>
      </c>
      <c r="O115" t="n">
        <v>0</v>
      </c>
      <c r="P115" t="n">
        <v>0</v>
      </c>
      <c r="Q115" t="n">
        <v>0</v>
      </c>
      <c r="R115" s="2" t="inlineStr"/>
    </row>
    <row r="116" ht="15" customHeight="1">
      <c r="A116" t="inlineStr">
        <is>
          <t>A 52524-2019</t>
        </is>
      </c>
      <c r="B116" s="1" t="n">
        <v>43745</v>
      </c>
      <c r="C116" s="1" t="n">
        <v>45635</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52394-2019</t>
        </is>
      </c>
      <c r="B117" s="1" t="n">
        <v>43745</v>
      </c>
      <c r="C117" s="1" t="n">
        <v>45635</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52726-2019</t>
        </is>
      </c>
      <c r="B118" s="1" t="n">
        <v>43746</v>
      </c>
      <c r="C118" s="1" t="n">
        <v>45635</v>
      </c>
      <c r="D118" t="inlineStr">
        <is>
          <t>UPPSALA LÄN</t>
        </is>
      </c>
      <c r="E118" t="inlineStr">
        <is>
          <t>ENKÖPING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53840-2019</t>
        </is>
      </c>
      <c r="B119" s="1" t="n">
        <v>43752</v>
      </c>
      <c r="C119" s="1" t="n">
        <v>45635</v>
      </c>
      <c r="D119" t="inlineStr">
        <is>
          <t>UPPSALA LÄN</t>
        </is>
      </c>
      <c r="E119" t="inlineStr">
        <is>
          <t>ENKÖPING</t>
        </is>
      </c>
      <c r="G119" t="n">
        <v>10.1</v>
      </c>
      <c r="H119" t="n">
        <v>0</v>
      </c>
      <c r="I119" t="n">
        <v>0</v>
      </c>
      <c r="J119" t="n">
        <v>0</v>
      </c>
      <c r="K119" t="n">
        <v>0</v>
      </c>
      <c r="L119" t="n">
        <v>0</v>
      </c>
      <c r="M119" t="n">
        <v>0</v>
      </c>
      <c r="N119" t="n">
        <v>0</v>
      </c>
      <c r="O119" t="n">
        <v>0</v>
      </c>
      <c r="P119" t="n">
        <v>0</v>
      </c>
      <c r="Q119" t="n">
        <v>0</v>
      </c>
      <c r="R119" s="2" t="inlineStr"/>
    </row>
    <row r="120" ht="15" customHeight="1">
      <c r="A120" t="inlineStr">
        <is>
          <t>A 56153-2019</t>
        </is>
      </c>
      <c r="B120" s="1" t="n">
        <v>43756</v>
      </c>
      <c r="C120" s="1" t="n">
        <v>45635</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55516-2019</t>
        </is>
      </c>
      <c r="B121" s="1" t="n">
        <v>43759</v>
      </c>
      <c r="C121" s="1" t="n">
        <v>45635</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55872-2019</t>
        </is>
      </c>
      <c r="B122" s="1" t="n">
        <v>43759</v>
      </c>
      <c r="C122" s="1" t="n">
        <v>45635</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55512-2019</t>
        </is>
      </c>
      <c r="B123" s="1" t="n">
        <v>43759</v>
      </c>
      <c r="C123" s="1" t="n">
        <v>45635</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56309-2019</t>
        </is>
      </c>
      <c r="B124" s="1" t="n">
        <v>43762</v>
      </c>
      <c r="C124" s="1" t="n">
        <v>45635</v>
      </c>
      <c r="D124" t="inlineStr">
        <is>
          <t>UPPSALA LÄN</t>
        </is>
      </c>
      <c r="E124" t="inlineStr">
        <is>
          <t>ENKÖPING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56932-2019</t>
        </is>
      </c>
      <c r="B125" s="1" t="n">
        <v>43766</v>
      </c>
      <c r="C125" s="1" t="n">
        <v>45635</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56910-2019</t>
        </is>
      </c>
      <c r="B126" s="1" t="n">
        <v>43766</v>
      </c>
      <c r="C126" s="1" t="n">
        <v>45635</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57066-2019</t>
        </is>
      </c>
      <c r="B127" s="1" t="n">
        <v>43766</v>
      </c>
      <c r="C127" s="1" t="n">
        <v>45635</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56897-2019</t>
        </is>
      </c>
      <c r="B128" s="1" t="n">
        <v>43766</v>
      </c>
      <c r="C128" s="1" t="n">
        <v>45635</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57126-2019</t>
        </is>
      </c>
      <c r="B129" s="1" t="n">
        <v>43766</v>
      </c>
      <c r="C129" s="1" t="n">
        <v>45635</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57813-2019</t>
        </is>
      </c>
      <c r="B130" s="1" t="n">
        <v>43768</v>
      </c>
      <c r="C130" s="1" t="n">
        <v>45635</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57821-2019</t>
        </is>
      </c>
      <c r="B131" s="1" t="n">
        <v>43768</v>
      </c>
      <c r="C131" s="1" t="n">
        <v>45635</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57820-2019</t>
        </is>
      </c>
      <c r="B132" s="1" t="n">
        <v>43768</v>
      </c>
      <c r="C132" s="1" t="n">
        <v>45635</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58491-2019</t>
        </is>
      </c>
      <c r="B133" s="1" t="n">
        <v>43773</v>
      </c>
      <c r="C133" s="1" t="n">
        <v>45635</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58558-2019</t>
        </is>
      </c>
      <c r="B134" s="1" t="n">
        <v>43773</v>
      </c>
      <c r="C134" s="1" t="n">
        <v>45635</v>
      </c>
      <c r="D134" t="inlineStr">
        <is>
          <t>UPPSALA LÄN</t>
        </is>
      </c>
      <c r="E134" t="inlineStr">
        <is>
          <t>ENKÖPING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60054-2019</t>
        </is>
      </c>
      <c r="B135" s="1" t="n">
        <v>43775</v>
      </c>
      <c r="C135" s="1" t="n">
        <v>45635</v>
      </c>
      <c r="D135" t="inlineStr">
        <is>
          <t>UPPSALA LÄN</t>
        </is>
      </c>
      <c r="E135" t="inlineStr">
        <is>
          <t>ENKÖPING</t>
        </is>
      </c>
      <c r="G135" t="n">
        <v>18.4</v>
      </c>
      <c r="H135" t="n">
        <v>0</v>
      </c>
      <c r="I135" t="n">
        <v>0</v>
      </c>
      <c r="J135" t="n">
        <v>0</v>
      </c>
      <c r="K135" t="n">
        <v>0</v>
      </c>
      <c r="L135" t="n">
        <v>0</v>
      </c>
      <c r="M135" t="n">
        <v>0</v>
      </c>
      <c r="N135" t="n">
        <v>0</v>
      </c>
      <c r="O135" t="n">
        <v>0</v>
      </c>
      <c r="P135" t="n">
        <v>0</v>
      </c>
      <c r="Q135" t="n">
        <v>0</v>
      </c>
      <c r="R135" s="2" t="inlineStr"/>
    </row>
    <row r="136" ht="15" customHeight="1">
      <c r="A136" t="inlineStr">
        <is>
          <t>A 59600-2019</t>
        </is>
      </c>
      <c r="B136" s="1" t="n">
        <v>43776</v>
      </c>
      <c r="C136" s="1" t="n">
        <v>45635</v>
      </c>
      <c r="D136" t="inlineStr">
        <is>
          <t>UPPSALA LÄN</t>
        </is>
      </c>
      <c r="E136" t="inlineStr">
        <is>
          <t>ENKÖPING</t>
        </is>
      </c>
      <c r="G136" t="n">
        <v>1.7</v>
      </c>
      <c r="H136" t="n">
        <v>0</v>
      </c>
      <c r="I136" t="n">
        <v>0</v>
      </c>
      <c r="J136" t="n">
        <v>0</v>
      </c>
      <c r="K136" t="n">
        <v>0</v>
      </c>
      <c r="L136" t="n">
        <v>0</v>
      </c>
      <c r="M136" t="n">
        <v>0</v>
      </c>
      <c r="N136" t="n">
        <v>0</v>
      </c>
      <c r="O136" t="n">
        <v>0</v>
      </c>
      <c r="P136" t="n">
        <v>0</v>
      </c>
      <c r="Q136" t="n">
        <v>0</v>
      </c>
      <c r="R136" s="2" t="inlineStr"/>
    </row>
    <row r="137" ht="15" customHeight="1">
      <c r="A137" t="inlineStr">
        <is>
          <t>A 60070-2019</t>
        </is>
      </c>
      <c r="B137" s="1" t="n">
        <v>43777</v>
      </c>
      <c r="C137" s="1" t="n">
        <v>45635</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60062-2019</t>
        </is>
      </c>
      <c r="B138" s="1" t="n">
        <v>43777</v>
      </c>
      <c r="C138" s="1" t="n">
        <v>45635</v>
      </c>
      <c r="D138" t="inlineStr">
        <is>
          <t>UPPSALA LÄN</t>
        </is>
      </c>
      <c r="E138" t="inlineStr">
        <is>
          <t>ENKÖPING</t>
        </is>
      </c>
      <c r="G138" t="n">
        <v>6.4</v>
      </c>
      <c r="H138" t="n">
        <v>0</v>
      </c>
      <c r="I138" t="n">
        <v>0</v>
      </c>
      <c r="J138" t="n">
        <v>0</v>
      </c>
      <c r="K138" t="n">
        <v>0</v>
      </c>
      <c r="L138" t="n">
        <v>0</v>
      </c>
      <c r="M138" t="n">
        <v>0</v>
      </c>
      <c r="N138" t="n">
        <v>0</v>
      </c>
      <c r="O138" t="n">
        <v>0</v>
      </c>
      <c r="P138" t="n">
        <v>0</v>
      </c>
      <c r="Q138" t="n">
        <v>0</v>
      </c>
      <c r="R138" s="2" t="inlineStr"/>
    </row>
    <row r="139" ht="15" customHeight="1">
      <c r="A139" t="inlineStr">
        <is>
          <t>A 61005-2019</t>
        </is>
      </c>
      <c r="B139" s="1" t="n">
        <v>43782</v>
      </c>
      <c r="C139" s="1" t="n">
        <v>45635</v>
      </c>
      <c r="D139" t="inlineStr">
        <is>
          <t>UPPSALA LÄN</t>
        </is>
      </c>
      <c r="E139" t="inlineStr">
        <is>
          <t>ENKÖPING</t>
        </is>
      </c>
      <c r="G139" t="n">
        <v>11.8</v>
      </c>
      <c r="H139" t="n">
        <v>0</v>
      </c>
      <c r="I139" t="n">
        <v>0</v>
      </c>
      <c r="J139" t="n">
        <v>0</v>
      </c>
      <c r="K139" t="n">
        <v>0</v>
      </c>
      <c r="L139" t="n">
        <v>0</v>
      </c>
      <c r="M139" t="n">
        <v>0</v>
      </c>
      <c r="N139" t="n">
        <v>0</v>
      </c>
      <c r="O139" t="n">
        <v>0</v>
      </c>
      <c r="P139" t="n">
        <v>0</v>
      </c>
      <c r="Q139" t="n">
        <v>0</v>
      </c>
      <c r="R139" s="2" t="inlineStr"/>
    </row>
    <row r="140" ht="15" customHeight="1">
      <c r="A140" t="inlineStr">
        <is>
          <t>A 62868-2019</t>
        </is>
      </c>
      <c r="B140" s="1" t="n">
        <v>43790</v>
      </c>
      <c r="C140" s="1" t="n">
        <v>45635</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65182-2019</t>
        </is>
      </c>
      <c r="B141" s="1" t="n">
        <v>43802</v>
      </c>
      <c r="C141" s="1" t="n">
        <v>45635</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66556-2019</t>
        </is>
      </c>
      <c r="B142" s="1" t="n">
        <v>43803</v>
      </c>
      <c r="C142" s="1" t="n">
        <v>45635</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66298-2019</t>
        </is>
      </c>
      <c r="B143" s="1" t="n">
        <v>43808</v>
      </c>
      <c r="C143" s="1" t="n">
        <v>45635</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67190-2019</t>
        </is>
      </c>
      <c r="B144" s="1" t="n">
        <v>43811</v>
      </c>
      <c r="C144" s="1" t="n">
        <v>45635</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67196-2019</t>
        </is>
      </c>
      <c r="B145" s="1" t="n">
        <v>43811</v>
      </c>
      <c r="C145" s="1" t="n">
        <v>45635</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67244-2019</t>
        </is>
      </c>
      <c r="B146" s="1" t="n">
        <v>43812</v>
      </c>
      <c r="C146" s="1" t="n">
        <v>45635</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67448-2019</t>
        </is>
      </c>
      <c r="B147" s="1" t="n">
        <v>43812</v>
      </c>
      <c r="C147" s="1" t="n">
        <v>45635</v>
      </c>
      <c r="D147" t="inlineStr">
        <is>
          <t>UPPSALA LÄN</t>
        </is>
      </c>
      <c r="E147" t="inlineStr">
        <is>
          <t>ENKÖPING</t>
        </is>
      </c>
      <c r="F147" t="inlineStr">
        <is>
          <t>Allmännings- och besparingsskogar</t>
        </is>
      </c>
      <c r="G147" t="n">
        <v>15.1</v>
      </c>
      <c r="H147" t="n">
        <v>0</v>
      </c>
      <c r="I147" t="n">
        <v>0</v>
      </c>
      <c r="J147" t="n">
        <v>0</v>
      </c>
      <c r="K147" t="n">
        <v>0</v>
      </c>
      <c r="L147" t="n">
        <v>0</v>
      </c>
      <c r="M147" t="n">
        <v>0</v>
      </c>
      <c r="N147" t="n">
        <v>0</v>
      </c>
      <c r="O147" t="n">
        <v>0</v>
      </c>
      <c r="P147" t="n">
        <v>0</v>
      </c>
      <c r="Q147" t="n">
        <v>0</v>
      </c>
      <c r="R147" s="2" t="inlineStr"/>
    </row>
    <row r="148" ht="15" customHeight="1">
      <c r="A148" t="inlineStr">
        <is>
          <t>A 68186-2019</t>
        </is>
      </c>
      <c r="B148" s="1" t="n">
        <v>43817</v>
      </c>
      <c r="C148" s="1" t="n">
        <v>45635</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68188-2019</t>
        </is>
      </c>
      <c r="B149" s="1" t="n">
        <v>43817</v>
      </c>
      <c r="C149" s="1" t="n">
        <v>45635</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69015-2019</t>
        </is>
      </c>
      <c r="B150" s="1" t="n">
        <v>43826</v>
      </c>
      <c r="C150" s="1" t="n">
        <v>45635</v>
      </c>
      <c r="D150" t="inlineStr">
        <is>
          <t>UPPSALA LÄN</t>
        </is>
      </c>
      <c r="E150" t="inlineStr">
        <is>
          <t>ENKÖPING</t>
        </is>
      </c>
      <c r="G150" t="n">
        <v>15.7</v>
      </c>
      <c r="H150" t="n">
        <v>0</v>
      </c>
      <c r="I150" t="n">
        <v>0</v>
      </c>
      <c r="J150" t="n">
        <v>0</v>
      </c>
      <c r="K150" t="n">
        <v>0</v>
      </c>
      <c r="L150" t="n">
        <v>0</v>
      </c>
      <c r="M150" t="n">
        <v>0</v>
      </c>
      <c r="N150" t="n">
        <v>0</v>
      </c>
      <c r="O150" t="n">
        <v>0</v>
      </c>
      <c r="P150" t="n">
        <v>0</v>
      </c>
      <c r="Q150" t="n">
        <v>0</v>
      </c>
      <c r="R150" s="2" t="inlineStr"/>
    </row>
    <row r="151" ht="15" customHeight="1">
      <c r="A151" t="inlineStr">
        <is>
          <t>A 69029-2019</t>
        </is>
      </c>
      <c r="B151" s="1" t="n">
        <v>43826</v>
      </c>
      <c r="C151" s="1" t="n">
        <v>45635</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69016-2019</t>
        </is>
      </c>
      <c r="B152" s="1" t="n">
        <v>43826</v>
      </c>
      <c r="C152" s="1" t="n">
        <v>45635</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69020-2019</t>
        </is>
      </c>
      <c r="B153" s="1" t="n">
        <v>43826</v>
      </c>
      <c r="C153" s="1" t="n">
        <v>45635</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38-2020</t>
        </is>
      </c>
      <c r="B154" s="1" t="n">
        <v>43832</v>
      </c>
      <c r="C154" s="1" t="n">
        <v>45635</v>
      </c>
      <c r="D154" t="inlineStr">
        <is>
          <t>UPPSALA LÄN</t>
        </is>
      </c>
      <c r="E154" t="inlineStr">
        <is>
          <t>ENKÖPING</t>
        </is>
      </c>
      <c r="G154" t="n">
        <v>1.7</v>
      </c>
      <c r="H154" t="n">
        <v>0</v>
      </c>
      <c r="I154" t="n">
        <v>0</v>
      </c>
      <c r="J154" t="n">
        <v>0</v>
      </c>
      <c r="K154" t="n">
        <v>0</v>
      </c>
      <c r="L154" t="n">
        <v>0</v>
      </c>
      <c r="M154" t="n">
        <v>0</v>
      </c>
      <c r="N154" t="n">
        <v>0</v>
      </c>
      <c r="O154" t="n">
        <v>0</v>
      </c>
      <c r="P154" t="n">
        <v>0</v>
      </c>
      <c r="Q154" t="n">
        <v>0</v>
      </c>
      <c r="R154" s="2" t="inlineStr"/>
    </row>
    <row r="155" ht="15" customHeight="1">
      <c r="A155" t="inlineStr">
        <is>
          <t>A 499-2020</t>
        </is>
      </c>
      <c r="B155" s="1" t="n">
        <v>43837</v>
      </c>
      <c r="C155" s="1" t="n">
        <v>45635</v>
      </c>
      <c r="D155" t="inlineStr">
        <is>
          <t>UPPSALA LÄN</t>
        </is>
      </c>
      <c r="E155" t="inlineStr">
        <is>
          <t>ENKÖPING</t>
        </is>
      </c>
      <c r="G155" t="n">
        <v>4.9</v>
      </c>
      <c r="H155" t="n">
        <v>0</v>
      </c>
      <c r="I155" t="n">
        <v>0</v>
      </c>
      <c r="J155" t="n">
        <v>0</v>
      </c>
      <c r="K155" t="n">
        <v>0</v>
      </c>
      <c r="L155" t="n">
        <v>0</v>
      </c>
      <c r="M155" t="n">
        <v>0</v>
      </c>
      <c r="N155" t="n">
        <v>0</v>
      </c>
      <c r="O155" t="n">
        <v>0</v>
      </c>
      <c r="P155" t="n">
        <v>0</v>
      </c>
      <c r="Q155" t="n">
        <v>0</v>
      </c>
      <c r="R155" s="2" t="inlineStr"/>
    </row>
    <row r="156" ht="15" customHeight="1">
      <c r="A156" t="inlineStr">
        <is>
          <t>A 724-2020</t>
        </is>
      </c>
      <c r="B156" s="1" t="n">
        <v>43838</v>
      </c>
      <c r="C156" s="1" t="n">
        <v>45635</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892-2020</t>
        </is>
      </c>
      <c r="B157" s="1" t="n">
        <v>43839</v>
      </c>
      <c r="C157" s="1" t="n">
        <v>45635</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1348-2020</t>
        </is>
      </c>
      <c r="B158" s="1" t="n">
        <v>43843</v>
      </c>
      <c r="C158" s="1" t="n">
        <v>45635</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2182-2020</t>
        </is>
      </c>
      <c r="B159" s="1" t="n">
        <v>43846</v>
      </c>
      <c r="C159" s="1" t="n">
        <v>45635</v>
      </c>
      <c r="D159" t="inlineStr">
        <is>
          <t>UPPSALA LÄN</t>
        </is>
      </c>
      <c r="E159" t="inlineStr">
        <is>
          <t>ENKÖPING</t>
        </is>
      </c>
      <c r="F159" t="inlineStr">
        <is>
          <t>Övriga statliga verk och myndigheter</t>
        </is>
      </c>
      <c r="G159" t="n">
        <v>7.7</v>
      </c>
      <c r="H159" t="n">
        <v>0</v>
      </c>
      <c r="I159" t="n">
        <v>0</v>
      </c>
      <c r="J159" t="n">
        <v>0</v>
      </c>
      <c r="K159" t="n">
        <v>0</v>
      </c>
      <c r="L159" t="n">
        <v>0</v>
      </c>
      <c r="M159" t="n">
        <v>0</v>
      </c>
      <c r="N159" t="n">
        <v>0</v>
      </c>
      <c r="O159" t="n">
        <v>0</v>
      </c>
      <c r="P159" t="n">
        <v>0</v>
      </c>
      <c r="Q159" t="n">
        <v>0</v>
      </c>
      <c r="R159" s="2" t="inlineStr"/>
    </row>
    <row r="160" ht="15" customHeight="1">
      <c r="A160" t="inlineStr">
        <is>
          <t>A 2205-2020</t>
        </is>
      </c>
      <c r="B160" s="1" t="n">
        <v>43846</v>
      </c>
      <c r="C160" s="1" t="n">
        <v>45635</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2177-2020</t>
        </is>
      </c>
      <c r="B161" s="1" t="n">
        <v>43846</v>
      </c>
      <c r="C161" s="1" t="n">
        <v>45635</v>
      </c>
      <c r="D161" t="inlineStr">
        <is>
          <t>UPPSALA LÄN</t>
        </is>
      </c>
      <c r="E161" t="inlineStr">
        <is>
          <t>ENKÖPING</t>
        </is>
      </c>
      <c r="F161" t="inlineStr">
        <is>
          <t>Övriga statliga verk och myndigheter</t>
        </is>
      </c>
      <c r="G161" t="n">
        <v>10.2</v>
      </c>
      <c r="H161" t="n">
        <v>0</v>
      </c>
      <c r="I161" t="n">
        <v>0</v>
      </c>
      <c r="J161" t="n">
        <v>0</v>
      </c>
      <c r="K161" t="n">
        <v>0</v>
      </c>
      <c r="L161" t="n">
        <v>0</v>
      </c>
      <c r="M161" t="n">
        <v>0</v>
      </c>
      <c r="N161" t="n">
        <v>0</v>
      </c>
      <c r="O161" t="n">
        <v>0</v>
      </c>
      <c r="P161" t="n">
        <v>0</v>
      </c>
      <c r="Q161" t="n">
        <v>0</v>
      </c>
      <c r="R161" s="2" t="inlineStr"/>
    </row>
    <row r="162" ht="15" customHeight="1">
      <c r="A162" t="inlineStr">
        <is>
          <t>A 2220-2020</t>
        </is>
      </c>
      <c r="B162" s="1" t="n">
        <v>43846</v>
      </c>
      <c r="C162" s="1" t="n">
        <v>45635</v>
      </c>
      <c r="D162" t="inlineStr">
        <is>
          <t>UPPSALA LÄN</t>
        </is>
      </c>
      <c r="E162" t="inlineStr">
        <is>
          <t>ENKÖPING</t>
        </is>
      </c>
      <c r="F162" t="inlineStr">
        <is>
          <t>Övriga statliga verk och myndigheter</t>
        </is>
      </c>
      <c r="G162" t="n">
        <v>11.8</v>
      </c>
      <c r="H162" t="n">
        <v>0</v>
      </c>
      <c r="I162" t="n">
        <v>0</v>
      </c>
      <c r="J162" t="n">
        <v>0</v>
      </c>
      <c r="K162" t="n">
        <v>0</v>
      </c>
      <c r="L162" t="n">
        <v>0</v>
      </c>
      <c r="M162" t="n">
        <v>0</v>
      </c>
      <c r="N162" t="n">
        <v>0</v>
      </c>
      <c r="O162" t="n">
        <v>0</v>
      </c>
      <c r="P162" t="n">
        <v>0</v>
      </c>
      <c r="Q162" t="n">
        <v>0</v>
      </c>
      <c r="R162" s="2" t="inlineStr"/>
    </row>
    <row r="163" ht="15" customHeight="1">
      <c r="A163" t="inlineStr">
        <is>
          <t>A 2186-2020</t>
        </is>
      </c>
      <c r="B163" s="1" t="n">
        <v>43846</v>
      </c>
      <c r="C163" s="1" t="n">
        <v>45635</v>
      </c>
      <c r="D163" t="inlineStr">
        <is>
          <t>UPPSALA LÄN</t>
        </is>
      </c>
      <c r="E163" t="inlineStr">
        <is>
          <t>ENKÖPING</t>
        </is>
      </c>
      <c r="F163" t="inlineStr">
        <is>
          <t>Övriga statliga verk och myndigheter</t>
        </is>
      </c>
      <c r="G163" t="n">
        <v>12.3</v>
      </c>
      <c r="H163" t="n">
        <v>0</v>
      </c>
      <c r="I163" t="n">
        <v>0</v>
      </c>
      <c r="J163" t="n">
        <v>0</v>
      </c>
      <c r="K163" t="n">
        <v>0</v>
      </c>
      <c r="L163" t="n">
        <v>0</v>
      </c>
      <c r="M163" t="n">
        <v>0</v>
      </c>
      <c r="N163" t="n">
        <v>0</v>
      </c>
      <c r="O163" t="n">
        <v>0</v>
      </c>
      <c r="P163" t="n">
        <v>0</v>
      </c>
      <c r="Q163" t="n">
        <v>0</v>
      </c>
      <c r="R163" s="2" t="inlineStr"/>
    </row>
    <row r="164" ht="15" customHeight="1">
      <c r="A164" t="inlineStr">
        <is>
          <t>A 2225-2020</t>
        </is>
      </c>
      <c r="B164" s="1" t="n">
        <v>43846</v>
      </c>
      <c r="C164" s="1" t="n">
        <v>45635</v>
      </c>
      <c r="D164" t="inlineStr">
        <is>
          <t>UPPSALA LÄN</t>
        </is>
      </c>
      <c r="E164" t="inlineStr">
        <is>
          <t>ENKÖPING</t>
        </is>
      </c>
      <c r="F164" t="inlineStr">
        <is>
          <t>Övriga statliga verk och myndigheter</t>
        </is>
      </c>
      <c r="G164" t="n">
        <v>5.2</v>
      </c>
      <c r="H164" t="n">
        <v>0</v>
      </c>
      <c r="I164" t="n">
        <v>0</v>
      </c>
      <c r="J164" t="n">
        <v>0</v>
      </c>
      <c r="K164" t="n">
        <v>0</v>
      </c>
      <c r="L164" t="n">
        <v>0</v>
      </c>
      <c r="M164" t="n">
        <v>0</v>
      </c>
      <c r="N164" t="n">
        <v>0</v>
      </c>
      <c r="O164" t="n">
        <v>0</v>
      </c>
      <c r="P164" t="n">
        <v>0</v>
      </c>
      <c r="Q164" t="n">
        <v>0</v>
      </c>
      <c r="R164" s="2" t="inlineStr"/>
    </row>
    <row r="165" ht="15" customHeight="1">
      <c r="A165" t="inlineStr">
        <is>
          <t>A 2217-2020</t>
        </is>
      </c>
      <c r="B165" s="1" t="n">
        <v>43846</v>
      </c>
      <c r="C165" s="1" t="n">
        <v>45635</v>
      </c>
      <c r="D165" t="inlineStr">
        <is>
          <t>UPPSALA LÄN</t>
        </is>
      </c>
      <c r="E165" t="inlineStr">
        <is>
          <t>ENKÖPING</t>
        </is>
      </c>
      <c r="F165" t="inlineStr">
        <is>
          <t>Övriga statliga verk och myndigheter</t>
        </is>
      </c>
      <c r="G165" t="n">
        <v>7.7</v>
      </c>
      <c r="H165" t="n">
        <v>0</v>
      </c>
      <c r="I165" t="n">
        <v>0</v>
      </c>
      <c r="J165" t="n">
        <v>0</v>
      </c>
      <c r="K165" t="n">
        <v>0</v>
      </c>
      <c r="L165" t="n">
        <v>0</v>
      </c>
      <c r="M165" t="n">
        <v>0</v>
      </c>
      <c r="N165" t="n">
        <v>0</v>
      </c>
      <c r="O165" t="n">
        <v>0</v>
      </c>
      <c r="P165" t="n">
        <v>0</v>
      </c>
      <c r="Q165" t="n">
        <v>0</v>
      </c>
      <c r="R165" s="2" t="inlineStr"/>
    </row>
    <row r="166" ht="15" customHeight="1">
      <c r="A166" t="inlineStr">
        <is>
          <t>A 2222-2020</t>
        </is>
      </c>
      <c r="B166" s="1" t="n">
        <v>43846</v>
      </c>
      <c r="C166" s="1" t="n">
        <v>45635</v>
      </c>
      <c r="D166" t="inlineStr">
        <is>
          <t>UPPSALA LÄN</t>
        </is>
      </c>
      <c r="E166" t="inlineStr">
        <is>
          <t>ENKÖPING</t>
        </is>
      </c>
      <c r="F166" t="inlineStr">
        <is>
          <t>Övriga statliga verk och myndigheter</t>
        </is>
      </c>
      <c r="G166" t="n">
        <v>3.3</v>
      </c>
      <c r="H166" t="n">
        <v>0</v>
      </c>
      <c r="I166" t="n">
        <v>0</v>
      </c>
      <c r="J166" t="n">
        <v>0</v>
      </c>
      <c r="K166" t="n">
        <v>0</v>
      </c>
      <c r="L166" t="n">
        <v>0</v>
      </c>
      <c r="M166" t="n">
        <v>0</v>
      </c>
      <c r="N166" t="n">
        <v>0</v>
      </c>
      <c r="O166" t="n">
        <v>0</v>
      </c>
      <c r="P166" t="n">
        <v>0</v>
      </c>
      <c r="Q166" t="n">
        <v>0</v>
      </c>
      <c r="R166" s="2" t="inlineStr"/>
    </row>
    <row r="167" ht="15" customHeight="1">
      <c r="A167" t="inlineStr">
        <is>
          <t>A 4073-2020</t>
        </is>
      </c>
      <c r="B167" s="1" t="n">
        <v>43857</v>
      </c>
      <c r="C167" s="1" t="n">
        <v>45635</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5032-2020</t>
        </is>
      </c>
      <c r="B168" s="1" t="n">
        <v>43859</v>
      </c>
      <c r="C168" s="1" t="n">
        <v>45635</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5345-2020</t>
        </is>
      </c>
      <c r="B169" s="1" t="n">
        <v>43860</v>
      </c>
      <c r="C169" s="1" t="n">
        <v>45635</v>
      </c>
      <c r="D169" t="inlineStr">
        <is>
          <t>UPPSALA LÄN</t>
        </is>
      </c>
      <c r="E169" t="inlineStr">
        <is>
          <t>ENKÖPING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5178-2020</t>
        </is>
      </c>
      <c r="B170" s="1" t="n">
        <v>43860</v>
      </c>
      <c r="C170" s="1" t="n">
        <v>45635</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6045-2020</t>
        </is>
      </c>
      <c r="B171" s="1" t="n">
        <v>43865</v>
      </c>
      <c r="C171" s="1" t="n">
        <v>45635</v>
      </c>
      <c r="D171" t="inlineStr">
        <is>
          <t>UPPSALA LÄN</t>
        </is>
      </c>
      <c r="E171" t="inlineStr">
        <is>
          <t>ENKÖPING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6320-2020</t>
        </is>
      </c>
      <c r="B172" s="1" t="n">
        <v>43866</v>
      </c>
      <c r="C172" s="1" t="n">
        <v>45635</v>
      </c>
      <c r="D172" t="inlineStr">
        <is>
          <t>UPPSALA LÄN</t>
        </is>
      </c>
      <c r="E172" t="inlineStr">
        <is>
          <t>ENKÖPING</t>
        </is>
      </c>
      <c r="F172" t="inlineStr">
        <is>
          <t>Övriga statliga verk och myndigheter</t>
        </is>
      </c>
      <c r="G172" t="n">
        <v>1.6</v>
      </c>
      <c r="H172" t="n">
        <v>0</v>
      </c>
      <c r="I172" t="n">
        <v>0</v>
      </c>
      <c r="J172" t="n">
        <v>0</v>
      </c>
      <c r="K172" t="n">
        <v>0</v>
      </c>
      <c r="L172" t="n">
        <v>0</v>
      </c>
      <c r="M172" t="n">
        <v>0</v>
      </c>
      <c r="N172" t="n">
        <v>0</v>
      </c>
      <c r="O172" t="n">
        <v>0</v>
      </c>
      <c r="P172" t="n">
        <v>0</v>
      </c>
      <c r="Q172" t="n">
        <v>0</v>
      </c>
      <c r="R172" s="2" t="inlineStr"/>
    </row>
    <row r="173" ht="15" customHeight="1">
      <c r="A173" t="inlineStr">
        <is>
          <t>A 6345-2020</t>
        </is>
      </c>
      <c r="B173" s="1" t="n">
        <v>43866</v>
      </c>
      <c r="C173" s="1" t="n">
        <v>45635</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6700-2020</t>
        </is>
      </c>
      <c r="B174" s="1" t="n">
        <v>43866</v>
      </c>
      <c r="C174" s="1" t="n">
        <v>45635</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6434-2020</t>
        </is>
      </c>
      <c r="B175" s="1" t="n">
        <v>43866</v>
      </c>
      <c r="C175" s="1" t="n">
        <v>45635</v>
      </c>
      <c r="D175" t="inlineStr">
        <is>
          <t>UPPSALA LÄN</t>
        </is>
      </c>
      <c r="E175" t="inlineStr">
        <is>
          <t>ENKÖPING</t>
        </is>
      </c>
      <c r="G175" t="n">
        <v>8.4</v>
      </c>
      <c r="H175" t="n">
        <v>0</v>
      </c>
      <c r="I175" t="n">
        <v>0</v>
      </c>
      <c r="J175" t="n">
        <v>0</v>
      </c>
      <c r="K175" t="n">
        <v>0</v>
      </c>
      <c r="L175" t="n">
        <v>0</v>
      </c>
      <c r="M175" t="n">
        <v>0</v>
      </c>
      <c r="N175" t="n">
        <v>0</v>
      </c>
      <c r="O175" t="n">
        <v>0</v>
      </c>
      <c r="P175" t="n">
        <v>0</v>
      </c>
      <c r="Q175" t="n">
        <v>0</v>
      </c>
      <c r="R175" s="2" t="inlineStr"/>
    </row>
    <row r="176" ht="15" customHeight="1">
      <c r="A176" t="inlineStr">
        <is>
          <t>A 6990-2020</t>
        </is>
      </c>
      <c r="B176" s="1" t="n">
        <v>43868</v>
      </c>
      <c r="C176" s="1" t="n">
        <v>45635</v>
      </c>
      <c r="D176" t="inlineStr">
        <is>
          <t>UPPSALA LÄN</t>
        </is>
      </c>
      <c r="E176" t="inlineStr">
        <is>
          <t>ENKÖPING</t>
        </is>
      </c>
      <c r="G176" t="n">
        <v>2.9</v>
      </c>
      <c r="H176" t="n">
        <v>0</v>
      </c>
      <c r="I176" t="n">
        <v>0</v>
      </c>
      <c r="J176" t="n">
        <v>0</v>
      </c>
      <c r="K176" t="n">
        <v>0</v>
      </c>
      <c r="L176" t="n">
        <v>0</v>
      </c>
      <c r="M176" t="n">
        <v>0</v>
      </c>
      <c r="N176" t="n">
        <v>0</v>
      </c>
      <c r="O176" t="n">
        <v>0</v>
      </c>
      <c r="P176" t="n">
        <v>0</v>
      </c>
      <c r="Q176" t="n">
        <v>0</v>
      </c>
      <c r="R176" s="2" t="inlineStr"/>
    </row>
    <row r="177" ht="15" customHeight="1">
      <c r="A177" t="inlineStr">
        <is>
          <t>A 8185-2020</t>
        </is>
      </c>
      <c r="B177" s="1" t="n">
        <v>43874</v>
      </c>
      <c r="C177" s="1" t="n">
        <v>45635</v>
      </c>
      <c r="D177" t="inlineStr">
        <is>
          <t>UPPSALA LÄN</t>
        </is>
      </c>
      <c r="E177" t="inlineStr">
        <is>
          <t>ENKÖPING</t>
        </is>
      </c>
      <c r="G177" t="n">
        <v>4.7</v>
      </c>
      <c r="H177" t="n">
        <v>0</v>
      </c>
      <c r="I177" t="n">
        <v>0</v>
      </c>
      <c r="J177" t="n">
        <v>0</v>
      </c>
      <c r="K177" t="n">
        <v>0</v>
      </c>
      <c r="L177" t="n">
        <v>0</v>
      </c>
      <c r="M177" t="n">
        <v>0</v>
      </c>
      <c r="N177" t="n">
        <v>0</v>
      </c>
      <c r="O177" t="n">
        <v>0</v>
      </c>
      <c r="P177" t="n">
        <v>0</v>
      </c>
      <c r="Q177" t="n">
        <v>0</v>
      </c>
      <c r="R177" s="2" t="inlineStr"/>
    </row>
    <row r="178" ht="15" customHeight="1">
      <c r="A178" t="inlineStr">
        <is>
          <t>A 8320-2020</t>
        </is>
      </c>
      <c r="B178" s="1" t="n">
        <v>43875</v>
      </c>
      <c r="C178" s="1" t="n">
        <v>45635</v>
      </c>
      <c r="D178" t="inlineStr">
        <is>
          <t>UPPSALA LÄN</t>
        </is>
      </c>
      <c r="E178" t="inlineStr">
        <is>
          <t>ENKÖPING</t>
        </is>
      </c>
      <c r="G178" t="n">
        <v>6.1</v>
      </c>
      <c r="H178" t="n">
        <v>0</v>
      </c>
      <c r="I178" t="n">
        <v>0</v>
      </c>
      <c r="J178" t="n">
        <v>0</v>
      </c>
      <c r="K178" t="n">
        <v>0</v>
      </c>
      <c r="L178" t="n">
        <v>0</v>
      </c>
      <c r="M178" t="n">
        <v>0</v>
      </c>
      <c r="N178" t="n">
        <v>0</v>
      </c>
      <c r="O178" t="n">
        <v>0</v>
      </c>
      <c r="P178" t="n">
        <v>0</v>
      </c>
      <c r="Q178" t="n">
        <v>0</v>
      </c>
      <c r="R178" s="2" t="inlineStr"/>
    </row>
    <row r="179" ht="15" customHeight="1">
      <c r="A179" t="inlineStr">
        <is>
          <t>A 8344-2020</t>
        </is>
      </c>
      <c r="B179" s="1" t="n">
        <v>43875</v>
      </c>
      <c r="C179" s="1" t="n">
        <v>45635</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8692-2020</t>
        </is>
      </c>
      <c r="B180" s="1" t="n">
        <v>43878</v>
      </c>
      <c r="C180" s="1" t="n">
        <v>45635</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8700-2020</t>
        </is>
      </c>
      <c r="B181" s="1" t="n">
        <v>43878</v>
      </c>
      <c r="C181" s="1" t="n">
        <v>45635</v>
      </c>
      <c r="D181" t="inlineStr">
        <is>
          <t>UPPSALA LÄN</t>
        </is>
      </c>
      <c r="E181" t="inlineStr">
        <is>
          <t>ENKÖPING</t>
        </is>
      </c>
      <c r="F181" t="inlineStr">
        <is>
          <t>Kyrkan</t>
        </is>
      </c>
      <c r="G181" t="n">
        <v>1.5</v>
      </c>
      <c r="H181" t="n">
        <v>0</v>
      </c>
      <c r="I181" t="n">
        <v>0</v>
      </c>
      <c r="J181" t="n">
        <v>0</v>
      </c>
      <c r="K181" t="n">
        <v>0</v>
      </c>
      <c r="L181" t="n">
        <v>0</v>
      </c>
      <c r="M181" t="n">
        <v>0</v>
      </c>
      <c r="N181" t="n">
        <v>0</v>
      </c>
      <c r="O181" t="n">
        <v>0</v>
      </c>
      <c r="P181" t="n">
        <v>0</v>
      </c>
      <c r="Q181" t="n">
        <v>0</v>
      </c>
      <c r="R181" s="2" t="inlineStr"/>
    </row>
    <row r="182" ht="15" customHeight="1">
      <c r="A182" t="inlineStr">
        <is>
          <t>A 9122-2020</t>
        </is>
      </c>
      <c r="B182" s="1" t="n">
        <v>43879</v>
      </c>
      <c r="C182" s="1" t="n">
        <v>45635</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9351-2020</t>
        </is>
      </c>
      <c r="B183" s="1" t="n">
        <v>43880</v>
      </c>
      <c r="C183" s="1" t="n">
        <v>45635</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9380-2020</t>
        </is>
      </c>
      <c r="B184" s="1" t="n">
        <v>43880</v>
      </c>
      <c r="C184" s="1" t="n">
        <v>45635</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10795-2020</t>
        </is>
      </c>
      <c r="B185" s="1" t="n">
        <v>43888</v>
      </c>
      <c r="C185" s="1" t="n">
        <v>45635</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11060-2020</t>
        </is>
      </c>
      <c r="B186" s="1" t="n">
        <v>43889</v>
      </c>
      <c r="C186" s="1" t="n">
        <v>45635</v>
      </c>
      <c r="D186" t="inlineStr">
        <is>
          <t>UPPSALA LÄN</t>
        </is>
      </c>
      <c r="E186" t="inlineStr">
        <is>
          <t>ENKÖPING</t>
        </is>
      </c>
      <c r="G186" t="n">
        <v>22.7</v>
      </c>
      <c r="H186" t="n">
        <v>0</v>
      </c>
      <c r="I186" t="n">
        <v>0</v>
      </c>
      <c r="J186" t="n">
        <v>0</v>
      </c>
      <c r="K186" t="n">
        <v>0</v>
      </c>
      <c r="L186" t="n">
        <v>0</v>
      </c>
      <c r="M186" t="n">
        <v>0</v>
      </c>
      <c r="N186" t="n">
        <v>0</v>
      </c>
      <c r="O186" t="n">
        <v>0</v>
      </c>
      <c r="P186" t="n">
        <v>0</v>
      </c>
      <c r="Q186" t="n">
        <v>0</v>
      </c>
      <c r="R186" s="2" t="inlineStr"/>
    </row>
    <row r="187" ht="15" customHeight="1">
      <c r="A187" t="inlineStr">
        <is>
          <t>A 11228-2020</t>
        </is>
      </c>
      <c r="B187" s="1" t="n">
        <v>43892</v>
      </c>
      <c r="C187" s="1" t="n">
        <v>45635</v>
      </c>
      <c r="D187" t="inlineStr">
        <is>
          <t>UPPSALA LÄN</t>
        </is>
      </c>
      <c r="E187" t="inlineStr">
        <is>
          <t>ENKÖPING</t>
        </is>
      </c>
      <c r="G187" t="n">
        <v>3.1</v>
      </c>
      <c r="H187" t="n">
        <v>0</v>
      </c>
      <c r="I187" t="n">
        <v>0</v>
      </c>
      <c r="J187" t="n">
        <v>0</v>
      </c>
      <c r="K187" t="n">
        <v>0</v>
      </c>
      <c r="L187" t="n">
        <v>0</v>
      </c>
      <c r="M187" t="n">
        <v>0</v>
      </c>
      <c r="N187" t="n">
        <v>0</v>
      </c>
      <c r="O187" t="n">
        <v>0</v>
      </c>
      <c r="P187" t="n">
        <v>0</v>
      </c>
      <c r="Q187" t="n">
        <v>0</v>
      </c>
      <c r="R187" s="2" t="inlineStr"/>
    </row>
    <row r="188" ht="15" customHeight="1">
      <c r="A188" t="inlineStr">
        <is>
          <t>A 12272-2020</t>
        </is>
      </c>
      <c r="B188" s="1" t="n">
        <v>43895</v>
      </c>
      <c r="C188" s="1" t="n">
        <v>45635</v>
      </c>
      <c r="D188" t="inlineStr">
        <is>
          <t>UPPSALA LÄN</t>
        </is>
      </c>
      <c r="E188" t="inlineStr">
        <is>
          <t>ENKÖPING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16320-2020</t>
        </is>
      </c>
      <c r="B189" s="1" t="n">
        <v>43917</v>
      </c>
      <c r="C189" s="1" t="n">
        <v>45635</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17888-2020</t>
        </is>
      </c>
      <c r="B190" s="1" t="n">
        <v>43924</v>
      </c>
      <c r="C190" s="1" t="n">
        <v>45635</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18101-2020</t>
        </is>
      </c>
      <c r="B191" s="1" t="n">
        <v>43927</v>
      </c>
      <c r="C191" s="1" t="n">
        <v>45635</v>
      </c>
      <c r="D191" t="inlineStr">
        <is>
          <t>UPPSALA LÄN</t>
        </is>
      </c>
      <c r="E191" t="inlineStr">
        <is>
          <t>ENKÖPING</t>
        </is>
      </c>
      <c r="G191" t="n">
        <v>0.4</v>
      </c>
      <c r="H191" t="n">
        <v>0</v>
      </c>
      <c r="I191" t="n">
        <v>0</v>
      </c>
      <c r="J191" t="n">
        <v>0</v>
      </c>
      <c r="K191" t="n">
        <v>0</v>
      </c>
      <c r="L191" t="n">
        <v>0</v>
      </c>
      <c r="M191" t="n">
        <v>0</v>
      </c>
      <c r="N191" t="n">
        <v>0</v>
      </c>
      <c r="O191" t="n">
        <v>0</v>
      </c>
      <c r="P191" t="n">
        <v>0</v>
      </c>
      <c r="Q191" t="n">
        <v>0</v>
      </c>
      <c r="R191" s="2" t="inlineStr"/>
    </row>
    <row r="192" ht="15" customHeight="1">
      <c r="A192" t="inlineStr">
        <is>
          <t>A 18097-2020</t>
        </is>
      </c>
      <c r="B192" s="1" t="n">
        <v>43927</v>
      </c>
      <c r="C192" s="1" t="n">
        <v>45635</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18489-2020</t>
        </is>
      </c>
      <c r="B193" s="1" t="n">
        <v>43929</v>
      </c>
      <c r="C193" s="1" t="n">
        <v>45635</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18486-2020</t>
        </is>
      </c>
      <c r="B194" s="1" t="n">
        <v>43929</v>
      </c>
      <c r="C194" s="1" t="n">
        <v>45635</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19499-2020</t>
        </is>
      </c>
      <c r="B195" s="1" t="n">
        <v>43938</v>
      </c>
      <c r="C195" s="1" t="n">
        <v>45635</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19463-2020</t>
        </is>
      </c>
      <c r="B196" s="1" t="n">
        <v>43938</v>
      </c>
      <c r="C196" s="1" t="n">
        <v>45635</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20286-2020</t>
        </is>
      </c>
      <c r="B197" s="1" t="n">
        <v>43945</v>
      </c>
      <c r="C197" s="1" t="n">
        <v>45635</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20552-2020</t>
        </is>
      </c>
      <c r="B198" s="1" t="n">
        <v>43948</v>
      </c>
      <c r="C198" s="1" t="n">
        <v>45635</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21573-2020</t>
        </is>
      </c>
      <c r="B199" s="1" t="n">
        <v>43956</v>
      </c>
      <c r="C199" s="1" t="n">
        <v>45635</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21651-2020</t>
        </is>
      </c>
      <c r="B200" s="1" t="n">
        <v>43957</v>
      </c>
      <c r="C200" s="1" t="n">
        <v>45635</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21666-2020</t>
        </is>
      </c>
      <c r="B201" s="1" t="n">
        <v>43957</v>
      </c>
      <c r="C201" s="1" t="n">
        <v>45635</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21896-2020</t>
        </is>
      </c>
      <c r="B202" s="1" t="n">
        <v>43958</v>
      </c>
      <c r="C202" s="1" t="n">
        <v>45635</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22772-2020</t>
        </is>
      </c>
      <c r="B203" s="1" t="n">
        <v>43964</v>
      </c>
      <c r="C203" s="1" t="n">
        <v>45635</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22816-2020</t>
        </is>
      </c>
      <c r="B204" s="1" t="n">
        <v>43964</v>
      </c>
      <c r="C204" s="1" t="n">
        <v>45635</v>
      </c>
      <c r="D204" t="inlineStr">
        <is>
          <t>UPPSALA LÄN</t>
        </is>
      </c>
      <c r="E204" t="inlineStr">
        <is>
          <t>ENKÖPING</t>
        </is>
      </c>
      <c r="G204" t="n">
        <v>3.3</v>
      </c>
      <c r="H204" t="n">
        <v>0</v>
      </c>
      <c r="I204" t="n">
        <v>0</v>
      </c>
      <c r="J204" t="n">
        <v>0</v>
      </c>
      <c r="K204" t="n">
        <v>0</v>
      </c>
      <c r="L204" t="n">
        <v>0</v>
      </c>
      <c r="M204" t="n">
        <v>0</v>
      </c>
      <c r="N204" t="n">
        <v>0</v>
      </c>
      <c r="O204" t="n">
        <v>0</v>
      </c>
      <c r="P204" t="n">
        <v>0</v>
      </c>
      <c r="Q204" t="n">
        <v>0</v>
      </c>
      <c r="R204" s="2" t="inlineStr"/>
    </row>
    <row r="205" ht="15" customHeight="1">
      <c r="A205" t="inlineStr">
        <is>
          <t>A 22970-2020</t>
        </is>
      </c>
      <c r="B205" s="1" t="n">
        <v>43965</v>
      </c>
      <c r="C205" s="1" t="n">
        <v>45635</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23782-2020</t>
        </is>
      </c>
      <c r="B206" s="1" t="n">
        <v>43970</v>
      </c>
      <c r="C206" s="1" t="n">
        <v>45635</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23809-2020</t>
        </is>
      </c>
      <c r="B207" s="1" t="n">
        <v>43970</v>
      </c>
      <c r="C207" s="1" t="n">
        <v>45635</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23808-2020</t>
        </is>
      </c>
      <c r="B208" s="1" t="n">
        <v>43970</v>
      </c>
      <c r="C208" s="1" t="n">
        <v>45635</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24476-2020</t>
        </is>
      </c>
      <c r="B209" s="1" t="n">
        <v>43977</v>
      </c>
      <c r="C209" s="1" t="n">
        <v>45635</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24496-2020</t>
        </is>
      </c>
      <c r="B210" s="1" t="n">
        <v>43977</v>
      </c>
      <c r="C210" s="1" t="n">
        <v>45635</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25081-2020</t>
        </is>
      </c>
      <c r="B211" s="1" t="n">
        <v>43979</v>
      </c>
      <c r="C211" s="1" t="n">
        <v>45635</v>
      </c>
      <c r="D211" t="inlineStr">
        <is>
          <t>UPPSALA LÄN</t>
        </is>
      </c>
      <c r="E211" t="inlineStr">
        <is>
          <t>ENKÖPING</t>
        </is>
      </c>
      <c r="G211" t="n">
        <v>5.5</v>
      </c>
      <c r="H211" t="n">
        <v>0</v>
      </c>
      <c r="I211" t="n">
        <v>0</v>
      </c>
      <c r="J211" t="n">
        <v>0</v>
      </c>
      <c r="K211" t="n">
        <v>0</v>
      </c>
      <c r="L211" t="n">
        <v>0</v>
      </c>
      <c r="M211" t="n">
        <v>0</v>
      </c>
      <c r="N211" t="n">
        <v>0</v>
      </c>
      <c r="O211" t="n">
        <v>0</v>
      </c>
      <c r="P211" t="n">
        <v>0</v>
      </c>
      <c r="Q211" t="n">
        <v>0</v>
      </c>
      <c r="R211" s="2" t="inlineStr"/>
    </row>
    <row r="212" ht="15" customHeight="1">
      <c r="A212" t="inlineStr">
        <is>
          <t>A 25895-2020</t>
        </is>
      </c>
      <c r="B212" s="1" t="n">
        <v>43984</v>
      </c>
      <c r="C212" s="1" t="n">
        <v>45635</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26032-2020</t>
        </is>
      </c>
      <c r="B213" s="1" t="n">
        <v>43985</v>
      </c>
      <c r="C213" s="1" t="n">
        <v>45635</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26151-2020</t>
        </is>
      </c>
      <c r="B214" s="1" t="n">
        <v>43985</v>
      </c>
      <c r="C214" s="1" t="n">
        <v>45635</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26860-2020</t>
        </is>
      </c>
      <c r="B215" s="1" t="n">
        <v>43990</v>
      </c>
      <c r="C215" s="1" t="n">
        <v>45635</v>
      </c>
      <c r="D215" t="inlineStr">
        <is>
          <t>UPPSALA LÄN</t>
        </is>
      </c>
      <c r="E215" t="inlineStr">
        <is>
          <t>ENKÖPING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28799-2020</t>
        </is>
      </c>
      <c r="B216" s="1" t="n">
        <v>44000</v>
      </c>
      <c r="C216" s="1" t="n">
        <v>45635</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28801-2020</t>
        </is>
      </c>
      <c r="B217" s="1" t="n">
        <v>44000</v>
      </c>
      <c r="C217" s="1" t="n">
        <v>45635</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29934-2020</t>
        </is>
      </c>
      <c r="B218" s="1" t="n">
        <v>44006</v>
      </c>
      <c r="C218" s="1" t="n">
        <v>45635</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29948-2020</t>
        </is>
      </c>
      <c r="B219" s="1" t="n">
        <v>44006</v>
      </c>
      <c r="C219" s="1" t="n">
        <v>45635</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30280-2020</t>
        </is>
      </c>
      <c r="B220" s="1" t="n">
        <v>44007</v>
      </c>
      <c r="C220" s="1" t="n">
        <v>45635</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30571-2020</t>
        </is>
      </c>
      <c r="B221" s="1" t="n">
        <v>44008</v>
      </c>
      <c r="C221" s="1" t="n">
        <v>45635</v>
      </c>
      <c r="D221" t="inlineStr">
        <is>
          <t>UPPSALA LÄN</t>
        </is>
      </c>
      <c r="E221" t="inlineStr">
        <is>
          <t>ENKÖPING</t>
        </is>
      </c>
      <c r="G221" t="n">
        <v>8.9</v>
      </c>
      <c r="H221" t="n">
        <v>0</v>
      </c>
      <c r="I221" t="n">
        <v>0</v>
      </c>
      <c r="J221" t="n">
        <v>0</v>
      </c>
      <c r="K221" t="n">
        <v>0</v>
      </c>
      <c r="L221" t="n">
        <v>0</v>
      </c>
      <c r="M221" t="n">
        <v>0</v>
      </c>
      <c r="N221" t="n">
        <v>0</v>
      </c>
      <c r="O221" t="n">
        <v>0</v>
      </c>
      <c r="P221" t="n">
        <v>0</v>
      </c>
      <c r="Q221" t="n">
        <v>0</v>
      </c>
      <c r="R221" s="2" t="inlineStr"/>
    </row>
    <row r="222" ht="15" customHeight="1">
      <c r="A222" t="inlineStr">
        <is>
          <t>A 31472-2020</t>
        </is>
      </c>
      <c r="B222" s="1" t="n">
        <v>44013</v>
      </c>
      <c r="C222" s="1" t="n">
        <v>45635</v>
      </c>
      <c r="D222" t="inlineStr">
        <is>
          <t>UPPSALA LÄN</t>
        </is>
      </c>
      <c r="E222" t="inlineStr">
        <is>
          <t>ENKÖPING</t>
        </is>
      </c>
      <c r="F222" t="inlineStr">
        <is>
          <t>Kyrkan</t>
        </is>
      </c>
      <c r="G222" t="n">
        <v>0.9</v>
      </c>
      <c r="H222" t="n">
        <v>0</v>
      </c>
      <c r="I222" t="n">
        <v>0</v>
      </c>
      <c r="J222" t="n">
        <v>0</v>
      </c>
      <c r="K222" t="n">
        <v>0</v>
      </c>
      <c r="L222" t="n">
        <v>0</v>
      </c>
      <c r="M222" t="n">
        <v>0</v>
      </c>
      <c r="N222" t="n">
        <v>0</v>
      </c>
      <c r="O222" t="n">
        <v>0</v>
      </c>
      <c r="P222" t="n">
        <v>0</v>
      </c>
      <c r="Q222" t="n">
        <v>0</v>
      </c>
      <c r="R222" s="2" t="inlineStr"/>
    </row>
    <row r="223" ht="15" customHeight="1">
      <c r="A223" t="inlineStr">
        <is>
          <t>A 31473-2020</t>
        </is>
      </c>
      <c r="B223" s="1" t="n">
        <v>44013</v>
      </c>
      <c r="C223" s="1" t="n">
        <v>45635</v>
      </c>
      <c r="D223" t="inlineStr">
        <is>
          <t>UPPSALA LÄN</t>
        </is>
      </c>
      <c r="E223" t="inlineStr">
        <is>
          <t>ENKÖPING</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32209-2020</t>
        </is>
      </c>
      <c r="B224" s="1" t="n">
        <v>44015</v>
      </c>
      <c r="C224" s="1" t="n">
        <v>45635</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32047-2020</t>
        </is>
      </c>
      <c r="B225" s="1" t="n">
        <v>44015</v>
      </c>
      <c r="C225" s="1" t="n">
        <v>45635</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32454-2020</t>
        </is>
      </c>
      <c r="B226" s="1" t="n">
        <v>44018</v>
      </c>
      <c r="C226" s="1" t="n">
        <v>45635</v>
      </c>
      <c r="D226" t="inlineStr">
        <is>
          <t>UPPSALA LÄN</t>
        </is>
      </c>
      <c r="E226" t="inlineStr">
        <is>
          <t>ENKÖPING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32497-2020</t>
        </is>
      </c>
      <c r="B227" s="1" t="n">
        <v>44018</v>
      </c>
      <c r="C227" s="1" t="n">
        <v>45635</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33585-2020</t>
        </is>
      </c>
      <c r="B228" s="1" t="n">
        <v>44022</v>
      </c>
      <c r="C228" s="1" t="n">
        <v>45635</v>
      </c>
      <c r="D228" t="inlineStr">
        <is>
          <t>UPPSALA LÄN</t>
        </is>
      </c>
      <c r="E228" t="inlineStr">
        <is>
          <t>ENKÖPING</t>
        </is>
      </c>
      <c r="G228" t="n">
        <v>2.9</v>
      </c>
      <c r="H228" t="n">
        <v>0</v>
      </c>
      <c r="I228" t="n">
        <v>0</v>
      </c>
      <c r="J228" t="n">
        <v>0</v>
      </c>
      <c r="K228" t="n">
        <v>0</v>
      </c>
      <c r="L228" t="n">
        <v>0</v>
      </c>
      <c r="M228" t="n">
        <v>0</v>
      </c>
      <c r="N228" t="n">
        <v>0</v>
      </c>
      <c r="O228" t="n">
        <v>0</v>
      </c>
      <c r="P228" t="n">
        <v>0</v>
      </c>
      <c r="Q228" t="n">
        <v>0</v>
      </c>
      <c r="R228" s="2" t="inlineStr"/>
    </row>
    <row r="229" ht="15" customHeight="1">
      <c r="A229" t="inlineStr">
        <is>
          <t>A 37738-2020</t>
        </is>
      </c>
      <c r="B229" s="1" t="n">
        <v>44056</v>
      </c>
      <c r="C229" s="1" t="n">
        <v>45635</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39935-2020</t>
        </is>
      </c>
      <c r="B230" s="1" t="n">
        <v>44067</v>
      </c>
      <c r="C230" s="1" t="n">
        <v>45635</v>
      </c>
      <c r="D230" t="inlineStr">
        <is>
          <t>UPPSALA LÄN</t>
        </is>
      </c>
      <c r="E230" t="inlineStr">
        <is>
          <t>ENKÖPING</t>
        </is>
      </c>
      <c r="G230" t="n">
        <v>4.2</v>
      </c>
      <c r="H230" t="n">
        <v>0</v>
      </c>
      <c r="I230" t="n">
        <v>0</v>
      </c>
      <c r="J230" t="n">
        <v>0</v>
      </c>
      <c r="K230" t="n">
        <v>0</v>
      </c>
      <c r="L230" t="n">
        <v>0</v>
      </c>
      <c r="M230" t="n">
        <v>0</v>
      </c>
      <c r="N230" t="n">
        <v>0</v>
      </c>
      <c r="O230" t="n">
        <v>0</v>
      </c>
      <c r="P230" t="n">
        <v>0</v>
      </c>
      <c r="Q230" t="n">
        <v>0</v>
      </c>
      <c r="R230" s="2" t="inlineStr"/>
    </row>
    <row r="231" ht="15" customHeight="1">
      <c r="A231" t="inlineStr">
        <is>
          <t>A 45378-2020</t>
        </is>
      </c>
      <c r="B231" s="1" t="n">
        <v>44089</v>
      </c>
      <c r="C231" s="1" t="n">
        <v>45635</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46593-2020</t>
        </is>
      </c>
      <c r="B232" s="1" t="n">
        <v>44095</v>
      </c>
      <c r="C232" s="1" t="n">
        <v>45635</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48362-2020</t>
        </is>
      </c>
      <c r="B233" s="1" t="n">
        <v>44102</v>
      </c>
      <c r="C233" s="1" t="n">
        <v>45635</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48484-2020</t>
        </is>
      </c>
      <c r="B234" s="1" t="n">
        <v>44103</v>
      </c>
      <c r="C234" s="1" t="n">
        <v>45635</v>
      </c>
      <c r="D234" t="inlineStr">
        <is>
          <t>UPPSALA LÄN</t>
        </is>
      </c>
      <c r="E234" t="inlineStr">
        <is>
          <t>ENKÖPING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51400-2020</t>
        </is>
      </c>
      <c r="B235" s="1" t="n">
        <v>44106</v>
      </c>
      <c r="C235" s="1" t="n">
        <v>45635</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51092-2020</t>
        </is>
      </c>
      <c r="B236" s="1" t="n">
        <v>44112</v>
      </c>
      <c r="C236" s="1" t="n">
        <v>45635</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51091-2020</t>
        </is>
      </c>
      <c r="B237" s="1" t="n">
        <v>44112</v>
      </c>
      <c r="C237" s="1" t="n">
        <v>45635</v>
      </c>
      <c r="D237" t="inlineStr">
        <is>
          <t>UPPSALA LÄN</t>
        </is>
      </c>
      <c r="E237" t="inlineStr">
        <is>
          <t>ENKÖPING</t>
        </is>
      </c>
      <c r="G237" t="n">
        <v>3.6</v>
      </c>
      <c r="H237" t="n">
        <v>0</v>
      </c>
      <c r="I237" t="n">
        <v>0</v>
      </c>
      <c r="J237" t="n">
        <v>0</v>
      </c>
      <c r="K237" t="n">
        <v>0</v>
      </c>
      <c r="L237" t="n">
        <v>0</v>
      </c>
      <c r="M237" t="n">
        <v>0</v>
      </c>
      <c r="N237" t="n">
        <v>0</v>
      </c>
      <c r="O237" t="n">
        <v>0</v>
      </c>
      <c r="P237" t="n">
        <v>0</v>
      </c>
      <c r="Q237" t="n">
        <v>0</v>
      </c>
      <c r="R237" s="2" t="inlineStr"/>
    </row>
    <row r="238" ht="15" customHeight="1">
      <c r="A238" t="inlineStr">
        <is>
          <t>A 52308-2020</t>
        </is>
      </c>
      <c r="B238" s="1" t="n">
        <v>44117</v>
      </c>
      <c r="C238" s="1" t="n">
        <v>45635</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52102-2020</t>
        </is>
      </c>
      <c r="B239" s="1" t="n">
        <v>44117</v>
      </c>
      <c r="C239" s="1" t="n">
        <v>45635</v>
      </c>
      <c r="D239" t="inlineStr">
        <is>
          <t>UPPSALA LÄN</t>
        </is>
      </c>
      <c r="E239" t="inlineStr">
        <is>
          <t>ENKÖPING</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52169-2020</t>
        </is>
      </c>
      <c r="B240" s="1" t="n">
        <v>44117</v>
      </c>
      <c r="C240" s="1" t="n">
        <v>45635</v>
      </c>
      <c r="D240" t="inlineStr">
        <is>
          <t>UPPSALA LÄN</t>
        </is>
      </c>
      <c r="E240" t="inlineStr">
        <is>
          <t>ENKÖPING</t>
        </is>
      </c>
      <c r="F240" t="inlineStr">
        <is>
          <t>Allmännings- och besparingsskogar</t>
        </is>
      </c>
      <c r="G240" t="n">
        <v>1.5</v>
      </c>
      <c r="H240" t="n">
        <v>0</v>
      </c>
      <c r="I240" t="n">
        <v>0</v>
      </c>
      <c r="J240" t="n">
        <v>0</v>
      </c>
      <c r="K240" t="n">
        <v>0</v>
      </c>
      <c r="L240" t="n">
        <v>0</v>
      </c>
      <c r="M240" t="n">
        <v>0</v>
      </c>
      <c r="N240" t="n">
        <v>0</v>
      </c>
      <c r="O240" t="n">
        <v>0</v>
      </c>
      <c r="P240" t="n">
        <v>0</v>
      </c>
      <c r="Q240" t="n">
        <v>0</v>
      </c>
      <c r="R240" s="2" t="inlineStr"/>
    </row>
    <row r="241" ht="15" customHeight="1">
      <c r="A241" t="inlineStr">
        <is>
          <t>A 52223-2020</t>
        </is>
      </c>
      <c r="B241" s="1" t="n">
        <v>44117</v>
      </c>
      <c r="C241" s="1" t="n">
        <v>45635</v>
      </c>
      <c r="D241" t="inlineStr">
        <is>
          <t>UPPSALA LÄN</t>
        </is>
      </c>
      <c r="E241" t="inlineStr">
        <is>
          <t>ENKÖPING</t>
        </is>
      </c>
      <c r="G241" t="n">
        <v>5.8</v>
      </c>
      <c r="H241" t="n">
        <v>0</v>
      </c>
      <c r="I241" t="n">
        <v>0</v>
      </c>
      <c r="J241" t="n">
        <v>0</v>
      </c>
      <c r="K241" t="n">
        <v>0</v>
      </c>
      <c r="L241" t="n">
        <v>0</v>
      </c>
      <c r="M241" t="n">
        <v>0</v>
      </c>
      <c r="N241" t="n">
        <v>0</v>
      </c>
      <c r="O241" t="n">
        <v>0</v>
      </c>
      <c r="P241" t="n">
        <v>0</v>
      </c>
      <c r="Q241" t="n">
        <v>0</v>
      </c>
      <c r="R241" s="2" t="inlineStr"/>
    </row>
    <row r="242" ht="15" customHeight="1">
      <c r="A242" t="inlineStr">
        <is>
          <t>A 52464-2020</t>
        </is>
      </c>
      <c r="B242" s="1" t="n">
        <v>44118</v>
      </c>
      <c r="C242" s="1" t="n">
        <v>45635</v>
      </c>
      <c r="D242" t="inlineStr">
        <is>
          <t>UPPSALA LÄN</t>
        </is>
      </c>
      <c r="E242" t="inlineStr">
        <is>
          <t>ENKÖPING</t>
        </is>
      </c>
      <c r="G242" t="n">
        <v>4.6</v>
      </c>
      <c r="H242" t="n">
        <v>0</v>
      </c>
      <c r="I242" t="n">
        <v>0</v>
      </c>
      <c r="J242" t="n">
        <v>0</v>
      </c>
      <c r="K242" t="n">
        <v>0</v>
      </c>
      <c r="L242" t="n">
        <v>0</v>
      </c>
      <c r="M242" t="n">
        <v>0</v>
      </c>
      <c r="N242" t="n">
        <v>0</v>
      </c>
      <c r="O242" t="n">
        <v>0</v>
      </c>
      <c r="P242" t="n">
        <v>0</v>
      </c>
      <c r="Q242" t="n">
        <v>0</v>
      </c>
      <c r="R242" s="2" t="inlineStr"/>
    </row>
    <row r="243" ht="15" customHeight="1">
      <c r="A243" t="inlineStr">
        <is>
          <t>A 53149-2020</t>
        </is>
      </c>
      <c r="B243" s="1" t="n">
        <v>44120</v>
      </c>
      <c r="C243" s="1" t="n">
        <v>45635</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53338-2020</t>
        </is>
      </c>
      <c r="B244" s="1" t="n">
        <v>44123</v>
      </c>
      <c r="C244" s="1" t="n">
        <v>45635</v>
      </c>
      <c r="D244" t="inlineStr">
        <is>
          <t>UPPSALA LÄN</t>
        </is>
      </c>
      <c r="E244" t="inlineStr">
        <is>
          <t>ENKÖPING</t>
        </is>
      </c>
      <c r="G244" t="n">
        <v>12.1</v>
      </c>
      <c r="H244" t="n">
        <v>0</v>
      </c>
      <c r="I244" t="n">
        <v>0</v>
      </c>
      <c r="J244" t="n">
        <v>0</v>
      </c>
      <c r="K244" t="n">
        <v>0</v>
      </c>
      <c r="L244" t="n">
        <v>0</v>
      </c>
      <c r="M244" t="n">
        <v>0</v>
      </c>
      <c r="N244" t="n">
        <v>0</v>
      </c>
      <c r="O244" t="n">
        <v>0</v>
      </c>
      <c r="P244" t="n">
        <v>0</v>
      </c>
      <c r="Q244" t="n">
        <v>0</v>
      </c>
      <c r="R244" s="2" t="inlineStr"/>
    </row>
    <row r="245" ht="15" customHeight="1">
      <c r="A245" t="inlineStr">
        <is>
          <t>A 53352-2020</t>
        </is>
      </c>
      <c r="B245" s="1" t="n">
        <v>44123</v>
      </c>
      <c r="C245" s="1" t="n">
        <v>45635</v>
      </c>
      <c r="D245" t="inlineStr">
        <is>
          <t>UPPSALA LÄN</t>
        </is>
      </c>
      <c r="E245" t="inlineStr">
        <is>
          <t>ENKÖPING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53343-2020</t>
        </is>
      </c>
      <c r="B246" s="1" t="n">
        <v>44123</v>
      </c>
      <c r="C246" s="1" t="n">
        <v>45635</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53337-2020</t>
        </is>
      </c>
      <c r="B247" s="1" t="n">
        <v>44123</v>
      </c>
      <c r="C247" s="1" t="n">
        <v>45635</v>
      </c>
      <c r="D247" t="inlineStr">
        <is>
          <t>UPPSALA LÄN</t>
        </is>
      </c>
      <c r="E247" t="inlineStr">
        <is>
          <t>ENKÖPING</t>
        </is>
      </c>
      <c r="G247" t="n">
        <v>6.4</v>
      </c>
      <c r="H247" t="n">
        <v>0</v>
      </c>
      <c r="I247" t="n">
        <v>0</v>
      </c>
      <c r="J247" t="n">
        <v>0</v>
      </c>
      <c r="K247" t="n">
        <v>0</v>
      </c>
      <c r="L247" t="n">
        <v>0</v>
      </c>
      <c r="M247" t="n">
        <v>0</v>
      </c>
      <c r="N247" t="n">
        <v>0</v>
      </c>
      <c r="O247" t="n">
        <v>0</v>
      </c>
      <c r="P247" t="n">
        <v>0</v>
      </c>
      <c r="Q247" t="n">
        <v>0</v>
      </c>
      <c r="R247" s="2" t="inlineStr"/>
    </row>
    <row r="248" ht="15" customHeight="1">
      <c r="A248" t="inlineStr">
        <is>
          <t>A 53344-2020</t>
        </is>
      </c>
      <c r="B248" s="1" t="n">
        <v>44123</v>
      </c>
      <c r="C248" s="1" t="n">
        <v>45635</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55051-2020</t>
        </is>
      </c>
      <c r="B249" s="1" t="n">
        <v>44130</v>
      </c>
      <c r="C249" s="1" t="n">
        <v>45635</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56919-2020</t>
        </is>
      </c>
      <c r="B250" s="1" t="n">
        <v>44138</v>
      </c>
      <c r="C250" s="1" t="n">
        <v>45635</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57802-2020</t>
        </is>
      </c>
      <c r="B251" s="1" t="n">
        <v>44141</v>
      </c>
      <c r="C251" s="1" t="n">
        <v>45635</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58062-2020</t>
        </is>
      </c>
      <c r="B252" s="1" t="n">
        <v>44144</v>
      </c>
      <c r="C252" s="1" t="n">
        <v>45635</v>
      </c>
      <c r="D252" t="inlineStr">
        <is>
          <t>UPPSALA LÄN</t>
        </is>
      </c>
      <c r="E252" t="inlineStr">
        <is>
          <t>ENKÖPING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58896-2020</t>
        </is>
      </c>
      <c r="B253" s="1" t="n">
        <v>44146</v>
      </c>
      <c r="C253" s="1" t="n">
        <v>45635</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58798-2020</t>
        </is>
      </c>
      <c r="B254" s="1" t="n">
        <v>44146</v>
      </c>
      <c r="C254" s="1" t="n">
        <v>45635</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59132-2020</t>
        </is>
      </c>
      <c r="B255" s="1" t="n">
        <v>44147</v>
      </c>
      <c r="C255" s="1" t="n">
        <v>45635</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59441-2020</t>
        </is>
      </c>
      <c r="B256" s="1" t="n">
        <v>44148</v>
      </c>
      <c r="C256" s="1" t="n">
        <v>45635</v>
      </c>
      <c r="D256" t="inlineStr">
        <is>
          <t>UPPSALA LÄN</t>
        </is>
      </c>
      <c r="E256" t="inlineStr">
        <is>
          <t>ENKÖPING</t>
        </is>
      </c>
      <c r="G256" t="n">
        <v>4.8</v>
      </c>
      <c r="H256" t="n">
        <v>0</v>
      </c>
      <c r="I256" t="n">
        <v>0</v>
      </c>
      <c r="J256" t="n">
        <v>0</v>
      </c>
      <c r="K256" t="n">
        <v>0</v>
      </c>
      <c r="L256" t="n">
        <v>0</v>
      </c>
      <c r="M256" t="n">
        <v>0</v>
      </c>
      <c r="N256" t="n">
        <v>0</v>
      </c>
      <c r="O256" t="n">
        <v>0</v>
      </c>
      <c r="P256" t="n">
        <v>0</v>
      </c>
      <c r="Q256" t="n">
        <v>0</v>
      </c>
      <c r="R256" s="2" t="inlineStr"/>
    </row>
    <row r="257" ht="15" customHeight="1">
      <c r="A257" t="inlineStr">
        <is>
          <t>A 59428-2020</t>
        </is>
      </c>
      <c r="B257" s="1" t="n">
        <v>44148</v>
      </c>
      <c r="C257" s="1" t="n">
        <v>45635</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60138-2020</t>
        </is>
      </c>
      <c r="B258" s="1" t="n">
        <v>44151</v>
      </c>
      <c r="C258" s="1" t="n">
        <v>45635</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61711-2020</t>
        </is>
      </c>
      <c r="B259" s="1" t="n">
        <v>44158</v>
      </c>
      <c r="C259" s="1" t="n">
        <v>45635</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63715-2020</t>
        </is>
      </c>
      <c r="B260" s="1" t="n">
        <v>44166</v>
      </c>
      <c r="C260" s="1" t="n">
        <v>45635</v>
      </c>
      <c r="D260" t="inlineStr">
        <is>
          <t>UPPSALA LÄN</t>
        </is>
      </c>
      <c r="E260" t="inlineStr">
        <is>
          <t>ENKÖPING</t>
        </is>
      </c>
      <c r="F260" t="inlineStr">
        <is>
          <t>Övriga statliga verk och myndigheter</t>
        </is>
      </c>
      <c r="G260" t="n">
        <v>5.9</v>
      </c>
      <c r="H260" t="n">
        <v>0</v>
      </c>
      <c r="I260" t="n">
        <v>0</v>
      </c>
      <c r="J260" t="n">
        <v>0</v>
      </c>
      <c r="K260" t="n">
        <v>0</v>
      </c>
      <c r="L260" t="n">
        <v>0</v>
      </c>
      <c r="M260" t="n">
        <v>0</v>
      </c>
      <c r="N260" t="n">
        <v>0</v>
      </c>
      <c r="O260" t="n">
        <v>0</v>
      </c>
      <c r="P260" t="n">
        <v>0</v>
      </c>
      <c r="Q260" t="n">
        <v>0</v>
      </c>
      <c r="R260" s="2" t="inlineStr"/>
    </row>
    <row r="261" ht="15" customHeight="1">
      <c r="A261" t="inlineStr">
        <is>
          <t>A 66517-2020</t>
        </is>
      </c>
      <c r="B261" s="1" t="n">
        <v>44178</v>
      </c>
      <c r="C261" s="1" t="n">
        <v>45635</v>
      </c>
      <c r="D261" t="inlineStr">
        <is>
          <t>UPPSALA LÄN</t>
        </is>
      </c>
      <c r="E261" t="inlineStr">
        <is>
          <t>ENKÖPING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67765-2020</t>
        </is>
      </c>
      <c r="B262" s="1" t="n">
        <v>44182</v>
      </c>
      <c r="C262" s="1" t="n">
        <v>45635</v>
      </c>
      <c r="D262" t="inlineStr">
        <is>
          <t>UPPSALA LÄN</t>
        </is>
      </c>
      <c r="E262" t="inlineStr">
        <is>
          <t>ENKÖPING</t>
        </is>
      </c>
      <c r="G262" t="n">
        <v>3.6</v>
      </c>
      <c r="H262" t="n">
        <v>0</v>
      </c>
      <c r="I262" t="n">
        <v>0</v>
      </c>
      <c r="J262" t="n">
        <v>0</v>
      </c>
      <c r="K262" t="n">
        <v>0</v>
      </c>
      <c r="L262" t="n">
        <v>0</v>
      </c>
      <c r="M262" t="n">
        <v>0</v>
      </c>
      <c r="N262" t="n">
        <v>0</v>
      </c>
      <c r="O262" t="n">
        <v>0</v>
      </c>
      <c r="P262" t="n">
        <v>0</v>
      </c>
      <c r="Q262" t="n">
        <v>0</v>
      </c>
      <c r="R262" s="2" t="inlineStr"/>
    </row>
    <row r="263" ht="15" customHeight="1">
      <c r="A263" t="inlineStr">
        <is>
          <t>A 67713-2020</t>
        </is>
      </c>
      <c r="B263" s="1" t="n">
        <v>44182</v>
      </c>
      <c r="C263" s="1" t="n">
        <v>45635</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69567-2020</t>
        </is>
      </c>
      <c r="B264" s="1" t="n">
        <v>44194</v>
      </c>
      <c r="C264" s="1" t="n">
        <v>45635</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3903-2021</t>
        </is>
      </c>
      <c r="B265" s="1" t="n">
        <v>44217</v>
      </c>
      <c r="C265" s="1" t="n">
        <v>45635</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4203-2021</t>
        </is>
      </c>
      <c r="B266" s="1" t="n">
        <v>44223</v>
      </c>
      <c r="C266" s="1" t="n">
        <v>45635</v>
      </c>
      <c r="D266" t="inlineStr">
        <is>
          <t>UPPSALA LÄN</t>
        </is>
      </c>
      <c r="E266" t="inlineStr">
        <is>
          <t>ENKÖPING</t>
        </is>
      </c>
      <c r="G266" t="n">
        <v>11.6</v>
      </c>
      <c r="H266" t="n">
        <v>0</v>
      </c>
      <c r="I266" t="n">
        <v>0</v>
      </c>
      <c r="J266" t="n">
        <v>0</v>
      </c>
      <c r="K266" t="n">
        <v>0</v>
      </c>
      <c r="L266" t="n">
        <v>0</v>
      </c>
      <c r="M266" t="n">
        <v>0</v>
      </c>
      <c r="N266" t="n">
        <v>0</v>
      </c>
      <c r="O266" t="n">
        <v>0</v>
      </c>
      <c r="P266" t="n">
        <v>0</v>
      </c>
      <c r="Q266" t="n">
        <v>0</v>
      </c>
      <c r="R266" s="2" t="inlineStr"/>
    </row>
    <row r="267" ht="15" customHeight="1">
      <c r="A267" t="inlineStr">
        <is>
          <t>A 4775-2021</t>
        </is>
      </c>
      <c r="B267" s="1" t="n">
        <v>44225</v>
      </c>
      <c r="C267" s="1" t="n">
        <v>45635</v>
      </c>
      <c r="D267" t="inlineStr">
        <is>
          <t>UPPSALA LÄN</t>
        </is>
      </c>
      <c r="E267" t="inlineStr">
        <is>
          <t>ENKÖPING</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6157-2021</t>
        </is>
      </c>
      <c r="B268" s="1" t="n">
        <v>44232</v>
      </c>
      <c r="C268" s="1" t="n">
        <v>45635</v>
      </c>
      <c r="D268" t="inlineStr">
        <is>
          <t>UPPSALA LÄN</t>
        </is>
      </c>
      <c r="E268" t="inlineStr">
        <is>
          <t>ENKÖPING</t>
        </is>
      </c>
      <c r="G268" t="n">
        <v>3.9</v>
      </c>
      <c r="H268" t="n">
        <v>0</v>
      </c>
      <c r="I268" t="n">
        <v>0</v>
      </c>
      <c r="J268" t="n">
        <v>0</v>
      </c>
      <c r="K268" t="n">
        <v>0</v>
      </c>
      <c r="L268" t="n">
        <v>0</v>
      </c>
      <c r="M268" t="n">
        <v>0</v>
      </c>
      <c r="N268" t="n">
        <v>0</v>
      </c>
      <c r="O268" t="n">
        <v>0</v>
      </c>
      <c r="P268" t="n">
        <v>0</v>
      </c>
      <c r="Q268" t="n">
        <v>0</v>
      </c>
      <c r="R268" s="2" t="inlineStr"/>
    </row>
    <row r="269" ht="15" customHeight="1">
      <c r="A269" t="inlineStr">
        <is>
          <t>A 6147-2021</t>
        </is>
      </c>
      <c r="B269" s="1" t="n">
        <v>44232</v>
      </c>
      <c r="C269" s="1" t="n">
        <v>45635</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6298-2021</t>
        </is>
      </c>
      <c r="B270" s="1" t="n">
        <v>44235</v>
      </c>
      <c r="C270" s="1" t="n">
        <v>45635</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8306-2021</t>
        </is>
      </c>
      <c r="B271" s="1" t="n">
        <v>44244</v>
      </c>
      <c r="C271" s="1" t="n">
        <v>45635</v>
      </c>
      <c r="D271" t="inlineStr">
        <is>
          <t>UPPSALA LÄN</t>
        </is>
      </c>
      <c r="E271" t="inlineStr">
        <is>
          <t>ENKÖPING</t>
        </is>
      </c>
      <c r="G271" t="n">
        <v>14.9</v>
      </c>
      <c r="H271" t="n">
        <v>0</v>
      </c>
      <c r="I271" t="n">
        <v>0</v>
      </c>
      <c r="J271" t="n">
        <v>0</v>
      </c>
      <c r="K271" t="n">
        <v>0</v>
      </c>
      <c r="L271" t="n">
        <v>0</v>
      </c>
      <c r="M271" t="n">
        <v>0</v>
      </c>
      <c r="N271" t="n">
        <v>0</v>
      </c>
      <c r="O271" t="n">
        <v>0</v>
      </c>
      <c r="P271" t="n">
        <v>0</v>
      </c>
      <c r="Q271" t="n">
        <v>0</v>
      </c>
      <c r="R271" s="2" t="inlineStr"/>
    </row>
    <row r="272" ht="15" customHeight="1">
      <c r="A272" t="inlineStr">
        <is>
          <t>A 10989-2021</t>
        </is>
      </c>
      <c r="B272" s="1" t="n">
        <v>44260</v>
      </c>
      <c r="C272" s="1" t="n">
        <v>45635</v>
      </c>
      <c r="D272" t="inlineStr">
        <is>
          <t>UPPSALA LÄN</t>
        </is>
      </c>
      <c r="E272" t="inlineStr">
        <is>
          <t>ENKÖPING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11688-2021</t>
        </is>
      </c>
      <c r="B273" s="1" t="n">
        <v>44264</v>
      </c>
      <c r="C273" s="1" t="n">
        <v>45635</v>
      </c>
      <c r="D273" t="inlineStr">
        <is>
          <t>UPPSALA LÄN</t>
        </is>
      </c>
      <c r="E273" t="inlineStr">
        <is>
          <t>ENKÖPING</t>
        </is>
      </c>
      <c r="G273" t="n">
        <v>4.7</v>
      </c>
      <c r="H273" t="n">
        <v>0</v>
      </c>
      <c r="I273" t="n">
        <v>0</v>
      </c>
      <c r="J273" t="n">
        <v>0</v>
      </c>
      <c r="K273" t="n">
        <v>0</v>
      </c>
      <c r="L273" t="n">
        <v>0</v>
      </c>
      <c r="M273" t="n">
        <v>0</v>
      </c>
      <c r="N273" t="n">
        <v>0</v>
      </c>
      <c r="O273" t="n">
        <v>0</v>
      </c>
      <c r="P273" t="n">
        <v>0</v>
      </c>
      <c r="Q273" t="n">
        <v>0</v>
      </c>
      <c r="R273" s="2" t="inlineStr"/>
    </row>
    <row r="274" ht="15" customHeight="1">
      <c r="A274" t="inlineStr">
        <is>
          <t>A 12434-2021</t>
        </is>
      </c>
      <c r="B274" s="1" t="n">
        <v>44267</v>
      </c>
      <c r="C274" s="1" t="n">
        <v>45635</v>
      </c>
      <c r="D274" t="inlineStr">
        <is>
          <t>UPPSALA LÄN</t>
        </is>
      </c>
      <c r="E274" t="inlineStr">
        <is>
          <t>ENKÖPING</t>
        </is>
      </c>
      <c r="G274" t="n">
        <v>5.3</v>
      </c>
      <c r="H274" t="n">
        <v>0</v>
      </c>
      <c r="I274" t="n">
        <v>0</v>
      </c>
      <c r="J274" t="n">
        <v>0</v>
      </c>
      <c r="K274" t="n">
        <v>0</v>
      </c>
      <c r="L274" t="n">
        <v>0</v>
      </c>
      <c r="M274" t="n">
        <v>0</v>
      </c>
      <c r="N274" t="n">
        <v>0</v>
      </c>
      <c r="O274" t="n">
        <v>0</v>
      </c>
      <c r="P274" t="n">
        <v>0</v>
      </c>
      <c r="Q274" t="n">
        <v>0</v>
      </c>
      <c r="R274" s="2" t="inlineStr"/>
    </row>
    <row r="275" ht="15" customHeight="1">
      <c r="A275" t="inlineStr">
        <is>
          <t>A 12538-2021</t>
        </is>
      </c>
      <c r="B275" s="1" t="n">
        <v>44269</v>
      </c>
      <c r="C275" s="1" t="n">
        <v>45635</v>
      </c>
      <c r="D275" t="inlineStr">
        <is>
          <t>UPPSALA LÄN</t>
        </is>
      </c>
      <c r="E275" t="inlineStr">
        <is>
          <t>ENKÖPING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12572-2021</t>
        </is>
      </c>
      <c r="B276" s="1" t="n">
        <v>44270</v>
      </c>
      <c r="C276" s="1" t="n">
        <v>45635</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12729-2021</t>
        </is>
      </c>
      <c r="B277" s="1" t="n">
        <v>44270</v>
      </c>
      <c r="C277" s="1" t="n">
        <v>45635</v>
      </c>
      <c r="D277" t="inlineStr">
        <is>
          <t>UPPSALA LÄN</t>
        </is>
      </c>
      <c r="E277" t="inlineStr">
        <is>
          <t>ENKÖPING</t>
        </is>
      </c>
      <c r="G277" t="n">
        <v>3</v>
      </c>
      <c r="H277" t="n">
        <v>0</v>
      </c>
      <c r="I277" t="n">
        <v>0</v>
      </c>
      <c r="J277" t="n">
        <v>0</v>
      </c>
      <c r="K277" t="n">
        <v>0</v>
      </c>
      <c r="L277" t="n">
        <v>0</v>
      </c>
      <c r="M277" t="n">
        <v>0</v>
      </c>
      <c r="N277" t="n">
        <v>0</v>
      </c>
      <c r="O277" t="n">
        <v>0</v>
      </c>
      <c r="P277" t="n">
        <v>0</v>
      </c>
      <c r="Q277" t="n">
        <v>0</v>
      </c>
      <c r="R277" s="2" t="inlineStr"/>
    </row>
    <row r="278" ht="15" customHeight="1">
      <c r="A278" t="inlineStr">
        <is>
          <t>A 12727-2021</t>
        </is>
      </c>
      <c r="B278" s="1" t="n">
        <v>44270</v>
      </c>
      <c r="C278" s="1" t="n">
        <v>45635</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12732-2021</t>
        </is>
      </c>
      <c r="B279" s="1" t="n">
        <v>44270</v>
      </c>
      <c r="C279" s="1" t="n">
        <v>45635</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13201-2021</t>
        </is>
      </c>
      <c r="B280" s="1" t="n">
        <v>44272</v>
      </c>
      <c r="C280" s="1" t="n">
        <v>45635</v>
      </c>
      <c r="D280" t="inlineStr">
        <is>
          <t>UPPSALA LÄN</t>
        </is>
      </c>
      <c r="E280" t="inlineStr">
        <is>
          <t>ENKÖPING</t>
        </is>
      </c>
      <c r="G280" t="n">
        <v>0.1</v>
      </c>
      <c r="H280" t="n">
        <v>0</v>
      </c>
      <c r="I280" t="n">
        <v>0</v>
      </c>
      <c r="J280" t="n">
        <v>0</v>
      </c>
      <c r="K280" t="n">
        <v>0</v>
      </c>
      <c r="L280" t="n">
        <v>0</v>
      </c>
      <c r="M280" t="n">
        <v>0</v>
      </c>
      <c r="N280" t="n">
        <v>0</v>
      </c>
      <c r="O280" t="n">
        <v>0</v>
      </c>
      <c r="P280" t="n">
        <v>0</v>
      </c>
      <c r="Q280" t="n">
        <v>0</v>
      </c>
      <c r="R280" s="2" t="inlineStr"/>
    </row>
    <row r="281" ht="15" customHeight="1">
      <c r="A281" t="inlineStr">
        <is>
          <t>A 13813-2021</t>
        </is>
      </c>
      <c r="B281" s="1" t="n">
        <v>44276</v>
      </c>
      <c r="C281" s="1" t="n">
        <v>45635</v>
      </c>
      <c r="D281" t="inlineStr">
        <is>
          <t>UPPSALA LÄN</t>
        </is>
      </c>
      <c r="E281" t="inlineStr">
        <is>
          <t>ENKÖPING</t>
        </is>
      </c>
      <c r="G281" t="n">
        <v>2.6</v>
      </c>
      <c r="H281" t="n">
        <v>0</v>
      </c>
      <c r="I281" t="n">
        <v>0</v>
      </c>
      <c r="J281" t="n">
        <v>0</v>
      </c>
      <c r="K281" t="n">
        <v>0</v>
      </c>
      <c r="L281" t="n">
        <v>0</v>
      </c>
      <c r="M281" t="n">
        <v>0</v>
      </c>
      <c r="N281" t="n">
        <v>0</v>
      </c>
      <c r="O281" t="n">
        <v>0</v>
      </c>
      <c r="P281" t="n">
        <v>0</v>
      </c>
      <c r="Q281" t="n">
        <v>0</v>
      </c>
      <c r="R281" s="2" t="inlineStr"/>
    </row>
    <row r="282" ht="15" customHeight="1">
      <c r="A282" t="inlineStr">
        <is>
          <t>A 13816-2021</t>
        </is>
      </c>
      <c r="B282" s="1" t="n">
        <v>44276</v>
      </c>
      <c r="C282" s="1" t="n">
        <v>45635</v>
      </c>
      <c r="D282" t="inlineStr">
        <is>
          <t>UPPSALA LÄN</t>
        </is>
      </c>
      <c r="E282" t="inlineStr">
        <is>
          <t>ENKÖPING</t>
        </is>
      </c>
      <c r="G282" t="n">
        <v>0.4</v>
      </c>
      <c r="H282" t="n">
        <v>0</v>
      </c>
      <c r="I282" t="n">
        <v>0</v>
      </c>
      <c r="J282" t="n">
        <v>0</v>
      </c>
      <c r="K282" t="n">
        <v>0</v>
      </c>
      <c r="L282" t="n">
        <v>0</v>
      </c>
      <c r="M282" t="n">
        <v>0</v>
      </c>
      <c r="N282" t="n">
        <v>0</v>
      </c>
      <c r="O282" t="n">
        <v>0</v>
      </c>
      <c r="P282" t="n">
        <v>0</v>
      </c>
      <c r="Q282" t="n">
        <v>0</v>
      </c>
      <c r="R282" s="2" t="inlineStr"/>
    </row>
    <row r="283" ht="15" customHeight="1">
      <c r="A283" t="inlineStr">
        <is>
          <t>A 14840-2021</t>
        </is>
      </c>
      <c r="B283" s="1" t="n">
        <v>44280</v>
      </c>
      <c r="C283" s="1" t="n">
        <v>45635</v>
      </c>
      <c r="D283" t="inlineStr">
        <is>
          <t>UPPSALA LÄN</t>
        </is>
      </c>
      <c r="E283" t="inlineStr">
        <is>
          <t>ENKÖPING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14841-2021</t>
        </is>
      </c>
      <c r="B284" s="1" t="n">
        <v>44280</v>
      </c>
      <c r="C284" s="1" t="n">
        <v>45635</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14839-2021</t>
        </is>
      </c>
      <c r="B285" s="1" t="n">
        <v>44280</v>
      </c>
      <c r="C285" s="1" t="n">
        <v>45635</v>
      </c>
      <c r="D285" t="inlineStr">
        <is>
          <t>UPPSALA LÄN</t>
        </is>
      </c>
      <c r="E285" t="inlineStr">
        <is>
          <t>ENKÖPING</t>
        </is>
      </c>
      <c r="G285" t="n">
        <v>11.4</v>
      </c>
      <c r="H285" t="n">
        <v>0</v>
      </c>
      <c r="I285" t="n">
        <v>0</v>
      </c>
      <c r="J285" t="n">
        <v>0</v>
      </c>
      <c r="K285" t="n">
        <v>0</v>
      </c>
      <c r="L285" t="n">
        <v>0</v>
      </c>
      <c r="M285" t="n">
        <v>0</v>
      </c>
      <c r="N285" t="n">
        <v>0</v>
      </c>
      <c r="O285" t="n">
        <v>0</v>
      </c>
      <c r="P285" t="n">
        <v>0</v>
      </c>
      <c r="Q285" t="n">
        <v>0</v>
      </c>
      <c r="R285" s="2" t="inlineStr"/>
    </row>
    <row r="286" ht="15" customHeight="1">
      <c r="A286" t="inlineStr">
        <is>
          <t>A 15298-2021</t>
        </is>
      </c>
      <c r="B286" s="1" t="n">
        <v>44284</v>
      </c>
      <c r="C286" s="1" t="n">
        <v>45635</v>
      </c>
      <c r="D286" t="inlineStr">
        <is>
          <t>UPPSALA LÄN</t>
        </is>
      </c>
      <c r="E286" t="inlineStr">
        <is>
          <t>ENKÖPING</t>
        </is>
      </c>
      <c r="G286" t="n">
        <v>6</v>
      </c>
      <c r="H286" t="n">
        <v>0</v>
      </c>
      <c r="I286" t="n">
        <v>0</v>
      </c>
      <c r="J286" t="n">
        <v>0</v>
      </c>
      <c r="K286" t="n">
        <v>0</v>
      </c>
      <c r="L286" t="n">
        <v>0</v>
      </c>
      <c r="M286" t="n">
        <v>0</v>
      </c>
      <c r="N286" t="n">
        <v>0</v>
      </c>
      <c r="O286" t="n">
        <v>0</v>
      </c>
      <c r="P286" t="n">
        <v>0</v>
      </c>
      <c r="Q286" t="n">
        <v>0</v>
      </c>
      <c r="R286" s="2" t="inlineStr"/>
    </row>
    <row r="287" ht="15" customHeight="1">
      <c r="A287" t="inlineStr">
        <is>
          <t>A 15997-2021</t>
        </is>
      </c>
      <c r="B287" s="1" t="n">
        <v>44287</v>
      </c>
      <c r="C287" s="1" t="n">
        <v>45635</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16309-2021</t>
        </is>
      </c>
      <c r="B288" s="1" t="n">
        <v>44292</v>
      </c>
      <c r="C288" s="1" t="n">
        <v>45635</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16498-2021</t>
        </is>
      </c>
      <c r="B289" s="1" t="n">
        <v>44293</v>
      </c>
      <c r="C289" s="1" t="n">
        <v>45635</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16683-2021</t>
        </is>
      </c>
      <c r="B290" s="1" t="n">
        <v>44294</v>
      </c>
      <c r="C290" s="1" t="n">
        <v>45635</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17264-2021</t>
        </is>
      </c>
      <c r="B291" s="1" t="n">
        <v>44298</v>
      </c>
      <c r="C291" s="1" t="n">
        <v>45635</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17268-2021</t>
        </is>
      </c>
      <c r="B292" s="1" t="n">
        <v>44298</v>
      </c>
      <c r="C292" s="1" t="n">
        <v>45635</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18037-2021</t>
        </is>
      </c>
      <c r="B293" s="1" t="n">
        <v>44301</v>
      </c>
      <c r="C293" s="1" t="n">
        <v>45635</v>
      </c>
      <c r="D293" t="inlineStr">
        <is>
          <t>UPPSALA LÄN</t>
        </is>
      </c>
      <c r="E293" t="inlineStr">
        <is>
          <t>ENKÖPING</t>
        </is>
      </c>
      <c r="G293" t="n">
        <v>17.2</v>
      </c>
      <c r="H293" t="n">
        <v>0</v>
      </c>
      <c r="I293" t="n">
        <v>0</v>
      </c>
      <c r="J293" t="n">
        <v>0</v>
      </c>
      <c r="K293" t="n">
        <v>0</v>
      </c>
      <c r="L293" t="n">
        <v>0</v>
      </c>
      <c r="M293" t="n">
        <v>0</v>
      </c>
      <c r="N293" t="n">
        <v>0</v>
      </c>
      <c r="O293" t="n">
        <v>0</v>
      </c>
      <c r="P293" t="n">
        <v>0</v>
      </c>
      <c r="Q293" t="n">
        <v>0</v>
      </c>
      <c r="R293" s="2" t="inlineStr"/>
    </row>
    <row r="294" ht="15" customHeight="1">
      <c r="A294" t="inlineStr">
        <is>
          <t>A 18328-2021</t>
        </is>
      </c>
      <c r="B294" s="1" t="n">
        <v>44305</v>
      </c>
      <c r="C294" s="1" t="n">
        <v>45635</v>
      </c>
      <c r="D294" t="inlineStr">
        <is>
          <t>UPPSALA LÄN</t>
        </is>
      </c>
      <c r="E294" t="inlineStr">
        <is>
          <t>ENKÖPING</t>
        </is>
      </c>
      <c r="G294" t="n">
        <v>9.4</v>
      </c>
      <c r="H294" t="n">
        <v>0</v>
      </c>
      <c r="I294" t="n">
        <v>0</v>
      </c>
      <c r="J294" t="n">
        <v>0</v>
      </c>
      <c r="K294" t="n">
        <v>0</v>
      </c>
      <c r="L294" t="n">
        <v>0</v>
      </c>
      <c r="M294" t="n">
        <v>0</v>
      </c>
      <c r="N294" t="n">
        <v>0</v>
      </c>
      <c r="O294" t="n">
        <v>0</v>
      </c>
      <c r="P294" t="n">
        <v>0</v>
      </c>
      <c r="Q294" t="n">
        <v>0</v>
      </c>
      <c r="R294" s="2" t="inlineStr"/>
    </row>
    <row r="295" ht="15" customHeight="1">
      <c r="A295" t="inlineStr">
        <is>
          <t>A 18584-2021</t>
        </is>
      </c>
      <c r="B295" s="1" t="n">
        <v>44306</v>
      </c>
      <c r="C295" s="1" t="n">
        <v>45635</v>
      </c>
      <c r="D295" t="inlineStr">
        <is>
          <t>UPPSALA LÄN</t>
        </is>
      </c>
      <c r="E295" t="inlineStr">
        <is>
          <t>ENKÖPING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18592-2021</t>
        </is>
      </c>
      <c r="B296" s="1" t="n">
        <v>44306</v>
      </c>
      <c r="C296" s="1" t="n">
        <v>45635</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18583-2021</t>
        </is>
      </c>
      <c r="B297" s="1" t="n">
        <v>44306</v>
      </c>
      <c r="C297" s="1" t="n">
        <v>45635</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19630-2021</t>
        </is>
      </c>
      <c r="B298" s="1" t="n">
        <v>44312</v>
      </c>
      <c r="C298" s="1" t="n">
        <v>45635</v>
      </c>
      <c r="D298" t="inlineStr">
        <is>
          <t>UPPSALA LÄN</t>
        </is>
      </c>
      <c r="E298" t="inlineStr">
        <is>
          <t>ENKÖPING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20067-2021</t>
        </is>
      </c>
      <c r="B299" s="1" t="n">
        <v>44314</v>
      </c>
      <c r="C299" s="1" t="n">
        <v>45635</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22057-2021</t>
        </is>
      </c>
      <c r="B300" s="1" t="n">
        <v>44323</v>
      </c>
      <c r="C300" s="1" t="n">
        <v>45635</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22058-2021</t>
        </is>
      </c>
      <c r="B301" s="1" t="n">
        <v>44323</v>
      </c>
      <c r="C301" s="1" t="n">
        <v>45635</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24399-2021</t>
        </is>
      </c>
      <c r="B302" s="1" t="n">
        <v>44337</v>
      </c>
      <c r="C302" s="1" t="n">
        <v>45635</v>
      </c>
      <c r="D302" t="inlineStr">
        <is>
          <t>UPPSALA LÄN</t>
        </is>
      </c>
      <c r="E302" t="inlineStr">
        <is>
          <t>ENKÖPING</t>
        </is>
      </c>
      <c r="G302" t="n">
        <v>4</v>
      </c>
      <c r="H302" t="n">
        <v>0</v>
      </c>
      <c r="I302" t="n">
        <v>0</v>
      </c>
      <c r="J302" t="n">
        <v>0</v>
      </c>
      <c r="K302" t="n">
        <v>0</v>
      </c>
      <c r="L302" t="n">
        <v>0</v>
      </c>
      <c r="M302" t="n">
        <v>0</v>
      </c>
      <c r="N302" t="n">
        <v>0</v>
      </c>
      <c r="O302" t="n">
        <v>0</v>
      </c>
      <c r="P302" t="n">
        <v>0</v>
      </c>
      <c r="Q302" t="n">
        <v>0</v>
      </c>
      <c r="R302" s="2" t="inlineStr"/>
    </row>
    <row r="303" ht="15" customHeight="1">
      <c r="A303" t="inlineStr">
        <is>
          <t>A 25598-2021</t>
        </is>
      </c>
      <c r="B303" s="1" t="n">
        <v>44343</v>
      </c>
      <c r="C303" s="1" t="n">
        <v>45635</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27676-2021</t>
        </is>
      </c>
      <c r="B304" s="1" t="n">
        <v>44353</v>
      </c>
      <c r="C304" s="1" t="n">
        <v>45635</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28368-2021</t>
        </is>
      </c>
      <c r="B305" s="1" t="n">
        <v>44356</v>
      </c>
      <c r="C305" s="1" t="n">
        <v>45635</v>
      </c>
      <c r="D305" t="inlineStr">
        <is>
          <t>UPPSALA LÄN</t>
        </is>
      </c>
      <c r="E305" t="inlineStr">
        <is>
          <t>ENKÖPING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28795-2021</t>
        </is>
      </c>
      <c r="B306" s="1" t="n">
        <v>44357</v>
      </c>
      <c r="C306" s="1" t="n">
        <v>45635</v>
      </c>
      <c r="D306" t="inlineStr">
        <is>
          <t>UPPSALA LÄN</t>
        </is>
      </c>
      <c r="E306" t="inlineStr">
        <is>
          <t>ENKÖPING</t>
        </is>
      </c>
      <c r="F306" t="inlineStr">
        <is>
          <t>Allmännings- och besparingsskogar</t>
        </is>
      </c>
      <c r="G306" t="n">
        <v>2.8</v>
      </c>
      <c r="H306" t="n">
        <v>0</v>
      </c>
      <c r="I306" t="n">
        <v>0</v>
      </c>
      <c r="J306" t="n">
        <v>0</v>
      </c>
      <c r="K306" t="n">
        <v>0</v>
      </c>
      <c r="L306" t="n">
        <v>0</v>
      </c>
      <c r="M306" t="n">
        <v>0</v>
      </c>
      <c r="N306" t="n">
        <v>0</v>
      </c>
      <c r="O306" t="n">
        <v>0</v>
      </c>
      <c r="P306" t="n">
        <v>0</v>
      </c>
      <c r="Q306" t="n">
        <v>0</v>
      </c>
      <c r="R306" s="2" t="inlineStr"/>
    </row>
    <row r="307" ht="15" customHeight="1">
      <c r="A307" t="inlineStr">
        <is>
          <t>A 29983-2021</t>
        </is>
      </c>
      <c r="B307" s="1" t="n">
        <v>44363</v>
      </c>
      <c r="C307" s="1" t="n">
        <v>45635</v>
      </c>
      <c r="D307" t="inlineStr">
        <is>
          <t>UPPSALA LÄN</t>
        </is>
      </c>
      <c r="E307" t="inlineStr">
        <is>
          <t>ENKÖPING</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30514-2021</t>
        </is>
      </c>
      <c r="B308" s="1" t="n">
        <v>44364</v>
      </c>
      <c r="C308" s="1" t="n">
        <v>45635</v>
      </c>
      <c r="D308" t="inlineStr">
        <is>
          <t>UPPSALA LÄN</t>
        </is>
      </c>
      <c r="E308" t="inlineStr">
        <is>
          <t>ENKÖPING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31112-2021</t>
        </is>
      </c>
      <c r="B309" s="1" t="n">
        <v>44368</v>
      </c>
      <c r="C309" s="1" t="n">
        <v>45635</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31965-2021</t>
        </is>
      </c>
      <c r="B310" s="1" t="n">
        <v>44370</v>
      </c>
      <c r="C310" s="1" t="n">
        <v>45635</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34124-2021</t>
        </is>
      </c>
      <c r="B311" s="1" t="n">
        <v>44379</v>
      </c>
      <c r="C311" s="1" t="n">
        <v>45635</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35645-2021</t>
        </is>
      </c>
      <c r="B312" s="1" t="n">
        <v>44386</v>
      </c>
      <c r="C312" s="1" t="n">
        <v>45635</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35643-2021</t>
        </is>
      </c>
      <c r="B313" s="1" t="n">
        <v>44386</v>
      </c>
      <c r="C313" s="1" t="n">
        <v>45635</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35638-2021</t>
        </is>
      </c>
      <c r="B314" s="1" t="n">
        <v>44386</v>
      </c>
      <c r="C314" s="1" t="n">
        <v>45635</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35647-2021</t>
        </is>
      </c>
      <c r="B315" s="1" t="n">
        <v>44386</v>
      </c>
      <c r="C315" s="1" t="n">
        <v>45635</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35641-2021</t>
        </is>
      </c>
      <c r="B316" s="1" t="n">
        <v>44386</v>
      </c>
      <c r="C316" s="1" t="n">
        <v>45635</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35632-2021</t>
        </is>
      </c>
      <c r="B317" s="1" t="n">
        <v>44386</v>
      </c>
      <c r="C317" s="1" t="n">
        <v>45635</v>
      </c>
      <c r="D317" t="inlineStr">
        <is>
          <t>UPPSALA LÄN</t>
        </is>
      </c>
      <c r="E317" t="inlineStr">
        <is>
          <t>ENKÖPING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37170-2021</t>
        </is>
      </c>
      <c r="B318" s="1" t="n">
        <v>44395</v>
      </c>
      <c r="C318" s="1" t="n">
        <v>45635</v>
      </c>
      <c r="D318" t="inlineStr">
        <is>
          <t>UPPSALA LÄN</t>
        </is>
      </c>
      <c r="E318" t="inlineStr">
        <is>
          <t>ENKÖPING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37563-2021</t>
        </is>
      </c>
      <c r="B319" s="1" t="n">
        <v>44399</v>
      </c>
      <c r="C319" s="1" t="n">
        <v>45635</v>
      </c>
      <c r="D319" t="inlineStr">
        <is>
          <t>UPPSALA LÄN</t>
        </is>
      </c>
      <c r="E319" t="inlineStr">
        <is>
          <t>ENKÖPING</t>
        </is>
      </c>
      <c r="G319" t="n">
        <v>5.1</v>
      </c>
      <c r="H319" t="n">
        <v>0</v>
      </c>
      <c r="I319" t="n">
        <v>0</v>
      </c>
      <c r="J319" t="n">
        <v>0</v>
      </c>
      <c r="K319" t="n">
        <v>0</v>
      </c>
      <c r="L319" t="n">
        <v>0</v>
      </c>
      <c r="M319" t="n">
        <v>0</v>
      </c>
      <c r="N319" t="n">
        <v>0</v>
      </c>
      <c r="O319" t="n">
        <v>0</v>
      </c>
      <c r="P319" t="n">
        <v>0</v>
      </c>
      <c r="Q319" t="n">
        <v>0</v>
      </c>
      <c r="R319" s="2" t="inlineStr"/>
    </row>
    <row r="320" ht="15" customHeight="1">
      <c r="A320" t="inlineStr">
        <is>
          <t>A 37570-2021</t>
        </is>
      </c>
      <c r="B320" s="1" t="n">
        <v>44399</v>
      </c>
      <c r="C320" s="1" t="n">
        <v>45635</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37573-2021</t>
        </is>
      </c>
      <c r="B321" s="1" t="n">
        <v>44399</v>
      </c>
      <c r="C321" s="1" t="n">
        <v>45635</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37568-2021</t>
        </is>
      </c>
      <c r="B322" s="1" t="n">
        <v>44399</v>
      </c>
      <c r="C322" s="1" t="n">
        <v>45635</v>
      </c>
      <c r="D322" t="inlineStr">
        <is>
          <t>UPPSALA LÄN</t>
        </is>
      </c>
      <c r="E322" t="inlineStr">
        <is>
          <t>ENKÖPING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37564-2021</t>
        </is>
      </c>
      <c r="B323" s="1" t="n">
        <v>44399</v>
      </c>
      <c r="C323" s="1" t="n">
        <v>45635</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37571-2021</t>
        </is>
      </c>
      <c r="B324" s="1" t="n">
        <v>44399</v>
      </c>
      <c r="C324" s="1" t="n">
        <v>45635</v>
      </c>
      <c r="D324" t="inlineStr">
        <is>
          <t>UPPSALA LÄN</t>
        </is>
      </c>
      <c r="E324" t="inlineStr">
        <is>
          <t>ENKÖPING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42021-2021</t>
        </is>
      </c>
      <c r="B325" s="1" t="n">
        <v>44426</v>
      </c>
      <c r="C325" s="1" t="n">
        <v>45635</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42029-2021</t>
        </is>
      </c>
      <c r="B326" s="1" t="n">
        <v>44426</v>
      </c>
      <c r="C326" s="1" t="n">
        <v>45635</v>
      </c>
      <c r="D326" t="inlineStr">
        <is>
          <t>UPPSALA LÄN</t>
        </is>
      </c>
      <c r="E326" t="inlineStr">
        <is>
          <t>ENKÖPING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43016-2021</t>
        </is>
      </c>
      <c r="B327" s="1" t="n">
        <v>44431</v>
      </c>
      <c r="C327" s="1" t="n">
        <v>45635</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44727-2021</t>
        </is>
      </c>
      <c r="B328" s="1" t="n">
        <v>44438</v>
      </c>
      <c r="C328" s="1" t="n">
        <v>45635</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47106-2021</t>
        </is>
      </c>
      <c r="B329" s="1" t="n">
        <v>44446</v>
      </c>
      <c r="C329" s="1" t="n">
        <v>45635</v>
      </c>
      <c r="D329" t="inlineStr">
        <is>
          <t>UPPSALA LÄN</t>
        </is>
      </c>
      <c r="E329" t="inlineStr">
        <is>
          <t>ENKÖPING</t>
        </is>
      </c>
      <c r="G329" t="n">
        <v>7.6</v>
      </c>
      <c r="H329" t="n">
        <v>0</v>
      </c>
      <c r="I329" t="n">
        <v>0</v>
      </c>
      <c r="J329" t="n">
        <v>0</v>
      </c>
      <c r="K329" t="n">
        <v>0</v>
      </c>
      <c r="L329" t="n">
        <v>0</v>
      </c>
      <c r="M329" t="n">
        <v>0</v>
      </c>
      <c r="N329" t="n">
        <v>0</v>
      </c>
      <c r="O329" t="n">
        <v>0</v>
      </c>
      <c r="P329" t="n">
        <v>0</v>
      </c>
      <c r="Q329" t="n">
        <v>0</v>
      </c>
      <c r="R329" s="2" t="inlineStr"/>
    </row>
    <row r="330" ht="15" customHeight="1">
      <c r="A330" t="inlineStr">
        <is>
          <t>A 48981-2021</t>
        </is>
      </c>
      <c r="B330" s="1" t="n">
        <v>44453</v>
      </c>
      <c r="C330" s="1" t="n">
        <v>45635</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49375-2021</t>
        </is>
      </c>
      <c r="B331" s="1" t="n">
        <v>44454</v>
      </c>
      <c r="C331" s="1" t="n">
        <v>45635</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49525-2021</t>
        </is>
      </c>
      <c r="B332" s="1" t="n">
        <v>44455</v>
      </c>
      <c r="C332" s="1" t="n">
        <v>45635</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50893-2021</t>
        </is>
      </c>
      <c r="B333" s="1" t="n">
        <v>44460</v>
      </c>
      <c r="C333" s="1" t="n">
        <v>45635</v>
      </c>
      <c r="D333" t="inlineStr">
        <is>
          <t>UPPSALA LÄN</t>
        </is>
      </c>
      <c r="E333" t="inlineStr">
        <is>
          <t>ENKÖPING</t>
        </is>
      </c>
      <c r="G333" t="n">
        <v>7.3</v>
      </c>
      <c r="H333" t="n">
        <v>0</v>
      </c>
      <c r="I333" t="n">
        <v>0</v>
      </c>
      <c r="J333" t="n">
        <v>0</v>
      </c>
      <c r="K333" t="n">
        <v>0</v>
      </c>
      <c r="L333" t="n">
        <v>0</v>
      </c>
      <c r="M333" t="n">
        <v>0</v>
      </c>
      <c r="N333" t="n">
        <v>0</v>
      </c>
      <c r="O333" t="n">
        <v>0</v>
      </c>
      <c r="P333" t="n">
        <v>0</v>
      </c>
      <c r="Q333" t="n">
        <v>0</v>
      </c>
      <c r="R333" s="2" t="inlineStr"/>
    </row>
    <row r="334" ht="15" customHeight="1">
      <c r="A334" t="inlineStr">
        <is>
          <t>A 52014-2021</t>
        </is>
      </c>
      <c r="B334" s="1" t="n">
        <v>44463</v>
      </c>
      <c r="C334" s="1" t="n">
        <v>45635</v>
      </c>
      <c r="D334" t="inlineStr">
        <is>
          <t>UPPSALA LÄN</t>
        </is>
      </c>
      <c r="E334" t="inlineStr">
        <is>
          <t>ENKÖPING</t>
        </is>
      </c>
      <c r="G334" t="n">
        <v>5.8</v>
      </c>
      <c r="H334" t="n">
        <v>0</v>
      </c>
      <c r="I334" t="n">
        <v>0</v>
      </c>
      <c r="J334" t="n">
        <v>0</v>
      </c>
      <c r="K334" t="n">
        <v>0</v>
      </c>
      <c r="L334" t="n">
        <v>0</v>
      </c>
      <c r="M334" t="n">
        <v>0</v>
      </c>
      <c r="N334" t="n">
        <v>0</v>
      </c>
      <c r="O334" t="n">
        <v>0</v>
      </c>
      <c r="P334" t="n">
        <v>0</v>
      </c>
      <c r="Q334" t="n">
        <v>0</v>
      </c>
      <c r="R334" s="2" t="inlineStr"/>
    </row>
    <row r="335" ht="15" customHeight="1">
      <c r="A335" t="inlineStr">
        <is>
          <t>A 54433-2021</t>
        </is>
      </c>
      <c r="B335" s="1" t="n">
        <v>44473</v>
      </c>
      <c r="C335" s="1" t="n">
        <v>45635</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54595-2021</t>
        </is>
      </c>
      <c r="B336" s="1" t="n">
        <v>44473</v>
      </c>
      <c r="C336" s="1" t="n">
        <v>45635</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55582-2021</t>
        </is>
      </c>
      <c r="B337" s="1" t="n">
        <v>44475</v>
      </c>
      <c r="C337" s="1" t="n">
        <v>45635</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56163-2021</t>
        </is>
      </c>
      <c r="B338" s="1" t="n">
        <v>44477</v>
      </c>
      <c r="C338" s="1" t="n">
        <v>45635</v>
      </c>
      <c r="D338" t="inlineStr">
        <is>
          <t>UPPSALA LÄN</t>
        </is>
      </c>
      <c r="E338" t="inlineStr">
        <is>
          <t>ENKÖPING</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56176-2021</t>
        </is>
      </c>
      <c r="B339" s="1" t="n">
        <v>44477</v>
      </c>
      <c r="C339" s="1" t="n">
        <v>45635</v>
      </c>
      <c r="D339" t="inlineStr">
        <is>
          <t>UPPSALA LÄN</t>
        </is>
      </c>
      <c r="E339" t="inlineStr">
        <is>
          <t>ENKÖPING</t>
        </is>
      </c>
      <c r="G339" t="n">
        <v>2.9</v>
      </c>
      <c r="H339" t="n">
        <v>0</v>
      </c>
      <c r="I339" t="n">
        <v>0</v>
      </c>
      <c r="J339" t="n">
        <v>0</v>
      </c>
      <c r="K339" t="n">
        <v>0</v>
      </c>
      <c r="L339" t="n">
        <v>0</v>
      </c>
      <c r="M339" t="n">
        <v>0</v>
      </c>
      <c r="N339" t="n">
        <v>0</v>
      </c>
      <c r="O339" t="n">
        <v>0</v>
      </c>
      <c r="P339" t="n">
        <v>0</v>
      </c>
      <c r="Q339" t="n">
        <v>0</v>
      </c>
      <c r="R339" s="2" t="inlineStr"/>
    </row>
    <row r="340" ht="15" customHeight="1">
      <c r="A340" t="inlineStr">
        <is>
          <t>A 57043-2021</t>
        </is>
      </c>
      <c r="B340" s="1" t="n">
        <v>44482</v>
      </c>
      <c r="C340" s="1" t="n">
        <v>45635</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57055-2021</t>
        </is>
      </c>
      <c r="B341" s="1" t="n">
        <v>44482</v>
      </c>
      <c r="C341" s="1" t="n">
        <v>45635</v>
      </c>
      <c r="D341" t="inlineStr">
        <is>
          <t>UPPSALA LÄN</t>
        </is>
      </c>
      <c r="E341" t="inlineStr">
        <is>
          <t>ENKÖPING</t>
        </is>
      </c>
      <c r="G341" t="n">
        <v>3.3</v>
      </c>
      <c r="H341" t="n">
        <v>0</v>
      </c>
      <c r="I341" t="n">
        <v>0</v>
      </c>
      <c r="J341" t="n">
        <v>0</v>
      </c>
      <c r="K341" t="n">
        <v>0</v>
      </c>
      <c r="L341" t="n">
        <v>0</v>
      </c>
      <c r="M341" t="n">
        <v>0</v>
      </c>
      <c r="N341" t="n">
        <v>0</v>
      </c>
      <c r="O341" t="n">
        <v>0</v>
      </c>
      <c r="P341" t="n">
        <v>0</v>
      </c>
      <c r="Q341" t="n">
        <v>0</v>
      </c>
      <c r="R341" s="2" t="inlineStr"/>
    </row>
    <row r="342" ht="15" customHeight="1">
      <c r="A342" t="inlineStr">
        <is>
          <t>A 57066-2021</t>
        </is>
      </c>
      <c r="B342" s="1" t="n">
        <v>44482</v>
      </c>
      <c r="C342" s="1" t="n">
        <v>45635</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57078-2021</t>
        </is>
      </c>
      <c r="B343" s="1" t="n">
        <v>44482</v>
      </c>
      <c r="C343" s="1" t="n">
        <v>45635</v>
      </c>
      <c r="D343" t="inlineStr">
        <is>
          <t>UPPSALA LÄN</t>
        </is>
      </c>
      <c r="E343" t="inlineStr">
        <is>
          <t>ENKÖPING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57142-2021</t>
        </is>
      </c>
      <c r="B344" s="1" t="n">
        <v>44482</v>
      </c>
      <c r="C344" s="1" t="n">
        <v>45635</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57153-2021</t>
        </is>
      </c>
      <c r="B345" s="1" t="n">
        <v>44482</v>
      </c>
      <c r="C345" s="1" t="n">
        <v>45635</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57147-2021</t>
        </is>
      </c>
      <c r="B346" s="1" t="n">
        <v>44482</v>
      </c>
      <c r="C346" s="1" t="n">
        <v>45635</v>
      </c>
      <c r="D346" t="inlineStr">
        <is>
          <t>UPPSALA LÄN</t>
        </is>
      </c>
      <c r="E346" t="inlineStr">
        <is>
          <t>ENKÖPING</t>
        </is>
      </c>
      <c r="G346" t="n">
        <v>5.7</v>
      </c>
      <c r="H346" t="n">
        <v>0</v>
      </c>
      <c r="I346" t="n">
        <v>0</v>
      </c>
      <c r="J346" t="n">
        <v>0</v>
      </c>
      <c r="K346" t="n">
        <v>0</v>
      </c>
      <c r="L346" t="n">
        <v>0</v>
      </c>
      <c r="M346" t="n">
        <v>0</v>
      </c>
      <c r="N346" t="n">
        <v>0</v>
      </c>
      <c r="O346" t="n">
        <v>0</v>
      </c>
      <c r="P346" t="n">
        <v>0</v>
      </c>
      <c r="Q346" t="n">
        <v>0</v>
      </c>
      <c r="R346" s="2" t="inlineStr"/>
    </row>
    <row r="347" ht="15" customHeight="1">
      <c r="A347" t="inlineStr">
        <is>
          <t>A 57152-2021</t>
        </is>
      </c>
      <c r="B347" s="1" t="n">
        <v>44482</v>
      </c>
      <c r="C347" s="1" t="n">
        <v>45635</v>
      </c>
      <c r="D347" t="inlineStr">
        <is>
          <t>UPPSALA LÄN</t>
        </is>
      </c>
      <c r="E347" t="inlineStr">
        <is>
          <t>ENKÖPING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59121-2021</t>
        </is>
      </c>
      <c r="B348" s="1" t="n">
        <v>44490</v>
      </c>
      <c r="C348" s="1" t="n">
        <v>45635</v>
      </c>
      <c r="D348" t="inlineStr">
        <is>
          <t>UPPSALA LÄN</t>
        </is>
      </c>
      <c r="E348" t="inlineStr">
        <is>
          <t>ENKÖPING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60533-2021</t>
        </is>
      </c>
      <c r="B349" s="1" t="n">
        <v>44496</v>
      </c>
      <c r="C349" s="1" t="n">
        <v>45635</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60874-2021</t>
        </is>
      </c>
      <c r="B350" s="1" t="n">
        <v>44497</v>
      </c>
      <c r="C350" s="1" t="n">
        <v>45635</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61076-2021</t>
        </is>
      </c>
      <c r="B351" s="1" t="n">
        <v>44497</v>
      </c>
      <c r="C351" s="1" t="n">
        <v>45635</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61553-2021</t>
        </is>
      </c>
      <c r="B352" s="1" t="n">
        <v>44501</v>
      </c>
      <c r="C352" s="1" t="n">
        <v>45635</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61952-2021</t>
        </is>
      </c>
      <c r="B353" s="1" t="n">
        <v>44502</v>
      </c>
      <c r="C353" s="1" t="n">
        <v>45635</v>
      </c>
      <c r="D353" t="inlineStr">
        <is>
          <t>UPPSALA LÄN</t>
        </is>
      </c>
      <c r="E353" t="inlineStr">
        <is>
          <t>ENKÖPING</t>
        </is>
      </c>
      <c r="G353" t="n">
        <v>2.3</v>
      </c>
      <c r="H353" t="n">
        <v>0</v>
      </c>
      <c r="I353" t="n">
        <v>0</v>
      </c>
      <c r="J353" t="n">
        <v>0</v>
      </c>
      <c r="K353" t="n">
        <v>0</v>
      </c>
      <c r="L353" t="n">
        <v>0</v>
      </c>
      <c r="M353" t="n">
        <v>0</v>
      </c>
      <c r="N353" t="n">
        <v>0</v>
      </c>
      <c r="O353" t="n">
        <v>0</v>
      </c>
      <c r="P353" t="n">
        <v>0</v>
      </c>
      <c r="Q353" t="n">
        <v>0</v>
      </c>
      <c r="R353" s="2" t="inlineStr"/>
    </row>
    <row r="354" ht="15" customHeight="1">
      <c r="A354" t="inlineStr">
        <is>
          <t>A 62046-2021</t>
        </is>
      </c>
      <c r="B354" s="1" t="n">
        <v>44502</v>
      </c>
      <c r="C354" s="1" t="n">
        <v>45635</v>
      </c>
      <c r="D354" t="inlineStr">
        <is>
          <t>UPPSALA LÄN</t>
        </is>
      </c>
      <c r="E354" t="inlineStr">
        <is>
          <t>ENKÖPING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63310-2021</t>
        </is>
      </c>
      <c r="B355" s="1" t="n">
        <v>44508</v>
      </c>
      <c r="C355" s="1" t="n">
        <v>45635</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63400-2021</t>
        </is>
      </c>
      <c r="B356" s="1" t="n">
        <v>44508</v>
      </c>
      <c r="C356" s="1" t="n">
        <v>45635</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63405-2021</t>
        </is>
      </c>
      <c r="B357" s="1" t="n">
        <v>44508</v>
      </c>
      <c r="C357" s="1" t="n">
        <v>45635</v>
      </c>
      <c r="D357" t="inlineStr">
        <is>
          <t>UPPSALA LÄN</t>
        </is>
      </c>
      <c r="E357" t="inlineStr">
        <is>
          <t>ENKÖPING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67982-2021</t>
        </is>
      </c>
      <c r="B358" s="1" t="n">
        <v>44525</v>
      </c>
      <c r="C358" s="1" t="n">
        <v>45635</v>
      </c>
      <c r="D358" t="inlineStr">
        <is>
          <t>UPPSALA LÄN</t>
        </is>
      </c>
      <c r="E358" t="inlineStr">
        <is>
          <t>ENKÖPING</t>
        </is>
      </c>
      <c r="G358" t="n">
        <v>1.7</v>
      </c>
      <c r="H358" t="n">
        <v>0</v>
      </c>
      <c r="I358" t="n">
        <v>0</v>
      </c>
      <c r="J358" t="n">
        <v>0</v>
      </c>
      <c r="K358" t="n">
        <v>0</v>
      </c>
      <c r="L358" t="n">
        <v>0</v>
      </c>
      <c r="M358" t="n">
        <v>0</v>
      </c>
      <c r="N358" t="n">
        <v>0</v>
      </c>
      <c r="O358" t="n">
        <v>0</v>
      </c>
      <c r="P358" t="n">
        <v>0</v>
      </c>
      <c r="Q358" t="n">
        <v>0</v>
      </c>
      <c r="R358" s="2" t="inlineStr"/>
    </row>
    <row r="359" ht="15" customHeight="1">
      <c r="A359" t="inlineStr">
        <is>
          <t>A 67984-2021</t>
        </is>
      </c>
      <c r="B359" s="1" t="n">
        <v>44525</v>
      </c>
      <c r="C359" s="1" t="n">
        <v>45635</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68118-2021</t>
        </is>
      </c>
      <c r="B360" s="1" t="n">
        <v>44526</v>
      </c>
      <c r="C360" s="1" t="n">
        <v>45635</v>
      </c>
      <c r="D360" t="inlineStr">
        <is>
          <t>UPPSALA LÄN</t>
        </is>
      </c>
      <c r="E360" t="inlineStr">
        <is>
          <t>ENKÖPING</t>
        </is>
      </c>
      <c r="G360" t="n">
        <v>4.7</v>
      </c>
      <c r="H360" t="n">
        <v>0</v>
      </c>
      <c r="I360" t="n">
        <v>0</v>
      </c>
      <c r="J360" t="n">
        <v>0</v>
      </c>
      <c r="K360" t="n">
        <v>0</v>
      </c>
      <c r="L360" t="n">
        <v>0</v>
      </c>
      <c r="M360" t="n">
        <v>0</v>
      </c>
      <c r="N360" t="n">
        <v>0</v>
      </c>
      <c r="O360" t="n">
        <v>0</v>
      </c>
      <c r="P360" t="n">
        <v>0</v>
      </c>
      <c r="Q360" t="n">
        <v>0</v>
      </c>
      <c r="R360" s="2" t="inlineStr"/>
    </row>
    <row r="361" ht="15" customHeight="1">
      <c r="A361" t="inlineStr">
        <is>
          <t>A 68127-2021</t>
        </is>
      </c>
      <c r="B361" s="1" t="n">
        <v>44526</v>
      </c>
      <c r="C361" s="1" t="n">
        <v>45635</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68107-2021</t>
        </is>
      </c>
      <c r="B362" s="1" t="n">
        <v>44526</v>
      </c>
      <c r="C362" s="1" t="n">
        <v>45635</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68130-2021</t>
        </is>
      </c>
      <c r="B363" s="1" t="n">
        <v>44526</v>
      </c>
      <c r="C363" s="1" t="n">
        <v>45635</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68123-2021</t>
        </is>
      </c>
      <c r="B364" s="1" t="n">
        <v>44526</v>
      </c>
      <c r="C364" s="1" t="n">
        <v>45635</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69344-2021</t>
        </is>
      </c>
      <c r="B365" s="1" t="n">
        <v>44531</v>
      </c>
      <c r="C365" s="1" t="n">
        <v>45635</v>
      </c>
      <c r="D365" t="inlineStr">
        <is>
          <t>UPPSALA LÄN</t>
        </is>
      </c>
      <c r="E365" t="inlineStr">
        <is>
          <t>ENKÖPING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69791-2021</t>
        </is>
      </c>
      <c r="B366" s="1" t="n">
        <v>44532</v>
      </c>
      <c r="C366" s="1" t="n">
        <v>45635</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69794-2021</t>
        </is>
      </c>
      <c r="B367" s="1" t="n">
        <v>44532</v>
      </c>
      <c r="C367" s="1" t="n">
        <v>45635</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69879-2021</t>
        </is>
      </c>
      <c r="B368" s="1" t="n">
        <v>44532</v>
      </c>
      <c r="C368" s="1" t="n">
        <v>45635</v>
      </c>
      <c r="D368" t="inlineStr">
        <is>
          <t>UPPSALA LÄN</t>
        </is>
      </c>
      <c r="E368" t="inlineStr">
        <is>
          <t>ENKÖPING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71641-2021</t>
        </is>
      </c>
      <c r="B369" s="1" t="n">
        <v>44543</v>
      </c>
      <c r="C369" s="1" t="n">
        <v>45635</v>
      </c>
      <c r="D369" t="inlineStr">
        <is>
          <t>UPPSALA LÄN</t>
        </is>
      </c>
      <c r="E369" t="inlineStr">
        <is>
          <t>ENKÖPING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72628-2021</t>
        </is>
      </c>
      <c r="B370" s="1" t="n">
        <v>44546</v>
      </c>
      <c r="C370" s="1" t="n">
        <v>45635</v>
      </c>
      <c r="D370" t="inlineStr">
        <is>
          <t>UPPSALA LÄN</t>
        </is>
      </c>
      <c r="E370" t="inlineStr">
        <is>
          <t>ENKÖPING</t>
        </is>
      </c>
      <c r="F370" t="inlineStr">
        <is>
          <t>Allmännings- och besparingsskogar</t>
        </is>
      </c>
      <c r="G370" t="n">
        <v>7.1</v>
      </c>
      <c r="H370" t="n">
        <v>0</v>
      </c>
      <c r="I370" t="n">
        <v>0</v>
      </c>
      <c r="J370" t="n">
        <v>0</v>
      </c>
      <c r="K370" t="n">
        <v>0</v>
      </c>
      <c r="L370" t="n">
        <v>0</v>
      </c>
      <c r="M370" t="n">
        <v>0</v>
      </c>
      <c r="N370" t="n">
        <v>0</v>
      </c>
      <c r="O370" t="n">
        <v>0</v>
      </c>
      <c r="P370" t="n">
        <v>0</v>
      </c>
      <c r="Q370" t="n">
        <v>0</v>
      </c>
      <c r="R370" s="2" t="inlineStr"/>
    </row>
    <row r="371" ht="15" customHeight="1">
      <c r="A371" t="inlineStr">
        <is>
          <t>A 72840-2021</t>
        </is>
      </c>
      <c r="B371" s="1" t="n">
        <v>44547</v>
      </c>
      <c r="C371" s="1" t="n">
        <v>45635</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74090-2021</t>
        </is>
      </c>
      <c r="B372" s="1" t="n">
        <v>44557</v>
      </c>
      <c r="C372" s="1" t="n">
        <v>45635</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498-2022</t>
        </is>
      </c>
      <c r="B373" s="1" t="n">
        <v>44566</v>
      </c>
      <c r="C373" s="1" t="n">
        <v>45635</v>
      </c>
      <c r="D373" t="inlineStr">
        <is>
          <t>UPPSALA LÄN</t>
        </is>
      </c>
      <c r="E373" t="inlineStr">
        <is>
          <t>ENKÖPING</t>
        </is>
      </c>
      <c r="F373" t="inlineStr">
        <is>
          <t>Övriga statliga verk och myndigheter</t>
        </is>
      </c>
      <c r="G373" t="n">
        <v>11.1</v>
      </c>
      <c r="H373" t="n">
        <v>0</v>
      </c>
      <c r="I373" t="n">
        <v>0</v>
      </c>
      <c r="J373" t="n">
        <v>0</v>
      </c>
      <c r="K373" t="n">
        <v>0</v>
      </c>
      <c r="L373" t="n">
        <v>0</v>
      </c>
      <c r="M373" t="n">
        <v>0</v>
      </c>
      <c r="N373" t="n">
        <v>0</v>
      </c>
      <c r="O373" t="n">
        <v>0</v>
      </c>
      <c r="P373" t="n">
        <v>0</v>
      </c>
      <c r="Q373" t="n">
        <v>0</v>
      </c>
      <c r="R373" s="2" t="inlineStr"/>
    </row>
    <row r="374" ht="15" customHeight="1">
      <c r="A374" t="inlineStr">
        <is>
          <t>A 671-2022</t>
        </is>
      </c>
      <c r="B374" s="1" t="n">
        <v>44568</v>
      </c>
      <c r="C374" s="1" t="n">
        <v>45635</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1971-2022</t>
        </is>
      </c>
      <c r="B375" s="1" t="n">
        <v>44575</v>
      </c>
      <c r="C375" s="1" t="n">
        <v>45635</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1962-2022</t>
        </is>
      </c>
      <c r="B376" s="1" t="n">
        <v>44575</v>
      </c>
      <c r="C376" s="1" t="n">
        <v>45635</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1979-2022</t>
        </is>
      </c>
      <c r="B377" s="1" t="n">
        <v>44575</v>
      </c>
      <c r="C377" s="1" t="n">
        <v>45635</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1992-2022</t>
        </is>
      </c>
      <c r="B378" s="1" t="n">
        <v>44575</v>
      </c>
      <c r="C378" s="1" t="n">
        <v>45635</v>
      </c>
      <c r="D378" t="inlineStr">
        <is>
          <t>UPPSALA LÄN</t>
        </is>
      </c>
      <c r="E378" t="inlineStr">
        <is>
          <t>ENKÖPING</t>
        </is>
      </c>
      <c r="G378" t="n">
        <v>2.8</v>
      </c>
      <c r="H378" t="n">
        <v>0</v>
      </c>
      <c r="I378" t="n">
        <v>0</v>
      </c>
      <c r="J378" t="n">
        <v>0</v>
      </c>
      <c r="K378" t="n">
        <v>0</v>
      </c>
      <c r="L378" t="n">
        <v>0</v>
      </c>
      <c r="M378" t="n">
        <v>0</v>
      </c>
      <c r="N378" t="n">
        <v>0</v>
      </c>
      <c r="O378" t="n">
        <v>0</v>
      </c>
      <c r="P378" t="n">
        <v>0</v>
      </c>
      <c r="Q378" t="n">
        <v>0</v>
      </c>
      <c r="R378" s="2" t="inlineStr"/>
    </row>
    <row r="379" ht="15" customHeight="1">
      <c r="A379" t="inlineStr">
        <is>
          <t>A 1960-2022</t>
        </is>
      </c>
      <c r="B379" s="1" t="n">
        <v>44575</v>
      </c>
      <c r="C379" s="1" t="n">
        <v>45635</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1965-2022</t>
        </is>
      </c>
      <c r="B380" s="1" t="n">
        <v>44575</v>
      </c>
      <c r="C380" s="1" t="n">
        <v>45635</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2680-2022</t>
        </is>
      </c>
      <c r="B381" s="1" t="n">
        <v>44580</v>
      </c>
      <c r="C381" s="1" t="n">
        <v>45635</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3861-2022</t>
        </is>
      </c>
      <c r="B382" s="1" t="n">
        <v>44587</v>
      </c>
      <c r="C382" s="1" t="n">
        <v>45635</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4170-2022</t>
        </is>
      </c>
      <c r="B383" s="1" t="n">
        <v>44588</v>
      </c>
      <c r="C383" s="1" t="n">
        <v>45635</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5188-2022</t>
        </is>
      </c>
      <c r="B384" s="1" t="n">
        <v>44594</v>
      </c>
      <c r="C384" s="1" t="n">
        <v>45635</v>
      </c>
      <c r="D384" t="inlineStr">
        <is>
          <t>UPPSALA LÄN</t>
        </is>
      </c>
      <c r="E384" t="inlineStr">
        <is>
          <t>ENKÖPING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5526-2022</t>
        </is>
      </c>
      <c r="B385" s="1" t="n">
        <v>44595</v>
      </c>
      <c r="C385" s="1" t="n">
        <v>45635</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6356-2022</t>
        </is>
      </c>
      <c r="B386" s="1" t="n">
        <v>44600</v>
      </c>
      <c r="C386" s="1" t="n">
        <v>45635</v>
      </c>
      <c r="D386" t="inlineStr">
        <is>
          <t>UPPSALA LÄN</t>
        </is>
      </c>
      <c r="E386" t="inlineStr">
        <is>
          <t>ENKÖPING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7090-2022</t>
        </is>
      </c>
      <c r="B387" s="1" t="n">
        <v>44603</v>
      </c>
      <c r="C387" s="1" t="n">
        <v>45635</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7284-2022</t>
        </is>
      </c>
      <c r="B388" s="1" t="n">
        <v>44606</v>
      </c>
      <c r="C388" s="1" t="n">
        <v>45635</v>
      </c>
      <c r="D388" t="inlineStr">
        <is>
          <t>UPPSALA LÄN</t>
        </is>
      </c>
      <c r="E388" t="inlineStr">
        <is>
          <t>ENKÖPING</t>
        </is>
      </c>
      <c r="G388" t="n">
        <v>6.4</v>
      </c>
      <c r="H388" t="n">
        <v>0</v>
      </c>
      <c r="I388" t="n">
        <v>0</v>
      </c>
      <c r="J388" t="n">
        <v>0</v>
      </c>
      <c r="K388" t="n">
        <v>0</v>
      </c>
      <c r="L388" t="n">
        <v>0</v>
      </c>
      <c r="M388" t="n">
        <v>0</v>
      </c>
      <c r="N388" t="n">
        <v>0</v>
      </c>
      <c r="O388" t="n">
        <v>0</v>
      </c>
      <c r="P388" t="n">
        <v>0</v>
      </c>
      <c r="Q388" t="n">
        <v>0</v>
      </c>
      <c r="R388" s="2" t="inlineStr"/>
    </row>
    <row r="389" ht="15" customHeight="1">
      <c r="A389" t="inlineStr">
        <is>
          <t>A 7463-2022</t>
        </is>
      </c>
      <c r="B389" s="1" t="n">
        <v>44607</v>
      </c>
      <c r="C389" s="1" t="n">
        <v>45635</v>
      </c>
      <c r="D389" t="inlineStr">
        <is>
          <t>UPPSALA LÄN</t>
        </is>
      </c>
      <c r="E389" t="inlineStr">
        <is>
          <t>ENKÖPING</t>
        </is>
      </c>
      <c r="F389" t="inlineStr">
        <is>
          <t>Övriga statliga verk och myndigheter</t>
        </is>
      </c>
      <c r="G389" t="n">
        <v>2.1</v>
      </c>
      <c r="H389" t="n">
        <v>0</v>
      </c>
      <c r="I389" t="n">
        <v>0</v>
      </c>
      <c r="J389" t="n">
        <v>0</v>
      </c>
      <c r="K389" t="n">
        <v>0</v>
      </c>
      <c r="L389" t="n">
        <v>0</v>
      </c>
      <c r="M389" t="n">
        <v>0</v>
      </c>
      <c r="N389" t="n">
        <v>0</v>
      </c>
      <c r="O389" t="n">
        <v>0</v>
      </c>
      <c r="P389" t="n">
        <v>0</v>
      </c>
      <c r="Q389" t="n">
        <v>0</v>
      </c>
      <c r="R389" s="2" t="inlineStr"/>
    </row>
    <row r="390" ht="15" customHeight="1">
      <c r="A390" t="inlineStr">
        <is>
          <t>A 8020-2022</t>
        </is>
      </c>
      <c r="B390" s="1" t="n">
        <v>44609</v>
      </c>
      <c r="C390" s="1" t="n">
        <v>45635</v>
      </c>
      <c r="D390" t="inlineStr">
        <is>
          <t>UPPSALA LÄN</t>
        </is>
      </c>
      <c r="E390" t="inlineStr">
        <is>
          <t>ENKÖPING</t>
        </is>
      </c>
      <c r="G390" t="n">
        <v>6</v>
      </c>
      <c r="H390" t="n">
        <v>0</v>
      </c>
      <c r="I390" t="n">
        <v>0</v>
      </c>
      <c r="J390" t="n">
        <v>0</v>
      </c>
      <c r="K390" t="n">
        <v>0</v>
      </c>
      <c r="L390" t="n">
        <v>0</v>
      </c>
      <c r="M390" t="n">
        <v>0</v>
      </c>
      <c r="N390" t="n">
        <v>0</v>
      </c>
      <c r="O390" t="n">
        <v>0</v>
      </c>
      <c r="P390" t="n">
        <v>0</v>
      </c>
      <c r="Q390" t="n">
        <v>0</v>
      </c>
      <c r="R390" s="2" t="inlineStr"/>
    </row>
    <row r="391" ht="15" customHeight="1">
      <c r="A391" t="inlineStr">
        <is>
          <t>A 8152-2022</t>
        </is>
      </c>
      <c r="B391" s="1" t="n">
        <v>44609</v>
      </c>
      <c r="C391" s="1" t="n">
        <v>45635</v>
      </c>
      <c r="D391" t="inlineStr">
        <is>
          <t>UPPSALA LÄN</t>
        </is>
      </c>
      <c r="E391" t="inlineStr">
        <is>
          <t>ENKÖPING</t>
        </is>
      </c>
      <c r="F391" t="inlineStr">
        <is>
          <t>Kyrkan</t>
        </is>
      </c>
      <c r="G391" t="n">
        <v>1.3</v>
      </c>
      <c r="H391" t="n">
        <v>0</v>
      </c>
      <c r="I391" t="n">
        <v>0</v>
      </c>
      <c r="J391" t="n">
        <v>0</v>
      </c>
      <c r="K391" t="n">
        <v>0</v>
      </c>
      <c r="L391" t="n">
        <v>0</v>
      </c>
      <c r="M391" t="n">
        <v>0</v>
      </c>
      <c r="N391" t="n">
        <v>0</v>
      </c>
      <c r="O391" t="n">
        <v>0</v>
      </c>
      <c r="P391" t="n">
        <v>0</v>
      </c>
      <c r="Q391" t="n">
        <v>0</v>
      </c>
      <c r="R391" s="2" t="inlineStr"/>
    </row>
    <row r="392" ht="15" customHeight="1">
      <c r="A392" t="inlineStr">
        <is>
          <t>A 10202-2022</t>
        </is>
      </c>
      <c r="B392" s="1" t="n">
        <v>44622</v>
      </c>
      <c r="C392" s="1" t="n">
        <v>45635</v>
      </c>
      <c r="D392" t="inlineStr">
        <is>
          <t>UPPSALA LÄN</t>
        </is>
      </c>
      <c r="E392" t="inlineStr">
        <is>
          <t>ENKÖPING</t>
        </is>
      </c>
      <c r="G392" t="n">
        <v>5.6</v>
      </c>
      <c r="H392" t="n">
        <v>0</v>
      </c>
      <c r="I392" t="n">
        <v>0</v>
      </c>
      <c r="J392" t="n">
        <v>0</v>
      </c>
      <c r="K392" t="n">
        <v>0</v>
      </c>
      <c r="L392" t="n">
        <v>0</v>
      </c>
      <c r="M392" t="n">
        <v>0</v>
      </c>
      <c r="N392" t="n">
        <v>0</v>
      </c>
      <c r="O392" t="n">
        <v>0</v>
      </c>
      <c r="P392" t="n">
        <v>0</v>
      </c>
      <c r="Q392" t="n">
        <v>0</v>
      </c>
      <c r="R392" s="2" t="inlineStr"/>
    </row>
    <row r="393" ht="15" customHeight="1">
      <c r="A393" t="inlineStr">
        <is>
          <t>A 10207-2022</t>
        </is>
      </c>
      <c r="B393" s="1" t="n">
        <v>44622</v>
      </c>
      <c r="C393" s="1" t="n">
        <v>45635</v>
      </c>
      <c r="D393" t="inlineStr">
        <is>
          <t>UPPSALA LÄN</t>
        </is>
      </c>
      <c r="E393" t="inlineStr">
        <is>
          <t>ENKÖPING</t>
        </is>
      </c>
      <c r="G393" t="n">
        <v>4.9</v>
      </c>
      <c r="H393" t="n">
        <v>0</v>
      </c>
      <c r="I393" t="n">
        <v>0</v>
      </c>
      <c r="J393" t="n">
        <v>0</v>
      </c>
      <c r="K393" t="n">
        <v>0</v>
      </c>
      <c r="L393" t="n">
        <v>0</v>
      </c>
      <c r="M393" t="n">
        <v>0</v>
      </c>
      <c r="N393" t="n">
        <v>0</v>
      </c>
      <c r="O393" t="n">
        <v>0</v>
      </c>
      <c r="P393" t="n">
        <v>0</v>
      </c>
      <c r="Q393" t="n">
        <v>0</v>
      </c>
      <c r="R393" s="2" t="inlineStr"/>
    </row>
    <row r="394" ht="15" customHeight="1">
      <c r="A394" t="inlineStr">
        <is>
          <t>A 10458-2022</t>
        </is>
      </c>
      <c r="B394" s="1" t="n">
        <v>44623</v>
      </c>
      <c r="C394" s="1" t="n">
        <v>45635</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10465-2022</t>
        </is>
      </c>
      <c r="B395" s="1" t="n">
        <v>44623</v>
      </c>
      <c r="C395" s="1" t="n">
        <v>45635</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14531-2022</t>
        </is>
      </c>
      <c r="B396" s="1" t="n">
        <v>44655</v>
      </c>
      <c r="C396" s="1" t="n">
        <v>45635</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15021-2022</t>
        </is>
      </c>
      <c r="B397" s="1" t="n">
        <v>44657</v>
      </c>
      <c r="C397" s="1" t="n">
        <v>45635</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15924-2022</t>
        </is>
      </c>
      <c r="B398" s="1" t="n">
        <v>44664</v>
      </c>
      <c r="C398" s="1" t="n">
        <v>45635</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15942-2022</t>
        </is>
      </c>
      <c r="B399" s="1" t="n">
        <v>44664</v>
      </c>
      <c r="C399" s="1" t="n">
        <v>45635</v>
      </c>
      <c r="D399" t="inlineStr">
        <is>
          <t>UPPSALA LÄN</t>
        </is>
      </c>
      <c r="E399" t="inlineStr">
        <is>
          <t>ENKÖPING</t>
        </is>
      </c>
      <c r="G399" t="n">
        <v>6.6</v>
      </c>
      <c r="H399" t="n">
        <v>0</v>
      </c>
      <c r="I399" t="n">
        <v>0</v>
      </c>
      <c r="J399" t="n">
        <v>0</v>
      </c>
      <c r="K399" t="n">
        <v>0</v>
      </c>
      <c r="L399" t="n">
        <v>0</v>
      </c>
      <c r="M399" t="n">
        <v>0</v>
      </c>
      <c r="N399" t="n">
        <v>0</v>
      </c>
      <c r="O399" t="n">
        <v>0</v>
      </c>
      <c r="P399" t="n">
        <v>0</v>
      </c>
      <c r="Q399" t="n">
        <v>0</v>
      </c>
      <c r="R399" s="2" t="inlineStr"/>
    </row>
    <row r="400" ht="15" customHeight="1">
      <c r="A400" t="inlineStr">
        <is>
          <t>A 15943-2022</t>
        </is>
      </c>
      <c r="B400" s="1" t="n">
        <v>44664</v>
      </c>
      <c r="C400" s="1" t="n">
        <v>45635</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15939-2022</t>
        </is>
      </c>
      <c r="B401" s="1" t="n">
        <v>44664</v>
      </c>
      <c r="C401" s="1" t="n">
        <v>45635</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16916-2022</t>
        </is>
      </c>
      <c r="B402" s="1" t="n">
        <v>44676</v>
      </c>
      <c r="C402" s="1" t="n">
        <v>45635</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16967-2022</t>
        </is>
      </c>
      <c r="B403" s="1" t="n">
        <v>44676</v>
      </c>
      <c r="C403" s="1" t="n">
        <v>45635</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17298-2022</t>
        </is>
      </c>
      <c r="B404" s="1" t="n">
        <v>44678</v>
      </c>
      <c r="C404" s="1" t="n">
        <v>45635</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17465-2022</t>
        </is>
      </c>
      <c r="B405" s="1" t="n">
        <v>44679</v>
      </c>
      <c r="C405" s="1" t="n">
        <v>45635</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17467-2022</t>
        </is>
      </c>
      <c r="B406" s="1" t="n">
        <v>44679</v>
      </c>
      <c r="C406" s="1" t="n">
        <v>45635</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17453-2022</t>
        </is>
      </c>
      <c r="B407" s="1" t="n">
        <v>44679</v>
      </c>
      <c r="C407" s="1" t="n">
        <v>45635</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17719-2022</t>
        </is>
      </c>
      <c r="B408" s="1" t="n">
        <v>44680</v>
      </c>
      <c r="C408" s="1" t="n">
        <v>45635</v>
      </c>
      <c r="D408" t="inlineStr">
        <is>
          <t>UPPSALA LÄN</t>
        </is>
      </c>
      <c r="E408" t="inlineStr">
        <is>
          <t>ENKÖPING</t>
        </is>
      </c>
      <c r="G408" t="n">
        <v>2.4</v>
      </c>
      <c r="H408" t="n">
        <v>0</v>
      </c>
      <c r="I408" t="n">
        <v>0</v>
      </c>
      <c r="J408" t="n">
        <v>0</v>
      </c>
      <c r="K408" t="n">
        <v>0</v>
      </c>
      <c r="L408" t="n">
        <v>0</v>
      </c>
      <c r="M408" t="n">
        <v>0</v>
      </c>
      <c r="N408" t="n">
        <v>0</v>
      </c>
      <c r="O408" t="n">
        <v>0</v>
      </c>
      <c r="P408" t="n">
        <v>0</v>
      </c>
      <c r="Q408" t="n">
        <v>0</v>
      </c>
      <c r="R408" s="2" t="inlineStr"/>
    </row>
    <row r="409" ht="15" customHeight="1">
      <c r="A409" t="inlineStr">
        <is>
          <t>A 17704-2022</t>
        </is>
      </c>
      <c r="B409" s="1" t="n">
        <v>44680</v>
      </c>
      <c r="C409" s="1" t="n">
        <v>45635</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18785-2022</t>
        </is>
      </c>
      <c r="B410" s="1" t="n">
        <v>44687</v>
      </c>
      <c r="C410" s="1" t="n">
        <v>45635</v>
      </c>
      <c r="D410" t="inlineStr">
        <is>
          <t>UPPSALA LÄN</t>
        </is>
      </c>
      <c r="E410" t="inlineStr">
        <is>
          <t>ENKÖPING</t>
        </is>
      </c>
      <c r="G410" t="n">
        <v>3.4</v>
      </c>
      <c r="H410" t="n">
        <v>0</v>
      </c>
      <c r="I410" t="n">
        <v>0</v>
      </c>
      <c r="J410" t="n">
        <v>0</v>
      </c>
      <c r="K410" t="n">
        <v>0</v>
      </c>
      <c r="L410" t="n">
        <v>0</v>
      </c>
      <c r="M410" t="n">
        <v>0</v>
      </c>
      <c r="N410" t="n">
        <v>0</v>
      </c>
      <c r="O410" t="n">
        <v>0</v>
      </c>
      <c r="P410" t="n">
        <v>0</v>
      </c>
      <c r="Q410" t="n">
        <v>0</v>
      </c>
      <c r="R410" s="2" t="inlineStr"/>
    </row>
    <row r="411" ht="15" customHeight="1">
      <c r="A411" t="inlineStr">
        <is>
          <t>A 19487-2022</t>
        </is>
      </c>
      <c r="B411" s="1" t="n">
        <v>44693</v>
      </c>
      <c r="C411" s="1" t="n">
        <v>45635</v>
      </c>
      <c r="D411" t="inlineStr">
        <is>
          <t>UPPSALA LÄN</t>
        </is>
      </c>
      <c r="E411" t="inlineStr">
        <is>
          <t>ENKÖPING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19488-2022</t>
        </is>
      </c>
      <c r="B412" s="1" t="n">
        <v>44693</v>
      </c>
      <c r="C412" s="1" t="n">
        <v>45635</v>
      </c>
      <c r="D412" t="inlineStr">
        <is>
          <t>UPPSALA LÄN</t>
        </is>
      </c>
      <c r="E412" t="inlineStr">
        <is>
          <t>ENKÖPING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19731-2022</t>
        </is>
      </c>
      <c r="B413" s="1" t="n">
        <v>44694</v>
      </c>
      <c r="C413" s="1" t="n">
        <v>45635</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19965-2022</t>
        </is>
      </c>
      <c r="B414" s="1" t="n">
        <v>44697</v>
      </c>
      <c r="C414" s="1" t="n">
        <v>45635</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20321-2022</t>
        </is>
      </c>
      <c r="B415" s="1" t="n">
        <v>44699</v>
      </c>
      <c r="C415" s="1" t="n">
        <v>45635</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23307-2022</t>
        </is>
      </c>
      <c r="B416" s="1" t="n">
        <v>44720</v>
      </c>
      <c r="C416" s="1" t="n">
        <v>45635</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24141-2022</t>
        </is>
      </c>
      <c r="B417" s="1" t="n">
        <v>44725</v>
      </c>
      <c r="C417" s="1" t="n">
        <v>45635</v>
      </c>
      <c r="D417" t="inlineStr">
        <is>
          <t>UPPSALA LÄN</t>
        </is>
      </c>
      <c r="E417" t="inlineStr">
        <is>
          <t>ENKÖPING</t>
        </is>
      </c>
      <c r="G417" t="n">
        <v>5.2</v>
      </c>
      <c r="H417" t="n">
        <v>0</v>
      </c>
      <c r="I417" t="n">
        <v>0</v>
      </c>
      <c r="J417" t="n">
        <v>0</v>
      </c>
      <c r="K417" t="n">
        <v>0</v>
      </c>
      <c r="L417" t="n">
        <v>0</v>
      </c>
      <c r="M417" t="n">
        <v>0</v>
      </c>
      <c r="N417" t="n">
        <v>0</v>
      </c>
      <c r="O417" t="n">
        <v>0</v>
      </c>
      <c r="P417" t="n">
        <v>0</v>
      </c>
      <c r="Q417" t="n">
        <v>0</v>
      </c>
      <c r="R417" s="2" t="inlineStr"/>
    </row>
    <row r="418" ht="15" customHeight="1">
      <c r="A418" t="inlineStr">
        <is>
          <t>A 24815-2022</t>
        </is>
      </c>
      <c r="B418" s="1" t="n">
        <v>44728</v>
      </c>
      <c r="C418" s="1" t="n">
        <v>45635</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24883-2022</t>
        </is>
      </c>
      <c r="B419" s="1" t="n">
        <v>44728</v>
      </c>
      <c r="C419" s="1" t="n">
        <v>45635</v>
      </c>
      <c r="D419" t="inlineStr">
        <is>
          <t>UPPSALA LÄN</t>
        </is>
      </c>
      <c r="E419" t="inlineStr">
        <is>
          <t>ENKÖPING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26292-2022</t>
        </is>
      </c>
      <c r="B420" s="1" t="n">
        <v>44735</v>
      </c>
      <c r="C420" s="1" t="n">
        <v>45635</v>
      </c>
      <c r="D420" t="inlineStr">
        <is>
          <t>UPPSALA LÄN</t>
        </is>
      </c>
      <c r="E420" t="inlineStr">
        <is>
          <t>ENKÖPING</t>
        </is>
      </c>
      <c r="F420" t="inlineStr">
        <is>
          <t>Kyrkan</t>
        </is>
      </c>
      <c r="G420" t="n">
        <v>4.6</v>
      </c>
      <c r="H420" t="n">
        <v>0</v>
      </c>
      <c r="I420" t="n">
        <v>0</v>
      </c>
      <c r="J420" t="n">
        <v>0</v>
      </c>
      <c r="K420" t="n">
        <v>0</v>
      </c>
      <c r="L420" t="n">
        <v>0</v>
      </c>
      <c r="M420" t="n">
        <v>0</v>
      </c>
      <c r="N420" t="n">
        <v>0</v>
      </c>
      <c r="O420" t="n">
        <v>0</v>
      </c>
      <c r="P420" t="n">
        <v>0</v>
      </c>
      <c r="Q420" t="n">
        <v>0</v>
      </c>
      <c r="R420" s="2" t="inlineStr"/>
    </row>
    <row r="421" ht="15" customHeight="1">
      <c r="A421" t="inlineStr">
        <is>
          <t>A 26319-2022</t>
        </is>
      </c>
      <c r="B421" s="1" t="n">
        <v>44735</v>
      </c>
      <c r="C421" s="1" t="n">
        <v>45635</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29479-2022</t>
        </is>
      </c>
      <c r="B422" s="1" t="n">
        <v>44753</v>
      </c>
      <c r="C422" s="1" t="n">
        <v>45635</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29484-2022</t>
        </is>
      </c>
      <c r="B423" s="1" t="n">
        <v>44753</v>
      </c>
      <c r="C423" s="1" t="n">
        <v>45635</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29435-2022</t>
        </is>
      </c>
      <c r="B424" s="1" t="n">
        <v>44753</v>
      </c>
      <c r="C424" s="1" t="n">
        <v>45635</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29483-2022</t>
        </is>
      </c>
      <c r="B425" s="1" t="n">
        <v>44753</v>
      </c>
      <c r="C425" s="1" t="n">
        <v>45635</v>
      </c>
      <c r="D425" t="inlineStr">
        <is>
          <t>UPPSALA LÄN</t>
        </is>
      </c>
      <c r="E425" t="inlineStr">
        <is>
          <t>ENKÖPING</t>
        </is>
      </c>
      <c r="G425" t="n">
        <v>3.6</v>
      </c>
      <c r="H425" t="n">
        <v>0</v>
      </c>
      <c r="I425" t="n">
        <v>0</v>
      </c>
      <c r="J425" t="n">
        <v>0</v>
      </c>
      <c r="K425" t="n">
        <v>0</v>
      </c>
      <c r="L425" t="n">
        <v>0</v>
      </c>
      <c r="M425" t="n">
        <v>0</v>
      </c>
      <c r="N425" t="n">
        <v>0</v>
      </c>
      <c r="O425" t="n">
        <v>0</v>
      </c>
      <c r="P425" t="n">
        <v>0</v>
      </c>
      <c r="Q425" t="n">
        <v>0</v>
      </c>
      <c r="R425" s="2" t="inlineStr"/>
    </row>
    <row r="426" ht="15" customHeight="1">
      <c r="A426" t="inlineStr">
        <is>
          <t>A 29475-2022</t>
        </is>
      </c>
      <c r="B426" s="1" t="n">
        <v>44753</v>
      </c>
      <c r="C426" s="1" t="n">
        <v>45635</v>
      </c>
      <c r="D426" t="inlineStr">
        <is>
          <t>UPPSALA LÄN</t>
        </is>
      </c>
      <c r="E426" t="inlineStr">
        <is>
          <t>ENKÖPING</t>
        </is>
      </c>
      <c r="G426" t="n">
        <v>6.9</v>
      </c>
      <c r="H426" t="n">
        <v>0</v>
      </c>
      <c r="I426" t="n">
        <v>0</v>
      </c>
      <c r="J426" t="n">
        <v>0</v>
      </c>
      <c r="K426" t="n">
        <v>0</v>
      </c>
      <c r="L426" t="n">
        <v>0</v>
      </c>
      <c r="M426" t="n">
        <v>0</v>
      </c>
      <c r="N426" t="n">
        <v>0</v>
      </c>
      <c r="O426" t="n">
        <v>0</v>
      </c>
      <c r="P426" t="n">
        <v>0</v>
      </c>
      <c r="Q426" t="n">
        <v>0</v>
      </c>
      <c r="R426" s="2" t="inlineStr"/>
    </row>
    <row r="427" ht="15" customHeight="1">
      <c r="A427" t="inlineStr">
        <is>
          <t>A 29425-2022</t>
        </is>
      </c>
      <c r="B427" s="1" t="n">
        <v>44753</v>
      </c>
      <c r="C427" s="1" t="n">
        <v>45635</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29433-2022</t>
        </is>
      </c>
      <c r="B428" s="1" t="n">
        <v>44753</v>
      </c>
      <c r="C428" s="1" t="n">
        <v>45635</v>
      </c>
      <c r="D428" t="inlineStr">
        <is>
          <t>UPPSALA LÄN</t>
        </is>
      </c>
      <c r="E428" t="inlineStr">
        <is>
          <t>ENKÖPING</t>
        </is>
      </c>
      <c r="G428" t="n">
        <v>4.3</v>
      </c>
      <c r="H428" t="n">
        <v>0</v>
      </c>
      <c r="I428" t="n">
        <v>0</v>
      </c>
      <c r="J428" t="n">
        <v>0</v>
      </c>
      <c r="K428" t="n">
        <v>0</v>
      </c>
      <c r="L428" t="n">
        <v>0</v>
      </c>
      <c r="M428" t="n">
        <v>0</v>
      </c>
      <c r="N428" t="n">
        <v>0</v>
      </c>
      <c r="O428" t="n">
        <v>0</v>
      </c>
      <c r="P428" t="n">
        <v>0</v>
      </c>
      <c r="Q428" t="n">
        <v>0</v>
      </c>
      <c r="R428" s="2" t="inlineStr"/>
    </row>
    <row r="429" ht="15" customHeight="1">
      <c r="A429" t="inlineStr">
        <is>
          <t>A 29482-2022</t>
        </is>
      </c>
      <c r="B429" s="1" t="n">
        <v>44753</v>
      </c>
      <c r="C429" s="1" t="n">
        <v>45635</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30437-2022</t>
        </is>
      </c>
      <c r="B430" s="1" t="n">
        <v>44761</v>
      </c>
      <c r="C430" s="1" t="n">
        <v>45635</v>
      </c>
      <c r="D430" t="inlineStr">
        <is>
          <t>UPPSALA LÄN</t>
        </is>
      </c>
      <c r="E430" t="inlineStr">
        <is>
          <t>ENKÖPING</t>
        </is>
      </c>
      <c r="G430" t="n">
        <v>3.4</v>
      </c>
      <c r="H430" t="n">
        <v>0</v>
      </c>
      <c r="I430" t="n">
        <v>0</v>
      </c>
      <c r="J430" t="n">
        <v>0</v>
      </c>
      <c r="K430" t="n">
        <v>0</v>
      </c>
      <c r="L430" t="n">
        <v>0</v>
      </c>
      <c r="M430" t="n">
        <v>0</v>
      </c>
      <c r="N430" t="n">
        <v>0</v>
      </c>
      <c r="O430" t="n">
        <v>0</v>
      </c>
      <c r="P430" t="n">
        <v>0</v>
      </c>
      <c r="Q430" t="n">
        <v>0</v>
      </c>
      <c r="R430" s="2" t="inlineStr"/>
    </row>
    <row r="431" ht="15" customHeight="1">
      <c r="A431" t="inlineStr">
        <is>
          <t>A 30634-2022</t>
        </is>
      </c>
      <c r="B431" s="1" t="n">
        <v>44763</v>
      </c>
      <c r="C431" s="1" t="n">
        <v>45635</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31013-2022</t>
        </is>
      </c>
      <c r="B432" s="1" t="n">
        <v>44768</v>
      </c>
      <c r="C432" s="1" t="n">
        <v>45635</v>
      </c>
      <c r="D432" t="inlineStr">
        <is>
          <t>UPPSALA LÄN</t>
        </is>
      </c>
      <c r="E432" t="inlineStr">
        <is>
          <t>ENKÖPING</t>
        </is>
      </c>
      <c r="F432" t="inlineStr">
        <is>
          <t>Allmännings- och besparingsskogar</t>
        </is>
      </c>
      <c r="G432" t="n">
        <v>0.5</v>
      </c>
      <c r="H432" t="n">
        <v>0</v>
      </c>
      <c r="I432" t="n">
        <v>0</v>
      </c>
      <c r="J432" t="n">
        <v>0</v>
      </c>
      <c r="K432" t="n">
        <v>0</v>
      </c>
      <c r="L432" t="n">
        <v>0</v>
      </c>
      <c r="M432" t="n">
        <v>0</v>
      </c>
      <c r="N432" t="n">
        <v>0</v>
      </c>
      <c r="O432" t="n">
        <v>0</v>
      </c>
      <c r="P432" t="n">
        <v>0</v>
      </c>
      <c r="Q432" t="n">
        <v>0</v>
      </c>
      <c r="R432" s="2" t="inlineStr"/>
    </row>
    <row r="433" ht="15" customHeight="1">
      <c r="A433" t="inlineStr">
        <is>
          <t>A 31622-2022</t>
        </is>
      </c>
      <c r="B433" s="1" t="n">
        <v>44775</v>
      </c>
      <c r="C433" s="1" t="n">
        <v>45635</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33619-2022</t>
        </is>
      </c>
      <c r="B434" s="1" t="n">
        <v>44789</v>
      </c>
      <c r="C434" s="1" t="n">
        <v>45635</v>
      </c>
      <c r="D434" t="inlineStr">
        <is>
          <t>UPPSALA LÄN</t>
        </is>
      </c>
      <c r="E434" t="inlineStr">
        <is>
          <t>ENKÖPING</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33821-2022</t>
        </is>
      </c>
      <c r="B435" s="1" t="n">
        <v>44790</v>
      </c>
      <c r="C435" s="1" t="n">
        <v>45635</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34617-2022</t>
        </is>
      </c>
      <c r="B436" s="1" t="n">
        <v>44795</v>
      </c>
      <c r="C436" s="1" t="n">
        <v>45635</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37410-2022</t>
        </is>
      </c>
      <c r="B437" s="1" t="n">
        <v>44809</v>
      </c>
      <c r="C437" s="1" t="n">
        <v>45635</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37414-2022</t>
        </is>
      </c>
      <c r="B438" s="1" t="n">
        <v>44809</v>
      </c>
      <c r="C438" s="1" t="n">
        <v>45635</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38005-2022</t>
        </is>
      </c>
      <c r="B439" s="1" t="n">
        <v>44810</v>
      </c>
      <c r="C439" s="1" t="n">
        <v>45635</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38775-2022</t>
        </is>
      </c>
      <c r="B440" s="1" t="n">
        <v>44816</v>
      </c>
      <c r="C440" s="1" t="n">
        <v>45635</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39751-2022</t>
        </is>
      </c>
      <c r="B441" s="1" t="n">
        <v>44819</v>
      </c>
      <c r="C441" s="1" t="n">
        <v>45635</v>
      </c>
      <c r="D441" t="inlineStr">
        <is>
          <t>UPPSALA LÄN</t>
        </is>
      </c>
      <c r="E441" t="inlineStr">
        <is>
          <t>ENKÖPING</t>
        </is>
      </c>
      <c r="G441" t="n">
        <v>7.6</v>
      </c>
      <c r="H441" t="n">
        <v>0</v>
      </c>
      <c r="I441" t="n">
        <v>0</v>
      </c>
      <c r="J441" t="n">
        <v>0</v>
      </c>
      <c r="K441" t="n">
        <v>0</v>
      </c>
      <c r="L441" t="n">
        <v>0</v>
      </c>
      <c r="M441" t="n">
        <v>0</v>
      </c>
      <c r="N441" t="n">
        <v>0</v>
      </c>
      <c r="O441" t="n">
        <v>0</v>
      </c>
      <c r="P441" t="n">
        <v>0</v>
      </c>
      <c r="Q441" t="n">
        <v>0</v>
      </c>
      <c r="R441" s="2" t="inlineStr"/>
    </row>
    <row r="442" ht="15" customHeight="1">
      <c r="A442" t="inlineStr">
        <is>
          <t>A 39922-2022</t>
        </is>
      </c>
      <c r="B442" s="1" t="n">
        <v>44819</v>
      </c>
      <c r="C442" s="1" t="n">
        <v>45635</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40773-2022</t>
        </is>
      </c>
      <c r="B443" s="1" t="n">
        <v>44824</v>
      </c>
      <c r="C443" s="1" t="n">
        <v>45635</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40812-2022</t>
        </is>
      </c>
      <c r="B444" s="1" t="n">
        <v>44824</v>
      </c>
      <c r="C444" s="1" t="n">
        <v>45635</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41736-2022</t>
        </is>
      </c>
      <c r="B445" s="1" t="n">
        <v>44827</v>
      </c>
      <c r="C445" s="1" t="n">
        <v>45635</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41737-2022</t>
        </is>
      </c>
      <c r="B446" s="1" t="n">
        <v>44827</v>
      </c>
      <c r="C446" s="1" t="n">
        <v>45635</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41753-2022</t>
        </is>
      </c>
      <c r="B447" s="1" t="n">
        <v>44827</v>
      </c>
      <c r="C447" s="1" t="n">
        <v>45635</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42589-2022</t>
        </is>
      </c>
      <c r="B448" s="1" t="n">
        <v>44831</v>
      </c>
      <c r="C448" s="1" t="n">
        <v>45635</v>
      </c>
      <c r="D448" t="inlineStr">
        <is>
          <t>UPPSALA LÄN</t>
        </is>
      </c>
      <c r="E448" t="inlineStr">
        <is>
          <t>ENKÖPING</t>
        </is>
      </c>
      <c r="G448" t="n">
        <v>20</v>
      </c>
      <c r="H448" t="n">
        <v>0</v>
      </c>
      <c r="I448" t="n">
        <v>0</v>
      </c>
      <c r="J448" t="n">
        <v>0</v>
      </c>
      <c r="K448" t="n">
        <v>0</v>
      </c>
      <c r="L448" t="n">
        <v>0</v>
      </c>
      <c r="M448" t="n">
        <v>0</v>
      </c>
      <c r="N448" t="n">
        <v>0</v>
      </c>
      <c r="O448" t="n">
        <v>0</v>
      </c>
      <c r="P448" t="n">
        <v>0</v>
      </c>
      <c r="Q448" t="n">
        <v>0</v>
      </c>
      <c r="R448" s="2" t="inlineStr"/>
    </row>
    <row r="449" ht="15" customHeight="1">
      <c r="A449" t="inlineStr">
        <is>
          <t>A 42592-2022</t>
        </is>
      </c>
      <c r="B449" s="1" t="n">
        <v>44831</v>
      </c>
      <c r="C449" s="1" t="n">
        <v>45635</v>
      </c>
      <c r="D449" t="inlineStr">
        <is>
          <t>UPPSALA LÄN</t>
        </is>
      </c>
      <c r="E449" t="inlineStr">
        <is>
          <t>ENKÖPING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43896-2022</t>
        </is>
      </c>
      <c r="B450" s="1" t="n">
        <v>44838</v>
      </c>
      <c r="C450" s="1" t="n">
        <v>45635</v>
      </c>
      <c r="D450" t="inlineStr">
        <is>
          <t>UPPSALA LÄN</t>
        </is>
      </c>
      <c r="E450" t="inlineStr">
        <is>
          <t>ENKÖPING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45362-2022</t>
        </is>
      </c>
      <c r="B451" s="1" t="n">
        <v>44844</v>
      </c>
      <c r="C451" s="1" t="n">
        <v>45635</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45283-2022</t>
        </is>
      </c>
      <c r="B452" s="1" t="n">
        <v>44844</v>
      </c>
      <c r="C452" s="1" t="n">
        <v>45635</v>
      </c>
      <c r="D452" t="inlineStr">
        <is>
          <t>UPPSALA LÄN</t>
        </is>
      </c>
      <c r="E452" t="inlineStr">
        <is>
          <t>ENKÖPING</t>
        </is>
      </c>
      <c r="G452" t="n">
        <v>5.9</v>
      </c>
      <c r="H452" t="n">
        <v>0</v>
      </c>
      <c r="I452" t="n">
        <v>0</v>
      </c>
      <c r="J452" t="n">
        <v>0</v>
      </c>
      <c r="K452" t="n">
        <v>0</v>
      </c>
      <c r="L452" t="n">
        <v>0</v>
      </c>
      <c r="M452" t="n">
        <v>0</v>
      </c>
      <c r="N452" t="n">
        <v>0</v>
      </c>
      <c r="O452" t="n">
        <v>0</v>
      </c>
      <c r="P452" t="n">
        <v>0</v>
      </c>
      <c r="Q452" t="n">
        <v>0</v>
      </c>
      <c r="R452" s="2" t="inlineStr"/>
    </row>
    <row r="453" ht="15" customHeight="1">
      <c r="A453" t="inlineStr">
        <is>
          <t>A 45852-2022</t>
        </is>
      </c>
      <c r="B453" s="1" t="n">
        <v>44846</v>
      </c>
      <c r="C453" s="1" t="n">
        <v>45635</v>
      </c>
      <c r="D453" t="inlineStr">
        <is>
          <t>UPPSALA LÄN</t>
        </is>
      </c>
      <c r="E453" t="inlineStr">
        <is>
          <t>ENKÖPING</t>
        </is>
      </c>
      <c r="G453" t="n">
        <v>6</v>
      </c>
      <c r="H453" t="n">
        <v>0</v>
      </c>
      <c r="I453" t="n">
        <v>0</v>
      </c>
      <c r="J453" t="n">
        <v>0</v>
      </c>
      <c r="K453" t="n">
        <v>0</v>
      </c>
      <c r="L453" t="n">
        <v>0</v>
      </c>
      <c r="M453" t="n">
        <v>0</v>
      </c>
      <c r="N453" t="n">
        <v>0</v>
      </c>
      <c r="O453" t="n">
        <v>0</v>
      </c>
      <c r="P453" t="n">
        <v>0</v>
      </c>
      <c r="Q453" t="n">
        <v>0</v>
      </c>
      <c r="R453" s="2" t="inlineStr"/>
    </row>
    <row r="454" ht="15" customHeight="1">
      <c r="A454" t="inlineStr">
        <is>
          <t>A 46749-2022</t>
        </is>
      </c>
      <c r="B454" s="1" t="n">
        <v>44851</v>
      </c>
      <c r="C454" s="1" t="n">
        <v>45635</v>
      </c>
      <c r="D454" t="inlineStr">
        <is>
          <t>UPPSALA LÄN</t>
        </is>
      </c>
      <c r="E454" t="inlineStr">
        <is>
          <t>ENKÖPING</t>
        </is>
      </c>
      <c r="G454" t="n">
        <v>6.6</v>
      </c>
      <c r="H454" t="n">
        <v>0</v>
      </c>
      <c r="I454" t="n">
        <v>0</v>
      </c>
      <c r="J454" t="n">
        <v>0</v>
      </c>
      <c r="K454" t="n">
        <v>0</v>
      </c>
      <c r="L454" t="n">
        <v>0</v>
      </c>
      <c r="M454" t="n">
        <v>0</v>
      </c>
      <c r="N454" t="n">
        <v>0</v>
      </c>
      <c r="O454" t="n">
        <v>0</v>
      </c>
      <c r="P454" t="n">
        <v>0</v>
      </c>
      <c r="Q454" t="n">
        <v>0</v>
      </c>
      <c r="R454" s="2" t="inlineStr"/>
    </row>
    <row r="455" ht="15" customHeight="1">
      <c r="A455" t="inlineStr">
        <is>
          <t>A 47431-2022</t>
        </is>
      </c>
      <c r="B455" s="1" t="n">
        <v>44853</v>
      </c>
      <c r="C455" s="1" t="n">
        <v>45635</v>
      </c>
      <c r="D455" t="inlineStr">
        <is>
          <t>UPPSALA LÄN</t>
        </is>
      </c>
      <c r="E455" t="inlineStr">
        <is>
          <t>ENKÖPING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47516-2022</t>
        </is>
      </c>
      <c r="B456" s="1" t="n">
        <v>44853</v>
      </c>
      <c r="C456" s="1" t="n">
        <v>45635</v>
      </c>
      <c r="D456" t="inlineStr">
        <is>
          <t>UPPSALA LÄN</t>
        </is>
      </c>
      <c r="E456" t="inlineStr">
        <is>
          <t>ENKÖPING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48230-2022</t>
        </is>
      </c>
      <c r="B457" s="1" t="n">
        <v>44858</v>
      </c>
      <c r="C457" s="1" t="n">
        <v>45635</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48233-2022</t>
        </is>
      </c>
      <c r="B458" s="1" t="n">
        <v>44858</v>
      </c>
      <c r="C458" s="1" t="n">
        <v>45635</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48864-2022</t>
        </is>
      </c>
      <c r="B459" s="1" t="n">
        <v>44859</v>
      </c>
      <c r="C459" s="1" t="n">
        <v>45635</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49557-2022</t>
        </is>
      </c>
      <c r="B460" s="1" t="n">
        <v>44862</v>
      </c>
      <c r="C460" s="1" t="n">
        <v>45635</v>
      </c>
      <c r="D460" t="inlineStr">
        <is>
          <t>UPPSALA LÄN</t>
        </is>
      </c>
      <c r="E460" t="inlineStr">
        <is>
          <t>ENKÖPING</t>
        </is>
      </c>
      <c r="G460" t="n">
        <v>2.9</v>
      </c>
      <c r="H460" t="n">
        <v>0</v>
      </c>
      <c r="I460" t="n">
        <v>0</v>
      </c>
      <c r="J460" t="n">
        <v>0</v>
      </c>
      <c r="K460" t="n">
        <v>0</v>
      </c>
      <c r="L460" t="n">
        <v>0</v>
      </c>
      <c r="M460" t="n">
        <v>0</v>
      </c>
      <c r="N460" t="n">
        <v>0</v>
      </c>
      <c r="O460" t="n">
        <v>0</v>
      </c>
      <c r="P460" t="n">
        <v>0</v>
      </c>
      <c r="Q460" t="n">
        <v>0</v>
      </c>
      <c r="R460" s="2" t="inlineStr"/>
    </row>
    <row r="461" ht="15" customHeight="1">
      <c r="A461" t="inlineStr">
        <is>
          <t>A 49562-2022</t>
        </is>
      </c>
      <c r="B461" s="1" t="n">
        <v>44862</v>
      </c>
      <c r="C461" s="1" t="n">
        <v>45635</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49560-2022</t>
        </is>
      </c>
      <c r="B462" s="1" t="n">
        <v>44862</v>
      </c>
      <c r="C462" s="1" t="n">
        <v>45635</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49568-2022</t>
        </is>
      </c>
      <c r="B463" s="1" t="n">
        <v>44862</v>
      </c>
      <c r="C463" s="1" t="n">
        <v>45635</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50747-2022</t>
        </is>
      </c>
      <c r="B464" s="1" t="n">
        <v>44867</v>
      </c>
      <c r="C464" s="1" t="n">
        <v>45635</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51524-2022</t>
        </is>
      </c>
      <c r="B465" s="1" t="n">
        <v>44869</v>
      </c>
      <c r="C465" s="1" t="n">
        <v>45635</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51932-2022</t>
        </is>
      </c>
      <c r="B466" s="1" t="n">
        <v>44872</v>
      </c>
      <c r="C466" s="1" t="n">
        <v>45635</v>
      </c>
      <c r="D466" t="inlineStr">
        <is>
          <t>UPPSALA LÄN</t>
        </is>
      </c>
      <c r="E466" t="inlineStr">
        <is>
          <t>ENKÖPING</t>
        </is>
      </c>
      <c r="G466" t="n">
        <v>5.5</v>
      </c>
      <c r="H466" t="n">
        <v>0</v>
      </c>
      <c r="I466" t="n">
        <v>0</v>
      </c>
      <c r="J466" t="n">
        <v>0</v>
      </c>
      <c r="K466" t="n">
        <v>0</v>
      </c>
      <c r="L466" t="n">
        <v>0</v>
      </c>
      <c r="M466" t="n">
        <v>0</v>
      </c>
      <c r="N466" t="n">
        <v>0</v>
      </c>
      <c r="O466" t="n">
        <v>0</v>
      </c>
      <c r="P466" t="n">
        <v>0</v>
      </c>
      <c r="Q466" t="n">
        <v>0</v>
      </c>
      <c r="R466" s="2" t="inlineStr"/>
    </row>
    <row r="467" ht="15" customHeight="1">
      <c r="A467" t="inlineStr">
        <is>
          <t>A 52895-2022</t>
        </is>
      </c>
      <c r="B467" s="1" t="n">
        <v>44875</v>
      </c>
      <c r="C467" s="1" t="n">
        <v>45635</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52893-2022</t>
        </is>
      </c>
      <c r="B468" s="1" t="n">
        <v>44875</v>
      </c>
      <c r="C468" s="1" t="n">
        <v>45635</v>
      </c>
      <c r="D468" t="inlineStr">
        <is>
          <t>UPPSALA LÄN</t>
        </is>
      </c>
      <c r="E468" t="inlineStr">
        <is>
          <t>ENKÖPING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52889-2022</t>
        </is>
      </c>
      <c r="B469" s="1" t="n">
        <v>44875</v>
      </c>
      <c r="C469" s="1" t="n">
        <v>45635</v>
      </c>
      <c r="D469" t="inlineStr">
        <is>
          <t>UPPSALA LÄN</t>
        </is>
      </c>
      <c r="E469" t="inlineStr">
        <is>
          <t>ENKÖPING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52896-2022</t>
        </is>
      </c>
      <c r="B470" s="1" t="n">
        <v>44875</v>
      </c>
      <c r="C470" s="1" t="n">
        <v>45635</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53496-2022</t>
        </is>
      </c>
      <c r="B471" s="1" t="n">
        <v>44879</v>
      </c>
      <c r="C471" s="1" t="n">
        <v>45635</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56526-2022</t>
        </is>
      </c>
      <c r="B472" s="1" t="n">
        <v>44893</v>
      </c>
      <c r="C472" s="1" t="n">
        <v>45635</v>
      </c>
      <c r="D472" t="inlineStr">
        <is>
          <t>UPPSALA LÄN</t>
        </is>
      </c>
      <c r="E472" t="inlineStr">
        <is>
          <t>ENKÖPING</t>
        </is>
      </c>
      <c r="G472" t="n">
        <v>3.8</v>
      </c>
      <c r="H472" t="n">
        <v>0</v>
      </c>
      <c r="I472" t="n">
        <v>0</v>
      </c>
      <c r="J472" t="n">
        <v>0</v>
      </c>
      <c r="K472" t="n">
        <v>0</v>
      </c>
      <c r="L472" t="n">
        <v>0</v>
      </c>
      <c r="M472" t="n">
        <v>0</v>
      </c>
      <c r="N472" t="n">
        <v>0</v>
      </c>
      <c r="O472" t="n">
        <v>0</v>
      </c>
      <c r="P472" t="n">
        <v>0</v>
      </c>
      <c r="Q472" t="n">
        <v>0</v>
      </c>
      <c r="R472" s="2" t="inlineStr"/>
    </row>
    <row r="473" ht="15" customHeight="1">
      <c r="A473" t="inlineStr">
        <is>
          <t>A 57563-2022</t>
        </is>
      </c>
      <c r="B473" s="1" t="n">
        <v>44896</v>
      </c>
      <c r="C473" s="1" t="n">
        <v>45635</v>
      </c>
      <c r="D473" t="inlineStr">
        <is>
          <t>UPPSALA LÄN</t>
        </is>
      </c>
      <c r="E473" t="inlineStr">
        <is>
          <t>ENKÖPING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57940-2022</t>
        </is>
      </c>
      <c r="B474" s="1" t="n">
        <v>44900</v>
      </c>
      <c r="C474" s="1" t="n">
        <v>45635</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58384-2022</t>
        </is>
      </c>
      <c r="B475" s="1" t="n">
        <v>44901</v>
      </c>
      <c r="C475" s="1" t="n">
        <v>45635</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59190-2022</t>
        </is>
      </c>
      <c r="B476" s="1" t="n">
        <v>44904</v>
      </c>
      <c r="C476" s="1" t="n">
        <v>45635</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59200-2022</t>
        </is>
      </c>
      <c r="B477" s="1" t="n">
        <v>44904</v>
      </c>
      <c r="C477" s="1" t="n">
        <v>45635</v>
      </c>
      <c r="D477" t="inlineStr">
        <is>
          <t>UPPSALA LÄN</t>
        </is>
      </c>
      <c r="E477" t="inlineStr">
        <is>
          <t>ENKÖPING</t>
        </is>
      </c>
      <c r="G477" t="n">
        <v>3.1</v>
      </c>
      <c r="H477" t="n">
        <v>0</v>
      </c>
      <c r="I477" t="n">
        <v>0</v>
      </c>
      <c r="J477" t="n">
        <v>0</v>
      </c>
      <c r="K477" t="n">
        <v>0</v>
      </c>
      <c r="L477" t="n">
        <v>0</v>
      </c>
      <c r="M477" t="n">
        <v>0</v>
      </c>
      <c r="N477" t="n">
        <v>0</v>
      </c>
      <c r="O477" t="n">
        <v>0</v>
      </c>
      <c r="P477" t="n">
        <v>0</v>
      </c>
      <c r="Q477" t="n">
        <v>0</v>
      </c>
      <c r="R477" s="2" t="inlineStr"/>
    </row>
    <row r="478" ht="15" customHeight="1">
      <c r="A478" t="inlineStr">
        <is>
          <t>A 59337-2022</t>
        </is>
      </c>
      <c r="B478" s="1" t="n">
        <v>44904</v>
      </c>
      <c r="C478" s="1" t="n">
        <v>45635</v>
      </c>
      <c r="D478" t="inlineStr">
        <is>
          <t>UPPSALA LÄN</t>
        </is>
      </c>
      <c r="E478" t="inlineStr">
        <is>
          <t>ENKÖPING</t>
        </is>
      </c>
      <c r="G478" t="n">
        <v>8.4</v>
      </c>
      <c r="H478" t="n">
        <v>0</v>
      </c>
      <c r="I478" t="n">
        <v>0</v>
      </c>
      <c r="J478" t="n">
        <v>0</v>
      </c>
      <c r="K478" t="n">
        <v>0</v>
      </c>
      <c r="L478" t="n">
        <v>0</v>
      </c>
      <c r="M478" t="n">
        <v>0</v>
      </c>
      <c r="N478" t="n">
        <v>0</v>
      </c>
      <c r="O478" t="n">
        <v>0</v>
      </c>
      <c r="P478" t="n">
        <v>0</v>
      </c>
      <c r="Q478" t="n">
        <v>0</v>
      </c>
      <c r="R478" s="2" t="inlineStr"/>
    </row>
    <row r="479" ht="15" customHeight="1">
      <c r="A479" t="inlineStr">
        <is>
          <t>A 59203-2022</t>
        </is>
      </c>
      <c r="B479" s="1" t="n">
        <v>44904</v>
      </c>
      <c r="C479" s="1" t="n">
        <v>45635</v>
      </c>
      <c r="D479" t="inlineStr">
        <is>
          <t>UPPSALA LÄN</t>
        </is>
      </c>
      <c r="E479" t="inlineStr">
        <is>
          <t>ENKÖPING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59344-2022</t>
        </is>
      </c>
      <c r="B480" s="1" t="n">
        <v>44904</v>
      </c>
      <c r="C480" s="1" t="n">
        <v>45635</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59345-2022</t>
        </is>
      </c>
      <c r="B481" s="1" t="n">
        <v>44904</v>
      </c>
      <c r="C481" s="1" t="n">
        <v>45635</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59609-2022</t>
        </is>
      </c>
      <c r="B482" s="1" t="n">
        <v>44907</v>
      </c>
      <c r="C482" s="1" t="n">
        <v>45635</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59608-2022</t>
        </is>
      </c>
      <c r="B483" s="1" t="n">
        <v>44907</v>
      </c>
      <c r="C483" s="1" t="n">
        <v>45635</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59602-2022</t>
        </is>
      </c>
      <c r="B484" s="1" t="n">
        <v>44907</v>
      </c>
      <c r="C484" s="1" t="n">
        <v>45635</v>
      </c>
      <c r="D484" t="inlineStr">
        <is>
          <t>UPPSALA LÄN</t>
        </is>
      </c>
      <c r="E484" t="inlineStr">
        <is>
          <t>ENKÖPING</t>
        </is>
      </c>
      <c r="G484" t="n">
        <v>14.2</v>
      </c>
      <c r="H484" t="n">
        <v>0</v>
      </c>
      <c r="I484" t="n">
        <v>0</v>
      </c>
      <c r="J484" t="n">
        <v>0</v>
      </c>
      <c r="K484" t="n">
        <v>0</v>
      </c>
      <c r="L484" t="n">
        <v>0</v>
      </c>
      <c r="M484" t="n">
        <v>0</v>
      </c>
      <c r="N484" t="n">
        <v>0</v>
      </c>
      <c r="O484" t="n">
        <v>0</v>
      </c>
      <c r="P484" t="n">
        <v>0</v>
      </c>
      <c r="Q484" t="n">
        <v>0</v>
      </c>
      <c r="R484" s="2" t="inlineStr"/>
    </row>
    <row r="485" ht="15" customHeight="1">
      <c r="A485" t="inlineStr">
        <is>
          <t>A 59610-2022</t>
        </is>
      </c>
      <c r="B485" s="1" t="n">
        <v>44907</v>
      </c>
      <c r="C485" s="1" t="n">
        <v>45635</v>
      </c>
      <c r="D485" t="inlineStr">
        <is>
          <t>UPPSALA LÄN</t>
        </is>
      </c>
      <c r="E485" t="inlineStr">
        <is>
          <t>ENKÖPING</t>
        </is>
      </c>
      <c r="G485" t="n">
        <v>3.6</v>
      </c>
      <c r="H485" t="n">
        <v>0</v>
      </c>
      <c r="I485" t="n">
        <v>0</v>
      </c>
      <c r="J485" t="n">
        <v>0</v>
      </c>
      <c r="K485" t="n">
        <v>0</v>
      </c>
      <c r="L485" t="n">
        <v>0</v>
      </c>
      <c r="M485" t="n">
        <v>0</v>
      </c>
      <c r="N485" t="n">
        <v>0</v>
      </c>
      <c r="O485" t="n">
        <v>0</v>
      </c>
      <c r="P485" t="n">
        <v>0</v>
      </c>
      <c r="Q485" t="n">
        <v>0</v>
      </c>
      <c r="R485" s="2" t="inlineStr"/>
    </row>
    <row r="486" ht="15" customHeight="1">
      <c r="A486" t="inlineStr">
        <is>
          <t>A 60132-2022</t>
        </is>
      </c>
      <c r="B486" s="1" t="n">
        <v>44909</v>
      </c>
      <c r="C486" s="1" t="n">
        <v>45635</v>
      </c>
      <c r="D486" t="inlineStr">
        <is>
          <t>UPPSALA LÄN</t>
        </is>
      </c>
      <c r="E486" t="inlineStr">
        <is>
          <t>ENKÖPING</t>
        </is>
      </c>
      <c r="F486" t="inlineStr">
        <is>
          <t>Allmännings- och besparingsskogar</t>
        </is>
      </c>
      <c r="G486" t="n">
        <v>5.4</v>
      </c>
      <c r="H486" t="n">
        <v>0</v>
      </c>
      <c r="I486" t="n">
        <v>0</v>
      </c>
      <c r="J486" t="n">
        <v>0</v>
      </c>
      <c r="K486" t="n">
        <v>0</v>
      </c>
      <c r="L486" t="n">
        <v>0</v>
      </c>
      <c r="M486" t="n">
        <v>0</v>
      </c>
      <c r="N486" t="n">
        <v>0</v>
      </c>
      <c r="O486" t="n">
        <v>0</v>
      </c>
      <c r="P486" t="n">
        <v>0</v>
      </c>
      <c r="Q486" t="n">
        <v>0</v>
      </c>
      <c r="R486" s="2" t="inlineStr"/>
    </row>
    <row r="487" ht="15" customHeight="1">
      <c r="A487" t="inlineStr">
        <is>
          <t>A 60289-2022</t>
        </is>
      </c>
      <c r="B487" s="1" t="n">
        <v>44910</v>
      </c>
      <c r="C487" s="1" t="n">
        <v>45635</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60350-2022</t>
        </is>
      </c>
      <c r="B488" s="1" t="n">
        <v>44910</v>
      </c>
      <c r="C488" s="1" t="n">
        <v>45635</v>
      </c>
      <c r="D488" t="inlineStr">
        <is>
          <t>UPPSALA LÄN</t>
        </is>
      </c>
      <c r="E488" t="inlineStr">
        <is>
          <t>ENKÖPING</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60478-2022</t>
        </is>
      </c>
      <c r="B489" s="1" t="n">
        <v>44911</v>
      </c>
      <c r="C489" s="1" t="n">
        <v>45635</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61125-2022</t>
        </is>
      </c>
      <c r="B490" s="1" t="n">
        <v>44915</v>
      </c>
      <c r="C490" s="1" t="n">
        <v>45635</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61181-2022</t>
        </is>
      </c>
      <c r="B491" s="1" t="n">
        <v>44915</v>
      </c>
      <c r="C491" s="1" t="n">
        <v>45635</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61106-2022</t>
        </is>
      </c>
      <c r="B492" s="1" t="n">
        <v>44915</v>
      </c>
      <c r="C492" s="1" t="n">
        <v>45635</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61800-2022</t>
        </is>
      </c>
      <c r="B493" s="1" t="n">
        <v>44917</v>
      </c>
      <c r="C493" s="1" t="n">
        <v>45635</v>
      </c>
      <c r="D493" t="inlineStr">
        <is>
          <t>UPPSALA LÄN</t>
        </is>
      </c>
      <c r="E493" t="inlineStr">
        <is>
          <t>ENKÖPING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62716-2022</t>
        </is>
      </c>
      <c r="B494" s="1" t="n">
        <v>44917</v>
      </c>
      <c r="C494" s="1" t="n">
        <v>45635</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62423-2022</t>
        </is>
      </c>
      <c r="B495" s="1" t="n">
        <v>44924</v>
      </c>
      <c r="C495" s="1" t="n">
        <v>45635</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62419-2022</t>
        </is>
      </c>
      <c r="B496" s="1" t="n">
        <v>44924</v>
      </c>
      <c r="C496" s="1" t="n">
        <v>45635</v>
      </c>
      <c r="D496" t="inlineStr">
        <is>
          <t>UPPSALA LÄN</t>
        </is>
      </c>
      <c r="E496" t="inlineStr">
        <is>
          <t>ENKÖPING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799-2023</t>
        </is>
      </c>
      <c r="B497" s="1" t="n">
        <v>44931</v>
      </c>
      <c r="C497" s="1" t="n">
        <v>45635</v>
      </c>
      <c r="D497" t="inlineStr">
        <is>
          <t>UPPSALA LÄN</t>
        </is>
      </c>
      <c r="E497" t="inlineStr">
        <is>
          <t>ENKÖPING</t>
        </is>
      </c>
      <c r="G497" t="n">
        <v>3.1</v>
      </c>
      <c r="H497" t="n">
        <v>0</v>
      </c>
      <c r="I497" t="n">
        <v>0</v>
      </c>
      <c r="J497" t="n">
        <v>0</v>
      </c>
      <c r="K497" t="n">
        <v>0</v>
      </c>
      <c r="L497" t="n">
        <v>0</v>
      </c>
      <c r="M497" t="n">
        <v>0</v>
      </c>
      <c r="N497" t="n">
        <v>0</v>
      </c>
      <c r="O497" t="n">
        <v>0</v>
      </c>
      <c r="P497" t="n">
        <v>0</v>
      </c>
      <c r="Q497" t="n">
        <v>0</v>
      </c>
      <c r="R497" s="2" t="inlineStr"/>
    </row>
    <row r="498" ht="15" customHeight="1">
      <c r="A498" t="inlineStr">
        <is>
          <t>A 1587-2023</t>
        </is>
      </c>
      <c r="B498" s="1" t="n">
        <v>44937</v>
      </c>
      <c r="C498" s="1" t="n">
        <v>45635</v>
      </c>
      <c r="D498" t="inlineStr">
        <is>
          <t>UPPSALA LÄN</t>
        </is>
      </c>
      <c r="E498" t="inlineStr">
        <is>
          <t>ENKÖPING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1593-2023</t>
        </is>
      </c>
      <c r="B499" s="1" t="n">
        <v>44937</v>
      </c>
      <c r="C499" s="1" t="n">
        <v>45635</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2161-2023</t>
        </is>
      </c>
      <c r="B500" s="1" t="n">
        <v>44941</v>
      </c>
      <c r="C500" s="1" t="n">
        <v>45635</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2165-2023</t>
        </is>
      </c>
      <c r="B501" s="1" t="n">
        <v>44941</v>
      </c>
      <c r="C501" s="1" t="n">
        <v>45635</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2162-2023</t>
        </is>
      </c>
      <c r="B502" s="1" t="n">
        <v>44941</v>
      </c>
      <c r="C502" s="1" t="n">
        <v>45635</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2164-2023</t>
        </is>
      </c>
      <c r="B503" s="1" t="n">
        <v>44941</v>
      </c>
      <c r="C503" s="1" t="n">
        <v>45635</v>
      </c>
      <c r="D503" t="inlineStr">
        <is>
          <t>UPPSALA LÄN</t>
        </is>
      </c>
      <c r="E503" t="inlineStr">
        <is>
          <t>ENKÖPING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3550-2023</t>
        </is>
      </c>
      <c r="B504" s="1" t="n">
        <v>44950</v>
      </c>
      <c r="C504" s="1" t="n">
        <v>45635</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3538-2023</t>
        </is>
      </c>
      <c r="B505" s="1" t="n">
        <v>44950</v>
      </c>
      <c r="C505" s="1" t="n">
        <v>45635</v>
      </c>
      <c r="D505" t="inlineStr">
        <is>
          <t>UPPSALA LÄN</t>
        </is>
      </c>
      <c r="E505" t="inlineStr">
        <is>
          <t>ENKÖPING</t>
        </is>
      </c>
      <c r="G505" t="n">
        <v>4.2</v>
      </c>
      <c r="H505" t="n">
        <v>0</v>
      </c>
      <c r="I505" t="n">
        <v>0</v>
      </c>
      <c r="J505" t="n">
        <v>0</v>
      </c>
      <c r="K505" t="n">
        <v>0</v>
      </c>
      <c r="L505" t="n">
        <v>0</v>
      </c>
      <c r="M505" t="n">
        <v>0</v>
      </c>
      <c r="N505" t="n">
        <v>0</v>
      </c>
      <c r="O505" t="n">
        <v>0</v>
      </c>
      <c r="P505" t="n">
        <v>0</v>
      </c>
      <c r="Q505" t="n">
        <v>0</v>
      </c>
      <c r="R505" s="2" t="inlineStr"/>
    </row>
    <row r="506" ht="15" customHeight="1">
      <c r="A506" t="inlineStr">
        <is>
          <t>A 4901-2023</t>
        </is>
      </c>
      <c r="B506" s="1" t="n">
        <v>44958</v>
      </c>
      <c r="C506" s="1" t="n">
        <v>45635</v>
      </c>
      <c r="D506" t="inlineStr">
        <is>
          <t>UPPSALA LÄN</t>
        </is>
      </c>
      <c r="E506" t="inlineStr">
        <is>
          <t>ENKÖPING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5892-2023</t>
        </is>
      </c>
      <c r="B507" s="1" t="n">
        <v>44963</v>
      </c>
      <c r="C507" s="1" t="n">
        <v>45635</v>
      </c>
      <c r="D507" t="inlineStr">
        <is>
          <t>UPPSALA LÄN</t>
        </is>
      </c>
      <c r="E507" t="inlineStr">
        <is>
          <t>ENKÖPING</t>
        </is>
      </c>
      <c r="G507" t="n">
        <v>5.5</v>
      </c>
      <c r="H507" t="n">
        <v>0</v>
      </c>
      <c r="I507" t="n">
        <v>0</v>
      </c>
      <c r="J507" t="n">
        <v>0</v>
      </c>
      <c r="K507" t="n">
        <v>0</v>
      </c>
      <c r="L507" t="n">
        <v>0</v>
      </c>
      <c r="M507" t="n">
        <v>0</v>
      </c>
      <c r="N507" t="n">
        <v>0</v>
      </c>
      <c r="O507" t="n">
        <v>0</v>
      </c>
      <c r="P507" t="n">
        <v>0</v>
      </c>
      <c r="Q507" t="n">
        <v>0</v>
      </c>
      <c r="R507" s="2" t="inlineStr"/>
    </row>
    <row r="508" ht="15" customHeight="1">
      <c r="A508" t="inlineStr">
        <is>
          <t>A 6172-2023</t>
        </is>
      </c>
      <c r="B508" s="1" t="n">
        <v>44964</v>
      </c>
      <c r="C508" s="1" t="n">
        <v>45635</v>
      </c>
      <c r="D508" t="inlineStr">
        <is>
          <t>UPPSALA LÄN</t>
        </is>
      </c>
      <c r="E508" t="inlineStr">
        <is>
          <t>ENKÖPING</t>
        </is>
      </c>
      <c r="G508" t="n">
        <v>2.6</v>
      </c>
      <c r="H508" t="n">
        <v>0</v>
      </c>
      <c r="I508" t="n">
        <v>0</v>
      </c>
      <c r="J508" t="n">
        <v>0</v>
      </c>
      <c r="K508" t="n">
        <v>0</v>
      </c>
      <c r="L508" t="n">
        <v>0</v>
      </c>
      <c r="M508" t="n">
        <v>0</v>
      </c>
      <c r="N508" t="n">
        <v>0</v>
      </c>
      <c r="O508" t="n">
        <v>0</v>
      </c>
      <c r="P508" t="n">
        <v>0</v>
      </c>
      <c r="Q508" t="n">
        <v>0</v>
      </c>
      <c r="R508" s="2" t="inlineStr"/>
    </row>
    <row r="509" ht="15" customHeight="1">
      <c r="A509" t="inlineStr">
        <is>
          <t>A 6620-2023</t>
        </is>
      </c>
      <c r="B509" s="1" t="n">
        <v>44966</v>
      </c>
      <c r="C509" s="1" t="n">
        <v>45635</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6623-2023</t>
        </is>
      </c>
      <c r="B510" s="1" t="n">
        <v>44966</v>
      </c>
      <c r="C510" s="1" t="n">
        <v>45635</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6624-2023</t>
        </is>
      </c>
      <c r="B511" s="1" t="n">
        <v>44966</v>
      </c>
      <c r="C511" s="1" t="n">
        <v>45635</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6626-2023</t>
        </is>
      </c>
      <c r="B512" s="1" t="n">
        <v>44966</v>
      </c>
      <c r="C512" s="1" t="n">
        <v>45635</v>
      </c>
      <c r="D512" t="inlineStr">
        <is>
          <t>UPPSALA LÄN</t>
        </is>
      </c>
      <c r="E512" t="inlineStr">
        <is>
          <t>ENKÖPING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9957-2023</t>
        </is>
      </c>
      <c r="B513" s="1" t="n">
        <v>44978</v>
      </c>
      <c r="C513" s="1" t="n">
        <v>45635</v>
      </c>
      <c r="D513" t="inlineStr">
        <is>
          <t>UPPSALA LÄN</t>
        </is>
      </c>
      <c r="E513" t="inlineStr">
        <is>
          <t>ENKÖPING</t>
        </is>
      </c>
      <c r="G513" t="n">
        <v>5.9</v>
      </c>
      <c r="H513" t="n">
        <v>0</v>
      </c>
      <c r="I513" t="n">
        <v>0</v>
      </c>
      <c r="J513" t="n">
        <v>0</v>
      </c>
      <c r="K513" t="n">
        <v>0</v>
      </c>
      <c r="L513" t="n">
        <v>0</v>
      </c>
      <c r="M513" t="n">
        <v>0</v>
      </c>
      <c r="N513" t="n">
        <v>0</v>
      </c>
      <c r="O513" t="n">
        <v>0</v>
      </c>
      <c r="P513" t="n">
        <v>0</v>
      </c>
      <c r="Q513" t="n">
        <v>0</v>
      </c>
      <c r="R513" s="2" t="inlineStr"/>
    </row>
    <row r="514" ht="15" customHeight="1">
      <c r="A514" t="inlineStr">
        <is>
          <t>A 9958-2023</t>
        </is>
      </c>
      <c r="B514" s="1" t="n">
        <v>44978</v>
      </c>
      <c r="C514" s="1" t="n">
        <v>45635</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9041-2023</t>
        </is>
      </c>
      <c r="B515" s="1" t="n">
        <v>44979</v>
      </c>
      <c r="C515" s="1" t="n">
        <v>45635</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9231-2023</t>
        </is>
      </c>
      <c r="B516" s="1" t="n">
        <v>44980</v>
      </c>
      <c r="C516" s="1" t="n">
        <v>45635</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11005-2023</t>
        </is>
      </c>
      <c r="B517" s="1" t="n">
        <v>44991</v>
      </c>
      <c r="C517" s="1" t="n">
        <v>45635</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12360-2023</t>
        </is>
      </c>
      <c r="B518" s="1" t="n">
        <v>44999</v>
      </c>
      <c r="C518" s="1" t="n">
        <v>45635</v>
      </c>
      <c r="D518" t="inlineStr">
        <is>
          <t>UPPSALA LÄN</t>
        </is>
      </c>
      <c r="E518" t="inlineStr">
        <is>
          <t>ENKÖPING</t>
        </is>
      </c>
      <c r="G518" t="n">
        <v>6.3</v>
      </c>
      <c r="H518" t="n">
        <v>0</v>
      </c>
      <c r="I518" t="n">
        <v>0</v>
      </c>
      <c r="J518" t="n">
        <v>0</v>
      </c>
      <c r="K518" t="n">
        <v>0</v>
      </c>
      <c r="L518" t="n">
        <v>0</v>
      </c>
      <c r="M518" t="n">
        <v>0</v>
      </c>
      <c r="N518" t="n">
        <v>0</v>
      </c>
      <c r="O518" t="n">
        <v>0</v>
      </c>
      <c r="P518" t="n">
        <v>0</v>
      </c>
      <c r="Q518" t="n">
        <v>0</v>
      </c>
      <c r="R518" s="2" t="inlineStr"/>
    </row>
    <row r="519" ht="15" customHeight="1">
      <c r="A519" t="inlineStr">
        <is>
          <t>A 13140-2023</t>
        </is>
      </c>
      <c r="B519" s="1" t="n">
        <v>45001</v>
      </c>
      <c r="C519" s="1" t="n">
        <v>45635</v>
      </c>
      <c r="D519" t="inlineStr">
        <is>
          <t>UPPSALA LÄN</t>
        </is>
      </c>
      <c r="E519" t="inlineStr">
        <is>
          <t>ENKÖPING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13099-2023</t>
        </is>
      </c>
      <c r="B520" s="1" t="n">
        <v>45001</v>
      </c>
      <c r="C520" s="1" t="n">
        <v>45635</v>
      </c>
      <c r="D520" t="inlineStr">
        <is>
          <t>UPPSALA LÄN</t>
        </is>
      </c>
      <c r="E520" t="inlineStr">
        <is>
          <t>ENKÖPING</t>
        </is>
      </c>
      <c r="G520" t="n">
        <v>10.5</v>
      </c>
      <c r="H520" t="n">
        <v>0</v>
      </c>
      <c r="I520" t="n">
        <v>0</v>
      </c>
      <c r="J520" t="n">
        <v>0</v>
      </c>
      <c r="K520" t="n">
        <v>0</v>
      </c>
      <c r="L520" t="n">
        <v>0</v>
      </c>
      <c r="M520" t="n">
        <v>0</v>
      </c>
      <c r="N520" t="n">
        <v>0</v>
      </c>
      <c r="O520" t="n">
        <v>0</v>
      </c>
      <c r="P520" t="n">
        <v>0</v>
      </c>
      <c r="Q520" t="n">
        <v>0</v>
      </c>
      <c r="R520" s="2" t="inlineStr"/>
    </row>
    <row r="521" ht="15" customHeight="1">
      <c r="A521" t="inlineStr">
        <is>
          <t>A 13110-2023</t>
        </is>
      </c>
      <c r="B521" s="1" t="n">
        <v>45001</v>
      </c>
      <c r="C521" s="1" t="n">
        <v>45635</v>
      </c>
      <c r="D521" t="inlineStr">
        <is>
          <t>UPPSALA LÄN</t>
        </is>
      </c>
      <c r="E521" t="inlineStr">
        <is>
          <t>ENKÖPING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13836-2023</t>
        </is>
      </c>
      <c r="B522" s="1" t="n">
        <v>45007</v>
      </c>
      <c r="C522" s="1" t="n">
        <v>45635</v>
      </c>
      <c r="D522" t="inlineStr">
        <is>
          <t>UPPSALA LÄN</t>
        </is>
      </c>
      <c r="E522" t="inlineStr">
        <is>
          <t>ENKÖPING</t>
        </is>
      </c>
      <c r="G522" t="n">
        <v>4.2</v>
      </c>
      <c r="H522" t="n">
        <v>0</v>
      </c>
      <c r="I522" t="n">
        <v>0</v>
      </c>
      <c r="J522" t="n">
        <v>0</v>
      </c>
      <c r="K522" t="n">
        <v>0</v>
      </c>
      <c r="L522" t="n">
        <v>0</v>
      </c>
      <c r="M522" t="n">
        <v>0</v>
      </c>
      <c r="N522" t="n">
        <v>0</v>
      </c>
      <c r="O522" t="n">
        <v>0</v>
      </c>
      <c r="P522" t="n">
        <v>0</v>
      </c>
      <c r="Q522" t="n">
        <v>0</v>
      </c>
      <c r="R522" s="2" t="inlineStr"/>
    </row>
    <row r="523" ht="15" customHeight="1">
      <c r="A523" t="inlineStr">
        <is>
          <t>A 13853-2023</t>
        </is>
      </c>
      <c r="B523" s="1" t="n">
        <v>45007</v>
      </c>
      <c r="C523" s="1" t="n">
        <v>45635</v>
      </c>
      <c r="D523" t="inlineStr">
        <is>
          <t>UPPSALA LÄN</t>
        </is>
      </c>
      <c r="E523" t="inlineStr">
        <is>
          <t>ENKÖPING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13867-2023</t>
        </is>
      </c>
      <c r="B524" s="1" t="n">
        <v>45007</v>
      </c>
      <c r="C524" s="1" t="n">
        <v>45635</v>
      </c>
      <c r="D524" t="inlineStr">
        <is>
          <t>UPPSALA LÄN</t>
        </is>
      </c>
      <c r="E524" t="inlineStr">
        <is>
          <t>ENKÖPING</t>
        </is>
      </c>
      <c r="G524" t="n">
        <v>2</v>
      </c>
      <c r="H524" t="n">
        <v>0</v>
      </c>
      <c r="I524" t="n">
        <v>0</v>
      </c>
      <c r="J524" t="n">
        <v>0</v>
      </c>
      <c r="K524" t="n">
        <v>0</v>
      </c>
      <c r="L524" t="n">
        <v>0</v>
      </c>
      <c r="M524" t="n">
        <v>0</v>
      </c>
      <c r="N524" t="n">
        <v>0</v>
      </c>
      <c r="O524" t="n">
        <v>0</v>
      </c>
      <c r="P524" t="n">
        <v>0</v>
      </c>
      <c r="Q524" t="n">
        <v>0</v>
      </c>
      <c r="R524" s="2" t="inlineStr"/>
    </row>
    <row r="525" ht="15" customHeight="1">
      <c r="A525" t="inlineStr">
        <is>
          <t>A 14004-2023</t>
        </is>
      </c>
      <c r="B525" s="1" t="n">
        <v>45008</v>
      </c>
      <c r="C525" s="1" t="n">
        <v>45635</v>
      </c>
      <c r="D525" t="inlineStr">
        <is>
          <t>UPPSALA LÄN</t>
        </is>
      </c>
      <c r="E525" t="inlineStr">
        <is>
          <t>ENKÖPING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14402-2023</t>
        </is>
      </c>
      <c r="B526" s="1" t="n">
        <v>45012</v>
      </c>
      <c r="C526" s="1" t="n">
        <v>45635</v>
      </c>
      <c r="D526" t="inlineStr">
        <is>
          <t>UPPSALA LÄN</t>
        </is>
      </c>
      <c r="E526" t="inlineStr">
        <is>
          <t>ENKÖPING</t>
        </is>
      </c>
      <c r="G526" t="n">
        <v>9.5</v>
      </c>
      <c r="H526" t="n">
        <v>0</v>
      </c>
      <c r="I526" t="n">
        <v>0</v>
      </c>
      <c r="J526" t="n">
        <v>0</v>
      </c>
      <c r="K526" t="n">
        <v>0</v>
      </c>
      <c r="L526" t="n">
        <v>0</v>
      </c>
      <c r="M526" t="n">
        <v>0</v>
      </c>
      <c r="N526" t="n">
        <v>0</v>
      </c>
      <c r="O526" t="n">
        <v>0</v>
      </c>
      <c r="P526" t="n">
        <v>0</v>
      </c>
      <c r="Q526" t="n">
        <v>0</v>
      </c>
      <c r="R526" s="2" t="inlineStr"/>
    </row>
    <row r="527" ht="15" customHeight="1">
      <c r="A527" t="inlineStr">
        <is>
          <t>A 15320-2023</t>
        </is>
      </c>
      <c r="B527" s="1" t="n">
        <v>45019</v>
      </c>
      <c r="C527" s="1" t="n">
        <v>45635</v>
      </c>
      <c r="D527" t="inlineStr">
        <is>
          <t>UPPSALA LÄN</t>
        </is>
      </c>
      <c r="E527" t="inlineStr">
        <is>
          <t>ENKÖPING</t>
        </is>
      </c>
      <c r="G527" t="n">
        <v>8</v>
      </c>
      <c r="H527" t="n">
        <v>0</v>
      </c>
      <c r="I527" t="n">
        <v>0</v>
      </c>
      <c r="J527" t="n">
        <v>0</v>
      </c>
      <c r="K527" t="n">
        <v>0</v>
      </c>
      <c r="L527" t="n">
        <v>0</v>
      </c>
      <c r="M527" t="n">
        <v>0</v>
      </c>
      <c r="N527" t="n">
        <v>0</v>
      </c>
      <c r="O527" t="n">
        <v>0</v>
      </c>
      <c r="P527" t="n">
        <v>0</v>
      </c>
      <c r="Q527" t="n">
        <v>0</v>
      </c>
      <c r="R527" s="2" t="inlineStr"/>
    </row>
    <row r="528" ht="15" customHeight="1">
      <c r="A528" t="inlineStr">
        <is>
          <t>A 15757-2023</t>
        </is>
      </c>
      <c r="B528" s="1" t="n">
        <v>45021</v>
      </c>
      <c r="C528" s="1" t="n">
        <v>45635</v>
      </c>
      <c r="D528" t="inlineStr">
        <is>
          <t>UPPSALA LÄN</t>
        </is>
      </c>
      <c r="E528" t="inlineStr">
        <is>
          <t>ENKÖPING</t>
        </is>
      </c>
      <c r="G528" t="n">
        <v>3</v>
      </c>
      <c r="H528" t="n">
        <v>0</v>
      </c>
      <c r="I528" t="n">
        <v>0</v>
      </c>
      <c r="J528" t="n">
        <v>0</v>
      </c>
      <c r="K528" t="n">
        <v>0</v>
      </c>
      <c r="L528" t="n">
        <v>0</v>
      </c>
      <c r="M528" t="n">
        <v>0</v>
      </c>
      <c r="N528" t="n">
        <v>0</v>
      </c>
      <c r="O528" t="n">
        <v>0</v>
      </c>
      <c r="P528" t="n">
        <v>0</v>
      </c>
      <c r="Q528" t="n">
        <v>0</v>
      </c>
      <c r="R528" s="2" t="inlineStr"/>
    </row>
    <row r="529" ht="15" customHeight="1">
      <c r="A529" t="inlineStr">
        <is>
          <t>A 16320-2023</t>
        </is>
      </c>
      <c r="B529" s="1" t="n">
        <v>45028</v>
      </c>
      <c r="C529" s="1" t="n">
        <v>45635</v>
      </c>
      <c r="D529" t="inlineStr">
        <is>
          <t>UPPSALA LÄN</t>
        </is>
      </c>
      <c r="E529" t="inlineStr">
        <is>
          <t>ENKÖPING</t>
        </is>
      </c>
      <c r="G529" t="n">
        <v>5.2</v>
      </c>
      <c r="H529" t="n">
        <v>0</v>
      </c>
      <c r="I529" t="n">
        <v>0</v>
      </c>
      <c r="J529" t="n">
        <v>0</v>
      </c>
      <c r="K529" t="n">
        <v>0</v>
      </c>
      <c r="L529" t="n">
        <v>0</v>
      </c>
      <c r="M529" t="n">
        <v>0</v>
      </c>
      <c r="N529" t="n">
        <v>0</v>
      </c>
      <c r="O529" t="n">
        <v>0</v>
      </c>
      <c r="P529" t="n">
        <v>0</v>
      </c>
      <c r="Q529" t="n">
        <v>0</v>
      </c>
      <c r="R529" s="2" t="inlineStr"/>
    </row>
    <row r="530" ht="15" customHeight="1">
      <c r="A530" t="inlineStr">
        <is>
          <t>A 16905-2023</t>
        </is>
      </c>
      <c r="B530" s="1" t="n">
        <v>45033</v>
      </c>
      <c r="C530" s="1" t="n">
        <v>45635</v>
      </c>
      <c r="D530" t="inlineStr">
        <is>
          <t>UPPSALA LÄN</t>
        </is>
      </c>
      <c r="E530" t="inlineStr">
        <is>
          <t>ENKÖPING</t>
        </is>
      </c>
      <c r="G530" t="n">
        <v>3.6</v>
      </c>
      <c r="H530" t="n">
        <v>0</v>
      </c>
      <c r="I530" t="n">
        <v>0</v>
      </c>
      <c r="J530" t="n">
        <v>0</v>
      </c>
      <c r="K530" t="n">
        <v>0</v>
      </c>
      <c r="L530" t="n">
        <v>0</v>
      </c>
      <c r="M530" t="n">
        <v>0</v>
      </c>
      <c r="N530" t="n">
        <v>0</v>
      </c>
      <c r="O530" t="n">
        <v>0</v>
      </c>
      <c r="P530" t="n">
        <v>0</v>
      </c>
      <c r="Q530" t="n">
        <v>0</v>
      </c>
      <c r="R530" s="2" t="inlineStr"/>
    </row>
    <row r="531" ht="15" customHeight="1">
      <c r="A531" t="inlineStr">
        <is>
          <t>A 16916-2023</t>
        </is>
      </c>
      <c r="B531" s="1" t="n">
        <v>45033</v>
      </c>
      <c r="C531" s="1" t="n">
        <v>45635</v>
      </c>
      <c r="D531" t="inlineStr">
        <is>
          <t>UPPSALA LÄN</t>
        </is>
      </c>
      <c r="E531" t="inlineStr">
        <is>
          <t>ENKÖPING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16920-2023</t>
        </is>
      </c>
      <c r="B532" s="1" t="n">
        <v>45033</v>
      </c>
      <c r="C532" s="1" t="n">
        <v>45635</v>
      </c>
      <c r="D532" t="inlineStr">
        <is>
          <t>UPPSALA LÄN</t>
        </is>
      </c>
      <c r="E532" t="inlineStr">
        <is>
          <t>ENKÖPING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17254-2023</t>
        </is>
      </c>
      <c r="B533" s="1" t="n">
        <v>45034</v>
      </c>
      <c r="C533" s="1" t="n">
        <v>45635</v>
      </c>
      <c r="D533" t="inlineStr">
        <is>
          <t>UPPSALA LÄN</t>
        </is>
      </c>
      <c r="E533" t="inlineStr">
        <is>
          <t>ENKÖPING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17511-2023</t>
        </is>
      </c>
      <c r="B534" s="1" t="n">
        <v>45034</v>
      </c>
      <c r="C534" s="1" t="n">
        <v>45635</v>
      </c>
      <c r="D534" t="inlineStr">
        <is>
          <t>UPPSALA LÄN</t>
        </is>
      </c>
      <c r="E534" t="inlineStr">
        <is>
          <t>ENKÖPING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17373-2023</t>
        </is>
      </c>
      <c r="B535" s="1" t="n">
        <v>45035</v>
      </c>
      <c r="C535" s="1" t="n">
        <v>45635</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17729-2023</t>
        </is>
      </c>
      <c r="B536" s="1" t="n">
        <v>45037</v>
      </c>
      <c r="C536" s="1" t="n">
        <v>45635</v>
      </c>
      <c r="D536" t="inlineStr">
        <is>
          <t>UPPSALA LÄN</t>
        </is>
      </c>
      <c r="E536" t="inlineStr">
        <is>
          <t>ENKÖPING</t>
        </is>
      </c>
      <c r="G536" t="n">
        <v>10.2</v>
      </c>
      <c r="H536" t="n">
        <v>0</v>
      </c>
      <c r="I536" t="n">
        <v>0</v>
      </c>
      <c r="J536" t="n">
        <v>0</v>
      </c>
      <c r="K536" t="n">
        <v>0</v>
      </c>
      <c r="L536" t="n">
        <v>0</v>
      </c>
      <c r="M536" t="n">
        <v>0</v>
      </c>
      <c r="N536" t="n">
        <v>0</v>
      </c>
      <c r="O536" t="n">
        <v>0</v>
      </c>
      <c r="P536" t="n">
        <v>0</v>
      </c>
      <c r="Q536" t="n">
        <v>0</v>
      </c>
      <c r="R536" s="2" t="inlineStr"/>
    </row>
    <row r="537" ht="15" customHeight="1">
      <c r="A537" t="inlineStr">
        <is>
          <t>A 17813-2023</t>
        </is>
      </c>
      <c r="B537" s="1" t="n">
        <v>45037</v>
      </c>
      <c r="C537" s="1" t="n">
        <v>45635</v>
      </c>
      <c r="D537" t="inlineStr">
        <is>
          <t>UPPSALA LÄN</t>
        </is>
      </c>
      <c r="E537" t="inlineStr">
        <is>
          <t>ENKÖPING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18030-2023</t>
        </is>
      </c>
      <c r="B538" s="1" t="n">
        <v>45040</v>
      </c>
      <c r="C538" s="1" t="n">
        <v>45635</v>
      </c>
      <c r="D538" t="inlineStr">
        <is>
          <t>UPPSALA LÄN</t>
        </is>
      </c>
      <c r="E538" t="inlineStr">
        <is>
          <t>ENKÖPING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18696-2023</t>
        </is>
      </c>
      <c r="B539" s="1" t="n">
        <v>45043</v>
      </c>
      <c r="C539" s="1" t="n">
        <v>45635</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18821-2023</t>
        </is>
      </c>
      <c r="B540" s="1" t="n">
        <v>45044</v>
      </c>
      <c r="C540" s="1" t="n">
        <v>45635</v>
      </c>
      <c r="D540" t="inlineStr">
        <is>
          <t>UPPSALA LÄN</t>
        </is>
      </c>
      <c r="E540" t="inlineStr">
        <is>
          <t>ENKÖPING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18831-2023</t>
        </is>
      </c>
      <c r="B541" s="1" t="n">
        <v>45044</v>
      </c>
      <c r="C541" s="1" t="n">
        <v>45635</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19298-2023</t>
        </is>
      </c>
      <c r="B542" s="1" t="n">
        <v>45048</v>
      </c>
      <c r="C542" s="1" t="n">
        <v>45635</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19301-2023</t>
        </is>
      </c>
      <c r="B543" s="1" t="n">
        <v>45048</v>
      </c>
      <c r="C543" s="1" t="n">
        <v>45635</v>
      </c>
      <c r="D543" t="inlineStr">
        <is>
          <t>UPPSALA LÄN</t>
        </is>
      </c>
      <c r="E543" t="inlineStr">
        <is>
          <t>ENKÖPING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19415-2023</t>
        </is>
      </c>
      <c r="B544" s="1" t="n">
        <v>45049</v>
      </c>
      <c r="C544" s="1" t="n">
        <v>45635</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20431-2023</t>
        </is>
      </c>
      <c r="B545" s="1" t="n">
        <v>45054</v>
      </c>
      <c r="C545" s="1" t="n">
        <v>45635</v>
      </c>
      <c r="D545" t="inlineStr">
        <is>
          <t>UPPSALA LÄN</t>
        </is>
      </c>
      <c r="E545" t="inlineStr">
        <is>
          <t>ENKÖPING</t>
        </is>
      </c>
      <c r="F545" t="inlineStr">
        <is>
          <t>Övriga statliga verk och myndigheter</t>
        </is>
      </c>
      <c r="G545" t="n">
        <v>3.3</v>
      </c>
      <c r="H545" t="n">
        <v>0</v>
      </c>
      <c r="I545" t="n">
        <v>0</v>
      </c>
      <c r="J545" t="n">
        <v>0</v>
      </c>
      <c r="K545" t="n">
        <v>0</v>
      </c>
      <c r="L545" t="n">
        <v>0</v>
      </c>
      <c r="M545" t="n">
        <v>0</v>
      </c>
      <c r="N545" t="n">
        <v>0</v>
      </c>
      <c r="O545" t="n">
        <v>0</v>
      </c>
      <c r="P545" t="n">
        <v>0</v>
      </c>
      <c r="Q545" t="n">
        <v>0</v>
      </c>
      <c r="R545" s="2" t="inlineStr"/>
    </row>
    <row r="546" ht="15" customHeight="1">
      <c r="A546" t="inlineStr">
        <is>
          <t>A 20179-2023</t>
        </is>
      </c>
      <c r="B546" s="1" t="n">
        <v>45055</v>
      </c>
      <c r="C546" s="1" t="n">
        <v>45635</v>
      </c>
      <c r="D546" t="inlineStr">
        <is>
          <t>UPPSALA LÄN</t>
        </is>
      </c>
      <c r="E546" t="inlineStr">
        <is>
          <t>ENKÖPING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20184-2023</t>
        </is>
      </c>
      <c r="B547" s="1" t="n">
        <v>45055</v>
      </c>
      <c r="C547" s="1" t="n">
        <v>45635</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20188-2023</t>
        </is>
      </c>
      <c r="B548" s="1" t="n">
        <v>45055</v>
      </c>
      <c r="C548" s="1" t="n">
        <v>45635</v>
      </c>
      <c r="D548" t="inlineStr">
        <is>
          <t>UPPSALA LÄN</t>
        </is>
      </c>
      <c r="E548" t="inlineStr">
        <is>
          <t>ENKÖPING</t>
        </is>
      </c>
      <c r="G548" t="n">
        <v>4.9</v>
      </c>
      <c r="H548" t="n">
        <v>0</v>
      </c>
      <c r="I548" t="n">
        <v>0</v>
      </c>
      <c r="J548" t="n">
        <v>0</v>
      </c>
      <c r="K548" t="n">
        <v>0</v>
      </c>
      <c r="L548" t="n">
        <v>0</v>
      </c>
      <c r="M548" t="n">
        <v>0</v>
      </c>
      <c r="N548" t="n">
        <v>0</v>
      </c>
      <c r="O548" t="n">
        <v>0</v>
      </c>
      <c r="P548" t="n">
        <v>0</v>
      </c>
      <c r="Q548" t="n">
        <v>0</v>
      </c>
      <c r="R548" s="2" t="inlineStr"/>
    </row>
    <row r="549" ht="15" customHeight="1">
      <c r="A549" t="inlineStr">
        <is>
          <t>A 20201-2023</t>
        </is>
      </c>
      <c r="B549" s="1" t="n">
        <v>45055</v>
      </c>
      <c r="C549" s="1" t="n">
        <v>45635</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20181-2023</t>
        </is>
      </c>
      <c r="B550" s="1" t="n">
        <v>45055</v>
      </c>
      <c r="C550" s="1" t="n">
        <v>45635</v>
      </c>
      <c r="D550" t="inlineStr">
        <is>
          <t>UPPSALA LÄN</t>
        </is>
      </c>
      <c r="E550" t="inlineStr">
        <is>
          <t>ENKÖPING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20186-2023</t>
        </is>
      </c>
      <c r="B551" s="1" t="n">
        <v>45055</v>
      </c>
      <c r="C551" s="1" t="n">
        <v>45635</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20199-2023</t>
        </is>
      </c>
      <c r="B552" s="1" t="n">
        <v>45055</v>
      </c>
      <c r="C552" s="1" t="n">
        <v>45635</v>
      </c>
      <c r="D552" t="inlineStr">
        <is>
          <t>UPPSALA LÄN</t>
        </is>
      </c>
      <c r="E552" t="inlineStr">
        <is>
          <t>ENKÖPING</t>
        </is>
      </c>
      <c r="G552" t="n">
        <v>1.2</v>
      </c>
      <c r="H552" t="n">
        <v>0</v>
      </c>
      <c r="I552" t="n">
        <v>0</v>
      </c>
      <c r="J552" t="n">
        <v>0</v>
      </c>
      <c r="K552" t="n">
        <v>0</v>
      </c>
      <c r="L552" t="n">
        <v>0</v>
      </c>
      <c r="M552" t="n">
        <v>0</v>
      </c>
      <c r="N552" t="n">
        <v>0</v>
      </c>
      <c r="O552" t="n">
        <v>0</v>
      </c>
      <c r="P552" t="n">
        <v>0</v>
      </c>
      <c r="Q552" t="n">
        <v>0</v>
      </c>
      <c r="R552" s="2" t="inlineStr"/>
    </row>
    <row r="553" ht="15" customHeight="1">
      <c r="A553" t="inlineStr">
        <is>
          <t>A 20261-2023</t>
        </is>
      </c>
      <c r="B553" s="1" t="n">
        <v>45055</v>
      </c>
      <c r="C553" s="1" t="n">
        <v>45635</v>
      </c>
      <c r="D553" t="inlineStr">
        <is>
          <t>UPPSALA LÄN</t>
        </is>
      </c>
      <c r="E553" t="inlineStr">
        <is>
          <t>ENKÖPING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20396-2023</t>
        </is>
      </c>
      <c r="B554" s="1" t="n">
        <v>45056</v>
      </c>
      <c r="C554" s="1" t="n">
        <v>45635</v>
      </c>
      <c r="D554" t="inlineStr">
        <is>
          <t>UPPSALA LÄN</t>
        </is>
      </c>
      <c r="E554" t="inlineStr">
        <is>
          <t>ENKÖPING</t>
        </is>
      </c>
      <c r="G554" t="n">
        <v>3.2</v>
      </c>
      <c r="H554" t="n">
        <v>0</v>
      </c>
      <c r="I554" t="n">
        <v>0</v>
      </c>
      <c r="J554" t="n">
        <v>0</v>
      </c>
      <c r="K554" t="n">
        <v>0</v>
      </c>
      <c r="L554" t="n">
        <v>0</v>
      </c>
      <c r="M554" t="n">
        <v>0</v>
      </c>
      <c r="N554" t="n">
        <v>0</v>
      </c>
      <c r="O554" t="n">
        <v>0</v>
      </c>
      <c r="P554" t="n">
        <v>0</v>
      </c>
      <c r="Q554" t="n">
        <v>0</v>
      </c>
      <c r="R554" s="2" t="inlineStr"/>
    </row>
    <row r="555" ht="15" customHeight="1">
      <c r="A555" t="inlineStr">
        <is>
          <t>A 20845-2023</t>
        </is>
      </c>
      <c r="B555" s="1" t="n">
        <v>45056</v>
      </c>
      <c r="C555" s="1" t="n">
        <v>45635</v>
      </c>
      <c r="D555" t="inlineStr">
        <is>
          <t>UPPSALA LÄN</t>
        </is>
      </c>
      <c r="E555" t="inlineStr">
        <is>
          <t>ENKÖPING</t>
        </is>
      </c>
      <c r="G555" t="n">
        <v>3.1</v>
      </c>
      <c r="H555" t="n">
        <v>0</v>
      </c>
      <c r="I555" t="n">
        <v>0</v>
      </c>
      <c r="J555" t="n">
        <v>0</v>
      </c>
      <c r="K555" t="n">
        <v>0</v>
      </c>
      <c r="L555" t="n">
        <v>0</v>
      </c>
      <c r="M555" t="n">
        <v>0</v>
      </c>
      <c r="N555" t="n">
        <v>0</v>
      </c>
      <c r="O555" t="n">
        <v>0</v>
      </c>
      <c r="P555" t="n">
        <v>0</v>
      </c>
      <c r="Q555" t="n">
        <v>0</v>
      </c>
      <c r="R555" s="2" t="inlineStr"/>
    </row>
    <row r="556" ht="15" customHeight="1">
      <c r="A556" t="inlineStr">
        <is>
          <t>A 20897-2023</t>
        </is>
      </c>
      <c r="B556" s="1" t="n">
        <v>45059</v>
      </c>
      <c r="C556" s="1" t="n">
        <v>45635</v>
      </c>
      <c r="D556" t="inlineStr">
        <is>
          <t>UPPSALA LÄN</t>
        </is>
      </c>
      <c r="E556" t="inlineStr">
        <is>
          <t>ENKÖPING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21020-2023</t>
        </is>
      </c>
      <c r="B557" s="1" t="n">
        <v>45061</v>
      </c>
      <c r="C557" s="1" t="n">
        <v>45635</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21017-2023</t>
        </is>
      </c>
      <c r="B558" s="1" t="n">
        <v>45061</v>
      </c>
      <c r="C558" s="1" t="n">
        <v>45635</v>
      </c>
      <c r="D558" t="inlineStr">
        <is>
          <t>UPPSALA LÄN</t>
        </is>
      </c>
      <c r="E558" t="inlineStr">
        <is>
          <t>ENKÖPING</t>
        </is>
      </c>
      <c r="G558" t="n">
        <v>4.8</v>
      </c>
      <c r="H558" t="n">
        <v>0</v>
      </c>
      <c r="I558" t="n">
        <v>0</v>
      </c>
      <c r="J558" t="n">
        <v>0</v>
      </c>
      <c r="K558" t="n">
        <v>0</v>
      </c>
      <c r="L558" t="n">
        <v>0</v>
      </c>
      <c r="M558" t="n">
        <v>0</v>
      </c>
      <c r="N558" t="n">
        <v>0</v>
      </c>
      <c r="O558" t="n">
        <v>0</v>
      </c>
      <c r="P558" t="n">
        <v>0</v>
      </c>
      <c r="Q558" t="n">
        <v>0</v>
      </c>
      <c r="R558" s="2" t="inlineStr"/>
    </row>
    <row r="559" ht="15" customHeight="1">
      <c r="A559" t="inlineStr">
        <is>
          <t>A 21620-2023</t>
        </is>
      </c>
      <c r="B559" s="1" t="n">
        <v>45063</v>
      </c>
      <c r="C559" s="1" t="n">
        <v>45635</v>
      </c>
      <c r="D559" t="inlineStr">
        <is>
          <t>UPPSALA LÄN</t>
        </is>
      </c>
      <c r="E559" t="inlineStr">
        <is>
          <t>ENKÖPING</t>
        </is>
      </c>
      <c r="F559" t="inlineStr">
        <is>
          <t>Allmännings- och besparingsskogar</t>
        </is>
      </c>
      <c r="G559" t="n">
        <v>1.1</v>
      </c>
      <c r="H559" t="n">
        <v>0</v>
      </c>
      <c r="I559" t="n">
        <v>0</v>
      </c>
      <c r="J559" t="n">
        <v>0</v>
      </c>
      <c r="K559" t="n">
        <v>0</v>
      </c>
      <c r="L559" t="n">
        <v>0</v>
      </c>
      <c r="M559" t="n">
        <v>0</v>
      </c>
      <c r="N559" t="n">
        <v>0</v>
      </c>
      <c r="O559" t="n">
        <v>0</v>
      </c>
      <c r="P559" t="n">
        <v>0</v>
      </c>
      <c r="Q559" t="n">
        <v>0</v>
      </c>
      <c r="R559" s="2" t="inlineStr"/>
    </row>
    <row r="560" ht="15" customHeight="1">
      <c r="A560" t="inlineStr">
        <is>
          <t>A 21612-2023</t>
        </is>
      </c>
      <c r="B560" s="1" t="n">
        <v>45063</v>
      </c>
      <c r="C560" s="1" t="n">
        <v>45635</v>
      </c>
      <c r="D560" t="inlineStr">
        <is>
          <t>UPPSALA LÄN</t>
        </is>
      </c>
      <c r="E560" t="inlineStr">
        <is>
          <t>ENKÖPING</t>
        </is>
      </c>
      <c r="F560" t="inlineStr">
        <is>
          <t>Allmännings- och besparingsskogar</t>
        </is>
      </c>
      <c r="G560" t="n">
        <v>1</v>
      </c>
      <c r="H560" t="n">
        <v>0</v>
      </c>
      <c r="I560" t="n">
        <v>0</v>
      </c>
      <c r="J560" t="n">
        <v>0</v>
      </c>
      <c r="K560" t="n">
        <v>0</v>
      </c>
      <c r="L560" t="n">
        <v>0</v>
      </c>
      <c r="M560" t="n">
        <v>0</v>
      </c>
      <c r="N560" t="n">
        <v>0</v>
      </c>
      <c r="O560" t="n">
        <v>0</v>
      </c>
      <c r="P560" t="n">
        <v>0</v>
      </c>
      <c r="Q560" t="n">
        <v>0</v>
      </c>
      <c r="R560" s="2" t="inlineStr"/>
    </row>
    <row r="561" ht="15" customHeight="1">
      <c r="A561" t="inlineStr">
        <is>
          <t>A 22094-2023</t>
        </is>
      </c>
      <c r="B561" s="1" t="n">
        <v>45069</v>
      </c>
      <c r="C561" s="1" t="n">
        <v>45635</v>
      </c>
      <c r="D561" t="inlineStr">
        <is>
          <t>UPPSALA LÄN</t>
        </is>
      </c>
      <c r="E561" t="inlineStr">
        <is>
          <t>ENKÖPING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25333-2023</t>
        </is>
      </c>
      <c r="B562" s="1" t="n">
        <v>45083</v>
      </c>
      <c r="C562" s="1" t="n">
        <v>45635</v>
      </c>
      <c r="D562" t="inlineStr">
        <is>
          <t>UPPSALA LÄN</t>
        </is>
      </c>
      <c r="E562" t="inlineStr">
        <is>
          <t>ENKÖPING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25334-2023</t>
        </is>
      </c>
      <c r="B563" s="1" t="n">
        <v>45083</v>
      </c>
      <c r="C563" s="1" t="n">
        <v>45635</v>
      </c>
      <c r="D563" t="inlineStr">
        <is>
          <t>UPPSALA LÄN</t>
        </is>
      </c>
      <c r="E563" t="inlineStr">
        <is>
          <t>ENKÖPING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24962-2023</t>
        </is>
      </c>
      <c r="B564" s="1" t="n">
        <v>45085</v>
      </c>
      <c r="C564" s="1" t="n">
        <v>45635</v>
      </c>
      <c r="D564" t="inlineStr">
        <is>
          <t>UPPSALA LÄN</t>
        </is>
      </c>
      <c r="E564" t="inlineStr">
        <is>
          <t>ENKÖPING</t>
        </is>
      </c>
      <c r="G564" t="n">
        <v>2.8</v>
      </c>
      <c r="H564" t="n">
        <v>0</v>
      </c>
      <c r="I564" t="n">
        <v>0</v>
      </c>
      <c r="J564" t="n">
        <v>0</v>
      </c>
      <c r="K564" t="n">
        <v>0</v>
      </c>
      <c r="L564" t="n">
        <v>0</v>
      </c>
      <c r="M564" t="n">
        <v>0</v>
      </c>
      <c r="N564" t="n">
        <v>0</v>
      </c>
      <c r="O564" t="n">
        <v>0</v>
      </c>
      <c r="P564" t="n">
        <v>0</v>
      </c>
      <c r="Q564" t="n">
        <v>0</v>
      </c>
      <c r="R564" s="2" t="inlineStr"/>
    </row>
    <row r="565" ht="15" customHeight="1">
      <c r="A565" t="inlineStr">
        <is>
          <t>A 24960-2023</t>
        </is>
      </c>
      <c r="B565" s="1" t="n">
        <v>45085</v>
      </c>
      <c r="C565" s="1" t="n">
        <v>45635</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24974-2023</t>
        </is>
      </c>
      <c r="B566" s="1" t="n">
        <v>45085</v>
      </c>
      <c r="C566" s="1" t="n">
        <v>45635</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24978-2023</t>
        </is>
      </c>
      <c r="B567" s="1" t="n">
        <v>45085</v>
      </c>
      <c r="C567" s="1" t="n">
        <v>45635</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26577-2023</t>
        </is>
      </c>
      <c r="B568" s="1" t="n">
        <v>45092</v>
      </c>
      <c r="C568" s="1" t="n">
        <v>45635</v>
      </c>
      <c r="D568" t="inlineStr">
        <is>
          <t>UPPSALA LÄN</t>
        </is>
      </c>
      <c r="E568" t="inlineStr">
        <is>
          <t>ENKÖPING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27178-2023</t>
        </is>
      </c>
      <c r="B569" s="1" t="n">
        <v>45096</v>
      </c>
      <c r="C569" s="1" t="n">
        <v>45635</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27538-2023</t>
        </is>
      </c>
      <c r="B570" s="1" t="n">
        <v>45097</v>
      </c>
      <c r="C570" s="1" t="n">
        <v>45635</v>
      </c>
      <c r="D570" t="inlineStr">
        <is>
          <t>UPPSALA LÄN</t>
        </is>
      </c>
      <c r="E570" t="inlineStr">
        <is>
          <t>ENKÖPING</t>
        </is>
      </c>
      <c r="G570" t="n">
        <v>5.8</v>
      </c>
      <c r="H570" t="n">
        <v>0</v>
      </c>
      <c r="I570" t="n">
        <v>0</v>
      </c>
      <c r="J570" t="n">
        <v>0</v>
      </c>
      <c r="K570" t="n">
        <v>0</v>
      </c>
      <c r="L570" t="n">
        <v>0</v>
      </c>
      <c r="M570" t="n">
        <v>0</v>
      </c>
      <c r="N570" t="n">
        <v>0</v>
      </c>
      <c r="O570" t="n">
        <v>0</v>
      </c>
      <c r="P570" t="n">
        <v>0</v>
      </c>
      <c r="Q570" t="n">
        <v>0</v>
      </c>
      <c r="R570" s="2" t="inlineStr"/>
    </row>
    <row r="571" ht="15" customHeight="1">
      <c r="A571" t="inlineStr">
        <is>
          <t>A 27730-2023</t>
        </is>
      </c>
      <c r="B571" s="1" t="n">
        <v>45097</v>
      </c>
      <c r="C571" s="1" t="n">
        <v>45635</v>
      </c>
      <c r="D571" t="inlineStr">
        <is>
          <t>UPPSALA LÄN</t>
        </is>
      </c>
      <c r="E571" t="inlineStr">
        <is>
          <t>ENKÖPING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27805-2023</t>
        </is>
      </c>
      <c r="B572" s="1" t="n">
        <v>45098</v>
      </c>
      <c r="C572" s="1" t="n">
        <v>45635</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27839-2023</t>
        </is>
      </c>
      <c r="B573" s="1" t="n">
        <v>45098</v>
      </c>
      <c r="C573" s="1" t="n">
        <v>45635</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27786-2023</t>
        </is>
      </c>
      <c r="B574" s="1" t="n">
        <v>45098</v>
      </c>
      <c r="C574" s="1" t="n">
        <v>45635</v>
      </c>
      <c r="D574" t="inlineStr">
        <is>
          <t>UPPSALA LÄN</t>
        </is>
      </c>
      <c r="E574" t="inlineStr">
        <is>
          <t>ENKÖPING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27855-2023</t>
        </is>
      </c>
      <c r="B575" s="1" t="n">
        <v>45098</v>
      </c>
      <c r="C575" s="1" t="n">
        <v>45635</v>
      </c>
      <c r="D575" t="inlineStr">
        <is>
          <t>UPPSALA LÄN</t>
        </is>
      </c>
      <c r="E575" t="inlineStr">
        <is>
          <t>ENKÖPING</t>
        </is>
      </c>
      <c r="G575" t="n">
        <v>2.4</v>
      </c>
      <c r="H575" t="n">
        <v>0</v>
      </c>
      <c r="I575" t="n">
        <v>0</v>
      </c>
      <c r="J575" t="n">
        <v>0</v>
      </c>
      <c r="K575" t="n">
        <v>0</v>
      </c>
      <c r="L575" t="n">
        <v>0</v>
      </c>
      <c r="M575" t="n">
        <v>0</v>
      </c>
      <c r="N575" t="n">
        <v>0</v>
      </c>
      <c r="O575" t="n">
        <v>0</v>
      </c>
      <c r="P575" t="n">
        <v>0</v>
      </c>
      <c r="Q575" t="n">
        <v>0</v>
      </c>
      <c r="R575" s="2" t="inlineStr"/>
    </row>
    <row r="576" ht="15" customHeight="1">
      <c r="A576" t="inlineStr">
        <is>
          <t>A 27928-2023</t>
        </is>
      </c>
      <c r="B576" s="1" t="n">
        <v>45098</v>
      </c>
      <c r="C576" s="1" t="n">
        <v>45635</v>
      </c>
      <c r="D576" t="inlineStr">
        <is>
          <t>UPPSALA LÄN</t>
        </is>
      </c>
      <c r="E576" t="inlineStr">
        <is>
          <t>ENKÖPING</t>
        </is>
      </c>
      <c r="G576" t="n">
        <v>11.5</v>
      </c>
      <c r="H576" t="n">
        <v>0</v>
      </c>
      <c r="I576" t="n">
        <v>0</v>
      </c>
      <c r="J576" t="n">
        <v>0</v>
      </c>
      <c r="K576" t="n">
        <v>0</v>
      </c>
      <c r="L576" t="n">
        <v>0</v>
      </c>
      <c r="M576" t="n">
        <v>0</v>
      </c>
      <c r="N576" t="n">
        <v>0</v>
      </c>
      <c r="O576" t="n">
        <v>0</v>
      </c>
      <c r="P576" t="n">
        <v>0</v>
      </c>
      <c r="Q576" t="n">
        <v>0</v>
      </c>
      <c r="R576" s="2" t="inlineStr"/>
    </row>
    <row r="577" ht="15" customHeight="1">
      <c r="A577" t="inlineStr">
        <is>
          <t>A 28243-2023</t>
        </is>
      </c>
      <c r="B577" s="1" t="n">
        <v>45099</v>
      </c>
      <c r="C577" s="1" t="n">
        <v>45635</v>
      </c>
      <c r="D577" t="inlineStr">
        <is>
          <t>UPPSALA LÄN</t>
        </is>
      </c>
      <c r="E577" t="inlineStr">
        <is>
          <t>ENKÖPING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29917-2023</t>
        </is>
      </c>
      <c r="B578" s="1" t="n">
        <v>45099</v>
      </c>
      <c r="C578" s="1" t="n">
        <v>45635</v>
      </c>
      <c r="D578" t="inlineStr">
        <is>
          <t>UPPSALA LÄN</t>
        </is>
      </c>
      <c r="E578" t="inlineStr">
        <is>
          <t>ENKÖPING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29918-2023</t>
        </is>
      </c>
      <c r="B579" s="1" t="n">
        <v>45099</v>
      </c>
      <c r="C579" s="1" t="n">
        <v>45635</v>
      </c>
      <c r="D579" t="inlineStr">
        <is>
          <t>UPPSALA LÄN</t>
        </is>
      </c>
      <c r="E579" t="inlineStr">
        <is>
          <t>ENKÖPING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31573-2023</t>
        </is>
      </c>
      <c r="B580" s="1" t="n">
        <v>45104</v>
      </c>
      <c r="C580" s="1" t="n">
        <v>45635</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30950-2023</t>
        </is>
      </c>
      <c r="B581" s="1" t="n">
        <v>45113</v>
      </c>
      <c r="C581" s="1" t="n">
        <v>45635</v>
      </c>
      <c r="D581" t="inlineStr">
        <is>
          <t>UPPSALA LÄN</t>
        </is>
      </c>
      <c r="E581" t="inlineStr">
        <is>
          <t>ENKÖPING</t>
        </is>
      </c>
      <c r="G581" t="n">
        <v>6.8</v>
      </c>
      <c r="H581" t="n">
        <v>0</v>
      </c>
      <c r="I581" t="n">
        <v>0</v>
      </c>
      <c r="J581" t="n">
        <v>0</v>
      </c>
      <c r="K581" t="n">
        <v>0</v>
      </c>
      <c r="L581" t="n">
        <v>0</v>
      </c>
      <c r="M581" t="n">
        <v>0</v>
      </c>
      <c r="N581" t="n">
        <v>0</v>
      </c>
      <c r="O581" t="n">
        <v>0</v>
      </c>
      <c r="P581" t="n">
        <v>0</v>
      </c>
      <c r="Q581" t="n">
        <v>0</v>
      </c>
      <c r="R581" s="2" t="inlineStr"/>
    </row>
    <row r="582" ht="15" customHeight="1">
      <c r="A582" t="inlineStr">
        <is>
          <t>A 31163-2023</t>
        </is>
      </c>
      <c r="B582" s="1" t="n">
        <v>45113</v>
      </c>
      <c r="C582" s="1" t="n">
        <v>45635</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31557-2023</t>
        </is>
      </c>
      <c r="B583" s="1" t="n">
        <v>45117</v>
      </c>
      <c r="C583" s="1" t="n">
        <v>45635</v>
      </c>
      <c r="D583" t="inlineStr">
        <is>
          <t>UPPSALA LÄN</t>
        </is>
      </c>
      <c r="E583" t="inlineStr">
        <is>
          <t>ENKÖPING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31559-2023</t>
        </is>
      </c>
      <c r="B584" s="1" t="n">
        <v>45117</v>
      </c>
      <c r="C584" s="1" t="n">
        <v>45635</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31604-2023</t>
        </is>
      </c>
      <c r="B585" s="1" t="n">
        <v>45117</v>
      </c>
      <c r="C585" s="1" t="n">
        <v>45635</v>
      </c>
      <c r="D585" t="inlineStr">
        <is>
          <t>UPPSALA LÄN</t>
        </is>
      </c>
      <c r="E585" t="inlineStr">
        <is>
          <t>ENKÖPING</t>
        </is>
      </c>
      <c r="G585" t="n">
        <v>3.5</v>
      </c>
      <c r="H585" t="n">
        <v>0</v>
      </c>
      <c r="I585" t="n">
        <v>0</v>
      </c>
      <c r="J585" t="n">
        <v>0</v>
      </c>
      <c r="K585" t="n">
        <v>0</v>
      </c>
      <c r="L585" t="n">
        <v>0</v>
      </c>
      <c r="M585" t="n">
        <v>0</v>
      </c>
      <c r="N585" t="n">
        <v>0</v>
      </c>
      <c r="O585" t="n">
        <v>0</v>
      </c>
      <c r="P585" t="n">
        <v>0</v>
      </c>
      <c r="Q585" t="n">
        <v>0</v>
      </c>
      <c r="R585" s="2" t="inlineStr"/>
    </row>
    <row r="586" ht="15" customHeight="1">
      <c r="A586" t="inlineStr">
        <is>
          <t>A 31636-2023</t>
        </is>
      </c>
      <c r="B586" s="1" t="n">
        <v>45117</v>
      </c>
      <c r="C586" s="1" t="n">
        <v>45635</v>
      </c>
      <c r="D586" t="inlineStr">
        <is>
          <t>UPPSALA LÄN</t>
        </is>
      </c>
      <c r="E586" t="inlineStr">
        <is>
          <t>ENKÖPING</t>
        </is>
      </c>
      <c r="G586" t="n">
        <v>22.1</v>
      </c>
      <c r="H586" t="n">
        <v>0</v>
      </c>
      <c r="I586" t="n">
        <v>0</v>
      </c>
      <c r="J586" t="n">
        <v>0</v>
      </c>
      <c r="K586" t="n">
        <v>0</v>
      </c>
      <c r="L586" t="n">
        <v>0</v>
      </c>
      <c r="M586" t="n">
        <v>0</v>
      </c>
      <c r="N586" t="n">
        <v>0</v>
      </c>
      <c r="O586" t="n">
        <v>0</v>
      </c>
      <c r="P586" t="n">
        <v>0</v>
      </c>
      <c r="Q586" t="n">
        <v>0</v>
      </c>
      <c r="R586" s="2" t="inlineStr"/>
    </row>
    <row r="587" ht="15" customHeight="1">
      <c r="A587" t="inlineStr">
        <is>
          <t>A 31642-2023</t>
        </is>
      </c>
      <c r="B587" s="1" t="n">
        <v>45117</v>
      </c>
      <c r="C587" s="1" t="n">
        <v>45635</v>
      </c>
      <c r="D587" t="inlineStr">
        <is>
          <t>UPPSALA LÄN</t>
        </is>
      </c>
      <c r="E587" t="inlineStr">
        <is>
          <t>ENKÖPING</t>
        </is>
      </c>
      <c r="G587" t="n">
        <v>3.9</v>
      </c>
      <c r="H587" t="n">
        <v>0</v>
      </c>
      <c r="I587" t="n">
        <v>0</v>
      </c>
      <c r="J587" t="n">
        <v>0</v>
      </c>
      <c r="K587" t="n">
        <v>0</v>
      </c>
      <c r="L587" t="n">
        <v>0</v>
      </c>
      <c r="M587" t="n">
        <v>0</v>
      </c>
      <c r="N587" t="n">
        <v>0</v>
      </c>
      <c r="O587" t="n">
        <v>0</v>
      </c>
      <c r="P587" t="n">
        <v>0</v>
      </c>
      <c r="Q587" t="n">
        <v>0</v>
      </c>
      <c r="R587" s="2" t="inlineStr"/>
    </row>
    <row r="588" ht="15" customHeight="1">
      <c r="A588" t="inlineStr">
        <is>
          <t>A 31648-2023</t>
        </is>
      </c>
      <c r="B588" s="1" t="n">
        <v>45117</v>
      </c>
      <c r="C588" s="1" t="n">
        <v>45635</v>
      </c>
      <c r="D588" t="inlineStr">
        <is>
          <t>UPPSALA LÄN</t>
        </is>
      </c>
      <c r="E588" t="inlineStr">
        <is>
          <t>ENKÖPING</t>
        </is>
      </c>
      <c r="G588" t="n">
        <v>12.9</v>
      </c>
      <c r="H588" t="n">
        <v>0</v>
      </c>
      <c r="I588" t="n">
        <v>0</v>
      </c>
      <c r="J588" t="n">
        <v>0</v>
      </c>
      <c r="K588" t="n">
        <v>0</v>
      </c>
      <c r="L588" t="n">
        <v>0</v>
      </c>
      <c r="M588" t="n">
        <v>0</v>
      </c>
      <c r="N588" t="n">
        <v>0</v>
      </c>
      <c r="O588" t="n">
        <v>0</v>
      </c>
      <c r="P588" t="n">
        <v>0</v>
      </c>
      <c r="Q588" t="n">
        <v>0</v>
      </c>
      <c r="R588" s="2" t="inlineStr"/>
    </row>
    <row r="589" ht="15" customHeight="1">
      <c r="A589" t="inlineStr">
        <is>
          <t>A 33581-2023</t>
        </is>
      </c>
      <c r="B589" s="1" t="n">
        <v>45131</v>
      </c>
      <c r="C589" s="1" t="n">
        <v>45635</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34735-2023</t>
        </is>
      </c>
      <c r="B590" s="1" t="n">
        <v>45139</v>
      </c>
      <c r="C590" s="1" t="n">
        <v>45635</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34743-2023</t>
        </is>
      </c>
      <c r="B591" s="1" t="n">
        <v>45141</v>
      </c>
      <c r="C591" s="1" t="n">
        <v>45635</v>
      </c>
      <c r="D591" t="inlineStr">
        <is>
          <t>UPPSALA LÄN</t>
        </is>
      </c>
      <c r="E591" t="inlineStr">
        <is>
          <t>ENKÖPING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34961-2023</t>
        </is>
      </c>
      <c r="B592" s="1" t="n">
        <v>45142</v>
      </c>
      <c r="C592" s="1" t="n">
        <v>45635</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34960-2023</t>
        </is>
      </c>
      <c r="B593" s="1" t="n">
        <v>45142</v>
      </c>
      <c r="C593" s="1" t="n">
        <v>45635</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35367-2023</t>
        </is>
      </c>
      <c r="B594" s="1" t="n">
        <v>45146</v>
      </c>
      <c r="C594" s="1" t="n">
        <v>45635</v>
      </c>
      <c r="D594" t="inlineStr">
        <is>
          <t>UPPSALA LÄN</t>
        </is>
      </c>
      <c r="E594" t="inlineStr">
        <is>
          <t>ENKÖPING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35684-2023</t>
        </is>
      </c>
      <c r="B595" s="1" t="n">
        <v>45147</v>
      </c>
      <c r="C595" s="1" t="n">
        <v>45635</v>
      </c>
      <c r="D595" t="inlineStr">
        <is>
          <t>UPPSALA LÄN</t>
        </is>
      </c>
      <c r="E595" t="inlineStr">
        <is>
          <t>ENKÖPING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37032-2023</t>
        </is>
      </c>
      <c r="B596" s="1" t="n">
        <v>45155</v>
      </c>
      <c r="C596" s="1" t="n">
        <v>45635</v>
      </c>
      <c r="D596" t="inlineStr">
        <is>
          <t>UPPSALA LÄN</t>
        </is>
      </c>
      <c r="E596" t="inlineStr">
        <is>
          <t>ENKÖPING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37035-2023</t>
        </is>
      </c>
      <c r="B597" s="1" t="n">
        <v>45155</v>
      </c>
      <c r="C597" s="1" t="n">
        <v>45635</v>
      </c>
      <c r="D597" t="inlineStr">
        <is>
          <t>UPPSALA LÄN</t>
        </is>
      </c>
      <c r="E597" t="inlineStr">
        <is>
          <t>ENKÖPING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37350-2023</t>
        </is>
      </c>
      <c r="B598" s="1" t="n">
        <v>45156</v>
      </c>
      <c r="C598" s="1" t="n">
        <v>45635</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37353-2023</t>
        </is>
      </c>
      <c r="B599" s="1" t="n">
        <v>45156</v>
      </c>
      <c r="C599" s="1" t="n">
        <v>45635</v>
      </c>
      <c r="D599" t="inlineStr">
        <is>
          <t>UPPSALA LÄN</t>
        </is>
      </c>
      <c r="E599" t="inlineStr">
        <is>
          <t>ENKÖPING</t>
        </is>
      </c>
      <c r="G599" t="n">
        <v>5.8</v>
      </c>
      <c r="H599" t="n">
        <v>0</v>
      </c>
      <c r="I599" t="n">
        <v>0</v>
      </c>
      <c r="J599" t="n">
        <v>0</v>
      </c>
      <c r="K599" t="n">
        <v>0</v>
      </c>
      <c r="L599" t="n">
        <v>0</v>
      </c>
      <c r="M599" t="n">
        <v>0</v>
      </c>
      <c r="N599" t="n">
        <v>0</v>
      </c>
      <c r="O599" t="n">
        <v>0</v>
      </c>
      <c r="P599" t="n">
        <v>0</v>
      </c>
      <c r="Q599" t="n">
        <v>0</v>
      </c>
      <c r="R599" s="2" t="inlineStr"/>
    </row>
    <row r="600" ht="15" customHeight="1">
      <c r="A600" t="inlineStr">
        <is>
          <t>A 37347-2023</t>
        </is>
      </c>
      <c r="B600" s="1" t="n">
        <v>45156</v>
      </c>
      <c r="C600" s="1" t="n">
        <v>45635</v>
      </c>
      <c r="D600" t="inlineStr">
        <is>
          <t>UPPSALA LÄN</t>
        </is>
      </c>
      <c r="E600" t="inlineStr">
        <is>
          <t>ENKÖPING</t>
        </is>
      </c>
      <c r="G600" t="n">
        <v>3.7</v>
      </c>
      <c r="H600" t="n">
        <v>0</v>
      </c>
      <c r="I600" t="n">
        <v>0</v>
      </c>
      <c r="J600" t="n">
        <v>0</v>
      </c>
      <c r="K600" t="n">
        <v>0</v>
      </c>
      <c r="L600" t="n">
        <v>0</v>
      </c>
      <c r="M600" t="n">
        <v>0</v>
      </c>
      <c r="N600" t="n">
        <v>0</v>
      </c>
      <c r="O600" t="n">
        <v>0</v>
      </c>
      <c r="P600" t="n">
        <v>0</v>
      </c>
      <c r="Q600" t="n">
        <v>0</v>
      </c>
      <c r="R600" s="2" t="inlineStr"/>
    </row>
    <row r="601" ht="15" customHeight="1">
      <c r="A601" t="inlineStr">
        <is>
          <t>A 37866-2023</t>
        </is>
      </c>
      <c r="B601" s="1" t="n">
        <v>45160</v>
      </c>
      <c r="C601" s="1" t="n">
        <v>45635</v>
      </c>
      <c r="D601" t="inlineStr">
        <is>
          <t>UPPSALA LÄN</t>
        </is>
      </c>
      <c r="E601" t="inlineStr">
        <is>
          <t>ENKÖPING</t>
        </is>
      </c>
      <c r="G601" t="n">
        <v>7.2</v>
      </c>
      <c r="H601" t="n">
        <v>0</v>
      </c>
      <c r="I601" t="n">
        <v>0</v>
      </c>
      <c r="J601" t="n">
        <v>0</v>
      </c>
      <c r="K601" t="n">
        <v>0</v>
      </c>
      <c r="L601" t="n">
        <v>0</v>
      </c>
      <c r="M601" t="n">
        <v>0</v>
      </c>
      <c r="N601" t="n">
        <v>0</v>
      </c>
      <c r="O601" t="n">
        <v>0</v>
      </c>
      <c r="P601" t="n">
        <v>0</v>
      </c>
      <c r="Q601" t="n">
        <v>0</v>
      </c>
      <c r="R601" s="2" t="inlineStr"/>
    </row>
    <row r="602" ht="15" customHeight="1">
      <c r="A602" t="inlineStr">
        <is>
          <t>A 37870-2023</t>
        </is>
      </c>
      <c r="B602" s="1" t="n">
        <v>45160</v>
      </c>
      <c r="C602" s="1" t="n">
        <v>45635</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39624-2023</t>
        </is>
      </c>
      <c r="B603" s="1" t="n">
        <v>45164</v>
      </c>
      <c r="C603" s="1" t="n">
        <v>45635</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40306-2023</t>
        </is>
      </c>
      <c r="B604" s="1" t="n">
        <v>45169</v>
      </c>
      <c r="C604" s="1" t="n">
        <v>45635</v>
      </c>
      <c r="D604" t="inlineStr">
        <is>
          <t>UPPSALA LÄN</t>
        </is>
      </c>
      <c r="E604" t="inlineStr">
        <is>
          <t>ENKÖPING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41478-2023</t>
        </is>
      </c>
      <c r="B605" s="1" t="n">
        <v>45173</v>
      </c>
      <c r="C605" s="1" t="n">
        <v>45635</v>
      </c>
      <c r="D605" t="inlineStr">
        <is>
          <t>UPPSALA LÄN</t>
        </is>
      </c>
      <c r="E605" t="inlineStr">
        <is>
          <t>ENKÖPING</t>
        </is>
      </c>
      <c r="G605" t="n">
        <v>3.3</v>
      </c>
      <c r="H605" t="n">
        <v>0</v>
      </c>
      <c r="I605" t="n">
        <v>0</v>
      </c>
      <c r="J605" t="n">
        <v>0</v>
      </c>
      <c r="K605" t="n">
        <v>0</v>
      </c>
      <c r="L605" t="n">
        <v>0</v>
      </c>
      <c r="M605" t="n">
        <v>0</v>
      </c>
      <c r="N605" t="n">
        <v>0</v>
      </c>
      <c r="O605" t="n">
        <v>0</v>
      </c>
      <c r="P605" t="n">
        <v>0</v>
      </c>
      <c r="Q605" t="n">
        <v>0</v>
      </c>
      <c r="R605" s="2" t="inlineStr"/>
    </row>
    <row r="606" ht="15" customHeight="1">
      <c r="A606" t="inlineStr">
        <is>
          <t>A 41549-2023</t>
        </is>
      </c>
      <c r="B606" s="1" t="n">
        <v>45173</v>
      </c>
      <c r="C606" s="1" t="n">
        <v>45635</v>
      </c>
      <c r="D606" t="inlineStr">
        <is>
          <t>UPPSALA LÄN</t>
        </is>
      </c>
      <c r="E606" t="inlineStr">
        <is>
          <t>ENKÖPING</t>
        </is>
      </c>
      <c r="G606" t="n">
        <v>4.5</v>
      </c>
      <c r="H606" t="n">
        <v>0</v>
      </c>
      <c r="I606" t="n">
        <v>0</v>
      </c>
      <c r="J606" t="n">
        <v>0</v>
      </c>
      <c r="K606" t="n">
        <v>0</v>
      </c>
      <c r="L606" t="n">
        <v>0</v>
      </c>
      <c r="M606" t="n">
        <v>0</v>
      </c>
      <c r="N606" t="n">
        <v>0</v>
      </c>
      <c r="O606" t="n">
        <v>0</v>
      </c>
      <c r="P606" t="n">
        <v>0</v>
      </c>
      <c r="Q606" t="n">
        <v>0</v>
      </c>
      <c r="R606" s="2" t="inlineStr"/>
    </row>
    <row r="607" ht="15" customHeight="1">
      <c r="A607" t="inlineStr">
        <is>
          <t>A 41945-2023</t>
        </is>
      </c>
      <c r="B607" s="1" t="n">
        <v>45177</v>
      </c>
      <c r="C607" s="1" t="n">
        <v>45635</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43494-2023</t>
        </is>
      </c>
      <c r="B608" s="1" t="n">
        <v>45181</v>
      </c>
      <c r="C608" s="1" t="n">
        <v>45635</v>
      </c>
      <c r="D608" t="inlineStr">
        <is>
          <t>UPPSALA LÄN</t>
        </is>
      </c>
      <c r="E608" t="inlineStr">
        <is>
          <t>ENKÖPING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43510-2023</t>
        </is>
      </c>
      <c r="B609" s="1" t="n">
        <v>45181</v>
      </c>
      <c r="C609" s="1" t="n">
        <v>45635</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43506-2023</t>
        </is>
      </c>
      <c r="B610" s="1" t="n">
        <v>45181</v>
      </c>
      <c r="C610" s="1" t="n">
        <v>45635</v>
      </c>
      <c r="D610" t="inlineStr">
        <is>
          <t>UPPSALA LÄN</t>
        </is>
      </c>
      <c r="E610" t="inlineStr">
        <is>
          <t>ENKÖPING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43488-2023</t>
        </is>
      </c>
      <c r="B611" s="1" t="n">
        <v>45181</v>
      </c>
      <c r="C611" s="1" t="n">
        <v>45635</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43492-2023</t>
        </is>
      </c>
      <c r="B612" s="1" t="n">
        <v>45181</v>
      </c>
      <c r="C612" s="1" t="n">
        <v>45635</v>
      </c>
      <c r="D612" t="inlineStr">
        <is>
          <t>UPPSALA LÄN</t>
        </is>
      </c>
      <c r="E612" t="inlineStr">
        <is>
          <t>ENKÖPING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43499-2023</t>
        </is>
      </c>
      <c r="B613" s="1" t="n">
        <v>45181</v>
      </c>
      <c r="C613" s="1" t="n">
        <v>45635</v>
      </c>
      <c r="D613" t="inlineStr">
        <is>
          <t>UPPSALA LÄN</t>
        </is>
      </c>
      <c r="E613" t="inlineStr">
        <is>
          <t>ENKÖPING</t>
        </is>
      </c>
      <c r="G613" t="n">
        <v>7.3</v>
      </c>
      <c r="H613" t="n">
        <v>0</v>
      </c>
      <c r="I613" t="n">
        <v>0</v>
      </c>
      <c r="J613" t="n">
        <v>0</v>
      </c>
      <c r="K613" t="n">
        <v>0</v>
      </c>
      <c r="L613" t="n">
        <v>0</v>
      </c>
      <c r="M613" t="n">
        <v>0</v>
      </c>
      <c r="N613" t="n">
        <v>0</v>
      </c>
      <c r="O613" t="n">
        <v>0</v>
      </c>
      <c r="P613" t="n">
        <v>0</v>
      </c>
      <c r="Q613" t="n">
        <v>0</v>
      </c>
      <c r="R613" s="2" t="inlineStr"/>
    </row>
    <row r="614" ht="15" customHeight="1">
      <c r="A614" t="inlineStr">
        <is>
          <t>A 43230-2023</t>
        </is>
      </c>
      <c r="B614" s="1" t="n">
        <v>45183</v>
      </c>
      <c r="C614" s="1" t="n">
        <v>45635</v>
      </c>
      <c r="D614" t="inlineStr">
        <is>
          <t>UPPSALA LÄN</t>
        </is>
      </c>
      <c r="E614" t="inlineStr">
        <is>
          <t>ENKÖPING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44131-2023</t>
        </is>
      </c>
      <c r="B615" s="1" t="n">
        <v>45188</v>
      </c>
      <c r="C615" s="1" t="n">
        <v>45635</v>
      </c>
      <c r="D615" t="inlineStr">
        <is>
          <t>UPPSALA LÄN</t>
        </is>
      </c>
      <c r="E615" t="inlineStr">
        <is>
          <t>ENKÖPING</t>
        </is>
      </c>
      <c r="G615" t="n">
        <v>0.3</v>
      </c>
      <c r="H615" t="n">
        <v>0</v>
      </c>
      <c r="I615" t="n">
        <v>0</v>
      </c>
      <c r="J615" t="n">
        <v>0</v>
      </c>
      <c r="K615" t="n">
        <v>0</v>
      </c>
      <c r="L615" t="n">
        <v>0</v>
      </c>
      <c r="M615" t="n">
        <v>0</v>
      </c>
      <c r="N615" t="n">
        <v>0</v>
      </c>
      <c r="O615" t="n">
        <v>0</v>
      </c>
      <c r="P615" t="n">
        <v>0</v>
      </c>
      <c r="Q615" t="n">
        <v>0</v>
      </c>
      <c r="R615" s="2" t="inlineStr"/>
    </row>
    <row r="616" ht="15" customHeight="1">
      <c r="A616" t="inlineStr">
        <is>
          <t>A 44326-2023</t>
        </is>
      </c>
      <c r="B616" s="1" t="n">
        <v>45188</v>
      </c>
      <c r="C616" s="1" t="n">
        <v>45635</v>
      </c>
      <c r="D616" t="inlineStr">
        <is>
          <t>UPPSALA LÄN</t>
        </is>
      </c>
      <c r="E616" t="inlineStr">
        <is>
          <t>ENKÖPING</t>
        </is>
      </c>
      <c r="G616" t="n">
        <v>2.3</v>
      </c>
      <c r="H616" t="n">
        <v>0</v>
      </c>
      <c r="I616" t="n">
        <v>0</v>
      </c>
      <c r="J616" t="n">
        <v>0</v>
      </c>
      <c r="K616" t="n">
        <v>0</v>
      </c>
      <c r="L616" t="n">
        <v>0</v>
      </c>
      <c r="M616" t="n">
        <v>0</v>
      </c>
      <c r="N616" t="n">
        <v>0</v>
      </c>
      <c r="O616" t="n">
        <v>0</v>
      </c>
      <c r="P616" t="n">
        <v>0</v>
      </c>
      <c r="Q616" t="n">
        <v>0</v>
      </c>
      <c r="R616" s="2" t="inlineStr"/>
    </row>
    <row r="617" ht="15" customHeight="1">
      <c r="A617" t="inlineStr">
        <is>
          <t>A 46103-2023</t>
        </is>
      </c>
      <c r="B617" s="1" t="n">
        <v>45190</v>
      </c>
      <c r="C617" s="1" t="n">
        <v>45635</v>
      </c>
      <c r="D617" t="inlineStr">
        <is>
          <t>UPPSALA LÄN</t>
        </is>
      </c>
      <c r="E617" t="inlineStr">
        <is>
          <t>ENKÖPING</t>
        </is>
      </c>
      <c r="G617" t="n">
        <v>4.6</v>
      </c>
      <c r="H617" t="n">
        <v>0</v>
      </c>
      <c r="I617" t="n">
        <v>0</v>
      </c>
      <c r="J617" t="n">
        <v>0</v>
      </c>
      <c r="K617" t="n">
        <v>0</v>
      </c>
      <c r="L617" t="n">
        <v>0</v>
      </c>
      <c r="M617" t="n">
        <v>0</v>
      </c>
      <c r="N617" t="n">
        <v>0</v>
      </c>
      <c r="O617" t="n">
        <v>0</v>
      </c>
      <c r="P617" t="n">
        <v>0</v>
      </c>
      <c r="Q617" t="n">
        <v>0</v>
      </c>
      <c r="R617" s="2" t="inlineStr"/>
    </row>
    <row r="618" ht="15" customHeight="1">
      <c r="A618" t="inlineStr">
        <is>
          <t>A 45058-2023</t>
        </is>
      </c>
      <c r="B618" s="1" t="n">
        <v>45191</v>
      </c>
      <c r="C618" s="1" t="n">
        <v>45635</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45142-2023</t>
        </is>
      </c>
      <c r="B619" s="1" t="n">
        <v>45191</v>
      </c>
      <c r="C619" s="1" t="n">
        <v>45635</v>
      </c>
      <c r="D619" t="inlineStr">
        <is>
          <t>UPPSALA LÄN</t>
        </is>
      </c>
      <c r="E619" t="inlineStr">
        <is>
          <t>ENKÖPING</t>
        </is>
      </c>
      <c r="G619" t="n">
        <v>1.8</v>
      </c>
      <c r="H619" t="n">
        <v>0</v>
      </c>
      <c r="I619" t="n">
        <v>0</v>
      </c>
      <c r="J619" t="n">
        <v>0</v>
      </c>
      <c r="K619" t="n">
        <v>0</v>
      </c>
      <c r="L619" t="n">
        <v>0</v>
      </c>
      <c r="M619" t="n">
        <v>0</v>
      </c>
      <c r="N619" t="n">
        <v>0</v>
      </c>
      <c r="O619" t="n">
        <v>0</v>
      </c>
      <c r="P619" t="n">
        <v>0</v>
      </c>
      <c r="Q619" t="n">
        <v>0</v>
      </c>
      <c r="R619" s="2" t="inlineStr"/>
    </row>
    <row r="620" ht="15" customHeight="1">
      <c r="A620" t="inlineStr">
        <is>
          <t>A 45095-2023</t>
        </is>
      </c>
      <c r="B620" s="1" t="n">
        <v>45191</v>
      </c>
      <c r="C620" s="1" t="n">
        <v>45635</v>
      </c>
      <c r="D620" t="inlineStr">
        <is>
          <t>UPPSALA LÄN</t>
        </is>
      </c>
      <c r="E620" t="inlineStr">
        <is>
          <t>ENKÖPING</t>
        </is>
      </c>
      <c r="G620" t="n">
        <v>4.1</v>
      </c>
      <c r="H620" t="n">
        <v>0</v>
      </c>
      <c r="I620" t="n">
        <v>0</v>
      </c>
      <c r="J620" t="n">
        <v>0</v>
      </c>
      <c r="K620" t="n">
        <v>0</v>
      </c>
      <c r="L620" t="n">
        <v>0</v>
      </c>
      <c r="M620" t="n">
        <v>0</v>
      </c>
      <c r="N620" t="n">
        <v>0</v>
      </c>
      <c r="O620" t="n">
        <v>0</v>
      </c>
      <c r="P620" t="n">
        <v>0</v>
      </c>
      <c r="Q620" t="n">
        <v>0</v>
      </c>
      <c r="R620" s="2" t="inlineStr"/>
    </row>
    <row r="621" ht="15" customHeight="1">
      <c r="A621" t="inlineStr">
        <is>
          <t>A 45208-2023</t>
        </is>
      </c>
      <c r="B621" s="1" t="n">
        <v>45191</v>
      </c>
      <c r="C621" s="1" t="n">
        <v>45635</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46186-2023</t>
        </is>
      </c>
      <c r="B622" s="1" t="n">
        <v>45196</v>
      </c>
      <c r="C622" s="1" t="n">
        <v>45635</v>
      </c>
      <c r="D622" t="inlineStr">
        <is>
          <t>UPPSALA LÄN</t>
        </is>
      </c>
      <c r="E622" t="inlineStr">
        <is>
          <t>ENKÖPING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47428-2023</t>
        </is>
      </c>
      <c r="B623" s="1" t="n">
        <v>45202</v>
      </c>
      <c r="C623" s="1" t="n">
        <v>45635</v>
      </c>
      <c r="D623" t="inlineStr">
        <is>
          <t>UPPSALA LÄN</t>
        </is>
      </c>
      <c r="E623" t="inlineStr">
        <is>
          <t>ENKÖPING</t>
        </is>
      </c>
      <c r="G623" t="n">
        <v>3</v>
      </c>
      <c r="H623" t="n">
        <v>0</v>
      </c>
      <c r="I623" t="n">
        <v>0</v>
      </c>
      <c r="J623" t="n">
        <v>0</v>
      </c>
      <c r="K623" t="n">
        <v>0</v>
      </c>
      <c r="L623" t="n">
        <v>0</v>
      </c>
      <c r="M623" t="n">
        <v>0</v>
      </c>
      <c r="N623" t="n">
        <v>0</v>
      </c>
      <c r="O623" t="n">
        <v>0</v>
      </c>
      <c r="P623" t="n">
        <v>0</v>
      </c>
      <c r="Q623" t="n">
        <v>0</v>
      </c>
      <c r="R623" s="2" t="inlineStr"/>
    </row>
    <row r="624" ht="15" customHeight="1">
      <c r="A624" t="inlineStr">
        <is>
          <t>A 47553-2023</t>
        </is>
      </c>
      <c r="B624" s="1" t="n">
        <v>45203</v>
      </c>
      <c r="C624" s="1" t="n">
        <v>45635</v>
      </c>
      <c r="D624" t="inlineStr">
        <is>
          <t>UPPSALA LÄN</t>
        </is>
      </c>
      <c r="E624" t="inlineStr">
        <is>
          <t>ENKÖPING</t>
        </is>
      </c>
      <c r="G624" t="n">
        <v>13.3</v>
      </c>
      <c r="H624" t="n">
        <v>0</v>
      </c>
      <c r="I624" t="n">
        <v>0</v>
      </c>
      <c r="J624" t="n">
        <v>0</v>
      </c>
      <c r="K624" t="n">
        <v>0</v>
      </c>
      <c r="L624" t="n">
        <v>0</v>
      </c>
      <c r="M624" t="n">
        <v>0</v>
      </c>
      <c r="N624" t="n">
        <v>0</v>
      </c>
      <c r="O624" t="n">
        <v>0</v>
      </c>
      <c r="P624" t="n">
        <v>0</v>
      </c>
      <c r="Q624" t="n">
        <v>0</v>
      </c>
      <c r="R624" s="2" t="inlineStr"/>
    </row>
    <row r="625" ht="15" customHeight="1">
      <c r="A625" t="inlineStr">
        <is>
          <t>A 48843-2023</t>
        </is>
      </c>
      <c r="B625" s="1" t="n">
        <v>45209</v>
      </c>
      <c r="C625" s="1" t="n">
        <v>45635</v>
      </c>
      <c r="D625" t="inlineStr">
        <is>
          <t>UPPSALA LÄN</t>
        </is>
      </c>
      <c r="E625" t="inlineStr">
        <is>
          <t>ENKÖPING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50006-2023</t>
        </is>
      </c>
      <c r="B626" s="1" t="n">
        <v>45215</v>
      </c>
      <c r="C626" s="1" t="n">
        <v>45635</v>
      </c>
      <c r="D626" t="inlineStr">
        <is>
          <t>UPPSALA LÄN</t>
        </is>
      </c>
      <c r="E626" t="inlineStr">
        <is>
          <t>ENKÖPING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50419-2023</t>
        </is>
      </c>
      <c r="B627" s="1" t="n">
        <v>45216</v>
      </c>
      <c r="C627" s="1" t="n">
        <v>45635</v>
      </c>
      <c r="D627" t="inlineStr">
        <is>
          <t>UPPSALA LÄN</t>
        </is>
      </c>
      <c r="E627" t="inlineStr">
        <is>
          <t>ENKÖPING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51120-2023</t>
        </is>
      </c>
      <c r="B628" s="1" t="n">
        <v>45219</v>
      </c>
      <c r="C628" s="1" t="n">
        <v>45635</v>
      </c>
      <c r="D628" t="inlineStr">
        <is>
          <t>UPPSALA LÄN</t>
        </is>
      </c>
      <c r="E628" t="inlineStr">
        <is>
          <t>ENKÖPING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51313-2023</t>
        </is>
      </c>
      <c r="B629" s="1" t="n">
        <v>45219</v>
      </c>
      <c r="C629" s="1" t="n">
        <v>45635</v>
      </c>
      <c r="D629" t="inlineStr">
        <is>
          <t>UPPSALA LÄN</t>
        </is>
      </c>
      <c r="E629" t="inlineStr">
        <is>
          <t>ENKÖPING</t>
        </is>
      </c>
      <c r="F629" t="inlineStr">
        <is>
          <t>Allmännings- och besparingsskogar</t>
        </is>
      </c>
      <c r="G629" t="n">
        <v>7.7</v>
      </c>
      <c r="H629" t="n">
        <v>0</v>
      </c>
      <c r="I629" t="n">
        <v>0</v>
      </c>
      <c r="J629" t="n">
        <v>0</v>
      </c>
      <c r="K629" t="n">
        <v>0</v>
      </c>
      <c r="L629" t="n">
        <v>0</v>
      </c>
      <c r="M629" t="n">
        <v>0</v>
      </c>
      <c r="N629" t="n">
        <v>0</v>
      </c>
      <c r="O629" t="n">
        <v>0</v>
      </c>
      <c r="P629" t="n">
        <v>0</v>
      </c>
      <c r="Q629" t="n">
        <v>0</v>
      </c>
      <c r="R629" s="2" t="inlineStr"/>
    </row>
    <row r="630" ht="15" customHeight="1">
      <c r="A630" t="inlineStr">
        <is>
          <t>A 51688-2023</t>
        </is>
      </c>
      <c r="B630" s="1" t="n">
        <v>45222</v>
      </c>
      <c r="C630" s="1" t="n">
        <v>45635</v>
      </c>
      <c r="D630" t="inlineStr">
        <is>
          <t>UPPSALA LÄN</t>
        </is>
      </c>
      <c r="E630" t="inlineStr">
        <is>
          <t>ENKÖPING</t>
        </is>
      </c>
      <c r="G630" t="n">
        <v>2</v>
      </c>
      <c r="H630" t="n">
        <v>0</v>
      </c>
      <c r="I630" t="n">
        <v>0</v>
      </c>
      <c r="J630" t="n">
        <v>0</v>
      </c>
      <c r="K630" t="n">
        <v>0</v>
      </c>
      <c r="L630" t="n">
        <v>0</v>
      </c>
      <c r="M630" t="n">
        <v>0</v>
      </c>
      <c r="N630" t="n">
        <v>0</v>
      </c>
      <c r="O630" t="n">
        <v>0</v>
      </c>
      <c r="P630" t="n">
        <v>0</v>
      </c>
      <c r="Q630" t="n">
        <v>0</v>
      </c>
      <c r="R630" s="2" t="inlineStr"/>
    </row>
    <row r="631" ht="15" customHeight="1">
      <c r="A631" t="inlineStr">
        <is>
          <t>A 51835-2023</t>
        </is>
      </c>
      <c r="B631" s="1" t="n">
        <v>45223</v>
      </c>
      <c r="C631" s="1" t="n">
        <v>45635</v>
      </c>
      <c r="D631" t="inlineStr">
        <is>
          <t>UPPSALA LÄN</t>
        </is>
      </c>
      <c r="E631" t="inlineStr">
        <is>
          <t>ENKÖPING</t>
        </is>
      </c>
      <c r="G631" t="n">
        <v>4.7</v>
      </c>
      <c r="H631" t="n">
        <v>0</v>
      </c>
      <c r="I631" t="n">
        <v>0</v>
      </c>
      <c r="J631" t="n">
        <v>0</v>
      </c>
      <c r="K631" t="n">
        <v>0</v>
      </c>
      <c r="L631" t="n">
        <v>0</v>
      </c>
      <c r="M631" t="n">
        <v>0</v>
      </c>
      <c r="N631" t="n">
        <v>0</v>
      </c>
      <c r="O631" t="n">
        <v>0</v>
      </c>
      <c r="P631" t="n">
        <v>0</v>
      </c>
      <c r="Q631" t="n">
        <v>0</v>
      </c>
      <c r="R631" s="2" t="inlineStr"/>
    </row>
    <row r="632" ht="15" customHeight="1">
      <c r="A632" t="inlineStr">
        <is>
          <t>A 53595-2023</t>
        </is>
      </c>
      <c r="B632" s="1" t="n">
        <v>45223</v>
      </c>
      <c r="C632" s="1" t="n">
        <v>45635</v>
      </c>
      <c r="D632" t="inlineStr">
        <is>
          <t>UPPSALA LÄN</t>
        </is>
      </c>
      <c r="E632" t="inlineStr">
        <is>
          <t>ENKÖPING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52299-2023</t>
        </is>
      </c>
      <c r="B633" s="1" t="n">
        <v>45224</v>
      </c>
      <c r="C633" s="1" t="n">
        <v>45635</v>
      </c>
      <c r="D633" t="inlineStr">
        <is>
          <t>UPPSALA LÄN</t>
        </is>
      </c>
      <c r="E633" t="inlineStr">
        <is>
          <t>ENKÖPING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52366-2023</t>
        </is>
      </c>
      <c r="B634" s="1" t="n">
        <v>45224</v>
      </c>
      <c r="C634" s="1" t="n">
        <v>45635</v>
      </c>
      <c r="D634" t="inlineStr">
        <is>
          <t>UPPSALA LÄN</t>
        </is>
      </c>
      <c r="E634" t="inlineStr">
        <is>
          <t>ENKÖPING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54356-2023</t>
        </is>
      </c>
      <c r="B635" s="1" t="n">
        <v>45225</v>
      </c>
      <c r="C635" s="1" t="n">
        <v>45635</v>
      </c>
      <c r="D635" t="inlineStr">
        <is>
          <t>UPPSALA LÄN</t>
        </is>
      </c>
      <c r="E635" t="inlineStr">
        <is>
          <t>ENKÖPING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54357-2023</t>
        </is>
      </c>
      <c r="B636" s="1" t="n">
        <v>45225</v>
      </c>
      <c r="C636" s="1" t="n">
        <v>45635</v>
      </c>
      <c r="D636" t="inlineStr">
        <is>
          <t>UPPSALA LÄN</t>
        </is>
      </c>
      <c r="E636" t="inlineStr">
        <is>
          <t>ENKÖPING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53208-2023</t>
        </is>
      </c>
      <c r="B637" s="1" t="n">
        <v>45226</v>
      </c>
      <c r="C637" s="1" t="n">
        <v>45635</v>
      </c>
      <c r="D637" t="inlineStr">
        <is>
          <t>UPPSALA LÄN</t>
        </is>
      </c>
      <c r="E637" t="inlineStr">
        <is>
          <t>ENKÖPING</t>
        </is>
      </c>
      <c r="G637" t="n">
        <v>4.3</v>
      </c>
      <c r="H637" t="n">
        <v>0</v>
      </c>
      <c r="I637" t="n">
        <v>0</v>
      </c>
      <c r="J637" t="n">
        <v>0</v>
      </c>
      <c r="K637" t="n">
        <v>0</v>
      </c>
      <c r="L637" t="n">
        <v>0</v>
      </c>
      <c r="M637" t="n">
        <v>0</v>
      </c>
      <c r="N637" t="n">
        <v>0</v>
      </c>
      <c r="O637" t="n">
        <v>0</v>
      </c>
      <c r="P637" t="n">
        <v>0</v>
      </c>
      <c r="Q637" t="n">
        <v>0</v>
      </c>
      <c r="R637" s="2" t="inlineStr"/>
    </row>
    <row r="638" ht="15" customHeight="1">
      <c r="A638" t="inlineStr">
        <is>
          <t>A 53333-2023</t>
        </is>
      </c>
      <c r="B638" s="1" t="n">
        <v>45229</v>
      </c>
      <c r="C638" s="1" t="n">
        <v>45635</v>
      </c>
      <c r="D638" t="inlineStr">
        <is>
          <t>UPPSALA LÄN</t>
        </is>
      </c>
      <c r="E638" t="inlineStr">
        <is>
          <t>ENKÖPING</t>
        </is>
      </c>
      <c r="G638" t="n">
        <v>3.6</v>
      </c>
      <c r="H638" t="n">
        <v>0</v>
      </c>
      <c r="I638" t="n">
        <v>0</v>
      </c>
      <c r="J638" t="n">
        <v>0</v>
      </c>
      <c r="K638" t="n">
        <v>0</v>
      </c>
      <c r="L638" t="n">
        <v>0</v>
      </c>
      <c r="M638" t="n">
        <v>0</v>
      </c>
      <c r="N638" t="n">
        <v>0</v>
      </c>
      <c r="O638" t="n">
        <v>0</v>
      </c>
      <c r="P638" t="n">
        <v>0</v>
      </c>
      <c r="Q638" t="n">
        <v>0</v>
      </c>
      <c r="R638" s="2" t="inlineStr"/>
    </row>
    <row r="639" ht="15" customHeight="1">
      <c r="A639" t="inlineStr">
        <is>
          <t>A 53338-2023</t>
        </is>
      </c>
      <c r="B639" s="1" t="n">
        <v>45229</v>
      </c>
      <c r="C639" s="1" t="n">
        <v>45635</v>
      </c>
      <c r="D639" t="inlineStr">
        <is>
          <t>UPPSALA LÄN</t>
        </is>
      </c>
      <c r="E639" t="inlineStr">
        <is>
          <t>ENKÖPING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53607-2023</t>
        </is>
      </c>
      <c r="B640" s="1" t="n">
        <v>45230</v>
      </c>
      <c r="C640" s="1" t="n">
        <v>45635</v>
      </c>
      <c r="D640" t="inlineStr">
        <is>
          <t>UPPSALA LÄN</t>
        </is>
      </c>
      <c r="E640" t="inlineStr">
        <is>
          <t>ENKÖPING</t>
        </is>
      </c>
      <c r="F640" t="inlineStr">
        <is>
          <t>Allmännings- och besparingsskogar</t>
        </is>
      </c>
      <c r="G640" t="n">
        <v>6.3</v>
      </c>
      <c r="H640" t="n">
        <v>0</v>
      </c>
      <c r="I640" t="n">
        <v>0</v>
      </c>
      <c r="J640" t="n">
        <v>0</v>
      </c>
      <c r="K640" t="n">
        <v>0</v>
      </c>
      <c r="L640" t="n">
        <v>0</v>
      </c>
      <c r="M640" t="n">
        <v>0</v>
      </c>
      <c r="N640" t="n">
        <v>0</v>
      </c>
      <c r="O640" t="n">
        <v>0</v>
      </c>
      <c r="P640" t="n">
        <v>0</v>
      </c>
      <c r="Q640" t="n">
        <v>0</v>
      </c>
      <c r="R640" s="2" t="inlineStr"/>
    </row>
    <row r="641" ht="15" customHeight="1">
      <c r="A641" t="inlineStr">
        <is>
          <t>A 54208-2023</t>
        </is>
      </c>
      <c r="B641" s="1" t="n">
        <v>45232</v>
      </c>
      <c r="C641" s="1" t="n">
        <v>45635</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54224-2023</t>
        </is>
      </c>
      <c r="B642" s="1" t="n">
        <v>45232</v>
      </c>
      <c r="C642" s="1" t="n">
        <v>45635</v>
      </c>
      <c r="D642" t="inlineStr">
        <is>
          <t>UPPSALA LÄN</t>
        </is>
      </c>
      <c r="E642" t="inlineStr">
        <is>
          <t>ENKÖPING</t>
        </is>
      </c>
      <c r="G642" t="n">
        <v>5.4</v>
      </c>
      <c r="H642" t="n">
        <v>0</v>
      </c>
      <c r="I642" t="n">
        <v>0</v>
      </c>
      <c r="J642" t="n">
        <v>0</v>
      </c>
      <c r="K642" t="n">
        <v>0</v>
      </c>
      <c r="L642" t="n">
        <v>0</v>
      </c>
      <c r="M642" t="n">
        <v>0</v>
      </c>
      <c r="N642" t="n">
        <v>0</v>
      </c>
      <c r="O642" t="n">
        <v>0</v>
      </c>
      <c r="P642" t="n">
        <v>0</v>
      </c>
      <c r="Q642" t="n">
        <v>0</v>
      </c>
      <c r="R642" s="2" t="inlineStr"/>
    </row>
    <row r="643" ht="15" customHeight="1">
      <c r="A643" t="inlineStr">
        <is>
          <t>A 55609-2023</t>
        </is>
      </c>
      <c r="B643" s="1" t="n">
        <v>45238</v>
      </c>
      <c r="C643" s="1" t="n">
        <v>45635</v>
      </c>
      <c r="D643" t="inlineStr">
        <is>
          <t>UPPSALA LÄN</t>
        </is>
      </c>
      <c r="E643" t="inlineStr">
        <is>
          <t>ENKÖPING</t>
        </is>
      </c>
      <c r="F643" t="inlineStr">
        <is>
          <t>Allmännings- och besparingsskogar</t>
        </is>
      </c>
      <c r="G643" t="n">
        <v>13.3</v>
      </c>
      <c r="H643" t="n">
        <v>0</v>
      </c>
      <c r="I643" t="n">
        <v>0</v>
      </c>
      <c r="J643" t="n">
        <v>0</v>
      </c>
      <c r="K643" t="n">
        <v>0</v>
      </c>
      <c r="L643" t="n">
        <v>0</v>
      </c>
      <c r="M643" t="n">
        <v>0</v>
      </c>
      <c r="N643" t="n">
        <v>0</v>
      </c>
      <c r="O643" t="n">
        <v>0</v>
      </c>
      <c r="P643" t="n">
        <v>0</v>
      </c>
      <c r="Q643" t="n">
        <v>0</v>
      </c>
      <c r="R643" s="2" t="inlineStr"/>
    </row>
    <row r="644" ht="15" customHeight="1">
      <c r="A644" t="inlineStr">
        <is>
          <t>A 56886-2023</t>
        </is>
      </c>
      <c r="B644" s="1" t="n">
        <v>45239</v>
      </c>
      <c r="C644" s="1" t="n">
        <v>45635</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57018-2023</t>
        </is>
      </c>
      <c r="B645" s="1" t="n">
        <v>45244</v>
      </c>
      <c r="C645" s="1" t="n">
        <v>45635</v>
      </c>
      <c r="D645" t="inlineStr">
        <is>
          <t>UPPSALA LÄN</t>
        </is>
      </c>
      <c r="E645" t="inlineStr">
        <is>
          <t>ENKÖPING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57662-2023</t>
        </is>
      </c>
      <c r="B646" s="1" t="n">
        <v>45246</v>
      </c>
      <c r="C646" s="1" t="n">
        <v>45635</v>
      </c>
      <c r="D646" t="inlineStr">
        <is>
          <t>UPPSALA LÄN</t>
        </is>
      </c>
      <c r="E646" t="inlineStr">
        <is>
          <t>ENKÖPING</t>
        </is>
      </c>
      <c r="G646" t="n">
        <v>10.9</v>
      </c>
      <c r="H646" t="n">
        <v>0</v>
      </c>
      <c r="I646" t="n">
        <v>0</v>
      </c>
      <c r="J646" t="n">
        <v>0</v>
      </c>
      <c r="K646" t="n">
        <v>0</v>
      </c>
      <c r="L646" t="n">
        <v>0</v>
      </c>
      <c r="M646" t="n">
        <v>0</v>
      </c>
      <c r="N646" t="n">
        <v>0</v>
      </c>
      <c r="O646" t="n">
        <v>0</v>
      </c>
      <c r="P646" t="n">
        <v>0</v>
      </c>
      <c r="Q646" t="n">
        <v>0</v>
      </c>
      <c r="R646" s="2" t="inlineStr"/>
    </row>
    <row r="647" ht="15" customHeight="1">
      <c r="A647" t="inlineStr">
        <is>
          <t>A 58114-2023</t>
        </is>
      </c>
      <c r="B647" s="1" t="n">
        <v>45249</v>
      </c>
      <c r="C647" s="1" t="n">
        <v>45635</v>
      </c>
      <c r="D647" t="inlineStr">
        <is>
          <t>UPPSALA LÄN</t>
        </is>
      </c>
      <c r="E647" t="inlineStr">
        <is>
          <t>ENKÖPING</t>
        </is>
      </c>
      <c r="G647" t="n">
        <v>15.4</v>
      </c>
      <c r="H647" t="n">
        <v>0</v>
      </c>
      <c r="I647" t="n">
        <v>0</v>
      </c>
      <c r="J647" t="n">
        <v>0</v>
      </c>
      <c r="K647" t="n">
        <v>0</v>
      </c>
      <c r="L647" t="n">
        <v>0</v>
      </c>
      <c r="M647" t="n">
        <v>0</v>
      </c>
      <c r="N647" t="n">
        <v>0</v>
      </c>
      <c r="O647" t="n">
        <v>0</v>
      </c>
      <c r="P647" t="n">
        <v>0</v>
      </c>
      <c r="Q647" t="n">
        <v>0</v>
      </c>
      <c r="R647" s="2" t="inlineStr"/>
    </row>
    <row r="648" ht="15" customHeight="1">
      <c r="A648" t="inlineStr">
        <is>
          <t>A 59866-2023</t>
        </is>
      </c>
      <c r="B648" s="1" t="n">
        <v>45257</v>
      </c>
      <c r="C648" s="1" t="n">
        <v>45635</v>
      </c>
      <c r="D648" t="inlineStr">
        <is>
          <t>UPPSALA LÄN</t>
        </is>
      </c>
      <c r="E648" t="inlineStr">
        <is>
          <t>ENKÖPING</t>
        </is>
      </c>
      <c r="G648" t="n">
        <v>3.5</v>
      </c>
      <c r="H648" t="n">
        <v>0</v>
      </c>
      <c r="I648" t="n">
        <v>0</v>
      </c>
      <c r="J648" t="n">
        <v>0</v>
      </c>
      <c r="K648" t="n">
        <v>0</v>
      </c>
      <c r="L648" t="n">
        <v>0</v>
      </c>
      <c r="M648" t="n">
        <v>0</v>
      </c>
      <c r="N648" t="n">
        <v>0</v>
      </c>
      <c r="O648" t="n">
        <v>0</v>
      </c>
      <c r="P648" t="n">
        <v>0</v>
      </c>
      <c r="Q648" t="n">
        <v>0</v>
      </c>
      <c r="R648" s="2" t="inlineStr"/>
    </row>
    <row r="649" ht="15" customHeight="1">
      <c r="A649" t="inlineStr">
        <is>
          <t>A 60200-2023</t>
        </is>
      </c>
      <c r="B649" s="1" t="n">
        <v>45258</v>
      </c>
      <c r="C649" s="1" t="n">
        <v>45635</v>
      </c>
      <c r="D649" t="inlineStr">
        <is>
          <t>UPPSALA LÄN</t>
        </is>
      </c>
      <c r="E649" t="inlineStr">
        <is>
          <t>ENKÖPING</t>
        </is>
      </c>
      <c r="F649" t="inlineStr">
        <is>
          <t>Allmännings- och besparingsskogar</t>
        </is>
      </c>
      <c r="G649" t="n">
        <v>9.4</v>
      </c>
      <c r="H649" t="n">
        <v>0</v>
      </c>
      <c r="I649" t="n">
        <v>0</v>
      </c>
      <c r="J649" t="n">
        <v>0</v>
      </c>
      <c r="K649" t="n">
        <v>0</v>
      </c>
      <c r="L649" t="n">
        <v>0</v>
      </c>
      <c r="M649" t="n">
        <v>0</v>
      </c>
      <c r="N649" t="n">
        <v>0</v>
      </c>
      <c r="O649" t="n">
        <v>0</v>
      </c>
      <c r="P649" t="n">
        <v>0</v>
      </c>
      <c r="Q649" t="n">
        <v>0</v>
      </c>
      <c r="R649" s="2" t="inlineStr"/>
    </row>
    <row r="650" ht="15" customHeight="1">
      <c r="A650" t="inlineStr">
        <is>
          <t>A 60641-2023</t>
        </is>
      </c>
      <c r="B650" s="1" t="n">
        <v>45260</v>
      </c>
      <c r="C650" s="1" t="n">
        <v>45635</v>
      </c>
      <c r="D650" t="inlineStr">
        <is>
          <t>UPPSALA LÄN</t>
        </is>
      </c>
      <c r="E650" t="inlineStr">
        <is>
          <t>ENKÖPING</t>
        </is>
      </c>
      <c r="G650" t="n">
        <v>13.1</v>
      </c>
      <c r="H650" t="n">
        <v>0</v>
      </c>
      <c r="I650" t="n">
        <v>0</v>
      </c>
      <c r="J650" t="n">
        <v>0</v>
      </c>
      <c r="K650" t="n">
        <v>0</v>
      </c>
      <c r="L650" t="n">
        <v>0</v>
      </c>
      <c r="M650" t="n">
        <v>0</v>
      </c>
      <c r="N650" t="n">
        <v>0</v>
      </c>
      <c r="O650" t="n">
        <v>0</v>
      </c>
      <c r="P650" t="n">
        <v>0</v>
      </c>
      <c r="Q650" t="n">
        <v>0</v>
      </c>
      <c r="R650" s="2" t="inlineStr"/>
    </row>
    <row r="651" ht="15" customHeight="1">
      <c r="A651" t="inlineStr">
        <is>
          <t>A 61040-2023</t>
        </is>
      </c>
      <c r="B651" s="1" t="n">
        <v>45260</v>
      </c>
      <c r="C651" s="1" t="n">
        <v>45635</v>
      </c>
      <c r="D651" t="inlineStr">
        <is>
          <t>UPPSALA LÄN</t>
        </is>
      </c>
      <c r="E651" t="inlineStr">
        <is>
          <t>ENKÖPING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60874-2023</t>
        </is>
      </c>
      <c r="B652" s="1" t="n">
        <v>45261</v>
      </c>
      <c r="C652" s="1" t="n">
        <v>45635</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61207-2023</t>
        </is>
      </c>
      <c r="B653" s="1" t="n">
        <v>45264</v>
      </c>
      <c r="C653" s="1" t="n">
        <v>45635</v>
      </c>
      <c r="D653" t="inlineStr">
        <is>
          <t>UPPSALA LÄN</t>
        </is>
      </c>
      <c r="E653" t="inlineStr">
        <is>
          <t>ENKÖPING</t>
        </is>
      </c>
      <c r="G653" t="n">
        <v>10.8</v>
      </c>
      <c r="H653" t="n">
        <v>0</v>
      </c>
      <c r="I653" t="n">
        <v>0</v>
      </c>
      <c r="J653" t="n">
        <v>0</v>
      </c>
      <c r="K653" t="n">
        <v>0</v>
      </c>
      <c r="L653" t="n">
        <v>0</v>
      </c>
      <c r="M653" t="n">
        <v>0</v>
      </c>
      <c r="N653" t="n">
        <v>0</v>
      </c>
      <c r="O653" t="n">
        <v>0</v>
      </c>
      <c r="P653" t="n">
        <v>0</v>
      </c>
      <c r="Q653" t="n">
        <v>0</v>
      </c>
      <c r="R653" s="2" t="inlineStr"/>
    </row>
    <row r="654" ht="15" customHeight="1">
      <c r="A654" t="inlineStr">
        <is>
          <t>A 61710-2023</t>
        </is>
      </c>
      <c r="B654" s="1" t="n">
        <v>45265</v>
      </c>
      <c r="C654" s="1" t="n">
        <v>45635</v>
      </c>
      <c r="D654" t="inlineStr">
        <is>
          <t>UPPSALA LÄN</t>
        </is>
      </c>
      <c r="E654" t="inlineStr">
        <is>
          <t>ENKÖPING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62158-2023</t>
        </is>
      </c>
      <c r="B655" s="1" t="n">
        <v>45267</v>
      </c>
      <c r="C655" s="1" t="n">
        <v>45635</v>
      </c>
      <c r="D655" t="inlineStr">
        <is>
          <t>UPPSALA LÄN</t>
        </is>
      </c>
      <c r="E655" t="inlineStr">
        <is>
          <t>ENKÖPING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62265-2023</t>
        </is>
      </c>
      <c r="B656" s="1" t="n">
        <v>45267</v>
      </c>
      <c r="C656" s="1" t="n">
        <v>45635</v>
      </c>
      <c r="D656" t="inlineStr">
        <is>
          <t>UPPSALA LÄN</t>
        </is>
      </c>
      <c r="E656" t="inlineStr">
        <is>
          <t>ENKÖPING</t>
        </is>
      </c>
      <c r="G656" t="n">
        <v>4.5</v>
      </c>
      <c r="H656" t="n">
        <v>0</v>
      </c>
      <c r="I656" t="n">
        <v>0</v>
      </c>
      <c r="J656" t="n">
        <v>0</v>
      </c>
      <c r="K656" t="n">
        <v>0</v>
      </c>
      <c r="L656" t="n">
        <v>0</v>
      </c>
      <c r="M656" t="n">
        <v>0</v>
      </c>
      <c r="N656" t="n">
        <v>0</v>
      </c>
      <c r="O656" t="n">
        <v>0</v>
      </c>
      <c r="P656" t="n">
        <v>0</v>
      </c>
      <c r="Q656" t="n">
        <v>0</v>
      </c>
      <c r="R656" s="2" t="inlineStr"/>
    </row>
    <row r="657" ht="15" customHeight="1">
      <c r="A657" t="inlineStr">
        <is>
          <t>A 63431-2023</t>
        </is>
      </c>
      <c r="B657" s="1" t="n">
        <v>45274</v>
      </c>
      <c r="C657" s="1" t="n">
        <v>45635</v>
      </c>
      <c r="D657" t="inlineStr">
        <is>
          <t>UPPSALA LÄN</t>
        </is>
      </c>
      <c r="E657" t="inlineStr">
        <is>
          <t>ENKÖPING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63404-2023</t>
        </is>
      </c>
      <c r="B658" s="1" t="n">
        <v>45274</v>
      </c>
      <c r="C658" s="1" t="n">
        <v>45635</v>
      </c>
      <c r="D658" t="inlineStr">
        <is>
          <t>UPPSALA LÄN</t>
        </is>
      </c>
      <c r="E658" t="inlineStr">
        <is>
          <t>ENKÖPING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63402-2023</t>
        </is>
      </c>
      <c r="B659" s="1" t="n">
        <v>45274</v>
      </c>
      <c r="C659" s="1" t="n">
        <v>45635</v>
      </c>
      <c r="D659" t="inlineStr">
        <is>
          <t>UPPSALA LÄN</t>
        </is>
      </c>
      <c r="E659" t="inlineStr">
        <is>
          <t>ENKÖPING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63406-2023</t>
        </is>
      </c>
      <c r="B660" s="1" t="n">
        <v>45274</v>
      </c>
      <c r="C660" s="1" t="n">
        <v>45635</v>
      </c>
      <c r="D660" t="inlineStr">
        <is>
          <t>UPPSALA LÄN</t>
        </is>
      </c>
      <c r="E660" t="inlineStr">
        <is>
          <t>ENKÖPING</t>
        </is>
      </c>
      <c r="G660" t="n">
        <v>0.3</v>
      </c>
      <c r="H660" t="n">
        <v>0</v>
      </c>
      <c r="I660" t="n">
        <v>0</v>
      </c>
      <c r="J660" t="n">
        <v>0</v>
      </c>
      <c r="K660" t="n">
        <v>0</v>
      </c>
      <c r="L660" t="n">
        <v>0</v>
      </c>
      <c r="M660" t="n">
        <v>0</v>
      </c>
      <c r="N660" t="n">
        <v>0</v>
      </c>
      <c r="O660" t="n">
        <v>0</v>
      </c>
      <c r="P660" t="n">
        <v>0</v>
      </c>
      <c r="Q660" t="n">
        <v>0</v>
      </c>
      <c r="R660" s="2" t="inlineStr"/>
    </row>
    <row r="661" ht="15" customHeight="1">
      <c r="A661" t="inlineStr">
        <is>
          <t>A 64800-2023</t>
        </is>
      </c>
      <c r="B661" s="1" t="n">
        <v>45282</v>
      </c>
      <c r="C661" s="1" t="n">
        <v>45635</v>
      </c>
      <c r="D661" t="inlineStr">
        <is>
          <t>UPPSALA LÄN</t>
        </is>
      </c>
      <c r="E661" t="inlineStr">
        <is>
          <t>ENKÖPING</t>
        </is>
      </c>
      <c r="G661" t="n">
        <v>2.1</v>
      </c>
      <c r="H661" t="n">
        <v>0</v>
      </c>
      <c r="I661" t="n">
        <v>0</v>
      </c>
      <c r="J661" t="n">
        <v>0</v>
      </c>
      <c r="K661" t="n">
        <v>0</v>
      </c>
      <c r="L661" t="n">
        <v>0</v>
      </c>
      <c r="M661" t="n">
        <v>0</v>
      </c>
      <c r="N661" t="n">
        <v>0</v>
      </c>
      <c r="O661" t="n">
        <v>0</v>
      </c>
      <c r="P661" t="n">
        <v>0</v>
      </c>
      <c r="Q661" t="n">
        <v>0</v>
      </c>
      <c r="R661" s="2" t="inlineStr"/>
    </row>
    <row r="662" ht="15" customHeight="1">
      <c r="A662" t="inlineStr">
        <is>
          <t>A 351-2024</t>
        </is>
      </c>
      <c r="B662" s="1" t="n">
        <v>45295</v>
      </c>
      <c r="C662" s="1" t="n">
        <v>45635</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352-2024</t>
        </is>
      </c>
      <c r="B663" s="1" t="n">
        <v>45295</v>
      </c>
      <c r="C663" s="1" t="n">
        <v>45635</v>
      </c>
      <c r="D663" t="inlineStr">
        <is>
          <t>UPPSALA LÄN</t>
        </is>
      </c>
      <c r="E663" t="inlineStr">
        <is>
          <t>ENKÖPING</t>
        </is>
      </c>
      <c r="G663" t="n">
        <v>3.9</v>
      </c>
      <c r="H663" t="n">
        <v>0</v>
      </c>
      <c r="I663" t="n">
        <v>0</v>
      </c>
      <c r="J663" t="n">
        <v>0</v>
      </c>
      <c r="K663" t="n">
        <v>0</v>
      </c>
      <c r="L663" t="n">
        <v>0</v>
      </c>
      <c r="M663" t="n">
        <v>0</v>
      </c>
      <c r="N663" t="n">
        <v>0</v>
      </c>
      <c r="O663" t="n">
        <v>0</v>
      </c>
      <c r="P663" t="n">
        <v>0</v>
      </c>
      <c r="Q663" t="n">
        <v>0</v>
      </c>
      <c r="R663" s="2" t="inlineStr"/>
    </row>
    <row r="664" ht="15" customHeight="1">
      <c r="A664" t="inlineStr">
        <is>
          <t>A 353-2024</t>
        </is>
      </c>
      <c r="B664" s="1" t="n">
        <v>45295</v>
      </c>
      <c r="C664" s="1" t="n">
        <v>45635</v>
      </c>
      <c r="D664" t="inlineStr">
        <is>
          <t>UPPSALA LÄN</t>
        </is>
      </c>
      <c r="E664" t="inlineStr">
        <is>
          <t>ENKÖPING</t>
        </is>
      </c>
      <c r="G664" t="n">
        <v>4.3</v>
      </c>
      <c r="H664" t="n">
        <v>0</v>
      </c>
      <c r="I664" t="n">
        <v>0</v>
      </c>
      <c r="J664" t="n">
        <v>0</v>
      </c>
      <c r="K664" t="n">
        <v>0</v>
      </c>
      <c r="L664" t="n">
        <v>0</v>
      </c>
      <c r="M664" t="n">
        <v>0</v>
      </c>
      <c r="N664" t="n">
        <v>0</v>
      </c>
      <c r="O664" t="n">
        <v>0</v>
      </c>
      <c r="P664" t="n">
        <v>0</v>
      </c>
      <c r="Q664" t="n">
        <v>0</v>
      </c>
      <c r="R664" s="2" t="inlineStr"/>
    </row>
    <row r="665" ht="15" customHeight="1">
      <c r="A665" t="inlineStr">
        <is>
          <t>A 422-2024</t>
        </is>
      </c>
      <c r="B665" s="1" t="n">
        <v>45296</v>
      </c>
      <c r="C665" s="1" t="n">
        <v>45635</v>
      </c>
      <c r="D665" t="inlineStr">
        <is>
          <t>UPPSALA LÄN</t>
        </is>
      </c>
      <c r="E665" t="inlineStr">
        <is>
          <t>ENKÖPING</t>
        </is>
      </c>
      <c r="G665" t="n">
        <v>4.6</v>
      </c>
      <c r="H665" t="n">
        <v>0</v>
      </c>
      <c r="I665" t="n">
        <v>0</v>
      </c>
      <c r="J665" t="n">
        <v>0</v>
      </c>
      <c r="K665" t="n">
        <v>0</v>
      </c>
      <c r="L665" t="n">
        <v>0</v>
      </c>
      <c r="M665" t="n">
        <v>0</v>
      </c>
      <c r="N665" t="n">
        <v>0</v>
      </c>
      <c r="O665" t="n">
        <v>0</v>
      </c>
      <c r="P665" t="n">
        <v>0</v>
      </c>
      <c r="Q665" t="n">
        <v>0</v>
      </c>
      <c r="R665" s="2" t="inlineStr"/>
    </row>
    <row r="666" ht="15" customHeight="1">
      <c r="A666" t="inlineStr">
        <is>
          <t>A 420-2024</t>
        </is>
      </c>
      <c r="B666" s="1" t="n">
        <v>45296</v>
      </c>
      <c r="C666" s="1" t="n">
        <v>45635</v>
      </c>
      <c r="D666" t="inlineStr">
        <is>
          <t>UPPSALA LÄN</t>
        </is>
      </c>
      <c r="E666" t="inlineStr">
        <is>
          <t>ENKÖPING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582-2024</t>
        </is>
      </c>
      <c r="B667" s="1" t="n">
        <v>45299</v>
      </c>
      <c r="C667" s="1" t="n">
        <v>45635</v>
      </c>
      <c r="D667" t="inlineStr">
        <is>
          <t>UPPSALA LÄN</t>
        </is>
      </c>
      <c r="E667" t="inlineStr">
        <is>
          <t>ENKÖPING</t>
        </is>
      </c>
      <c r="G667" t="n">
        <v>3.7</v>
      </c>
      <c r="H667" t="n">
        <v>0</v>
      </c>
      <c r="I667" t="n">
        <v>0</v>
      </c>
      <c r="J667" t="n">
        <v>0</v>
      </c>
      <c r="K667" t="n">
        <v>0</v>
      </c>
      <c r="L667" t="n">
        <v>0</v>
      </c>
      <c r="M667" t="n">
        <v>0</v>
      </c>
      <c r="N667" t="n">
        <v>0</v>
      </c>
      <c r="O667" t="n">
        <v>0</v>
      </c>
      <c r="P667" t="n">
        <v>0</v>
      </c>
      <c r="Q667" t="n">
        <v>0</v>
      </c>
      <c r="R667" s="2" t="inlineStr"/>
    </row>
    <row r="668" ht="15" customHeight="1">
      <c r="A668" t="inlineStr">
        <is>
          <t>A 580-2024</t>
        </is>
      </c>
      <c r="B668" s="1" t="n">
        <v>45299</v>
      </c>
      <c r="C668" s="1" t="n">
        <v>45635</v>
      </c>
      <c r="D668" t="inlineStr">
        <is>
          <t>UPPSALA LÄN</t>
        </is>
      </c>
      <c r="E668" t="inlineStr">
        <is>
          <t>ENKÖPING</t>
        </is>
      </c>
      <c r="G668" t="n">
        <v>3.3</v>
      </c>
      <c r="H668" t="n">
        <v>0</v>
      </c>
      <c r="I668" t="n">
        <v>0</v>
      </c>
      <c r="J668" t="n">
        <v>0</v>
      </c>
      <c r="K668" t="n">
        <v>0</v>
      </c>
      <c r="L668" t="n">
        <v>0</v>
      </c>
      <c r="M668" t="n">
        <v>0</v>
      </c>
      <c r="N668" t="n">
        <v>0</v>
      </c>
      <c r="O668" t="n">
        <v>0</v>
      </c>
      <c r="P668" t="n">
        <v>0</v>
      </c>
      <c r="Q668" t="n">
        <v>0</v>
      </c>
      <c r="R668" s="2" t="inlineStr"/>
    </row>
    <row r="669" ht="15" customHeight="1">
      <c r="A669" t="inlineStr">
        <is>
          <t>A 1536-2024</t>
        </is>
      </c>
      <c r="B669" s="1" t="n">
        <v>45306</v>
      </c>
      <c r="C669" s="1" t="n">
        <v>45635</v>
      </c>
      <c r="D669" t="inlineStr">
        <is>
          <t>UPPSALA LÄN</t>
        </is>
      </c>
      <c r="E669" t="inlineStr">
        <is>
          <t>ENKÖPING</t>
        </is>
      </c>
      <c r="F669" t="inlineStr">
        <is>
          <t>Kyrkan</t>
        </is>
      </c>
      <c r="G669" t="n">
        <v>5.6</v>
      </c>
      <c r="H669" t="n">
        <v>0</v>
      </c>
      <c r="I669" t="n">
        <v>0</v>
      </c>
      <c r="J669" t="n">
        <v>0</v>
      </c>
      <c r="K669" t="n">
        <v>0</v>
      </c>
      <c r="L669" t="n">
        <v>0</v>
      </c>
      <c r="M669" t="n">
        <v>0</v>
      </c>
      <c r="N669" t="n">
        <v>0</v>
      </c>
      <c r="O669" t="n">
        <v>0</v>
      </c>
      <c r="P669" t="n">
        <v>0</v>
      </c>
      <c r="Q669" t="n">
        <v>0</v>
      </c>
      <c r="R669" s="2" t="inlineStr"/>
    </row>
    <row r="670" ht="15" customHeight="1">
      <c r="A670" t="inlineStr">
        <is>
          <t>A 1651-2024</t>
        </is>
      </c>
      <c r="B670" s="1" t="n">
        <v>45306</v>
      </c>
      <c r="C670" s="1" t="n">
        <v>45635</v>
      </c>
      <c r="D670" t="inlineStr">
        <is>
          <t>UPPSALA LÄN</t>
        </is>
      </c>
      <c r="E670" t="inlineStr">
        <is>
          <t>ENKÖPING</t>
        </is>
      </c>
      <c r="G670" t="n">
        <v>10.2</v>
      </c>
      <c r="H670" t="n">
        <v>0</v>
      </c>
      <c r="I670" t="n">
        <v>0</v>
      </c>
      <c r="J670" t="n">
        <v>0</v>
      </c>
      <c r="K670" t="n">
        <v>0</v>
      </c>
      <c r="L670" t="n">
        <v>0</v>
      </c>
      <c r="M670" t="n">
        <v>0</v>
      </c>
      <c r="N670" t="n">
        <v>0</v>
      </c>
      <c r="O670" t="n">
        <v>0</v>
      </c>
      <c r="P670" t="n">
        <v>0</v>
      </c>
      <c r="Q670" t="n">
        <v>0</v>
      </c>
      <c r="R670" s="2" t="inlineStr"/>
    </row>
    <row r="671" ht="15" customHeight="1">
      <c r="A671" t="inlineStr">
        <is>
          <t>A 2221-2024</t>
        </is>
      </c>
      <c r="B671" s="1" t="n">
        <v>45309</v>
      </c>
      <c r="C671" s="1" t="n">
        <v>45635</v>
      </c>
      <c r="D671" t="inlineStr">
        <is>
          <t>UPPSALA LÄN</t>
        </is>
      </c>
      <c r="E671" t="inlineStr">
        <is>
          <t>ENKÖPING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2322-2024</t>
        </is>
      </c>
      <c r="B672" s="1" t="n">
        <v>45309</v>
      </c>
      <c r="C672" s="1" t="n">
        <v>45635</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2456-2024</t>
        </is>
      </c>
      <c r="B673" s="1" t="n">
        <v>45312</v>
      </c>
      <c r="C673" s="1" t="n">
        <v>45635</v>
      </c>
      <c r="D673" t="inlineStr">
        <is>
          <t>UPPSALA LÄN</t>
        </is>
      </c>
      <c r="E673" t="inlineStr">
        <is>
          <t>ENKÖPING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2983-2024</t>
        </is>
      </c>
      <c r="B674" s="1" t="n">
        <v>45315</v>
      </c>
      <c r="C674" s="1" t="n">
        <v>45635</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3051-2024</t>
        </is>
      </c>
      <c r="B675" s="1" t="n">
        <v>45316</v>
      </c>
      <c r="C675" s="1" t="n">
        <v>45635</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3130-2024</t>
        </is>
      </c>
      <c r="B676" s="1" t="n">
        <v>45316</v>
      </c>
      <c r="C676" s="1" t="n">
        <v>45635</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3977-2024</t>
        </is>
      </c>
      <c r="B677" s="1" t="n">
        <v>45322</v>
      </c>
      <c r="C677" s="1" t="n">
        <v>45635</v>
      </c>
      <c r="D677" t="inlineStr">
        <is>
          <t>UPPSALA LÄN</t>
        </is>
      </c>
      <c r="E677" t="inlineStr">
        <is>
          <t>ENKÖPING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4044-2024</t>
        </is>
      </c>
      <c r="B678" s="1" t="n">
        <v>45323</v>
      </c>
      <c r="C678" s="1" t="n">
        <v>45635</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5211-2024</t>
        </is>
      </c>
      <c r="B679" s="1" t="n">
        <v>45330</v>
      </c>
      <c r="C679" s="1" t="n">
        <v>45635</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5521-2024</t>
        </is>
      </c>
      <c r="B680" s="1" t="n">
        <v>45334</v>
      </c>
      <c r="C680" s="1" t="n">
        <v>45635</v>
      </c>
      <c r="D680" t="inlineStr">
        <is>
          <t>UPPSALA LÄN</t>
        </is>
      </c>
      <c r="E680" t="inlineStr">
        <is>
          <t>ENKÖPING</t>
        </is>
      </c>
      <c r="G680" t="n">
        <v>8.4</v>
      </c>
      <c r="H680" t="n">
        <v>0</v>
      </c>
      <c r="I680" t="n">
        <v>0</v>
      </c>
      <c r="J680" t="n">
        <v>0</v>
      </c>
      <c r="K680" t="n">
        <v>0</v>
      </c>
      <c r="L680" t="n">
        <v>0</v>
      </c>
      <c r="M680" t="n">
        <v>0</v>
      </c>
      <c r="N680" t="n">
        <v>0</v>
      </c>
      <c r="O680" t="n">
        <v>0</v>
      </c>
      <c r="P680" t="n">
        <v>0</v>
      </c>
      <c r="Q680" t="n">
        <v>0</v>
      </c>
      <c r="R680" s="2" t="inlineStr"/>
    </row>
    <row r="681" ht="15" customHeight="1">
      <c r="A681" t="inlineStr">
        <is>
          <t>A 6247-2024</t>
        </is>
      </c>
      <c r="B681" s="1" t="n">
        <v>45337</v>
      </c>
      <c r="C681" s="1" t="n">
        <v>45635</v>
      </c>
      <c r="D681" t="inlineStr">
        <is>
          <t>UPPSALA LÄN</t>
        </is>
      </c>
      <c r="E681" t="inlineStr">
        <is>
          <t>ENKÖPING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6144-2024</t>
        </is>
      </c>
      <c r="B682" s="1" t="n">
        <v>45337</v>
      </c>
      <c r="C682" s="1" t="n">
        <v>45635</v>
      </c>
      <c r="D682" t="inlineStr">
        <is>
          <t>UPPSALA LÄN</t>
        </is>
      </c>
      <c r="E682" t="inlineStr">
        <is>
          <t>ENKÖPING</t>
        </is>
      </c>
      <c r="G682" t="n">
        <v>13.8</v>
      </c>
      <c r="H682" t="n">
        <v>0</v>
      </c>
      <c r="I682" t="n">
        <v>0</v>
      </c>
      <c r="J682" t="n">
        <v>0</v>
      </c>
      <c r="K682" t="n">
        <v>0</v>
      </c>
      <c r="L682" t="n">
        <v>0</v>
      </c>
      <c r="M682" t="n">
        <v>0</v>
      </c>
      <c r="N682" t="n">
        <v>0</v>
      </c>
      <c r="O682" t="n">
        <v>0</v>
      </c>
      <c r="P682" t="n">
        <v>0</v>
      </c>
      <c r="Q682" t="n">
        <v>0</v>
      </c>
      <c r="R682" s="2" t="inlineStr"/>
    </row>
    <row r="683" ht="15" customHeight="1">
      <c r="A683" t="inlineStr">
        <is>
          <t>A 7868-2024</t>
        </is>
      </c>
      <c r="B683" s="1" t="n">
        <v>45350</v>
      </c>
      <c r="C683" s="1" t="n">
        <v>45635</v>
      </c>
      <c r="D683" t="inlineStr">
        <is>
          <t>UPPSALA LÄN</t>
        </is>
      </c>
      <c r="E683" t="inlineStr">
        <is>
          <t>ENKÖPING</t>
        </is>
      </c>
      <c r="G683" t="n">
        <v>0.3</v>
      </c>
      <c r="H683" t="n">
        <v>0</v>
      </c>
      <c r="I683" t="n">
        <v>0</v>
      </c>
      <c r="J683" t="n">
        <v>0</v>
      </c>
      <c r="K683" t="n">
        <v>0</v>
      </c>
      <c r="L683" t="n">
        <v>0</v>
      </c>
      <c r="M683" t="n">
        <v>0</v>
      </c>
      <c r="N683" t="n">
        <v>0</v>
      </c>
      <c r="O683" t="n">
        <v>0</v>
      </c>
      <c r="P683" t="n">
        <v>0</v>
      </c>
      <c r="Q683" t="n">
        <v>0</v>
      </c>
      <c r="R683" s="2" t="inlineStr"/>
    </row>
    <row r="684" ht="15" customHeight="1">
      <c r="A684" t="inlineStr">
        <is>
          <t>A 7866-2024</t>
        </is>
      </c>
      <c r="B684" s="1" t="n">
        <v>45350</v>
      </c>
      <c r="C684" s="1" t="n">
        <v>45635</v>
      </c>
      <c r="D684" t="inlineStr">
        <is>
          <t>UPPSALA LÄN</t>
        </is>
      </c>
      <c r="E684" t="inlineStr">
        <is>
          <t>ENKÖPING</t>
        </is>
      </c>
      <c r="G684" t="n">
        <v>3.5</v>
      </c>
      <c r="H684" t="n">
        <v>0</v>
      </c>
      <c r="I684" t="n">
        <v>0</v>
      </c>
      <c r="J684" t="n">
        <v>0</v>
      </c>
      <c r="K684" t="n">
        <v>0</v>
      </c>
      <c r="L684" t="n">
        <v>0</v>
      </c>
      <c r="M684" t="n">
        <v>0</v>
      </c>
      <c r="N684" t="n">
        <v>0</v>
      </c>
      <c r="O684" t="n">
        <v>0</v>
      </c>
      <c r="P684" t="n">
        <v>0</v>
      </c>
      <c r="Q684" t="n">
        <v>0</v>
      </c>
      <c r="R684" s="2" t="inlineStr"/>
    </row>
    <row r="685" ht="15" customHeight="1">
      <c r="A685" t="inlineStr">
        <is>
          <t>A 7870-2024</t>
        </is>
      </c>
      <c r="B685" s="1" t="n">
        <v>45350</v>
      </c>
      <c r="C685" s="1" t="n">
        <v>45635</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8103-2024</t>
        </is>
      </c>
      <c r="B686" s="1" t="n">
        <v>45351</v>
      </c>
      <c r="C686" s="1" t="n">
        <v>45635</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8217-2024</t>
        </is>
      </c>
      <c r="B687" s="1" t="n">
        <v>45351</v>
      </c>
      <c r="C687" s="1" t="n">
        <v>45635</v>
      </c>
      <c r="D687" t="inlineStr">
        <is>
          <t>UPPSALA LÄN</t>
        </is>
      </c>
      <c r="E687" t="inlineStr">
        <is>
          <t>ENKÖPING</t>
        </is>
      </c>
      <c r="G687" t="n">
        <v>3.1</v>
      </c>
      <c r="H687" t="n">
        <v>0</v>
      </c>
      <c r="I687" t="n">
        <v>0</v>
      </c>
      <c r="J687" t="n">
        <v>0</v>
      </c>
      <c r="K687" t="n">
        <v>0</v>
      </c>
      <c r="L687" t="n">
        <v>0</v>
      </c>
      <c r="M687" t="n">
        <v>0</v>
      </c>
      <c r="N687" t="n">
        <v>0</v>
      </c>
      <c r="O687" t="n">
        <v>0</v>
      </c>
      <c r="P687" t="n">
        <v>0</v>
      </c>
      <c r="Q687" t="n">
        <v>0</v>
      </c>
      <c r="R687" s="2" t="inlineStr"/>
    </row>
    <row r="688" ht="15" customHeight="1">
      <c r="A688" t="inlineStr">
        <is>
          <t>A 9185-2024</t>
        </is>
      </c>
      <c r="B688" s="1" t="n">
        <v>45358</v>
      </c>
      <c r="C688" s="1" t="n">
        <v>45635</v>
      </c>
      <c r="D688" t="inlineStr">
        <is>
          <t>UPPSALA LÄN</t>
        </is>
      </c>
      <c r="E688" t="inlineStr">
        <is>
          <t>ENKÖPING</t>
        </is>
      </c>
      <c r="G688" t="n">
        <v>4.4</v>
      </c>
      <c r="H688" t="n">
        <v>0</v>
      </c>
      <c r="I688" t="n">
        <v>0</v>
      </c>
      <c r="J688" t="n">
        <v>0</v>
      </c>
      <c r="K688" t="n">
        <v>0</v>
      </c>
      <c r="L688" t="n">
        <v>0</v>
      </c>
      <c r="M688" t="n">
        <v>0</v>
      </c>
      <c r="N688" t="n">
        <v>0</v>
      </c>
      <c r="O688" t="n">
        <v>0</v>
      </c>
      <c r="P688" t="n">
        <v>0</v>
      </c>
      <c r="Q688" t="n">
        <v>0</v>
      </c>
      <c r="R688" s="2" t="inlineStr"/>
    </row>
    <row r="689" ht="15" customHeight="1">
      <c r="A689" t="inlineStr">
        <is>
          <t>A 9174-2024</t>
        </is>
      </c>
      <c r="B689" s="1" t="n">
        <v>45358</v>
      </c>
      <c r="C689" s="1" t="n">
        <v>45635</v>
      </c>
      <c r="D689" t="inlineStr">
        <is>
          <t>UPPSALA LÄN</t>
        </is>
      </c>
      <c r="E689" t="inlineStr">
        <is>
          <t>ENKÖPING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9171-2024</t>
        </is>
      </c>
      <c r="B690" s="1" t="n">
        <v>45358</v>
      </c>
      <c r="C690" s="1" t="n">
        <v>45635</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9175-2024</t>
        </is>
      </c>
      <c r="B691" s="1" t="n">
        <v>45358</v>
      </c>
      <c r="C691" s="1" t="n">
        <v>45635</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9192-2024</t>
        </is>
      </c>
      <c r="B692" s="1" t="n">
        <v>45358</v>
      </c>
      <c r="C692" s="1" t="n">
        <v>45635</v>
      </c>
      <c r="D692" t="inlineStr">
        <is>
          <t>UPPSALA LÄN</t>
        </is>
      </c>
      <c r="E692" t="inlineStr">
        <is>
          <t>ENKÖPING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9667-2024</t>
        </is>
      </c>
      <c r="B693" s="1" t="n">
        <v>45362</v>
      </c>
      <c r="C693" s="1" t="n">
        <v>45635</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10829-2024</t>
        </is>
      </c>
      <c r="B694" s="1" t="n">
        <v>45369</v>
      </c>
      <c r="C694" s="1" t="n">
        <v>45635</v>
      </c>
      <c r="D694" t="inlineStr">
        <is>
          <t>UPPSALA LÄN</t>
        </is>
      </c>
      <c r="E694" t="inlineStr">
        <is>
          <t>ENKÖPING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10756-2024</t>
        </is>
      </c>
      <c r="B695" s="1" t="n">
        <v>45369</v>
      </c>
      <c r="C695" s="1" t="n">
        <v>45635</v>
      </c>
      <c r="D695" t="inlineStr">
        <is>
          <t>UPPSALA LÄN</t>
        </is>
      </c>
      <c r="E695" t="inlineStr">
        <is>
          <t>ENKÖPING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10752-2024</t>
        </is>
      </c>
      <c r="B696" s="1" t="n">
        <v>45369</v>
      </c>
      <c r="C696" s="1" t="n">
        <v>45635</v>
      </c>
      <c r="D696" t="inlineStr">
        <is>
          <t>UPPSALA LÄN</t>
        </is>
      </c>
      <c r="E696" t="inlineStr">
        <is>
          <t>ENKÖPING</t>
        </is>
      </c>
      <c r="G696" t="n">
        <v>2.7</v>
      </c>
      <c r="H696" t="n">
        <v>0</v>
      </c>
      <c r="I696" t="n">
        <v>0</v>
      </c>
      <c r="J696" t="n">
        <v>0</v>
      </c>
      <c r="K696" t="n">
        <v>0</v>
      </c>
      <c r="L696" t="n">
        <v>0</v>
      </c>
      <c r="M696" t="n">
        <v>0</v>
      </c>
      <c r="N696" t="n">
        <v>0</v>
      </c>
      <c r="O696" t="n">
        <v>0</v>
      </c>
      <c r="P696" t="n">
        <v>0</v>
      </c>
      <c r="Q696" t="n">
        <v>0</v>
      </c>
      <c r="R696" s="2" t="inlineStr"/>
    </row>
    <row r="697" ht="15" customHeight="1">
      <c r="A697" t="inlineStr">
        <is>
          <t>A 10832-2024</t>
        </is>
      </c>
      <c r="B697" s="1" t="n">
        <v>45369</v>
      </c>
      <c r="C697" s="1" t="n">
        <v>45635</v>
      </c>
      <c r="D697" t="inlineStr">
        <is>
          <t>UPPSALA LÄN</t>
        </is>
      </c>
      <c r="E697" t="inlineStr">
        <is>
          <t>ENKÖPING</t>
        </is>
      </c>
      <c r="G697" t="n">
        <v>7.3</v>
      </c>
      <c r="H697" t="n">
        <v>0</v>
      </c>
      <c r="I697" t="n">
        <v>0</v>
      </c>
      <c r="J697" t="n">
        <v>0</v>
      </c>
      <c r="K697" t="n">
        <v>0</v>
      </c>
      <c r="L697" t="n">
        <v>0</v>
      </c>
      <c r="M697" t="n">
        <v>0</v>
      </c>
      <c r="N697" t="n">
        <v>0</v>
      </c>
      <c r="O697" t="n">
        <v>0</v>
      </c>
      <c r="P697" t="n">
        <v>0</v>
      </c>
      <c r="Q697" t="n">
        <v>0</v>
      </c>
      <c r="R697" s="2" t="inlineStr"/>
    </row>
    <row r="698" ht="15" customHeight="1">
      <c r="A698" t="inlineStr">
        <is>
          <t>A 10831-2024</t>
        </is>
      </c>
      <c r="B698" s="1" t="n">
        <v>45369</v>
      </c>
      <c r="C698" s="1" t="n">
        <v>45635</v>
      </c>
      <c r="D698" t="inlineStr">
        <is>
          <t>UPPSALA LÄN</t>
        </is>
      </c>
      <c r="E698" t="inlineStr">
        <is>
          <t>ENKÖPING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11503-2024</t>
        </is>
      </c>
      <c r="B699" s="1" t="n">
        <v>45372</v>
      </c>
      <c r="C699" s="1" t="n">
        <v>45635</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11908-2024</t>
        </is>
      </c>
      <c r="B700" s="1" t="n">
        <v>45376</v>
      </c>
      <c r="C700" s="1" t="n">
        <v>45635</v>
      </c>
      <c r="D700" t="inlineStr">
        <is>
          <t>UPPSALA LÄN</t>
        </is>
      </c>
      <c r="E700" t="inlineStr">
        <is>
          <t>ENKÖPING</t>
        </is>
      </c>
      <c r="G700" t="n">
        <v>7.9</v>
      </c>
      <c r="H700" t="n">
        <v>0</v>
      </c>
      <c r="I700" t="n">
        <v>0</v>
      </c>
      <c r="J700" t="n">
        <v>0</v>
      </c>
      <c r="K700" t="n">
        <v>0</v>
      </c>
      <c r="L700" t="n">
        <v>0</v>
      </c>
      <c r="M700" t="n">
        <v>0</v>
      </c>
      <c r="N700" t="n">
        <v>0</v>
      </c>
      <c r="O700" t="n">
        <v>0</v>
      </c>
      <c r="P700" t="n">
        <v>0</v>
      </c>
      <c r="Q700" t="n">
        <v>0</v>
      </c>
      <c r="R700" s="2" t="inlineStr"/>
    </row>
    <row r="701" ht="15" customHeight="1">
      <c r="A701" t="inlineStr">
        <is>
          <t>A 12020-2024</t>
        </is>
      </c>
      <c r="B701" s="1" t="n">
        <v>45377</v>
      </c>
      <c r="C701" s="1" t="n">
        <v>45635</v>
      </c>
      <c r="D701" t="inlineStr">
        <is>
          <t>UPPSALA LÄN</t>
        </is>
      </c>
      <c r="E701" t="inlineStr">
        <is>
          <t>ENKÖPING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12102-2024</t>
        </is>
      </c>
      <c r="B702" s="1" t="n">
        <v>45377</v>
      </c>
      <c r="C702" s="1" t="n">
        <v>45635</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12751-2024</t>
        </is>
      </c>
      <c r="B703" s="1" t="n">
        <v>45384</v>
      </c>
      <c r="C703" s="1" t="n">
        <v>45635</v>
      </c>
      <c r="D703" t="inlineStr">
        <is>
          <t>UPPSALA LÄN</t>
        </is>
      </c>
      <c r="E703" t="inlineStr">
        <is>
          <t>ENKÖPING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12958-2024</t>
        </is>
      </c>
      <c r="B704" s="1" t="n">
        <v>45385</v>
      </c>
      <c r="C704" s="1" t="n">
        <v>45635</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13247-2024</t>
        </is>
      </c>
      <c r="B705" s="1" t="n">
        <v>45386</v>
      </c>
      <c r="C705" s="1" t="n">
        <v>45635</v>
      </c>
      <c r="D705" t="inlineStr">
        <is>
          <t>UPPSALA LÄN</t>
        </is>
      </c>
      <c r="E705" t="inlineStr">
        <is>
          <t>ENKÖPING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13168-2024</t>
        </is>
      </c>
      <c r="B706" s="1" t="n">
        <v>45386</v>
      </c>
      <c r="C706" s="1" t="n">
        <v>45635</v>
      </c>
      <c r="D706" t="inlineStr">
        <is>
          <t>UPPSALA LÄN</t>
        </is>
      </c>
      <c r="E706" t="inlineStr">
        <is>
          <t>ENKÖPING</t>
        </is>
      </c>
      <c r="G706" t="n">
        <v>3.5</v>
      </c>
      <c r="H706" t="n">
        <v>0</v>
      </c>
      <c r="I706" t="n">
        <v>0</v>
      </c>
      <c r="J706" t="n">
        <v>0</v>
      </c>
      <c r="K706" t="n">
        <v>0</v>
      </c>
      <c r="L706" t="n">
        <v>0</v>
      </c>
      <c r="M706" t="n">
        <v>0</v>
      </c>
      <c r="N706" t="n">
        <v>0</v>
      </c>
      <c r="O706" t="n">
        <v>0</v>
      </c>
      <c r="P706" t="n">
        <v>0</v>
      </c>
      <c r="Q706" t="n">
        <v>0</v>
      </c>
      <c r="R706" s="2" t="inlineStr"/>
    </row>
    <row r="707" ht="15" customHeight="1">
      <c r="A707" t="inlineStr">
        <is>
          <t>A 13530-2024</t>
        </is>
      </c>
      <c r="B707" s="1" t="n">
        <v>45387</v>
      </c>
      <c r="C707" s="1" t="n">
        <v>45635</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13528-2024</t>
        </is>
      </c>
      <c r="B708" s="1" t="n">
        <v>45387</v>
      </c>
      <c r="C708" s="1" t="n">
        <v>45635</v>
      </c>
      <c r="D708" t="inlineStr">
        <is>
          <t>UPPSALA LÄN</t>
        </is>
      </c>
      <c r="E708" t="inlineStr">
        <is>
          <t>ENKÖPING</t>
        </is>
      </c>
      <c r="G708" t="n">
        <v>5.7</v>
      </c>
      <c r="H708" t="n">
        <v>0</v>
      </c>
      <c r="I708" t="n">
        <v>0</v>
      </c>
      <c r="J708" t="n">
        <v>0</v>
      </c>
      <c r="K708" t="n">
        <v>0</v>
      </c>
      <c r="L708" t="n">
        <v>0</v>
      </c>
      <c r="M708" t="n">
        <v>0</v>
      </c>
      <c r="N708" t="n">
        <v>0</v>
      </c>
      <c r="O708" t="n">
        <v>0</v>
      </c>
      <c r="P708" t="n">
        <v>0</v>
      </c>
      <c r="Q708" t="n">
        <v>0</v>
      </c>
      <c r="R708" s="2" t="inlineStr"/>
    </row>
    <row r="709" ht="15" customHeight="1">
      <c r="A709" t="inlineStr">
        <is>
          <t>A 14334-2024</t>
        </is>
      </c>
      <c r="B709" s="1" t="n">
        <v>45393</v>
      </c>
      <c r="C709" s="1" t="n">
        <v>45635</v>
      </c>
      <c r="D709" t="inlineStr">
        <is>
          <t>UPPSALA LÄN</t>
        </is>
      </c>
      <c r="E709" t="inlineStr">
        <is>
          <t>ENKÖPING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14332-2024</t>
        </is>
      </c>
      <c r="B710" s="1" t="n">
        <v>45393</v>
      </c>
      <c r="C710" s="1" t="n">
        <v>45635</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15823-2024</t>
        </is>
      </c>
      <c r="B711" s="1" t="n">
        <v>45404</v>
      </c>
      <c r="C711" s="1" t="n">
        <v>45635</v>
      </c>
      <c r="D711" t="inlineStr">
        <is>
          <t>UPPSALA LÄN</t>
        </is>
      </c>
      <c r="E711" t="inlineStr">
        <is>
          <t>ENKÖPING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15816-2024</t>
        </is>
      </c>
      <c r="B712" s="1" t="n">
        <v>45404</v>
      </c>
      <c r="C712" s="1" t="n">
        <v>45635</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15824-2024</t>
        </is>
      </c>
      <c r="B713" s="1" t="n">
        <v>45404</v>
      </c>
      <c r="C713" s="1" t="n">
        <v>45635</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15814-2024</t>
        </is>
      </c>
      <c r="B714" s="1" t="n">
        <v>45404</v>
      </c>
      <c r="C714" s="1" t="n">
        <v>45635</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15826-2024</t>
        </is>
      </c>
      <c r="B715" s="1" t="n">
        <v>45404</v>
      </c>
      <c r="C715" s="1" t="n">
        <v>45635</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15813-2024</t>
        </is>
      </c>
      <c r="B716" s="1" t="n">
        <v>45404</v>
      </c>
      <c r="C716" s="1" t="n">
        <v>45635</v>
      </c>
      <c r="D716" t="inlineStr">
        <is>
          <t>UPPSALA LÄN</t>
        </is>
      </c>
      <c r="E716" t="inlineStr">
        <is>
          <t>ENKÖPING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15878-2024</t>
        </is>
      </c>
      <c r="B717" s="1" t="n">
        <v>45405</v>
      </c>
      <c r="C717" s="1" t="n">
        <v>45635</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15893-2024</t>
        </is>
      </c>
      <c r="B718" s="1" t="n">
        <v>45405</v>
      </c>
      <c r="C718" s="1" t="n">
        <v>45635</v>
      </c>
      <c r="D718" t="inlineStr">
        <is>
          <t>UPPSALA LÄN</t>
        </is>
      </c>
      <c r="E718" t="inlineStr">
        <is>
          <t>ENKÖPING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19147-2024</t>
        </is>
      </c>
      <c r="B719" s="1" t="n">
        <v>45428</v>
      </c>
      <c r="C719" s="1" t="n">
        <v>45635</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19378-2024</t>
        </is>
      </c>
      <c r="B720" s="1" t="n">
        <v>45429</v>
      </c>
      <c r="C720" s="1" t="n">
        <v>45635</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19376-2024</t>
        </is>
      </c>
      <c r="B721" s="1" t="n">
        <v>45429</v>
      </c>
      <c r="C721" s="1" t="n">
        <v>45635</v>
      </c>
      <c r="D721" t="inlineStr">
        <is>
          <t>UPPSALA LÄN</t>
        </is>
      </c>
      <c r="E721" t="inlineStr">
        <is>
          <t>ENKÖPING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20112-2024</t>
        </is>
      </c>
      <c r="B722" s="1" t="n">
        <v>45434</v>
      </c>
      <c r="C722" s="1" t="n">
        <v>45635</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20105-2024</t>
        </is>
      </c>
      <c r="B723" s="1" t="n">
        <v>45434</v>
      </c>
      <c r="C723" s="1" t="n">
        <v>45635</v>
      </c>
      <c r="D723" t="inlineStr">
        <is>
          <t>UPPSALA LÄN</t>
        </is>
      </c>
      <c r="E723" t="inlineStr">
        <is>
          <t>ENKÖPING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21435-2024</t>
        </is>
      </c>
      <c r="B724" s="1" t="n">
        <v>45441</v>
      </c>
      <c r="C724" s="1" t="n">
        <v>45635</v>
      </c>
      <c r="D724" t="inlineStr">
        <is>
          <t>UPPSALA LÄN</t>
        </is>
      </c>
      <c r="E724" t="inlineStr">
        <is>
          <t>ENKÖPING</t>
        </is>
      </c>
      <c r="G724" t="n">
        <v>2.6</v>
      </c>
      <c r="H724" t="n">
        <v>0</v>
      </c>
      <c r="I724" t="n">
        <v>0</v>
      </c>
      <c r="J724" t="n">
        <v>0</v>
      </c>
      <c r="K724" t="n">
        <v>0</v>
      </c>
      <c r="L724" t="n">
        <v>0</v>
      </c>
      <c r="M724" t="n">
        <v>0</v>
      </c>
      <c r="N724" t="n">
        <v>0</v>
      </c>
      <c r="O724" t="n">
        <v>0</v>
      </c>
      <c r="P724" t="n">
        <v>0</v>
      </c>
      <c r="Q724" t="n">
        <v>0</v>
      </c>
      <c r="R724" s="2" t="inlineStr"/>
    </row>
    <row r="725" ht="15" customHeight="1">
      <c r="A725" t="inlineStr">
        <is>
          <t>A 22912-2024</t>
        </is>
      </c>
      <c r="B725" s="1" t="n">
        <v>45448</v>
      </c>
      <c r="C725" s="1" t="n">
        <v>45635</v>
      </c>
      <c r="D725" t="inlineStr">
        <is>
          <t>UPPSALA LÄN</t>
        </is>
      </c>
      <c r="E725" t="inlineStr">
        <is>
          <t>ENKÖPING</t>
        </is>
      </c>
      <c r="G725" t="n">
        <v>2.8</v>
      </c>
      <c r="H725" t="n">
        <v>0</v>
      </c>
      <c r="I725" t="n">
        <v>0</v>
      </c>
      <c r="J725" t="n">
        <v>0</v>
      </c>
      <c r="K725" t="n">
        <v>0</v>
      </c>
      <c r="L725" t="n">
        <v>0</v>
      </c>
      <c r="M725" t="n">
        <v>0</v>
      </c>
      <c r="N725" t="n">
        <v>0</v>
      </c>
      <c r="O725" t="n">
        <v>0</v>
      </c>
      <c r="P725" t="n">
        <v>0</v>
      </c>
      <c r="Q725" t="n">
        <v>0</v>
      </c>
      <c r="R725" s="2" t="inlineStr"/>
    </row>
    <row r="726" ht="15" customHeight="1">
      <c r="A726" t="inlineStr">
        <is>
          <t>A 23301-2024</t>
        </is>
      </c>
      <c r="B726" s="1" t="n">
        <v>45453</v>
      </c>
      <c r="C726" s="1" t="n">
        <v>45635</v>
      </c>
      <c r="D726" t="inlineStr">
        <is>
          <t>UPPSALA LÄN</t>
        </is>
      </c>
      <c r="E726" t="inlineStr">
        <is>
          <t>ENKÖPING</t>
        </is>
      </c>
      <c r="G726" t="n">
        <v>4.3</v>
      </c>
      <c r="H726" t="n">
        <v>0</v>
      </c>
      <c r="I726" t="n">
        <v>0</v>
      </c>
      <c r="J726" t="n">
        <v>0</v>
      </c>
      <c r="K726" t="n">
        <v>0</v>
      </c>
      <c r="L726" t="n">
        <v>0</v>
      </c>
      <c r="M726" t="n">
        <v>0</v>
      </c>
      <c r="N726" t="n">
        <v>0</v>
      </c>
      <c r="O726" t="n">
        <v>0</v>
      </c>
      <c r="P726" t="n">
        <v>0</v>
      </c>
      <c r="Q726" t="n">
        <v>0</v>
      </c>
      <c r="R726" s="2" t="inlineStr"/>
    </row>
    <row r="727" ht="15" customHeight="1">
      <c r="A727" t="inlineStr">
        <is>
          <t>A 23264-2024</t>
        </is>
      </c>
      <c r="B727" s="1" t="n">
        <v>45453</v>
      </c>
      <c r="C727" s="1" t="n">
        <v>45635</v>
      </c>
      <c r="D727" t="inlineStr">
        <is>
          <t>UPPSALA LÄN</t>
        </is>
      </c>
      <c r="E727" t="inlineStr">
        <is>
          <t>ENKÖPING</t>
        </is>
      </c>
      <c r="G727" t="n">
        <v>9.4</v>
      </c>
      <c r="H727" t="n">
        <v>0</v>
      </c>
      <c r="I727" t="n">
        <v>0</v>
      </c>
      <c r="J727" t="n">
        <v>0</v>
      </c>
      <c r="K727" t="n">
        <v>0</v>
      </c>
      <c r="L727" t="n">
        <v>0</v>
      </c>
      <c r="M727" t="n">
        <v>0</v>
      </c>
      <c r="N727" t="n">
        <v>0</v>
      </c>
      <c r="O727" t="n">
        <v>0</v>
      </c>
      <c r="P727" t="n">
        <v>0</v>
      </c>
      <c r="Q727" t="n">
        <v>0</v>
      </c>
      <c r="R727" s="2" t="inlineStr"/>
    </row>
    <row r="728" ht="15" customHeight="1">
      <c r="A728" t="inlineStr">
        <is>
          <t>A 24306-2024</t>
        </is>
      </c>
      <c r="B728" s="1" t="n">
        <v>45457</v>
      </c>
      <c r="C728" s="1" t="n">
        <v>45635</v>
      </c>
      <c r="D728" t="inlineStr">
        <is>
          <t>UPPSALA LÄN</t>
        </is>
      </c>
      <c r="E728" t="inlineStr">
        <is>
          <t>ENKÖPING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24259-2024</t>
        </is>
      </c>
      <c r="B729" s="1" t="n">
        <v>45457</v>
      </c>
      <c r="C729" s="1" t="n">
        <v>45635</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24291-2024</t>
        </is>
      </c>
      <c r="B730" s="1" t="n">
        <v>45457</v>
      </c>
      <c r="C730" s="1" t="n">
        <v>45635</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24411-2024</t>
        </is>
      </c>
      <c r="B731" s="1" t="n">
        <v>45457</v>
      </c>
      <c r="C731" s="1" t="n">
        <v>45635</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25607-2024</t>
        </is>
      </c>
      <c r="B732" s="1" t="n">
        <v>45463</v>
      </c>
      <c r="C732" s="1" t="n">
        <v>45635</v>
      </c>
      <c r="D732" t="inlineStr">
        <is>
          <t>UPPSALA LÄN</t>
        </is>
      </c>
      <c r="E732" t="inlineStr">
        <is>
          <t>ENKÖPING</t>
        </is>
      </c>
      <c r="G732" t="n">
        <v>6.3</v>
      </c>
      <c r="H732" t="n">
        <v>0</v>
      </c>
      <c r="I732" t="n">
        <v>0</v>
      </c>
      <c r="J732" t="n">
        <v>0</v>
      </c>
      <c r="K732" t="n">
        <v>0</v>
      </c>
      <c r="L732" t="n">
        <v>0</v>
      </c>
      <c r="M732" t="n">
        <v>0</v>
      </c>
      <c r="N732" t="n">
        <v>0</v>
      </c>
      <c r="O732" t="n">
        <v>0</v>
      </c>
      <c r="P732" t="n">
        <v>0</v>
      </c>
      <c r="Q732" t="n">
        <v>0</v>
      </c>
      <c r="R732" s="2" t="inlineStr"/>
    </row>
    <row r="733" ht="15" customHeight="1">
      <c r="A733" t="inlineStr">
        <is>
          <t>A 25595-2024</t>
        </is>
      </c>
      <c r="B733" s="1" t="n">
        <v>45463</v>
      </c>
      <c r="C733" s="1" t="n">
        <v>45635</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25601-2024</t>
        </is>
      </c>
      <c r="B734" s="1" t="n">
        <v>45463</v>
      </c>
      <c r="C734" s="1" t="n">
        <v>45635</v>
      </c>
      <c r="D734" t="inlineStr">
        <is>
          <t>UPPSALA LÄN</t>
        </is>
      </c>
      <c r="E734" t="inlineStr">
        <is>
          <t>ENKÖPING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25930-2024</t>
        </is>
      </c>
      <c r="B735" s="1" t="n">
        <v>45467</v>
      </c>
      <c r="C735" s="1" t="n">
        <v>45635</v>
      </c>
      <c r="D735" t="inlineStr">
        <is>
          <t>UPPSALA LÄN</t>
        </is>
      </c>
      <c r="E735" t="inlineStr">
        <is>
          <t>ENKÖPING</t>
        </is>
      </c>
      <c r="G735" t="n">
        <v>5.7</v>
      </c>
      <c r="H735" t="n">
        <v>0</v>
      </c>
      <c r="I735" t="n">
        <v>0</v>
      </c>
      <c r="J735" t="n">
        <v>0</v>
      </c>
      <c r="K735" t="n">
        <v>0</v>
      </c>
      <c r="L735" t="n">
        <v>0</v>
      </c>
      <c r="M735" t="n">
        <v>0</v>
      </c>
      <c r="N735" t="n">
        <v>0</v>
      </c>
      <c r="O735" t="n">
        <v>0</v>
      </c>
      <c r="P735" t="n">
        <v>0</v>
      </c>
      <c r="Q735" t="n">
        <v>0</v>
      </c>
      <c r="R735" s="2" t="inlineStr"/>
    </row>
    <row r="736" ht="15" customHeight="1">
      <c r="A736" t="inlineStr">
        <is>
          <t>A 27172-2024</t>
        </is>
      </c>
      <c r="B736" s="1" t="n">
        <v>45471</v>
      </c>
      <c r="C736" s="1" t="n">
        <v>45635</v>
      </c>
      <c r="D736" t="inlineStr">
        <is>
          <t>UPPSALA LÄN</t>
        </is>
      </c>
      <c r="E736" t="inlineStr">
        <is>
          <t>ENKÖPING</t>
        </is>
      </c>
      <c r="G736" t="n">
        <v>2.3</v>
      </c>
      <c r="H736" t="n">
        <v>0</v>
      </c>
      <c r="I736" t="n">
        <v>0</v>
      </c>
      <c r="J736" t="n">
        <v>0</v>
      </c>
      <c r="K736" t="n">
        <v>0</v>
      </c>
      <c r="L736" t="n">
        <v>0</v>
      </c>
      <c r="M736" t="n">
        <v>0</v>
      </c>
      <c r="N736" t="n">
        <v>0</v>
      </c>
      <c r="O736" t="n">
        <v>0</v>
      </c>
      <c r="P736" t="n">
        <v>0</v>
      </c>
      <c r="Q736" t="n">
        <v>0</v>
      </c>
      <c r="R736" s="2" t="inlineStr"/>
    </row>
    <row r="737" ht="15" customHeight="1">
      <c r="A737" t="inlineStr">
        <is>
          <t>A 27998-2024</t>
        </is>
      </c>
      <c r="B737" s="1" t="n">
        <v>45476</v>
      </c>
      <c r="C737" s="1" t="n">
        <v>45635</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27983-2024</t>
        </is>
      </c>
      <c r="B738" s="1" t="n">
        <v>45476</v>
      </c>
      <c r="C738" s="1" t="n">
        <v>45635</v>
      </c>
      <c r="D738" t="inlineStr">
        <is>
          <t>UPPSALA LÄN</t>
        </is>
      </c>
      <c r="E738" t="inlineStr">
        <is>
          <t>ENKÖPING</t>
        </is>
      </c>
      <c r="G738" t="n">
        <v>3.2</v>
      </c>
      <c r="H738" t="n">
        <v>0</v>
      </c>
      <c r="I738" t="n">
        <v>0</v>
      </c>
      <c r="J738" t="n">
        <v>0</v>
      </c>
      <c r="K738" t="n">
        <v>0</v>
      </c>
      <c r="L738" t="n">
        <v>0</v>
      </c>
      <c r="M738" t="n">
        <v>0</v>
      </c>
      <c r="N738" t="n">
        <v>0</v>
      </c>
      <c r="O738" t="n">
        <v>0</v>
      </c>
      <c r="P738" t="n">
        <v>0</v>
      </c>
      <c r="Q738" t="n">
        <v>0</v>
      </c>
      <c r="R738" s="2" t="inlineStr"/>
    </row>
    <row r="739" ht="15" customHeight="1">
      <c r="A739" t="inlineStr">
        <is>
          <t>A 27993-2024</t>
        </is>
      </c>
      <c r="B739" s="1" t="n">
        <v>45476</v>
      </c>
      <c r="C739" s="1" t="n">
        <v>45635</v>
      </c>
      <c r="D739" t="inlineStr">
        <is>
          <t>UPPSALA LÄN</t>
        </is>
      </c>
      <c r="E739" t="inlineStr">
        <is>
          <t>ENKÖPING</t>
        </is>
      </c>
      <c r="G739" t="n">
        <v>3.3</v>
      </c>
      <c r="H739" t="n">
        <v>0</v>
      </c>
      <c r="I739" t="n">
        <v>0</v>
      </c>
      <c r="J739" t="n">
        <v>0</v>
      </c>
      <c r="K739" t="n">
        <v>0</v>
      </c>
      <c r="L739" t="n">
        <v>0</v>
      </c>
      <c r="M739" t="n">
        <v>0</v>
      </c>
      <c r="N739" t="n">
        <v>0</v>
      </c>
      <c r="O739" t="n">
        <v>0</v>
      </c>
      <c r="P739" t="n">
        <v>0</v>
      </c>
      <c r="Q739" t="n">
        <v>0</v>
      </c>
      <c r="R739" s="2" t="inlineStr"/>
    </row>
    <row r="740" ht="15" customHeight="1">
      <c r="A740" t="inlineStr">
        <is>
          <t>A 28325-2024</t>
        </is>
      </c>
      <c r="B740" s="1" t="n">
        <v>45477</v>
      </c>
      <c r="C740" s="1" t="n">
        <v>45635</v>
      </c>
      <c r="D740" t="inlineStr">
        <is>
          <t>UPPSALA LÄN</t>
        </is>
      </c>
      <c r="E740" t="inlineStr">
        <is>
          <t>ENKÖPING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28518-2024</t>
        </is>
      </c>
      <c r="B741" s="1" t="n">
        <v>45477</v>
      </c>
      <c r="C741" s="1" t="n">
        <v>45635</v>
      </c>
      <c r="D741" t="inlineStr">
        <is>
          <t>UPPSALA LÄN</t>
        </is>
      </c>
      <c r="E741" t="inlineStr">
        <is>
          <t>ENKÖPING</t>
        </is>
      </c>
      <c r="G741" t="n">
        <v>3.4</v>
      </c>
      <c r="H741" t="n">
        <v>0</v>
      </c>
      <c r="I741" t="n">
        <v>0</v>
      </c>
      <c r="J741" t="n">
        <v>0</v>
      </c>
      <c r="K741" t="n">
        <v>0</v>
      </c>
      <c r="L741" t="n">
        <v>0</v>
      </c>
      <c r="M741" t="n">
        <v>0</v>
      </c>
      <c r="N741" t="n">
        <v>0</v>
      </c>
      <c r="O741" t="n">
        <v>0</v>
      </c>
      <c r="P741" t="n">
        <v>0</v>
      </c>
      <c r="Q741" t="n">
        <v>0</v>
      </c>
      <c r="R741" s="2" t="inlineStr"/>
    </row>
    <row r="742" ht="15" customHeight="1">
      <c r="A742" t="inlineStr">
        <is>
          <t>A 28318-2024</t>
        </is>
      </c>
      <c r="B742" s="1" t="n">
        <v>45477</v>
      </c>
      <c r="C742" s="1" t="n">
        <v>45635</v>
      </c>
      <c r="D742" t="inlineStr">
        <is>
          <t>UPPSALA LÄN</t>
        </is>
      </c>
      <c r="E742" t="inlineStr">
        <is>
          <t>ENKÖPING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28515-2024</t>
        </is>
      </c>
      <c r="B743" s="1" t="n">
        <v>45477</v>
      </c>
      <c r="C743" s="1" t="n">
        <v>45635</v>
      </c>
      <c r="D743" t="inlineStr">
        <is>
          <t>UPPSALA LÄN</t>
        </is>
      </c>
      <c r="E743" t="inlineStr">
        <is>
          <t>ENKÖPING</t>
        </is>
      </c>
      <c r="G743" t="n">
        <v>5.9</v>
      </c>
      <c r="H743" t="n">
        <v>0</v>
      </c>
      <c r="I743" t="n">
        <v>0</v>
      </c>
      <c r="J743" t="n">
        <v>0</v>
      </c>
      <c r="K743" t="n">
        <v>0</v>
      </c>
      <c r="L743" t="n">
        <v>0</v>
      </c>
      <c r="M743" t="n">
        <v>0</v>
      </c>
      <c r="N743" t="n">
        <v>0</v>
      </c>
      <c r="O743" t="n">
        <v>0</v>
      </c>
      <c r="P743" t="n">
        <v>0</v>
      </c>
      <c r="Q743" t="n">
        <v>0</v>
      </c>
      <c r="R743" s="2" t="inlineStr"/>
    </row>
    <row r="744" ht="15" customHeight="1">
      <c r="A744" t="inlineStr">
        <is>
          <t>A 28848-2024</t>
        </is>
      </c>
      <c r="B744" s="1" t="n">
        <v>45478</v>
      </c>
      <c r="C744" s="1" t="n">
        <v>45635</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30092-2024</t>
        </is>
      </c>
      <c r="B745" s="1" t="n">
        <v>45489</v>
      </c>
      <c r="C745" s="1" t="n">
        <v>45635</v>
      </c>
      <c r="D745" t="inlineStr">
        <is>
          <t>UPPSALA LÄN</t>
        </is>
      </c>
      <c r="E745" t="inlineStr">
        <is>
          <t>ENKÖPING</t>
        </is>
      </c>
      <c r="G745" t="n">
        <v>2.3</v>
      </c>
      <c r="H745" t="n">
        <v>0</v>
      </c>
      <c r="I745" t="n">
        <v>0</v>
      </c>
      <c r="J745" t="n">
        <v>0</v>
      </c>
      <c r="K745" t="n">
        <v>0</v>
      </c>
      <c r="L745" t="n">
        <v>0</v>
      </c>
      <c r="M745" t="n">
        <v>0</v>
      </c>
      <c r="N745" t="n">
        <v>0</v>
      </c>
      <c r="O745" t="n">
        <v>0</v>
      </c>
      <c r="P745" t="n">
        <v>0</v>
      </c>
      <c r="Q745" t="n">
        <v>0</v>
      </c>
      <c r="R745" s="2" t="inlineStr"/>
    </row>
    <row r="746" ht="15" customHeight="1">
      <c r="A746" t="inlineStr">
        <is>
          <t>A 30109-2024</t>
        </is>
      </c>
      <c r="B746" s="1" t="n">
        <v>45489</v>
      </c>
      <c r="C746" s="1" t="n">
        <v>45635</v>
      </c>
      <c r="D746" t="inlineStr">
        <is>
          <t>UPPSALA LÄN</t>
        </is>
      </c>
      <c r="E746" t="inlineStr">
        <is>
          <t>ENKÖPING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30098-2024</t>
        </is>
      </c>
      <c r="B747" s="1" t="n">
        <v>45489</v>
      </c>
      <c r="C747" s="1" t="n">
        <v>45635</v>
      </c>
      <c r="D747" t="inlineStr">
        <is>
          <t>UPPSALA LÄN</t>
        </is>
      </c>
      <c r="E747" t="inlineStr">
        <is>
          <t>ENKÖPING</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30087-2024</t>
        </is>
      </c>
      <c r="B748" s="1" t="n">
        <v>45489</v>
      </c>
      <c r="C748" s="1" t="n">
        <v>45635</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30394-2024</t>
        </is>
      </c>
      <c r="B749" s="1" t="n">
        <v>45491</v>
      </c>
      <c r="C749" s="1" t="n">
        <v>45635</v>
      </c>
      <c r="D749" t="inlineStr">
        <is>
          <t>UPPSALA LÄN</t>
        </is>
      </c>
      <c r="E749" t="inlineStr">
        <is>
          <t>ENKÖPING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31241-2024</t>
        </is>
      </c>
      <c r="B750" s="1" t="n">
        <v>45503</v>
      </c>
      <c r="C750" s="1" t="n">
        <v>45635</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31252-2024</t>
        </is>
      </c>
      <c r="B751" s="1" t="n">
        <v>45503</v>
      </c>
      <c r="C751" s="1" t="n">
        <v>45635</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31240-2024</t>
        </is>
      </c>
      <c r="B752" s="1" t="n">
        <v>45503</v>
      </c>
      <c r="C752" s="1" t="n">
        <v>45635</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31253-2024</t>
        </is>
      </c>
      <c r="B753" s="1" t="n">
        <v>45503</v>
      </c>
      <c r="C753" s="1" t="n">
        <v>45635</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32028-2024</t>
        </is>
      </c>
      <c r="B754" s="1" t="n">
        <v>45510</v>
      </c>
      <c r="C754" s="1" t="n">
        <v>45635</v>
      </c>
      <c r="D754" t="inlineStr">
        <is>
          <t>UPPSALA LÄN</t>
        </is>
      </c>
      <c r="E754" t="inlineStr">
        <is>
          <t>ENKÖPING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32083-2024</t>
        </is>
      </c>
      <c r="B755" s="1" t="n">
        <v>45511</v>
      </c>
      <c r="C755" s="1" t="n">
        <v>45635</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32086-2024</t>
        </is>
      </c>
      <c r="B756" s="1" t="n">
        <v>45511</v>
      </c>
      <c r="C756" s="1" t="n">
        <v>45635</v>
      </c>
      <c r="D756" t="inlineStr">
        <is>
          <t>UPPSALA LÄN</t>
        </is>
      </c>
      <c r="E756" t="inlineStr">
        <is>
          <t>ENKÖPING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32080-2024</t>
        </is>
      </c>
      <c r="B757" s="1" t="n">
        <v>45511</v>
      </c>
      <c r="C757" s="1" t="n">
        <v>45635</v>
      </c>
      <c r="D757" t="inlineStr">
        <is>
          <t>UPPSALA LÄN</t>
        </is>
      </c>
      <c r="E757" t="inlineStr">
        <is>
          <t>ENKÖPING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32085-2024</t>
        </is>
      </c>
      <c r="B758" s="1" t="n">
        <v>45511</v>
      </c>
      <c r="C758" s="1" t="n">
        <v>45635</v>
      </c>
      <c r="D758" t="inlineStr">
        <is>
          <t>UPPSALA LÄN</t>
        </is>
      </c>
      <c r="E758" t="inlineStr">
        <is>
          <t>ENKÖPING</t>
        </is>
      </c>
      <c r="G758" t="n">
        <v>7.1</v>
      </c>
      <c r="H758" t="n">
        <v>0</v>
      </c>
      <c r="I758" t="n">
        <v>0</v>
      </c>
      <c r="J758" t="n">
        <v>0</v>
      </c>
      <c r="K758" t="n">
        <v>0</v>
      </c>
      <c r="L758" t="n">
        <v>0</v>
      </c>
      <c r="M758" t="n">
        <v>0</v>
      </c>
      <c r="N758" t="n">
        <v>0</v>
      </c>
      <c r="O758" t="n">
        <v>0</v>
      </c>
      <c r="P758" t="n">
        <v>0</v>
      </c>
      <c r="Q758" t="n">
        <v>0</v>
      </c>
      <c r="R758" s="2" t="inlineStr"/>
    </row>
    <row r="759" ht="15" customHeight="1">
      <c r="A759" t="inlineStr">
        <is>
          <t>A 32081-2024</t>
        </is>
      </c>
      <c r="B759" s="1" t="n">
        <v>45511</v>
      </c>
      <c r="C759" s="1" t="n">
        <v>45635</v>
      </c>
      <c r="D759" t="inlineStr">
        <is>
          <t>UPPSALA LÄN</t>
        </is>
      </c>
      <c r="E759" t="inlineStr">
        <is>
          <t>ENKÖPING</t>
        </is>
      </c>
      <c r="G759" t="n">
        <v>5.4</v>
      </c>
      <c r="H759" t="n">
        <v>0</v>
      </c>
      <c r="I759" t="n">
        <v>0</v>
      </c>
      <c r="J759" t="n">
        <v>0</v>
      </c>
      <c r="K759" t="n">
        <v>0</v>
      </c>
      <c r="L759" t="n">
        <v>0</v>
      </c>
      <c r="M759" t="n">
        <v>0</v>
      </c>
      <c r="N759" t="n">
        <v>0</v>
      </c>
      <c r="O759" t="n">
        <v>0</v>
      </c>
      <c r="P759" t="n">
        <v>0</v>
      </c>
      <c r="Q759" t="n">
        <v>0</v>
      </c>
      <c r="R759" s="2" t="inlineStr"/>
    </row>
    <row r="760" ht="15" customHeight="1">
      <c r="A760" t="inlineStr">
        <is>
          <t>A 33349-2024</t>
        </is>
      </c>
      <c r="B760" s="1" t="n">
        <v>45519</v>
      </c>
      <c r="C760" s="1" t="n">
        <v>45635</v>
      </c>
      <c r="D760" t="inlineStr">
        <is>
          <t>UPPSALA LÄN</t>
        </is>
      </c>
      <c r="E760" t="inlineStr">
        <is>
          <t>ENKÖPING</t>
        </is>
      </c>
      <c r="G760" t="n">
        <v>3.6</v>
      </c>
      <c r="H760" t="n">
        <v>0</v>
      </c>
      <c r="I760" t="n">
        <v>0</v>
      </c>
      <c r="J760" t="n">
        <v>0</v>
      </c>
      <c r="K760" t="n">
        <v>0</v>
      </c>
      <c r="L760" t="n">
        <v>0</v>
      </c>
      <c r="M760" t="n">
        <v>0</v>
      </c>
      <c r="N760" t="n">
        <v>0</v>
      </c>
      <c r="O760" t="n">
        <v>0</v>
      </c>
      <c r="P760" t="n">
        <v>0</v>
      </c>
      <c r="Q760" t="n">
        <v>0</v>
      </c>
      <c r="R760" s="2" t="inlineStr"/>
    </row>
    <row r="761" ht="15" customHeight="1">
      <c r="A761" t="inlineStr">
        <is>
          <t>A 33343-2024</t>
        </is>
      </c>
      <c r="B761" s="1" t="n">
        <v>45519</v>
      </c>
      <c r="C761" s="1" t="n">
        <v>45635</v>
      </c>
      <c r="D761" t="inlineStr">
        <is>
          <t>UPPSALA LÄN</t>
        </is>
      </c>
      <c r="E761" t="inlineStr">
        <is>
          <t>ENKÖPING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33448-2024</t>
        </is>
      </c>
      <c r="B762" s="1" t="n">
        <v>45519</v>
      </c>
      <c r="C762" s="1" t="n">
        <v>45635</v>
      </c>
      <c r="D762" t="inlineStr">
        <is>
          <t>UPPSALA LÄN</t>
        </is>
      </c>
      <c r="E762" t="inlineStr">
        <is>
          <t>ENKÖPING</t>
        </is>
      </c>
      <c r="G762" t="n">
        <v>6.1</v>
      </c>
      <c r="H762" t="n">
        <v>0</v>
      </c>
      <c r="I762" t="n">
        <v>0</v>
      </c>
      <c r="J762" t="n">
        <v>0</v>
      </c>
      <c r="K762" t="n">
        <v>0</v>
      </c>
      <c r="L762" t="n">
        <v>0</v>
      </c>
      <c r="M762" t="n">
        <v>0</v>
      </c>
      <c r="N762" t="n">
        <v>0</v>
      </c>
      <c r="O762" t="n">
        <v>0</v>
      </c>
      <c r="P762" t="n">
        <v>0</v>
      </c>
      <c r="Q762" t="n">
        <v>0</v>
      </c>
      <c r="R762" s="2" t="inlineStr"/>
    </row>
    <row r="763" ht="15" customHeight="1">
      <c r="A763" t="inlineStr">
        <is>
          <t>A 33665-2024</t>
        </is>
      </c>
      <c r="B763" s="1" t="n">
        <v>45520</v>
      </c>
      <c r="C763" s="1" t="n">
        <v>45635</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33669-2024</t>
        </is>
      </c>
      <c r="B764" s="1" t="n">
        <v>45520</v>
      </c>
      <c r="C764" s="1" t="n">
        <v>45635</v>
      </c>
      <c r="D764" t="inlineStr">
        <is>
          <t>UPPSALA LÄN</t>
        </is>
      </c>
      <c r="E764" t="inlineStr">
        <is>
          <t>ENKÖPING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33663-2024</t>
        </is>
      </c>
      <c r="B765" s="1" t="n">
        <v>45520</v>
      </c>
      <c r="C765" s="1" t="n">
        <v>45635</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33670-2024</t>
        </is>
      </c>
      <c r="B766" s="1" t="n">
        <v>45520</v>
      </c>
      <c r="C766" s="1" t="n">
        <v>45635</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33956-2024</t>
        </is>
      </c>
      <c r="B767" s="1" t="n">
        <v>45523</v>
      </c>
      <c r="C767" s="1" t="n">
        <v>45635</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33951-2024</t>
        </is>
      </c>
      <c r="B768" s="1" t="n">
        <v>45523</v>
      </c>
      <c r="C768" s="1" t="n">
        <v>45635</v>
      </c>
      <c r="D768" t="inlineStr">
        <is>
          <t>UPPSALA LÄN</t>
        </is>
      </c>
      <c r="E768" t="inlineStr">
        <is>
          <t>ENKÖPING</t>
        </is>
      </c>
      <c r="G768" t="n">
        <v>3.5</v>
      </c>
      <c r="H768" t="n">
        <v>0</v>
      </c>
      <c r="I768" t="n">
        <v>0</v>
      </c>
      <c r="J768" t="n">
        <v>0</v>
      </c>
      <c r="K768" t="n">
        <v>0</v>
      </c>
      <c r="L768" t="n">
        <v>0</v>
      </c>
      <c r="M768" t="n">
        <v>0</v>
      </c>
      <c r="N768" t="n">
        <v>0</v>
      </c>
      <c r="O768" t="n">
        <v>0</v>
      </c>
      <c r="P768" t="n">
        <v>0</v>
      </c>
      <c r="Q768" t="n">
        <v>0</v>
      </c>
      <c r="R768" s="2" t="inlineStr"/>
    </row>
    <row r="769" ht="15" customHeight="1">
      <c r="A769" t="inlineStr">
        <is>
          <t>A 33955-2024</t>
        </is>
      </c>
      <c r="B769" s="1" t="n">
        <v>45523</v>
      </c>
      <c r="C769" s="1" t="n">
        <v>45635</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34060-2024</t>
        </is>
      </c>
      <c r="B770" s="1" t="n">
        <v>45523</v>
      </c>
      <c r="C770" s="1" t="n">
        <v>45635</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34805-2024</t>
        </is>
      </c>
      <c r="B771" s="1" t="n">
        <v>45526</v>
      </c>
      <c r="C771" s="1" t="n">
        <v>45635</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35052-2024</t>
        </is>
      </c>
      <c r="B772" s="1" t="n">
        <v>45527</v>
      </c>
      <c r="C772" s="1" t="n">
        <v>45635</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35056-2024</t>
        </is>
      </c>
      <c r="B773" s="1" t="n">
        <v>45527</v>
      </c>
      <c r="C773" s="1" t="n">
        <v>45635</v>
      </c>
      <c r="D773" t="inlineStr">
        <is>
          <t>UPPSALA LÄN</t>
        </is>
      </c>
      <c r="E773" t="inlineStr">
        <is>
          <t>ENKÖPING</t>
        </is>
      </c>
      <c r="G773" t="n">
        <v>0.9</v>
      </c>
      <c r="H773" t="n">
        <v>0</v>
      </c>
      <c r="I773" t="n">
        <v>0</v>
      </c>
      <c r="J773" t="n">
        <v>0</v>
      </c>
      <c r="K773" t="n">
        <v>0</v>
      </c>
      <c r="L773" t="n">
        <v>0</v>
      </c>
      <c r="M773" t="n">
        <v>0</v>
      </c>
      <c r="N773" t="n">
        <v>0</v>
      </c>
      <c r="O773" t="n">
        <v>0</v>
      </c>
      <c r="P773" t="n">
        <v>0</v>
      </c>
      <c r="Q773" t="n">
        <v>0</v>
      </c>
      <c r="R773" s="2" t="inlineStr"/>
    </row>
    <row r="774" ht="15" customHeight="1">
      <c r="A774" t="inlineStr">
        <is>
          <t>A 35064-2024</t>
        </is>
      </c>
      <c r="B774" s="1" t="n">
        <v>45527</v>
      </c>
      <c r="C774" s="1" t="n">
        <v>45635</v>
      </c>
      <c r="D774" t="inlineStr">
        <is>
          <t>UPPSALA LÄN</t>
        </is>
      </c>
      <c r="E774" t="inlineStr">
        <is>
          <t>ENKÖPING</t>
        </is>
      </c>
      <c r="G774" t="n">
        <v>2.4</v>
      </c>
      <c r="H774" t="n">
        <v>0</v>
      </c>
      <c r="I774" t="n">
        <v>0</v>
      </c>
      <c r="J774" t="n">
        <v>0</v>
      </c>
      <c r="K774" t="n">
        <v>0</v>
      </c>
      <c r="L774" t="n">
        <v>0</v>
      </c>
      <c r="M774" t="n">
        <v>0</v>
      </c>
      <c r="N774" t="n">
        <v>0</v>
      </c>
      <c r="O774" t="n">
        <v>0</v>
      </c>
      <c r="P774" t="n">
        <v>0</v>
      </c>
      <c r="Q774" t="n">
        <v>0</v>
      </c>
      <c r="R774" s="2" t="inlineStr"/>
    </row>
    <row r="775" ht="15" customHeight="1">
      <c r="A775" t="inlineStr">
        <is>
          <t>A 35072-2024</t>
        </is>
      </c>
      <c r="B775" s="1" t="n">
        <v>45527</v>
      </c>
      <c r="C775" s="1" t="n">
        <v>45635</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35067-2024</t>
        </is>
      </c>
      <c r="B776" s="1" t="n">
        <v>45527</v>
      </c>
      <c r="C776" s="1" t="n">
        <v>45635</v>
      </c>
      <c r="D776" t="inlineStr">
        <is>
          <t>UPPSALA LÄN</t>
        </is>
      </c>
      <c r="E776" t="inlineStr">
        <is>
          <t>ENKÖPING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35079-2024</t>
        </is>
      </c>
      <c r="B777" s="1" t="n">
        <v>45527</v>
      </c>
      <c r="C777" s="1" t="n">
        <v>45635</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35680-2024</t>
        </is>
      </c>
      <c r="B778" s="1" t="n">
        <v>45532</v>
      </c>
      <c r="C778" s="1" t="n">
        <v>45635</v>
      </c>
      <c r="D778" t="inlineStr">
        <is>
          <t>UPPSALA LÄN</t>
        </is>
      </c>
      <c r="E778" t="inlineStr">
        <is>
          <t>ENKÖPING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36007-2024</t>
        </is>
      </c>
      <c r="B779" s="1" t="n">
        <v>45533</v>
      </c>
      <c r="C779" s="1" t="n">
        <v>45635</v>
      </c>
      <c r="D779" t="inlineStr">
        <is>
          <t>UPPSALA LÄN</t>
        </is>
      </c>
      <c r="E779" t="inlineStr">
        <is>
          <t>ENKÖPING</t>
        </is>
      </c>
      <c r="G779" t="n">
        <v>3.1</v>
      </c>
      <c r="H779" t="n">
        <v>0</v>
      </c>
      <c r="I779" t="n">
        <v>0</v>
      </c>
      <c r="J779" t="n">
        <v>0</v>
      </c>
      <c r="K779" t="n">
        <v>0</v>
      </c>
      <c r="L779" t="n">
        <v>0</v>
      </c>
      <c r="M779" t="n">
        <v>0</v>
      </c>
      <c r="N779" t="n">
        <v>0</v>
      </c>
      <c r="O779" t="n">
        <v>0</v>
      </c>
      <c r="P779" t="n">
        <v>0</v>
      </c>
      <c r="Q779" t="n">
        <v>0</v>
      </c>
      <c r="R779" s="2" t="inlineStr"/>
    </row>
    <row r="780" ht="15" customHeight="1">
      <c r="A780" t="inlineStr">
        <is>
          <t>A 37115-2024</t>
        </is>
      </c>
      <c r="B780" s="1" t="n">
        <v>45539</v>
      </c>
      <c r="C780" s="1" t="n">
        <v>45635</v>
      </c>
      <c r="D780" t="inlineStr">
        <is>
          <t>UPPSALA LÄN</t>
        </is>
      </c>
      <c r="E780" t="inlineStr">
        <is>
          <t>ENKÖPING</t>
        </is>
      </c>
      <c r="G780" t="n">
        <v>1.8</v>
      </c>
      <c r="H780" t="n">
        <v>0</v>
      </c>
      <c r="I780" t="n">
        <v>0</v>
      </c>
      <c r="J780" t="n">
        <v>0</v>
      </c>
      <c r="K780" t="n">
        <v>0</v>
      </c>
      <c r="L780" t="n">
        <v>0</v>
      </c>
      <c r="M780" t="n">
        <v>0</v>
      </c>
      <c r="N780" t="n">
        <v>0</v>
      </c>
      <c r="O780" t="n">
        <v>0</v>
      </c>
      <c r="P780" t="n">
        <v>0</v>
      </c>
      <c r="Q780" t="n">
        <v>0</v>
      </c>
      <c r="R780" s="2" t="inlineStr"/>
    </row>
    <row r="781" ht="15" customHeight="1">
      <c r="A781" t="inlineStr">
        <is>
          <t>A 37465-2024</t>
        </is>
      </c>
      <c r="B781" s="1" t="n">
        <v>45540</v>
      </c>
      <c r="C781" s="1" t="n">
        <v>45635</v>
      </c>
      <c r="D781" t="inlineStr">
        <is>
          <t>UPPSALA LÄN</t>
        </is>
      </c>
      <c r="E781" t="inlineStr">
        <is>
          <t>ENKÖPING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37466-2024</t>
        </is>
      </c>
      <c r="B782" s="1" t="n">
        <v>45540</v>
      </c>
      <c r="C782" s="1" t="n">
        <v>45635</v>
      </c>
      <c r="D782" t="inlineStr">
        <is>
          <t>UPPSALA LÄN</t>
        </is>
      </c>
      <c r="E782" t="inlineStr">
        <is>
          <t>ENKÖPING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37704-2024</t>
        </is>
      </c>
      <c r="B783" s="1" t="n">
        <v>45541</v>
      </c>
      <c r="C783" s="1" t="n">
        <v>45635</v>
      </c>
      <c r="D783" t="inlineStr">
        <is>
          <t>UPPSALA LÄN</t>
        </is>
      </c>
      <c r="E783" t="inlineStr">
        <is>
          <t>ENKÖPING</t>
        </is>
      </c>
      <c r="G783" t="n">
        <v>4.7</v>
      </c>
      <c r="H783" t="n">
        <v>0</v>
      </c>
      <c r="I783" t="n">
        <v>0</v>
      </c>
      <c r="J783" t="n">
        <v>0</v>
      </c>
      <c r="K783" t="n">
        <v>0</v>
      </c>
      <c r="L783" t="n">
        <v>0</v>
      </c>
      <c r="M783" t="n">
        <v>0</v>
      </c>
      <c r="N783" t="n">
        <v>0</v>
      </c>
      <c r="O783" t="n">
        <v>0</v>
      </c>
      <c r="P783" t="n">
        <v>0</v>
      </c>
      <c r="Q783" t="n">
        <v>0</v>
      </c>
      <c r="R783" s="2" t="inlineStr"/>
    </row>
    <row r="784" ht="15" customHeight="1">
      <c r="A784" t="inlineStr">
        <is>
          <t>A 39009-2024</t>
        </is>
      </c>
      <c r="B784" s="1" t="n">
        <v>45548</v>
      </c>
      <c r="C784" s="1" t="n">
        <v>45635</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39115-2024</t>
        </is>
      </c>
      <c r="B785" s="1" t="n">
        <v>45548</v>
      </c>
      <c r="C785" s="1" t="n">
        <v>45635</v>
      </c>
      <c r="D785" t="inlineStr">
        <is>
          <t>UPPSALA LÄN</t>
        </is>
      </c>
      <c r="E785" t="inlineStr">
        <is>
          <t>ENKÖPING</t>
        </is>
      </c>
      <c r="G785" t="n">
        <v>1.3</v>
      </c>
      <c r="H785" t="n">
        <v>0</v>
      </c>
      <c r="I785" t="n">
        <v>0</v>
      </c>
      <c r="J785" t="n">
        <v>0</v>
      </c>
      <c r="K785" t="n">
        <v>0</v>
      </c>
      <c r="L785" t="n">
        <v>0</v>
      </c>
      <c r="M785" t="n">
        <v>0</v>
      </c>
      <c r="N785" t="n">
        <v>0</v>
      </c>
      <c r="O785" t="n">
        <v>0</v>
      </c>
      <c r="P785" t="n">
        <v>0</v>
      </c>
      <c r="Q785" t="n">
        <v>0</v>
      </c>
      <c r="R785" s="2" t="inlineStr"/>
    </row>
    <row r="786" ht="15" customHeight="1">
      <c r="A786" t="inlineStr">
        <is>
          <t>A 39858-2024</t>
        </is>
      </c>
      <c r="B786" s="1" t="n">
        <v>45553</v>
      </c>
      <c r="C786" s="1" t="n">
        <v>45635</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45635</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40223-2024</t>
        </is>
      </c>
      <c r="B788" s="1" t="n">
        <v>45554</v>
      </c>
      <c r="C788" s="1" t="n">
        <v>45635</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40202-2024</t>
        </is>
      </c>
      <c r="B789" s="1" t="n">
        <v>45554</v>
      </c>
      <c r="C789" s="1" t="n">
        <v>45635</v>
      </c>
      <c r="D789" t="inlineStr">
        <is>
          <t>UPPSALA LÄN</t>
        </is>
      </c>
      <c r="E789" t="inlineStr">
        <is>
          <t>ENKÖPING</t>
        </is>
      </c>
      <c r="G789" t="n">
        <v>6.2</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45635</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45635</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41826-2024</t>
        </is>
      </c>
      <c r="B792" s="1" t="n">
        <v>45561</v>
      </c>
      <c r="C792" s="1" t="n">
        <v>45635</v>
      </c>
      <c r="D792" t="inlineStr">
        <is>
          <t>UPPSALA LÄN</t>
        </is>
      </c>
      <c r="E792" t="inlineStr">
        <is>
          <t>ENKÖPING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41850-2024</t>
        </is>
      </c>
      <c r="B793" s="1" t="n">
        <v>45561</v>
      </c>
      <c r="C793" s="1" t="n">
        <v>45635</v>
      </c>
      <c r="D793" t="inlineStr">
        <is>
          <t>UPPSALA LÄN</t>
        </is>
      </c>
      <c r="E793" t="inlineStr">
        <is>
          <t>ENKÖPING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45635</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42459-2024</t>
        </is>
      </c>
      <c r="B795" s="1" t="n">
        <v>45565</v>
      </c>
      <c r="C795" s="1" t="n">
        <v>45635</v>
      </c>
      <c r="D795" t="inlineStr">
        <is>
          <t>UPPSALA LÄN</t>
        </is>
      </c>
      <c r="E795" t="inlineStr">
        <is>
          <t>ENKÖPING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43205-2024</t>
        </is>
      </c>
      <c r="B796" s="1" t="n">
        <v>45567</v>
      </c>
      <c r="C796" s="1" t="n">
        <v>45635</v>
      </c>
      <c r="D796" t="inlineStr">
        <is>
          <t>UPPSALA LÄN</t>
        </is>
      </c>
      <c r="E796" t="inlineStr">
        <is>
          <t>ENKÖPING</t>
        </is>
      </c>
      <c r="G796" t="n">
        <v>4.8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45635</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43691-2024</t>
        </is>
      </c>
      <c r="B798" s="1" t="n">
        <v>45569</v>
      </c>
      <c r="C798" s="1" t="n">
        <v>45635</v>
      </c>
      <c r="D798" t="inlineStr">
        <is>
          <t>UPPSALA LÄN</t>
        </is>
      </c>
      <c r="E798" t="inlineStr">
        <is>
          <t>ENKÖPING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45635</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44074-2024</t>
        </is>
      </c>
      <c r="B800" s="1" t="n">
        <v>45572</v>
      </c>
      <c r="C800" s="1" t="n">
        <v>45635</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44115-2024</t>
        </is>
      </c>
      <c r="B801" s="1" t="n">
        <v>45572</v>
      </c>
      <c r="C801" s="1" t="n">
        <v>45635</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44055-2024</t>
        </is>
      </c>
      <c r="B802" s="1" t="n">
        <v>45572</v>
      </c>
      <c r="C802" s="1" t="n">
        <v>45635</v>
      </c>
      <c r="D802" t="inlineStr">
        <is>
          <t>UPPSALA LÄN</t>
        </is>
      </c>
      <c r="E802" t="inlineStr">
        <is>
          <t>ENKÖPING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44067-2024</t>
        </is>
      </c>
      <c r="B803" s="1" t="n">
        <v>45572</v>
      </c>
      <c r="C803" s="1" t="n">
        <v>45635</v>
      </c>
      <c r="D803" t="inlineStr">
        <is>
          <t>UPPSALA LÄN</t>
        </is>
      </c>
      <c r="E803" t="inlineStr">
        <is>
          <t>ENKÖPING</t>
        </is>
      </c>
      <c r="G803" t="n">
        <v>2.9</v>
      </c>
      <c r="H803" t="n">
        <v>0</v>
      </c>
      <c r="I803" t="n">
        <v>0</v>
      </c>
      <c r="J803" t="n">
        <v>0</v>
      </c>
      <c r="K803" t="n">
        <v>0</v>
      </c>
      <c r="L803" t="n">
        <v>0</v>
      </c>
      <c r="M803" t="n">
        <v>0</v>
      </c>
      <c r="N803" t="n">
        <v>0</v>
      </c>
      <c r="O803" t="n">
        <v>0</v>
      </c>
      <c r="P803" t="n">
        <v>0</v>
      </c>
      <c r="Q803" t="n">
        <v>0</v>
      </c>
      <c r="R803" s="2" t="inlineStr"/>
    </row>
    <row r="804" ht="15" customHeight="1">
      <c r="A804" t="inlineStr">
        <is>
          <t>A 44084-2024</t>
        </is>
      </c>
      <c r="B804" s="1" t="n">
        <v>45572</v>
      </c>
      <c r="C804" s="1" t="n">
        <v>45635</v>
      </c>
      <c r="D804" t="inlineStr">
        <is>
          <t>UPPSALA LÄN</t>
        </is>
      </c>
      <c r="E804" t="inlineStr">
        <is>
          <t>ENKÖPING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45635</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45064-2024</t>
        </is>
      </c>
      <c r="B806" s="1" t="n">
        <v>45575</v>
      </c>
      <c r="C806" s="1" t="n">
        <v>45635</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45615-2024</t>
        </is>
      </c>
      <c r="B807" s="1" t="n">
        <v>45579</v>
      </c>
      <c r="C807" s="1" t="n">
        <v>45635</v>
      </c>
      <c r="D807" t="inlineStr">
        <is>
          <t>UPPSALA LÄN</t>
        </is>
      </c>
      <c r="E807" t="inlineStr">
        <is>
          <t>ENKÖPING</t>
        </is>
      </c>
      <c r="G807" t="n">
        <v>3.2</v>
      </c>
      <c r="H807" t="n">
        <v>0</v>
      </c>
      <c r="I807" t="n">
        <v>0</v>
      </c>
      <c r="J807" t="n">
        <v>0</v>
      </c>
      <c r="K807" t="n">
        <v>0</v>
      </c>
      <c r="L807" t="n">
        <v>0</v>
      </c>
      <c r="M807" t="n">
        <v>0</v>
      </c>
      <c r="N807" t="n">
        <v>0</v>
      </c>
      <c r="O807" t="n">
        <v>0</v>
      </c>
      <c r="P807" t="n">
        <v>0</v>
      </c>
      <c r="Q807" t="n">
        <v>0</v>
      </c>
      <c r="R807" s="2" t="inlineStr"/>
    </row>
    <row r="808" ht="15" customHeight="1">
      <c r="A808" t="inlineStr">
        <is>
          <t>A 45996-2024</t>
        </is>
      </c>
      <c r="B808" s="1" t="n">
        <v>45580</v>
      </c>
      <c r="C808" s="1" t="n">
        <v>45635</v>
      </c>
      <c r="D808" t="inlineStr">
        <is>
          <t>UPPSALA LÄN</t>
        </is>
      </c>
      <c r="E808" t="inlineStr">
        <is>
          <t>ENKÖPING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45956-2024</t>
        </is>
      </c>
      <c r="B809" s="1" t="n">
        <v>45580</v>
      </c>
      <c r="C809" s="1" t="n">
        <v>45635</v>
      </c>
      <c r="D809" t="inlineStr">
        <is>
          <t>UPPSALA LÄN</t>
        </is>
      </c>
      <c r="E809" t="inlineStr">
        <is>
          <t>ENKÖPING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47101-2024</t>
        </is>
      </c>
      <c r="B810" s="1" t="n">
        <v>45586</v>
      </c>
      <c r="C810" s="1" t="n">
        <v>45635</v>
      </c>
      <c r="D810" t="inlineStr">
        <is>
          <t>UPPSALA LÄN</t>
        </is>
      </c>
      <c r="E810" t="inlineStr">
        <is>
          <t>ENKÖPING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47681-2024</t>
        </is>
      </c>
      <c r="B811" s="1" t="n">
        <v>45588</v>
      </c>
      <c r="C811" s="1" t="n">
        <v>45635</v>
      </c>
      <c r="D811" t="inlineStr">
        <is>
          <t>UPPSALA LÄN</t>
        </is>
      </c>
      <c r="E811" t="inlineStr">
        <is>
          <t>ENKÖPING</t>
        </is>
      </c>
      <c r="G811" t="n">
        <v>4.2</v>
      </c>
      <c r="H811" t="n">
        <v>0</v>
      </c>
      <c r="I811" t="n">
        <v>0</v>
      </c>
      <c r="J811" t="n">
        <v>0</v>
      </c>
      <c r="K811" t="n">
        <v>0</v>
      </c>
      <c r="L811" t="n">
        <v>0</v>
      </c>
      <c r="M811" t="n">
        <v>0</v>
      </c>
      <c r="N811" t="n">
        <v>0</v>
      </c>
      <c r="O811" t="n">
        <v>0</v>
      </c>
      <c r="P811" t="n">
        <v>0</v>
      </c>
      <c r="Q811" t="n">
        <v>0</v>
      </c>
      <c r="R811" s="2" t="inlineStr"/>
    </row>
    <row r="812" ht="15" customHeight="1">
      <c r="A812" t="inlineStr">
        <is>
          <t>A 48060-2024</t>
        </is>
      </c>
      <c r="B812" s="1" t="n">
        <v>45589</v>
      </c>
      <c r="C812" s="1" t="n">
        <v>45635</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47909-2024</t>
        </is>
      </c>
      <c r="B813" s="1" t="n">
        <v>45589</v>
      </c>
      <c r="C813" s="1" t="n">
        <v>45635</v>
      </c>
      <c r="D813" t="inlineStr">
        <is>
          <t>UPPSALA LÄN</t>
        </is>
      </c>
      <c r="E813" t="inlineStr">
        <is>
          <t>ENKÖPING</t>
        </is>
      </c>
      <c r="G813" t="n">
        <v>0.5</v>
      </c>
      <c r="H813" t="n">
        <v>0</v>
      </c>
      <c r="I813" t="n">
        <v>0</v>
      </c>
      <c r="J813" t="n">
        <v>0</v>
      </c>
      <c r="K813" t="n">
        <v>0</v>
      </c>
      <c r="L813" t="n">
        <v>0</v>
      </c>
      <c r="M813" t="n">
        <v>0</v>
      </c>
      <c r="N813" t="n">
        <v>0</v>
      </c>
      <c r="O813" t="n">
        <v>0</v>
      </c>
      <c r="P813" t="n">
        <v>0</v>
      </c>
      <c r="Q813" t="n">
        <v>0</v>
      </c>
      <c r="R813" s="2" t="inlineStr"/>
    </row>
    <row r="814" ht="15" customHeight="1">
      <c r="A814" t="inlineStr">
        <is>
          <t>A 48450-2024</t>
        </is>
      </c>
      <c r="B814" s="1" t="n">
        <v>45590</v>
      </c>
      <c r="C814" s="1" t="n">
        <v>45635</v>
      </c>
      <c r="D814" t="inlineStr">
        <is>
          <t>UPPSALA LÄN</t>
        </is>
      </c>
      <c r="E814" t="inlineStr">
        <is>
          <t>ENKÖPING</t>
        </is>
      </c>
      <c r="F814" t="inlineStr">
        <is>
          <t>Allmännings- och besparingsskogar</t>
        </is>
      </c>
      <c r="G814" t="n">
        <v>7.8</v>
      </c>
      <c r="H814" t="n">
        <v>0</v>
      </c>
      <c r="I814" t="n">
        <v>0</v>
      </c>
      <c r="J814" t="n">
        <v>0</v>
      </c>
      <c r="K814" t="n">
        <v>0</v>
      </c>
      <c r="L814" t="n">
        <v>0</v>
      </c>
      <c r="M814" t="n">
        <v>0</v>
      </c>
      <c r="N814" t="n">
        <v>0</v>
      </c>
      <c r="O814" t="n">
        <v>0</v>
      </c>
      <c r="P814" t="n">
        <v>0</v>
      </c>
      <c r="Q814" t="n">
        <v>0</v>
      </c>
      <c r="R814" s="2" t="inlineStr"/>
    </row>
    <row r="815" ht="15" customHeight="1">
      <c r="A815" t="inlineStr">
        <is>
          <t>A 48447-2024</t>
        </is>
      </c>
      <c r="B815" s="1" t="n">
        <v>45590</v>
      </c>
      <c r="C815" s="1" t="n">
        <v>45635</v>
      </c>
      <c r="D815" t="inlineStr">
        <is>
          <t>UPPSALA LÄN</t>
        </is>
      </c>
      <c r="E815" t="inlineStr">
        <is>
          <t>ENKÖPING</t>
        </is>
      </c>
      <c r="F815" t="inlineStr">
        <is>
          <t>Allmännings- och besparingsskogar</t>
        </is>
      </c>
      <c r="G815" t="n">
        <v>3.7</v>
      </c>
      <c r="H815" t="n">
        <v>0</v>
      </c>
      <c r="I815" t="n">
        <v>0</v>
      </c>
      <c r="J815" t="n">
        <v>0</v>
      </c>
      <c r="K815" t="n">
        <v>0</v>
      </c>
      <c r="L815" t="n">
        <v>0</v>
      </c>
      <c r="M815" t="n">
        <v>0</v>
      </c>
      <c r="N815" t="n">
        <v>0</v>
      </c>
      <c r="O815" t="n">
        <v>0</v>
      </c>
      <c r="P815" t="n">
        <v>0</v>
      </c>
      <c r="Q815" t="n">
        <v>0</v>
      </c>
      <c r="R815" s="2" t="inlineStr"/>
    </row>
    <row r="816" ht="15" customHeight="1">
      <c r="A816" t="inlineStr">
        <is>
          <t>A 49063-2024</t>
        </is>
      </c>
      <c r="B816" s="1" t="n">
        <v>45594</v>
      </c>
      <c r="C816" s="1" t="n">
        <v>45635</v>
      </c>
      <c r="D816" t="inlineStr">
        <is>
          <t>UPPSALA LÄN</t>
        </is>
      </c>
      <c r="E816" t="inlineStr">
        <is>
          <t>ENKÖPING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49340-2024</t>
        </is>
      </c>
      <c r="B817" s="1" t="n">
        <v>45595</v>
      </c>
      <c r="C817" s="1" t="n">
        <v>45635</v>
      </c>
      <c r="D817" t="inlineStr">
        <is>
          <t>UPPSALA LÄN</t>
        </is>
      </c>
      <c r="E817" t="inlineStr">
        <is>
          <t>ENKÖPING</t>
        </is>
      </c>
      <c r="G817" t="n">
        <v>2.8</v>
      </c>
      <c r="H817" t="n">
        <v>0</v>
      </c>
      <c r="I817" t="n">
        <v>0</v>
      </c>
      <c r="J817" t="n">
        <v>0</v>
      </c>
      <c r="K817" t="n">
        <v>0</v>
      </c>
      <c r="L817" t="n">
        <v>0</v>
      </c>
      <c r="M817" t="n">
        <v>0</v>
      </c>
      <c r="N817" t="n">
        <v>0</v>
      </c>
      <c r="O817" t="n">
        <v>0</v>
      </c>
      <c r="P817" t="n">
        <v>0</v>
      </c>
      <c r="Q817" t="n">
        <v>0</v>
      </c>
      <c r="R817" s="2" t="inlineStr"/>
    </row>
    <row r="818" ht="15" customHeight="1">
      <c r="A818" t="inlineStr">
        <is>
          <t>A 49601-2024</t>
        </is>
      </c>
      <c r="B818" s="1" t="n">
        <v>45596</v>
      </c>
      <c r="C818" s="1" t="n">
        <v>45635</v>
      </c>
      <c r="D818" t="inlineStr">
        <is>
          <t>UPPSALA LÄN</t>
        </is>
      </c>
      <c r="E818" t="inlineStr">
        <is>
          <t>ENKÖPING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49614-2024</t>
        </is>
      </c>
      <c r="B819" s="1" t="n">
        <v>45596</v>
      </c>
      <c r="C819" s="1" t="n">
        <v>45635</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49623-2024</t>
        </is>
      </c>
      <c r="B820" s="1" t="n">
        <v>45596</v>
      </c>
      <c r="C820" s="1" t="n">
        <v>45635</v>
      </c>
      <c r="D820" t="inlineStr">
        <is>
          <t>UPPSALA LÄN</t>
        </is>
      </c>
      <c r="E820" t="inlineStr">
        <is>
          <t>ENKÖPING</t>
        </is>
      </c>
      <c r="G820" t="n">
        <v>1.8</v>
      </c>
      <c r="H820" t="n">
        <v>0</v>
      </c>
      <c r="I820" t="n">
        <v>0</v>
      </c>
      <c r="J820" t="n">
        <v>0</v>
      </c>
      <c r="K820" t="n">
        <v>0</v>
      </c>
      <c r="L820" t="n">
        <v>0</v>
      </c>
      <c r="M820" t="n">
        <v>0</v>
      </c>
      <c r="N820" t="n">
        <v>0</v>
      </c>
      <c r="O820" t="n">
        <v>0</v>
      </c>
      <c r="P820" t="n">
        <v>0</v>
      </c>
      <c r="Q820" t="n">
        <v>0</v>
      </c>
      <c r="R820" s="2" t="inlineStr"/>
    </row>
    <row r="821" ht="15" customHeight="1">
      <c r="A821" t="inlineStr">
        <is>
          <t>A 49627-2024</t>
        </is>
      </c>
      <c r="B821" s="1" t="n">
        <v>45596</v>
      </c>
      <c r="C821" s="1" t="n">
        <v>45635</v>
      </c>
      <c r="D821" t="inlineStr">
        <is>
          <t>UPPSALA LÄN</t>
        </is>
      </c>
      <c r="E821" t="inlineStr">
        <is>
          <t>ENKÖPING</t>
        </is>
      </c>
      <c r="G821" t="n">
        <v>0.4</v>
      </c>
      <c r="H821" t="n">
        <v>0</v>
      </c>
      <c r="I821" t="n">
        <v>0</v>
      </c>
      <c r="J821" t="n">
        <v>0</v>
      </c>
      <c r="K821" t="n">
        <v>0</v>
      </c>
      <c r="L821" t="n">
        <v>0</v>
      </c>
      <c r="M821" t="n">
        <v>0</v>
      </c>
      <c r="N821" t="n">
        <v>0</v>
      </c>
      <c r="O821" t="n">
        <v>0</v>
      </c>
      <c r="P821" t="n">
        <v>0</v>
      </c>
      <c r="Q821" t="n">
        <v>0</v>
      </c>
      <c r="R821" s="2" t="inlineStr"/>
    </row>
    <row r="822" ht="15" customHeight="1">
      <c r="A822" t="inlineStr">
        <is>
          <t>A 49632-2024</t>
        </is>
      </c>
      <c r="B822" s="1" t="n">
        <v>45596</v>
      </c>
      <c r="C822" s="1" t="n">
        <v>45635</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49597-2024</t>
        </is>
      </c>
      <c r="B823" s="1" t="n">
        <v>45596</v>
      </c>
      <c r="C823" s="1" t="n">
        <v>45635</v>
      </c>
      <c r="D823" t="inlineStr">
        <is>
          <t>UPPSALA LÄN</t>
        </is>
      </c>
      <c r="E823" t="inlineStr">
        <is>
          <t>ENKÖPING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49613-2024</t>
        </is>
      </c>
      <c r="B824" s="1" t="n">
        <v>45596</v>
      </c>
      <c r="C824" s="1" t="n">
        <v>45635</v>
      </c>
      <c r="D824" t="inlineStr">
        <is>
          <t>UPPSALA LÄN</t>
        </is>
      </c>
      <c r="E824" t="inlineStr">
        <is>
          <t>ENKÖPING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49622-2024</t>
        </is>
      </c>
      <c r="B825" s="1" t="n">
        <v>45596</v>
      </c>
      <c r="C825" s="1" t="n">
        <v>45635</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49617-2024</t>
        </is>
      </c>
      <c r="B826" s="1" t="n">
        <v>45596</v>
      </c>
      <c r="C826" s="1" t="n">
        <v>45635</v>
      </c>
      <c r="D826" t="inlineStr">
        <is>
          <t>UPPSALA LÄN</t>
        </is>
      </c>
      <c r="E826" t="inlineStr">
        <is>
          <t>ENKÖPING</t>
        </is>
      </c>
      <c r="G826" t="n">
        <v>3.5</v>
      </c>
      <c r="H826" t="n">
        <v>0</v>
      </c>
      <c r="I826" t="n">
        <v>0</v>
      </c>
      <c r="J826" t="n">
        <v>0</v>
      </c>
      <c r="K826" t="n">
        <v>0</v>
      </c>
      <c r="L826" t="n">
        <v>0</v>
      </c>
      <c r="M826" t="n">
        <v>0</v>
      </c>
      <c r="N826" t="n">
        <v>0</v>
      </c>
      <c r="O826" t="n">
        <v>0</v>
      </c>
      <c r="P826" t="n">
        <v>0</v>
      </c>
      <c r="Q826" t="n">
        <v>0</v>
      </c>
      <c r="R826" s="2" t="inlineStr"/>
    </row>
    <row r="827" ht="15" customHeight="1">
      <c r="A827" t="inlineStr">
        <is>
          <t>A 49625-2024</t>
        </is>
      </c>
      <c r="B827" s="1" t="n">
        <v>45596</v>
      </c>
      <c r="C827" s="1" t="n">
        <v>45635</v>
      </c>
      <c r="D827" t="inlineStr">
        <is>
          <t>UPPSALA LÄN</t>
        </is>
      </c>
      <c r="E827" t="inlineStr">
        <is>
          <t>ENKÖPING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49637-2024</t>
        </is>
      </c>
      <c r="B828" s="1" t="n">
        <v>45596</v>
      </c>
      <c r="C828" s="1" t="n">
        <v>45635</v>
      </c>
      <c r="D828" t="inlineStr">
        <is>
          <t>UPPSALA LÄN</t>
        </is>
      </c>
      <c r="E828" t="inlineStr">
        <is>
          <t>ENKÖPING</t>
        </is>
      </c>
      <c r="G828" t="n">
        <v>4.9</v>
      </c>
      <c r="H828" t="n">
        <v>0</v>
      </c>
      <c r="I828" t="n">
        <v>0</v>
      </c>
      <c r="J828" t="n">
        <v>0</v>
      </c>
      <c r="K828" t="n">
        <v>0</v>
      </c>
      <c r="L828" t="n">
        <v>0</v>
      </c>
      <c r="M828" t="n">
        <v>0</v>
      </c>
      <c r="N828" t="n">
        <v>0</v>
      </c>
      <c r="O828" t="n">
        <v>0</v>
      </c>
      <c r="P828" t="n">
        <v>0</v>
      </c>
      <c r="Q828" t="n">
        <v>0</v>
      </c>
      <c r="R828" s="2" t="inlineStr"/>
    </row>
    <row r="829" ht="15" customHeight="1">
      <c r="A829" t="inlineStr">
        <is>
          <t>A 50394-2024</t>
        </is>
      </c>
      <c r="B829" s="1" t="n">
        <v>45600</v>
      </c>
      <c r="C829" s="1" t="n">
        <v>45635</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50248-2024</t>
        </is>
      </c>
      <c r="B830" s="1" t="n">
        <v>45600</v>
      </c>
      <c r="C830" s="1" t="n">
        <v>45635</v>
      </c>
      <c r="D830" t="inlineStr">
        <is>
          <t>UPPSALA LÄN</t>
        </is>
      </c>
      <c r="E830" t="inlineStr">
        <is>
          <t>ENKÖPING</t>
        </is>
      </c>
      <c r="G830" t="n">
        <v>1.3</v>
      </c>
      <c r="H830" t="n">
        <v>0</v>
      </c>
      <c r="I830" t="n">
        <v>0</v>
      </c>
      <c r="J830" t="n">
        <v>0</v>
      </c>
      <c r="K830" t="n">
        <v>0</v>
      </c>
      <c r="L830" t="n">
        <v>0</v>
      </c>
      <c r="M830" t="n">
        <v>0</v>
      </c>
      <c r="N830" t="n">
        <v>0</v>
      </c>
      <c r="O830" t="n">
        <v>0</v>
      </c>
      <c r="P830" t="n">
        <v>0</v>
      </c>
      <c r="Q830" t="n">
        <v>0</v>
      </c>
      <c r="R830" s="2" t="inlineStr"/>
    </row>
    <row r="831" ht="15" customHeight="1">
      <c r="A831" t="inlineStr">
        <is>
          <t>A 50247-2024</t>
        </is>
      </c>
      <c r="B831" s="1" t="n">
        <v>45600</v>
      </c>
      <c r="C831" s="1" t="n">
        <v>45635</v>
      </c>
      <c r="D831" t="inlineStr">
        <is>
          <t>UPPSALA LÄN</t>
        </is>
      </c>
      <c r="E831" t="inlineStr">
        <is>
          <t>ENKÖPING</t>
        </is>
      </c>
      <c r="G831" t="n">
        <v>0.5</v>
      </c>
      <c r="H831" t="n">
        <v>0</v>
      </c>
      <c r="I831" t="n">
        <v>0</v>
      </c>
      <c r="J831" t="n">
        <v>0</v>
      </c>
      <c r="K831" t="n">
        <v>0</v>
      </c>
      <c r="L831" t="n">
        <v>0</v>
      </c>
      <c r="M831" t="n">
        <v>0</v>
      </c>
      <c r="N831" t="n">
        <v>0</v>
      </c>
      <c r="O831" t="n">
        <v>0</v>
      </c>
      <c r="P831" t="n">
        <v>0</v>
      </c>
      <c r="Q831" t="n">
        <v>0</v>
      </c>
      <c r="R831" s="2" t="inlineStr"/>
    </row>
    <row r="832" ht="15" customHeight="1">
      <c r="A832" t="inlineStr">
        <is>
          <t>A 51010-2024</t>
        </is>
      </c>
      <c r="B832" s="1" t="n">
        <v>45603</v>
      </c>
      <c r="C832" s="1" t="n">
        <v>45635</v>
      </c>
      <c r="D832" t="inlineStr">
        <is>
          <t>UPPSALA LÄN</t>
        </is>
      </c>
      <c r="E832" t="inlineStr">
        <is>
          <t>ENKÖPING</t>
        </is>
      </c>
      <c r="G832" t="n">
        <v>1.7</v>
      </c>
      <c r="H832" t="n">
        <v>0</v>
      </c>
      <c r="I832" t="n">
        <v>0</v>
      </c>
      <c r="J832" t="n">
        <v>0</v>
      </c>
      <c r="K832" t="n">
        <v>0</v>
      </c>
      <c r="L832" t="n">
        <v>0</v>
      </c>
      <c r="M832" t="n">
        <v>0</v>
      </c>
      <c r="N832" t="n">
        <v>0</v>
      </c>
      <c r="O832" t="n">
        <v>0</v>
      </c>
      <c r="P832" t="n">
        <v>0</v>
      </c>
      <c r="Q832" t="n">
        <v>0</v>
      </c>
      <c r="R832" s="2" t="inlineStr"/>
    </row>
    <row r="833" ht="15" customHeight="1">
      <c r="A833" t="inlineStr">
        <is>
          <t>A 51030-2024</t>
        </is>
      </c>
      <c r="B833" s="1" t="n">
        <v>45603</v>
      </c>
      <c r="C833" s="1" t="n">
        <v>45635</v>
      </c>
      <c r="D833" t="inlineStr">
        <is>
          <t>UPPSALA LÄN</t>
        </is>
      </c>
      <c r="E833" t="inlineStr">
        <is>
          <t>ENKÖPING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51034-2024</t>
        </is>
      </c>
      <c r="B834" s="1" t="n">
        <v>45603</v>
      </c>
      <c r="C834" s="1" t="n">
        <v>45635</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51042-2024</t>
        </is>
      </c>
      <c r="B835" s="1" t="n">
        <v>45603</v>
      </c>
      <c r="C835" s="1" t="n">
        <v>45635</v>
      </c>
      <c r="D835" t="inlineStr">
        <is>
          <t>UPPSALA LÄN</t>
        </is>
      </c>
      <c r="E835" t="inlineStr">
        <is>
          <t>ENKÖPING</t>
        </is>
      </c>
      <c r="G835" t="n">
        <v>4.6</v>
      </c>
      <c r="H835" t="n">
        <v>0</v>
      </c>
      <c r="I835" t="n">
        <v>0</v>
      </c>
      <c r="J835" t="n">
        <v>0</v>
      </c>
      <c r="K835" t="n">
        <v>0</v>
      </c>
      <c r="L835" t="n">
        <v>0</v>
      </c>
      <c r="M835" t="n">
        <v>0</v>
      </c>
      <c r="N835" t="n">
        <v>0</v>
      </c>
      <c r="O835" t="n">
        <v>0</v>
      </c>
      <c r="P835" t="n">
        <v>0</v>
      </c>
      <c r="Q835" t="n">
        <v>0</v>
      </c>
      <c r="R835" s="2" t="inlineStr"/>
    </row>
    <row r="836" ht="15" customHeight="1">
      <c r="A836" t="inlineStr">
        <is>
          <t>A 51011-2024</t>
        </is>
      </c>
      <c r="B836" s="1" t="n">
        <v>45603</v>
      </c>
      <c r="C836" s="1" t="n">
        <v>45635</v>
      </c>
      <c r="D836" t="inlineStr">
        <is>
          <t>UPPSALA LÄN</t>
        </is>
      </c>
      <c r="E836" t="inlineStr">
        <is>
          <t>ENKÖPING</t>
        </is>
      </c>
      <c r="G836" t="n">
        <v>0.5</v>
      </c>
      <c r="H836" t="n">
        <v>0</v>
      </c>
      <c r="I836" t="n">
        <v>0</v>
      </c>
      <c r="J836" t="n">
        <v>0</v>
      </c>
      <c r="K836" t="n">
        <v>0</v>
      </c>
      <c r="L836" t="n">
        <v>0</v>
      </c>
      <c r="M836" t="n">
        <v>0</v>
      </c>
      <c r="N836" t="n">
        <v>0</v>
      </c>
      <c r="O836" t="n">
        <v>0</v>
      </c>
      <c r="P836" t="n">
        <v>0</v>
      </c>
      <c r="Q836" t="n">
        <v>0</v>
      </c>
      <c r="R836" s="2" t="inlineStr"/>
    </row>
    <row r="837" ht="15" customHeight="1">
      <c r="A837" t="inlineStr">
        <is>
          <t>A 51027-2024</t>
        </is>
      </c>
      <c r="B837" s="1" t="n">
        <v>45603</v>
      </c>
      <c r="C837" s="1" t="n">
        <v>45635</v>
      </c>
      <c r="D837" t="inlineStr">
        <is>
          <t>UPPSALA LÄN</t>
        </is>
      </c>
      <c r="E837" t="inlineStr">
        <is>
          <t>ENKÖPING</t>
        </is>
      </c>
      <c r="G837" t="n">
        <v>3.5</v>
      </c>
      <c r="H837" t="n">
        <v>0</v>
      </c>
      <c r="I837" t="n">
        <v>0</v>
      </c>
      <c r="J837" t="n">
        <v>0</v>
      </c>
      <c r="K837" t="n">
        <v>0</v>
      </c>
      <c r="L837" t="n">
        <v>0</v>
      </c>
      <c r="M837" t="n">
        <v>0</v>
      </c>
      <c r="N837" t="n">
        <v>0</v>
      </c>
      <c r="O837" t="n">
        <v>0</v>
      </c>
      <c r="P837" t="n">
        <v>0</v>
      </c>
      <c r="Q837" t="n">
        <v>0</v>
      </c>
      <c r="R837" s="2" t="inlineStr"/>
    </row>
    <row r="838" ht="15" customHeight="1">
      <c r="A838" t="inlineStr">
        <is>
          <t>A 51008-2024</t>
        </is>
      </c>
      <c r="B838" s="1" t="n">
        <v>45603</v>
      </c>
      <c r="C838" s="1" t="n">
        <v>45635</v>
      </c>
      <c r="D838" t="inlineStr">
        <is>
          <t>UPPSALA LÄN</t>
        </is>
      </c>
      <c r="E838" t="inlineStr">
        <is>
          <t>ENKÖPING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51012-2024</t>
        </is>
      </c>
      <c r="B839" s="1" t="n">
        <v>45603</v>
      </c>
      <c r="C839" s="1" t="n">
        <v>45635</v>
      </c>
      <c r="D839" t="inlineStr">
        <is>
          <t>UPPSALA LÄN</t>
        </is>
      </c>
      <c r="E839" t="inlineStr">
        <is>
          <t>ENKÖPING</t>
        </is>
      </c>
      <c r="G839" t="n">
        <v>2.7</v>
      </c>
      <c r="H839" t="n">
        <v>0</v>
      </c>
      <c r="I839" t="n">
        <v>0</v>
      </c>
      <c r="J839" t="n">
        <v>0</v>
      </c>
      <c r="K839" t="n">
        <v>0</v>
      </c>
      <c r="L839" t="n">
        <v>0</v>
      </c>
      <c r="M839" t="n">
        <v>0</v>
      </c>
      <c r="N839" t="n">
        <v>0</v>
      </c>
      <c r="O839" t="n">
        <v>0</v>
      </c>
      <c r="P839" t="n">
        <v>0</v>
      </c>
      <c r="Q839" t="n">
        <v>0</v>
      </c>
      <c r="R839" s="2" t="inlineStr"/>
    </row>
    <row r="840" ht="15" customHeight="1">
      <c r="A840" t="inlineStr">
        <is>
          <t>A 51036-2024</t>
        </is>
      </c>
      <c r="B840" s="1" t="n">
        <v>45603</v>
      </c>
      <c r="C840" s="1" t="n">
        <v>45635</v>
      </c>
      <c r="D840" t="inlineStr">
        <is>
          <t>UPPSALA LÄN</t>
        </is>
      </c>
      <c r="E840" t="inlineStr">
        <is>
          <t>ENKÖPING</t>
        </is>
      </c>
      <c r="G840" t="n">
        <v>2.6</v>
      </c>
      <c r="H840" t="n">
        <v>0</v>
      </c>
      <c r="I840" t="n">
        <v>0</v>
      </c>
      <c r="J840" t="n">
        <v>0</v>
      </c>
      <c r="K840" t="n">
        <v>0</v>
      </c>
      <c r="L840" t="n">
        <v>0</v>
      </c>
      <c r="M840" t="n">
        <v>0</v>
      </c>
      <c r="N840" t="n">
        <v>0</v>
      </c>
      <c r="O840" t="n">
        <v>0</v>
      </c>
      <c r="P840" t="n">
        <v>0</v>
      </c>
      <c r="Q840" t="n">
        <v>0</v>
      </c>
      <c r="R840" s="2" t="inlineStr"/>
    </row>
    <row r="841" ht="15" customHeight="1">
      <c r="A841" t="inlineStr">
        <is>
          <t>A 51037-2024</t>
        </is>
      </c>
      <c r="B841" s="1" t="n">
        <v>45603</v>
      </c>
      <c r="C841" s="1" t="n">
        <v>45635</v>
      </c>
      <c r="D841" t="inlineStr">
        <is>
          <t>UPPSALA LÄN</t>
        </is>
      </c>
      <c r="E841" t="inlineStr">
        <is>
          <t>ENKÖPING</t>
        </is>
      </c>
      <c r="G841" t="n">
        <v>5.7</v>
      </c>
      <c r="H841" t="n">
        <v>0</v>
      </c>
      <c r="I841" t="n">
        <v>0</v>
      </c>
      <c r="J841" t="n">
        <v>0</v>
      </c>
      <c r="K841" t="n">
        <v>0</v>
      </c>
      <c r="L841" t="n">
        <v>0</v>
      </c>
      <c r="M841" t="n">
        <v>0</v>
      </c>
      <c r="N841" t="n">
        <v>0</v>
      </c>
      <c r="O841" t="n">
        <v>0</v>
      </c>
      <c r="P841" t="n">
        <v>0</v>
      </c>
      <c r="Q841" t="n">
        <v>0</v>
      </c>
      <c r="R841" s="2" t="inlineStr"/>
    </row>
    <row r="842" ht="15" customHeight="1">
      <c r="A842" t="inlineStr">
        <is>
          <t>A 52005-2024</t>
        </is>
      </c>
      <c r="B842" s="1" t="n">
        <v>45607</v>
      </c>
      <c r="C842" s="1" t="n">
        <v>45635</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52219-2024</t>
        </is>
      </c>
      <c r="B843" s="1" t="n">
        <v>45608</v>
      </c>
      <c r="C843" s="1" t="n">
        <v>45635</v>
      </c>
      <c r="D843" t="inlineStr">
        <is>
          <t>UPPSALA LÄN</t>
        </is>
      </c>
      <c r="E843" t="inlineStr">
        <is>
          <t>ENKÖPING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52388-2024</t>
        </is>
      </c>
      <c r="B844" s="1" t="n">
        <v>45609</v>
      </c>
      <c r="C844" s="1" t="n">
        <v>45635</v>
      </c>
      <c r="D844" t="inlineStr">
        <is>
          <t>UPPSALA LÄN</t>
        </is>
      </c>
      <c r="E844" t="inlineStr">
        <is>
          <t>ENKÖPING</t>
        </is>
      </c>
      <c r="G844" t="n">
        <v>1.8</v>
      </c>
      <c r="H844" t="n">
        <v>0</v>
      </c>
      <c r="I844" t="n">
        <v>0</v>
      </c>
      <c r="J844" t="n">
        <v>0</v>
      </c>
      <c r="K844" t="n">
        <v>0</v>
      </c>
      <c r="L844" t="n">
        <v>0</v>
      </c>
      <c r="M844" t="n">
        <v>0</v>
      </c>
      <c r="N844" t="n">
        <v>0</v>
      </c>
      <c r="O844" t="n">
        <v>0</v>
      </c>
      <c r="P844" t="n">
        <v>0</v>
      </c>
      <c r="Q844" t="n">
        <v>0</v>
      </c>
      <c r="R844" s="2" t="inlineStr"/>
    </row>
    <row r="845" ht="15" customHeight="1">
      <c r="A845" t="inlineStr">
        <is>
          <t>A 52380-2024</t>
        </is>
      </c>
      <c r="B845" s="1" t="n">
        <v>45609</v>
      </c>
      <c r="C845" s="1" t="n">
        <v>45635</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53348-2024</t>
        </is>
      </c>
      <c r="B846" s="1" t="n">
        <v>45614</v>
      </c>
      <c r="C846" s="1" t="n">
        <v>45635</v>
      </c>
      <c r="D846" t="inlineStr">
        <is>
          <t>UPPSALA LÄN</t>
        </is>
      </c>
      <c r="E846" t="inlineStr">
        <is>
          <t>ENKÖPING</t>
        </is>
      </c>
      <c r="G846" t="n">
        <v>6.2</v>
      </c>
      <c r="H846" t="n">
        <v>0</v>
      </c>
      <c r="I846" t="n">
        <v>0</v>
      </c>
      <c r="J846" t="n">
        <v>0</v>
      </c>
      <c r="K846" t="n">
        <v>0</v>
      </c>
      <c r="L846" t="n">
        <v>0</v>
      </c>
      <c r="M846" t="n">
        <v>0</v>
      </c>
      <c r="N846" t="n">
        <v>0</v>
      </c>
      <c r="O846" t="n">
        <v>0</v>
      </c>
      <c r="P846" t="n">
        <v>0</v>
      </c>
      <c r="Q846" t="n">
        <v>0</v>
      </c>
      <c r="R846" s="2" t="inlineStr"/>
    </row>
    <row r="847" ht="15" customHeight="1">
      <c r="A847" t="inlineStr">
        <is>
          <t>A 53557-2024</t>
        </is>
      </c>
      <c r="B847" s="1" t="n">
        <v>45614</v>
      </c>
      <c r="C847" s="1" t="n">
        <v>45635</v>
      </c>
      <c r="D847" t="inlineStr">
        <is>
          <t>UPPSALA LÄN</t>
        </is>
      </c>
      <c r="E847" t="inlineStr">
        <is>
          <t>ENKÖPING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45635</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45635</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45635</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54010-2024</t>
        </is>
      </c>
      <c r="B851" s="1" t="n">
        <v>45616</v>
      </c>
      <c r="C851" s="1" t="n">
        <v>45635</v>
      </c>
      <c r="D851" t="inlineStr">
        <is>
          <t>UPPSALA LÄN</t>
        </is>
      </c>
      <c r="E851" t="inlineStr">
        <is>
          <t>ENKÖPING</t>
        </is>
      </c>
      <c r="G851" t="n">
        <v>2</v>
      </c>
      <c r="H851" t="n">
        <v>0</v>
      </c>
      <c r="I851" t="n">
        <v>0</v>
      </c>
      <c r="J851" t="n">
        <v>0</v>
      </c>
      <c r="K851" t="n">
        <v>0</v>
      </c>
      <c r="L851" t="n">
        <v>0</v>
      </c>
      <c r="M851" t="n">
        <v>0</v>
      </c>
      <c r="N851" t="n">
        <v>0</v>
      </c>
      <c r="O851" t="n">
        <v>0</v>
      </c>
      <c r="P851" t="n">
        <v>0</v>
      </c>
      <c r="Q851" t="n">
        <v>0</v>
      </c>
      <c r="R851" s="2" t="inlineStr"/>
    </row>
    <row r="852" ht="15" customHeight="1">
      <c r="A852" t="inlineStr">
        <is>
          <t>A 54588-2024</t>
        </is>
      </c>
      <c r="B852" s="1" t="n">
        <v>45617</v>
      </c>
      <c r="C852" s="1" t="n">
        <v>45635</v>
      </c>
      <c r="D852" t="inlineStr">
        <is>
          <t>UPPSALA LÄN</t>
        </is>
      </c>
      <c r="E852" t="inlineStr">
        <is>
          <t>ENKÖPING</t>
        </is>
      </c>
      <c r="G852" t="n">
        <v>3.7</v>
      </c>
      <c r="H852" t="n">
        <v>0</v>
      </c>
      <c r="I852" t="n">
        <v>0</v>
      </c>
      <c r="J852" t="n">
        <v>0</v>
      </c>
      <c r="K852" t="n">
        <v>0</v>
      </c>
      <c r="L852" t="n">
        <v>0</v>
      </c>
      <c r="M852" t="n">
        <v>0</v>
      </c>
      <c r="N852" t="n">
        <v>0</v>
      </c>
      <c r="O852" t="n">
        <v>0</v>
      </c>
      <c r="P852" t="n">
        <v>0</v>
      </c>
      <c r="Q852" t="n">
        <v>0</v>
      </c>
      <c r="R852" s="2" t="inlineStr"/>
    </row>
    <row r="853" ht="15" customHeight="1">
      <c r="A853" t="inlineStr">
        <is>
          <t>A 54776-2024</t>
        </is>
      </c>
      <c r="B853" s="1" t="n">
        <v>45618</v>
      </c>
      <c r="C853" s="1" t="n">
        <v>45635</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55876-2024</t>
        </is>
      </c>
      <c r="B854" s="1" t="n">
        <v>45623</v>
      </c>
      <c r="C854" s="1" t="n">
        <v>45635</v>
      </c>
      <c r="D854" t="inlineStr">
        <is>
          <t>UPPSALA LÄN</t>
        </is>
      </c>
      <c r="E854" t="inlineStr">
        <is>
          <t>ENKÖPING</t>
        </is>
      </c>
      <c r="G854" t="n">
        <v>0.7</v>
      </c>
      <c r="H854" t="n">
        <v>0</v>
      </c>
      <c r="I854" t="n">
        <v>0</v>
      </c>
      <c r="J854" t="n">
        <v>0</v>
      </c>
      <c r="K854" t="n">
        <v>0</v>
      </c>
      <c r="L854" t="n">
        <v>0</v>
      </c>
      <c r="M854" t="n">
        <v>0</v>
      </c>
      <c r="N854" t="n">
        <v>0</v>
      </c>
      <c r="O854" t="n">
        <v>0</v>
      </c>
      <c r="P854" t="n">
        <v>0</v>
      </c>
      <c r="Q854" t="n">
        <v>0</v>
      </c>
      <c r="R854" s="2" t="inlineStr"/>
    </row>
    <row r="855" ht="15" customHeight="1">
      <c r="A855" t="inlineStr">
        <is>
          <t>A 55862-2024</t>
        </is>
      </c>
      <c r="B855" s="1" t="n">
        <v>45623</v>
      </c>
      <c r="C855" s="1" t="n">
        <v>45635</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45635</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56225-2024</t>
        </is>
      </c>
      <c r="B857" s="1" t="n">
        <v>45624</v>
      </c>
      <c r="C857" s="1" t="n">
        <v>45635</v>
      </c>
      <c r="D857" t="inlineStr">
        <is>
          <t>UPPSALA LÄN</t>
        </is>
      </c>
      <c r="E857" t="inlineStr">
        <is>
          <t>ENKÖPING</t>
        </is>
      </c>
      <c r="G857" t="n">
        <v>11.7</v>
      </c>
      <c r="H857" t="n">
        <v>0</v>
      </c>
      <c r="I857" t="n">
        <v>0</v>
      </c>
      <c r="J857" t="n">
        <v>0</v>
      </c>
      <c r="K857" t="n">
        <v>0</v>
      </c>
      <c r="L857" t="n">
        <v>0</v>
      </c>
      <c r="M857" t="n">
        <v>0</v>
      </c>
      <c r="N857" t="n">
        <v>0</v>
      </c>
      <c r="O857" t="n">
        <v>0</v>
      </c>
      <c r="P857" t="n">
        <v>0</v>
      </c>
      <c r="Q857" t="n">
        <v>0</v>
      </c>
      <c r="R857" s="2" t="inlineStr"/>
    </row>
    <row r="858" ht="15" customHeight="1">
      <c r="A858" t="inlineStr">
        <is>
          <t>A 56713-2024</t>
        </is>
      </c>
      <c r="B858" s="1" t="n">
        <v>45628</v>
      </c>
      <c r="C858" s="1" t="n">
        <v>45635</v>
      </c>
      <c r="D858" t="inlineStr">
        <is>
          <t>UPPSALA LÄN</t>
        </is>
      </c>
      <c r="E858" t="inlineStr">
        <is>
          <t>ENKÖPING</t>
        </is>
      </c>
      <c r="G858" t="n">
        <v>1.7</v>
      </c>
      <c r="H858" t="n">
        <v>0</v>
      </c>
      <c r="I858" t="n">
        <v>0</v>
      </c>
      <c r="J858" t="n">
        <v>0</v>
      </c>
      <c r="K858" t="n">
        <v>0</v>
      </c>
      <c r="L858" t="n">
        <v>0</v>
      </c>
      <c r="M858" t="n">
        <v>0</v>
      </c>
      <c r="N858" t="n">
        <v>0</v>
      </c>
      <c r="O858" t="n">
        <v>0</v>
      </c>
      <c r="P858" t="n">
        <v>0</v>
      </c>
      <c r="Q858" t="n">
        <v>0</v>
      </c>
      <c r="R858" s="2" t="inlineStr"/>
    </row>
    <row r="859" ht="15" customHeight="1">
      <c r="A859" t="inlineStr">
        <is>
          <t>A 56837-2024</t>
        </is>
      </c>
      <c r="B859" s="1" t="n">
        <v>45628</v>
      </c>
      <c r="C859" s="1" t="n">
        <v>45635</v>
      </c>
      <c r="D859" t="inlineStr">
        <is>
          <t>UPPSALA LÄN</t>
        </is>
      </c>
      <c r="E859" t="inlineStr">
        <is>
          <t>ENKÖPING</t>
        </is>
      </c>
      <c r="G859" t="n">
        <v>2.2</v>
      </c>
      <c r="H859" t="n">
        <v>0</v>
      </c>
      <c r="I859" t="n">
        <v>0</v>
      </c>
      <c r="J859" t="n">
        <v>0</v>
      </c>
      <c r="K859" t="n">
        <v>0</v>
      </c>
      <c r="L859" t="n">
        <v>0</v>
      </c>
      <c r="M859" t="n">
        <v>0</v>
      </c>
      <c r="N859" t="n">
        <v>0</v>
      </c>
      <c r="O859" t="n">
        <v>0</v>
      </c>
      <c r="P859" t="n">
        <v>0</v>
      </c>
      <c r="Q859" t="n">
        <v>0</v>
      </c>
      <c r="R859" s="2" t="inlineStr"/>
    </row>
    <row r="860" ht="15" customHeight="1">
      <c r="A860" t="inlineStr">
        <is>
          <t>A 57209-2024</t>
        </is>
      </c>
      <c r="B860" s="1" t="n">
        <v>45629</v>
      </c>
      <c r="C860" s="1" t="n">
        <v>45635</v>
      </c>
      <c r="D860" t="inlineStr">
        <is>
          <t>UPPSALA LÄN</t>
        </is>
      </c>
      <c r="E860" t="inlineStr">
        <is>
          <t>ENKÖPING</t>
        </is>
      </c>
      <c r="G860" t="n">
        <v>3.2</v>
      </c>
      <c r="H860" t="n">
        <v>0</v>
      </c>
      <c r="I860" t="n">
        <v>0</v>
      </c>
      <c r="J860" t="n">
        <v>0</v>
      </c>
      <c r="K860" t="n">
        <v>0</v>
      </c>
      <c r="L860" t="n">
        <v>0</v>
      </c>
      <c r="M860" t="n">
        <v>0</v>
      </c>
      <c r="N860" t="n">
        <v>0</v>
      </c>
      <c r="O860" t="n">
        <v>0</v>
      </c>
      <c r="P860" t="n">
        <v>0</v>
      </c>
      <c r="Q860" t="n">
        <v>0</v>
      </c>
      <c r="R860" s="2" t="inlineStr"/>
    </row>
    <row r="861" ht="15" customHeight="1">
      <c r="A861" t="inlineStr">
        <is>
          <t>A 57218-2024</t>
        </is>
      </c>
      <c r="B861" s="1" t="n">
        <v>45629</v>
      </c>
      <c r="C861" s="1" t="n">
        <v>45635</v>
      </c>
      <c r="D861" t="inlineStr">
        <is>
          <t>UPPSALA LÄN</t>
        </is>
      </c>
      <c r="E861" t="inlineStr">
        <is>
          <t>ENKÖPING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57328-2024</t>
        </is>
      </c>
      <c r="B862" s="1" t="n">
        <v>45629</v>
      </c>
      <c r="C862" s="1" t="n">
        <v>45635</v>
      </c>
      <c r="D862" t="inlineStr">
        <is>
          <t>UPPSALA LÄN</t>
        </is>
      </c>
      <c r="E862" t="inlineStr">
        <is>
          <t>ENKÖPING</t>
        </is>
      </c>
      <c r="G862" t="n">
        <v>0.8</v>
      </c>
      <c r="H862" t="n">
        <v>0</v>
      </c>
      <c r="I862" t="n">
        <v>0</v>
      </c>
      <c r="J862" t="n">
        <v>0</v>
      </c>
      <c r="K862" t="n">
        <v>0</v>
      </c>
      <c r="L862" t="n">
        <v>0</v>
      </c>
      <c r="M862" t="n">
        <v>0</v>
      </c>
      <c r="N862" t="n">
        <v>0</v>
      </c>
      <c r="O862" t="n">
        <v>0</v>
      </c>
      <c r="P862" t="n">
        <v>0</v>
      </c>
      <c r="Q862" t="n">
        <v>0</v>
      </c>
      <c r="R862" s="2" t="inlineStr"/>
    </row>
    <row r="863" ht="15" customHeight="1">
      <c r="A863" t="inlineStr">
        <is>
          <t>A 57415-2024</t>
        </is>
      </c>
      <c r="B863" s="1" t="n">
        <v>45629</v>
      </c>
      <c r="C863" s="1" t="n">
        <v>45635</v>
      </c>
      <c r="D863" t="inlineStr">
        <is>
          <t>UPPSALA LÄN</t>
        </is>
      </c>
      <c r="E863" t="inlineStr">
        <is>
          <t>ENKÖPING</t>
        </is>
      </c>
      <c r="F863" t="inlineStr">
        <is>
          <t>Allmännings- och besparingsskogar</t>
        </is>
      </c>
      <c r="G863" t="n">
        <v>11.8</v>
      </c>
      <c r="H863" t="n">
        <v>0</v>
      </c>
      <c r="I863" t="n">
        <v>0</v>
      </c>
      <c r="J863" t="n">
        <v>0</v>
      </c>
      <c r="K863" t="n">
        <v>0</v>
      </c>
      <c r="L863" t="n">
        <v>0</v>
      </c>
      <c r="M863" t="n">
        <v>0</v>
      </c>
      <c r="N863" t="n">
        <v>0</v>
      </c>
      <c r="O863" t="n">
        <v>0</v>
      </c>
      <c r="P863" t="n">
        <v>0</v>
      </c>
      <c r="Q863" t="n">
        <v>0</v>
      </c>
      <c r="R863" s="2" t="inlineStr"/>
    </row>
    <row r="864" ht="15" customHeight="1">
      <c r="A864" t="inlineStr">
        <is>
          <t>A 57215-2024</t>
        </is>
      </c>
      <c r="B864" s="1" t="n">
        <v>45629</v>
      </c>
      <c r="C864" s="1" t="n">
        <v>45635</v>
      </c>
      <c r="D864" t="inlineStr">
        <is>
          <t>UPPSALA LÄN</t>
        </is>
      </c>
      <c r="E864" t="inlineStr">
        <is>
          <t>ENKÖPING</t>
        </is>
      </c>
      <c r="G864" t="n">
        <v>2.4</v>
      </c>
      <c r="H864" t="n">
        <v>0</v>
      </c>
      <c r="I864" t="n">
        <v>0</v>
      </c>
      <c r="J864" t="n">
        <v>0</v>
      </c>
      <c r="K864" t="n">
        <v>0</v>
      </c>
      <c r="L864" t="n">
        <v>0</v>
      </c>
      <c r="M864" t="n">
        <v>0</v>
      </c>
      <c r="N864" t="n">
        <v>0</v>
      </c>
      <c r="O864" t="n">
        <v>0</v>
      </c>
      <c r="P864" t="n">
        <v>0</v>
      </c>
      <c r="Q864" t="n">
        <v>0</v>
      </c>
      <c r="R864" s="2" t="inlineStr"/>
    </row>
    <row r="865" ht="15" customHeight="1">
      <c r="A865" t="inlineStr">
        <is>
          <t>A 57335-2024</t>
        </is>
      </c>
      <c r="B865" s="1" t="n">
        <v>45629</v>
      </c>
      <c r="C865" s="1" t="n">
        <v>45635</v>
      </c>
      <c r="D865" t="inlineStr">
        <is>
          <t>UPPSALA LÄN</t>
        </is>
      </c>
      <c r="E865" t="inlineStr">
        <is>
          <t>ENKÖPING</t>
        </is>
      </c>
      <c r="G865" t="n">
        <v>2.1</v>
      </c>
      <c r="H865" t="n">
        <v>0</v>
      </c>
      <c r="I865" t="n">
        <v>0</v>
      </c>
      <c r="J865" t="n">
        <v>0</v>
      </c>
      <c r="K865" t="n">
        <v>0</v>
      </c>
      <c r="L865" t="n">
        <v>0</v>
      </c>
      <c r="M865" t="n">
        <v>0</v>
      </c>
      <c r="N865" t="n">
        <v>0</v>
      </c>
      <c r="O865" t="n">
        <v>0</v>
      </c>
      <c r="P865" t="n">
        <v>0</v>
      </c>
      <c r="Q865" t="n">
        <v>0</v>
      </c>
      <c r="R865" s="2" t="inlineStr"/>
    </row>
    <row r="866" ht="15" customHeight="1">
      <c r="A866" t="inlineStr">
        <is>
          <t>A 57214-2024</t>
        </is>
      </c>
      <c r="B866" s="1" t="n">
        <v>45629</v>
      </c>
      <c r="C866" s="1" t="n">
        <v>45635</v>
      </c>
      <c r="D866" t="inlineStr">
        <is>
          <t>UPPSALA LÄN</t>
        </is>
      </c>
      <c r="E866" t="inlineStr">
        <is>
          <t>ENKÖPING</t>
        </is>
      </c>
      <c r="G866" t="n">
        <v>1.6</v>
      </c>
      <c r="H866" t="n">
        <v>0</v>
      </c>
      <c r="I866" t="n">
        <v>0</v>
      </c>
      <c r="J866" t="n">
        <v>0</v>
      </c>
      <c r="K866" t="n">
        <v>0</v>
      </c>
      <c r="L866" t="n">
        <v>0</v>
      </c>
      <c r="M866" t="n">
        <v>0</v>
      </c>
      <c r="N866" t="n">
        <v>0</v>
      </c>
      <c r="O866" t="n">
        <v>0</v>
      </c>
      <c r="P866" t="n">
        <v>0</v>
      </c>
      <c r="Q866" t="n">
        <v>0</v>
      </c>
      <c r="R866" s="2" t="inlineStr"/>
    </row>
    <row r="867" ht="15" customHeight="1">
      <c r="A867" t="inlineStr">
        <is>
          <t>A 57841-2024</t>
        </is>
      </c>
      <c r="B867" s="1" t="n">
        <v>45631</v>
      </c>
      <c r="C867" s="1" t="n">
        <v>45635</v>
      </c>
      <c r="D867" t="inlineStr">
        <is>
          <t>UPPSALA LÄN</t>
        </is>
      </c>
      <c r="E867" t="inlineStr">
        <is>
          <t>ENKÖPING</t>
        </is>
      </c>
      <c r="G867" t="n">
        <v>3.4</v>
      </c>
      <c r="H867" t="n">
        <v>0</v>
      </c>
      <c r="I867" t="n">
        <v>0</v>
      </c>
      <c r="J867" t="n">
        <v>0</v>
      </c>
      <c r="K867" t="n">
        <v>0</v>
      </c>
      <c r="L867" t="n">
        <v>0</v>
      </c>
      <c r="M867" t="n">
        <v>0</v>
      </c>
      <c r="N867" t="n">
        <v>0</v>
      </c>
      <c r="O867" t="n">
        <v>0</v>
      </c>
      <c r="P867" t="n">
        <v>0</v>
      </c>
      <c r="Q867" t="n">
        <v>0</v>
      </c>
      <c r="R867" s="2" t="inlineStr"/>
    </row>
    <row r="868" ht="15" customHeight="1">
      <c r="A868" t="inlineStr">
        <is>
          <t>A 57937-2024</t>
        </is>
      </c>
      <c r="B868" s="1" t="n">
        <v>45631</v>
      </c>
      <c r="C868" s="1" t="n">
        <v>45635</v>
      </c>
      <c r="D868" t="inlineStr">
        <is>
          <t>UPPSALA LÄN</t>
        </is>
      </c>
      <c r="E868" t="inlineStr">
        <is>
          <t>ENKÖPING</t>
        </is>
      </c>
      <c r="G868" t="n">
        <v>4</v>
      </c>
      <c r="H868" t="n">
        <v>0</v>
      </c>
      <c r="I868" t="n">
        <v>0</v>
      </c>
      <c r="J868" t="n">
        <v>0</v>
      </c>
      <c r="K868" t="n">
        <v>0</v>
      </c>
      <c r="L868" t="n">
        <v>0</v>
      </c>
      <c r="M868" t="n">
        <v>0</v>
      </c>
      <c r="N868" t="n">
        <v>0</v>
      </c>
      <c r="O868" t="n">
        <v>0</v>
      </c>
      <c r="P868" t="n">
        <v>0</v>
      </c>
      <c r="Q868" t="n">
        <v>0</v>
      </c>
      <c r="R868" s="2" t="inlineStr"/>
    </row>
    <row r="869" ht="15" customHeight="1">
      <c r="A869" t="inlineStr">
        <is>
          <t>A 57831-2024</t>
        </is>
      </c>
      <c r="B869" s="1" t="n">
        <v>45631</v>
      </c>
      <c r="C869" s="1" t="n">
        <v>45635</v>
      </c>
      <c r="D869" t="inlineStr">
        <is>
          <t>UPPSALA LÄN</t>
        </is>
      </c>
      <c r="E869" t="inlineStr">
        <is>
          <t>ENKÖPING</t>
        </is>
      </c>
      <c r="G869" t="n">
        <v>7.2</v>
      </c>
      <c r="H869" t="n">
        <v>0</v>
      </c>
      <c r="I869" t="n">
        <v>0</v>
      </c>
      <c r="J869" t="n">
        <v>0</v>
      </c>
      <c r="K869" t="n">
        <v>0</v>
      </c>
      <c r="L869" t="n">
        <v>0</v>
      </c>
      <c r="M869" t="n">
        <v>0</v>
      </c>
      <c r="N869" t="n">
        <v>0</v>
      </c>
      <c r="O869" t="n">
        <v>0</v>
      </c>
      <c r="P869" t="n">
        <v>0</v>
      </c>
      <c r="Q869" t="n">
        <v>0</v>
      </c>
      <c r="R869" s="2" t="inlineStr"/>
    </row>
    <row r="870" ht="15" customHeight="1">
      <c r="A870" t="inlineStr">
        <is>
          <t>A 57835-2024</t>
        </is>
      </c>
      <c r="B870" s="1" t="n">
        <v>45631</v>
      </c>
      <c r="C870" s="1" t="n">
        <v>45635</v>
      </c>
      <c r="D870" t="inlineStr">
        <is>
          <t>UPPSALA LÄN</t>
        </is>
      </c>
      <c r="E870" t="inlineStr">
        <is>
          <t>ENKÖPING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57848-2024</t>
        </is>
      </c>
      <c r="B871" s="1" t="n">
        <v>45631</v>
      </c>
      <c r="C871" s="1" t="n">
        <v>45635</v>
      </c>
      <c r="D871" t="inlineStr">
        <is>
          <t>UPPSALA LÄN</t>
        </is>
      </c>
      <c r="E871" t="inlineStr">
        <is>
          <t>ENKÖPING</t>
        </is>
      </c>
      <c r="G871" t="n">
        <v>1.2</v>
      </c>
      <c r="H871" t="n">
        <v>0</v>
      </c>
      <c r="I871" t="n">
        <v>0</v>
      </c>
      <c r="J871" t="n">
        <v>0</v>
      </c>
      <c r="K871" t="n">
        <v>0</v>
      </c>
      <c r="L871" t="n">
        <v>0</v>
      </c>
      <c r="M871" t="n">
        <v>0</v>
      </c>
      <c r="N871" t="n">
        <v>0</v>
      </c>
      <c r="O871" t="n">
        <v>0</v>
      </c>
      <c r="P871" t="n">
        <v>0</v>
      </c>
      <c r="Q871" t="n">
        <v>0</v>
      </c>
      <c r="R871" s="2" t="inlineStr"/>
    </row>
    <row r="872" ht="15" customHeight="1">
      <c r="A872" t="inlineStr">
        <is>
          <t>A 57998-2024</t>
        </is>
      </c>
      <c r="B872" s="1" t="n">
        <v>45631</v>
      </c>
      <c r="C872" s="1" t="n">
        <v>45635</v>
      </c>
      <c r="D872" t="inlineStr">
        <is>
          <t>UPPSALA LÄN</t>
        </is>
      </c>
      <c r="E872" t="inlineStr">
        <is>
          <t>ENKÖPING</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45635</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58092-2024</t>
        </is>
      </c>
      <c r="B874" s="1" t="n">
        <v>45632</v>
      </c>
      <c r="C874" s="1" t="n">
        <v>45635</v>
      </c>
      <c r="D874" t="inlineStr">
        <is>
          <t>UPPSALA LÄN</t>
        </is>
      </c>
      <c r="E874" t="inlineStr">
        <is>
          <t>ENKÖPING</t>
        </is>
      </c>
      <c r="G874" t="n">
        <v>4.8</v>
      </c>
      <c r="H874" t="n">
        <v>0</v>
      </c>
      <c r="I874" t="n">
        <v>0</v>
      </c>
      <c r="J874" t="n">
        <v>0</v>
      </c>
      <c r="K874" t="n">
        <v>0</v>
      </c>
      <c r="L874" t="n">
        <v>0</v>
      </c>
      <c r="M874" t="n">
        <v>0</v>
      </c>
      <c r="N874" t="n">
        <v>0</v>
      </c>
      <c r="O874" t="n">
        <v>0</v>
      </c>
      <c r="P874" t="n">
        <v>0</v>
      </c>
      <c r="Q874" t="n">
        <v>0</v>
      </c>
      <c r="R874" s="2" t="inlineStr"/>
    </row>
    <row r="875">
      <c r="A875" t="inlineStr">
        <is>
          <t>A 58147-2024</t>
        </is>
      </c>
      <c r="B875" s="1" t="n">
        <v>45632</v>
      </c>
      <c r="C875" s="1" t="n">
        <v>45635</v>
      </c>
      <c r="D875" t="inlineStr">
        <is>
          <t>UPPSALA LÄN</t>
        </is>
      </c>
      <c r="E875" t="inlineStr">
        <is>
          <t>ENKÖPING</t>
        </is>
      </c>
      <c r="G875" t="n">
        <v>3</v>
      </c>
      <c r="H875" t="n">
        <v>0</v>
      </c>
      <c r="I875" t="n">
        <v>0</v>
      </c>
      <c r="J875" t="n">
        <v>0</v>
      </c>
      <c r="K875" t="n">
        <v>0</v>
      </c>
      <c r="L875" t="n">
        <v>0</v>
      </c>
      <c r="M875" t="n">
        <v>0</v>
      </c>
      <c r="N875" t="n">
        <v>0</v>
      </c>
      <c r="O875" t="n">
        <v>0</v>
      </c>
      <c r="P875" t="n">
        <v>0</v>
      </c>
      <c r="Q875" t="n">
        <v>0</v>
      </c>
      <c r="R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2024-12-09T15:10:21Z</dcterms:created>
  <dcterms:modified xmlns:dcterms="http://purl.org/dc/terms/" xmlns:xsi="http://www.w3.org/2001/XMLSchema-instance" xsi:type="dcterms:W3CDTF">2024-12-09T15:10:22Z</dcterms:modified>
</cp:coreProperties>
</file>