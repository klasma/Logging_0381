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45922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45922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45922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1988-2022</t>
        </is>
      </c>
      <c r="B5" s="1" t="n">
        <v>44575</v>
      </c>
      <c r="C5" s="1" t="n">
        <v>45922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45922</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68998-2021</t>
        </is>
      </c>
      <c r="B7" s="1" t="n">
        <v>44530</v>
      </c>
      <c r="C7" s="1" t="n">
        <v>45922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45922</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45922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45922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45922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45922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45922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45922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45922</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27073-2025</t>
        </is>
      </c>
      <c r="B16" s="1" t="n">
        <v>45811.64190972222</v>
      </c>
      <c r="C16" s="1" t="n">
        <v>45922</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425-2024</t>
        </is>
      </c>
      <c r="B17" s="1" t="n">
        <v>45296</v>
      </c>
      <c r="C17" s="1" t="n">
        <v>45922</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45922</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45922</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45922</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45922</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45922</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1524-2023</t>
        </is>
      </c>
      <c r="B23" s="1" t="n">
        <v>44935</v>
      </c>
      <c r="C23" s="1" t="n">
        <v>45922</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Skogsduva</t>
        </is>
      </c>
      <c r="S23">
        <f>HYPERLINK("https://klasma.github.io/Logging_0381/artfynd/A 1524-2023 artfynd.xlsx", "A 1524-2023")</f>
        <v/>
      </c>
      <c r="T23">
        <f>HYPERLINK("https://klasma.github.io/Logging_0381/kartor/A 1524-2023 karta.png", "A 1524-2023")</f>
        <v/>
      </c>
      <c r="V23">
        <f>HYPERLINK("https://klasma.github.io/Logging_0381/klagomål/A 1524-2023 FSC-klagomål.docx", "A 1524-2023")</f>
        <v/>
      </c>
      <c r="W23">
        <f>HYPERLINK("https://klasma.github.io/Logging_0381/klagomålsmail/A 1524-2023 FSC-klagomål mail.docx", "A 1524-2023")</f>
        <v/>
      </c>
      <c r="X23">
        <f>HYPERLINK("https://klasma.github.io/Logging_0381/tillsyn/A 1524-2023 tillsynsbegäran.docx", "A 1524-2023")</f>
        <v/>
      </c>
      <c r="Y23">
        <f>HYPERLINK("https://klasma.github.io/Logging_0381/tillsynsmail/A 1524-2023 tillsynsbegäran mail.docx", "A 1524-2023")</f>
        <v/>
      </c>
      <c r="Z23">
        <f>HYPERLINK("https://klasma.github.io/Logging_0381/fåglar/A 1524-2023 prioriterade fågelarter.docx", "A 1524-2023")</f>
        <v/>
      </c>
    </row>
    <row r="24" ht="15" customHeight="1">
      <c r="A24" t="inlineStr">
        <is>
          <t>A 27060-2025</t>
        </is>
      </c>
      <c r="B24" s="1" t="n">
        <v>45811.63590277778</v>
      </c>
      <c r="C24" s="1" t="n">
        <v>45922</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17942-2024</t>
        </is>
      </c>
      <c r="B25" s="1" t="n">
        <v>45419</v>
      </c>
      <c r="C25" s="1" t="n">
        <v>45922</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23961-2022</t>
        </is>
      </c>
      <c r="B26" s="1" t="n">
        <v>44722</v>
      </c>
      <c r="C26" s="1" t="n">
        <v>45922</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29510-2025</t>
        </is>
      </c>
      <c r="B27" s="1" t="n">
        <v>45825</v>
      </c>
      <c r="C27" s="1" t="n">
        <v>45922</v>
      </c>
      <c r="D27" t="inlineStr">
        <is>
          <t>UPPSALA LÄN</t>
        </is>
      </c>
      <c r="E27" t="inlineStr">
        <is>
          <t>ENKÖPING</t>
        </is>
      </c>
      <c r="G27" t="n">
        <v>2.4</v>
      </c>
      <c r="H27" t="n">
        <v>0</v>
      </c>
      <c r="I27" t="n">
        <v>0</v>
      </c>
      <c r="J27" t="n">
        <v>0</v>
      </c>
      <c r="K27" t="n">
        <v>1</v>
      </c>
      <c r="L27" t="n">
        <v>0</v>
      </c>
      <c r="M27" t="n">
        <v>0</v>
      </c>
      <c r="N27" t="n">
        <v>0</v>
      </c>
      <c r="O27" t="n">
        <v>1</v>
      </c>
      <c r="P27" t="n">
        <v>1</v>
      </c>
      <c r="Q27" t="n">
        <v>1</v>
      </c>
      <c r="R27" s="2" t="inlineStr">
        <is>
          <t>Toppjungfrulin</t>
        </is>
      </c>
      <c r="S27">
        <f>HYPERLINK("https://klasma.github.io/Logging_0381/artfynd/A 29510-2025 artfynd.xlsx", "A 29510-2025")</f>
        <v/>
      </c>
      <c r="T27">
        <f>HYPERLINK("https://klasma.github.io/Logging_0381/kartor/A 29510-2025 karta.png", "A 29510-2025")</f>
        <v/>
      </c>
      <c r="V27">
        <f>HYPERLINK("https://klasma.github.io/Logging_0381/klagomål/A 29510-2025 FSC-klagomål.docx", "A 29510-2025")</f>
        <v/>
      </c>
      <c r="W27">
        <f>HYPERLINK("https://klasma.github.io/Logging_0381/klagomålsmail/A 29510-2025 FSC-klagomål mail.docx", "A 29510-2025")</f>
        <v/>
      </c>
      <c r="X27">
        <f>HYPERLINK("https://klasma.github.io/Logging_0381/tillsyn/A 29510-2025 tillsynsbegäran.docx", "A 29510-2025")</f>
        <v/>
      </c>
      <c r="Y27">
        <f>HYPERLINK("https://klasma.github.io/Logging_0381/tillsynsmail/A 29510-2025 tillsynsbegäran mail.docx", "A 29510-2025")</f>
        <v/>
      </c>
    </row>
    <row r="28" ht="15" customHeight="1">
      <c r="A28" t="inlineStr">
        <is>
          <t>A 28900-2024</t>
        </is>
      </c>
      <c r="B28" s="1" t="n">
        <v>45480</v>
      </c>
      <c r="C28" s="1" t="n">
        <v>45922</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33339-2024</t>
        </is>
      </c>
      <c r="B29" s="1" t="n">
        <v>45519</v>
      </c>
      <c r="C29" s="1" t="n">
        <v>45922</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46749-2024</t>
        </is>
      </c>
      <c r="B30" s="1" t="n">
        <v>45583.48347222222</v>
      </c>
      <c r="C30" s="1" t="n">
        <v>45922</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Leptoporus erubescens</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45116-2023</t>
        </is>
      </c>
      <c r="B31" s="1" t="n">
        <v>45191</v>
      </c>
      <c r="C31" s="1" t="n">
        <v>45922</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16683-2021</t>
        </is>
      </c>
      <c r="B32" s="1" t="n">
        <v>44294.58495370371</v>
      </c>
      <c r="C32" s="1" t="n">
        <v>45922</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45922</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45922</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45922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45922</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45922</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45922</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45922</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45922</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45922</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45922</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45922</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45922</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45922</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45922</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45922</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45922</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45922</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45922</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45922</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45922</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45922</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45922</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45922</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45922</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45922</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45922</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45922</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45922</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45922</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45922</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45922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45922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45922</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45922</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45922</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45922</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45922</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45922</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45922</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45922</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38005-2022</t>
        </is>
      </c>
      <c r="B73" s="1" t="n">
        <v>44810</v>
      </c>
      <c r="C73" s="1" t="n">
        <v>45922</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45922</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45922</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45922</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45922</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45922</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45922</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45922</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45922</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45922</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45922</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45922</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45922</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45922</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45922</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45922</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45922</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45922</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45922</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45922</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45922</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45922</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45922</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45922</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60874-2021</t>
        </is>
      </c>
      <c r="B97" s="1" t="n">
        <v>44497</v>
      </c>
      <c r="C97" s="1" t="n">
        <v>45922</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24815-2022</t>
        </is>
      </c>
      <c r="B98" s="1" t="n">
        <v>44728</v>
      </c>
      <c r="C98" s="1" t="n">
        <v>45922</v>
      </c>
      <c r="D98" t="inlineStr">
        <is>
          <t>UPPSALA LÄN</t>
        </is>
      </c>
      <c r="E98" t="inlineStr">
        <is>
          <t>ENKÖPING</t>
        </is>
      </c>
      <c r="G98" t="n">
        <v>1.8</v>
      </c>
      <c r="H98" t="n">
        <v>0</v>
      </c>
      <c r="I98" t="n">
        <v>0</v>
      </c>
      <c r="J98" t="n">
        <v>0</v>
      </c>
      <c r="K98" t="n">
        <v>0</v>
      </c>
      <c r="L98" t="n">
        <v>0</v>
      </c>
      <c r="M98" t="n">
        <v>0</v>
      </c>
      <c r="N98" t="n">
        <v>0</v>
      </c>
      <c r="O98" t="n">
        <v>0</v>
      </c>
      <c r="P98" t="n">
        <v>0</v>
      </c>
      <c r="Q98" t="n">
        <v>0</v>
      </c>
      <c r="R98" s="2" t="inlineStr"/>
    </row>
    <row r="99" ht="15" customHeight="1">
      <c r="A99" t="inlineStr">
        <is>
          <t>A 57078-2021</t>
        </is>
      </c>
      <c r="B99" s="1" t="n">
        <v>44482.57855324074</v>
      </c>
      <c r="C99" s="1" t="n">
        <v>45922</v>
      </c>
      <c r="D99" t="inlineStr">
        <is>
          <t>UPPSALA LÄN</t>
        </is>
      </c>
      <c r="E99" t="inlineStr">
        <is>
          <t>ENKÖPING</t>
        </is>
      </c>
      <c r="G99" t="n">
        <v>3</v>
      </c>
      <c r="H99" t="n">
        <v>0</v>
      </c>
      <c r="I99" t="n">
        <v>0</v>
      </c>
      <c r="J99" t="n">
        <v>0</v>
      </c>
      <c r="K99" t="n">
        <v>0</v>
      </c>
      <c r="L99" t="n">
        <v>0</v>
      </c>
      <c r="M99" t="n">
        <v>0</v>
      </c>
      <c r="N99" t="n">
        <v>0</v>
      </c>
      <c r="O99" t="n">
        <v>0</v>
      </c>
      <c r="P99" t="n">
        <v>0</v>
      </c>
      <c r="Q99" t="n">
        <v>0</v>
      </c>
      <c r="R99" s="2" t="inlineStr"/>
    </row>
    <row r="100" ht="15" customHeight="1">
      <c r="A100" t="inlineStr">
        <is>
          <t>A 57043-2021</t>
        </is>
      </c>
      <c r="B100" s="1" t="n">
        <v>44482.53399305556</v>
      </c>
      <c r="C100" s="1" t="n">
        <v>45922</v>
      </c>
      <c r="D100" t="inlineStr">
        <is>
          <t>UPPSALA LÄN</t>
        </is>
      </c>
      <c r="E100" t="inlineStr">
        <is>
          <t>ENKÖPING</t>
        </is>
      </c>
      <c r="G100" t="n">
        <v>0.5</v>
      </c>
      <c r="H100" t="n">
        <v>0</v>
      </c>
      <c r="I100" t="n">
        <v>0</v>
      </c>
      <c r="J100" t="n">
        <v>0</v>
      </c>
      <c r="K100" t="n">
        <v>0</v>
      </c>
      <c r="L100" t="n">
        <v>0</v>
      </c>
      <c r="M100" t="n">
        <v>0</v>
      </c>
      <c r="N100" t="n">
        <v>0</v>
      </c>
      <c r="O100" t="n">
        <v>0</v>
      </c>
      <c r="P100" t="n">
        <v>0</v>
      </c>
      <c r="Q100" t="n">
        <v>0</v>
      </c>
      <c r="R100" s="2" t="inlineStr"/>
    </row>
    <row r="101" ht="15" customHeight="1">
      <c r="A101" t="inlineStr">
        <is>
          <t>A 47516-2022</t>
        </is>
      </c>
      <c r="B101" s="1" t="n">
        <v>44853.68895833333</v>
      </c>
      <c r="C101" s="1" t="n">
        <v>45922</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15021-2022</t>
        </is>
      </c>
      <c r="B102" s="1" t="n">
        <v>44657</v>
      </c>
      <c r="C102" s="1" t="n">
        <v>45922</v>
      </c>
      <c r="D102" t="inlineStr">
        <is>
          <t>UPPSALA LÄN</t>
        </is>
      </c>
      <c r="E102" t="inlineStr">
        <is>
          <t>ENKÖPING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58798-2020</t>
        </is>
      </c>
      <c r="B103" s="1" t="n">
        <v>44146</v>
      </c>
      <c r="C103" s="1" t="n">
        <v>45922</v>
      </c>
      <c r="D103" t="inlineStr">
        <is>
          <t>UPPSALA LÄN</t>
        </is>
      </c>
      <c r="E103" t="inlineStr">
        <is>
          <t>ENKÖPING</t>
        </is>
      </c>
      <c r="G103" t="n">
        <v>1.8</v>
      </c>
      <c r="H103" t="n">
        <v>0</v>
      </c>
      <c r="I103" t="n">
        <v>0</v>
      </c>
      <c r="J103" t="n">
        <v>0</v>
      </c>
      <c r="K103" t="n">
        <v>0</v>
      </c>
      <c r="L103" t="n">
        <v>0</v>
      </c>
      <c r="M103" t="n">
        <v>0</v>
      </c>
      <c r="N103" t="n">
        <v>0</v>
      </c>
      <c r="O103" t="n">
        <v>0</v>
      </c>
      <c r="P103" t="n">
        <v>0</v>
      </c>
      <c r="Q103" t="n">
        <v>0</v>
      </c>
      <c r="R103" s="2" t="inlineStr"/>
    </row>
    <row r="104" ht="15" customHeight="1">
      <c r="A104" t="inlineStr">
        <is>
          <t>A 57802-2020</t>
        </is>
      </c>
      <c r="B104" s="1" t="n">
        <v>44141</v>
      </c>
      <c r="C104" s="1" t="n">
        <v>45922</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52464-2020</t>
        </is>
      </c>
      <c r="B105" s="1" t="n">
        <v>44118</v>
      </c>
      <c r="C105" s="1" t="n">
        <v>45922</v>
      </c>
      <c r="D105" t="inlineStr">
        <is>
          <t>UPPSALA LÄN</t>
        </is>
      </c>
      <c r="E105" t="inlineStr">
        <is>
          <t>ENKÖPING</t>
        </is>
      </c>
      <c r="G105" t="n">
        <v>4.6</v>
      </c>
      <c r="H105" t="n">
        <v>0</v>
      </c>
      <c r="I105" t="n">
        <v>0</v>
      </c>
      <c r="J105" t="n">
        <v>0</v>
      </c>
      <c r="K105" t="n">
        <v>0</v>
      </c>
      <c r="L105" t="n">
        <v>0</v>
      </c>
      <c r="M105" t="n">
        <v>0</v>
      </c>
      <c r="N105" t="n">
        <v>0</v>
      </c>
      <c r="O105" t="n">
        <v>0</v>
      </c>
      <c r="P105" t="n">
        <v>0</v>
      </c>
      <c r="Q105" t="n">
        <v>0</v>
      </c>
      <c r="R105" s="2" t="inlineStr"/>
    </row>
    <row r="106" ht="15" customHeight="1">
      <c r="A106" t="inlineStr">
        <is>
          <t>A 31013-2022</t>
        </is>
      </c>
      <c r="B106" s="1" t="n">
        <v>44768</v>
      </c>
      <c r="C106" s="1" t="n">
        <v>45922</v>
      </c>
      <c r="D106" t="inlineStr">
        <is>
          <t>UPPSALA LÄN</t>
        </is>
      </c>
      <c r="E106" t="inlineStr">
        <is>
          <t>ENKÖPING</t>
        </is>
      </c>
      <c r="F106" t="inlineStr">
        <is>
          <t>Allmännings- och besparingsskogar</t>
        </is>
      </c>
      <c r="G106" t="n">
        <v>0.5</v>
      </c>
      <c r="H106" t="n">
        <v>0</v>
      </c>
      <c r="I106" t="n">
        <v>0</v>
      </c>
      <c r="J106" t="n">
        <v>0</v>
      </c>
      <c r="K106" t="n">
        <v>0</v>
      </c>
      <c r="L106" t="n">
        <v>0</v>
      </c>
      <c r="M106" t="n">
        <v>0</v>
      </c>
      <c r="N106" t="n">
        <v>0</v>
      </c>
      <c r="O106" t="n">
        <v>0</v>
      </c>
      <c r="P106" t="n">
        <v>0</v>
      </c>
      <c r="Q106" t="n">
        <v>0</v>
      </c>
      <c r="R106" s="2" t="inlineStr"/>
    </row>
    <row r="107" ht="15" customHeight="1">
      <c r="A107" t="inlineStr">
        <is>
          <t>A 42021-2021</t>
        </is>
      </c>
      <c r="B107" s="1" t="n">
        <v>44426</v>
      </c>
      <c r="C107" s="1" t="n">
        <v>45922</v>
      </c>
      <c r="D107" t="inlineStr">
        <is>
          <t>UPPSALA LÄN</t>
        </is>
      </c>
      <c r="E107" t="inlineStr">
        <is>
          <t>ENKÖPING</t>
        </is>
      </c>
      <c r="G107" t="n">
        <v>2.2</v>
      </c>
      <c r="H107" t="n">
        <v>0</v>
      </c>
      <c r="I107" t="n">
        <v>0</v>
      </c>
      <c r="J107" t="n">
        <v>0</v>
      </c>
      <c r="K107" t="n">
        <v>0</v>
      </c>
      <c r="L107" t="n">
        <v>0</v>
      </c>
      <c r="M107" t="n">
        <v>0</v>
      </c>
      <c r="N107" t="n">
        <v>0</v>
      </c>
      <c r="O107" t="n">
        <v>0</v>
      </c>
      <c r="P107" t="n">
        <v>0</v>
      </c>
      <c r="Q107" t="n">
        <v>0</v>
      </c>
      <c r="R107" s="2" t="inlineStr"/>
    </row>
    <row r="108" ht="15" customHeight="1">
      <c r="A108" t="inlineStr">
        <is>
          <t>A 17467-2022</t>
        </is>
      </c>
      <c r="B108" s="1" t="n">
        <v>44679</v>
      </c>
      <c r="C108" s="1" t="n">
        <v>45922</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42029-2021</t>
        </is>
      </c>
      <c r="B109" s="1" t="n">
        <v>44426</v>
      </c>
      <c r="C109" s="1" t="n">
        <v>45922</v>
      </c>
      <c r="D109" t="inlineStr">
        <is>
          <t>UPPSALA LÄN</t>
        </is>
      </c>
      <c r="E109" t="inlineStr">
        <is>
          <t>ENKÖPING</t>
        </is>
      </c>
      <c r="G109" t="n">
        <v>5.3</v>
      </c>
      <c r="H109" t="n">
        <v>0</v>
      </c>
      <c r="I109" t="n">
        <v>0</v>
      </c>
      <c r="J109" t="n">
        <v>0</v>
      </c>
      <c r="K109" t="n">
        <v>0</v>
      </c>
      <c r="L109" t="n">
        <v>0</v>
      </c>
      <c r="M109" t="n">
        <v>0</v>
      </c>
      <c r="N109" t="n">
        <v>0</v>
      </c>
      <c r="O109" t="n">
        <v>0</v>
      </c>
      <c r="P109" t="n">
        <v>0</v>
      </c>
      <c r="Q109" t="n">
        <v>0</v>
      </c>
      <c r="R109" s="2" t="inlineStr"/>
    </row>
    <row r="110" ht="15" customHeight="1">
      <c r="A110" t="inlineStr">
        <is>
          <t>A 24883-2022</t>
        </is>
      </c>
      <c r="B110" s="1" t="n">
        <v>44728</v>
      </c>
      <c r="C110" s="1" t="n">
        <v>45922</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1971-2022</t>
        </is>
      </c>
      <c r="B111" s="1" t="n">
        <v>44575</v>
      </c>
      <c r="C111" s="1" t="n">
        <v>45922</v>
      </c>
      <c r="D111" t="inlineStr">
        <is>
          <t>UPPSALA LÄN</t>
        </is>
      </c>
      <c r="E111" t="inlineStr">
        <is>
          <t>ENKÖPING</t>
        </is>
      </c>
      <c r="G111" t="n">
        <v>1.4</v>
      </c>
      <c r="H111" t="n">
        <v>0</v>
      </c>
      <c r="I111" t="n">
        <v>0</v>
      </c>
      <c r="J111" t="n">
        <v>0</v>
      </c>
      <c r="K111" t="n">
        <v>0</v>
      </c>
      <c r="L111" t="n">
        <v>0</v>
      </c>
      <c r="M111" t="n">
        <v>0</v>
      </c>
      <c r="N111" t="n">
        <v>0</v>
      </c>
      <c r="O111" t="n">
        <v>0</v>
      </c>
      <c r="P111" t="n">
        <v>0</v>
      </c>
      <c r="Q111" t="n">
        <v>0</v>
      </c>
      <c r="R111" s="2" t="inlineStr"/>
    </row>
    <row r="112" ht="15" customHeight="1">
      <c r="A112" t="inlineStr">
        <is>
          <t>A 19630-2021</t>
        </is>
      </c>
      <c r="B112" s="1" t="n">
        <v>44312.61876157407</v>
      </c>
      <c r="C112" s="1" t="n">
        <v>45922</v>
      </c>
      <c r="D112" t="inlineStr">
        <is>
          <t>UPPSALA LÄN</t>
        </is>
      </c>
      <c r="E112" t="inlineStr">
        <is>
          <t>ENKÖPING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20067-2021</t>
        </is>
      </c>
      <c r="B113" s="1" t="n">
        <v>44314</v>
      </c>
      <c r="C113" s="1" t="n">
        <v>45922</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29983-2021</t>
        </is>
      </c>
      <c r="B114" s="1" t="n">
        <v>44363</v>
      </c>
      <c r="C114" s="1" t="n">
        <v>45922</v>
      </c>
      <c r="D114" t="inlineStr">
        <is>
          <t>UPPSALA LÄN</t>
        </is>
      </c>
      <c r="E114" t="inlineStr">
        <is>
          <t>ENKÖPING</t>
        </is>
      </c>
      <c r="F114" t="inlineStr">
        <is>
          <t>Kommuner</t>
        </is>
      </c>
      <c r="G114" t="n">
        <v>3.1</v>
      </c>
      <c r="H114" t="n">
        <v>0</v>
      </c>
      <c r="I114" t="n">
        <v>0</v>
      </c>
      <c r="J114" t="n">
        <v>0</v>
      </c>
      <c r="K114" t="n">
        <v>0</v>
      </c>
      <c r="L114" t="n">
        <v>0</v>
      </c>
      <c r="M114" t="n">
        <v>0</v>
      </c>
      <c r="N114" t="n">
        <v>0</v>
      </c>
      <c r="O114" t="n">
        <v>0</v>
      </c>
      <c r="P114" t="n">
        <v>0</v>
      </c>
      <c r="Q114" t="n">
        <v>0</v>
      </c>
      <c r="R114" s="2" t="inlineStr"/>
    </row>
    <row r="115" ht="15" customHeight="1">
      <c r="A115" t="inlineStr">
        <is>
          <t>A 59121-2021</t>
        </is>
      </c>
      <c r="B115" s="1" t="n">
        <v>44490</v>
      </c>
      <c r="C115" s="1" t="n">
        <v>45922</v>
      </c>
      <c r="D115" t="inlineStr">
        <is>
          <t>UPPSALA LÄN</t>
        </is>
      </c>
      <c r="E115" t="inlineStr">
        <is>
          <t>ENKÖPING</t>
        </is>
      </c>
      <c r="G115" t="n">
        <v>2.4</v>
      </c>
      <c r="H115" t="n">
        <v>0</v>
      </c>
      <c r="I115" t="n">
        <v>0</v>
      </c>
      <c r="J115" t="n">
        <v>0</v>
      </c>
      <c r="K115" t="n">
        <v>0</v>
      </c>
      <c r="L115" t="n">
        <v>0</v>
      </c>
      <c r="M115" t="n">
        <v>0</v>
      </c>
      <c r="N115" t="n">
        <v>0</v>
      </c>
      <c r="O115" t="n">
        <v>0</v>
      </c>
      <c r="P115" t="n">
        <v>0</v>
      </c>
      <c r="Q115" t="n">
        <v>0</v>
      </c>
      <c r="R115" s="2" t="inlineStr"/>
    </row>
    <row r="116" ht="15" customHeight="1">
      <c r="A116" t="inlineStr">
        <is>
          <t>A 15924-2022</t>
        </is>
      </c>
      <c r="B116" s="1" t="n">
        <v>44664</v>
      </c>
      <c r="C116" s="1" t="n">
        <v>45922</v>
      </c>
      <c r="D116" t="inlineStr">
        <is>
          <t>UPPSALA LÄN</t>
        </is>
      </c>
      <c r="E116" t="inlineStr">
        <is>
          <t>ENKÖPING</t>
        </is>
      </c>
      <c r="G116" t="n">
        <v>0.7</v>
      </c>
      <c r="H116" t="n">
        <v>0</v>
      </c>
      <c r="I116" t="n">
        <v>0</v>
      </c>
      <c r="J116" t="n">
        <v>0</v>
      </c>
      <c r="K116" t="n">
        <v>0</v>
      </c>
      <c r="L116" t="n">
        <v>0</v>
      </c>
      <c r="M116" t="n">
        <v>0</v>
      </c>
      <c r="N116" t="n">
        <v>0</v>
      </c>
      <c r="O116" t="n">
        <v>0</v>
      </c>
      <c r="P116" t="n">
        <v>0</v>
      </c>
      <c r="Q116" t="n">
        <v>0</v>
      </c>
      <c r="R116" s="2" t="inlineStr"/>
    </row>
    <row r="117" ht="15" customHeight="1">
      <c r="A117" t="inlineStr">
        <is>
          <t>A 15943-2022</t>
        </is>
      </c>
      <c r="B117" s="1" t="n">
        <v>44664.66428240741</v>
      </c>
      <c r="C117" s="1" t="n">
        <v>45922</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47106-2021</t>
        </is>
      </c>
      <c r="B118" s="1" t="n">
        <v>44446</v>
      </c>
      <c r="C118" s="1" t="n">
        <v>45922</v>
      </c>
      <c r="D118" t="inlineStr">
        <is>
          <t>UPPSALA LÄN</t>
        </is>
      </c>
      <c r="E118" t="inlineStr">
        <is>
          <t>ENKÖPING</t>
        </is>
      </c>
      <c r="G118" t="n">
        <v>7.6</v>
      </c>
      <c r="H118" t="n">
        <v>0</v>
      </c>
      <c r="I118" t="n">
        <v>0</v>
      </c>
      <c r="J118" t="n">
        <v>0</v>
      </c>
      <c r="K118" t="n">
        <v>0</v>
      </c>
      <c r="L118" t="n">
        <v>0</v>
      </c>
      <c r="M118" t="n">
        <v>0</v>
      </c>
      <c r="N118" t="n">
        <v>0</v>
      </c>
      <c r="O118" t="n">
        <v>0</v>
      </c>
      <c r="P118" t="n">
        <v>0</v>
      </c>
      <c r="Q118" t="n">
        <v>0</v>
      </c>
      <c r="R118" s="2" t="inlineStr"/>
    </row>
    <row r="119" ht="15" customHeight="1">
      <c r="A119" t="inlineStr">
        <is>
          <t>A 19731-2022</t>
        </is>
      </c>
      <c r="B119" s="1" t="n">
        <v>44694</v>
      </c>
      <c r="C119" s="1" t="n">
        <v>45922</v>
      </c>
      <c r="D119" t="inlineStr">
        <is>
          <t>UPPSALA LÄN</t>
        </is>
      </c>
      <c r="E119" t="inlineStr">
        <is>
          <t>ENKÖPING</t>
        </is>
      </c>
      <c r="G119" t="n">
        <v>0.7</v>
      </c>
      <c r="H119" t="n">
        <v>0</v>
      </c>
      <c r="I119" t="n">
        <v>0</v>
      </c>
      <c r="J119" t="n">
        <v>0</v>
      </c>
      <c r="K119" t="n">
        <v>0</v>
      </c>
      <c r="L119" t="n">
        <v>0</v>
      </c>
      <c r="M119" t="n">
        <v>0</v>
      </c>
      <c r="N119" t="n">
        <v>0</v>
      </c>
      <c r="O119" t="n">
        <v>0</v>
      </c>
      <c r="P119" t="n">
        <v>0</v>
      </c>
      <c r="Q119" t="n">
        <v>0</v>
      </c>
      <c r="R119" s="2" t="inlineStr"/>
    </row>
    <row r="120" ht="15" customHeight="1">
      <c r="A120" t="inlineStr">
        <is>
          <t>A 10458-2022</t>
        </is>
      </c>
      <c r="B120" s="1" t="n">
        <v>44623.56711805556</v>
      </c>
      <c r="C120" s="1" t="n">
        <v>45922</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68127-2021</t>
        </is>
      </c>
      <c r="B121" s="1" t="n">
        <v>44526.39513888889</v>
      </c>
      <c r="C121" s="1" t="n">
        <v>45922</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44115-2024</t>
        </is>
      </c>
      <c r="B122" s="1" t="n">
        <v>45572</v>
      </c>
      <c r="C122" s="1" t="n">
        <v>45922</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9957-2023</t>
        </is>
      </c>
      <c r="B123" s="1" t="n">
        <v>44978</v>
      </c>
      <c r="C123" s="1" t="n">
        <v>45922</v>
      </c>
      <c r="D123" t="inlineStr">
        <is>
          <t>UPPSALA LÄN</t>
        </is>
      </c>
      <c r="E123" t="inlineStr">
        <is>
          <t>ENKÖPING</t>
        </is>
      </c>
      <c r="G123" t="n">
        <v>5.9</v>
      </c>
      <c r="H123" t="n">
        <v>0</v>
      </c>
      <c r="I123" t="n">
        <v>0</v>
      </c>
      <c r="J123" t="n">
        <v>0</v>
      </c>
      <c r="K123" t="n">
        <v>0</v>
      </c>
      <c r="L123" t="n">
        <v>0</v>
      </c>
      <c r="M123" t="n">
        <v>0</v>
      </c>
      <c r="N123" t="n">
        <v>0</v>
      </c>
      <c r="O123" t="n">
        <v>0</v>
      </c>
      <c r="P123" t="n">
        <v>0</v>
      </c>
      <c r="Q123" t="n">
        <v>0</v>
      </c>
      <c r="R123" s="2" t="inlineStr"/>
    </row>
    <row r="124" ht="15" customHeight="1">
      <c r="A124" t="inlineStr">
        <is>
          <t>A 10829-2024</t>
        </is>
      </c>
      <c r="B124" s="1" t="n">
        <v>45369</v>
      </c>
      <c r="C124" s="1" t="n">
        <v>45922</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51092-2020</t>
        </is>
      </c>
      <c r="B125" s="1" t="n">
        <v>44112</v>
      </c>
      <c r="C125" s="1" t="n">
        <v>45922</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63402-2023</t>
        </is>
      </c>
      <c r="B126" s="1" t="n">
        <v>45274.50646990741</v>
      </c>
      <c r="C126" s="1" t="n">
        <v>45922</v>
      </c>
      <c r="D126" t="inlineStr">
        <is>
          <t>UPPSALA LÄN</t>
        </is>
      </c>
      <c r="E126" t="inlineStr">
        <is>
          <t>ENKÖPING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67982-2021</t>
        </is>
      </c>
      <c r="B127" s="1" t="n">
        <v>44525</v>
      </c>
      <c r="C127" s="1" t="n">
        <v>45922</v>
      </c>
      <c r="D127" t="inlineStr">
        <is>
          <t>UPPSALA LÄN</t>
        </is>
      </c>
      <c r="E127" t="inlineStr">
        <is>
          <t>ENKÖPING</t>
        </is>
      </c>
      <c r="G127" t="n">
        <v>1.7</v>
      </c>
      <c r="H127" t="n">
        <v>0</v>
      </c>
      <c r="I127" t="n">
        <v>0</v>
      </c>
      <c r="J127" t="n">
        <v>0</v>
      </c>
      <c r="K127" t="n">
        <v>0</v>
      </c>
      <c r="L127" t="n">
        <v>0</v>
      </c>
      <c r="M127" t="n">
        <v>0</v>
      </c>
      <c r="N127" t="n">
        <v>0</v>
      </c>
      <c r="O127" t="n">
        <v>0</v>
      </c>
      <c r="P127" t="n">
        <v>0</v>
      </c>
      <c r="Q127" t="n">
        <v>0</v>
      </c>
      <c r="R127" s="2" t="inlineStr"/>
    </row>
    <row r="128" ht="15" customHeight="1">
      <c r="A128" t="inlineStr">
        <is>
          <t>A 49063-2024</t>
        </is>
      </c>
      <c r="B128" s="1" t="n">
        <v>45594.59869212963</v>
      </c>
      <c r="C128" s="1" t="n">
        <v>45922</v>
      </c>
      <c r="D128" t="inlineStr">
        <is>
          <t>UPPSALA LÄN</t>
        </is>
      </c>
      <c r="E128" t="inlineStr">
        <is>
          <t>ENKÖPING</t>
        </is>
      </c>
      <c r="G128" t="n">
        <v>1.5</v>
      </c>
      <c r="H128" t="n">
        <v>0</v>
      </c>
      <c r="I128" t="n">
        <v>0</v>
      </c>
      <c r="J128" t="n">
        <v>0</v>
      </c>
      <c r="K128" t="n">
        <v>0</v>
      </c>
      <c r="L128" t="n">
        <v>0</v>
      </c>
      <c r="M128" t="n">
        <v>0</v>
      </c>
      <c r="N128" t="n">
        <v>0</v>
      </c>
      <c r="O128" t="n">
        <v>0</v>
      </c>
      <c r="P128" t="n">
        <v>0</v>
      </c>
      <c r="Q128" t="n">
        <v>0</v>
      </c>
      <c r="R128" s="2" t="inlineStr"/>
    </row>
    <row r="129" ht="15" customHeight="1">
      <c r="A129" t="inlineStr">
        <is>
          <t>A 13853-2023</t>
        </is>
      </c>
      <c r="B129" s="1" t="n">
        <v>45007</v>
      </c>
      <c r="C129" s="1" t="n">
        <v>45922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58092-2024</t>
        </is>
      </c>
      <c r="B130" s="1" t="n">
        <v>45632</v>
      </c>
      <c r="C130" s="1" t="n">
        <v>45922</v>
      </c>
      <c r="D130" t="inlineStr">
        <is>
          <t>UPPSALA LÄN</t>
        </is>
      </c>
      <c r="E130" t="inlineStr">
        <is>
          <t>ENKÖPING</t>
        </is>
      </c>
      <c r="G130" t="n">
        <v>4.8</v>
      </c>
      <c r="H130" t="n">
        <v>0</v>
      </c>
      <c r="I130" t="n">
        <v>0</v>
      </c>
      <c r="J130" t="n">
        <v>0</v>
      </c>
      <c r="K130" t="n">
        <v>0</v>
      </c>
      <c r="L130" t="n">
        <v>0</v>
      </c>
      <c r="M130" t="n">
        <v>0</v>
      </c>
      <c r="N130" t="n">
        <v>0</v>
      </c>
      <c r="O130" t="n">
        <v>0</v>
      </c>
      <c r="P130" t="n">
        <v>0</v>
      </c>
      <c r="Q130" t="n">
        <v>0</v>
      </c>
      <c r="R130" s="2" t="inlineStr"/>
    </row>
    <row r="131" ht="15" customHeight="1">
      <c r="A131" t="inlineStr">
        <is>
          <t>A 51034-2024</t>
        </is>
      </c>
      <c r="B131" s="1" t="n">
        <v>45603.4262037037</v>
      </c>
      <c r="C131" s="1" t="n">
        <v>45922</v>
      </c>
      <c r="D131" t="inlineStr">
        <is>
          <t>UPPSALA LÄN</t>
        </is>
      </c>
      <c r="E131" t="inlineStr">
        <is>
          <t>ENKÖPING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51036-2024</t>
        </is>
      </c>
      <c r="B132" s="1" t="n">
        <v>45603.42839120371</v>
      </c>
      <c r="C132" s="1" t="n">
        <v>45922</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16916-2023</t>
        </is>
      </c>
      <c r="B133" s="1" t="n">
        <v>45033.58347222222</v>
      </c>
      <c r="C133" s="1" t="n">
        <v>45922</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56886-2023</t>
        </is>
      </c>
      <c r="B134" s="1" t="n">
        <v>45239</v>
      </c>
      <c r="C134" s="1" t="n">
        <v>45922</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50747-2022</t>
        </is>
      </c>
      <c r="B135" s="1" t="n">
        <v>44867.40162037037</v>
      </c>
      <c r="C135" s="1" t="n">
        <v>45922</v>
      </c>
      <c r="D135" t="inlineStr">
        <is>
          <t>UPPSALA LÄN</t>
        </is>
      </c>
      <c r="E135" t="inlineStr">
        <is>
          <t>ENKÖPING</t>
        </is>
      </c>
      <c r="G135" t="n">
        <v>1.5</v>
      </c>
      <c r="H135" t="n">
        <v>0</v>
      </c>
      <c r="I135" t="n">
        <v>0</v>
      </c>
      <c r="J135" t="n">
        <v>0</v>
      </c>
      <c r="K135" t="n">
        <v>0</v>
      </c>
      <c r="L135" t="n">
        <v>0</v>
      </c>
      <c r="M135" t="n">
        <v>0</v>
      </c>
      <c r="N135" t="n">
        <v>0</v>
      </c>
      <c r="O135" t="n">
        <v>0</v>
      </c>
      <c r="P135" t="n">
        <v>0</v>
      </c>
      <c r="Q135" t="n">
        <v>0</v>
      </c>
      <c r="R135" s="2" t="inlineStr"/>
    </row>
    <row r="136" ht="15" customHeight="1">
      <c r="A136" t="inlineStr">
        <is>
          <t>A 55876-2024</t>
        </is>
      </c>
      <c r="B136" s="1" t="n">
        <v>45623.5546412037</v>
      </c>
      <c r="C136" s="1" t="n">
        <v>45922</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17657-2025</t>
        </is>
      </c>
      <c r="B137" s="1" t="n">
        <v>45758.35006944444</v>
      </c>
      <c r="C137" s="1" t="n">
        <v>45922</v>
      </c>
      <c r="D137" t="inlineStr">
        <is>
          <t>UPPSALA LÄN</t>
        </is>
      </c>
      <c r="E137" t="inlineStr">
        <is>
          <t>ENKÖPING</t>
        </is>
      </c>
      <c r="G137" t="n">
        <v>3</v>
      </c>
      <c r="H137" t="n">
        <v>0</v>
      </c>
      <c r="I137" t="n">
        <v>0</v>
      </c>
      <c r="J137" t="n">
        <v>0</v>
      </c>
      <c r="K137" t="n">
        <v>0</v>
      </c>
      <c r="L137" t="n">
        <v>0</v>
      </c>
      <c r="M137" t="n">
        <v>0</v>
      </c>
      <c r="N137" t="n">
        <v>0</v>
      </c>
      <c r="O137" t="n">
        <v>0</v>
      </c>
      <c r="P137" t="n">
        <v>0</v>
      </c>
      <c r="Q137" t="n">
        <v>0</v>
      </c>
      <c r="R137" s="2" t="inlineStr"/>
    </row>
    <row r="138" ht="15" customHeight="1">
      <c r="A138" t="inlineStr">
        <is>
          <t>A 49568-2022</t>
        </is>
      </c>
      <c r="B138" s="1" t="n">
        <v>44862.32791666667</v>
      </c>
      <c r="C138" s="1" t="n">
        <v>45922</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69567-2020</t>
        </is>
      </c>
      <c r="B139" s="1" t="n">
        <v>44194</v>
      </c>
      <c r="C139" s="1" t="n">
        <v>45922</v>
      </c>
      <c r="D139" t="inlineStr">
        <is>
          <t>UPPSALA LÄN</t>
        </is>
      </c>
      <c r="E139" t="inlineStr">
        <is>
          <t>ENKÖPING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26017-2025</t>
        </is>
      </c>
      <c r="B140" s="1" t="n">
        <v>45804</v>
      </c>
      <c r="C140" s="1" t="n">
        <v>45922</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26024-2025</t>
        </is>
      </c>
      <c r="B141" s="1" t="n">
        <v>45804.6831712963</v>
      </c>
      <c r="C141" s="1" t="n">
        <v>45922</v>
      </c>
      <c r="D141" t="inlineStr">
        <is>
          <t>UPPSALA LÄN</t>
        </is>
      </c>
      <c r="E141" t="inlineStr">
        <is>
          <t>ENKÖPING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26042-2025</t>
        </is>
      </c>
      <c r="B142" s="1" t="n">
        <v>45804.70018518518</v>
      </c>
      <c r="C142" s="1" t="n">
        <v>45922</v>
      </c>
      <c r="D142" t="inlineStr">
        <is>
          <t>UPPSALA LÄN</t>
        </is>
      </c>
      <c r="E142" t="inlineStr">
        <is>
          <t>ENKÖPING</t>
        </is>
      </c>
      <c r="G142" t="n">
        <v>1.2</v>
      </c>
      <c r="H142" t="n">
        <v>0</v>
      </c>
      <c r="I142" t="n">
        <v>0</v>
      </c>
      <c r="J142" t="n">
        <v>0</v>
      </c>
      <c r="K142" t="n">
        <v>0</v>
      </c>
      <c r="L142" t="n">
        <v>0</v>
      </c>
      <c r="M142" t="n">
        <v>0</v>
      </c>
      <c r="N142" t="n">
        <v>0</v>
      </c>
      <c r="O142" t="n">
        <v>0</v>
      </c>
      <c r="P142" t="n">
        <v>0</v>
      </c>
      <c r="Q142" t="n">
        <v>0</v>
      </c>
      <c r="R142" s="2" t="inlineStr"/>
    </row>
    <row r="143" ht="15" customHeight="1">
      <c r="A143" t="inlineStr">
        <is>
          <t>A 26005-2025</t>
        </is>
      </c>
      <c r="B143" s="1" t="n">
        <v>45804.67055555555</v>
      </c>
      <c r="C143" s="1" t="n">
        <v>45922</v>
      </c>
      <c r="D143" t="inlineStr">
        <is>
          <t>UPPSALA LÄN</t>
        </is>
      </c>
      <c r="E143" t="inlineStr">
        <is>
          <t>ENKÖPING</t>
        </is>
      </c>
      <c r="G143" t="n">
        <v>0.3</v>
      </c>
      <c r="H143" t="n">
        <v>0</v>
      </c>
      <c r="I143" t="n">
        <v>0</v>
      </c>
      <c r="J143" t="n">
        <v>0</v>
      </c>
      <c r="K143" t="n">
        <v>0</v>
      </c>
      <c r="L143" t="n">
        <v>0</v>
      </c>
      <c r="M143" t="n">
        <v>0</v>
      </c>
      <c r="N143" t="n">
        <v>0</v>
      </c>
      <c r="O143" t="n">
        <v>0</v>
      </c>
      <c r="P143" t="n">
        <v>0</v>
      </c>
      <c r="Q143" t="n">
        <v>0</v>
      </c>
      <c r="R143" s="2" t="inlineStr"/>
    </row>
    <row r="144" ht="15" customHeight="1">
      <c r="A144" t="inlineStr">
        <is>
          <t>A 26026-2025</t>
        </is>
      </c>
      <c r="B144" s="1" t="n">
        <v>45804.68510416667</v>
      </c>
      <c r="C144" s="1" t="n">
        <v>45922</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26030-2025</t>
        </is>
      </c>
      <c r="B145" s="1" t="n">
        <v>45804.68815972222</v>
      </c>
      <c r="C145" s="1" t="n">
        <v>45922</v>
      </c>
      <c r="D145" t="inlineStr">
        <is>
          <t>UPPSALA LÄN</t>
        </is>
      </c>
      <c r="E145" t="inlineStr">
        <is>
          <t>ENKÖPING</t>
        </is>
      </c>
      <c r="G145" t="n">
        <v>0.3</v>
      </c>
      <c r="H145" t="n">
        <v>0</v>
      </c>
      <c r="I145" t="n">
        <v>0</v>
      </c>
      <c r="J145" t="n">
        <v>0</v>
      </c>
      <c r="K145" t="n">
        <v>0</v>
      </c>
      <c r="L145" t="n">
        <v>0</v>
      </c>
      <c r="M145" t="n">
        <v>0</v>
      </c>
      <c r="N145" t="n">
        <v>0</v>
      </c>
      <c r="O145" t="n">
        <v>0</v>
      </c>
      <c r="P145" t="n">
        <v>0</v>
      </c>
      <c r="Q145" t="n">
        <v>0</v>
      </c>
      <c r="R145" s="2" t="inlineStr"/>
    </row>
    <row r="146" ht="15" customHeight="1">
      <c r="A146" t="inlineStr">
        <is>
          <t>A 11005-2023</t>
        </is>
      </c>
      <c r="B146" s="1" t="n">
        <v>44991</v>
      </c>
      <c r="C146" s="1" t="n">
        <v>45922</v>
      </c>
      <c r="D146" t="inlineStr">
        <is>
          <t>UPPSALA LÄN</t>
        </is>
      </c>
      <c r="E146" t="inlineStr">
        <is>
          <t>ENKÖPING</t>
        </is>
      </c>
      <c r="G146" t="n">
        <v>1.1</v>
      </c>
      <c r="H146" t="n">
        <v>0</v>
      </c>
      <c r="I146" t="n">
        <v>0</v>
      </c>
      <c r="J146" t="n">
        <v>0</v>
      </c>
      <c r="K146" t="n">
        <v>0</v>
      </c>
      <c r="L146" t="n">
        <v>0</v>
      </c>
      <c r="M146" t="n">
        <v>0</v>
      </c>
      <c r="N146" t="n">
        <v>0</v>
      </c>
      <c r="O146" t="n">
        <v>0</v>
      </c>
      <c r="P146" t="n">
        <v>0</v>
      </c>
      <c r="Q146" t="n">
        <v>0</v>
      </c>
      <c r="R146" s="2" t="inlineStr"/>
    </row>
    <row r="147" ht="15" customHeight="1">
      <c r="A147" t="inlineStr">
        <is>
          <t>A 26022-2025</t>
        </is>
      </c>
      <c r="B147" s="1" t="n">
        <v>45804.68006944445</v>
      </c>
      <c r="C147" s="1" t="n">
        <v>45922</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25988-2025</t>
        </is>
      </c>
      <c r="B148" s="1" t="n">
        <v>45804.64814814815</v>
      </c>
      <c r="C148" s="1" t="n">
        <v>45922</v>
      </c>
      <c r="D148" t="inlineStr">
        <is>
          <t>UPPSALA LÄN</t>
        </is>
      </c>
      <c r="E148" t="inlineStr">
        <is>
          <t>ENKÖPING</t>
        </is>
      </c>
      <c r="G148" t="n">
        <v>4.7</v>
      </c>
      <c r="H148" t="n">
        <v>0</v>
      </c>
      <c r="I148" t="n">
        <v>0</v>
      </c>
      <c r="J148" t="n">
        <v>0</v>
      </c>
      <c r="K148" t="n">
        <v>0</v>
      </c>
      <c r="L148" t="n">
        <v>0</v>
      </c>
      <c r="M148" t="n">
        <v>0</v>
      </c>
      <c r="N148" t="n">
        <v>0</v>
      </c>
      <c r="O148" t="n">
        <v>0</v>
      </c>
      <c r="P148" t="n">
        <v>0</v>
      </c>
      <c r="Q148" t="n">
        <v>0</v>
      </c>
      <c r="R148" s="2" t="inlineStr"/>
    </row>
    <row r="149" ht="15" customHeight="1">
      <c r="A149" t="inlineStr">
        <is>
          <t>A 26031-2025</t>
        </is>
      </c>
      <c r="B149" s="1" t="n">
        <v>45804.69050925926</v>
      </c>
      <c r="C149" s="1" t="n">
        <v>45922</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26011-2025</t>
        </is>
      </c>
      <c r="B150" s="1" t="n">
        <v>45804.67412037037</v>
      </c>
      <c r="C150" s="1" t="n">
        <v>45922</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26041-2025</t>
        </is>
      </c>
      <c r="B151" s="1" t="n">
        <v>45804.69883101852</v>
      </c>
      <c r="C151" s="1" t="n">
        <v>45922</v>
      </c>
      <c r="D151" t="inlineStr">
        <is>
          <t>UPPSALA LÄN</t>
        </is>
      </c>
      <c r="E151" t="inlineStr">
        <is>
          <t>ENKÖPING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25990-2025</t>
        </is>
      </c>
      <c r="B152" s="1" t="n">
        <v>45804.65229166667</v>
      </c>
      <c r="C152" s="1" t="n">
        <v>45922</v>
      </c>
      <c r="D152" t="inlineStr">
        <is>
          <t>UPPSALA LÄN</t>
        </is>
      </c>
      <c r="E152" t="inlineStr">
        <is>
          <t>ENKÖPING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57142-2021</t>
        </is>
      </c>
      <c r="B153" s="1" t="n">
        <v>44482</v>
      </c>
      <c r="C153" s="1" t="n">
        <v>45922</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57147-2021</t>
        </is>
      </c>
      <c r="B154" s="1" t="n">
        <v>44482</v>
      </c>
      <c r="C154" s="1" t="n">
        <v>45922</v>
      </c>
      <c r="D154" t="inlineStr">
        <is>
          <t>UPPSALA LÄN</t>
        </is>
      </c>
      <c r="E154" t="inlineStr">
        <is>
          <t>ENKÖPING</t>
        </is>
      </c>
      <c r="G154" t="n">
        <v>5.7</v>
      </c>
      <c r="H154" t="n">
        <v>0</v>
      </c>
      <c r="I154" t="n">
        <v>0</v>
      </c>
      <c r="J154" t="n">
        <v>0</v>
      </c>
      <c r="K154" t="n">
        <v>0</v>
      </c>
      <c r="L154" t="n">
        <v>0</v>
      </c>
      <c r="M154" t="n">
        <v>0</v>
      </c>
      <c r="N154" t="n">
        <v>0</v>
      </c>
      <c r="O154" t="n">
        <v>0</v>
      </c>
      <c r="P154" t="n">
        <v>0</v>
      </c>
      <c r="Q154" t="n">
        <v>0</v>
      </c>
      <c r="R154" s="2" t="inlineStr"/>
    </row>
    <row r="155" ht="15" customHeight="1">
      <c r="A155" t="inlineStr">
        <is>
          <t>A 25847-2025</t>
        </is>
      </c>
      <c r="B155" s="1" t="n">
        <v>45804</v>
      </c>
      <c r="C155" s="1" t="n">
        <v>45922</v>
      </c>
      <c r="D155" t="inlineStr">
        <is>
          <t>UPPSALA LÄN</t>
        </is>
      </c>
      <c r="E155" t="inlineStr">
        <is>
          <t>ENKÖPING</t>
        </is>
      </c>
      <c r="G155" t="n">
        <v>3.6</v>
      </c>
      <c r="H155" t="n">
        <v>0</v>
      </c>
      <c r="I155" t="n">
        <v>0</v>
      </c>
      <c r="J155" t="n">
        <v>0</v>
      </c>
      <c r="K155" t="n">
        <v>0</v>
      </c>
      <c r="L155" t="n">
        <v>0</v>
      </c>
      <c r="M155" t="n">
        <v>0</v>
      </c>
      <c r="N155" t="n">
        <v>0</v>
      </c>
      <c r="O155" t="n">
        <v>0</v>
      </c>
      <c r="P155" t="n">
        <v>0</v>
      </c>
      <c r="Q155" t="n">
        <v>0</v>
      </c>
      <c r="R155" s="2" t="inlineStr"/>
    </row>
    <row r="156" ht="15" customHeight="1">
      <c r="A156" t="inlineStr">
        <is>
          <t>A 47681-2024</t>
        </is>
      </c>
      <c r="B156" s="1" t="n">
        <v>45588</v>
      </c>
      <c r="C156" s="1" t="n">
        <v>45922</v>
      </c>
      <c r="D156" t="inlineStr">
        <is>
          <t>UPPSALA LÄN</t>
        </is>
      </c>
      <c r="E156" t="inlineStr">
        <is>
          <t>ENKÖPING</t>
        </is>
      </c>
      <c r="G156" t="n">
        <v>4.2</v>
      </c>
      <c r="H156" t="n">
        <v>0</v>
      </c>
      <c r="I156" t="n">
        <v>0</v>
      </c>
      <c r="J156" t="n">
        <v>0</v>
      </c>
      <c r="K156" t="n">
        <v>0</v>
      </c>
      <c r="L156" t="n">
        <v>0</v>
      </c>
      <c r="M156" t="n">
        <v>0</v>
      </c>
      <c r="N156" t="n">
        <v>0</v>
      </c>
      <c r="O156" t="n">
        <v>0</v>
      </c>
      <c r="P156" t="n">
        <v>0</v>
      </c>
      <c r="Q156" t="n">
        <v>0</v>
      </c>
      <c r="R156" s="2" t="inlineStr"/>
    </row>
    <row r="157" ht="15" customHeight="1">
      <c r="A157" t="inlineStr">
        <is>
          <t>A 26047-2025</t>
        </is>
      </c>
      <c r="B157" s="1" t="n">
        <v>45804.70835648148</v>
      </c>
      <c r="C157" s="1" t="n">
        <v>45922</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7868-2024</t>
        </is>
      </c>
      <c r="B158" s="1" t="n">
        <v>45350.33020833333</v>
      </c>
      <c r="C158" s="1" t="n">
        <v>45922</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7870-2024</t>
        </is>
      </c>
      <c r="B159" s="1" t="n">
        <v>45350.33349537037</v>
      </c>
      <c r="C159" s="1" t="n">
        <v>45922</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9231-2023</t>
        </is>
      </c>
      <c r="B160" s="1" t="n">
        <v>44980</v>
      </c>
      <c r="C160" s="1" t="n">
        <v>45922</v>
      </c>
      <c r="D160" t="inlineStr">
        <is>
          <t>UPPSALA LÄN</t>
        </is>
      </c>
      <c r="E160" t="inlineStr">
        <is>
          <t>ENKÖPING</t>
        </is>
      </c>
      <c r="G160" t="n">
        <v>1.5</v>
      </c>
      <c r="H160" t="n">
        <v>0</v>
      </c>
      <c r="I160" t="n">
        <v>0</v>
      </c>
      <c r="J160" t="n">
        <v>0</v>
      </c>
      <c r="K160" t="n">
        <v>0</v>
      </c>
      <c r="L160" t="n">
        <v>0</v>
      </c>
      <c r="M160" t="n">
        <v>0</v>
      </c>
      <c r="N160" t="n">
        <v>0</v>
      </c>
      <c r="O160" t="n">
        <v>0</v>
      </c>
      <c r="P160" t="n">
        <v>0</v>
      </c>
      <c r="Q160" t="n">
        <v>0</v>
      </c>
      <c r="R160" s="2" t="inlineStr"/>
    </row>
    <row r="161" ht="15" customHeight="1">
      <c r="A161" t="inlineStr">
        <is>
          <t>A 53496-2022</t>
        </is>
      </c>
      <c r="B161" s="1" t="n">
        <v>44879.57217592592</v>
      </c>
      <c r="C161" s="1" t="n">
        <v>45922</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18592-2021</t>
        </is>
      </c>
      <c r="B162" s="1" t="n">
        <v>44306</v>
      </c>
      <c r="C162" s="1" t="n">
        <v>45922</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6356-2022</t>
        </is>
      </c>
      <c r="B163" s="1" t="n">
        <v>44600</v>
      </c>
      <c r="C163" s="1" t="n">
        <v>45922</v>
      </c>
      <c r="D163" t="inlineStr">
        <is>
          <t>UPPSALA LÄN</t>
        </is>
      </c>
      <c r="E163" t="inlineStr">
        <is>
          <t>ENKÖPING</t>
        </is>
      </c>
      <c r="G163" t="n">
        <v>1.2</v>
      </c>
      <c r="H163" t="n">
        <v>0</v>
      </c>
      <c r="I163" t="n">
        <v>0</v>
      </c>
      <c r="J163" t="n">
        <v>0</v>
      </c>
      <c r="K163" t="n">
        <v>0</v>
      </c>
      <c r="L163" t="n">
        <v>0</v>
      </c>
      <c r="M163" t="n">
        <v>0</v>
      </c>
      <c r="N163" t="n">
        <v>0</v>
      </c>
      <c r="O163" t="n">
        <v>0</v>
      </c>
      <c r="P163" t="n">
        <v>0</v>
      </c>
      <c r="Q163" t="n">
        <v>0</v>
      </c>
      <c r="R163" s="2" t="inlineStr"/>
    </row>
    <row r="164" ht="15" customHeight="1">
      <c r="A164" t="inlineStr">
        <is>
          <t>A 15942-2022</t>
        </is>
      </c>
      <c r="B164" s="1" t="n">
        <v>44664</v>
      </c>
      <c r="C164" s="1" t="n">
        <v>45922</v>
      </c>
      <c r="D164" t="inlineStr">
        <is>
          <t>UPPSALA LÄN</t>
        </is>
      </c>
      <c r="E164" t="inlineStr">
        <is>
          <t>ENKÖPING</t>
        </is>
      </c>
      <c r="G164" t="n">
        <v>6.6</v>
      </c>
      <c r="H164" t="n">
        <v>0</v>
      </c>
      <c r="I164" t="n">
        <v>0</v>
      </c>
      <c r="J164" t="n">
        <v>0</v>
      </c>
      <c r="K164" t="n">
        <v>0</v>
      </c>
      <c r="L164" t="n">
        <v>0</v>
      </c>
      <c r="M164" t="n">
        <v>0</v>
      </c>
      <c r="N164" t="n">
        <v>0</v>
      </c>
      <c r="O164" t="n">
        <v>0</v>
      </c>
      <c r="P164" t="n">
        <v>0</v>
      </c>
      <c r="Q164" t="n">
        <v>0</v>
      </c>
      <c r="R164" s="2" t="inlineStr"/>
    </row>
    <row r="165" ht="15" customHeight="1">
      <c r="A165" t="inlineStr">
        <is>
          <t>A 2974-2025</t>
        </is>
      </c>
      <c r="B165" s="1" t="n">
        <v>45678.47168981482</v>
      </c>
      <c r="C165" s="1" t="n">
        <v>45922</v>
      </c>
      <c r="D165" t="inlineStr">
        <is>
          <t>UPPSALA LÄN</t>
        </is>
      </c>
      <c r="E165" t="inlineStr">
        <is>
          <t>ENKÖPING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16916-2022</t>
        </is>
      </c>
      <c r="B166" s="1" t="n">
        <v>44676</v>
      </c>
      <c r="C166" s="1" t="n">
        <v>45922</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13816-2021</t>
        </is>
      </c>
      <c r="B167" s="1" t="n">
        <v>44276</v>
      </c>
      <c r="C167" s="1" t="n">
        <v>45922</v>
      </c>
      <c r="D167" t="inlineStr">
        <is>
          <t>UPPSALA LÄN</t>
        </is>
      </c>
      <c r="E167" t="inlineStr">
        <is>
          <t>ENKÖPING</t>
        </is>
      </c>
      <c r="G167" t="n">
        <v>0.4</v>
      </c>
      <c r="H167" t="n">
        <v>0</v>
      </c>
      <c r="I167" t="n">
        <v>0</v>
      </c>
      <c r="J167" t="n">
        <v>0</v>
      </c>
      <c r="K167" t="n">
        <v>0</v>
      </c>
      <c r="L167" t="n">
        <v>0</v>
      </c>
      <c r="M167" t="n">
        <v>0</v>
      </c>
      <c r="N167" t="n">
        <v>0</v>
      </c>
      <c r="O167" t="n">
        <v>0</v>
      </c>
      <c r="P167" t="n">
        <v>0</v>
      </c>
      <c r="Q167" t="n">
        <v>0</v>
      </c>
      <c r="R167" s="2" t="inlineStr"/>
    </row>
    <row r="168" ht="15" customHeight="1">
      <c r="A168" t="inlineStr">
        <is>
          <t>A 30514-2021</t>
        </is>
      </c>
      <c r="B168" s="1" t="n">
        <v>44364</v>
      </c>
      <c r="C168" s="1" t="n">
        <v>45922</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12434-2021</t>
        </is>
      </c>
      <c r="B169" s="1" t="n">
        <v>44267</v>
      </c>
      <c r="C169" s="1" t="n">
        <v>45922</v>
      </c>
      <c r="D169" t="inlineStr">
        <is>
          <t>UPPSALA LÄN</t>
        </is>
      </c>
      <c r="E169" t="inlineStr">
        <is>
          <t>ENKÖPING</t>
        </is>
      </c>
      <c r="G169" t="n">
        <v>5.3</v>
      </c>
      <c r="H169" t="n">
        <v>0</v>
      </c>
      <c r="I169" t="n">
        <v>0</v>
      </c>
      <c r="J169" t="n">
        <v>0</v>
      </c>
      <c r="K169" t="n">
        <v>0</v>
      </c>
      <c r="L169" t="n">
        <v>0</v>
      </c>
      <c r="M169" t="n">
        <v>0</v>
      </c>
      <c r="N169" t="n">
        <v>0</v>
      </c>
      <c r="O169" t="n">
        <v>0</v>
      </c>
      <c r="P169" t="n">
        <v>0</v>
      </c>
      <c r="Q169" t="n">
        <v>0</v>
      </c>
      <c r="R169" s="2" t="inlineStr"/>
    </row>
    <row r="170" ht="15" customHeight="1">
      <c r="A170" t="inlineStr">
        <is>
          <t>A 49614-2024</t>
        </is>
      </c>
      <c r="B170" s="1" t="n">
        <v>45596.57716435185</v>
      </c>
      <c r="C170" s="1" t="n">
        <v>45922</v>
      </c>
      <c r="D170" t="inlineStr">
        <is>
          <t>UPPSALA LÄN</t>
        </is>
      </c>
      <c r="E170" t="inlineStr">
        <is>
          <t>ENKÖPING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49632-2024</t>
        </is>
      </c>
      <c r="B171" s="1" t="n">
        <v>45596</v>
      </c>
      <c r="C171" s="1" t="n">
        <v>45922</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31604-2023</t>
        </is>
      </c>
      <c r="B172" s="1" t="n">
        <v>45117.50368055556</v>
      </c>
      <c r="C172" s="1" t="n">
        <v>45922</v>
      </c>
      <c r="D172" t="inlineStr">
        <is>
          <t>UPPSALA LÄN</t>
        </is>
      </c>
      <c r="E172" t="inlineStr">
        <is>
          <t>ENKÖPING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25598-2021</t>
        </is>
      </c>
      <c r="B173" s="1" t="n">
        <v>44343.4558912037</v>
      </c>
      <c r="C173" s="1" t="n">
        <v>45922</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15162-2025</t>
        </is>
      </c>
      <c r="B174" s="1" t="n">
        <v>45744</v>
      </c>
      <c r="C174" s="1" t="n">
        <v>45922</v>
      </c>
      <c r="D174" t="inlineStr">
        <is>
          <t>UPPSALA LÄN</t>
        </is>
      </c>
      <c r="E174" t="inlineStr">
        <is>
          <t>ENKÖPING</t>
        </is>
      </c>
      <c r="G174" t="n">
        <v>4.2</v>
      </c>
      <c r="H174" t="n">
        <v>0</v>
      </c>
      <c r="I174" t="n">
        <v>0</v>
      </c>
      <c r="J174" t="n">
        <v>0</v>
      </c>
      <c r="K174" t="n">
        <v>0</v>
      </c>
      <c r="L174" t="n">
        <v>0</v>
      </c>
      <c r="M174" t="n">
        <v>0</v>
      </c>
      <c r="N174" t="n">
        <v>0</v>
      </c>
      <c r="O174" t="n">
        <v>0</v>
      </c>
      <c r="P174" t="n">
        <v>0</v>
      </c>
      <c r="Q174" t="n">
        <v>0</v>
      </c>
      <c r="R174" s="2" t="inlineStr"/>
    </row>
    <row r="175" ht="15" customHeight="1">
      <c r="A175" t="inlineStr">
        <is>
          <t>A 29479-2022</t>
        </is>
      </c>
      <c r="B175" s="1" t="n">
        <v>44753.57265046296</v>
      </c>
      <c r="C175" s="1" t="n">
        <v>45922</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35067-2024</t>
        </is>
      </c>
      <c r="B176" s="1" t="n">
        <v>45527.66153935185</v>
      </c>
      <c r="C176" s="1" t="n">
        <v>45922</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27786-2023</t>
        </is>
      </c>
      <c r="B177" s="1" t="n">
        <v>45098</v>
      </c>
      <c r="C177" s="1" t="n">
        <v>45922</v>
      </c>
      <c r="D177" t="inlineStr">
        <is>
          <t>UPPSALA LÄN</t>
        </is>
      </c>
      <c r="E177" t="inlineStr">
        <is>
          <t>ENKÖPING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27538-2023</t>
        </is>
      </c>
      <c r="B178" s="1" t="n">
        <v>45097</v>
      </c>
      <c r="C178" s="1" t="n">
        <v>45922</v>
      </c>
      <c r="D178" t="inlineStr">
        <is>
          <t>UPPSALA LÄN</t>
        </is>
      </c>
      <c r="E178" t="inlineStr">
        <is>
          <t>ENKÖPING</t>
        </is>
      </c>
      <c r="G178" t="n">
        <v>5.8</v>
      </c>
      <c r="H178" t="n">
        <v>0</v>
      </c>
      <c r="I178" t="n">
        <v>0</v>
      </c>
      <c r="J178" t="n">
        <v>0</v>
      </c>
      <c r="K178" t="n">
        <v>0</v>
      </c>
      <c r="L178" t="n">
        <v>0</v>
      </c>
      <c r="M178" t="n">
        <v>0</v>
      </c>
      <c r="N178" t="n">
        <v>0</v>
      </c>
      <c r="O178" t="n">
        <v>0</v>
      </c>
      <c r="P178" t="n">
        <v>0</v>
      </c>
      <c r="Q178" t="n">
        <v>0</v>
      </c>
      <c r="R178" s="2" t="inlineStr"/>
    </row>
    <row r="179" ht="15" customHeight="1">
      <c r="A179" t="inlineStr">
        <is>
          <t>A 15409-2025</t>
        </is>
      </c>
      <c r="B179" s="1" t="n">
        <v>45747</v>
      </c>
      <c r="C179" s="1" t="n">
        <v>45922</v>
      </c>
      <c r="D179" t="inlineStr">
        <is>
          <t>UPPSALA LÄN</t>
        </is>
      </c>
      <c r="E179" t="inlineStr">
        <is>
          <t>ENKÖPING</t>
        </is>
      </c>
      <c r="G179" t="n">
        <v>2.5</v>
      </c>
      <c r="H179" t="n">
        <v>0</v>
      </c>
      <c r="I179" t="n">
        <v>0</v>
      </c>
      <c r="J179" t="n">
        <v>0</v>
      </c>
      <c r="K179" t="n">
        <v>0</v>
      </c>
      <c r="L179" t="n">
        <v>0</v>
      </c>
      <c r="M179" t="n">
        <v>0</v>
      </c>
      <c r="N179" t="n">
        <v>0</v>
      </c>
      <c r="O179" t="n">
        <v>0</v>
      </c>
      <c r="P179" t="n">
        <v>0</v>
      </c>
      <c r="Q179" t="n">
        <v>0</v>
      </c>
      <c r="R179" s="2" t="inlineStr"/>
    </row>
    <row r="180" ht="15" customHeight="1">
      <c r="A180" t="inlineStr">
        <is>
          <t>A 60874-2023</t>
        </is>
      </c>
      <c r="B180" s="1" t="n">
        <v>45261.06280092592</v>
      </c>
      <c r="C180" s="1" t="n">
        <v>45922</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50394-2024</t>
        </is>
      </c>
      <c r="B181" s="1" t="n">
        <v>45600</v>
      </c>
      <c r="C181" s="1" t="n">
        <v>45922</v>
      </c>
      <c r="D181" t="inlineStr">
        <is>
          <t>UPPSALA LÄN</t>
        </is>
      </c>
      <c r="E181" t="inlineStr">
        <is>
          <t>ENKÖPING</t>
        </is>
      </c>
      <c r="G181" t="n">
        <v>1.2</v>
      </c>
      <c r="H181" t="n">
        <v>0</v>
      </c>
      <c r="I181" t="n">
        <v>0</v>
      </c>
      <c r="J181" t="n">
        <v>0</v>
      </c>
      <c r="K181" t="n">
        <v>0</v>
      </c>
      <c r="L181" t="n">
        <v>0</v>
      </c>
      <c r="M181" t="n">
        <v>0</v>
      </c>
      <c r="N181" t="n">
        <v>0</v>
      </c>
      <c r="O181" t="n">
        <v>0</v>
      </c>
      <c r="P181" t="n">
        <v>0</v>
      </c>
      <c r="Q181" t="n">
        <v>0</v>
      </c>
      <c r="R181" s="2" t="inlineStr"/>
    </row>
    <row r="182" ht="15" customHeight="1">
      <c r="A182" t="inlineStr">
        <is>
          <t>A 51010-2024</t>
        </is>
      </c>
      <c r="B182" s="1" t="n">
        <v>45603.39285879629</v>
      </c>
      <c r="C182" s="1" t="n">
        <v>45922</v>
      </c>
      <c r="D182" t="inlineStr">
        <is>
          <t>UPPSALA LÄN</t>
        </is>
      </c>
      <c r="E182" t="inlineStr">
        <is>
          <t>ENKÖPING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43016-2021</t>
        </is>
      </c>
      <c r="B183" s="1" t="n">
        <v>44431</v>
      </c>
      <c r="C183" s="1" t="n">
        <v>45922</v>
      </c>
      <c r="D183" t="inlineStr">
        <is>
          <t>UPPSALA LÄN</t>
        </is>
      </c>
      <c r="E183" t="inlineStr">
        <is>
          <t>ENKÖPING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19147-2024</t>
        </is>
      </c>
      <c r="B184" s="1" t="n">
        <v>45428</v>
      </c>
      <c r="C184" s="1" t="n">
        <v>45922</v>
      </c>
      <c r="D184" t="inlineStr">
        <is>
          <t>UPPSALA LÄN</t>
        </is>
      </c>
      <c r="E184" t="inlineStr">
        <is>
          <t>ENKÖPING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57209-2024</t>
        </is>
      </c>
      <c r="B185" s="1" t="n">
        <v>45629.49311342592</v>
      </c>
      <c r="C185" s="1" t="n">
        <v>45922</v>
      </c>
      <c r="D185" t="inlineStr">
        <is>
          <t>UPPSALA LÄN</t>
        </is>
      </c>
      <c r="E185" t="inlineStr">
        <is>
          <t>ENKÖPING</t>
        </is>
      </c>
      <c r="G185" t="n">
        <v>3.2</v>
      </c>
      <c r="H185" t="n">
        <v>0</v>
      </c>
      <c r="I185" t="n">
        <v>0</v>
      </c>
      <c r="J185" t="n">
        <v>0</v>
      </c>
      <c r="K185" t="n">
        <v>0</v>
      </c>
      <c r="L185" t="n">
        <v>0</v>
      </c>
      <c r="M185" t="n">
        <v>0</v>
      </c>
      <c r="N185" t="n">
        <v>0</v>
      </c>
      <c r="O185" t="n">
        <v>0</v>
      </c>
      <c r="P185" t="n">
        <v>0</v>
      </c>
      <c r="Q185" t="n">
        <v>0</v>
      </c>
      <c r="R185" s="2" t="inlineStr"/>
    </row>
    <row r="186" ht="15" customHeight="1">
      <c r="A186" t="inlineStr">
        <is>
          <t>A 51120-2023</t>
        </is>
      </c>
      <c r="B186" s="1" t="n">
        <v>45219.3088425926</v>
      </c>
      <c r="C186" s="1" t="n">
        <v>45922</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48864-2022</t>
        </is>
      </c>
      <c r="B187" s="1" t="n">
        <v>44859</v>
      </c>
      <c r="C187" s="1" t="n">
        <v>45922</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12878-2025</t>
        </is>
      </c>
      <c r="B188" s="1" t="n">
        <v>45733.68571759259</v>
      </c>
      <c r="C188" s="1" t="n">
        <v>45922</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43896-2022</t>
        </is>
      </c>
      <c r="B189" s="1" t="n">
        <v>44838</v>
      </c>
      <c r="C189" s="1" t="n">
        <v>45922</v>
      </c>
      <c r="D189" t="inlineStr">
        <is>
          <t>UPPSALA LÄN</t>
        </is>
      </c>
      <c r="E189" t="inlineStr">
        <is>
          <t>ENKÖPING</t>
        </is>
      </c>
      <c r="G189" t="n">
        <v>5.3</v>
      </c>
      <c r="H189" t="n">
        <v>0</v>
      </c>
      <c r="I189" t="n">
        <v>0</v>
      </c>
      <c r="J189" t="n">
        <v>0</v>
      </c>
      <c r="K189" t="n">
        <v>0</v>
      </c>
      <c r="L189" t="n">
        <v>0</v>
      </c>
      <c r="M189" t="n">
        <v>0</v>
      </c>
      <c r="N189" t="n">
        <v>0</v>
      </c>
      <c r="O189" t="n">
        <v>0</v>
      </c>
      <c r="P189" t="n">
        <v>0</v>
      </c>
      <c r="Q189" t="n">
        <v>0</v>
      </c>
      <c r="R189" s="2" t="inlineStr"/>
    </row>
    <row r="190" ht="15" customHeight="1">
      <c r="A190" t="inlineStr">
        <is>
          <t>A 4203-2021</t>
        </is>
      </c>
      <c r="B190" s="1" t="n">
        <v>44223</v>
      </c>
      <c r="C190" s="1" t="n">
        <v>45922</v>
      </c>
      <c r="D190" t="inlineStr">
        <is>
          <t>UPPSALA LÄN</t>
        </is>
      </c>
      <c r="E190" t="inlineStr">
        <is>
          <t>ENKÖPING</t>
        </is>
      </c>
      <c r="G190" t="n">
        <v>11.6</v>
      </c>
      <c r="H190" t="n">
        <v>0</v>
      </c>
      <c r="I190" t="n">
        <v>0</v>
      </c>
      <c r="J190" t="n">
        <v>0</v>
      </c>
      <c r="K190" t="n">
        <v>0</v>
      </c>
      <c r="L190" t="n">
        <v>0</v>
      </c>
      <c r="M190" t="n">
        <v>0</v>
      </c>
      <c r="N190" t="n">
        <v>0</v>
      </c>
      <c r="O190" t="n">
        <v>0</v>
      </c>
      <c r="P190" t="n">
        <v>0</v>
      </c>
      <c r="Q190" t="n">
        <v>0</v>
      </c>
      <c r="R190" s="2" t="inlineStr"/>
    </row>
    <row r="191" ht="15" customHeight="1">
      <c r="A191" t="inlineStr">
        <is>
          <t>A 6242-2025</t>
        </is>
      </c>
      <c r="B191" s="1" t="n">
        <v>45697</v>
      </c>
      <c r="C191" s="1" t="n">
        <v>45922</v>
      </c>
      <c r="D191" t="inlineStr">
        <is>
          <t>UPPSALA LÄN</t>
        </is>
      </c>
      <c r="E191" t="inlineStr">
        <is>
          <t>ENKÖPING</t>
        </is>
      </c>
      <c r="G191" t="n">
        <v>17.9</v>
      </c>
      <c r="H191" t="n">
        <v>0</v>
      </c>
      <c r="I191" t="n">
        <v>0</v>
      </c>
      <c r="J191" t="n">
        <v>0</v>
      </c>
      <c r="K191" t="n">
        <v>0</v>
      </c>
      <c r="L191" t="n">
        <v>0</v>
      </c>
      <c r="M191" t="n">
        <v>0</v>
      </c>
      <c r="N191" t="n">
        <v>0</v>
      </c>
      <c r="O191" t="n">
        <v>0</v>
      </c>
      <c r="P191" t="n">
        <v>0</v>
      </c>
      <c r="Q191" t="n">
        <v>0</v>
      </c>
      <c r="R191" s="2" t="inlineStr"/>
    </row>
    <row r="192" ht="15" customHeight="1">
      <c r="A192" t="inlineStr">
        <is>
          <t>A 42459-2024</t>
        </is>
      </c>
      <c r="B192" s="1" t="n">
        <v>45565</v>
      </c>
      <c r="C192" s="1" t="n">
        <v>45922</v>
      </c>
      <c r="D192" t="inlineStr">
        <is>
          <t>UPPSALA LÄN</t>
        </is>
      </c>
      <c r="E192" t="inlineStr">
        <is>
          <t>ENKÖPING</t>
        </is>
      </c>
      <c r="G192" t="n">
        <v>3.6</v>
      </c>
      <c r="H192" t="n">
        <v>0</v>
      </c>
      <c r="I192" t="n">
        <v>0</v>
      </c>
      <c r="J192" t="n">
        <v>0</v>
      </c>
      <c r="K192" t="n">
        <v>0</v>
      </c>
      <c r="L192" t="n">
        <v>0</v>
      </c>
      <c r="M192" t="n">
        <v>0</v>
      </c>
      <c r="N192" t="n">
        <v>0</v>
      </c>
      <c r="O192" t="n">
        <v>0</v>
      </c>
      <c r="P192" t="n">
        <v>0</v>
      </c>
      <c r="Q192" t="n">
        <v>0</v>
      </c>
      <c r="R192" s="2" t="inlineStr"/>
    </row>
    <row r="193" ht="15" customHeight="1">
      <c r="A193" t="inlineStr">
        <is>
          <t>A 7090-2022</t>
        </is>
      </c>
      <c r="B193" s="1" t="n">
        <v>44603.59520833333</v>
      </c>
      <c r="C193" s="1" t="n">
        <v>45922</v>
      </c>
      <c r="D193" t="inlineStr">
        <is>
          <t>UPPSALA LÄN</t>
        </is>
      </c>
      <c r="E193" t="inlineStr">
        <is>
          <t>ENKÖPING</t>
        </is>
      </c>
      <c r="G193" t="n">
        <v>2.8</v>
      </c>
      <c r="H193" t="n">
        <v>0</v>
      </c>
      <c r="I193" t="n">
        <v>0</v>
      </c>
      <c r="J193" t="n">
        <v>0</v>
      </c>
      <c r="K193" t="n">
        <v>0</v>
      </c>
      <c r="L193" t="n">
        <v>0</v>
      </c>
      <c r="M193" t="n">
        <v>0</v>
      </c>
      <c r="N193" t="n">
        <v>0</v>
      </c>
      <c r="O193" t="n">
        <v>0</v>
      </c>
      <c r="P193" t="n">
        <v>0</v>
      </c>
      <c r="Q193" t="n">
        <v>0</v>
      </c>
      <c r="R193" s="2" t="inlineStr"/>
    </row>
    <row r="194" ht="15" customHeight="1">
      <c r="A194" t="inlineStr">
        <is>
          <t>A 9487-2025</t>
        </is>
      </c>
      <c r="B194" s="1" t="n">
        <v>45715.49331018519</v>
      </c>
      <c r="C194" s="1" t="n">
        <v>45922</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6144-2024</t>
        </is>
      </c>
      <c r="B195" s="1" t="n">
        <v>45337.4684837963</v>
      </c>
      <c r="C195" s="1" t="n">
        <v>45922</v>
      </c>
      <c r="D195" t="inlineStr">
        <is>
          <t>UPPSALA LÄN</t>
        </is>
      </c>
      <c r="E195" t="inlineStr">
        <is>
          <t>ENKÖPING</t>
        </is>
      </c>
      <c r="G195" t="n">
        <v>13.8</v>
      </c>
      <c r="H195" t="n">
        <v>0</v>
      </c>
      <c r="I195" t="n">
        <v>0</v>
      </c>
      <c r="J195" t="n">
        <v>0</v>
      </c>
      <c r="K195" t="n">
        <v>0</v>
      </c>
      <c r="L195" t="n">
        <v>0</v>
      </c>
      <c r="M195" t="n">
        <v>0</v>
      </c>
      <c r="N195" t="n">
        <v>0</v>
      </c>
      <c r="O195" t="n">
        <v>0</v>
      </c>
      <c r="P195" t="n">
        <v>0</v>
      </c>
      <c r="Q195" t="n">
        <v>0</v>
      </c>
      <c r="R195" s="2" t="inlineStr"/>
    </row>
    <row r="196" ht="15" customHeight="1">
      <c r="A196" t="inlineStr">
        <is>
          <t>A 33955-2024</t>
        </is>
      </c>
      <c r="B196" s="1" t="n">
        <v>45523.46952546296</v>
      </c>
      <c r="C196" s="1" t="n">
        <v>45922</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52388-2024</t>
        </is>
      </c>
      <c r="B197" s="1" t="n">
        <v>45609.42939814815</v>
      </c>
      <c r="C197" s="1" t="n">
        <v>45922</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66517-2020</t>
        </is>
      </c>
      <c r="B198" s="1" t="n">
        <v>44178</v>
      </c>
      <c r="C198" s="1" t="n">
        <v>45922</v>
      </c>
      <c r="D198" t="inlineStr">
        <is>
          <t>UPPSALA LÄN</t>
        </is>
      </c>
      <c r="E198" t="inlineStr">
        <is>
          <t>ENKÖPING</t>
        </is>
      </c>
      <c r="G198" t="n">
        <v>4</v>
      </c>
      <c r="H198" t="n">
        <v>0</v>
      </c>
      <c r="I198" t="n">
        <v>0</v>
      </c>
      <c r="J198" t="n">
        <v>0</v>
      </c>
      <c r="K198" t="n">
        <v>0</v>
      </c>
      <c r="L198" t="n">
        <v>0</v>
      </c>
      <c r="M198" t="n">
        <v>0</v>
      </c>
      <c r="N198" t="n">
        <v>0</v>
      </c>
      <c r="O198" t="n">
        <v>0</v>
      </c>
      <c r="P198" t="n">
        <v>0</v>
      </c>
      <c r="Q198" t="n">
        <v>0</v>
      </c>
      <c r="R198" s="2" t="inlineStr"/>
    </row>
    <row r="199" ht="15" customHeight="1">
      <c r="A199" t="inlineStr">
        <is>
          <t>A 16920-2023</t>
        </is>
      </c>
      <c r="B199" s="1" t="n">
        <v>45033.59030092593</v>
      </c>
      <c r="C199" s="1" t="n">
        <v>45922</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60125-2024</t>
        </is>
      </c>
      <c r="B200" s="1" t="n">
        <v>45642</v>
      </c>
      <c r="C200" s="1" t="n">
        <v>45922</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53607-2023</t>
        </is>
      </c>
      <c r="B201" s="1" t="n">
        <v>45230</v>
      </c>
      <c r="C201" s="1" t="n">
        <v>45922</v>
      </c>
      <c r="D201" t="inlineStr">
        <is>
          <t>UPPSALA LÄN</t>
        </is>
      </c>
      <c r="E201" t="inlineStr">
        <is>
          <t>ENKÖPING</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53586-2024</t>
        </is>
      </c>
      <c r="B202" s="1" t="n">
        <v>45614</v>
      </c>
      <c r="C202" s="1" t="n">
        <v>45922</v>
      </c>
      <c r="D202" t="inlineStr">
        <is>
          <t>UPPSALA LÄN</t>
        </is>
      </c>
      <c r="E202" t="inlineStr">
        <is>
          <t>ENKÖPING</t>
        </is>
      </c>
      <c r="G202" t="n">
        <v>6.6</v>
      </c>
      <c r="H202" t="n">
        <v>0</v>
      </c>
      <c r="I202" t="n">
        <v>0</v>
      </c>
      <c r="J202" t="n">
        <v>0</v>
      </c>
      <c r="K202" t="n">
        <v>0</v>
      </c>
      <c r="L202" t="n">
        <v>0</v>
      </c>
      <c r="M202" t="n">
        <v>0</v>
      </c>
      <c r="N202" t="n">
        <v>0</v>
      </c>
      <c r="O202" t="n">
        <v>0</v>
      </c>
      <c r="P202" t="n">
        <v>0</v>
      </c>
      <c r="Q202" t="n">
        <v>0</v>
      </c>
      <c r="R202" s="2" t="inlineStr"/>
    </row>
    <row r="203" ht="15" customHeight="1">
      <c r="A203" t="inlineStr">
        <is>
          <t>A 40202-2024</t>
        </is>
      </c>
      <c r="B203" s="1" t="n">
        <v>45554</v>
      </c>
      <c r="C203" s="1" t="n">
        <v>45922</v>
      </c>
      <c r="D203" t="inlineStr">
        <is>
          <t>UPPSALA LÄN</t>
        </is>
      </c>
      <c r="E203" t="inlineStr">
        <is>
          <t>ENKÖPING</t>
        </is>
      </c>
      <c r="G203" t="n">
        <v>6.2</v>
      </c>
      <c r="H203" t="n">
        <v>0</v>
      </c>
      <c r="I203" t="n">
        <v>0</v>
      </c>
      <c r="J203" t="n">
        <v>0</v>
      </c>
      <c r="K203" t="n">
        <v>0</v>
      </c>
      <c r="L203" t="n">
        <v>0</v>
      </c>
      <c r="M203" t="n">
        <v>0</v>
      </c>
      <c r="N203" t="n">
        <v>0</v>
      </c>
      <c r="O203" t="n">
        <v>0</v>
      </c>
      <c r="P203" t="n">
        <v>0</v>
      </c>
      <c r="Q203" t="n">
        <v>0</v>
      </c>
      <c r="R203" s="2" t="inlineStr"/>
    </row>
    <row r="204" ht="15" customHeight="1">
      <c r="A204" t="inlineStr">
        <is>
          <t>A 10468-2025</t>
        </is>
      </c>
      <c r="B204" s="1" t="n">
        <v>45720</v>
      </c>
      <c r="C204" s="1" t="n">
        <v>45922</v>
      </c>
      <c r="D204" t="inlineStr">
        <is>
          <t>UPPSALA LÄN</t>
        </is>
      </c>
      <c r="E204" t="inlineStr">
        <is>
          <t>ENKÖPING</t>
        </is>
      </c>
      <c r="G204" t="n">
        <v>1.6</v>
      </c>
      <c r="H204" t="n">
        <v>0</v>
      </c>
      <c r="I204" t="n">
        <v>0</v>
      </c>
      <c r="J204" t="n">
        <v>0</v>
      </c>
      <c r="K204" t="n">
        <v>0</v>
      </c>
      <c r="L204" t="n">
        <v>0</v>
      </c>
      <c r="M204" t="n">
        <v>0</v>
      </c>
      <c r="N204" t="n">
        <v>0</v>
      </c>
      <c r="O204" t="n">
        <v>0</v>
      </c>
      <c r="P204" t="n">
        <v>0</v>
      </c>
      <c r="Q204" t="n">
        <v>0</v>
      </c>
      <c r="R204" s="2" t="inlineStr"/>
    </row>
    <row r="205" ht="15" customHeight="1">
      <c r="A205" t="inlineStr">
        <is>
          <t>A 8306-2021</t>
        </is>
      </c>
      <c r="B205" s="1" t="n">
        <v>44244</v>
      </c>
      <c r="C205" s="1" t="n">
        <v>45922</v>
      </c>
      <c r="D205" t="inlineStr">
        <is>
          <t>UPPSALA LÄN</t>
        </is>
      </c>
      <c r="E205" t="inlineStr">
        <is>
          <t>ENKÖPING</t>
        </is>
      </c>
      <c r="G205" t="n">
        <v>14.9</v>
      </c>
      <c r="H205" t="n">
        <v>0</v>
      </c>
      <c r="I205" t="n">
        <v>0</v>
      </c>
      <c r="J205" t="n">
        <v>0</v>
      </c>
      <c r="K205" t="n">
        <v>0</v>
      </c>
      <c r="L205" t="n">
        <v>0</v>
      </c>
      <c r="M205" t="n">
        <v>0</v>
      </c>
      <c r="N205" t="n">
        <v>0</v>
      </c>
      <c r="O205" t="n">
        <v>0</v>
      </c>
      <c r="P205" t="n">
        <v>0</v>
      </c>
      <c r="Q205" t="n">
        <v>0</v>
      </c>
      <c r="R205" s="2" t="inlineStr"/>
    </row>
    <row r="206" ht="15" customHeight="1">
      <c r="A206" t="inlineStr">
        <is>
          <t>A 43506-2023</t>
        </is>
      </c>
      <c r="B206" s="1" t="n">
        <v>45181</v>
      </c>
      <c r="C206" s="1" t="n">
        <v>45922</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57152-2021</t>
        </is>
      </c>
      <c r="B207" s="1" t="n">
        <v>44482</v>
      </c>
      <c r="C207" s="1" t="n">
        <v>45922</v>
      </c>
      <c r="D207" t="inlineStr">
        <is>
          <t>UPPSALA LÄN</t>
        </is>
      </c>
      <c r="E207" t="inlineStr">
        <is>
          <t>ENKÖPING</t>
        </is>
      </c>
      <c r="G207" t="n">
        <v>1.4</v>
      </c>
      <c r="H207" t="n">
        <v>0</v>
      </c>
      <c r="I207" t="n">
        <v>0</v>
      </c>
      <c r="J207" t="n">
        <v>0</v>
      </c>
      <c r="K207" t="n">
        <v>0</v>
      </c>
      <c r="L207" t="n">
        <v>0</v>
      </c>
      <c r="M207" t="n">
        <v>0</v>
      </c>
      <c r="N207" t="n">
        <v>0</v>
      </c>
      <c r="O207" t="n">
        <v>0</v>
      </c>
      <c r="P207" t="n">
        <v>0</v>
      </c>
      <c r="Q207" t="n">
        <v>0</v>
      </c>
      <c r="R207" s="2" t="inlineStr"/>
    </row>
    <row r="208" ht="15" customHeight="1">
      <c r="A208" t="inlineStr">
        <is>
          <t>A 46186-2023</t>
        </is>
      </c>
      <c r="B208" s="1" t="n">
        <v>45196</v>
      </c>
      <c r="C208" s="1" t="n">
        <v>45922</v>
      </c>
      <c r="D208" t="inlineStr">
        <is>
          <t>UPPSALA LÄN</t>
        </is>
      </c>
      <c r="E208" t="inlineStr">
        <is>
          <t>ENKÖPING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54595-2021</t>
        </is>
      </c>
      <c r="B209" s="1" t="n">
        <v>44473.58824074074</v>
      </c>
      <c r="C209" s="1" t="n">
        <v>45922</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54588-2024</t>
        </is>
      </c>
      <c r="B210" s="1" t="n">
        <v>45617</v>
      </c>
      <c r="C210" s="1" t="n">
        <v>45922</v>
      </c>
      <c r="D210" t="inlineStr">
        <is>
          <t>UPPSALA LÄN</t>
        </is>
      </c>
      <c r="E210" t="inlineStr">
        <is>
          <t>ENKÖPING</t>
        </is>
      </c>
      <c r="G210" t="n">
        <v>3.7</v>
      </c>
      <c r="H210" t="n">
        <v>0</v>
      </c>
      <c r="I210" t="n">
        <v>0</v>
      </c>
      <c r="J210" t="n">
        <v>0</v>
      </c>
      <c r="K210" t="n">
        <v>0</v>
      </c>
      <c r="L210" t="n">
        <v>0</v>
      </c>
      <c r="M210" t="n">
        <v>0</v>
      </c>
      <c r="N210" t="n">
        <v>0</v>
      </c>
      <c r="O210" t="n">
        <v>0</v>
      </c>
      <c r="P210" t="n">
        <v>0</v>
      </c>
      <c r="Q210" t="n">
        <v>0</v>
      </c>
      <c r="R210" s="2" t="inlineStr"/>
    </row>
    <row r="211" ht="15" customHeight="1">
      <c r="A211" t="inlineStr">
        <is>
          <t>A 47428-2023</t>
        </is>
      </c>
      <c r="B211" s="1" t="n">
        <v>45202.66664351852</v>
      </c>
      <c r="C211" s="1" t="n">
        <v>45922</v>
      </c>
      <c r="D211" t="inlineStr">
        <is>
          <t>UPPSALA LÄN</t>
        </is>
      </c>
      <c r="E211" t="inlineStr">
        <is>
          <t>ENKÖPING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5211-2024</t>
        </is>
      </c>
      <c r="B212" s="1" t="n">
        <v>45330</v>
      </c>
      <c r="C212" s="1" t="n">
        <v>45922</v>
      </c>
      <c r="D212" t="inlineStr">
        <is>
          <t>UPPSALA LÄN</t>
        </is>
      </c>
      <c r="E212" t="inlineStr">
        <is>
          <t>ENKÖPING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10409-2025</t>
        </is>
      </c>
      <c r="B213" s="1" t="n">
        <v>45720.631875</v>
      </c>
      <c r="C213" s="1" t="n">
        <v>45922</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18299-2025</t>
        </is>
      </c>
      <c r="B214" s="1" t="n">
        <v>45762</v>
      </c>
      <c r="C214" s="1" t="n">
        <v>45922</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27829-2025</t>
        </is>
      </c>
      <c r="B215" s="1" t="n">
        <v>45817</v>
      </c>
      <c r="C215" s="1" t="n">
        <v>45922</v>
      </c>
      <c r="D215" t="inlineStr">
        <is>
          <t>UPPSALA LÄN</t>
        </is>
      </c>
      <c r="E215" t="inlineStr">
        <is>
          <t>ENKÖPING</t>
        </is>
      </c>
      <c r="G215" t="n">
        <v>2.1</v>
      </c>
      <c r="H215" t="n">
        <v>0</v>
      </c>
      <c r="I215" t="n">
        <v>0</v>
      </c>
      <c r="J215" t="n">
        <v>0</v>
      </c>
      <c r="K215" t="n">
        <v>0</v>
      </c>
      <c r="L215" t="n">
        <v>0</v>
      </c>
      <c r="M215" t="n">
        <v>0</v>
      </c>
      <c r="N215" t="n">
        <v>0</v>
      </c>
      <c r="O215" t="n">
        <v>0</v>
      </c>
      <c r="P215" t="n">
        <v>0</v>
      </c>
      <c r="Q215" t="n">
        <v>0</v>
      </c>
      <c r="R215" s="2" t="inlineStr"/>
    </row>
    <row r="216" ht="15" customHeight="1">
      <c r="A216" t="inlineStr">
        <is>
          <t>A 5892-2023</t>
        </is>
      </c>
      <c r="B216" s="1" t="n">
        <v>44963.64883101852</v>
      </c>
      <c r="C216" s="1" t="n">
        <v>45922</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12572-2021</t>
        </is>
      </c>
      <c r="B217" s="1" t="n">
        <v>44270.36438657407</v>
      </c>
      <c r="C217" s="1" t="n">
        <v>45922</v>
      </c>
      <c r="D217" t="inlineStr">
        <is>
          <t>UPPSALA LÄN</t>
        </is>
      </c>
      <c r="E217" t="inlineStr">
        <is>
          <t>ENKÖPING</t>
        </is>
      </c>
      <c r="G217" t="n">
        <v>3.3</v>
      </c>
      <c r="H217" t="n">
        <v>0</v>
      </c>
      <c r="I217" t="n">
        <v>0</v>
      </c>
      <c r="J217" t="n">
        <v>0</v>
      </c>
      <c r="K217" t="n">
        <v>0</v>
      </c>
      <c r="L217" t="n">
        <v>0</v>
      </c>
      <c r="M217" t="n">
        <v>0</v>
      </c>
      <c r="N217" t="n">
        <v>0</v>
      </c>
      <c r="O217" t="n">
        <v>0</v>
      </c>
      <c r="P217" t="n">
        <v>0</v>
      </c>
      <c r="Q217" t="n">
        <v>0</v>
      </c>
      <c r="R217" s="2" t="inlineStr"/>
    </row>
    <row r="218" ht="15" customHeight="1">
      <c r="A218" t="inlineStr">
        <is>
          <t>A 671-2022</t>
        </is>
      </c>
      <c r="B218" s="1" t="n">
        <v>44568</v>
      </c>
      <c r="C218" s="1" t="n">
        <v>45922</v>
      </c>
      <c r="D218" t="inlineStr">
        <is>
          <t>UPPSALA LÄN</t>
        </is>
      </c>
      <c r="E218" t="inlineStr">
        <is>
          <t>ENKÖPING</t>
        </is>
      </c>
      <c r="G218" t="n">
        <v>3.5</v>
      </c>
      <c r="H218" t="n">
        <v>0</v>
      </c>
      <c r="I218" t="n">
        <v>0</v>
      </c>
      <c r="J218" t="n">
        <v>0</v>
      </c>
      <c r="K218" t="n">
        <v>0</v>
      </c>
      <c r="L218" t="n">
        <v>0</v>
      </c>
      <c r="M218" t="n">
        <v>0</v>
      </c>
      <c r="N218" t="n">
        <v>0</v>
      </c>
      <c r="O218" t="n">
        <v>0</v>
      </c>
      <c r="P218" t="n">
        <v>0</v>
      </c>
      <c r="Q218" t="n">
        <v>0</v>
      </c>
      <c r="R218" s="2" t="inlineStr"/>
    </row>
    <row r="219" ht="15" customHeight="1">
      <c r="A219" t="inlineStr">
        <is>
          <t>A 43488-2023</t>
        </is>
      </c>
      <c r="B219" s="1" t="n">
        <v>45181</v>
      </c>
      <c r="C219" s="1" t="n">
        <v>45922</v>
      </c>
      <c r="D219" t="inlineStr">
        <is>
          <t>UPPSALA LÄN</t>
        </is>
      </c>
      <c r="E219" t="inlineStr">
        <is>
          <t>ENKÖPING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9171-2024</t>
        </is>
      </c>
      <c r="B220" s="1" t="n">
        <v>45358</v>
      </c>
      <c r="C220" s="1" t="n">
        <v>45922</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34124-2021</t>
        </is>
      </c>
      <c r="B221" s="1" t="n">
        <v>44379</v>
      </c>
      <c r="C221" s="1" t="n">
        <v>45922</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28518-2024</t>
        </is>
      </c>
      <c r="B222" s="1" t="n">
        <v>45477</v>
      </c>
      <c r="C222" s="1" t="n">
        <v>45922</v>
      </c>
      <c r="D222" t="inlineStr">
        <is>
          <t>UPPSALA LÄN</t>
        </is>
      </c>
      <c r="E222" t="inlineStr">
        <is>
          <t>ENKÖPING</t>
        </is>
      </c>
      <c r="G222" t="n">
        <v>3.4</v>
      </c>
      <c r="H222" t="n">
        <v>0</v>
      </c>
      <c r="I222" t="n">
        <v>0</v>
      </c>
      <c r="J222" t="n">
        <v>0</v>
      </c>
      <c r="K222" t="n">
        <v>0</v>
      </c>
      <c r="L222" t="n">
        <v>0</v>
      </c>
      <c r="M222" t="n">
        <v>0</v>
      </c>
      <c r="N222" t="n">
        <v>0</v>
      </c>
      <c r="O222" t="n">
        <v>0</v>
      </c>
      <c r="P222" t="n">
        <v>0</v>
      </c>
      <c r="Q222" t="n">
        <v>0</v>
      </c>
      <c r="R222" s="2" t="inlineStr"/>
    </row>
    <row r="223" ht="15" customHeight="1">
      <c r="A223" t="inlineStr">
        <is>
          <t>A 52299-2023</t>
        </is>
      </c>
      <c r="B223" s="1" t="n">
        <v>45224.61636574074</v>
      </c>
      <c r="C223" s="1" t="n">
        <v>45922</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21686-2022</t>
        </is>
      </c>
      <c r="B224" s="1" t="n">
        <v>44707</v>
      </c>
      <c r="C224" s="1" t="n">
        <v>45922</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43230-2023</t>
        </is>
      </c>
      <c r="B225" s="1" t="n">
        <v>45183</v>
      </c>
      <c r="C225" s="1" t="n">
        <v>45922</v>
      </c>
      <c r="D225" t="inlineStr">
        <is>
          <t>UPPSALA LÄN</t>
        </is>
      </c>
      <c r="E225" t="inlineStr">
        <is>
          <t>ENKÖPING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45362-2022</t>
        </is>
      </c>
      <c r="B226" s="1" t="n">
        <v>44844.62366898148</v>
      </c>
      <c r="C226" s="1" t="n">
        <v>45922</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72840-2021</t>
        </is>
      </c>
      <c r="B227" s="1" t="n">
        <v>44547</v>
      </c>
      <c r="C227" s="1" t="n">
        <v>45922</v>
      </c>
      <c r="D227" t="inlineStr">
        <is>
          <t>UPPSALA LÄN</t>
        </is>
      </c>
      <c r="E227" t="inlineStr">
        <is>
          <t>ENKÖPING</t>
        </is>
      </c>
      <c r="G227" t="n">
        <v>1.9</v>
      </c>
      <c r="H227" t="n">
        <v>0</v>
      </c>
      <c r="I227" t="n">
        <v>0</v>
      </c>
      <c r="J227" t="n">
        <v>0</v>
      </c>
      <c r="K227" t="n">
        <v>0</v>
      </c>
      <c r="L227" t="n">
        <v>0</v>
      </c>
      <c r="M227" t="n">
        <v>0</v>
      </c>
      <c r="N227" t="n">
        <v>0</v>
      </c>
      <c r="O227" t="n">
        <v>0</v>
      </c>
      <c r="P227" t="n">
        <v>0</v>
      </c>
      <c r="Q227" t="n">
        <v>0</v>
      </c>
      <c r="R227" s="2" t="inlineStr"/>
    </row>
    <row r="228" ht="15" customHeight="1">
      <c r="A228" t="inlineStr">
        <is>
          <t>A 18831-2023</t>
        </is>
      </c>
      <c r="B228" s="1" t="n">
        <v>45044.40798611111</v>
      </c>
      <c r="C228" s="1" t="n">
        <v>45922</v>
      </c>
      <c r="D228" t="inlineStr">
        <is>
          <t>UPPSALA LÄN</t>
        </is>
      </c>
      <c r="E228" t="inlineStr">
        <is>
          <t>ENKÖPING</t>
        </is>
      </c>
      <c r="G228" t="n">
        <v>4.3</v>
      </c>
      <c r="H228" t="n">
        <v>0</v>
      </c>
      <c r="I228" t="n">
        <v>0</v>
      </c>
      <c r="J228" t="n">
        <v>0</v>
      </c>
      <c r="K228" t="n">
        <v>0</v>
      </c>
      <c r="L228" t="n">
        <v>0</v>
      </c>
      <c r="M228" t="n">
        <v>0</v>
      </c>
      <c r="N228" t="n">
        <v>0</v>
      </c>
      <c r="O228" t="n">
        <v>0</v>
      </c>
      <c r="P228" t="n">
        <v>0</v>
      </c>
      <c r="Q228" t="n">
        <v>0</v>
      </c>
      <c r="R228" s="2" t="inlineStr"/>
    </row>
    <row r="229" ht="15" customHeight="1">
      <c r="A229" t="inlineStr">
        <is>
          <t>A 46593-2020</t>
        </is>
      </c>
      <c r="B229" s="1" t="n">
        <v>44095</v>
      </c>
      <c r="C229" s="1" t="n">
        <v>45922</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49622-2024</t>
        </is>
      </c>
      <c r="B230" s="1" t="n">
        <v>45596.58372685185</v>
      </c>
      <c r="C230" s="1" t="n">
        <v>45922</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6172-2023</t>
        </is>
      </c>
      <c r="B231" s="1" t="n">
        <v>44964.68663194445</v>
      </c>
      <c r="C231" s="1" t="n">
        <v>45922</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14402-2023</t>
        </is>
      </c>
      <c r="B232" s="1" t="n">
        <v>45012</v>
      </c>
      <c r="C232" s="1" t="n">
        <v>45922</v>
      </c>
      <c r="D232" t="inlineStr">
        <is>
          <t>UPPSALA LÄN</t>
        </is>
      </c>
      <c r="E232" t="inlineStr">
        <is>
          <t>ENKÖPING</t>
        </is>
      </c>
      <c r="G232" t="n">
        <v>9.5</v>
      </c>
      <c r="H232" t="n">
        <v>0</v>
      </c>
      <c r="I232" t="n">
        <v>0</v>
      </c>
      <c r="J232" t="n">
        <v>0</v>
      </c>
      <c r="K232" t="n">
        <v>0</v>
      </c>
      <c r="L232" t="n">
        <v>0</v>
      </c>
      <c r="M232" t="n">
        <v>0</v>
      </c>
      <c r="N232" t="n">
        <v>0</v>
      </c>
      <c r="O232" t="n">
        <v>0</v>
      </c>
      <c r="P232" t="n">
        <v>0</v>
      </c>
      <c r="Q232" t="n">
        <v>0</v>
      </c>
      <c r="R232" s="2" t="inlineStr"/>
    </row>
    <row r="233" ht="15" customHeight="1">
      <c r="A233" t="inlineStr">
        <is>
          <t>A 34617-2022</t>
        </is>
      </c>
      <c r="B233" s="1" t="n">
        <v>44795</v>
      </c>
      <c r="C233" s="1" t="n">
        <v>45922</v>
      </c>
      <c r="D233" t="inlineStr">
        <is>
          <t>UPPSALA LÄN</t>
        </is>
      </c>
      <c r="E233" t="inlineStr">
        <is>
          <t>ENKÖPING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1992-2022</t>
        </is>
      </c>
      <c r="B234" s="1" t="n">
        <v>44575.56153935185</v>
      </c>
      <c r="C234" s="1" t="n">
        <v>45922</v>
      </c>
      <c r="D234" t="inlineStr">
        <is>
          <t>UPPSALA LÄN</t>
        </is>
      </c>
      <c r="E234" t="inlineStr">
        <is>
          <t>ENKÖPING</t>
        </is>
      </c>
      <c r="G234" t="n">
        <v>2.8</v>
      </c>
      <c r="H234" t="n">
        <v>0</v>
      </c>
      <c r="I234" t="n">
        <v>0</v>
      </c>
      <c r="J234" t="n">
        <v>0</v>
      </c>
      <c r="K234" t="n">
        <v>0</v>
      </c>
      <c r="L234" t="n">
        <v>0</v>
      </c>
      <c r="M234" t="n">
        <v>0</v>
      </c>
      <c r="N234" t="n">
        <v>0</v>
      </c>
      <c r="O234" t="n">
        <v>0</v>
      </c>
      <c r="P234" t="n">
        <v>0</v>
      </c>
      <c r="Q234" t="n">
        <v>0</v>
      </c>
      <c r="R234" s="2" t="inlineStr"/>
    </row>
    <row r="235" ht="15" customHeight="1">
      <c r="A235" t="inlineStr">
        <is>
          <t>A 18583-2021</t>
        </is>
      </c>
      <c r="B235" s="1" t="n">
        <v>44306</v>
      </c>
      <c r="C235" s="1" t="n">
        <v>45922</v>
      </c>
      <c r="D235" t="inlineStr">
        <is>
          <t>UPPSALA LÄN</t>
        </is>
      </c>
      <c r="E235" t="inlineStr">
        <is>
          <t>ENKÖPING</t>
        </is>
      </c>
      <c r="G235" t="n">
        <v>0.4</v>
      </c>
      <c r="H235" t="n">
        <v>0</v>
      </c>
      <c r="I235" t="n">
        <v>0</v>
      </c>
      <c r="J235" t="n">
        <v>0</v>
      </c>
      <c r="K235" t="n">
        <v>0</v>
      </c>
      <c r="L235" t="n">
        <v>0</v>
      </c>
      <c r="M235" t="n">
        <v>0</v>
      </c>
      <c r="N235" t="n">
        <v>0</v>
      </c>
      <c r="O235" t="n">
        <v>0</v>
      </c>
      <c r="P235" t="n">
        <v>0</v>
      </c>
      <c r="Q235" t="n">
        <v>0</v>
      </c>
      <c r="R235" s="2" t="inlineStr"/>
    </row>
    <row r="236" ht="15" customHeight="1">
      <c r="A236" t="inlineStr">
        <is>
          <t>A 1695-2025</t>
        </is>
      </c>
      <c r="B236" s="1" t="n">
        <v>45670</v>
      </c>
      <c r="C236" s="1" t="n">
        <v>45922</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39009-2024</t>
        </is>
      </c>
      <c r="B237" s="1" t="n">
        <v>45548</v>
      </c>
      <c r="C237" s="1" t="n">
        <v>45922</v>
      </c>
      <c r="D237" t="inlineStr">
        <is>
          <t>UPPSALA LÄN</t>
        </is>
      </c>
      <c r="E237" t="inlineStr">
        <is>
          <t>ENKÖPING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8537-2025</t>
        </is>
      </c>
      <c r="B238" s="1" t="n">
        <v>45709</v>
      </c>
      <c r="C238" s="1" t="n">
        <v>45922</v>
      </c>
      <c r="D238" t="inlineStr">
        <is>
          <t>UPPSALA LÄN</t>
        </is>
      </c>
      <c r="E238" t="inlineStr">
        <is>
          <t>ENKÖPING</t>
        </is>
      </c>
      <c r="G238" t="n">
        <v>0.8</v>
      </c>
      <c r="H238" t="n">
        <v>0</v>
      </c>
      <c r="I238" t="n">
        <v>0</v>
      </c>
      <c r="J238" t="n">
        <v>0</v>
      </c>
      <c r="K238" t="n">
        <v>0</v>
      </c>
      <c r="L238" t="n">
        <v>0</v>
      </c>
      <c r="M238" t="n">
        <v>0</v>
      </c>
      <c r="N238" t="n">
        <v>0</v>
      </c>
      <c r="O238" t="n">
        <v>0</v>
      </c>
      <c r="P238" t="n">
        <v>0</v>
      </c>
      <c r="Q238" t="n">
        <v>0</v>
      </c>
      <c r="R238" s="2" t="inlineStr"/>
    </row>
    <row r="239" ht="15" customHeight="1">
      <c r="A239" t="inlineStr">
        <is>
          <t>A 30634-2022</t>
        </is>
      </c>
      <c r="B239" s="1" t="n">
        <v>44763.45711805556</v>
      </c>
      <c r="C239" s="1" t="n">
        <v>45922</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54357-2023</t>
        </is>
      </c>
      <c r="B240" s="1" t="n">
        <v>45225</v>
      </c>
      <c r="C240" s="1" t="n">
        <v>45922</v>
      </c>
      <c r="D240" t="inlineStr">
        <is>
          <t>UPPSALA LÄN</t>
        </is>
      </c>
      <c r="E240" t="inlineStr">
        <is>
          <t>ENKÖPING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24962-2023</t>
        </is>
      </c>
      <c r="B241" s="1" t="n">
        <v>45085.60123842592</v>
      </c>
      <c r="C241" s="1" t="n">
        <v>45922</v>
      </c>
      <c r="D241" t="inlineStr">
        <is>
          <t>UPPSALA LÄN</t>
        </is>
      </c>
      <c r="E241" t="inlineStr">
        <is>
          <t>ENKÖPING</t>
        </is>
      </c>
      <c r="G241" t="n">
        <v>2.8</v>
      </c>
      <c r="H241" t="n">
        <v>0</v>
      </c>
      <c r="I241" t="n">
        <v>0</v>
      </c>
      <c r="J241" t="n">
        <v>0</v>
      </c>
      <c r="K241" t="n">
        <v>0</v>
      </c>
      <c r="L241" t="n">
        <v>0</v>
      </c>
      <c r="M241" t="n">
        <v>0</v>
      </c>
      <c r="N241" t="n">
        <v>0</v>
      </c>
      <c r="O241" t="n">
        <v>0</v>
      </c>
      <c r="P241" t="n">
        <v>0</v>
      </c>
      <c r="Q241" t="n">
        <v>0</v>
      </c>
      <c r="R241" s="2" t="inlineStr"/>
    </row>
    <row r="242" ht="15" customHeight="1">
      <c r="A242" t="inlineStr">
        <is>
          <t>A 67765-2020</t>
        </is>
      </c>
      <c r="B242" s="1" t="n">
        <v>44182</v>
      </c>
      <c r="C242" s="1" t="n">
        <v>45922</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45922</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6298-2021</t>
        </is>
      </c>
      <c r="B244" s="1" t="n">
        <v>44235</v>
      </c>
      <c r="C244" s="1" t="n">
        <v>45922</v>
      </c>
      <c r="D244" t="inlineStr">
        <is>
          <t>UPPSALA LÄN</t>
        </is>
      </c>
      <c r="E244" t="inlineStr">
        <is>
          <t>ENKÖPING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58961-2024</t>
        </is>
      </c>
      <c r="B245" s="1" t="n">
        <v>45636.585</v>
      </c>
      <c r="C245" s="1" t="n">
        <v>45922</v>
      </c>
      <c r="D245" t="inlineStr">
        <is>
          <t>UPPSALA LÄN</t>
        </is>
      </c>
      <c r="E245" t="inlineStr">
        <is>
          <t>ENKÖPING</t>
        </is>
      </c>
      <c r="G245" t="n">
        <v>4</v>
      </c>
      <c r="H245" t="n">
        <v>0</v>
      </c>
      <c r="I245" t="n">
        <v>0</v>
      </c>
      <c r="J245" t="n">
        <v>0</v>
      </c>
      <c r="K245" t="n">
        <v>0</v>
      </c>
      <c r="L245" t="n">
        <v>0</v>
      </c>
      <c r="M245" t="n">
        <v>0</v>
      </c>
      <c r="N245" t="n">
        <v>0</v>
      </c>
      <c r="O245" t="n">
        <v>0</v>
      </c>
      <c r="P245" t="n">
        <v>0</v>
      </c>
      <c r="Q245" t="n">
        <v>0</v>
      </c>
      <c r="R245" s="2" t="inlineStr"/>
    </row>
    <row r="246" ht="15" customHeight="1">
      <c r="A246" t="inlineStr">
        <is>
          <t>A 18259-2025</t>
        </is>
      </c>
      <c r="B246" s="1" t="n">
        <v>45762</v>
      </c>
      <c r="C246" s="1" t="n">
        <v>45922</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53595-2023</t>
        </is>
      </c>
      <c r="B247" s="1" t="n">
        <v>45223</v>
      </c>
      <c r="C247" s="1" t="n">
        <v>45922</v>
      </c>
      <c r="D247" t="inlineStr">
        <is>
          <t>UPPSALA LÄN</t>
        </is>
      </c>
      <c r="E247" t="inlineStr">
        <is>
          <t>ENKÖPING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15893-2024</t>
        </is>
      </c>
      <c r="B248" s="1" t="n">
        <v>45405</v>
      </c>
      <c r="C248" s="1" t="n">
        <v>45922</v>
      </c>
      <c r="D248" t="inlineStr">
        <is>
          <t>UPPSALA LÄN</t>
        </is>
      </c>
      <c r="E248" t="inlineStr">
        <is>
          <t>ENKÖPING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18028-2023</t>
        </is>
      </c>
      <c r="B249" s="1" t="n">
        <v>45040</v>
      </c>
      <c r="C249" s="1" t="n">
        <v>45922</v>
      </c>
      <c r="D249" t="inlineStr">
        <is>
          <t>UPPSALA LÄN</t>
        </is>
      </c>
      <c r="E249" t="inlineStr">
        <is>
          <t>ENKÖPING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27983-2024</t>
        </is>
      </c>
      <c r="B250" s="1" t="n">
        <v>45476</v>
      </c>
      <c r="C250" s="1" t="n">
        <v>45922</v>
      </c>
      <c r="D250" t="inlineStr">
        <is>
          <t>UPPSALA LÄN</t>
        </is>
      </c>
      <c r="E250" t="inlineStr">
        <is>
          <t>ENKÖPING</t>
        </is>
      </c>
      <c r="G250" t="n">
        <v>3.2</v>
      </c>
      <c r="H250" t="n">
        <v>0</v>
      </c>
      <c r="I250" t="n">
        <v>0</v>
      </c>
      <c r="J250" t="n">
        <v>0</v>
      </c>
      <c r="K250" t="n">
        <v>0</v>
      </c>
      <c r="L250" t="n">
        <v>0</v>
      </c>
      <c r="M250" t="n">
        <v>0</v>
      </c>
      <c r="N250" t="n">
        <v>0</v>
      </c>
      <c r="O250" t="n">
        <v>0</v>
      </c>
      <c r="P250" t="n">
        <v>0</v>
      </c>
      <c r="Q250" t="n">
        <v>0</v>
      </c>
      <c r="R250" s="2" t="inlineStr"/>
    </row>
    <row r="251" ht="15" customHeight="1">
      <c r="A251" t="inlineStr">
        <is>
          <t>A 14004-2023</t>
        </is>
      </c>
      <c r="B251" s="1" t="n">
        <v>45008</v>
      </c>
      <c r="C251" s="1" t="n">
        <v>45922</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48843-2023</t>
        </is>
      </c>
      <c r="B252" s="1" t="n">
        <v>45209</v>
      </c>
      <c r="C252" s="1" t="n">
        <v>45922</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33670-2024</t>
        </is>
      </c>
      <c r="B253" s="1" t="n">
        <v>45520</v>
      </c>
      <c r="C253" s="1" t="n">
        <v>45922</v>
      </c>
      <c r="D253" t="inlineStr">
        <is>
          <t>UPPSALA LÄN</t>
        </is>
      </c>
      <c r="E253" t="inlineStr">
        <is>
          <t>ENKÖPING</t>
        </is>
      </c>
      <c r="G253" t="n">
        <v>1.9</v>
      </c>
      <c r="H253" t="n">
        <v>0</v>
      </c>
      <c r="I253" t="n">
        <v>0</v>
      </c>
      <c r="J253" t="n">
        <v>0</v>
      </c>
      <c r="K253" t="n">
        <v>0</v>
      </c>
      <c r="L253" t="n">
        <v>0</v>
      </c>
      <c r="M253" t="n">
        <v>0</v>
      </c>
      <c r="N253" t="n">
        <v>0</v>
      </c>
      <c r="O253" t="n">
        <v>0</v>
      </c>
      <c r="P253" t="n">
        <v>0</v>
      </c>
      <c r="Q253" t="n">
        <v>0</v>
      </c>
      <c r="R253" s="2" t="inlineStr"/>
    </row>
    <row r="254" ht="15" customHeight="1">
      <c r="A254" t="inlineStr">
        <is>
          <t>A 28758-2025</t>
        </is>
      </c>
      <c r="B254" s="1" t="n">
        <v>45820.41212962963</v>
      </c>
      <c r="C254" s="1" t="n">
        <v>45922</v>
      </c>
      <c r="D254" t="inlineStr">
        <is>
          <t>UPPSALA LÄN</t>
        </is>
      </c>
      <c r="E254" t="inlineStr">
        <is>
          <t>ENKÖPING</t>
        </is>
      </c>
      <c r="G254" t="n">
        <v>2.4</v>
      </c>
      <c r="H254" t="n">
        <v>0</v>
      </c>
      <c r="I254" t="n">
        <v>0</v>
      </c>
      <c r="J254" t="n">
        <v>0</v>
      </c>
      <c r="K254" t="n">
        <v>0</v>
      </c>
      <c r="L254" t="n">
        <v>0</v>
      </c>
      <c r="M254" t="n">
        <v>0</v>
      </c>
      <c r="N254" t="n">
        <v>0</v>
      </c>
      <c r="O254" t="n">
        <v>0</v>
      </c>
      <c r="P254" t="n">
        <v>0</v>
      </c>
      <c r="Q254" t="n">
        <v>0</v>
      </c>
      <c r="R254" s="2" t="inlineStr"/>
    </row>
    <row r="255" ht="15" customHeight="1">
      <c r="A255" t="inlineStr">
        <is>
          <t>A 28862-2025</t>
        </is>
      </c>
      <c r="B255" s="1" t="n">
        <v>45820.59189814814</v>
      </c>
      <c r="C255" s="1" t="n">
        <v>45922</v>
      </c>
      <c r="D255" t="inlineStr">
        <is>
          <t>UPPSALA LÄN</t>
        </is>
      </c>
      <c r="E255" t="inlineStr">
        <is>
          <t>ENKÖPING</t>
        </is>
      </c>
      <c r="G255" t="n">
        <v>2.2</v>
      </c>
      <c r="H255" t="n">
        <v>0</v>
      </c>
      <c r="I255" t="n">
        <v>0</v>
      </c>
      <c r="J255" t="n">
        <v>0</v>
      </c>
      <c r="K255" t="n">
        <v>0</v>
      </c>
      <c r="L255" t="n">
        <v>0</v>
      </c>
      <c r="M255" t="n">
        <v>0</v>
      </c>
      <c r="N255" t="n">
        <v>0</v>
      </c>
      <c r="O255" t="n">
        <v>0</v>
      </c>
      <c r="P255" t="n">
        <v>0</v>
      </c>
      <c r="Q255" t="n">
        <v>0</v>
      </c>
      <c r="R255" s="2" t="inlineStr"/>
    </row>
    <row r="256" ht="15" customHeight="1">
      <c r="A256" t="inlineStr">
        <is>
          <t>A 28855-2025</t>
        </is>
      </c>
      <c r="B256" s="1" t="n">
        <v>45820.58274305556</v>
      </c>
      <c r="C256" s="1" t="n">
        <v>45922</v>
      </c>
      <c r="D256" t="inlineStr">
        <is>
          <t>UPPSALA LÄN</t>
        </is>
      </c>
      <c r="E256" t="inlineStr">
        <is>
          <t>ENKÖPING</t>
        </is>
      </c>
      <c r="G256" t="n">
        <v>2.4</v>
      </c>
      <c r="H256" t="n">
        <v>0</v>
      </c>
      <c r="I256" t="n">
        <v>0</v>
      </c>
      <c r="J256" t="n">
        <v>0</v>
      </c>
      <c r="K256" t="n">
        <v>0</v>
      </c>
      <c r="L256" t="n">
        <v>0</v>
      </c>
      <c r="M256" t="n">
        <v>0</v>
      </c>
      <c r="N256" t="n">
        <v>0</v>
      </c>
      <c r="O256" t="n">
        <v>0</v>
      </c>
      <c r="P256" t="n">
        <v>0</v>
      </c>
      <c r="Q256" t="n">
        <v>0</v>
      </c>
      <c r="R256" s="2" t="inlineStr"/>
    </row>
    <row r="257" ht="15" customHeight="1">
      <c r="A257" t="inlineStr">
        <is>
          <t>A 19376-2024</t>
        </is>
      </c>
      <c r="B257" s="1" t="n">
        <v>45429</v>
      </c>
      <c r="C257" s="1" t="n">
        <v>45922</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61711-2020</t>
        </is>
      </c>
      <c r="B258" s="1" t="n">
        <v>44158</v>
      </c>
      <c r="C258" s="1" t="n">
        <v>45922</v>
      </c>
      <c r="D258" t="inlineStr">
        <is>
          <t>UPPSALA LÄN</t>
        </is>
      </c>
      <c r="E258" t="inlineStr">
        <is>
          <t>ENKÖPING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52005-2024</t>
        </is>
      </c>
      <c r="B259" s="1" t="n">
        <v>45607.7627662037</v>
      </c>
      <c r="C259" s="1" t="n">
        <v>45922</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1960-2022</t>
        </is>
      </c>
      <c r="B260" s="1" t="n">
        <v>44575</v>
      </c>
      <c r="C260" s="1" t="n">
        <v>45922</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29093-2025</t>
        </is>
      </c>
      <c r="B261" s="1" t="n">
        <v>45821.55743055556</v>
      </c>
      <c r="C261" s="1" t="n">
        <v>45922</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6157-2021</t>
        </is>
      </c>
      <c r="B262" s="1" t="n">
        <v>44232</v>
      </c>
      <c r="C262" s="1" t="n">
        <v>45922</v>
      </c>
      <c r="D262" t="inlineStr">
        <is>
          <t>UPPSALA LÄN</t>
        </is>
      </c>
      <c r="E262" t="inlineStr">
        <is>
          <t>ENKÖPING</t>
        </is>
      </c>
      <c r="G262" t="n">
        <v>3.9</v>
      </c>
      <c r="H262" t="n">
        <v>0</v>
      </c>
      <c r="I262" t="n">
        <v>0</v>
      </c>
      <c r="J262" t="n">
        <v>0</v>
      </c>
      <c r="K262" t="n">
        <v>0</v>
      </c>
      <c r="L262" t="n">
        <v>0</v>
      </c>
      <c r="M262" t="n">
        <v>0</v>
      </c>
      <c r="N262" t="n">
        <v>0</v>
      </c>
      <c r="O262" t="n">
        <v>0</v>
      </c>
      <c r="P262" t="n">
        <v>0</v>
      </c>
      <c r="Q262" t="n">
        <v>0</v>
      </c>
      <c r="R262" s="2" t="inlineStr"/>
    </row>
    <row r="263" ht="15" customHeight="1">
      <c r="A263" t="inlineStr">
        <is>
          <t>A 12020-2024</t>
        </is>
      </c>
      <c r="B263" s="1" t="n">
        <v>45377</v>
      </c>
      <c r="C263" s="1" t="n">
        <v>45922</v>
      </c>
      <c r="D263" t="inlineStr">
        <is>
          <t>UPPSALA LÄN</t>
        </is>
      </c>
      <c r="E263" t="inlineStr">
        <is>
          <t>ENKÖPING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10465-2022</t>
        </is>
      </c>
      <c r="B264" s="1" t="n">
        <v>44623</v>
      </c>
      <c r="C264" s="1" t="n">
        <v>45922</v>
      </c>
      <c r="D264" t="inlineStr">
        <is>
          <t>UPPSALA LÄN</t>
        </is>
      </c>
      <c r="E264" t="inlineStr">
        <is>
          <t>ENKÖPING</t>
        </is>
      </c>
      <c r="G264" t="n">
        <v>1.7</v>
      </c>
      <c r="H264" t="n">
        <v>0</v>
      </c>
      <c r="I264" t="n">
        <v>0</v>
      </c>
      <c r="J264" t="n">
        <v>0</v>
      </c>
      <c r="K264" t="n">
        <v>0</v>
      </c>
      <c r="L264" t="n">
        <v>0</v>
      </c>
      <c r="M264" t="n">
        <v>0</v>
      </c>
      <c r="N264" t="n">
        <v>0</v>
      </c>
      <c r="O264" t="n">
        <v>0</v>
      </c>
      <c r="P264" t="n">
        <v>0</v>
      </c>
      <c r="Q264" t="n">
        <v>0</v>
      </c>
      <c r="R264" s="2" t="inlineStr"/>
    </row>
    <row r="265" ht="15" customHeight="1">
      <c r="A265" t="inlineStr">
        <is>
          <t>A 14332-2024</t>
        </is>
      </c>
      <c r="B265" s="1" t="n">
        <v>45393</v>
      </c>
      <c r="C265" s="1" t="n">
        <v>45922</v>
      </c>
      <c r="D265" t="inlineStr">
        <is>
          <t>UPPSALA LÄN</t>
        </is>
      </c>
      <c r="E265" t="inlineStr">
        <is>
          <t>ENKÖPING</t>
        </is>
      </c>
      <c r="G265" t="n">
        <v>0.9</v>
      </c>
      <c r="H265" t="n">
        <v>0</v>
      </c>
      <c r="I265" t="n">
        <v>0</v>
      </c>
      <c r="J265" t="n">
        <v>0</v>
      </c>
      <c r="K265" t="n">
        <v>0</v>
      </c>
      <c r="L265" t="n">
        <v>0</v>
      </c>
      <c r="M265" t="n">
        <v>0</v>
      </c>
      <c r="N265" t="n">
        <v>0</v>
      </c>
      <c r="O265" t="n">
        <v>0</v>
      </c>
      <c r="P265" t="n">
        <v>0</v>
      </c>
      <c r="Q265" t="n">
        <v>0</v>
      </c>
      <c r="R265" s="2" t="inlineStr"/>
    </row>
    <row r="266" ht="15" customHeight="1">
      <c r="A266" t="inlineStr">
        <is>
          <t>A 61207-2023</t>
        </is>
      </c>
      <c r="B266" s="1" t="n">
        <v>45264.39444444444</v>
      </c>
      <c r="C266" s="1" t="n">
        <v>45922</v>
      </c>
      <c r="D266" t="inlineStr">
        <is>
          <t>UPPSALA LÄN</t>
        </is>
      </c>
      <c r="E266" t="inlineStr">
        <is>
          <t>ENKÖPING</t>
        </is>
      </c>
      <c r="G266" t="n">
        <v>10.8</v>
      </c>
      <c r="H266" t="n">
        <v>0</v>
      </c>
      <c r="I266" t="n">
        <v>0</v>
      </c>
      <c r="J266" t="n">
        <v>0</v>
      </c>
      <c r="K266" t="n">
        <v>0</v>
      </c>
      <c r="L266" t="n">
        <v>0</v>
      </c>
      <c r="M266" t="n">
        <v>0</v>
      </c>
      <c r="N266" t="n">
        <v>0</v>
      </c>
      <c r="O266" t="n">
        <v>0</v>
      </c>
      <c r="P266" t="n">
        <v>0</v>
      </c>
      <c r="Q266" t="n">
        <v>0</v>
      </c>
      <c r="R266" s="2" t="inlineStr"/>
    </row>
    <row r="267" ht="15" customHeight="1">
      <c r="A267" t="inlineStr">
        <is>
          <t>A 40812-2022</t>
        </is>
      </c>
      <c r="B267" s="1" t="n">
        <v>44824.68791666667</v>
      </c>
      <c r="C267" s="1" t="n">
        <v>45922</v>
      </c>
      <c r="D267" t="inlineStr">
        <is>
          <t>UPPSALA LÄN</t>
        </is>
      </c>
      <c r="E267" t="inlineStr">
        <is>
          <t>ENKÖPING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19298-2023</t>
        </is>
      </c>
      <c r="B268" s="1" t="n">
        <v>45048</v>
      </c>
      <c r="C268" s="1" t="n">
        <v>45922</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58896-2020</t>
        </is>
      </c>
      <c r="B269" s="1" t="n">
        <v>44146</v>
      </c>
      <c r="C269" s="1" t="n">
        <v>45922</v>
      </c>
      <c r="D269" t="inlineStr">
        <is>
          <t>UPPSALA LÄN</t>
        </is>
      </c>
      <c r="E269" t="inlineStr">
        <is>
          <t>ENKÖPING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43691-2024</t>
        </is>
      </c>
      <c r="B270" s="1" t="n">
        <v>45569</v>
      </c>
      <c r="C270" s="1" t="n">
        <v>45922</v>
      </c>
      <c r="D270" t="inlineStr">
        <is>
          <t>UPPSALA LÄN</t>
        </is>
      </c>
      <c r="E270" t="inlineStr">
        <is>
          <t>ENKÖPING</t>
        </is>
      </c>
      <c r="G270" t="n">
        <v>1.8</v>
      </c>
      <c r="H270" t="n">
        <v>0</v>
      </c>
      <c r="I270" t="n">
        <v>0</v>
      </c>
      <c r="J270" t="n">
        <v>0</v>
      </c>
      <c r="K270" t="n">
        <v>0</v>
      </c>
      <c r="L270" t="n">
        <v>0</v>
      </c>
      <c r="M270" t="n">
        <v>0</v>
      </c>
      <c r="N270" t="n">
        <v>0</v>
      </c>
      <c r="O270" t="n">
        <v>0</v>
      </c>
      <c r="P270" t="n">
        <v>0</v>
      </c>
      <c r="Q270" t="n">
        <v>0</v>
      </c>
      <c r="R270" s="2" t="inlineStr"/>
    </row>
    <row r="271" ht="15" customHeight="1">
      <c r="A271" t="inlineStr">
        <is>
          <t>A 25333-2023</t>
        </is>
      </c>
      <c r="B271" s="1" t="n">
        <v>45083</v>
      </c>
      <c r="C271" s="1" t="n">
        <v>45922</v>
      </c>
      <c r="D271" t="inlineStr">
        <is>
          <t>UPPSALA LÄN</t>
        </is>
      </c>
      <c r="E271" t="inlineStr">
        <is>
          <t>ENKÖPING</t>
        </is>
      </c>
      <c r="G271" t="n">
        <v>2.7</v>
      </c>
      <c r="H271" t="n">
        <v>0</v>
      </c>
      <c r="I271" t="n">
        <v>0</v>
      </c>
      <c r="J271" t="n">
        <v>0</v>
      </c>
      <c r="K271" t="n">
        <v>0</v>
      </c>
      <c r="L271" t="n">
        <v>0</v>
      </c>
      <c r="M271" t="n">
        <v>0</v>
      </c>
      <c r="N271" t="n">
        <v>0</v>
      </c>
      <c r="O271" t="n">
        <v>0</v>
      </c>
      <c r="P271" t="n">
        <v>0</v>
      </c>
      <c r="Q271" t="n">
        <v>0</v>
      </c>
      <c r="R271" s="2" t="inlineStr"/>
    </row>
    <row r="272" ht="15" customHeight="1">
      <c r="A272" t="inlineStr">
        <is>
          <t>A 3300-2025</t>
        </is>
      </c>
      <c r="B272" s="1" t="n">
        <v>45679</v>
      </c>
      <c r="C272" s="1" t="n">
        <v>45922</v>
      </c>
      <c r="D272" t="inlineStr">
        <is>
          <t>UPPSALA LÄN</t>
        </is>
      </c>
      <c r="E272" t="inlineStr">
        <is>
          <t>ENKÖPING</t>
        </is>
      </c>
      <c r="G272" t="n">
        <v>8.9</v>
      </c>
      <c r="H272" t="n">
        <v>0</v>
      </c>
      <c r="I272" t="n">
        <v>0</v>
      </c>
      <c r="J272" t="n">
        <v>0</v>
      </c>
      <c r="K272" t="n">
        <v>0</v>
      </c>
      <c r="L272" t="n">
        <v>0</v>
      </c>
      <c r="M272" t="n">
        <v>0</v>
      </c>
      <c r="N272" t="n">
        <v>0</v>
      </c>
      <c r="O272" t="n">
        <v>0</v>
      </c>
      <c r="P272" t="n">
        <v>0</v>
      </c>
      <c r="Q272" t="n">
        <v>0</v>
      </c>
      <c r="R272" s="2" t="inlineStr"/>
    </row>
    <row r="273" ht="15" customHeight="1">
      <c r="A273" t="inlineStr">
        <is>
          <t>A 6147-2021</t>
        </is>
      </c>
      <c r="B273" s="1" t="n">
        <v>44232</v>
      </c>
      <c r="C273" s="1" t="n">
        <v>45922</v>
      </c>
      <c r="D273" t="inlineStr">
        <is>
          <t>UPPSALA LÄN</t>
        </is>
      </c>
      <c r="E273" t="inlineStr">
        <is>
          <t>ENKÖPING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12754-2025</t>
        </is>
      </c>
      <c r="B274" s="1" t="n">
        <v>45733.56331018519</v>
      </c>
      <c r="C274" s="1" t="n">
        <v>45922</v>
      </c>
      <c r="D274" t="inlineStr">
        <is>
          <t>UPPSALA LÄN</t>
        </is>
      </c>
      <c r="E274" t="inlineStr">
        <is>
          <t>ENKÖPING</t>
        </is>
      </c>
      <c r="G274" t="n">
        <v>0.7</v>
      </c>
      <c r="H274" t="n">
        <v>0</v>
      </c>
      <c r="I274" t="n">
        <v>0</v>
      </c>
      <c r="J274" t="n">
        <v>0</v>
      </c>
      <c r="K274" t="n">
        <v>0</v>
      </c>
      <c r="L274" t="n">
        <v>0</v>
      </c>
      <c r="M274" t="n">
        <v>0</v>
      </c>
      <c r="N274" t="n">
        <v>0</v>
      </c>
      <c r="O274" t="n">
        <v>0</v>
      </c>
      <c r="P274" t="n">
        <v>0</v>
      </c>
      <c r="Q274" t="n">
        <v>0</v>
      </c>
      <c r="R274" s="2" t="inlineStr"/>
    </row>
    <row r="275" ht="15" customHeight="1">
      <c r="A275" t="inlineStr">
        <is>
          <t>A 29477-2025</t>
        </is>
      </c>
      <c r="B275" s="1" t="n">
        <v>45824.71537037037</v>
      </c>
      <c r="C275" s="1" t="n">
        <v>45922</v>
      </c>
      <c r="D275" t="inlineStr">
        <is>
          <t>UPPSALA LÄN</t>
        </is>
      </c>
      <c r="E275" t="inlineStr">
        <is>
          <t>ENKÖPING</t>
        </is>
      </c>
      <c r="G275" t="n">
        <v>13.4</v>
      </c>
      <c r="H275" t="n">
        <v>0</v>
      </c>
      <c r="I275" t="n">
        <v>0</v>
      </c>
      <c r="J275" t="n">
        <v>0</v>
      </c>
      <c r="K275" t="n">
        <v>0</v>
      </c>
      <c r="L275" t="n">
        <v>0</v>
      </c>
      <c r="M275" t="n">
        <v>0</v>
      </c>
      <c r="N275" t="n">
        <v>0</v>
      </c>
      <c r="O275" t="n">
        <v>0</v>
      </c>
      <c r="P275" t="n">
        <v>0</v>
      </c>
      <c r="Q275" t="n">
        <v>0</v>
      </c>
      <c r="R275" s="2" t="inlineStr"/>
    </row>
    <row r="276" ht="15" customHeight="1">
      <c r="A276" t="inlineStr">
        <is>
          <t>A 15939-2022</t>
        </is>
      </c>
      <c r="B276" s="1" t="n">
        <v>44664</v>
      </c>
      <c r="C276" s="1" t="n">
        <v>45922</v>
      </c>
      <c r="D276" t="inlineStr">
        <is>
          <t>UPPSALA LÄN</t>
        </is>
      </c>
      <c r="E276" t="inlineStr">
        <is>
          <t>ENKÖPING</t>
        </is>
      </c>
      <c r="G276" t="n">
        <v>2</v>
      </c>
      <c r="H276" t="n">
        <v>0</v>
      </c>
      <c r="I276" t="n">
        <v>0</v>
      </c>
      <c r="J276" t="n">
        <v>0</v>
      </c>
      <c r="K276" t="n">
        <v>0</v>
      </c>
      <c r="L276" t="n">
        <v>0</v>
      </c>
      <c r="M276" t="n">
        <v>0</v>
      </c>
      <c r="N276" t="n">
        <v>0</v>
      </c>
      <c r="O276" t="n">
        <v>0</v>
      </c>
      <c r="P276" t="n">
        <v>0</v>
      </c>
      <c r="Q276" t="n">
        <v>0</v>
      </c>
      <c r="R276" s="2" t="inlineStr"/>
    </row>
    <row r="277" ht="15" customHeight="1">
      <c r="A277" t="inlineStr">
        <is>
          <t>A 16176-2025</t>
        </is>
      </c>
      <c r="B277" s="1" t="n">
        <v>45750</v>
      </c>
      <c r="C277" s="1" t="n">
        <v>45922</v>
      </c>
      <c r="D277" t="inlineStr">
        <is>
          <t>UPPSALA LÄN</t>
        </is>
      </c>
      <c r="E277" t="inlineStr">
        <is>
          <t>ENKÖPING</t>
        </is>
      </c>
      <c r="G277" t="n">
        <v>3.9</v>
      </c>
      <c r="H277" t="n">
        <v>0</v>
      </c>
      <c r="I277" t="n">
        <v>0</v>
      </c>
      <c r="J277" t="n">
        <v>0</v>
      </c>
      <c r="K277" t="n">
        <v>0</v>
      </c>
      <c r="L277" t="n">
        <v>0</v>
      </c>
      <c r="M277" t="n">
        <v>0</v>
      </c>
      <c r="N277" t="n">
        <v>0</v>
      </c>
      <c r="O277" t="n">
        <v>0</v>
      </c>
      <c r="P277" t="n">
        <v>0</v>
      </c>
      <c r="Q277" t="n">
        <v>0</v>
      </c>
      <c r="R277" s="2" t="inlineStr"/>
    </row>
    <row r="278" ht="15" customHeight="1">
      <c r="A278" t="inlineStr">
        <is>
          <t>A 49623-2024</t>
        </is>
      </c>
      <c r="B278" s="1" t="n">
        <v>45596</v>
      </c>
      <c r="C278" s="1" t="n">
        <v>45922</v>
      </c>
      <c r="D278" t="inlineStr">
        <is>
          <t>UPPSALA LÄN</t>
        </is>
      </c>
      <c r="E278" t="inlineStr">
        <is>
          <t>ENKÖPING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49627-2024</t>
        </is>
      </c>
      <c r="B279" s="1" t="n">
        <v>45596.59140046296</v>
      </c>
      <c r="C279" s="1" t="n">
        <v>45922</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57998-2024</t>
        </is>
      </c>
      <c r="B280" s="1" t="n">
        <v>45631</v>
      </c>
      <c r="C280" s="1" t="n">
        <v>45922</v>
      </c>
      <c r="D280" t="inlineStr">
        <is>
          <t>UPPSALA LÄN</t>
        </is>
      </c>
      <c r="E280" t="inlineStr">
        <is>
          <t>ENKÖPING</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57153-2021</t>
        </is>
      </c>
      <c r="B281" s="1" t="n">
        <v>44482</v>
      </c>
      <c r="C281" s="1" t="n">
        <v>45922</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58062-2020</t>
        </is>
      </c>
      <c r="B282" s="1" t="n">
        <v>44144</v>
      </c>
      <c r="C282" s="1" t="n">
        <v>45922</v>
      </c>
      <c r="D282" t="inlineStr">
        <is>
          <t>UPPSALA LÄN</t>
        </is>
      </c>
      <c r="E282" t="inlineStr">
        <is>
          <t>ENKÖPING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56713-2024</t>
        </is>
      </c>
      <c r="B283" s="1" t="n">
        <v>45628</v>
      </c>
      <c r="C283" s="1" t="n">
        <v>45922</v>
      </c>
      <c r="D283" t="inlineStr">
        <is>
          <t>UPPSALA LÄN</t>
        </is>
      </c>
      <c r="E283" t="inlineStr">
        <is>
          <t>ENKÖPING</t>
        </is>
      </c>
      <c r="G283" t="n">
        <v>1.7</v>
      </c>
      <c r="H283" t="n">
        <v>0</v>
      </c>
      <c r="I283" t="n">
        <v>0</v>
      </c>
      <c r="J283" t="n">
        <v>0</v>
      </c>
      <c r="K283" t="n">
        <v>0</v>
      </c>
      <c r="L283" t="n">
        <v>0</v>
      </c>
      <c r="M283" t="n">
        <v>0</v>
      </c>
      <c r="N283" t="n">
        <v>0</v>
      </c>
      <c r="O283" t="n">
        <v>0</v>
      </c>
      <c r="P283" t="n">
        <v>0</v>
      </c>
      <c r="Q283" t="n">
        <v>0</v>
      </c>
      <c r="R283" s="2" t="inlineStr"/>
    </row>
    <row r="284" ht="15" customHeight="1">
      <c r="A284" t="inlineStr">
        <is>
          <t>A 43697-2024</t>
        </is>
      </c>
      <c r="B284" s="1" t="n">
        <v>45569</v>
      </c>
      <c r="C284" s="1" t="n">
        <v>45922</v>
      </c>
      <c r="D284" t="inlineStr">
        <is>
          <t>UPPSALA LÄN</t>
        </is>
      </c>
      <c r="E284" t="inlineStr">
        <is>
          <t>ENKÖPING</t>
        </is>
      </c>
      <c r="G284" t="n">
        <v>2.1</v>
      </c>
      <c r="H284" t="n">
        <v>0</v>
      </c>
      <c r="I284" t="n">
        <v>0</v>
      </c>
      <c r="J284" t="n">
        <v>0</v>
      </c>
      <c r="K284" t="n">
        <v>0</v>
      </c>
      <c r="L284" t="n">
        <v>0</v>
      </c>
      <c r="M284" t="n">
        <v>0</v>
      </c>
      <c r="N284" t="n">
        <v>0</v>
      </c>
      <c r="O284" t="n">
        <v>0</v>
      </c>
      <c r="P284" t="n">
        <v>0</v>
      </c>
      <c r="Q284" t="n">
        <v>0</v>
      </c>
      <c r="R284" s="2" t="inlineStr"/>
    </row>
    <row r="285" ht="15" customHeight="1">
      <c r="A285" t="inlineStr">
        <is>
          <t>A 9667-2024</t>
        </is>
      </c>
      <c r="B285" s="1" t="n">
        <v>45362.45130787037</v>
      </c>
      <c r="C285" s="1" t="n">
        <v>45922</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37870-2023</t>
        </is>
      </c>
      <c r="B286" s="1" t="n">
        <v>45160.41996527778</v>
      </c>
      <c r="C286" s="1" t="n">
        <v>45922</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22094-2023</t>
        </is>
      </c>
      <c r="B287" s="1" t="n">
        <v>45069</v>
      </c>
      <c r="C287" s="1" t="n">
        <v>45922</v>
      </c>
      <c r="D287" t="inlineStr">
        <is>
          <t>UPPSALA LÄN</t>
        </is>
      </c>
      <c r="E287" t="inlineStr">
        <is>
          <t>ENKÖPING</t>
        </is>
      </c>
      <c r="G287" t="n">
        <v>2.1</v>
      </c>
      <c r="H287" t="n">
        <v>0</v>
      </c>
      <c r="I287" t="n">
        <v>0</v>
      </c>
      <c r="J287" t="n">
        <v>0</v>
      </c>
      <c r="K287" t="n">
        <v>0</v>
      </c>
      <c r="L287" t="n">
        <v>0</v>
      </c>
      <c r="M287" t="n">
        <v>0</v>
      </c>
      <c r="N287" t="n">
        <v>0</v>
      </c>
      <c r="O287" t="n">
        <v>0</v>
      </c>
      <c r="P287" t="n">
        <v>0</v>
      </c>
      <c r="Q287" t="n">
        <v>0</v>
      </c>
      <c r="R287" s="2" t="inlineStr"/>
    </row>
    <row r="288" ht="15" customHeight="1">
      <c r="A288" t="inlineStr">
        <is>
          <t>A 53343-2020</t>
        </is>
      </c>
      <c r="B288" s="1" t="n">
        <v>44123.53505787037</v>
      </c>
      <c r="C288" s="1" t="n">
        <v>45922</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35645-2021</t>
        </is>
      </c>
      <c r="B289" s="1" t="n">
        <v>44386.42</v>
      </c>
      <c r="C289" s="1" t="n">
        <v>45922</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45283-2022</t>
        </is>
      </c>
      <c r="B290" s="1" t="n">
        <v>44844</v>
      </c>
      <c r="C290" s="1" t="n">
        <v>45922</v>
      </c>
      <c r="D290" t="inlineStr">
        <is>
          <t>UPPSALA LÄN</t>
        </is>
      </c>
      <c r="E290" t="inlineStr">
        <is>
          <t>ENKÖPING</t>
        </is>
      </c>
      <c r="G290" t="n">
        <v>5.9</v>
      </c>
      <c r="H290" t="n">
        <v>0</v>
      </c>
      <c r="I290" t="n">
        <v>0</v>
      </c>
      <c r="J290" t="n">
        <v>0</v>
      </c>
      <c r="K290" t="n">
        <v>0</v>
      </c>
      <c r="L290" t="n">
        <v>0</v>
      </c>
      <c r="M290" t="n">
        <v>0</v>
      </c>
      <c r="N290" t="n">
        <v>0</v>
      </c>
      <c r="O290" t="n">
        <v>0</v>
      </c>
      <c r="P290" t="n">
        <v>0</v>
      </c>
      <c r="Q290" t="n">
        <v>0</v>
      </c>
      <c r="R290" s="2" t="inlineStr"/>
    </row>
    <row r="291" ht="15" customHeight="1">
      <c r="A291" t="inlineStr">
        <is>
          <t>A 15405-2025</t>
        </is>
      </c>
      <c r="B291" s="1" t="n">
        <v>45747.44670138889</v>
      </c>
      <c r="C291" s="1" t="n">
        <v>45922</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35079-2024</t>
        </is>
      </c>
      <c r="B292" s="1" t="n">
        <v>45527.66770833333</v>
      </c>
      <c r="C292" s="1" t="n">
        <v>45922</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41826-2024</t>
        </is>
      </c>
      <c r="B293" s="1" t="n">
        <v>45561</v>
      </c>
      <c r="C293" s="1" t="n">
        <v>45922</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15711-2025</t>
        </is>
      </c>
      <c r="B294" s="1" t="n">
        <v>45748</v>
      </c>
      <c r="C294" s="1" t="n">
        <v>45922</v>
      </c>
      <c r="D294" t="inlineStr">
        <is>
          <t>UPPSALA LÄN</t>
        </is>
      </c>
      <c r="E294" t="inlineStr">
        <is>
          <t>ENKÖPING</t>
        </is>
      </c>
      <c r="G294" t="n">
        <v>1.3</v>
      </c>
      <c r="H294" t="n">
        <v>0</v>
      </c>
      <c r="I294" t="n">
        <v>0</v>
      </c>
      <c r="J294" t="n">
        <v>0</v>
      </c>
      <c r="K294" t="n">
        <v>0</v>
      </c>
      <c r="L294" t="n">
        <v>0</v>
      </c>
      <c r="M294" t="n">
        <v>0</v>
      </c>
      <c r="N294" t="n">
        <v>0</v>
      </c>
      <c r="O294" t="n">
        <v>0</v>
      </c>
      <c r="P294" t="n">
        <v>0</v>
      </c>
      <c r="Q294" t="n">
        <v>0</v>
      </c>
      <c r="R294" s="2" t="inlineStr"/>
    </row>
    <row r="295" ht="15" customHeight="1">
      <c r="A295" t="inlineStr">
        <is>
          <t>A 42589-2022</t>
        </is>
      </c>
      <c r="B295" s="1" t="n">
        <v>44831</v>
      </c>
      <c r="C295" s="1" t="n">
        <v>45922</v>
      </c>
      <c r="D295" t="inlineStr">
        <is>
          <t>UPPSALA LÄN</t>
        </is>
      </c>
      <c r="E295" t="inlineStr">
        <is>
          <t>ENKÖPING</t>
        </is>
      </c>
      <c r="G295" t="n">
        <v>20</v>
      </c>
      <c r="H295" t="n">
        <v>0</v>
      </c>
      <c r="I295" t="n">
        <v>0</v>
      </c>
      <c r="J295" t="n">
        <v>0</v>
      </c>
      <c r="K295" t="n">
        <v>0</v>
      </c>
      <c r="L295" t="n">
        <v>0</v>
      </c>
      <c r="M295" t="n">
        <v>0</v>
      </c>
      <c r="N295" t="n">
        <v>0</v>
      </c>
      <c r="O295" t="n">
        <v>0</v>
      </c>
      <c r="P295" t="n">
        <v>0</v>
      </c>
      <c r="Q295" t="n">
        <v>0</v>
      </c>
      <c r="R295" s="2" t="inlineStr"/>
    </row>
    <row r="296" ht="15" customHeight="1">
      <c r="A296" t="inlineStr">
        <is>
          <t>A 30837-2025</t>
        </is>
      </c>
      <c r="B296" s="1" t="n">
        <v>45831.7063425926</v>
      </c>
      <c r="C296" s="1" t="n">
        <v>45922</v>
      </c>
      <c r="D296" t="inlineStr">
        <is>
          <t>UPPSALA LÄN</t>
        </is>
      </c>
      <c r="E296" t="inlineStr">
        <is>
          <t>ENKÖPING</t>
        </is>
      </c>
      <c r="G296" t="n">
        <v>3.8</v>
      </c>
      <c r="H296" t="n">
        <v>0</v>
      </c>
      <c r="I296" t="n">
        <v>0</v>
      </c>
      <c r="J296" t="n">
        <v>0</v>
      </c>
      <c r="K296" t="n">
        <v>0</v>
      </c>
      <c r="L296" t="n">
        <v>0</v>
      </c>
      <c r="M296" t="n">
        <v>0</v>
      </c>
      <c r="N296" t="n">
        <v>0</v>
      </c>
      <c r="O296" t="n">
        <v>0</v>
      </c>
      <c r="P296" t="n">
        <v>0</v>
      </c>
      <c r="Q296" t="n">
        <v>0</v>
      </c>
      <c r="R296" s="2" t="inlineStr"/>
    </row>
    <row r="297" ht="15" customHeight="1">
      <c r="A297" t="inlineStr">
        <is>
          <t>A 33581-2023</t>
        </is>
      </c>
      <c r="B297" s="1" t="n">
        <v>45131</v>
      </c>
      <c r="C297" s="1" t="n">
        <v>45922</v>
      </c>
      <c r="D297" t="inlineStr">
        <is>
          <t>UPPSALA LÄN</t>
        </is>
      </c>
      <c r="E297" t="inlineStr">
        <is>
          <t>ENKÖPING</t>
        </is>
      </c>
      <c r="G297" t="n">
        <v>3.5</v>
      </c>
      <c r="H297" t="n">
        <v>0</v>
      </c>
      <c r="I297" t="n">
        <v>0</v>
      </c>
      <c r="J297" t="n">
        <v>0</v>
      </c>
      <c r="K297" t="n">
        <v>0</v>
      </c>
      <c r="L297" t="n">
        <v>0</v>
      </c>
      <c r="M297" t="n">
        <v>0</v>
      </c>
      <c r="N297" t="n">
        <v>0</v>
      </c>
      <c r="O297" t="n">
        <v>0</v>
      </c>
      <c r="P297" t="n">
        <v>0</v>
      </c>
      <c r="Q297" t="n">
        <v>0</v>
      </c>
      <c r="R297" s="2" t="inlineStr"/>
    </row>
    <row r="298" ht="15" customHeight="1">
      <c r="A298" t="inlineStr">
        <is>
          <t>A 840-2025</t>
        </is>
      </c>
      <c r="B298" s="1" t="n">
        <v>45665</v>
      </c>
      <c r="C298" s="1" t="n">
        <v>45922</v>
      </c>
      <c r="D298" t="inlineStr">
        <is>
          <t>UPPSALA LÄN</t>
        </is>
      </c>
      <c r="E298" t="inlineStr">
        <is>
          <t>ENKÖPING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28318-2024</t>
        </is>
      </c>
      <c r="B299" s="1" t="n">
        <v>45477</v>
      </c>
      <c r="C299" s="1" t="n">
        <v>45922</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69344-2021</t>
        </is>
      </c>
      <c r="B300" s="1" t="n">
        <v>44531</v>
      </c>
      <c r="C300" s="1" t="n">
        <v>45922</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56163-2021</t>
        </is>
      </c>
      <c r="B301" s="1" t="n">
        <v>44477</v>
      </c>
      <c r="C301" s="1" t="n">
        <v>45922</v>
      </c>
      <c r="D301" t="inlineStr">
        <is>
          <t>UPPSALA LÄN</t>
        </is>
      </c>
      <c r="E301" t="inlineStr">
        <is>
          <t>ENKÖPING</t>
        </is>
      </c>
      <c r="F301" t="inlineStr">
        <is>
          <t>Allmännings- och besparingsskogar</t>
        </is>
      </c>
      <c r="G301" t="n">
        <v>0.6</v>
      </c>
      <c r="H301" t="n">
        <v>0</v>
      </c>
      <c r="I301" t="n">
        <v>0</v>
      </c>
      <c r="J301" t="n">
        <v>0</v>
      </c>
      <c r="K301" t="n">
        <v>0</v>
      </c>
      <c r="L301" t="n">
        <v>0</v>
      </c>
      <c r="M301" t="n">
        <v>0</v>
      </c>
      <c r="N301" t="n">
        <v>0</v>
      </c>
      <c r="O301" t="n">
        <v>0</v>
      </c>
      <c r="P301" t="n">
        <v>0</v>
      </c>
      <c r="Q301" t="n">
        <v>0</v>
      </c>
      <c r="R301" s="2" t="inlineStr"/>
    </row>
    <row r="302" ht="15" customHeight="1">
      <c r="A302" t="inlineStr">
        <is>
          <t>A 47909-2024</t>
        </is>
      </c>
      <c r="B302" s="1" t="n">
        <v>45589.31866898148</v>
      </c>
      <c r="C302" s="1" t="n">
        <v>45922</v>
      </c>
      <c r="D302" t="inlineStr">
        <is>
          <t>UPPSALA LÄN</t>
        </is>
      </c>
      <c r="E302" t="inlineStr">
        <is>
          <t>ENKÖPING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51524-2022</t>
        </is>
      </c>
      <c r="B303" s="1" t="n">
        <v>44869</v>
      </c>
      <c r="C303" s="1" t="n">
        <v>45922</v>
      </c>
      <c r="D303" t="inlineStr">
        <is>
          <t>UPPSALA LÄN</t>
        </is>
      </c>
      <c r="E303" t="inlineStr">
        <is>
          <t>ENKÖPING</t>
        </is>
      </c>
      <c r="G303" t="n">
        <v>6.6</v>
      </c>
      <c r="H303" t="n">
        <v>0</v>
      </c>
      <c r="I303" t="n">
        <v>0</v>
      </c>
      <c r="J303" t="n">
        <v>0</v>
      </c>
      <c r="K303" t="n">
        <v>0</v>
      </c>
      <c r="L303" t="n">
        <v>0</v>
      </c>
      <c r="M303" t="n">
        <v>0</v>
      </c>
      <c r="N303" t="n">
        <v>0</v>
      </c>
      <c r="O303" t="n">
        <v>0</v>
      </c>
      <c r="P303" t="n">
        <v>0</v>
      </c>
      <c r="Q303" t="n">
        <v>0</v>
      </c>
      <c r="R303" s="2" t="inlineStr"/>
    </row>
    <row r="304" ht="15" customHeight="1">
      <c r="A304" t="inlineStr">
        <is>
          <t>A 51932-2022</t>
        </is>
      </c>
      <c r="B304" s="1" t="n">
        <v>44872</v>
      </c>
      <c r="C304" s="1" t="n">
        <v>45922</v>
      </c>
      <c r="D304" t="inlineStr">
        <is>
          <t>UPPSALA LÄN</t>
        </is>
      </c>
      <c r="E304" t="inlineStr">
        <is>
          <t>ENKÖPING</t>
        </is>
      </c>
      <c r="G304" t="n">
        <v>5.5</v>
      </c>
      <c r="H304" t="n">
        <v>0</v>
      </c>
      <c r="I304" t="n">
        <v>0</v>
      </c>
      <c r="J304" t="n">
        <v>0</v>
      </c>
      <c r="K304" t="n">
        <v>0</v>
      </c>
      <c r="L304" t="n">
        <v>0</v>
      </c>
      <c r="M304" t="n">
        <v>0</v>
      </c>
      <c r="N304" t="n">
        <v>0</v>
      </c>
      <c r="O304" t="n">
        <v>0</v>
      </c>
      <c r="P304" t="n">
        <v>0</v>
      </c>
      <c r="Q304" t="n">
        <v>0</v>
      </c>
      <c r="R304" s="2" t="inlineStr"/>
    </row>
    <row r="305" ht="15" customHeight="1">
      <c r="A305" t="inlineStr">
        <is>
          <t>A 37115-2024</t>
        </is>
      </c>
      <c r="B305" s="1" t="n">
        <v>45539</v>
      </c>
      <c r="C305" s="1" t="n">
        <v>45922</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32111-2025</t>
        </is>
      </c>
      <c r="B306" s="1" t="n">
        <v>45835</v>
      </c>
      <c r="C306" s="1" t="n">
        <v>45922</v>
      </c>
      <c r="D306" t="inlineStr">
        <is>
          <t>UPPSALA LÄN</t>
        </is>
      </c>
      <c r="E306" t="inlineStr">
        <is>
          <t>ENKÖPING</t>
        </is>
      </c>
      <c r="G306" t="n">
        <v>1.7</v>
      </c>
      <c r="H306" t="n">
        <v>0</v>
      </c>
      <c r="I306" t="n">
        <v>0</v>
      </c>
      <c r="J306" t="n">
        <v>0</v>
      </c>
      <c r="K306" t="n">
        <v>0</v>
      </c>
      <c r="L306" t="n">
        <v>0</v>
      </c>
      <c r="M306" t="n">
        <v>0</v>
      </c>
      <c r="N306" t="n">
        <v>0</v>
      </c>
      <c r="O306" t="n">
        <v>0</v>
      </c>
      <c r="P306" t="n">
        <v>0</v>
      </c>
      <c r="Q306" t="n">
        <v>0</v>
      </c>
      <c r="R306" s="2" t="inlineStr"/>
    </row>
    <row r="307" ht="15" customHeight="1">
      <c r="A307" t="inlineStr">
        <is>
          <t>A 32031-2025</t>
        </is>
      </c>
      <c r="B307" s="1" t="n">
        <v>45835.41712962963</v>
      </c>
      <c r="C307" s="1" t="n">
        <v>45922</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46103-2023</t>
        </is>
      </c>
      <c r="B308" s="1" t="n">
        <v>45190</v>
      </c>
      <c r="C308" s="1" t="n">
        <v>45922</v>
      </c>
      <c r="D308" t="inlineStr">
        <is>
          <t>UPPSALA LÄN</t>
        </is>
      </c>
      <c r="E308" t="inlineStr">
        <is>
          <t>ENKÖPING</t>
        </is>
      </c>
      <c r="G308" t="n">
        <v>4.6</v>
      </c>
      <c r="H308" t="n">
        <v>0</v>
      </c>
      <c r="I308" t="n">
        <v>0</v>
      </c>
      <c r="J308" t="n">
        <v>0</v>
      </c>
      <c r="K308" t="n">
        <v>0</v>
      </c>
      <c r="L308" t="n">
        <v>0</v>
      </c>
      <c r="M308" t="n">
        <v>0</v>
      </c>
      <c r="N308" t="n">
        <v>0</v>
      </c>
      <c r="O308" t="n">
        <v>0</v>
      </c>
      <c r="P308" t="n">
        <v>0</v>
      </c>
      <c r="Q308" t="n">
        <v>0</v>
      </c>
      <c r="R308" s="2" t="inlineStr"/>
    </row>
    <row r="309" ht="15" customHeight="1">
      <c r="A309" t="inlineStr">
        <is>
          <t>A 45142-2023</t>
        </is>
      </c>
      <c r="B309" s="1" t="n">
        <v>45191.4702662037</v>
      </c>
      <c r="C309" s="1" t="n">
        <v>45922</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11918-2025</t>
        </is>
      </c>
      <c r="B310" s="1" t="n">
        <v>45728.49331018519</v>
      </c>
      <c r="C310" s="1" t="n">
        <v>45922</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41737-2022</t>
        </is>
      </c>
      <c r="B311" s="1" t="n">
        <v>44827.63826388889</v>
      </c>
      <c r="C311" s="1" t="n">
        <v>45922</v>
      </c>
      <c r="D311" t="inlineStr">
        <is>
          <t>UPPSALA LÄN</t>
        </is>
      </c>
      <c r="E311" t="inlineStr">
        <is>
          <t>ENKÖPING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8137-2025</t>
        </is>
      </c>
      <c r="B312" s="1" t="n">
        <v>45707.8561574074</v>
      </c>
      <c r="C312" s="1" t="n">
        <v>45922</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31242-2024</t>
        </is>
      </c>
      <c r="B313" s="1" t="n">
        <v>45503</v>
      </c>
      <c r="C313" s="1" t="n">
        <v>45922</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845-2025</t>
        </is>
      </c>
      <c r="B314" s="1" t="n">
        <v>45665</v>
      </c>
      <c r="C314" s="1" t="n">
        <v>45922</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849-2025</t>
        </is>
      </c>
      <c r="B315" s="1" t="n">
        <v>45665</v>
      </c>
      <c r="C315" s="1" t="n">
        <v>45922</v>
      </c>
      <c r="D315" t="inlineStr">
        <is>
          <t>UPPSALA LÄN</t>
        </is>
      </c>
      <c r="E315" t="inlineStr">
        <is>
          <t>ENKÖPING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23301-2024</t>
        </is>
      </c>
      <c r="B316" s="1" t="n">
        <v>45453.4396412037</v>
      </c>
      <c r="C316" s="1" t="n">
        <v>45922</v>
      </c>
      <c r="D316" t="inlineStr">
        <is>
          <t>UPPSALA LÄN</t>
        </is>
      </c>
      <c r="E316" t="inlineStr">
        <is>
          <t>ENKÖPING</t>
        </is>
      </c>
      <c r="G316" t="n">
        <v>4.3</v>
      </c>
      <c r="H316" t="n">
        <v>0</v>
      </c>
      <c r="I316" t="n">
        <v>0</v>
      </c>
      <c r="J316" t="n">
        <v>0</v>
      </c>
      <c r="K316" t="n">
        <v>0</v>
      </c>
      <c r="L316" t="n">
        <v>0</v>
      </c>
      <c r="M316" t="n">
        <v>0</v>
      </c>
      <c r="N316" t="n">
        <v>0</v>
      </c>
      <c r="O316" t="n">
        <v>0</v>
      </c>
      <c r="P316" t="n">
        <v>0</v>
      </c>
      <c r="Q316" t="n">
        <v>0</v>
      </c>
      <c r="R316" s="2" t="inlineStr"/>
    </row>
    <row r="317" ht="15" customHeight="1">
      <c r="A317" t="inlineStr">
        <is>
          <t>A 32477-2025</t>
        </is>
      </c>
      <c r="B317" s="1" t="n">
        <v>45838.43098379629</v>
      </c>
      <c r="C317" s="1" t="n">
        <v>45922</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52380-2024</t>
        </is>
      </c>
      <c r="B318" s="1" t="n">
        <v>45609</v>
      </c>
      <c r="C318" s="1" t="n">
        <v>45922</v>
      </c>
      <c r="D318" t="inlineStr">
        <is>
          <t>UPPSALA LÄN</t>
        </is>
      </c>
      <c r="E318" t="inlineStr">
        <is>
          <t>ENKÖPING</t>
        </is>
      </c>
      <c r="G318" t="n">
        <v>1.8</v>
      </c>
      <c r="H318" t="n">
        <v>0</v>
      </c>
      <c r="I318" t="n">
        <v>0</v>
      </c>
      <c r="J318" t="n">
        <v>0</v>
      </c>
      <c r="K318" t="n">
        <v>0</v>
      </c>
      <c r="L318" t="n">
        <v>0</v>
      </c>
      <c r="M318" t="n">
        <v>0</v>
      </c>
      <c r="N318" t="n">
        <v>0</v>
      </c>
      <c r="O318" t="n">
        <v>0</v>
      </c>
      <c r="P318" t="n">
        <v>0</v>
      </c>
      <c r="Q318" t="n">
        <v>0</v>
      </c>
      <c r="R318" s="2" t="inlineStr"/>
    </row>
    <row r="319" ht="15" customHeight="1">
      <c r="A319" t="inlineStr">
        <is>
          <t>A 15740-2025</t>
        </is>
      </c>
      <c r="B319" s="1" t="n">
        <v>45748</v>
      </c>
      <c r="C319" s="1" t="n">
        <v>45922</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51042-2024</t>
        </is>
      </c>
      <c r="B320" s="1" t="n">
        <v>45603.4342824074</v>
      </c>
      <c r="C320" s="1" t="n">
        <v>45922</v>
      </c>
      <c r="D320" t="inlineStr">
        <is>
          <t>UPPSALA LÄN</t>
        </is>
      </c>
      <c r="E320" t="inlineStr">
        <is>
          <t>ENKÖPING</t>
        </is>
      </c>
      <c r="G320" t="n">
        <v>4.6</v>
      </c>
      <c r="H320" t="n">
        <v>0</v>
      </c>
      <c r="I320" t="n">
        <v>0</v>
      </c>
      <c r="J320" t="n">
        <v>0</v>
      </c>
      <c r="K320" t="n">
        <v>0</v>
      </c>
      <c r="L320" t="n">
        <v>0</v>
      </c>
      <c r="M320" t="n">
        <v>0</v>
      </c>
      <c r="N320" t="n">
        <v>0</v>
      </c>
      <c r="O320" t="n">
        <v>0</v>
      </c>
      <c r="P320" t="n">
        <v>0</v>
      </c>
      <c r="Q320" t="n">
        <v>0</v>
      </c>
      <c r="R320" s="2" t="inlineStr"/>
    </row>
    <row r="321" ht="15" customHeight="1">
      <c r="A321" t="inlineStr">
        <is>
          <t>A 30098-2024</t>
        </is>
      </c>
      <c r="B321" s="1" t="n">
        <v>45489.41609953704</v>
      </c>
      <c r="C321" s="1" t="n">
        <v>45922</v>
      </c>
      <c r="D321" t="inlineStr">
        <is>
          <t>UPPSALA LÄN</t>
        </is>
      </c>
      <c r="E321" t="inlineStr">
        <is>
          <t>ENKÖPING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59441-2020</t>
        </is>
      </c>
      <c r="B322" s="1" t="n">
        <v>44148</v>
      </c>
      <c r="C322" s="1" t="n">
        <v>45922</v>
      </c>
      <c r="D322" t="inlineStr">
        <is>
          <t>UPPSALA LÄN</t>
        </is>
      </c>
      <c r="E322" t="inlineStr">
        <is>
          <t>ENKÖPING</t>
        </is>
      </c>
      <c r="G322" t="n">
        <v>4.8</v>
      </c>
      <c r="H322" t="n">
        <v>0</v>
      </c>
      <c r="I322" t="n">
        <v>0</v>
      </c>
      <c r="J322" t="n">
        <v>0</v>
      </c>
      <c r="K322" t="n">
        <v>0</v>
      </c>
      <c r="L322" t="n">
        <v>0</v>
      </c>
      <c r="M322" t="n">
        <v>0</v>
      </c>
      <c r="N322" t="n">
        <v>0</v>
      </c>
      <c r="O322" t="n">
        <v>0</v>
      </c>
      <c r="P322" t="n">
        <v>0</v>
      </c>
      <c r="Q322" t="n">
        <v>0</v>
      </c>
      <c r="R322" s="2" t="inlineStr"/>
    </row>
    <row r="323" ht="15" customHeight="1">
      <c r="A323" t="inlineStr">
        <is>
          <t>A 34735-2023</t>
        </is>
      </c>
      <c r="B323" s="1" t="n">
        <v>45139</v>
      </c>
      <c r="C323" s="1" t="n">
        <v>45922</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62158-2023</t>
        </is>
      </c>
      <c r="B324" s="1" t="n">
        <v>45267</v>
      </c>
      <c r="C324" s="1" t="n">
        <v>45922</v>
      </c>
      <c r="D324" t="inlineStr">
        <is>
          <t>UPPSALA LÄN</t>
        </is>
      </c>
      <c r="E324" t="inlineStr">
        <is>
          <t>ENKÖPING</t>
        </is>
      </c>
      <c r="G324" t="n">
        <v>1.4</v>
      </c>
      <c r="H324" t="n">
        <v>0</v>
      </c>
      <c r="I324" t="n">
        <v>0</v>
      </c>
      <c r="J324" t="n">
        <v>0</v>
      </c>
      <c r="K324" t="n">
        <v>0</v>
      </c>
      <c r="L324" t="n">
        <v>0</v>
      </c>
      <c r="M324" t="n">
        <v>0</v>
      </c>
      <c r="N324" t="n">
        <v>0</v>
      </c>
      <c r="O324" t="n">
        <v>0</v>
      </c>
      <c r="P324" t="n">
        <v>0</v>
      </c>
      <c r="Q324" t="n">
        <v>0</v>
      </c>
      <c r="R324" s="2" t="inlineStr"/>
    </row>
    <row r="325" ht="15" customHeight="1">
      <c r="A325" t="inlineStr">
        <is>
          <t>A 60350-2022</t>
        </is>
      </c>
      <c r="B325" s="1" t="n">
        <v>44910</v>
      </c>
      <c r="C325" s="1" t="n">
        <v>45922</v>
      </c>
      <c r="D325" t="inlineStr">
        <is>
          <t>UPPSALA LÄN</t>
        </is>
      </c>
      <c r="E325" t="inlineStr">
        <is>
          <t>ENKÖPING</t>
        </is>
      </c>
      <c r="F325" t="inlineStr">
        <is>
          <t>Allmännings- och besparingsskogar</t>
        </is>
      </c>
      <c r="G325" t="n">
        <v>3.5</v>
      </c>
      <c r="H325" t="n">
        <v>0</v>
      </c>
      <c r="I325" t="n">
        <v>0</v>
      </c>
      <c r="J325" t="n">
        <v>0</v>
      </c>
      <c r="K325" t="n">
        <v>0</v>
      </c>
      <c r="L325" t="n">
        <v>0</v>
      </c>
      <c r="M325" t="n">
        <v>0</v>
      </c>
      <c r="N325" t="n">
        <v>0</v>
      </c>
      <c r="O325" t="n">
        <v>0</v>
      </c>
      <c r="P325" t="n">
        <v>0</v>
      </c>
      <c r="Q325" t="n">
        <v>0</v>
      </c>
      <c r="R325" s="2" t="inlineStr"/>
    </row>
    <row r="326" ht="15" customHeight="1">
      <c r="A326" t="inlineStr">
        <is>
          <t>A 2850-2025</t>
        </is>
      </c>
      <c r="B326" s="1" t="n">
        <v>45677</v>
      </c>
      <c r="C326" s="1" t="n">
        <v>45922</v>
      </c>
      <c r="D326" t="inlineStr">
        <is>
          <t>UPPSALA LÄN</t>
        </is>
      </c>
      <c r="E326" t="inlineStr">
        <is>
          <t>ENKÖPING</t>
        </is>
      </c>
      <c r="G326" t="n">
        <v>0.3</v>
      </c>
      <c r="H326" t="n">
        <v>0</v>
      </c>
      <c r="I326" t="n">
        <v>0</v>
      </c>
      <c r="J326" t="n">
        <v>0</v>
      </c>
      <c r="K326" t="n">
        <v>0</v>
      </c>
      <c r="L326" t="n">
        <v>0</v>
      </c>
      <c r="M326" t="n">
        <v>0</v>
      </c>
      <c r="N326" t="n">
        <v>0</v>
      </c>
      <c r="O326" t="n">
        <v>0</v>
      </c>
      <c r="P326" t="n">
        <v>0</v>
      </c>
      <c r="Q326" t="n">
        <v>0</v>
      </c>
      <c r="R326" s="2" t="inlineStr"/>
    </row>
    <row r="327" ht="15" customHeight="1">
      <c r="A327" t="inlineStr">
        <is>
          <t>A 59497-2022</t>
        </is>
      </c>
      <c r="B327" s="1" t="n">
        <v>44907.48258101852</v>
      </c>
      <c r="C327" s="1" t="n">
        <v>45922</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9041-2023</t>
        </is>
      </c>
      <c r="B328" s="1" t="n">
        <v>44979</v>
      </c>
      <c r="C328" s="1" t="n">
        <v>45922</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45922</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57328-2024</t>
        </is>
      </c>
      <c r="B330" s="1" t="n">
        <v>45629.62798611111</v>
      </c>
      <c r="C330" s="1" t="n">
        <v>45922</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12755-2025</t>
        </is>
      </c>
      <c r="B331" s="1" t="n">
        <v>45733.56541666666</v>
      </c>
      <c r="C331" s="1" t="n">
        <v>45922</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59027-2024</t>
        </is>
      </c>
      <c r="B332" s="1" t="n">
        <v>45636.68755787037</v>
      </c>
      <c r="C332" s="1" t="n">
        <v>45922</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53587-2024</t>
        </is>
      </c>
      <c r="B333" s="1" t="n">
        <v>45614.66953703704</v>
      </c>
      <c r="C333" s="1" t="n">
        <v>45922</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29482-2022</t>
        </is>
      </c>
      <c r="B334" s="1" t="n">
        <v>44753.57703703704</v>
      </c>
      <c r="C334" s="1" t="n">
        <v>45922</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29483-2022</t>
        </is>
      </c>
      <c r="B335" s="1" t="n">
        <v>44753.57829861111</v>
      </c>
      <c r="C335" s="1" t="n">
        <v>45922</v>
      </c>
      <c r="D335" t="inlineStr">
        <is>
          <t>UPPSALA LÄN</t>
        </is>
      </c>
      <c r="E335" t="inlineStr">
        <is>
          <t>ENKÖPING</t>
        </is>
      </c>
      <c r="G335" t="n">
        <v>3.6</v>
      </c>
      <c r="H335" t="n">
        <v>0</v>
      </c>
      <c r="I335" t="n">
        <v>0</v>
      </c>
      <c r="J335" t="n">
        <v>0</v>
      </c>
      <c r="K335" t="n">
        <v>0</v>
      </c>
      <c r="L335" t="n">
        <v>0</v>
      </c>
      <c r="M335" t="n">
        <v>0</v>
      </c>
      <c r="N335" t="n">
        <v>0</v>
      </c>
      <c r="O335" t="n">
        <v>0</v>
      </c>
      <c r="P335" t="n">
        <v>0</v>
      </c>
      <c r="Q335" t="n">
        <v>0</v>
      </c>
      <c r="R335" s="2" t="inlineStr"/>
    </row>
    <row r="336" ht="15" customHeight="1">
      <c r="A336" t="inlineStr">
        <is>
          <t>A 44232-2022</t>
        </is>
      </c>
      <c r="B336" s="1" t="n">
        <v>44839</v>
      </c>
      <c r="C336" s="1" t="n">
        <v>45922</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61106-2022</t>
        </is>
      </c>
      <c r="B337" s="1" t="n">
        <v>44915.4128587963</v>
      </c>
      <c r="C337" s="1" t="n">
        <v>45922</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18994-2025</t>
        </is>
      </c>
      <c r="B338" s="1" t="n">
        <v>45764.57350694444</v>
      </c>
      <c r="C338" s="1" t="n">
        <v>45922</v>
      </c>
      <c r="D338" t="inlineStr">
        <is>
          <t>UPPSALA LÄN</t>
        </is>
      </c>
      <c r="E338" t="inlineStr">
        <is>
          <t>ENKÖPING</t>
        </is>
      </c>
      <c r="G338" t="n">
        <v>3.8</v>
      </c>
      <c r="H338" t="n">
        <v>0</v>
      </c>
      <c r="I338" t="n">
        <v>0</v>
      </c>
      <c r="J338" t="n">
        <v>0</v>
      </c>
      <c r="K338" t="n">
        <v>0</v>
      </c>
      <c r="L338" t="n">
        <v>0</v>
      </c>
      <c r="M338" t="n">
        <v>0</v>
      </c>
      <c r="N338" t="n">
        <v>0</v>
      </c>
      <c r="O338" t="n">
        <v>0</v>
      </c>
      <c r="P338" t="n">
        <v>0</v>
      </c>
      <c r="Q338" t="n">
        <v>0</v>
      </c>
      <c r="R338" s="2" t="inlineStr"/>
    </row>
    <row r="339" ht="15" customHeight="1">
      <c r="A339" t="inlineStr">
        <is>
          <t>A 11503-2024</t>
        </is>
      </c>
      <c r="B339" s="1" t="n">
        <v>45372.68020833333</v>
      </c>
      <c r="C339" s="1" t="n">
        <v>45922</v>
      </c>
      <c r="D339" t="inlineStr">
        <is>
          <t>UPPSALA LÄN</t>
        </is>
      </c>
      <c r="E339" t="inlineStr">
        <is>
          <t>ENKÖPING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39624-2023</t>
        </is>
      </c>
      <c r="B340" s="1" t="n">
        <v>45164</v>
      </c>
      <c r="C340" s="1" t="n">
        <v>45922</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57848-2024</t>
        </is>
      </c>
      <c r="B341" s="1" t="n">
        <v>45631.40947916666</v>
      </c>
      <c r="C341" s="1" t="n">
        <v>45922</v>
      </c>
      <c r="D341" t="inlineStr">
        <is>
          <t>UPPSALA LÄN</t>
        </is>
      </c>
      <c r="E341" t="inlineStr">
        <is>
          <t>ENKÖPING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49601-2024</t>
        </is>
      </c>
      <c r="B342" s="1" t="n">
        <v>45596.56288194445</v>
      </c>
      <c r="C342" s="1" t="n">
        <v>45922</v>
      </c>
      <c r="D342" t="inlineStr">
        <is>
          <t>UPPSALA LÄN</t>
        </is>
      </c>
      <c r="E342" t="inlineStr">
        <is>
          <t>ENKÖPING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20184-2023</t>
        </is>
      </c>
      <c r="B343" s="1" t="n">
        <v>45055.5670949074</v>
      </c>
      <c r="C343" s="1" t="n">
        <v>45922</v>
      </c>
      <c r="D343" t="inlineStr">
        <is>
          <t>UPPSALA LÄN</t>
        </is>
      </c>
      <c r="E343" t="inlineStr">
        <is>
          <t>ENKÖPING</t>
        </is>
      </c>
      <c r="G343" t="n">
        <v>3.2</v>
      </c>
      <c r="H343" t="n">
        <v>0</v>
      </c>
      <c r="I343" t="n">
        <v>0</v>
      </c>
      <c r="J343" t="n">
        <v>0</v>
      </c>
      <c r="K343" t="n">
        <v>0</v>
      </c>
      <c r="L343" t="n">
        <v>0</v>
      </c>
      <c r="M343" t="n">
        <v>0</v>
      </c>
      <c r="N343" t="n">
        <v>0</v>
      </c>
      <c r="O343" t="n">
        <v>0</v>
      </c>
      <c r="P343" t="n">
        <v>0</v>
      </c>
      <c r="Q343" t="n">
        <v>0</v>
      </c>
      <c r="R343" s="2" t="inlineStr"/>
    </row>
    <row r="344" ht="15" customHeight="1">
      <c r="A344" t="inlineStr">
        <is>
          <t>A 8152-2022</t>
        </is>
      </c>
      <c r="B344" s="1" t="n">
        <v>44609</v>
      </c>
      <c r="C344" s="1" t="n">
        <v>45922</v>
      </c>
      <c r="D344" t="inlineStr">
        <is>
          <t>UPPSALA LÄN</t>
        </is>
      </c>
      <c r="E344" t="inlineStr">
        <is>
          <t>ENKÖPING</t>
        </is>
      </c>
      <c r="F344" t="inlineStr">
        <is>
          <t>Kyrkan</t>
        </is>
      </c>
      <c r="G344" t="n">
        <v>1.3</v>
      </c>
      <c r="H344" t="n">
        <v>0</v>
      </c>
      <c r="I344" t="n">
        <v>0</v>
      </c>
      <c r="J344" t="n">
        <v>0</v>
      </c>
      <c r="K344" t="n">
        <v>0</v>
      </c>
      <c r="L344" t="n">
        <v>0</v>
      </c>
      <c r="M344" t="n">
        <v>0</v>
      </c>
      <c r="N344" t="n">
        <v>0</v>
      </c>
      <c r="O344" t="n">
        <v>0</v>
      </c>
      <c r="P344" t="n">
        <v>0</v>
      </c>
      <c r="Q344" t="n">
        <v>0</v>
      </c>
      <c r="R344" s="2" t="inlineStr"/>
    </row>
    <row r="345" ht="15" customHeight="1">
      <c r="A345" t="inlineStr">
        <is>
          <t>A 39115-2024</t>
        </is>
      </c>
      <c r="B345" s="1" t="n">
        <v>45548</v>
      </c>
      <c r="C345" s="1" t="n">
        <v>45922</v>
      </c>
      <c r="D345" t="inlineStr">
        <is>
          <t>UPPSALA LÄN</t>
        </is>
      </c>
      <c r="E345" t="inlineStr">
        <is>
          <t>ENKÖPING</t>
        </is>
      </c>
      <c r="G345" t="n">
        <v>1.3</v>
      </c>
      <c r="H345" t="n">
        <v>0</v>
      </c>
      <c r="I345" t="n">
        <v>0</v>
      </c>
      <c r="J345" t="n">
        <v>0</v>
      </c>
      <c r="K345" t="n">
        <v>0</v>
      </c>
      <c r="L345" t="n">
        <v>0</v>
      </c>
      <c r="M345" t="n">
        <v>0</v>
      </c>
      <c r="N345" t="n">
        <v>0</v>
      </c>
      <c r="O345" t="n">
        <v>0</v>
      </c>
      <c r="P345" t="n">
        <v>0</v>
      </c>
      <c r="Q345" t="n">
        <v>0</v>
      </c>
      <c r="R345" s="2" t="inlineStr"/>
    </row>
    <row r="346" ht="15" customHeight="1">
      <c r="A346" t="inlineStr">
        <is>
          <t>A 25334-2023</t>
        </is>
      </c>
      <c r="B346" s="1" t="n">
        <v>45083</v>
      </c>
      <c r="C346" s="1" t="n">
        <v>45922</v>
      </c>
      <c r="D346" t="inlineStr">
        <is>
          <t>UPPSALA LÄN</t>
        </is>
      </c>
      <c r="E346" t="inlineStr">
        <is>
          <t>ENKÖPING</t>
        </is>
      </c>
      <c r="G346" t="n">
        <v>0.2</v>
      </c>
      <c r="H346" t="n">
        <v>0</v>
      </c>
      <c r="I346" t="n">
        <v>0</v>
      </c>
      <c r="J346" t="n">
        <v>0</v>
      </c>
      <c r="K346" t="n">
        <v>0</v>
      </c>
      <c r="L346" t="n">
        <v>0</v>
      </c>
      <c r="M346" t="n">
        <v>0</v>
      </c>
      <c r="N346" t="n">
        <v>0</v>
      </c>
      <c r="O346" t="n">
        <v>0</v>
      </c>
      <c r="P346" t="n">
        <v>0</v>
      </c>
      <c r="Q346" t="n">
        <v>0</v>
      </c>
      <c r="R346" s="2" t="inlineStr"/>
    </row>
    <row r="347" ht="15" customHeight="1">
      <c r="A347" t="inlineStr">
        <is>
          <t>A 40223-2024</t>
        </is>
      </c>
      <c r="B347" s="1" t="n">
        <v>45554</v>
      </c>
      <c r="C347" s="1" t="n">
        <v>45922</v>
      </c>
      <c r="D347" t="inlineStr">
        <is>
          <t>UPPSALA LÄN</t>
        </is>
      </c>
      <c r="E347" t="inlineStr">
        <is>
          <t>ENKÖPING</t>
        </is>
      </c>
      <c r="G347" t="n">
        <v>1.9</v>
      </c>
      <c r="H347" t="n">
        <v>0</v>
      </c>
      <c r="I347" t="n">
        <v>0</v>
      </c>
      <c r="J347" t="n">
        <v>0</v>
      </c>
      <c r="K347" t="n">
        <v>0</v>
      </c>
      <c r="L347" t="n">
        <v>0</v>
      </c>
      <c r="M347" t="n">
        <v>0</v>
      </c>
      <c r="N347" t="n">
        <v>0</v>
      </c>
      <c r="O347" t="n">
        <v>0</v>
      </c>
      <c r="P347" t="n">
        <v>0</v>
      </c>
      <c r="Q347" t="n">
        <v>0</v>
      </c>
      <c r="R347" s="2" t="inlineStr"/>
    </row>
    <row r="348" ht="15" customHeight="1">
      <c r="A348" t="inlineStr">
        <is>
          <t>A 37035-2023</t>
        </is>
      </c>
      <c r="B348" s="1" t="n">
        <v>45155</v>
      </c>
      <c r="C348" s="1" t="n">
        <v>45922</v>
      </c>
      <c r="D348" t="inlineStr">
        <is>
          <t>UPPSALA LÄN</t>
        </is>
      </c>
      <c r="E348" t="inlineStr">
        <is>
          <t>ENKÖPING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56837-2024</t>
        </is>
      </c>
      <c r="B349" s="1" t="n">
        <v>45628</v>
      </c>
      <c r="C349" s="1" t="n">
        <v>45922</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52889-2022</t>
        </is>
      </c>
      <c r="B350" s="1" t="n">
        <v>44875</v>
      </c>
      <c r="C350" s="1" t="n">
        <v>45922</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51027-2024</t>
        </is>
      </c>
      <c r="B351" s="1" t="n">
        <v>45603</v>
      </c>
      <c r="C351" s="1" t="n">
        <v>45922</v>
      </c>
      <c r="D351" t="inlineStr">
        <is>
          <t>UPPSALA LÄN</t>
        </is>
      </c>
      <c r="E351" t="inlineStr">
        <is>
          <t>ENKÖPING</t>
        </is>
      </c>
      <c r="G351" t="n">
        <v>3.5</v>
      </c>
      <c r="H351" t="n">
        <v>0</v>
      </c>
      <c r="I351" t="n">
        <v>0</v>
      </c>
      <c r="J351" t="n">
        <v>0</v>
      </c>
      <c r="K351" t="n">
        <v>0</v>
      </c>
      <c r="L351" t="n">
        <v>0</v>
      </c>
      <c r="M351" t="n">
        <v>0</v>
      </c>
      <c r="N351" t="n">
        <v>0</v>
      </c>
      <c r="O351" t="n">
        <v>0</v>
      </c>
      <c r="P351" t="n">
        <v>0</v>
      </c>
      <c r="Q351" t="n">
        <v>0</v>
      </c>
      <c r="R351" s="2" t="inlineStr"/>
    </row>
    <row r="352" ht="15" customHeight="1">
      <c r="A352" t="inlineStr">
        <is>
          <t>A 51030-2024</t>
        </is>
      </c>
      <c r="B352" s="1" t="n">
        <v>45603</v>
      </c>
      <c r="C352" s="1" t="n">
        <v>45922</v>
      </c>
      <c r="D352" t="inlineStr">
        <is>
          <t>UPPSALA LÄN</t>
        </is>
      </c>
      <c r="E352" t="inlineStr">
        <is>
          <t>ENKÖPING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26292-2022</t>
        </is>
      </c>
      <c r="B353" s="1" t="n">
        <v>44735</v>
      </c>
      <c r="C353" s="1" t="n">
        <v>45922</v>
      </c>
      <c r="D353" t="inlineStr">
        <is>
          <t>UPPSALA LÄN</t>
        </is>
      </c>
      <c r="E353" t="inlineStr">
        <is>
          <t>ENKÖPING</t>
        </is>
      </c>
      <c r="F353" t="inlineStr">
        <is>
          <t>Kyrkan</t>
        </is>
      </c>
      <c r="G353" t="n">
        <v>4.6</v>
      </c>
      <c r="H353" t="n">
        <v>0</v>
      </c>
      <c r="I353" t="n">
        <v>0</v>
      </c>
      <c r="J353" t="n">
        <v>0</v>
      </c>
      <c r="K353" t="n">
        <v>0</v>
      </c>
      <c r="L353" t="n">
        <v>0</v>
      </c>
      <c r="M353" t="n">
        <v>0</v>
      </c>
      <c r="N353" t="n">
        <v>0</v>
      </c>
      <c r="O353" t="n">
        <v>0</v>
      </c>
      <c r="P353" t="n">
        <v>0</v>
      </c>
      <c r="Q353" t="n">
        <v>0</v>
      </c>
      <c r="R353" s="2" t="inlineStr"/>
    </row>
    <row r="354" ht="15" customHeight="1">
      <c r="A354" t="inlineStr">
        <is>
          <t>A 4044-2024</t>
        </is>
      </c>
      <c r="B354" s="1" t="n">
        <v>45323.45954861111</v>
      </c>
      <c r="C354" s="1" t="n">
        <v>45922</v>
      </c>
      <c r="D354" t="inlineStr">
        <is>
          <t>UPPSALA LÄN</t>
        </is>
      </c>
      <c r="E354" t="inlineStr">
        <is>
          <t>ENKÖPING</t>
        </is>
      </c>
      <c r="G354" t="n">
        <v>2.1</v>
      </c>
      <c r="H354" t="n">
        <v>0</v>
      </c>
      <c r="I354" t="n">
        <v>0</v>
      </c>
      <c r="J354" t="n">
        <v>0</v>
      </c>
      <c r="K354" t="n">
        <v>0</v>
      </c>
      <c r="L354" t="n">
        <v>0</v>
      </c>
      <c r="M354" t="n">
        <v>0</v>
      </c>
      <c r="N354" t="n">
        <v>0</v>
      </c>
      <c r="O354" t="n">
        <v>0</v>
      </c>
      <c r="P354" t="n">
        <v>0</v>
      </c>
      <c r="Q354" t="n">
        <v>0</v>
      </c>
      <c r="R354" s="2" t="inlineStr"/>
    </row>
    <row r="355" ht="15" customHeight="1">
      <c r="A355" t="inlineStr">
        <is>
          <t>A 33349-2024</t>
        </is>
      </c>
      <c r="B355" s="1" t="n">
        <v>45519</v>
      </c>
      <c r="C355" s="1" t="n">
        <v>45922</v>
      </c>
      <c r="D355" t="inlineStr">
        <is>
          <t>UPPSALA LÄN</t>
        </is>
      </c>
      <c r="E355" t="inlineStr">
        <is>
          <t>ENKÖPING</t>
        </is>
      </c>
      <c r="G355" t="n">
        <v>3.6</v>
      </c>
      <c r="H355" t="n">
        <v>0</v>
      </c>
      <c r="I355" t="n">
        <v>0</v>
      </c>
      <c r="J355" t="n">
        <v>0</v>
      </c>
      <c r="K355" t="n">
        <v>0</v>
      </c>
      <c r="L355" t="n">
        <v>0</v>
      </c>
      <c r="M355" t="n">
        <v>0</v>
      </c>
      <c r="N355" t="n">
        <v>0</v>
      </c>
      <c r="O355" t="n">
        <v>0</v>
      </c>
      <c r="P355" t="n">
        <v>0</v>
      </c>
      <c r="Q355" t="n">
        <v>0</v>
      </c>
      <c r="R355" s="2" t="inlineStr"/>
    </row>
    <row r="356" ht="15" customHeight="1">
      <c r="A356" t="inlineStr">
        <is>
          <t>A 22912-2024</t>
        </is>
      </c>
      <c r="B356" s="1" t="n">
        <v>45448.73118055556</v>
      </c>
      <c r="C356" s="1" t="n">
        <v>45922</v>
      </c>
      <c r="D356" t="inlineStr">
        <is>
          <t>UPPSALA LÄN</t>
        </is>
      </c>
      <c r="E356" t="inlineStr">
        <is>
          <t>ENKÖPING</t>
        </is>
      </c>
      <c r="G356" t="n">
        <v>2.8</v>
      </c>
      <c r="H356" t="n">
        <v>0</v>
      </c>
      <c r="I356" t="n">
        <v>0</v>
      </c>
      <c r="J356" t="n">
        <v>0</v>
      </c>
      <c r="K356" t="n">
        <v>0</v>
      </c>
      <c r="L356" t="n">
        <v>0</v>
      </c>
      <c r="M356" t="n">
        <v>0</v>
      </c>
      <c r="N356" t="n">
        <v>0</v>
      </c>
      <c r="O356" t="n">
        <v>0</v>
      </c>
      <c r="P356" t="n">
        <v>0</v>
      </c>
      <c r="Q356" t="n">
        <v>0</v>
      </c>
      <c r="R356" s="2" t="inlineStr"/>
    </row>
    <row r="357" ht="15" customHeight="1">
      <c r="A357" t="inlineStr">
        <is>
          <t>A 21612-2023</t>
        </is>
      </c>
      <c r="B357" s="1" t="n">
        <v>45063</v>
      </c>
      <c r="C357" s="1" t="n">
        <v>45922</v>
      </c>
      <c r="D357" t="inlineStr">
        <is>
          <t>UPPSALA LÄN</t>
        </is>
      </c>
      <c r="E357" t="inlineStr">
        <is>
          <t>ENKÖPING</t>
        </is>
      </c>
      <c r="F357" t="inlineStr">
        <is>
          <t>Allmännings- och besparingsskogar</t>
        </is>
      </c>
      <c r="G357" t="n">
        <v>1</v>
      </c>
      <c r="H357" t="n">
        <v>0</v>
      </c>
      <c r="I357" t="n">
        <v>0</v>
      </c>
      <c r="J357" t="n">
        <v>0</v>
      </c>
      <c r="K357" t="n">
        <v>0</v>
      </c>
      <c r="L357" t="n">
        <v>0</v>
      </c>
      <c r="M357" t="n">
        <v>0</v>
      </c>
      <c r="N357" t="n">
        <v>0</v>
      </c>
      <c r="O357" t="n">
        <v>0</v>
      </c>
      <c r="P357" t="n">
        <v>0</v>
      </c>
      <c r="Q357" t="n">
        <v>0</v>
      </c>
      <c r="R357" s="2" t="inlineStr"/>
    </row>
    <row r="358" ht="15" customHeight="1">
      <c r="A358" t="inlineStr">
        <is>
          <t>A 39439-2025</t>
        </is>
      </c>
      <c r="B358" s="1" t="n">
        <v>45889</v>
      </c>
      <c r="C358" s="1" t="n">
        <v>45922</v>
      </c>
      <c r="D358" t="inlineStr">
        <is>
          <t>UPPSALA LÄN</t>
        </is>
      </c>
      <c r="E358" t="inlineStr">
        <is>
          <t>ENKÖPING</t>
        </is>
      </c>
      <c r="G358" t="n">
        <v>0.4</v>
      </c>
      <c r="H358" t="n">
        <v>0</v>
      </c>
      <c r="I358" t="n">
        <v>0</v>
      </c>
      <c r="J358" t="n">
        <v>0</v>
      </c>
      <c r="K358" t="n">
        <v>0</v>
      </c>
      <c r="L358" t="n">
        <v>0</v>
      </c>
      <c r="M358" t="n">
        <v>0</v>
      </c>
      <c r="N358" t="n">
        <v>0</v>
      </c>
      <c r="O358" t="n">
        <v>0</v>
      </c>
      <c r="P358" t="n">
        <v>0</v>
      </c>
      <c r="Q358" t="n">
        <v>0</v>
      </c>
      <c r="R358" s="2" t="inlineStr"/>
    </row>
    <row r="359" ht="15" customHeight="1">
      <c r="A359" t="inlineStr">
        <is>
          <t>A 18821-2023</t>
        </is>
      </c>
      <c r="B359" s="1" t="n">
        <v>45044.3782175926</v>
      </c>
      <c r="C359" s="1" t="n">
        <v>45922</v>
      </c>
      <c r="D359" t="inlineStr">
        <is>
          <t>UPPSALA LÄN</t>
        </is>
      </c>
      <c r="E359" t="inlineStr">
        <is>
          <t>ENKÖPING</t>
        </is>
      </c>
      <c r="G359" t="n">
        <v>6</v>
      </c>
      <c r="H359" t="n">
        <v>0</v>
      </c>
      <c r="I359" t="n">
        <v>0</v>
      </c>
      <c r="J359" t="n">
        <v>0</v>
      </c>
      <c r="K359" t="n">
        <v>0</v>
      </c>
      <c r="L359" t="n">
        <v>0</v>
      </c>
      <c r="M359" t="n">
        <v>0</v>
      </c>
      <c r="N359" t="n">
        <v>0</v>
      </c>
      <c r="O359" t="n">
        <v>0</v>
      </c>
      <c r="P359" t="n">
        <v>0</v>
      </c>
      <c r="Q359" t="n">
        <v>0</v>
      </c>
      <c r="R359" s="2" t="inlineStr"/>
    </row>
    <row r="360" ht="15" customHeight="1">
      <c r="A360" t="inlineStr">
        <is>
          <t>A 14243-2025</t>
        </is>
      </c>
      <c r="B360" s="1" t="n">
        <v>45740.61288194444</v>
      </c>
      <c r="C360" s="1" t="n">
        <v>45922</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33343-2024</t>
        </is>
      </c>
      <c r="B361" s="1" t="n">
        <v>45519</v>
      </c>
      <c r="C361" s="1" t="n">
        <v>45922</v>
      </c>
      <c r="D361" t="inlineStr">
        <is>
          <t>UPPSALA LÄN</t>
        </is>
      </c>
      <c r="E361" t="inlineStr">
        <is>
          <t>ENKÖPING</t>
        </is>
      </c>
      <c r="G361" t="n">
        <v>2</v>
      </c>
      <c r="H361" t="n">
        <v>0</v>
      </c>
      <c r="I361" t="n">
        <v>0</v>
      </c>
      <c r="J361" t="n">
        <v>0</v>
      </c>
      <c r="K361" t="n">
        <v>0</v>
      </c>
      <c r="L361" t="n">
        <v>0</v>
      </c>
      <c r="M361" t="n">
        <v>0</v>
      </c>
      <c r="N361" t="n">
        <v>0</v>
      </c>
      <c r="O361" t="n">
        <v>0</v>
      </c>
      <c r="P361" t="n">
        <v>0</v>
      </c>
      <c r="Q361" t="n">
        <v>0</v>
      </c>
      <c r="R361" s="2" t="inlineStr"/>
    </row>
    <row r="362" ht="15" customHeight="1">
      <c r="A362" t="inlineStr">
        <is>
          <t>A 29513-2025</t>
        </is>
      </c>
      <c r="B362" s="1" t="n">
        <v>45825</v>
      </c>
      <c r="C362" s="1" t="n">
        <v>45922</v>
      </c>
      <c r="D362" t="inlineStr">
        <is>
          <t>UPPSALA LÄN</t>
        </is>
      </c>
      <c r="E362" t="inlineStr">
        <is>
          <t>ENKÖPING</t>
        </is>
      </c>
      <c r="G362" t="n">
        <v>2.6</v>
      </c>
      <c r="H362" t="n">
        <v>0</v>
      </c>
      <c r="I362" t="n">
        <v>0</v>
      </c>
      <c r="J362" t="n">
        <v>0</v>
      </c>
      <c r="K362" t="n">
        <v>0</v>
      </c>
      <c r="L362" t="n">
        <v>0</v>
      </c>
      <c r="M362" t="n">
        <v>0</v>
      </c>
      <c r="N362" t="n">
        <v>0</v>
      </c>
      <c r="O362" t="n">
        <v>0</v>
      </c>
      <c r="P362" t="n">
        <v>0</v>
      </c>
      <c r="Q362" t="n">
        <v>0</v>
      </c>
      <c r="R362" s="2" t="inlineStr"/>
    </row>
    <row r="363" ht="15" customHeight="1">
      <c r="A363" t="inlineStr">
        <is>
          <t>A 39746-2025</t>
        </is>
      </c>
      <c r="B363" s="1" t="n">
        <v>45891</v>
      </c>
      <c r="C363" s="1" t="n">
        <v>45922</v>
      </c>
      <c r="D363" t="inlineStr">
        <is>
          <t>UPPSALA LÄN</t>
        </is>
      </c>
      <c r="E363" t="inlineStr">
        <is>
          <t>ENKÖPING</t>
        </is>
      </c>
      <c r="G363" t="n">
        <v>7.4</v>
      </c>
      <c r="H363" t="n">
        <v>0</v>
      </c>
      <c r="I363" t="n">
        <v>0</v>
      </c>
      <c r="J363" t="n">
        <v>0</v>
      </c>
      <c r="K363" t="n">
        <v>0</v>
      </c>
      <c r="L363" t="n">
        <v>0</v>
      </c>
      <c r="M363" t="n">
        <v>0</v>
      </c>
      <c r="N363" t="n">
        <v>0</v>
      </c>
      <c r="O363" t="n">
        <v>0</v>
      </c>
      <c r="P363" t="n">
        <v>0</v>
      </c>
      <c r="Q363" t="n">
        <v>0</v>
      </c>
      <c r="R363" s="2" t="inlineStr"/>
    </row>
    <row r="364" ht="15" customHeight="1">
      <c r="A364" t="inlineStr">
        <is>
          <t>A 17844-2025</t>
        </is>
      </c>
      <c r="B364" s="1" t="n">
        <v>45758.59920138889</v>
      </c>
      <c r="C364" s="1" t="n">
        <v>45922</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27837-2025</t>
        </is>
      </c>
      <c r="B365" s="1" t="n">
        <v>45817.37207175926</v>
      </c>
      <c r="C365" s="1" t="n">
        <v>45922</v>
      </c>
      <c r="D365" t="inlineStr">
        <is>
          <t>UPPSALA LÄN</t>
        </is>
      </c>
      <c r="E365" t="inlineStr">
        <is>
          <t>ENKÖPING</t>
        </is>
      </c>
      <c r="G365" t="n">
        <v>7.3</v>
      </c>
      <c r="H365" t="n">
        <v>0</v>
      </c>
      <c r="I365" t="n">
        <v>0</v>
      </c>
      <c r="J365" t="n">
        <v>0</v>
      </c>
      <c r="K365" t="n">
        <v>0</v>
      </c>
      <c r="L365" t="n">
        <v>0</v>
      </c>
      <c r="M365" t="n">
        <v>0</v>
      </c>
      <c r="N365" t="n">
        <v>0</v>
      </c>
      <c r="O365" t="n">
        <v>0</v>
      </c>
      <c r="P365" t="n">
        <v>0</v>
      </c>
      <c r="Q365" t="n">
        <v>0</v>
      </c>
      <c r="R365" s="2" t="inlineStr"/>
    </row>
    <row r="366" ht="15" customHeight="1">
      <c r="A366" t="inlineStr">
        <is>
          <t>A 34990-2025</t>
        </is>
      </c>
      <c r="B366" s="1" t="n">
        <v>45849.78916666667</v>
      </c>
      <c r="C366" s="1" t="n">
        <v>45922</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18302-2025</t>
        </is>
      </c>
      <c r="B367" s="1" t="n">
        <v>45762</v>
      </c>
      <c r="C367" s="1" t="n">
        <v>45922</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28243-2023</t>
        </is>
      </c>
      <c r="B368" s="1" t="n">
        <v>45099.58885416666</v>
      </c>
      <c r="C368" s="1" t="n">
        <v>45922</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57335-2024</t>
        </is>
      </c>
      <c r="B369" s="1" t="n">
        <v>45629.63302083333</v>
      </c>
      <c r="C369" s="1" t="n">
        <v>45922</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3235-2025</t>
        </is>
      </c>
      <c r="B370" s="1" t="n">
        <v>45679</v>
      </c>
      <c r="C370" s="1" t="n">
        <v>45922</v>
      </c>
      <c r="D370" t="inlineStr">
        <is>
          <t>UPPSALA LÄN</t>
        </is>
      </c>
      <c r="E370" t="inlineStr">
        <is>
          <t>ENKÖPING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41828-2024</t>
        </is>
      </c>
      <c r="B371" s="1" t="n">
        <v>45561</v>
      </c>
      <c r="C371" s="1" t="n">
        <v>45922</v>
      </c>
      <c r="D371" t="inlineStr">
        <is>
          <t>UPPSALA LÄN</t>
        </is>
      </c>
      <c r="E371" t="inlineStr">
        <is>
          <t>ENKÖPING</t>
        </is>
      </c>
      <c r="G371" t="n">
        <v>2.5</v>
      </c>
      <c r="H371" t="n">
        <v>0</v>
      </c>
      <c r="I371" t="n">
        <v>0</v>
      </c>
      <c r="J371" t="n">
        <v>0</v>
      </c>
      <c r="K371" t="n">
        <v>0</v>
      </c>
      <c r="L371" t="n">
        <v>0</v>
      </c>
      <c r="M371" t="n">
        <v>0</v>
      </c>
      <c r="N371" t="n">
        <v>0</v>
      </c>
      <c r="O371" t="n">
        <v>0</v>
      </c>
      <c r="P371" t="n">
        <v>0</v>
      </c>
      <c r="Q371" t="n">
        <v>0</v>
      </c>
      <c r="R371" s="2" t="inlineStr"/>
    </row>
    <row r="372" ht="15" customHeight="1">
      <c r="A372" t="inlineStr">
        <is>
          <t>A 1536-2024</t>
        </is>
      </c>
      <c r="B372" s="1" t="n">
        <v>45306</v>
      </c>
      <c r="C372" s="1" t="n">
        <v>45922</v>
      </c>
      <c r="D372" t="inlineStr">
        <is>
          <t>UPPSALA LÄN</t>
        </is>
      </c>
      <c r="E372" t="inlineStr">
        <is>
          <t>ENKÖPING</t>
        </is>
      </c>
      <c r="F372" t="inlineStr">
        <is>
          <t>Kyrkan</t>
        </is>
      </c>
      <c r="G372" t="n">
        <v>5.6</v>
      </c>
      <c r="H372" t="n">
        <v>0</v>
      </c>
      <c r="I372" t="n">
        <v>0</v>
      </c>
      <c r="J372" t="n">
        <v>0</v>
      </c>
      <c r="K372" t="n">
        <v>0</v>
      </c>
      <c r="L372" t="n">
        <v>0</v>
      </c>
      <c r="M372" t="n">
        <v>0</v>
      </c>
      <c r="N372" t="n">
        <v>0</v>
      </c>
      <c r="O372" t="n">
        <v>0</v>
      </c>
      <c r="P372" t="n">
        <v>0</v>
      </c>
      <c r="Q372" t="n">
        <v>0</v>
      </c>
      <c r="R372" s="2" t="inlineStr"/>
    </row>
    <row r="373" ht="15" customHeight="1">
      <c r="A373" t="inlineStr">
        <is>
          <t>A 41616-2025</t>
        </is>
      </c>
      <c r="B373" s="1" t="n">
        <v>45901.69684027778</v>
      </c>
      <c r="C373" s="1" t="n">
        <v>45922</v>
      </c>
      <c r="D373" t="inlineStr">
        <is>
          <t>UPPSALA LÄN</t>
        </is>
      </c>
      <c r="E373" t="inlineStr">
        <is>
          <t>ENKÖPING</t>
        </is>
      </c>
      <c r="F373" t="inlineStr">
        <is>
          <t>Allmännings- och besparingsskogar</t>
        </is>
      </c>
      <c r="G373" t="n">
        <v>17.3</v>
      </c>
      <c r="H373" t="n">
        <v>0</v>
      </c>
      <c r="I373" t="n">
        <v>0</v>
      </c>
      <c r="J373" t="n">
        <v>0</v>
      </c>
      <c r="K373" t="n">
        <v>0</v>
      </c>
      <c r="L373" t="n">
        <v>0</v>
      </c>
      <c r="M373" t="n">
        <v>0</v>
      </c>
      <c r="N373" t="n">
        <v>0</v>
      </c>
      <c r="O373" t="n">
        <v>0</v>
      </c>
      <c r="P373" t="n">
        <v>0</v>
      </c>
      <c r="Q373" t="n">
        <v>0</v>
      </c>
      <c r="R373" s="2" t="inlineStr"/>
    </row>
    <row r="374" ht="15" customHeight="1">
      <c r="A374" t="inlineStr">
        <is>
          <t>A 57835-2024</t>
        </is>
      </c>
      <c r="B374" s="1" t="n">
        <v>45631.39947916667</v>
      </c>
      <c r="C374" s="1" t="n">
        <v>45922</v>
      </c>
      <c r="D374" t="inlineStr">
        <is>
          <t>UPPSALA LÄN</t>
        </is>
      </c>
      <c r="E374" t="inlineStr">
        <is>
          <t>ENKÖPING</t>
        </is>
      </c>
      <c r="G374" t="n">
        <v>0.8</v>
      </c>
      <c r="H374" t="n">
        <v>0</v>
      </c>
      <c r="I374" t="n">
        <v>0</v>
      </c>
      <c r="J374" t="n">
        <v>0</v>
      </c>
      <c r="K374" t="n">
        <v>0</v>
      </c>
      <c r="L374" t="n">
        <v>0</v>
      </c>
      <c r="M374" t="n">
        <v>0</v>
      </c>
      <c r="N374" t="n">
        <v>0</v>
      </c>
      <c r="O374" t="n">
        <v>0</v>
      </c>
      <c r="P374" t="n">
        <v>0</v>
      </c>
      <c r="Q374" t="n">
        <v>0</v>
      </c>
      <c r="R374" s="2" t="inlineStr"/>
    </row>
    <row r="375" ht="15" customHeight="1">
      <c r="A375" t="inlineStr">
        <is>
          <t>A 53208-2023</t>
        </is>
      </c>
      <c r="B375" s="1" t="n">
        <v>45226</v>
      </c>
      <c r="C375" s="1" t="n">
        <v>45922</v>
      </c>
      <c r="D375" t="inlineStr">
        <is>
          <t>UPPSALA LÄN</t>
        </is>
      </c>
      <c r="E375" t="inlineStr">
        <is>
          <t>ENKÖPING</t>
        </is>
      </c>
      <c r="G375" t="n">
        <v>4.3</v>
      </c>
      <c r="H375" t="n">
        <v>0</v>
      </c>
      <c r="I375" t="n">
        <v>0</v>
      </c>
      <c r="J375" t="n">
        <v>0</v>
      </c>
      <c r="K375" t="n">
        <v>0</v>
      </c>
      <c r="L375" t="n">
        <v>0</v>
      </c>
      <c r="M375" t="n">
        <v>0</v>
      </c>
      <c r="N375" t="n">
        <v>0</v>
      </c>
      <c r="O375" t="n">
        <v>0</v>
      </c>
      <c r="P375" t="n">
        <v>0</v>
      </c>
      <c r="Q375" t="n">
        <v>0</v>
      </c>
      <c r="R375" s="2" t="inlineStr"/>
    </row>
    <row r="376" ht="15" customHeight="1">
      <c r="A376" t="inlineStr">
        <is>
          <t>A 42564-2024</t>
        </is>
      </c>
      <c r="B376" s="1" t="n">
        <v>45565.63358796296</v>
      </c>
      <c r="C376" s="1" t="n">
        <v>45922</v>
      </c>
      <c r="D376" t="inlineStr">
        <is>
          <t>UPPSALA LÄN</t>
        </is>
      </c>
      <c r="E376" t="inlineStr">
        <is>
          <t>ENKÖPING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41618-2025</t>
        </is>
      </c>
      <c r="B377" s="1" t="n">
        <v>45901.70085648148</v>
      </c>
      <c r="C377" s="1" t="n">
        <v>45922</v>
      </c>
      <c r="D377" t="inlineStr">
        <is>
          <t>UPPSALA LÄN</t>
        </is>
      </c>
      <c r="E377" t="inlineStr">
        <is>
          <t>ENKÖPING</t>
        </is>
      </c>
      <c r="F377" t="inlineStr">
        <is>
          <t>Allmännings- och besparingsskogar</t>
        </is>
      </c>
      <c r="G377" t="n">
        <v>5.3</v>
      </c>
      <c r="H377" t="n">
        <v>0</v>
      </c>
      <c r="I377" t="n">
        <v>0</v>
      </c>
      <c r="J377" t="n">
        <v>0</v>
      </c>
      <c r="K377" t="n">
        <v>0</v>
      </c>
      <c r="L377" t="n">
        <v>0</v>
      </c>
      <c r="M377" t="n">
        <v>0</v>
      </c>
      <c r="N377" t="n">
        <v>0</v>
      </c>
      <c r="O377" t="n">
        <v>0</v>
      </c>
      <c r="P377" t="n">
        <v>0</v>
      </c>
      <c r="Q377" t="n">
        <v>0</v>
      </c>
      <c r="R377" s="2" t="inlineStr"/>
    </row>
    <row r="378" ht="15" customHeight="1">
      <c r="A378" t="inlineStr">
        <is>
          <t>A 43492-2023</t>
        </is>
      </c>
      <c r="B378" s="1" t="n">
        <v>45181</v>
      </c>
      <c r="C378" s="1" t="n">
        <v>45922</v>
      </c>
      <c r="D378" t="inlineStr">
        <is>
          <t>UPPSALA LÄN</t>
        </is>
      </c>
      <c r="E378" t="inlineStr">
        <is>
          <t>ENKÖPING</t>
        </is>
      </c>
      <c r="G378" t="n">
        <v>1.6</v>
      </c>
      <c r="H378" t="n">
        <v>0</v>
      </c>
      <c r="I378" t="n">
        <v>0</v>
      </c>
      <c r="J378" t="n">
        <v>0</v>
      </c>
      <c r="K378" t="n">
        <v>0</v>
      </c>
      <c r="L378" t="n">
        <v>0</v>
      </c>
      <c r="M378" t="n">
        <v>0</v>
      </c>
      <c r="N378" t="n">
        <v>0</v>
      </c>
      <c r="O378" t="n">
        <v>0</v>
      </c>
      <c r="P378" t="n">
        <v>0</v>
      </c>
      <c r="Q378" t="n">
        <v>0</v>
      </c>
      <c r="R378" s="2" t="inlineStr"/>
    </row>
    <row r="379" ht="15" customHeight="1">
      <c r="A379" t="inlineStr">
        <is>
          <t>A 41637-2025</t>
        </is>
      </c>
      <c r="B379" s="1" t="n">
        <v>45901</v>
      </c>
      <c r="C379" s="1" t="n">
        <v>45922</v>
      </c>
      <c r="D379" t="inlineStr">
        <is>
          <t>UPPSALA LÄN</t>
        </is>
      </c>
      <c r="E379" t="inlineStr">
        <is>
          <t>ENKÖPING</t>
        </is>
      </c>
      <c r="F379" t="inlineStr">
        <is>
          <t>Allmännings- och besparingsskogar</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19013-2025</t>
        </is>
      </c>
      <c r="B380" s="1" t="n">
        <v>45764.59533564815</v>
      </c>
      <c r="C380" s="1" t="n">
        <v>45922</v>
      </c>
      <c r="D380" t="inlineStr">
        <is>
          <t>UPPSALA LÄN</t>
        </is>
      </c>
      <c r="E380" t="inlineStr">
        <is>
          <t>ENKÖPING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21501-2025</t>
        </is>
      </c>
      <c r="B381" s="1" t="n">
        <v>45782</v>
      </c>
      <c r="C381" s="1" t="n">
        <v>45922</v>
      </c>
      <c r="D381" t="inlineStr">
        <is>
          <t>UPPSALA LÄN</t>
        </is>
      </c>
      <c r="E381" t="inlineStr">
        <is>
          <t>ENKÖPING</t>
        </is>
      </c>
      <c r="G381" t="n">
        <v>1</v>
      </c>
      <c r="H381" t="n">
        <v>0</v>
      </c>
      <c r="I381" t="n">
        <v>0</v>
      </c>
      <c r="J381" t="n">
        <v>0</v>
      </c>
      <c r="K381" t="n">
        <v>0</v>
      </c>
      <c r="L381" t="n">
        <v>0</v>
      </c>
      <c r="M381" t="n">
        <v>0</v>
      </c>
      <c r="N381" t="n">
        <v>0</v>
      </c>
      <c r="O381" t="n">
        <v>0</v>
      </c>
      <c r="P381" t="n">
        <v>0</v>
      </c>
      <c r="Q381" t="n">
        <v>0</v>
      </c>
      <c r="R381" s="2" t="inlineStr"/>
    </row>
    <row r="382" ht="15" customHeight="1">
      <c r="A382" t="inlineStr">
        <is>
          <t>A 6626-2023</t>
        </is>
      </c>
      <c r="B382" s="1" t="n">
        <v>44966.55946759259</v>
      </c>
      <c r="C382" s="1" t="n">
        <v>45922</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34988-2025</t>
        </is>
      </c>
      <c r="B383" s="1" t="n">
        <v>45849</v>
      </c>
      <c r="C383" s="1" t="n">
        <v>45922</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2164-2023</t>
        </is>
      </c>
      <c r="B384" s="1" t="n">
        <v>44941</v>
      </c>
      <c r="C384" s="1" t="n">
        <v>45922</v>
      </c>
      <c r="D384" t="inlineStr">
        <is>
          <t>UPPSALA LÄN</t>
        </is>
      </c>
      <c r="E384" t="inlineStr">
        <is>
          <t>ENKÖPING</t>
        </is>
      </c>
      <c r="G384" t="n">
        <v>2.5</v>
      </c>
      <c r="H384" t="n">
        <v>0</v>
      </c>
      <c r="I384" t="n">
        <v>0</v>
      </c>
      <c r="J384" t="n">
        <v>0</v>
      </c>
      <c r="K384" t="n">
        <v>0</v>
      </c>
      <c r="L384" t="n">
        <v>0</v>
      </c>
      <c r="M384" t="n">
        <v>0</v>
      </c>
      <c r="N384" t="n">
        <v>0</v>
      </c>
      <c r="O384" t="n">
        <v>0</v>
      </c>
      <c r="P384" t="n">
        <v>0</v>
      </c>
      <c r="Q384" t="n">
        <v>0</v>
      </c>
      <c r="R384" s="2" t="inlineStr"/>
    </row>
    <row r="385" ht="15" customHeight="1">
      <c r="A385" t="inlineStr">
        <is>
          <t>A 42029-2025</t>
        </is>
      </c>
      <c r="B385" s="1" t="n">
        <v>45903</v>
      </c>
      <c r="C385" s="1" t="n">
        <v>45922</v>
      </c>
      <c r="D385" t="inlineStr">
        <is>
          <t>UPPSALA LÄN</t>
        </is>
      </c>
      <c r="E385" t="inlineStr">
        <is>
          <t>ENKÖPING</t>
        </is>
      </c>
      <c r="G385" t="n">
        <v>1.8</v>
      </c>
      <c r="H385" t="n">
        <v>0</v>
      </c>
      <c r="I385" t="n">
        <v>0</v>
      </c>
      <c r="J385" t="n">
        <v>0</v>
      </c>
      <c r="K385" t="n">
        <v>0</v>
      </c>
      <c r="L385" t="n">
        <v>0</v>
      </c>
      <c r="M385" t="n">
        <v>0</v>
      </c>
      <c r="N385" t="n">
        <v>0</v>
      </c>
      <c r="O385" t="n">
        <v>0</v>
      </c>
      <c r="P385" t="n">
        <v>0</v>
      </c>
      <c r="Q385" t="n">
        <v>0</v>
      </c>
      <c r="R385" s="2" t="inlineStr"/>
    </row>
    <row r="386" ht="15" customHeight="1">
      <c r="A386" t="inlineStr">
        <is>
          <t>A 34987-2025</t>
        </is>
      </c>
      <c r="B386" s="1" t="n">
        <v>45849</v>
      </c>
      <c r="C386" s="1" t="n">
        <v>45922</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34989-2025</t>
        </is>
      </c>
      <c r="B387" s="1" t="n">
        <v>45849</v>
      </c>
      <c r="C387" s="1" t="n">
        <v>45922</v>
      </c>
      <c r="D387" t="inlineStr">
        <is>
          <t>UPPSALA LÄN</t>
        </is>
      </c>
      <c r="E387" t="inlineStr">
        <is>
          <t>ENKÖPING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61952-2021</t>
        </is>
      </c>
      <c r="B388" s="1" t="n">
        <v>44502</v>
      </c>
      <c r="C388" s="1" t="n">
        <v>45922</v>
      </c>
      <c r="D388" t="inlineStr">
        <is>
          <t>UPPSALA LÄN</t>
        </is>
      </c>
      <c r="E388" t="inlineStr">
        <is>
          <t>ENKÖPING</t>
        </is>
      </c>
      <c r="G388" t="n">
        <v>2.3</v>
      </c>
      <c r="H388" t="n">
        <v>0</v>
      </c>
      <c r="I388" t="n">
        <v>0</v>
      </c>
      <c r="J388" t="n">
        <v>0</v>
      </c>
      <c r="K388" t="n">
        <v>0</v>
      </c>
      <c r="L388" t="n">
        <v>0</v>
      </c>
      <c r="M388" t="n">
        <v>0</v>
      </c>
      <c r="N388" t="n">
        <v>0</v>
      </c>
      <c r="O388" t="n">
        <v>0</v>
      </c>
      <c r="P388" t="n">
        <v>0</v>
      </c>
      <c r="Q388" t="n">
        <v>0</v>
      </c>
      <c r="R388" s="2" t="inlineStr"/>
    </row>
    <row r="389" ht="15" customHeight="1">
      <c r="A389" t="inlineStr">
        <is>
          <t>A 41764-2025</t>
        </is>
      </c>
      <c r="B389" s="1" t="n">
        <v>45902</v>
      </c>
      <c r="C389" s="1" t="n">
        <v>45922</v>
      </c>
      <c r="D389" t="inlineStr">
        <is>
          <t>UPPSALA LÄN</t>
        </is>
      </c>
      <c r="E389" t="inlineStr">
        <is>
          <t>ENKÖPING</t>
        </is>
      </c>
      <c r="G389" t="n">
        <v>2.7</v>
      </c>
      <c r="H389" t="n">
        <v>0</v>
      </c>
      <c r="I389" t="n">
        <v>0</v>
      </c>
      <c r="J389" t="n">
        <v>0</v>
      </c>
      <c r="K389" t="n">
        <v>0</v>
      </c>
      <c r="L389" t="n">
        <v>0</v>
      </c>
      <c r="M389" t="n">
        <v>0</v>
      </c>
      <c r="N389" t="n">
        <v>0</v>
      </c>
      <c r="O389" t="n">
        <v>0</v>
      </c>
      <c r="P389" t="n">
        <v>0</v>
      </c>
      <c r="Q389" t="n">
        <v>0</v>
      </c>
      <c r="R389" s="2" t="inlineStr"/>
    </row>
    <row r="390" ht="15" customHeight="1">
      <c r="A390" t="inlineStr">
        <is>
          <t>A 17165-2025</t>
        </is>
      </c>
      <c r="B390" s="1" t="n">
        <v>45756</v>
      </c>
      <c r="C390" s="1" t="n">
        <v>45922</v>
      </c>
      <c r="D390" t="inlineStr">
        <is>
          <t>UPPSALA LÄN</t>
        </is>
      </c>
      <c r="E390" t="inlineStr">
        <is>
          <t>ENKÖPING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5013-2025</t>
        </is>
      </c>
      <c r="B391" s="1" t="n">
        <v>45691</v>
      </c>
      <c r="C391" s="1" t="n">
        <v>45922</v>
      </c>
      <c r="D391" t="inlineStr">
        <is>
          <t>UPPSALA LÄN</t>
        </is>
      </c>
      <c r="E391" t="inlineStr">
        <is>
          <t>ENKÖPING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14083-2025</t>
        </is>
      </c>
      <c r="B392" s="1" t="n">
        <v>45740</v>
      </c>
      <c r="C392" s="1" t="n">
        <v>45922</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69879-2021</t>
        </is>
      </c>
      <c r="B393" s="1" t="n">
        <v>44532</v>
      </c>
      <c r="C393" s="1" t="n">
        <v>45922</v>
      </c>
      <c r="D393" t="inlineStr">
        <is>
          <t>UPPSALA LÄN</t>
        </is>
      </c>
      <c r="E393" t="inlineStr">
        <is>
          <t>ENKÖPING</t>
        </is>
      </c>
      <c r="G393" t="n">
        <v>4.2</v>
      </c>
      <c r="H393" t="n">
        <v>0</v>
      </c>
      <c r="I393" t="n">
        <v>0</v>
      </c>
      <c r="J393" t="n">
        <v>0</v>
      </c>
      <c r="K393" t="n">
        <v>0</v>
      </c>
      <c r="L393" t="n">
        <v>0</v>
      </c>
      <c r="M393" t="n">
        <v>0</v>
      </c>
      <c r="N393" t="n">
        <v>0</v>
      </c>
      <c r="O393" t="n">
        <v>0</v>
      </c>
      <c r="P393" t="n">
        <v>0</v>
      </c>
      <c r="Q393" t="n">
        <v>0</v>
      </c>
      <c r="R393" s="2" t="inlineStr"/>
    </row>
    <row r="394" ht="15" customHeight="1">
      <c r="A394" t="inlineStr">
        <is>
          <t>A 38941-2025</t>
        </is>
      </c>
      <c r="B394" s="1" t="n">
        <v>45887</v>
      </c>
      <c r="C394" s="1" t="n">
        <v>45922</v>
      </c>
      <c r="D394" t="inlineStr">
        <is>
          <t>UPPSALA LÄN</t>
        </is>
      </c>
      <c r="E394" t="inlineStr">
        <is>
          <t>ENKÖPING</t>
        </is>
      </c>
      <c r="F394" t="inlineStr">
        <is>
          <t>Övriga statliga verk och myndigheter</t>
        </is>
      </c>
      <c r="G394" t="n">
        <v>0.6</v>
      </c>
      <c r="H394" t="n">
        <v>0</v>
      </c>
      <c r="I394" t="n">
        <v>0</v>
      </c>
      <c r="J394" t="n">
        <v>0</v>
      </c>
      <c r="K394" t="n">
        <v>0</v>
      </c>
      <c r="L394" t="n">
        <v>0</v>
      </c>
      <c r="M394" t="n">
        <v>0</v>
      </c>
      <c r="N394" t="n">
        <v>0</v>
      </c>
      <c r="O394" t="n">
        <v>0</v>
      </c>
      <c r="P394" t="n">
        <v>0</v>
      </c>
      <c r="Q394" t="n">
        <v>0</v>
      </c>
      <c r="R394" s="2" t="inlineStr"/>
    </row>
    <row r="395" ht="15" customHeight="1">
      <c r="A395" t="inlineStr">
        <is>
          <t>A 36492-2025</t>
        </is>
      </c>
      <c r="B395" s="1" t="n">
        <v>45869</v>
      </c>
      <c r="C395" s="1" t="n">
        <v>45922</v>
      </c>
      <c r="D395" t="inlineStr">
        <is>
          <t>UPPSALA LÄN</t>
        </is>
      </c>
      <c r="E395" t="inlineStr">
        <is>
          <t>ENKÖPING</t>
        </is>
      </c>
      <c r="G395" t="n">
        <v>6.3</v>
      </c>
      <c r="H395" t="n">
        <v>0</v>
      </c>
      <c r="I395" t="n">
        <v>0</v>
      </c>
      <c r="J395" t="n">
        <v>0</v>
      </c>
      <c r="K395" t="n">
        <v>0</v>
      </c>
      <c r="L395" t="n">
        <v>0</v>
      </c>
      <c r="M395" t="n">
        <v>0</v>
      </c>
      <c r="N395" t="n">
        <v>0</v>
      </c>
      <c r="O395" t="n">
        <v>0</v>
      </c>
      <c r="P395" t="n">
        <v>0</v>
      </c>
      <c r="Q395" t="n">
        <v>0</v>
      </c>
      <c r="R395" s="2" t="inlineStr"/>
    </row>
    <row r="396" ht="15" customHeight="1">
      <c r="A396" t="inlineStr">
        <is>
          <t>A 37170-2021</t>
        </is>
      </c>
      <c r="B396" s="1" t="n">
        <v>44395</v>
      </c>
      <c r="C396" s="1" t="n">
        <v>45922</v>
      </c>
      <c r="D396" t="inlineStr">
        <is>
          <t>UPPSALA LÄN</t>
        </is>
      </c>
      <c r="E396" t="inlineStr">
        <is>
          <t>ENKÖPING</t>
        </is>
      </c>
      <c r="G396" t="n">
        <v>1.5</v>
      </c>
      <c r="H396" t="n">
        <v>0</v>
      </c>
      <c r="I396" t="n">
        <v>0</v>
      </c>
      <c r="J396" t="n">
        <v>0</v>
      </c>
      <c r="K396" t="n">
        <v>0</v>
      </c>
      <c r="L396" t="n">
        <v>0</v>
      </c>
      <c r="M396" t="n">
        <v>0</v>
      </c>
      <c r="N396" t="n">
        <v>0</v>
      </c>
      <c r="O396" t="n">
        <v>0</v>
      </c>
      <c r="P396" t="n">
        <v>0</v>
      </c>
      <c r="Q396" t="n">
        <v>0</v>
      </c>
      <c r="R396" s="2" t="inlineStr"/>
    </row>
    <row r="397" ht="15" customHeight="1">
      <c r="A397" t="inlineStr">
        <is>
          <t>A 52169-2020</t>
        </is>
      </c>
      <c r="B397" s="1" t="n">
        <v>44117</v>
      </c>
      <c r="C397" s="1" t="n">
        <v>45922</v>
      </c>
      <c r="D397" t="inlineStr">
        <is>
          <t>UPPSALA LÄN</t>
        </is>
      </c>
      <c r="E397" t="inlineStr">
        <is>
          <t>ENKÖPING</t>
        </is>
      </c>
      <c r="F397" t="inlineStr">
        <is>
          <t>Allmännings- och besparingsskogar</t>
        </is>
      </c>
      <c r="G397" t="n">
        <v>1.5</v>
      </c>
      <c r="H397" t="n">
        <v>0</v>
      </c>
      <c r="I397" t="n">
        <v>0</v>
      </c>
      <c r="J397" t="n">
        <v>0</v>
      </c>
      <c r="K397" t="n">
        <v>0</v>
      </c>
      <c r="L397" t="n">
        <v>0</v>
      </c>
      <c r="M397" t="n">
        <v>0</v>
      </c>
      <c r="N397" t="n">
        <v>0</v>
      </c>
      <c r="O397" t="n">
        <v>0</v>
      </c>
      <c r="P397" t="n">
        <v>0</v>
      </c>
      <c r="Q397" t="n">
        <v>0</v>
      </c>
      <c r="R397" s="2" t="inlineStr"/>
    </row>
    <row r="398" ht="15" customHeight="1">
      <c r="A398" t="inlineStr">
        <is>
          <t>A 36350-2025</t>
        </is>
      </c>
      <c r="B398" s="1" t="n">
        <v>45868</v>
      </c>
      <c r="C398" s="1" t="n">
        <v>45922</v>
      </c>
      <c r="D398" t="inlineStr">
        <is>
          <t>UPPSALA LÄN</t>
        </is>
      </c>
      <c r="E398" t="inlineStr">
        <is>
          <t>ENKÖPING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58147-2024</t>
        </is>
      </c>
      <c r="B399" s="1" t="n">
        <v>45632.4334375</v>
      </c>
      <c r="C399" s="1" t="n">
        <v>45922</v>
      </c>
      <c r="D399" t="inlineStr">
        <is>
          <t>UPPSALA LÄN</t>
        </is>
      </c>
      <c r="E399" t="inlineStr">
        <is>
          <t>ENKÖPING</t>
        </is>
      </c>
      <c r="G399" t="n">
        <v>3</v>
      </c>
      <c r="H399" t="n">
        <v>0</v>
      </c>
      <c r="I399" t="n">
        <v>0</v>
      </c>
      <c r="J399" t="n">
        <v>0</v>
      </c>
      <c r="K399" t="n">
        <v>0</v>
      </c>
      <c r="L399" t="n">
        <v>0</v>
      </c>
      <c r="M399" t="n">
        <v>0</v>
      </c>
      <c r="N399" t="n">
        <v>0</v>
      </c>
      <c r="O399" t="n">
        <v>0</v>
      </c>
      <c r="P399" t="n">
        <v>0</v>
      </c>
      <c r="Q399" t="n">
        <v>0</v>
      </c>
      <c r="R399" s="2" t="inlineStr"/>
    </row>
    <row r="400" ht="15" customHeight="1">
      <c r="A400" t="inlineStr">
        <is>
          <t>A 43103-2025</t>
        </is>
      </c>
      <c r="B400" s="1" t="n">
        <v>45909</v>
      </c>
      <c r="C400" s="1" t="n">
        <v>45922</v>
      </c>
      <c r="D400" t="inlineStr">
        <is>
          <t>UPPSALA LÄN</t>
        </is>
      </c>
      <c r="E400" t="inlineStr">
        <is>
          <t>ENKÖPING</t>
        </is>
      </c>
      <c r="G400" t="n">
        <v>2.3</v>
      </c>
      <c r="H400" t="n">
        <v>0</v>
      </c>
      <c r="I400" t="n">
        <v>0</v>
      </c>
      <c r="J400" t="n">
        <v>0</v>
      </c>
      <c r="K400" t="n">
        <v>0</v>
      </c>
      <c r="L400" t="n">
        <v>0</v>
      </c>
      <c r="M400" t="n">
        <v>0</v>
      </c>
      <c r="N400" t="n">
        <v>0</v>
      </c>
      <c r="O400" t="n">
        <v>0</v>
      </c>
      <c r="P400" t="n">
        <v>0</v>
      </c>
      <c r="Q400" t="n">
        <v>0</v>
      </c>
      <c r="R400" s="2" t="inlineStr"/>
    </row>
    <row r="401" ht="15" customHeight="1">
      <c r="A401" t="inlineStr">
        <is>
          <t>A 4562-2025</t>
        </is>
      </c>
      <c r="B401" s="1" t="n">
        <v>45687</v>
      </c>
      <c r="C401" s="1" t="n">
        <v>45922</v>
      </c>
      <c r="D401" t="inlineStr">
        <is>
          <t>UPPSALA LÄN</t>
        </is>
      </c>
      <c r="E401" t="inlineStr">
        <is>
          <t>ENKÖPING</t>
        </is>
      </c>
      <c r="G401" t="n">
        <v>2.5</v>
      </c>
      <c r="H401" t="n">
        <v>0</v>
      </c>
      <c r="I401" t="n">
        <v>0</v>
      </c>
      <c r="J401" t="n">
        <v>0</v>
      </c>
      <c r="K401" t="n">
        <v>0</v>
      </c>
      <c r="L401" t="n">
        <v>0</v>
      </c>
      <c r="M401" t="n">
        <v>0</v>
      </c>
      <c r="N401" t="n">
        <v>0</v>
      </c>
      <c r="O401" t="n">
        <v>0</v>
      </c>
      <c r="P401" t="n">
        <v>0</v>
      </c>
      <c r="Q401" t="n">
        <v>0</v>
      </c>
      <c r="R401" s="2" t="inlineStr"/>
    </row>
    <row r="402" ht="15" customHeight="1">
      <c r="A402" t="inlineStr">
        <is>
          <t>A 3550-2023</t>
        </is>
      </c>
      <c r="B402" s="1" t="n">
        <v>44950</v>
      </c>
      <c r="C402" s="1" t="n">
        <v>45922</v>
      </c>
      <c r="D402" t="inlineStr">
        <is>
          <t>UPPSALA LÄN</t>
        </is>
      </c>
      <c r="E402" t="inlineStr">
        <is>
          <t>ENKÖPING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43999-2025</t>
        </is>
      </c>
      <c r="B403" s="1" t="n">
        <v>45915.45158564814</v>
      </c>
      <c r="C403" s="1" t="n">
        <v>45922</v>
      </c>
      <c r="D403" t="inlineStr">
        <is>
          <t>UPPSALA LÄN</t>
        </is>
      </c>
      <c r="E403" t="inlineStr">
        <is>
          <t>ENKÖPING</t>
        </is>
      </c>
      <c r="G403" t="n">
        <v>4.1</v>
      </c>
      <c r="H403" t="n">
        <v>0</v>
      </c>
      <c r="I403" t="n">
        <v>0</v>
      </c>
      <c r="J403" t="n">
        <v>0</v>
      </c>
      <c r="K403" t="n">
        <v>0</v>
      </c>
      <c r="L403" t="n">
        <v>0</v>
      </c>
      <c r="M403" t="n">
        <v>0</v>
      </c>
      <c r="N403" t="n">
        <v>0</v>
      </c>
      <c r="O403" t="n">
        <v>0</v>
      </c>
      <c r="P403" t="n">
        <v>0</v>
      </c>
      <c r="Q403" t="n">
        <v>0</v>
      </c>
      <c r="R403" s="2" t="inlineStr"/>
    </row>
    <row r="404" ht="15" customHeight="1">
      <c r="A404" t="inlineStr">
        <is>
          <t>A 15757-2023</t>
        </is>
      </c>
      <c r="B404" s="1" t="n">
        <v>45021</v>
      </c>
      <c r="C404" s="1" t="n">
        <v>45922</v>
      </c>
      <c r="D404" t="inlineStr">
        <is>
          <t>UPPSALA LÄN</t>
        </is>
      </c>
      <c r="E404" t="inlineStr">
        <is>
          <t>ENKÖPING</t>
        </is>
      </c>
      <c r="G404" t="n">
        <v>3</v>
      </c>
      <c r="H404" t="n">
        <v>0</v>
      </c>
      <c r="I404" t="n">
        <v>0</v>
      </c>
      <c r="J404" t="n">
        <v>0</v>
      </c>
      <c r="K404" t="n">
        <v>0</v>
      </c>
      <c r="L404" t="n">
        <v>0</v>
      </c>
      <c r="M404" t="n">
        <v>0</v>
      </c>
      <c r="N404" t="n">
        <v>0</v>
      </c>
      <c r="O404" t="n">
        <v>0</v>
      </c>
      <c r="P404" t="n">
        <v>0</v>
      </c>
      <c r="Q404" t="n">
        <v>0</v>
      </c>
      <c r="R404" s="2" t="inlineStr"/>
    </row>
    <row r="405" ht="15" customHeight="1">
      <c r="A405" t="inlineStr">
        <is>
          <t>A 19014-2025</t>
        </is>
      </c>
      <c r="B405" s="1" t="n">
        <v>45764.59631944444</v>
      </c>
      <c r="C405" s="1" t="n">
        <v>45922</v>
      </c>
      <c r="D405" t="inlineStr">
        <is>
          <t>UPPSALA LÄN</t>
        </is>
      </c>
      <c r="E405" t="inlineStr">
        <is>
          <t>ENKÖPING</t>
        </is>
      </c>
      <c r="G405" t="n">
        <v>0.2</v>
      </c>
      <c r="H405" t="n">
        <v>0</v>
      </c>
      <c r="I405" t="n">
        <v>0</v>
      </c>
      <c r="J405" t="n">
        <v>0</v>
      </c>
      <c r="K405" t="n">
        <v>0</v>
      </c>
      <c r="L405" t="n">
        <v>0</v>
      </c>
      <c r="M405" t="n">
        <v>0</v>
      </c>
      <c r="N405" t="n">
        <v>0</v>
      </c>
      <c r="O405" t="n">
        <v>0</v>
      </c>
      <c r="P405" t="n">
        <v>0</v>
      </c>
      <c r="Q405" t="n">
        <v>0</v>
      </c>
      <c r="R405" s="2" t="inlineStr"/>
    </row>
    <row r="406" ht="15" customHeight="1">
      <c r="A406" t="inlineStr">
        <is>
          <t>A 42756-2025</t>
        </is>
      </c>
      <c r="B406" s="1" t="n">
        <v>45908</v>
      </c>
      <c r="C406" s="1" t="n">
        <v>45922</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25989-2025</t>
        </is>
      </c>
      <c r="B407" s="1" t="n">
        <v>45804.65050925926</v>
      </c>
      <c r="C407" s="1" t="n">
        <v>45922</v>
      </c>
      <c r="D407" t="inlineStr">
        <is>
          <t>UPPSALA LÄN</t>
        </is>
      </c>
      <c r="E407" t="inlineStr">
        <is>
          <t>ENKÖPING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2161-2023</t>
        </is>
      </c>
      <c r="B408" s="1" t="n">
        <v>44941</v>
      </c>
      <c r="C408" s="1" t="n">
        <v>45922</v>
      </c>
      <c r="D408" t="inlineStr">
        <is>
          <t>UPPSALA LÄN</t>
        </is>
      </c>
      <c r="E408" t="inlineStr">
        <is>
          <t>ENKÖPING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2165-2023</t>
        </is>
      </c>
      <c r="B409" s="1" t="n">
        <v>44941</v>
      </c>
      <c r="C409" s="1" t="n">
        <v>45922</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12958-2024</t>
        </is>
      </c>
      <c r="B410" s="1" t="n">
        <v>45385</v>
      </c>
      <c r="C410" s="1" t="n">
        <v>45922</v>
      </c>
      <c r="D410" t="inlineStr">
        <is>
          <t>UPPSALA LÄN</t>
        </is>
      </c>
      <c r="E410" t="inlineStr">
        <is>
          <t>ENKÖPING</t>
        </is>
      </c>
      <c r="G410" t="n">
        <v>2.1</v>
      </c>
      <c r="H410" t="n">
        <v>0</v>
      </c>
      <c r="I410" t="n">
        <v>0</v>
      </c>
      <c r="J410" t="n">
        <v>0</v>
      </c>
      <c r="K410" t="n">
        <v>0</v>
      </c>
      <c r="L410" t="n">
        <v>0</v>
      </c>
      <c r="M410" t="n">
        <v>0</v>
      </c>
      <c r="N410" t="n">
        <v>0</v>
      </c>
      <c r="O410" t="n">
        <v>0</v>
      </c>
      <c r="P410" t="n">
        <v>0</v>
      </c>
      <c r="Q410" t="n">
        <v>0</v>
      </c>
      <c r="R410" s="2" t="inlineStr"/>
    </row>
    <row r="411" ht="15" customHeight="1">
      <c r="A411" t="inlineStr">
        <is>
          <t>A 36599-2025</t>
        </is>
      </c>
      <c r="B411" s="1" t="n">
        <v>45870.51723379629</v>
      </c>
      <c r="C411" s="1" t="n">
        <v>45922</v>
      </c>
      <c r="D411" t="inlineStr">
        <is>
          <t>UPPSALA LÄN</t>
        </is>
      </c>
      <c r="E411" t="inlineStr">
        <is>
          <t>ENKÖPING</t>
        </is>
      </c>
      <c r="G411" t="n">
        <v>5.9</v>
      </c>
      <c r="H411" t="n">
        <v>0</v>
      </c>
      <c r="I411" t="n">
        <v>0</v>
      </c>
      <c r="J411" t="n">
        <v>0</v>
      </c>
      <c r="K411" t="n">
        <v>0</v>
      </c>
      <c r="L411" t="n">
        <v>0</v>
      </c>
      <c r="M411" t="n">
        <v>0</v>
      </c>
      <c r="N411" t="n">
        <v>0</v>
      </c>
      <c r="O411" t="n">
        <v>0</v>
      </c>
      <c r="P411" t="n">
        <v>0</v>
      </c>
      <c r="Q411" t="n">
        <v>0</v>
      </c>
      <c r="R411" s="2" t="inlineStr"/>
    </row>
    <row r="412" ht="15" customHeight="1">
      <c r="A412" t="inlineStr">
        <is>
          <t>A 20112-2024</t>
        </is>
      </c>
      <c r="B412" s="1" t="n">
        <v>45434</v>
      </c>
      <c r="C412" s="1" t="n">
        <v>45922</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1651-2024</t>
        </is>
      </c>
      <c r="B413" s="1" t="n">
        <v>45306.73770833333</v>
      </c>
      <c r="C413" s="1" t="n">
        <v>45922</v>
      </c>
      <c r="D413" t="inlineStr">
        <is>
          <t>UPPSALA LÄN</t>
        </is>
      </c>
      <c r="E413" t="inlineStr">
        <is>
          <t>ENKÖPING</t>
        </is>
      </c>
      <c r="G413" t="n">
        <v>10.2</v>
      </c>
      <c r="H413" t="n">
        <v>0</v>
      </c>
      <c r="I413" t="n">
        <v>0</v>
      </c>
      <c r="J413" t="n">
        <v>0</v>
      </c>
      <c r="K413" t="n">
        <v>0</v>
      </c>
      <c r="L413" t="n">
        <v>0</v>
      </c>
      <c r="M413" t="n">
        <v>0</v>
      </c>
      <c r="N413" t="n">
        <v>0</v>
      </c>
      <c r="O413" t="n">
        <v>0</v>
      </c>
      <c r="P413" t="n">
        <v>0</v>
      </c>
      <c r="Q413" t="n">
        <v>0</v>
      </c>
      <c r="R413" s="2" t="inlineStr"/>
    </row>
    <row r="414" ht="15" customHeight="1">
      <c r="A414" t="inlineStr">
        <is>
          <t>A 51012-2024</t>
        </is>
      </c>
      <c r="B414" s="1" t="n">
        <v>45603.39686342593</v>
      </c>
      <c r="C414" s="1" t="n">
        <v>45922</v>
      </c>
      <c r="D414" t="inlineStr">
        <is>
          <t>UPPSALA LÄN</t>
        </is>
      </c>
      <c r="E414" t="inlineStr">
        <is>
          <t>ENKÖPING</t>
        </is>
      </c>
      <c r="G414" t="n">
        <v>2.7</v>
      </c>
      <c r="H414" t="n">
        <v>0</v>
      </c>
      <c r="I414" t="n">
        <v>0</v>
      </c>
      <c r="J414" t="n">
        <v>0</v>
      </c>
      <c r="K414" t="n">
        <v>0</v>
      </c>
      <c r="L414" t="n">
        <v>0</v>
      </c>
      <c r="M414" t="n">
        <v>0</v>
      </c>
      <c r="N414" t="n">
        <v>0</v>
      </c>
      <c r="O414" t="n">
        <v>0</v>
      </c>
      <c r="P414" t="n">
        <v>0</v>
      </c>
      <c r="Q414" t="n">
        <v>0</v>
      </c>
      <c r="R414" s="2" t="inlineStr"/>
    </row>
    <row r="415" ht="15" customHeight="1">
      <c r="A415" t="inlineStr">
        <is>
          <t>A 51037-2024</t>
        </is>
      </c>
      <c r="B415" s="1" t="n">
        <v>45603.43005787037</v>
      </c>
      <c r="C415" s="1" t="n">
        <v>45922</v>
      </c>
      <c r="D415" t="inlineStr">
        <is>
          <t>UPPSALA LÄN</t>
        </is>
      </c>
      <c r="E415" t="inlineStr">
        <is>
          <t>ENKÖPING</t>
        </is>
      </c>
      <c r="G415" t="n">
        <v>5.7</v>
      </c>
      <c r="H415" t="n">
        <v>0</v>
      </c>
      <c r="I415" t="n">
        <v>0</v>
      </c>
      <c r="J415" t="n">
        <v>0</v>
      </c>
      <c r="K415" t="n">
        <v>0</v>
      </c>
      <c r="L415" t="n">
        <v>0</v>
      </c>
      <c r="M415" t="n">
        <v>0</v>
      </c>
      <c r="N415" t="n">
        <v>0</v>
      </c>
      <c r="O415" t="n">
        <v>0</v>
      </c>
      <c r="P415" t="n">
        <v>0</v>
      </c>
      <c r="Q415" t="n">
        <v>0</v>
      </c>
      <c r="R415" s="2" t="inlineStr"/>
    </row>
    <row r="416" ht="15" customHeight="1">
      <c r="A416" t="inlineStr">
        <is>
          <t>A 41765-2025</t>
        </is>
      </c>
      <c r="B416" s="1" t="n">
        <v>45902</v>
      </c>
      <c r="C416" s="1" t="n">
        <v>45922</v>
      </c>
      <c r="D416" t="inlineStr">
        <is>
          <t>UPPSALA LÄN</t>
        </is>
      </c>
      <c r="E416" t="inlineStr">
        <is>
          <t>ENKÖPING</t>
        </is>
      </c>
      <c r="G416" t="n">
        <v>2.7</v>
      </c>
      <c r="H416" t="n">
        <v>0</v>
      </c>
      <c r="I416" t="n">
        <v>0</v>
      </c>
      <c r="J416" t="n">
        <v>0</v>
      </c>
      <c r="K416" t="n">
        <v>0</v>
      </c>
      <c r="L416" t="n">
        <v>0</v>
      </c>
      <c r="M416" t="n">
        <v>0</v>
      </c>
      <c r="N416" t="n">
        <v>0</v>
      </c>
      <c r="O416" t="n">
        <v>0</v>
      </c>
      <c r="P416" t="n">
        <v>0</v>
      </c>
      <c r="Q416" t="n">
        <v>0</v>
      </c>
      <c r="R416" s="2" t="inlineStr"/>
    </row>
    <row r="417" ht="15" customHeight="1">
      <c r="A417" t="inlineStr">
        <is>
          <t>A 57940-2022</t>
        </is>
      </c>
      <c r="B417" s="1" t="n">
        <v>44900</v>
      </c>
      <c r="C417" s="1" t="n">
        <v>45922</v>
      </c>
      <c r="D417" t="inlineStr">
        <is>
          <t>UPPSALA LÄN</t>
        </is>
      </c>
      <c r="E417" t="inlineStr">
        <is>
          <t>ENKÖPING</t>
        </is>
      </c>
      <c r="G417" t="n">
        <v>1.9</v>
      </c>
      <c r="H417" t="n">
        <v>0</v>
      </c>
      <c r="I417" t="n">
        <v>0</v>
      </c>
      <c r="J417" t="n">
        <v>0</v>
      </c>
      <c r="K417" t="n">
        <v>0</v>
      </c>
      <c r="L417" t="n">
        <v>0</v>
      </c>
      <c r="M417" t="n">
        <v>0</v>
      </c>
      <c r="N417" t="n">
        <v>0</v>
      </c>
      <c r="O417" t="n">
        <v>0</v>
      </c>
      <c r="P417" t="n">
        <v>0</v>
      </c>
      <c r="Q417" t="n">
        <v>0</v>
      </c>
      <c r="R417" s="2" t="inlineStr"/>
    </row>
    <row r="418" ht="15" customHeight="1">
      <c r="A418" t="inlineStr">
        <is>
          <t>A 44419-2025</t>
        </is>
      </c>
      <c r="B418" s="1" t="n">
        <v>45916.54671296296</v>
      </c>
      <c r="C418" s="1" t="n">
        <v>45922</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2162-2023</t>
        </is>
      </c>
      <c r="B419" s="1" t="n">
        <v>44941</v>
      </c>
      <c r="C419" s="1" t="n">
        <v>45922</v>
      </c>
      <c r="D419" t="inlineStr">
        <is>
          <t>UPPSALA LÄN</t>
        </is>
      </c>
      <c r="E419" t="inlineStr">
        <is>
          <t>ENKÖPING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32081-2024</t>
        </is>
      </c>
      <c r="B420" s="1" t="n">
        <v>45511.34605324074</v>
      </c>
      <c r="C420" s="1" t="n">
        <v>45922</v>
      </c>
      <c r="D420" t="inlineStr">
        <is>
          <t>UPPSALA LÄN</t>
        </is>
      </c>
      <c r="E420" t="inlineStr">
        <is>
          <t>ENKÖPING</t>
        </is>
      </c>
      <c r="G420" t="n">
        <v>5.4</v>
      </c>
      <c r="H420" t="n">
        <v>0</v>
      </c>
      <c r="I420" t="n">
        <v>0</v>
      </c>
      <c r="J420" t="n">
        <v>0</v>
      </c>
      <c r="K420" t="n">
        <v>0</v>
      </c>
      <c r="L420" t="n">
        <v>0</v>
      </c>
      <c r="M420" t="n">
        <v>0</v>
      </c>
      <c r="N420" t="n">
        <v>0</v>
      </c>
      <c r="O420" t="n">
        <v>0</v>
      </c>
      <c r="P420" t="n">
        <v>0</v>
      </c>
      <c r="Q420" t="n">
        <v>0</v>
      </c>
      <c r="R420" s="2" t="inlineStr"/>
    </row>
    <row r="421" ht="15" customHeight="1">
      <c r="A421" t="inlineStr">
        <is>
          <t>A 37498-2025</t>
        </is>
      </c>
      <c r="B421" s="1" t="n">
        <v>45877</v>
      </c>
      <c r="C421" s="1" t="n">
        <v>45922</v>
      </c>
      <c r="D421" t="inlineStr">
        <is>
          <t>UPPSALA LÄN</t>
        </is>
      </c>
      <c r="E421" t="inlineStr">
        <is>
          <t>ENKÖPING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63310-2021</t>
        </is>
      </c>
      <c r="B422" s="1" t="n">
        <v>44508</v>
      </c>
      <c r="C422" s="1" t="n">
        <v>45922</v>
      </c>
      <c r="D422" t="inlineStr">
        <is>
          <t>UPPSALA LÄN</t>
        </is>
      </c>
      <c r="E422" t="inlineStr">
        <is>
          <t>ENKÖPING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37296-2025</t>
        </is>
      </c>
      <c r="B423" s="1" t="n">
        <v>45876</v>
      </c>
      <c r="C423" s="1" t="n">
        <v>45922</v>
      </c>
      <c r="D423" t="inlineStr">
        <is>
          <t>UPPSALA LÄN</t>
        </is>
      </c>
      <c r="E423" t="inlineStr">
        <is>
          <t>ENKÖPING</t>
        </is>
      </c>
      <c r="G423" t="n">
        <v>9.5</v>
      </c>
      <c r="H423" t="n">
        <v>0</v>
      </c>
      <c r="I423" t="n">
        <v>0</v>
      </c>
      <c r="J423" t="n">
        <v>0</v>
      </c>
      <c r="K423" t="n">
        <v>0</v>
      </c>
      <c r="L423" t="n">
        <v>0</v>
      </c>
      <c r="M423" t="n">
        <v>0</v>
      </c>
      <c r="N423" t="n">
        <v>0</v>
      </c>
      <c r="O423" t="n">
        <v>0</v>
      </c>
      <c r="P423" t="n">
        <v>0</v>
      </c>
      <c r="Q423" t="n">
        <v>0</v>
      </c>
      <c r="R423" s="2" t="inlineStr"/>
    </row>
    <row r="424" ht="15" customHeight="1">
      <c r="A424" t="inlineStr">
        <is>
          <t>A 20440-2025</t>
        </is>
      </c>
      <c r="B424" s="1" t="n">
        <v>45775</v>
      </c>
      <c r="C424" s="1" t="n">
        <v>45922</v>
      </c>
      <c r="D424" t="inlineStr">
        <is>
          <t>UPPSALA LÄN</t>
        </is>
      </c>
      <c r="E424" t="inlineStr">
        <is>
          <t>ENKÖPING</t>
        </is>
      </c>
      <c r="G424" t="n">
        <v>1.6</v>
      </c>
      <c r="H424" t="n">
        <v>0</v>
      </c>
      <c r="I424" t="n">
        <v>0</v>
      </c>
      <c r="J424" t="n">
        <v>0</v>
      </c>
      <c r="K424" t="n">
        <v>0</v>
      </c>
      <c r="L424" t="n">
        <v>0</v>
      </c>
      <c r="M424" t="n">
        <v>0</v>
      </c>
      <c r="N424" t="n">
        <v>0</v>
      </c>
      <c r="O424" t="n">
        <v>0</v>
      </c>
      <c r="P424" t="n">
        <v>0</v>
      </c>
      <c r="Q424" t="n">
        <v>0</v>
      </c>
      <c r="R424" s="2" t="inlineStr"/>
    </row>
    <row r="425" ht="15" customHeight="1">
      <c r="A425" t="inlineStr">
        <is>
          <t>A 2968-2025</t>
        </is>
      </c>
      <c r="B425" s="1" t="n">
        <v>45678</v>
      </c>
      <c r="C425" s="1" t="n">
        <v>45922</v>
      </c>
      <c r="D425" t="inlineStr">
        <is>
          <t>UPPSALA LÄN</t>
        </is>
      </c>
      <c r="E425" t="inlineStr">
        <is>
          <t>ENKÖPING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37319-2025</t>
        </is>
      </c>
      <c r="B426" s="1" t="n">
        <v>45876</v>
      </c>
      <c r="C426" s="1" t="n">
        <v>45922</v>
      </c>
      <c r="D426" t="inlineStr">
        <is>
          <t>UPPSALA LÄN</t>
        </is>
      </c>
      <c r="E426" t="inlineStr">
        <is>
          <t>ENKÖPING</t>
        </is>
      </c>
      <c r="G426" t="n">
        <v>9.5</v>
      </c>
      <c r="H426" t="n">
        <v>0</v>
      </c>
      <c r="I426" t="n">
        <v>0</v>
      </c>
      <c r="J426" t="n">
        <v>0</v>
      </c>
      <c r="K426" t="n">
        <v>0</v>
      </c>
      <c r="L426" t="n">
        <v>0</v>
      </c>
      <c r="M426" t="n">
        <v>0</v>
      </c>
      <c r="N426" t="n">
        <v>0</v>
      </c>
      <c r="O426" t="n">
        <v>0</v>
      </c>
      <c r="P426" t="n">
        <v>0</v>
      </c>
      <c r="Q426" t="n">
        <v>0</v>
      </c>
      <c r="R426" s="2" t="inlineStr"/>
    </row>
    <row r="427" ht="15" customHeight="1">
      <c r="A427" t="inlineStr">
        <is>
          <t>A 49525-2021</t>
        </is>
      </c>
      <c r="B427" s="1" t="n">
        <v>44455</v>
      </c>
      <c r="C427" s="1" t="n">
        <v>45922</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6959-2025</t>
        </is>
      </c>
      <c r="B428" s="1" t="n">
        <v>45701.49315972222</v>
      </c>
      <c r="C428" s="1" t="n">
        <v>45922</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19488-2022</t>
        </is>
      </c>
      <c r="B429" s="1" t="n">
        <v>44693</v>
      </c>
      <c r="C429" s="1" t="n">
        <v>45922</v>
      </c>
      <c r="D429" t="inlineStr">
        <is>
          <t>UPPSALA LÄN</t>
        </is>
      </c>
      <c r="E429" t="inlineStr">
        <is>
          <t>ENKÖPING</t>
        </is>
      </c>
      <c r="G429" t="n">
        <v>7.8</v>
      </c>
      <c r="H429" t="n">
        <v>0</v>
      </c>
      <c r="I429" t="n">
        <v>0</v>
      </c>
      <c r="J429" t="n">
        <v>0</v>
      </c>
      <c r="K429" t="n">
        <v>0</v>
      </c>
      <c r="L429" t="n">
        <v>0</v>
      </c>
      <c r="M429" t="n">
        <v>0</v>
      </c>
      <c r="N429" t="n">
        <v>0</v>
      </c>
      <c r="O429" t="n">
        <v>0</v>
      </c>
      <c r="P429" t="n">
        <v>0</v>
      </c>
      <c r="Q429" t="n">
        <v>0</v>
      </c>
      <c r="R429" s="2" t="inlineStr"/>
    </row>
    <row r="430" ht="15" customHeight="1">
      <c r="A430" t="inlineStr">
        <is>
          <t>A 5188-2022</t>
        </is>
      </c>
      <c r="B430" s="1" t="n">
        <v>44594.4471412037</v>
      </c>
      <c r="C430" s="1" t="n">
        <v>45922</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31622-2022</t>
        </is>
      </c>
      <c r="B431" s="1" t="n">
        <v>44775</v>
      </c>
      <c r="C431" s="1" t="n">
        <v>45922</v>
      </c>
      <c r="D431" t="inlineStr">
        <is>
          <t>UPPSALA LÄN</t>
        </is>
      </c>
      <c r="E431" t="inlineStr">
        <is>
          <t>ENKÖPING</t>
        </is>
      </c>
      <c r="G431" t="n">
        <v>1.5</v>
      </c>
      <c r="H431" t="n">
        <v>0</v>
      </c>
      <c r="I431" t="n">
        <v>0</v>
      </c>
      <c r="J431" t="n">
        <v>0</v>
      </c>
      <c r="K431" t="n">
        <v>0</v>
      </c>
      <c r="L431" t="n">
        <v>0</v>
      </c>
      <c r="M431" t="n">
        <v>0</v>
      </c>
      <c r="N431" t="n">
        <v>0</v>
      </c>
      <c r="O431" t="n">
        <v>0</v>
      </c>
      <c r="P431" t="n">
        <v>0</v>
      </c>
      <c r="Q431" t="n">
        <v>0</v>
      </c>
      <c r="R431" s="2" t="inlineStr"/>
    </row>
    <row r="432" ht="15" customHeight="1">
      <c r="A432" t="inlineStr">
        <is>
          <t>A 30437-2022</t>
        </is>
      </c>
      <c r="B432" s="1" t="n">
        <v>44761</v>
      </c>
      <c r="C432" s="1" t="n">
        <v>45922</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51011-2024</t>
        </is>
      </c>
      <c r="B433" s="1" t="n">
        <v>45603.39427083333</v>
      </c>
      <c r="C433" s="1" t="n">
        <v>45922</v>
      </c>
      <c r="D433" t="inlineStr">
        <is>
          <t>UPPSALA LÄN</t>
        </is>
      </c>
      <c r="E433" t="inlineStr">
        <is>
          <t>ENKÖPING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26319-2022</t>
        </is>
      </c>
      <c r="B434" s="1" t="n">
        <v>44735</v>
      </c>
      <c r="C434" s="1" t="n">
        <v>45922</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12102-2024</t>
        </is>
      </c>
      <c r="B435" s="1" t="n">
        <v>45377</v>
      </c>
      <c r="C435" s="1" t="n">
        <v>45922</v>
      </c>
      <c r="D435" t="inlineStr">
        <is>
          <t>UPPSALA LÄN</t>
        </is>
      </c>
      <c r="E435" t="inlineStr">
        <is>
          <t>ENKÖPING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59602-2024</t>
        </is>
      </c>
      <c r="B436" s="1" t="n">
        <v>45638</v>
      </c>
      <c r="C436" s="1" t="n">
        <v>45922</v>
      </c>
      <c r="D436" t="inlineStr">
        <is>
          <t>UPPSALA LÄN</t>
        </is>
      </c>
      <c r="E436" t="inlineStr">
        <is>
          <t>ENKÖPING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29918-2023</t>
        </is>
      </c>
      <c r="B437" s="1" t="n">
        <v>45099</v>
      </c>
      <c r="C437" s="1" t="n">
        <v>45922</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44131-2023</t>
        </is>
      </c>
      <c r="B438" s="1" t="n">
        <v>45188</v>
      </c>
      <c r="C438" s="1" t="n">
        <v>45922</v>
      </c>
      <c r="D438" t="inlineStr">
        <is>
          <t>UPPSALA LÄN</t>
        </is>
      </c>
      <c r="E438" t="inlineStr">
        <is>
          <t>ENKÖPING</t>
        </is>
      </c>
      <c r="G438" t="n">
        <v>0.3</v>
      </c>
      <c r="H438" t="n">
        <v>0</v>
      </c>
      <c r="I438" t="n">
        <v>0</v>
      </c>
      <c r="J438" t="n">
        <v>0</v>
      </c>
      <c r="K438" t="n">
        <v>0</v>
      </c>
      <c r="L438" t="n">
        <v>0</v>
      </c>
      <c r="M438" t="n">
        <v>0</v>
      </c>
      <c r="N438" t="n">
        <v>0</v>
      </c>
      <c r="O438" t="n">
        <v>0</v>
      </c>
      <c r="P438" t="n">
        <v>0</v>
      </c>
      <c r="Q438" t="n">
        <v>0</v>
      </c>
      <c r="R438" s="2" t="inlineStr"/>
    </row>
    <row r="439" ht="15" customHeight="1">
      <c r="A439" t="inlineStr">
        <is>
          <t>A 60533-2021</t>
        </is>
      </c>
      <c r="B439" s="1" t="n">
        <v>44496</v>
      </c>
      <c r="C439" s="1" t="n">
        <v>45922</v>
      </c>
      <c r="D439" t="inlineStr">
        <is>
          <t>UPPSALA LÄN</t>
        </is>
      </c>
      <c r="E439" t="inlineStr">
        <is>
          <t>ENKÖPING</t>
        </is>
      </c>
      <c r="G439" t="n">
        <v>2.2</v>
      </c>
      <c r="H439" t="n">
        <v>0</v>
      </c>
      <c r="I439" t="n">
        <v>0</v>
      </c>
      <c r="J439" t="n">
        <v>0</v>
      </c>
      <c r="K439" t="n">
        <v>0</v>
      </c>
      <c r="L439" t="n">
        <v>0</v>
      </c>
      <c r="M439" t="n">
        <v>0</v>
      </c>
      <c r="N439" t="n">
        <v>0</v>
      </c>
      <c r="O439" t="n">
        <v>0</v>
      </c>
      <c r="P439" t="n">
        <v>0</v>
      </c>
      <c r="Q439" t="n">
        <v>0</v>
      </c>
      <c r="R439" s="2" t="inlineStr"/>
    </row>
    <row r="440" ht="15" customHeight="1">
      <c r="A440" t="inlineStr">
        <is>
          <t>A 24291-2024</t>
        </is>
      </c>
      <c r="B440" s="1" t="n">
        <v>45457.4584837963</v>
      </c>
      <c r="C440" s="1" t="n">
        <v>45922</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35052-2024</t>
        </is>
      </c>
      <c r="B441" s="1" t="n">
        <v>45527.6516087963</v>
      </c>
      <c r="C441" s="1" t="n">
        <v>45922</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51008-2024</t>
        </is>
      </c>
      <c r="B442" s="1" t="n">
        <v>45603.39041666667</v>
      </c>
      <c r="C442" s="1" t="n">
        <v>45922</v>
      </c>
      <c r="D442" t="inlineStr">
        <is>
          <t>UPPSALA LÄN</t>
        </is>
      </c>
      <c r="E442" t="inlineStr">
        <is>
          <t>ENKÖPING</t>
        </is>
      </c>
      <c r="G442" t="n">
        <v>2.4</v>
      </c>
      <c r="H442" t="n">
        <v>0</v>
      </c>
      <c r="I442" t="n">
        <v>0</v>
      </c>
      <c r="J442" t="n">
        <v>0</v>
      </c>
      <c r="K442" t="n">
        <v>0</v>
      </c>
      <c r="L442" t="n">
        <v>0</v>
      </c>
      <c r="M442" t="n">
        <v>0</v>
      </c>
      <c r="N442" t="n">
        <v>0</v>
      </c>
      <c r="O442" t="n">
        <v>0</v>
      </c>
      <c r="P442" t="n">
        <v>0</v>
      </c>
      <c r="Q442" t="n">
        <v>0</v>
      </c>
      <c r="R442" s="2" t="inlineStr"/>
    </row>
    <row r="443" ht="15" customHeight="1">
      <c r="A443" t="inlineStr">
        <is>
          <t>A 21017-2023</t>
        </is>
      </c>
      <c r="B443" s="1" t="n">
        <v>45061</v>
      </c>
      <c r="C443" s="1" t="n">
        <v>45922</v>
      </c>
      <c r="D443" t="inlineStr">
        <is>
          <t>UPPSALA LÄN</t>
        </is>
      </c>
      <c r="E443" t="inlineStr">
        <is>
          <t>ENKÖPING</t>
        </is>
      </c>
      <c r="G443" t="n">
        <v>4.8</v>
      </c>
      <c r="H443" t="n">
        <v>0</v>
      </c>
      <c r="I443" t="n">
        <v>0</v>
      </c>
      <c r="J443" t="n">
        <v>0</v>
      </c>
      <c r="K443" t="n">
        <v>0</v>
      </c>
      <c r="L443" t="n">
        <v>0</v>
      </c>
      <c r="M443" t="n">
        <v>0</v>
      </c>
      <c r="N443" t="n">
        <v>0</v>
      </c>
      <c r="O443" t="n">
        <v>0</v>
      </c>
      <c r="P443" t="n">
        <v>0</v>
      </c>
      <c r="Q443" t="n">
        <v>0</v>
      </c>
      <c r="R443" s="2" t="inlineStr"/>
    </row>
    <row r="444" ht="15" customHeight="1">
      <c r="A444" t="inlineStr">
        <is>
          <t>A 2833-2025</t>
        </is>
      </c>
      <c r="B444" s="1" t="n">
        <v>45677.63206018518</v>
      </c>
      <c r="C444" s="1" t="n">
        <v>45922</v>
      </c>
      <c r="D444" t="inlineStr">
        <is>
          <t>UPPSALA LÄN</t>
        </is>
      </c>
      <c r="E444" t="inlineStr">
        <is>
          <t>ENKÖPING</t>
        </is>
      </c>
      <c r="G444" t="n">
        <v>0.8</v>
      </c>
      <c r="H444" t="n">
        <v>0</v>
      </c>
      <c r="I444" t="n">
        <v>0</v>
      </c>
      <c r="J444" t="n">
        <v>0</v>
      </c>
      <c r="K444" t="n">
        <v>0</v>
      </c>
      <c r="L444" t="n">
        <v>0</v>
      </c>
      <c r="M444" t="n">
        <v>0</v>
      </c>
      <c r="N444" t="n">
        <v>0</v>
      </c>
      <c r="O444" t="n">
        <v>0</v>
      </c>
      <c r="P444" t="n">
        <v>0</v>
      </c>
      <c r="Q444" t="n">
        <v>0</v>
      </c>
      <c r="R444" s="2" t="inlineStr"/>
    </row>
    <row r="445" ht="15" customHeight="1">
      <c r="A445" t="inlineStr">
        <is>
          <t>A 22156-2025</t>
        </is>
      </c>
      <c r="B445" s="1" t="n">
        <v>45785.57512731481</v>
      </c>
      <c r="C445" s="1" t="n">
        <v>45922</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22150-2025</t>
        </is>
      </c>
      <c r="B446" s="1" t="n">
        <v>45785.56398148148</v>
      </c>
      <c r="C446" s="1" t="n">
        <v>45922</v>
      </c>
      <c r="D446" t="inlineStr">
        <is>
          <t>UPPSALA LÄN</t>
        </is>
      </c>
      <c r="E446" t="inlineStr">
        <is>
          <t>ENKÖPING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30087-2024</t>
        </is>
      </c>
      <c r="B447" s="1" t="n">
        <v>45489.39447916667</v>
      </c>
      <c r="C447" s="1" t="n">
        <v>45922</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54776-2024</t>
        </is>
      </c>
      <c r="B448" s="1" t="n">
        <v>45618</v>
      </c>
      <c r="C448" s="1" t="n">
        <v>45922</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22729-2025</t>
        </is>
      </c>
      <c r="B449" s="1" t="n">
        <v>45789.57790509259</v>
      </c>
      <c r="C449" s="1" t="n">
        <v>45922</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14518-2025</t>
        </is>
      </c>
      <c r="B450" s="1" t="n">
        <v>45741</v>
      </c>
      <c r="C450" s="1" t="n">
        <v>45922</v>
      </c>
      <c r="D450" t="inlineStr">
        <is>
          <t>UPPSALA LÄN</t>
        </is>
      </c>
      <c r="E450" t="inlineStr">
        <is>
          <t>ENKÖPING</t>
        </is>
      </c>
      <c r="G450" t="n">
        <v>2</v>
      </c>
      <c r="H450" t="n">
        <v>0</v>
      </c>
      <c r="I450" t="n">
        <v>0</v>
      </c>
      <c r="J450" t="n">
        <v>0</v>
      </c>
      <c r="K450" t="n">
        <v>0</v>
      </c>
      <c r="L450" t="n">
        <v>0</v>
      </c>
      <c r="M450" t="n">
        <v>0</v>
      </c>
      <c r="N450" t="n">
        <v>0</v>
      </c>
      <c r="O450" t="n">
        <v>0</v>
      </c>
      <c r="P450" t="n">
        <v>0</v>
      </c>
      <c r="Q450" t="n">
        <v>0</v>
      </c>
      <c r="R450" s="2" t="inlineStr"/>
    </row>
    <row r="451" ht="15" customHeight="1">
      <c r="A451" t="inlineStr">
        <is>
          <t>A 22677-2025</t>
        </is>
      </c>
      <c r="B451" s="1" t="n">
        <v>45789.49515046296</v>
      </c>
      <c r="C451" s="1" t="n">
        <v>45922</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50006-2023</t>
        </is>
      </c>
      <c r="B452" s="1" t="n">
        <v>45215</v>
      </c>
      <c r="C452" s="1" t="n">
        <v>45922</v>
      </c>
      <c r="D452" t="inlineStr">
        <is>
          <t>UPPSALA LÄN</t>
        </is>
      </c>
      <c r="E452" t="inlineStr">
        <is>
          <t>ENKÖPING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22679-2025</t>
        </is>
      </c>
      <c r="B453" s="1" t="n">
        <v>45789.49747685185</v>
      </c>
      <c r="C453" s="1" t="n">
        <v>45922</v>
      </c>
      <c r="D453" t="inlineStr">
        <is>
          <t>UPPSALA LÄN</t>
        </is>
      </c>
      <c r="E453" t="inlineStr">
        <is>
          <t>ENKÖPING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22770-2025</t>
        </is>
      </c>
      <c r="B454" s="1" t="n">
        <v>45789.63454861111</v>
      </c>
      <c r="C454" s="1" t="n">
        <v>45922</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22800-2025</t>
        </is>
      </c>
      <c r="B455" s="1" t="n">
        <v>45789.6669212963</v>
      </c>
      <c r="C455" s="1" t="n">
        <v>45922</v>
      </c>
      <c r="D455" t="inlineStr">
        <is>
          <t>UPPSALA LÄN</t>
        </is>
      </c>
      <c r="E455" t="inlineStr">
        <is>
          <t>ENKÖPING</t>
        </is>
      </c>
      <c r="G455" t="n">
        <v>2</v>
      </c>
      <c r="H455" t="n">
        <v>0</v>
      </c>
      <c r="I455" t="n">
        <v>0</v>
      </c>
      <c r="J455" t="n">
        <v>0</v>
      </c>
      <c r="K455" t="n">
        <v>0</v>
      </c>
      <c r="L455" t="n">
        <v>0</v>
      </c>
      <c r="M455" t="n">
        <v>0</v>
      </c>
      <c r="N455" t="n">
        <v>0</v>
      </c>
      <c r="O455" t="n">
        <v>0</v>
      </c>
      <c r="P455" t="n">
        <v>0</v>
      </c>
      <c r="Q455" t="n">
        <v>0</v>
      </c>
      <c r="R455" s="2" t="inlineStr"/>
    </row>
    <row r="456" ht="15" customHeight="1">
      <c r="A456" t="inlineStr">
        <is>
          <t>A 56526-2022</t>
        </is>
      </c>
      <c r="B456" s="1" t="n">
        <v>44893</v>
      </c>
      <c r="C456" s="1" t="n">
        <v>45922</v>
      </c>
      <c r="D456" t="inlineStr">
        <is>
          <t>UPPSALA LÄN</t>
        </is>
      </c>
      <c r="E456" t="inlineStr">
        <is>
          <t>ENKÖPING</t>
        </is>
      </c>
      <c r="G456" t="n">
        <v>3.8</v>
      </c>
      <c r="H456" t="n">
        <v>0</v>
      </c>
      <c r="I456" t="n">
        <v>0</v>
      </c>
      <c r="J456" t="n">
        <v>0</v>
      </c>
      <c r="K456" t="n">
        <v>0</v>
      </c>
      <c r="L456" t="n">
        <v>0</v>
      </c>
      <c r="M456" t="n">
        <v>0</v>
      </c>
      <c r="N456" t="n">
        <v>0</v>
      </c>
      <c r="O456" t="n">
        <v>0</v>
      </c>
      <c r="P456" t="n">
        <v>0</v>
      </c>
      <c r="Q456" t="n">
        <v>0</v>
      </c>
      <c r="R456" s="2" t="inlineStr"/>
    </row>
    <row r="457" ht="15" customHeight="1">
      <c r="A457" t="inlineStr">
        <is>
          <t>A 39858-2024</t>
        </is>
      </c>
      <c r="B457" s="1" t="n">
        <v>45553</v>
      </c>
      <c r="C457" s="1" t="n">
        <v>45922</v>
      </c>
      <c r="D457" t="inlineStr">
        <is>
          <t>UPPSALA LÄN</t>
        </is>
      </c>
      <c r="E457" t="inlineStr">
        <is>
          <t>ENKÖPING</t>
        </is>
      </c>
      <c r="G457" t="n">
        <v>0.7</v>
      </c>
      <c r="H457" t="n">
        <v>0</v>
      </c>
      <c r="I457" t="n">
        <v>0</v>
      </c>
      <c r="J457" t="n">
        <v>0</v>
      </c>
      <c r="K457" t="n">
        <v>0</v>
      </c>
      <c r="L457" t="n">
        <v>0</v>
      </c>
      <c r="M457" t="n">
        <v>0</v>
      </c>
      <c r="N457" t="n">
        <v>0</v>
      </c>
      <c r="O457" t="n">
        <v>0</v>
      </c>
      <c r="P457" t="n">
        <v>0</v>
      </c>
      <c r="Q457" t="n">
        <v>0</v>
      </c>
      <c r="R457" s="2" t="inlineStr"/>
    </row>
    <row r="458" ht="15" customHeight="1">
      <c r="A458" t="inlineStr">
        <is>
          <t>A 6981-2025</t>
        </is>
      </c>
      <c r="B458" s="1" t="n">
        <v>45701</v>
      </c>
      <c r="C458" s="1" t="n">
        <v>45922</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22786-2025</t>
        </is>
      </c>
      <c r="B459" s="1" t="n">
        <v>45789.64643518518</v>
      </c>
      <c r="C459" s="1" t="n">
        <v>45922</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60289-2022</t>
        </is>
      </c>
      <c r="B460" s="1" t="n">
        <v>44910.53026620371</v>
      </c>
      <c r="C460" s="1" t="n">
        <v>45922</v>
      </c>
      <c r="D460" t="inlineStr">
        <is>
          <t>UPPSALA LÄN</t>
        </is>
      </c>
      <c r="E460" t="inlineStr">
        <is>
          <t>ENKÖPING</t>
        </is>
      </c>
      <c r="G460" t="n">
        <v>3.2</v>
      </c>
      <c r="H460" t="n">
        <v>0</v>
      </c>
      <c r="I460" t="n">
        <v>0</v>
      </c>
      <c r="J460" t="n">
        <v>0</v>
      </c>
      <c r="K460" t="n">
        <v>0</v>
      </c>
      <c r="L460" t="n">
        <v>0</v>
      </c>
      <c r="M460" t="n">
        <v>0</v>
      </c>
      <c r="N460" t="n">
        <v>0</v>
      </c>
      <c r="O460" t="n">
        <v>0</v>
      </c>
      <c r="P460" t="n">
        <v>0</v>
      </c>
      <c r="Q460" t="n">
        <v>0</v>
      </c>
      <c r="R460" s="2" t="inlineStr"/>
    </row>
    <row r="461" ht="15" customHeight="1">
      <c r="A461" t="inlineStr">
        <is>
          <t>A 68123-2021</t>
        </is>
      </c>
      <c r="B461" s="1" t="n">
        <v>44526.39126157408</v>
      </c>
      <c r="C461" s="1" t="n">
        <v>45922</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22632-2025</t>
        </is>
      </c>
      <c r="B462" s="1" t="n">
        <v>45789.44361111111</v>
      </c>
      <c r="C462" s="1" t="n">
        <v>45922</v>
      </c>
      <c r="D462" t="inlineStr">
        <is>
          <t>UPPSALA LÄN</t>
        </is>
      </c>
      <c r="E462" t="inlineStr">
        <is>
          <t>ENKÖPING</t>
        </is>
      </c>
      <c r="G462" t="n">
        <v>2.1</v>
      </c>
      <c r="H462" t="n">
        <v>0</v>
      </c>
      <c r="I462" t="n">
        <v>0</v>
      </c>
      <c r="J462" t="n">
        <v>0</v>
      </c>
      <c r="K462" t="n">
        <v>0</v>
      </c>
      <c r="L462" t="n">
        <v>0</v>
      </c>
      <c r="M462" t="n">
        <v>0</v>
      </c>
      <c r="N462" t="n">
        <v>0</v>
      </c>
      <c r="O462" t="n">
        <v>0</v>
      </c>
      <c r="P462" t="n">
        <v>0</v>
      </c>
      <c r="Q462" t="n">
        <v>0</v>
      </c>
      <c r="R462" s="2" t="inlineStr"/>
    </row>
    <row r="463" ht="15" customHeight="1">
      <c r="A463" t="inlineStr">
        <is>
          <t>A 13110-2023</t>
        </is>
      </c>
      <c r="B463" s="1" t="n">
        <v>45001</v>
      </c>
      <c r="C463" s="1" t="n">
        <v>45922</v>
      </c>
      <c r="D463" t="inlineStr">
        <is>
          <t>UPPSALA LÄN</t>
        </is>
      </c>
      <c r="E463" t="inlineStr">
        <is>
          <t>ENKÖPING</t>
        </is>
      </c>
      <c r="G463" t="n">
        <v>2.5</v>
      </c>
      <c r="H463" t="n">
        <v>0</v>
      </c>
      <c r="I463" t="n">
        <v>0</v>
      </c>
      <c r="J463" t="n">
        <v>0</v>
      </c>
      <c r="K463" t="n">
        <v>0</v>
      </c>
      <c r="L463" t="n">
        <v>0</v>
      </c>
      <c r="M463" t="n">
        <v>0</v>
      </c>
      <c r="N463" t="n">
        <v>0</v>
      </c>
      <c r="O463" t="n">
        <v>0</v>
      </c>
      <c r="P463" t="n">
        <v>0</v>
      </c>
      <c r="Q463" t="n">
        <v>0</v>
      </c>
      <c r="R463" s="2" t="inlineStr"/>
    </row>
    <row r="464" ht="15" customHeight="1">
      <c r="A464" t="inlineStr">
        <is>
          <t>A 58384-2022</t>
        </is>
      </c>
      <c r="B464" s="1" t="n">
        <v>44901</v>
      </c>
      <c r="C464" s="1" t="n">
        <v>45922</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22680-2025</t>
        </is>
      </c>
      <c r="B465" s="1" t="n">
        <v>45789.5005787037</v>
      </c>
      <c r="C465" s="1" t="n">
        <v>45922</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22802-2025</t>
        </is>
      </c>
      <c r="B466" s="1" t="n">
        <v>45789.6686574074</v>
      </c>
      <c r="C466" s="1" t="n">
        <v>45922</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59602-2022</t>
        </is>
      </c>
      <c r="B467" s="1" t="n">
        <v>44907.72241898148</v>
      </c>
      <c r="C467" s="1" t="n">
        <v>45922</v>
      </c>
      <c r="D467" t="inlineStr">
        <is>
          <t>UPPSALA LÄN</t>
        </is>
      </c>
      <c r="E467" t="inlineStr">
        <is>
          <t>ENKÖPING</t>
        </is>
      </c>
      <c r="G467" t="n">
        <v>14.2</v>
      </c>
      <c r="H467" t="n">
        <v>0</v>
      </c>
      <c r="I467" t="n">
        <v>0</v>
      </c>
      <c r="J467" t="n">
        <v>0</v>
      </c>
      <c r="K467" t="n">
        <v>0</v>
      </c>
      <c r="L467" t="n">
        <v>0</v>
      </c>
      <c r="M467" t="n">
        <v>0</v>
      </c>
      <c r="N467" t="n">
        <v>0</v>
      </c>
      <c r="O467" t="n">
        <v>0</v>
      </c>
      <c r="P467" t="n">
        <v>0</v>
      </c>
      <c r="Q467" t="n">
        <v>0</v>
      </c>
      <c r="R467" s="2" t="inlineStr"/>
    </row>
    <row r="468" ht="15" customHeight="1">
      <c r="A468" t="inlineStr">
        <is>
          <t>A 31965-2021</t>
        </is>
      </c>
      <c r="B468" s="1" t="n">
        <v>44370.56901620371</v>
      </c>
      <c r="C468" s="1" t="n">
        <v>45922</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22793-2025</t>
        </is>
      </c>
      <c r="B469" s="1" t="n">
        <v>45789.65693287037</v>
      </c>
      <c r="C469" s="1" t="n">
        <v>45922</v>
      </c>
      <c r="D469" t="inlineStr">
        <is>
          <t>UPPSALA LÄN</t>
        </is>
      </c>
      <c r="E469" t="inlineStr">
        <is>
          <t>ENKÖPING</t>
        </is>
      </c>
      <c r="G469" t="n">
        <v>3.2</v>
      </c>
      <c r="H469" t="n">
        <v>0</v>
      </c>
      <c r="I469" t="n">
        <v>0</v>
      </c>
      <c r="J469" t="n">
        <v>0</v>
      </c>
      <c r="K469" t="n">
        <v>0</v>
      </c>
      <c r="L469" t="n">
        <v>0</v>
      </c>
      <c r="M469" t="n">
        <v>0</v>
      </c>
      <c r="N469" t="n">
        <v>0</v>
      </c>
      <c r="O469" t="n">
        <v>0</v>
      </c>
      <c r="P469" t="n">
        <v>0</v>
      </c>
      <c r="Q469" t="n">
        <v>0</v>
      </c>
      <c r="R469" s="2" t="inlineStr"/>
    </row>
    <row r="470" ht="15" customHeight="1">
      <c r="A470" t="inlineStr">
        <is>
          <t>A 22795-2025</t>
        </is>
      </c>
      <c r="B470" s="1" t="n">
        <v>45789.65944444444</v>
      </c>
      <c r="C470" s="1" t="n">
        <v>45922</v>
      </c>
      <c r="D470" t="inlineStr">
        <is>
          <t>UPPSALA LÄN</t>
        </is>
      </c>
      <c r="E470" t="inlineStr">
        <is>
          <t>ENKÖPING</t>
        </is>
      </c>
      <c r="G470" t="n">
        <v>10.4</v>
      </c>
      <c r="H470" t="n">
        <v>0</v>
      </c>
      <c r="I470" t="n">
        <v>0</v>
      </c>
      <c r="J470" t="n">
        <v>0</v>
      </c>
      <c r="K470" t="n">
        <v>0</v>
      </c>
      <c r="L470" t="n">
        <v>0</v>
      </c>
      <c r="M470" t="n">
        <v>0</v>
      </c>
      <c r="N470" t="n">
        <v>0</v>
      </c>
      <c r="O470" t="n">
        <v>0</v>
      </c>
      <c r="P470" t="n">
        <v>0</v>
      </c>
      <c r="Q470" t="n">
        <v>0</v>
      </c>
      <c r="R470" s="2" t="inlineStr"/>
    </row>
    <row r="471" ht="15" customHeight="1">
      <c r="A471" t="inlineStr">
        <is>
          <t>A 22725-2025</t>
        </is>
      </c>
      <c r="B471" s="1" t="n">
        <v>45789.57371527778</v>
      </c>
      <c r="C471" s="1" t="n">
        <v>45922</v>
      </c>
      <c r="D471" t="inlineStr">
        <is>
          <t>UPPSALA LÄN</t>
        </is>
      </c>
      <c r="E471" t="inlineStr">
        <is>
          <t>ENKÖPING</t>
        </is>
      </c>
      <c r="G471" t="n">
        <v>4.8</v>
      </c>
      <c r="H471" t="n">
        <v>0</v>
      </c>
      <c r="I471" t="n">
        <v>0</v>
      </c>
      <c r="J471" t="n">
        <v>0</v>
      </c>
      <c r="K471" t="n">
        <v>0</v>
      </c>
      <c r="L471" t="n">
        <v>0</v>
      </c>
      <c r="M471" t="n">
        <v>0</v>
      </c>
      <c r="N471" t="n">
        <v>0</v>
      </c>
      <c r="O471" t="n">
        <v>0</v>
      </c>
      <c r="P471" t="n">
        <v>0</v>
      </c>
      <c r="Q471" t="n">
        <v>0</v>
      </c>
      <c r="R471" s="2" t="inlineStr"/>
    </row>
    <row r="472" ht="15" customHeight="1">
      <c r="A472" t="inlineStr">
        <is>
          <t>A 67984-2021</t>
        </is>
      </c>
      <c r="B472" s="1" t="n">
        <v>44525.70237268518</v>
      </c>
      <c r="C472" s="1" t="n">
        <v>45922</v>
      </c>
      <c r="D472" t="inlineStr">
        <is>
          <t>UPPSALA LÄN</t>
        </is>
      </c>
      <c r="E472" t="inlineStr">
        <is>
          <t>ENKÖPING</t>
        </is>
      </c>
      <c r="G472" t="n">
        <v>1.4</v>
      </c>
      <c r="H472" t="n">
        <v>0</v>
      </c>
      <c r="I472" t="n">
        <v>0</v>
      </c>
      <c r="J472" t="n">
        <v>0</v>
      </c>
      <c r="K472" t="n">
        <v>0</v>
      </c>
      <c r="L472" t="n">
        <v>0</v>
      </c>
      <c r="M472" t="n">
        <v>0</v>
      </c>
      <c r="N472" t="n">
        <v>0</v>
      </c>
      <c r="O472" t="n">
        <v>0</v>
      </c>
      <c r="P472" t="n">
        <v>0</v>
      </c>
      <c r="Q472" t="n">
        <v>0</v>
      </c>
      <c r="R472" s="2" t="inlineStr"/>
    </row>
    <row r="473" ht="15" customHeight="1">
      <c r="A473" t="inlineStr">
        <is>
          <t>A 33619-2022</t>
        </is>
      </c>
      <c r="B473" s="1" t="n">
        <v>44789</v>
      </c>
      <c r="C473" s="1" t="n">
        <v>45922</v>
      </c>
      <c r="D473" t="inlineStr">
        <is>
          <t>UPPSALA LÄN</t>
        </is>
      </c>
      <c r="E473" t="inlineStr">
        <is>
          <t>ENKÖPING</t>
        </is>
      </c>
      <c r="F473" t="inlineStr">
        <is>
          <t>Allmännings- och besparingsskogar</t>
        </is>
      </c>
      <c r="G473" t="n">
        <v>4.5</v>
      </c>
      <c r="H473" t="n">
        <v>0</v>
      </c>
      <c r="I473" t="n">
        <v>0</v>
      </c>
      <c r="J473" t="n">
        <v>0</v>
      </c>
      <c r="K473" t="n">
        <v>0</v>
      </c>
      <c r="L473" t="n">
        <v>0</v>
      </c>
      <c r="M473" t="n">
        <v>0</v>
      </c>
      <c r="N473" t="n">
        <v>0</v>
      </c>
      <c r="O473" t="n">
        <v>0</v>
      </c>
      <c r="P473" t="n">
        <v>0</v>
      </c>
      <c r="Q473" t="n">
        <v>0</v>
      </c>
      <c r="R473" s="2" t="inlineStr"/>
    </row>
    <row r="474" ht="15" customHeight="1">
      <c r="A474" t="inlineStr">
        <is>
          <t>A 22981-2025</t>
        </is>
      </c>
      <c r="B474" s="1" t="n">
        <v>45790.56964120371</v>
      </c>
      <c r="C474" s="1" t="n">
        <v>45922</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45956-2024</t>
        </is>
      </c>
      <c r="B475" s="1" t="n">
        <v>45580</v>
      </c>
      <c r="C475" s="1" t="n">
        <v>45922</v>
      </c>
      <c r="D475" t="inlineStr">
        <is>
          <t>UPPSALA LÄN</t>
        </is>
      </c>
      <c r="E475" t="inlineStr">
        <is>
          <t>ENKÖPING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10831-2024</t>
        </is>
      </c>
      <c r="B476" s="1" t="n">
        <v>45369</v>
      </c>
      <c r="C476" s="1" t="n">
        <v>45922</v>
      </c>
      <c r="D476" t="inlineStr">
        <is>
          <t>UPPSALA LÄN</t>
        </is>
      </c>
      <c r="E476" t="inlineStr">
        <is>
          <t>ENKÖPING</t>
        </is>
      </c>
      <c r="G476" t="n">
        <v>2.9</v>
      </c>
      <c r="H476" t="n">
        <v>0</v>
      </c>
      <c r="I476" t="n">
        <v>0</v>
      </c>
      <c r="J476" t="n">
        <v>0</v>
      </c>
      <c r="K476" t="n">
        <v>0</v>
      </c>
      <c r="L476" t="n">
        <v>0</v>
      </c>
      <c r="M476" t="n">
        <v>0</v>
      </c>
      <c r="N476" t="n">
        <v>0</v>
      </c>
      <c r="O476" t="n">
        <v>0</v>
      </c>
      <c r="P476" t="n">
        <v>0</v>
      </c>
      <c r="Q476" t="n">
        <v>0</v>
      </c>
      <c r="R476" s="2" t="inlineStr"/>
    </row>
    <row r="477" ht="15" customHeight="1">
      <c r="A477" t="inlineStr">
        <is>
          <t>A 8020-2022</t>
        </is>
      </c>
      <c r="B477" s="1" t="n">
        <v>44609</v>
      </c>
      <c r="C477" s="1" t="n">
        <v>45922</v>
      </c>
      <c r="D477" t="inlineStr">
        <is>
          <t>UPPSALA LÄN</t>
        </is>
      </c>
      <c r="E477" t="inlineStr">
        <is>
          <t>ENKÖPING</t>
        </is>
      </c>
      <c r="G477" t="n">
        <v>6</v>
      </c>
      <c r="H477" t="n">
        <v>0</v>
      </c>
      <c r="I477" t="n">
        <v>0</v>
      </c>
      <c r="J477" t="n">
        <v>0</v>
      </c>
      <c r="K477" t="n">
        <v>0</v>
      </c>
      <c r="L477" t="n">
        <v>0</v>
      </c>
      <c r="M477" t="n">
        <v>0</v>
      </c>
      <c r="N477" t="n">
        <v>0</v>
      </c>
      <c r="O477" t="n">
        <v>0</v>
      </c>
      <c r="P477" t="n">
        <v>0</v>
      </c>
      <c r="Q477" t="n">
        <v>0</v>
      </c>
      <c r="R477" s="2" t="inlineStr"/>
    </row>
    <row r="478" ht="15" customHeight="1">
      <c r="A478" t="inlineStr">
        <is>
          <t>A 74090-2021</t>
        </is>
      </c>
      <c r="B478" s="1" t="n">
        <v>44557</v>
      </c>
      <c r="C478" s="1" t="n">
        <v>45922</v>
      </c>
      <c r="D478" t="inlineStr">
        <is>
          <t>UPPSALA LÄN</t>
        </is>
      </c>
      <c r="E478" t="inlineStr">
        <is>
          <t>ENKÖPING</t>
        </is>
      </c>
      <c r="G478" t="n">
        <v>2.1</v>
      </c>
      <c r="H478" t="n">
        <v>0</v>
      </c>
      <c r="I478" t="n">
        <v>0</v>
      </c>
      <c r="J478" t="n">
        <v>0</v>
      </c>
      <c r="K478" t="n">
        <v>0</v>
      </c>
      <c r="L478" t="n">
        <v>0</v>
      </c>
      <c r="M478" t="n">
        <v>0</v>
      </c>
      <c r="N478" t="n">
        <v>0</v>
      </c>
      <c r="O478" t="n">
        <v>0</v>
      </c>
      <c r="P478" t="n">
        <v>0</v>
      </c>
      <c r="Q478" t="n">
        <v>0</v>
      </c>
      <c r="R478" s="2" t="inlineStr"/>
    </row>
    <row r="479" ht="15" customHeight="1">
      <c r="A479" t="inlineStr">
        <is>
          <t>A 34805-2024</t>
        </is>
      </c>
      <c r="B479" s="1" t="n">
        <v>45526</v>
      </c>
      <c r="C479" s="1" t="n">
        <v>45922</v>
      </c>
      <c r="D479" t="inlineStr">
        <is>
          <t>UPPSALA LÄN</t>
        </is>
      </c>
      <c r="E479" t="inlineStr">
        <is>
          <t>ENKÖPING</t>
        </is>
      </c>
      <c r="G479" t="n">
        <v>3.6</v>
      </c>
      <c r="H479" t="n">
        <v>0</v>
      </c>
      <c r="I479" t="n">
        <v>0</v>
      </c>
      <c r="J479" t="n">
        <v>0</v>
      </c>
      <c r="K479" t="n">
        <v>0</v>
      </c>
      <c r="L479" t="n">
        <v>0</v>
      </c>
      <c r="M479" t="n">
        <v>0</v>
      </c>
      <c r="N479" t="n">
        <v>0</v>
      </c>
      <c r="O479" t="n">
        <v>0</v>
      </c>
      <c r="P479" t="n">
        <v>0</v>
      </c>
      <c r="Q479" t="n">
        <v>0</v>
      </c>
      <c r="R479" s="2" t="inlineStr"/>
    </row>
    <row r="480" ht="15" customHeight="1">
      <c r="A480" t="inlineStr">
        <is>
          <t>A 17729-2023</t>
        </is>
      </c>
      <c r="B480" s="1" t="n">
        <v>45037</v>
      </c>
      <c r="C480" s="1" t="n">
        <v>45922</v>
      </c>
      <c r="D480" t="inlineStr">
        <is>
          <t>UPPSALA LÄN</t>
        </is>
      </c>
      <c r="E480" t="inlineStr">
        <is>
          <t>ENKÖPING</t>
        </is>
      </c>
      <c r="G480" t="n">
        <v>10.2</v>
      </c>
      <c r="H480" t="n">
        <v>0</v>
      </c>
      <c r="I480" t="n">
        <v>0</v>
      </c>
      <c r="J480" t="n">
        <v>0</v>
      </c>
      <c r="K480" t="n">
        <v>0</v>
      </c>
      <c r="L480" t="n">
        <v>0</v>
      </c>
      <c r="M480" t="n">
        <v>0</v>
      </c>
      <c r="N480" t="n">
        <v>0</v>
      </c>
      <c r="O480" t="n">
        <v>0</v>
      </c>
      <c r="P480" t="n">
        <v>0</v>
      </c>
      <c r="Q480" t="n">
        <v>0</v>
      </c>
      <c r="R480" s="2" t="inlineStr"/>
    </row>
    <row r="481" ht="15" customHeight="1">
      <c r="A481" t="inlineStr">
        <is>
          <t>A 5712-2025</t>
        </is>
      </c>
      <c r="B481" s="1" t="n">
        <v>45694</v>
      </c>
      <c r="C481" s="1" t="n">
        <v>45922</v>
      </c>
      <c r="D481" t="inlineStr">
        <is>
          <t>UPPSALA LÄN</t>
        </is>
      </c>
      <c r="E481" t="inlineStr">
        <is>
          <t>ENKÖPING</t>
        </is>
      </c>
      <c r="G481" t="n">
        <v>5.1</v>
      </c>
      <c r="H481" t="n">
        <v>0</v>
      </c>
      <c r="I481" t="n">
        <v>0</v>
      </c>
      <c r="J481" t="n">
        <v>0</v>
      </c>
      <c r="K481" t="n">
        <v>0</v>
      </c>
      <c r="L481" t="n">
        <v>0</v>
      </c>
      <c r="M481" t="n">
        <v>0</v>
      </c>
      <c r="N481" t="n">
        <v>0</v>
      </c>
      <c r="O481" t="n">
        <v>0</v>
      </c>
      <c r="P481" t="n">
        <v>0</v>
      </c>
      <c r="Q481" t="n">
        <v>0</v>
      </c>
      <c r="R481" s="2" t="inlineStr"/>
    </row>
    <row r="482" ht="15" customHeight="1">
      <c r="A482" t="inlineStr">
        <is>
          <t>A 5749-2025</t>
        </is>
      </c>
      <c r="B482" s="1" t="n">
        <v>45694</v>
      </c>
      <c r="C482" s="1" t="n">
        <v>45922</v>
      </c>
      <c r="D482" t="inlineStr">
        <is>
          <t>UPPSALA LÄN</t>
        </is>
      </c>
      <c r="E482" t="inlineStr">
        <is>
          <t>ENKÖPING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314-2025</t>
        </is>
      </c>
      <c r="B483" s="1" t="n">
        <v>45656</v>
      </c>
      <c r="C483" s="1" t="n">
        <v>45922</v>
      </c>
      <c r="D483" t="inlineStr">
        <is>
          <t>UPPSALA LÄN</t>
        </is>
      </c>
      <c r="E483" t="inlineStr">
        <is>
          <t>ENKÖPING</t>
        </is>
      </c>
      <c r="G483" t="n">
        <v>9</v>
      </c>
      <c r="H483" t="n">
        <v>0</v>
      </c>
      <c r="I483" t="n">
        <v>0</v>
      </c>
      <c r="J483" t="n">
        <v>0</v>
      </c>
      <c r="K483" t="n">
        <v>0</v>
      </c>
      <c r="L483" t="n">
        <v>0</v>
      </c>
      <c r="M483" t="n">
        <v>0</v>
      </c>
      <c r="N483" t="n">
        <v>0</v>
      </c>
      <c r="O483" t="n">
        <v>0</v>
      </c>
      <c r="P483" t="n">
        <v>0</v>
      </c>
      <c r="Q483" t="n">
        <v>0</v>
      </c>
      <c r="R483" s="2" t="inlineStr"/>
    </row>
    <row r="484" ht="15" customHeight="1">
      <c r="A484" t="inlineStr">
        <is>
          <t>A 11627-2025</t>
        </is>
      </c>
      <c r="B484" s="1" t="n">
        <v>45727</v>
      </c>
      <c r="C484" s="1" t="n">
        <v>45922</v>
      </c>
      <c r="D484" t="inlineStr">
        <is>
          <t>UPPSALA LÄN</t>
        </is>
      </c>
      <c r="E484" t="inlineStr">
        <is>
          <t>ENKÖPING</t>
        </is>
      </c>
      <c r="G484" t="n">
        <v>5.5</v>
      </c>
      <c r="H484" t="n">
        <v>0</v>
      </c>
      <c r="I484" t="n">
        <v>0</v>
      </c>
      <c r="J484" t="n">
        <v>0</v>
      </c>
      <c r="K484" t="n">
        <v>0</v>
      </c>
      <c r="L484" t="n">
        <v>0</v>
      </c>
      <c r="M484" t="n">
        <v>0</v>
      </c>
      <c r="N484" t="n">
        <v>0</v>
      </c>
      <c r="O484" t="n">
        <v>0</v>
      </c>
      <c r="P484" t="n">
        <v>0</v>
      </c>
      <c r="Q484" t="n">
        <v>0</v>
      </c>
      <c r="R484" s="2" t="inlineStr"/>
    </row>
    <row r="485">
      <c r="A485" t="inlineStr">
        <is>
          <t>A 24411-2024</t>
        </is>
      </c>
      <c r="B485" s="1" t="n">
        <v>45457</v>
      </c>
      <c r="C485" s="1" t="n">
        <v>45922</v>
      </c>
      <c r="D485" t="inlineStr">
        <is>
          <t>UPPSALA LÄN</t>
        </is>
      </c>
      <c r="E485" t="inlineStr">
        <is>
          <t>ENKÖPING</t>
        </is>
      </c>
      <c r="G485" t="n">
        <v>0.7</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2025-09-22T20:26:09Z</dcterms:created>
  <dcterms:modified xmlns:dcterms="http://purl.org/dc/terms/" xmlns:xsi="http://www.w3.org/2001/XMLSchema-instance" xsi:type="dcterms:W3CDTF">2025-09-22T20:26:09Z</dcterms:modified>
</cp:coreProperties>
</file>