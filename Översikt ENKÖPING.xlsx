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45899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45899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45899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45899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45899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45899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45899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45899</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21970-2025</t>
        </is>
      </c>
      <c r="B21" s="1" t="n">
        <v>45784.63335648148</v>
      </c>
      <c r="C21" s="1" t="n">
        <v>45899</v>
      </c>
      <c r="D21" t="inlineStr">
        <is>
          <t>UPPSALA LÄN</t>
        </is>
      </c>
      <c r="E21" t="inlineStr">
        <is>
          <t>ENKÖPING</t>
        </is>
      </c>
      <c r="G21" t="n">
        <v>5.3</v>
      </c>
      <c r="H21" t="n">
        <v>1</v>
      </c>
      <c r="I21" t="n">
        <v>0</v>
      </c>
      <c r="J21" t="n">
        <v>0</v>
      </c>
      <c r="K21" t="n">
        <v>0</v>
      </c>
      <c r="L21" t="n">
        <v>0</v>
      </c>
      <c r="M21" t="n">
        <v>0</v>
      </c>
      <c r="N21" t="n">
        <v>0</v>
      </c>
      <c r="O21" t="n">
        <v>0</v>
      </c>
      <c r="P21" t="n">
        <v>0</v>
      </c>
      <c r="Q21" t="n">
        <v>1</v>
      </c>
      <c r="R21" s="2" t="inlineStr">
        <is>
          <t>Blåsippa</t>
        </is>
      </c>
      <c r="S21">
        <f>HYPERLINK("https://klasma.github.io/Logging_0381/artfynd/A 21970-2025 artfynd.xlsx", "A 21970-2025")</f>
        <v/>
      </c>
      <c r="T21">
        <f>HYPERLINK("https://klasma.github.io/Logging_0381/kartor/A 21970-2025 karta.png", "A 21970-2025")</f>
        <v/>
      </c>
      <c r="V21">
        <f>HYPERLINK("https://klasma.github.io/Logging_0381/klagomål/A 21970-2025 FSC-klagomål.docx", "A 21970-2025")</f>
        <v/>
      </c>
      <c r="W21">
        <f>HYPERLINK("https://klasma.github.io/Logging_0381/klagomålsmail/A 21970-2025 FSC-klagomål mail.docx", "A 21970-2025")</f>
        <v/>
      </c>
      <c r="X21">
        <f>HYPERLINK("https://klasma.github.io/Logging_0381/tillsyn/A 21970-2025 tillsynsbegäran.docx", "A 21970-2025")</f>
        <v/>
      </c>
      <c r="Y21">
        <f>HYPERLINK("https://klasma.github.io/Logging_0381/tillsynsmail/A 21970-2025 tillsynsbegäran mail.docx", "A 21970-2025")</f>
        <v/>
      </c>
    </row>
    <row r="22" ht="15" customHeight="1">
      <c r="A22" t="inlineStr">
        <is>
          <t>A 33339-2024</t>
        </is>
      </c>
      <c r="B22" s="1" t="n">
        <v>45519</v>
      </c>
      <c r="C22" s="1" t="n">
        <v>45899</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26347-2025</t>
        </is>
      </c>
      <c r="B23" s="1" t="n">
        <v>45805.7403125</v>
      </c>
      <c r="C23" s="1" t="n">
        <v>45899</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45899</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45899</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45899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45899</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45899</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45899</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45899</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45899</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45899</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45899</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45899</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45899</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45899</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45899</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45899</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45899</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45899</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45899</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45899</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45899</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45899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45899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45899</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45899</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45899</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45899</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45899</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45899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45899</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45899</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45899</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45899</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45899</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45899</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45899</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45899</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45899</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45899</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45899</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45899</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45899</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45899</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45899</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45899</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45899</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45899</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45899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45899</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45899</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45899</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45899</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45899</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45899</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45899</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45899</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45899</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45899</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45899</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45899</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45899</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45899</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45899</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45899</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45899</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45899</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45899</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57043-2021</t>
        </is>
      </c>
      <c r="B109" s="1" t="n">
        <v>44482.53399305556</v>
      </c>
      <c r="C109" s="1" t="n">
        <v>45899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47516-2022</t>
        </is>
      </c>
      <c r="B110" s="1" t="n">
        <v>44853.68895833333</v>
      </c>
      <c r="C110" s="1" t="n">
        <v>45899</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15021-2022</t>
        </is>
      </c>
      <c r="B111" s="1" t="n">
        <v>44657</v>
      </c>
      <c r="C111" s="1" t="n">
        <v>45899</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45899</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57802-2020</t>
        </is>
      </c>
      <c r="B113" s="1" t="n">
        <v>44141</v>
      </c>
      <c r="C113" s="1" t="n">
        <v>45899</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45899</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45899</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31013-2022</t>
        </is>
      </c>
      <c r="B116" s="1" t="n">
        <v>44768</v>
      </c>
      <c r="C116" s="1" t="n">
        <v>45899</v>
      </c>
      <c r="D116" t="inlineStr">
        <is>
          <t>UPPSALA LÄN</t>
        </is>
      </c>
      <c r="E116" t="inlineStr">
        <is>
          <t>ENKÖPING</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45899</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29983-2021</t>
        </is>
      </c>
      <c r="B118" s="1" t="n">
        <v>44363</v>
      </c>
      <c r="C118" s="1" t="n">
        <v>45899</v>
      </c>
      <c r="D118" t="inlineStr">
        <is>
          <t>UPPSALA LÄN</t>
        </is>
      </c>
      <c r="E118" t="inlineStr">
        <is>
          <t>ENKÖPING</t>
        </is>
      </c>
      <c r="F118" t="inlineStr">
        <is>
          <t>Kommuner</t>
        </is>
      </c>
      <c r="G118" t="n">
        <v>3.1</v>
      </c>
      <c r="H118" t="n">
        <v>0</v>
      </c>
      <c r="I118" t="n">
        <v>0</v>
      </c>
      <c r="J118" t="n">
        <v>0</v>
      </c>
      <c r="K118" t="n">
        <v>0</v>
      </c>
      <c r="L118" t="n">
        <v>0</v>
      </c>
      <c r="M118" t="n">
        <v>0</v>
      </c>
      <c r="N118" t="n">
        <v>0</v>
      </c>
      <c r="O118" t="n">
        <v>0</v>
      </c>
      <c r="P118" t="n">
        <v>0</v>
      </c>
      <c r="Q118" t="n">
        <v>0</v>
      </c>
      <c r="R118" s="2" t="inlineStr"/>
    </row>
    <row r="119" ht="15" customHeight="1">
      <c r="A119" t="inlineStr">
        <is>
          <t>A 42029-2021</t>
        </is>
      </c>
      <c r="B119" s="1" t="n">
        <v>44426</v>
      </c>
      <c r="C119" s="1" t="n">
        <v>45899</v>
      </c>
      <c r="D119" t="inlineStr">
        <is>
          <t>UPPSALA LÄN</t>
        </is>
      </c>
      <c r="E119" t="inlineStr">
        <is>
          <t>ENKÖPING</t>
        </is>
      </c>
      <c r="G119" t="n">
        <v>5.3</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45899</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25333-2023</t>
        </is>
      </c>
      <c r="B121" s="1" t="n">
        <v>45083</v>
      </c>
      <c r="C121" s="1" t="n">
        <v>45899</v>
      </c>
      <c r="D121" t="inlineStr">
        <is>
          <t>UPPSALA LÄN</t>
        </is>
      </c>
      <c r="E121" t="inlineStr">
        <is>
          <t>ENKÖPING</t>
        </is>
      </c>
      <c r="G121" t="n">
        <v>2.7</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45899</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45899</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45899</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1971-2022</t>
        </is>
      </c>
      <c r="B125" s="1" t="n">
        <v>44575</v>
      </c>
      <c r="C125" s="1" t="n">
        <v>45899</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50747-2022</t>
        </is>
      </c>
      <c r="B126" s="1" t="n">
        <v>44867.40162037037</v>
      </c>
      <c r="C126" s="1" t="n">
        <v>45899</v>
      </c>
      <c r="D126" t="inlineStr">
        <is>
          <t>UPPSALA LÄN</t>
        </is>
      </c>
      <c r="E126" t="inlineStr">
        <is>
          <t>ENKÖPING</t>
        </is>
      </c>
      <c r="G126" t="n">
        <v>1.5</v>
      </c>
      <c r="H126" t="n">
        <v>0</v>
      </c>
      <c r="I126" t="n">
        <v>0</v>
      </c>
      <c r="J126" t="n">
        <v>0</v>
      </c>
      <c r="K126" t="n">
        <v>0</v>
      </c>
      <c r="L126" t="n">
        <v>0</v>
      </c>
      <c r="M126" t="n">
        <v>0</v>
      </c>
      <c r="N126" t="n">
        <v>0</v>
      </c>
      <c r="O126" t="n">
        <v>0</v>
      </c>
      <c r="P126" t="n">
        <v>0</v>
      </c>
      <c r="Q126" t="n">
        <v>0</v>
      </c>
      <c r="R126" s="2" t="inlineStr"/>
    </row>
    <row r="127" ht="15" customHeight="1">
      <c r="A127" t="inlineStr">
        <is>
          <t>A 12878-2025</t>
        </is>
      </c>
      <c r="B127" s="1" t="n">
        <v>45733.68571759259</v>
      </c>
      <c r="C127" s="1" t="n">
        <v>45899</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63310-2021</t>
        </is>
      </c>
      <c r="B128" s="1" t="n">
        <v>44508</v>
      </c>
      <c r="C128" s="1" t="n">
        <v>45899</v>
      </c>
      <c r="D128" t="inlineStr">
        <is>
          <t>UPPSALA LÄN</t>
        </is>
      </c>
      <c r="E128" t="inlineStr">
        <is>
          <t>ENKÖPING</t>
        </is>
      </c>
      <c r="G128" t="n">
        <v>3.5</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45899</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57152-2021</t>
        </is>
      </c>
      <c r="B130" s="1" t="n">
        <v>44482</v>
      </c>
      <c r="C130" s="1" t="n">
        <v>45899</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45899</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30437-2022</t>
        </is>
      </c>
      <c r="B132" s="1" t="n">
        <v>44761</v>
      </c>
      <c r="C132" s="1" t="n">
        <v>45899</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61106-2022</t>
        </is>
      </c>
      <c r="B133" s="1" t="n">
        <v>44915.4128587963</v>
      </c>
      <c r="C133" s="1" t="n">
        <v>45899</v>
      </c>
      <c r="D133" t="inlineStr">
        <is>
          <t>UPPSALA LÄN</t>
        </is>
      </c>
      <c r="E133" t="inlineStr">
        <is>
          <t>ENKÖPING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12572-2021</t>
        </is>
      </c>
      <c r="B134" s="1" t="n">
        <v>44270.36438657407</v>
      </c>
      <c r="C134" s="1" t="n">
        <v>45899</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46103-2023</t>
        </is>
      </c>
      <c r="B135" s="1" t="n">
        <v>45190</v>
      </c>
      <c r="C135" s="1" t="n">
        <v>45899</v>
      </c>
      <c r="D135" t="inlineStr">
        <is>
          <t>UPPSALA LÄN</t>
        </is>
      </c>
      <c r="E135" t="inlineStr">
        <is>
          <t>ENKÖPING</t>
        </is>
      </c>
      <c r="G135" t="n">
        <v>4.6</v>
      </c>
      <c r="H135" t="n">
        <v>0</v>
      </c>
      <c r="I135" t="n">
        <v>0</v>
      </c>
      <c r="J135" t="n">
        <v>0</v>
      </c>
      <c r="K135" t="n">
        <v>0</v>
      </c>
      <c r="L135" t="n">
        <v>0</v>
      </c>
      <c r="M135" t="n">
        <v>0</v>
      </c>
      <c r="N135" t="n">
        <v>0</v>
      </c>
      <c r="O135" t="n">
        <v>0</v>
      </c>
      <c r="P135" t="n">
        <v>0</v>
      </c>
      <c r="Q135" t="n">
        <v>0</v>
      </c>
      <c r="R135" s="2" t="inlineStr"/>
    </row>
    <row r="136" ht="15" customHeight="1">
      <c r="A136" t="inlineStr">
        <is>
          <t>A 52889-2022</t>
        </is>
      </c>
      <c r="B136" s="1" t="n">
        <v>44875</v>
      </c>
      <c r="C136" s="1" t="n">
        <v>45899</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45899</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9171-2024</t>
        </is>
      </c>
      <c r="B138" s="1" t="n">
        <v>45358</v>
      </c>
      <c r="C138" s="1" t="n">
        <v>45899</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12754-2025</t>
        </is>
      </c>
      <c r="B139" s="1" t="n">
        <v>45733.56331018519</v>
      </c>
      <c r="C139" s="1" t="n">
        <v>45899</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20112-2024</t>
        </is>
      </c>
      <c r="B140" s="1" t="n">
        <v>45434</v>
      </c>
      <c r="C140" s="1" t="n">
        <v>45899</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54588-2024</t>
        </is>
      </c>
      <c r="B141" s="1" t="n">
        <v>45617</v>
      </c>
      <c r="C141" s="1" t="n">
        <v>45899</v>
      </c>
      <c r="D141" t="inlineStr">
        <is>
          <t>UPPSALA LÄN</t>
        </is>
      </c>
      <c r="E141" t="inlineStr">
        <is>
          <t>ENKÖPING</t>
        </is>
      </c>
      <c r="G141" t="n">
        <v>3.7</v>
      </c>
      <c r="H141" t="n">
        <v>0</v>
      </c>
      <c r="I141" t="n">
        <v>0</v>
      </c>
      <c r="J141" t="n">
        <v>0</v>
      </c>
      <c r="K141" t="n">
        <v>0</v>
      </c>
      <c r="L141" t="n">
        <v>0</v>
      </c>
      <c r="M141" t="n">
        <v>0</v>
      </c>
      <c r="N141" t="n">
        <v>0</v>
      </c>
      <c r="O141" t="n">
        <v>0</v>
      </c>
      <c r="P141" t="n">
        <v>0</v>
      </c>
      <c r="Q141" t="n">
        <v>0</v>
      </c>
      <c r="R141" s="2" t="inlineStr"/>
    </row>
    <row r="142" ht="15" customHeight="1">
      <c r="A142" t="inlineStr">
        <is>
          <t>A 56713-2024</t>
        </is>
      </c>
      <c r="B142" s="1" t="n">
        <v>45628</v>
      </c>
      <c r="C142" s="1" t="n">
        <v>45899</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51524-2022</t>
        </is>
      </c>
      <c r="B143" s="1" t="n">
        <v>44869</v>
      </c>
      <c r="C143" s="1" t="n">
        <v>45899</v>
      </c>
      <c r="D143" t="inlineStr">
        <is>
          <t>UPPSALA LÄN</t>
        </is>
      </c>
      <c r="E143" t="inlineStr">
        <is>
          <t>ENKÖPING</t>
        </is>
      </c>
      <c r="G143" t="n">
        <v>6.6</v>
      </c>
      <c r="H143" t="n">
        <v>0</v>
      </c>
      <c r="I143" t="n">
        <v>0</v>
      </c>
      <c r="J143" t="n">
        <v>0</v>
      </c>
      <c r="K143" t="n">
        <v>0</v>
      </c>
      <c r="L143" t="n">
        <v>0</v>
      </c>
      <c r="M143" t="n">
        <v>0</v>
      </c>
      <c r="N143" t="n">
        <v>0</v>
      </c>
      <c r="O143" t="n">
        <v>0</v>
      </c>
      <c r="P143" t="n">
        <v>0</v>
      </c>
      <c r="Q143" t="n">
        <v>0</v>
      </c>
      <c r="R143" s="2" t="inlineStr"/>
    </row>
    <row r="144" ht="15" customHeight="1">
      <c r="A144" t="inlineStr">
        <is>
          <t>A 671-2022</t>
        </is>
      </c>
      <c r="B144" s="1" t="n">
        <v>44568</v>
      </c>
      <c r="C144" s="1" t="n">
        <v>45899</v>
      </c>
      <c r="D144" t="inlineStr">
        <is>
          <t>UPPSALA LÄN</t>
        </is>
      </c>
      <c r="E144" t="inlineStr">
        <is>
          <t>ENKÖPING</t>
        </is>
      </c>
      <c r="G144" t="n">
        <v>3.5</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45899</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45899</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11005-2023</t>
        </is>
      </c>
      <c r="B147" s="1" t="n">
        <v>44991</v>
      </c>
      <c r="C147" s="1" t="n">
        <v>45899</v>
      </c>
      <c r="D147" t="inlineStr">
        <is>
          <t>UPPSALA LÄN</t>
        </is>
      </c>
      <c r="E147" t="inlineStr">
        <is>
          <t>ENKÖPING</t>
        </is>
      </c>
      <c r="G147" t="n">
        <v>1.1</v>
      </c>
      <c r="H147" t="n">
        <v>0</v>
      </c>
      <c r="I147" t="n">
        <v>0</v>
      </c>
      <c r="J147" t="n">
        <v>0</v>
      </c>
      <c r="K147" t="n">
        <v>0</v>
      </c>
      <c r="L147" t="n">
        <v>0</v>
      </c>
      <c r="M147" t="n">
        <v>0</v>
      </c>
      <c r="N147" t="n">
        <v>0</v>
      </c>
      <c r="O147" t="n">
        <v>0</v>
      </c>
      <c r="P147" t="n">
        <v>0</v>
      </c>
      <c r="Q147" t="n">
        <v>0</v>
      </c>
      <c r="R147" s="2" t="inlineStr"/>
    </row>
    <row r="148" ht="15" customHeight="1">
      <c r="A148" t="inlineStr">
        <is>
          <t>A 51932-2022</t>
        </is>
      </c>
      <c r="B148" s="1" t="n">
        <v>44872</v>
      </c>
      <c r="C148" s="1" t="n">
        <v>45899</v>
      </c>
      <c r="D148" t="inlineStr">
        <is>
          <t>UPPSALA LÄN</t>
        </is>
      </c>
      <c r="E148" t="inlineStr">
        <is>
          <t>ENKÖPING</t>
        </is>
      </c>
      <c r="G148" t="n">
        <v>5.5</v>
      </c>
      <c r="H148" t="n">
        <v>0</v>
      </c>
      <c r="I148" t="n">
        <v>0</v>
      </c>
      <c r="J148" t="n">
        <v>0</v>
      </c>
      <c r="K148" t="n">
        <v>0</v>
      </c>
      <c r="L148" t="n">
        <v>0</v>
      </c>
      <c r="M148" t="n">
        <v>0</v>
      </c>
      <c r="N148" t="n">
        <v>0</v>
      </c>
      <c r="O148" t="n">
        <v>0</v>
      </c>
      <c r="P148" t="n">
        <v>0</v>
      </c>
      <c r="Q148" t="n">
        <v>0</v>
      </c>
      <c r="R148" s="2" t="inlineStr"/>
    </row>
    <row r="149" ht="15" customHeight="1">
      <c r="A149" t="inlineStr">
        <is>
          <t>A 12958-2024</t>
        </is>
      </c>
      <c r="B149" s="1" t="n">
        <v>45385</v>
      </c>
      <c r="C149" s="1" t="n">
        <v>45899</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29918-2023</t>
        </is>
      </c>
      <c r="B150" s="1" t="n">
        <v>45099</v>
      </c>
      <c r="C150" s="1" t="n">
        <v>45899</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51008-2024</t>
        </is>
      </c>
      <c r="B151" s="1" t="n">
        <v>45603.39041666667</v>
      </c>
      <c r="C151" s="1" t="n">
        <v>45899</v>
      </c>
      <c r="D151" t="inlineStr">
        <is>
          <t>UPPSALA LÄN</t>
        </is>
      </c>
      <c r="E151" t="inlineStr">
        <is>
          <t>ENKÖPING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35052-2024</t>
        </is>
      </c>
      <c r="B152" s="1" t="n">
        <v>45527.6516087963</v>
      </c>
      <c r="C152" s="1" t="n">
        <v>45899</v>
      </c>
      <c r="D152" t="inlineStr">
        <is>
          <t>UPPSALA LÄN</t>
        </is>
      </c>
      <c r="E152" t="inlineStr">
        <is>
          <t>ENKÖPING</t>
        </is>
      </c>
      <c r="G152" t="n">
        <v>1.5</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45899</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45899</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45899</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45899</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45899</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24291-2024</t>
        </is>
      </c>
      <c r="B158" s="1" t="n">
        <v>45457.4584837963</v>
      </c>
      <c r="C158" s="1" t="n">
        <v>45899</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57142-2021</t>
        </is>
      </c>
      <c r="B159" s="1" t="n">
        <v>44482</v>
      </c>
      <c r="C159" s="1" t="n">
        <v>45899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57153-2021</t>
        </is>
      </c>
      <c r="B160" s="1" t="n">
        <v>44482</v>
      </c>
      <c r="C160" s="1" t="n">
        <v>45899</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21017-2023</t>
        </is>
      </c>
      <c r="B161" s="1" t="n">
        <v>45061</v>
      </c>
      <c r="C161" s="1" t="n">
        <v>45899</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45899</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45899</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43691-2024</t>
        </is>
      </c>
      <c r="B164" s="1" t="n">
        <v>45569</v>
      </c>
      <c r="C164" s="1" t="n">
        <v>45899</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44232-2022</t>
        </is>
      </c>
      <c r="B165" s="1" t="n">
        <v>44839</v>
      </c>
      <c r="C165" s="1" t="n">
        <v>45899</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47428-2023</t>
        </is>
      </c>
      <c r="B166" s="1" t="n">
        <v>45202.66664351852</v>
      </c>
      <c r="C166" s="1" t="n">
        <v>45899</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14518-2025</t>
        </is>
      </c>
      <c r="B167" s="1" t="n">
        <v>45741</v>
      </c>
      <c r="C167" s="1" t="n">
        <v>45899</v>
      </c>
      <c r="D167" t="inlineStr">
        <is>
          <t>UPPSALA LÄN</t>
        </is>
      </c>
      <c r="E167" t="inlineStr">
        <is>
          <t>ENKÖPING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45362-2022</t>
        </is>
      </c>
      <c r="B168" s="1" t="n">
        <v>44844.62366898148</v>
      </c>
      <c r="C168" s="1" t="n">
        <v>45899</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56526-2022</t>
        </is>
      </c>
      <c r="B169" s="1" t="n">
        <v>44893</v>
      </c>
      <c r="C169" s="1" t="n">
        <v>45899</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19376-2024</t>
        </is>
      </c>
      <c r="B170" s="1" t="n">
        <v>45429</v>
      </c>
      <c r="C170" s="1" t="n">
        <v>45899</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45899</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54776-2024</t>
        </is>
      </c>
      <c r="B172" s="1" t="n">
        <v>45618</v>
      </c>
      <c r="C172" s="1" t="n">
        <v>45899</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28518-2024</t>
        </is>
      </c>
      <c r="B173" s="1" t="n">
        <v>45477</v>
      </c>
      <c r="C173" s="1" t="n">
        <v>45899</v>
      </c>
      <c r="D173" t="inlineStr">
        <is>
          <t>UPPSALA LÄN</t>
        </is>
      </c>
      <c r="E173" t="inlineStr">
        <is>
          <t>ENKÖPING</t>
        </is>
      </c>
      <c r="G173" t="n">
        <v>3.4</v>
      </c>
      <c r="H173" t="n">
        <v>0</v>
      </c>
      <c r="I173" t="n">
        <v>0</v>
      </c>
      <c r="J173" t="n">
        <v>0</v>
      </c>
      <c r="K173" t="n">
        <v>0</v>
      </c>
      <c r="L173" t="n">
        <v>0</v>
      </c>
      <c r="M173" t="n">
        <v>0</v>
      </c>
      <c r="N173" t="n">
        <v>0</v>
      </c>
      <c r="O173" t="n">
        <v>0</v>
      </c>
      <c r="P173" t="n">
        <v>0</v>
      </c>
      <c r="Q173" t="n">
        <v>0</v>
      </c>
      <c r="R173" s="2" t="inlineStr"/>
    </row>
    <row r="174" ht="15" customHeight="1">
      <c r="A174" t="inlineStr">
        <is>
          <t>A 22150-2025</t>
        </is>
      </c>
      <c r="B174" s="1" t="n">
        <v>45785.56398148148</v>
      </c>
      <c r="C174" s="1" t="n">
        <v>45899</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33670-2024</t>
        </is>
      </c>
      <c r="B175" s="1" t="n">
        <v>45520</v>
      </c>
      <c r="C175" s="1" t="n">
        <v>45899</v>
      </c>
      <c r="D175" t="inlineStr">
        <is>
          <t>UPPSALA LÄN</t>
        </is>
      </c>
      <c r="E175" t="inlineStr">
        <is>
          <t>ENKÖPING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22156-2025</t>
        </is>
      </c>
      <c r="B176" s="1" t="n">
        <v>45785.57512731481</v>
      </c>
      <c r="C176" s="1" t="n">
        <v>45899</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30098-2024</t>
        </is>
      </c>
      <c r="B177" s="1" t="n">
        <v>45489.41609953704</v>
      </c>
      <c r="C177" s="1" t="n">
        <v>45899</v>
      </c>
      <c r="D177" t="inlineStr">
        <is>
          <t>UPPSALA LÄN</t>
        </is>
      </c>
      <c r="E177" t="inlineStr">
        <is>
          <t>ENKÖPING</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30087-2024</t>
        </is>
      </c>
      <c r="B178" s="1" t="n">
        <v>45489.39447916667</v>
      </c>
      <c r="C178" s="1" t="n">
        <v>45899</v>
      </c>
      <c r="D178" t="inlineStr">
        <is>
          <t>UPPSALA LÄN</t>
        </is>
      </c>
      <c r="E178" t="inlineStr">
        <is>
          <t>ENKÖPING</t>
        </is>
      </c>
      <c r="G178" t="n">
        <v>1.4</v>
      </c>
      <c r="H178" t="n">
        <v>0</v>
      </c>
      <c r="I178" t="n">
        <v>0</v>
      </c>
      <c r="J178" t="n">
        <v>0</v>
      </c>
      <c r="K178" t="n">
        <v>0</v>
      </c>
      <c r="L178" t="n">
        <v>0</v>
      </c>
      <c r="M178" t="n">
        <v>0</v>
      </c>
      <c r="N178" t="n">
        <v>0</v>
      </c>
      <c r="O178" t="n">
        <v>0</v>
      </c>
      <c r="P178" t="n">
        <v>0</v>
      </c>
      <c r="Q178" t="n">
        <v>0</v>
      </c>
      <c r="R178" s="2" t="inlineStr"/>
    </row>
    <row r="179" ht="15" customHeight="1">
      <c r="A179" t="inlineStr">
        <is>
          <t>A 19147-2024</t>
        </is>
      </c>
      <c r="B179" s="1" t="n">
        <v>45428</v>
      </c>
      <c r="C179" s="1" t="n">
        <v>45899</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45899</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22677-2025</t>
        </is>
      </c>
      <c r="B181" s="1" t="n">
        <v>45789.49515046296</v>
      </c>
      <c r="C181" s="1" t="n">
        <v>45899</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22679-2025</t>
        </is>
      </c>
      <c r="B182" s="1" t="n">
        <v>45789.49747685185</v>
      </c>
      <c r="C182" s="1" t="n">
        <v>45899</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22729-2025</t>
        </is>
      </c>
      <c r="B183" s="1" t="n">
        <v>45789.57790509259</v>
      </c>
      <c r="C183" s="1" t="n">
        <v>45899</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22786-2025</t>
        </is>
      </c>
      <c r="B184" s="1" t="n">
        <v>45789.64643518518</v>
      </c>
      <c r="C184" s="1" t="n">
        <v>45899</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1651-2024</t>
        </is>
      </c>
      <c r="B185" s="1" t="n">
        <v>45306.73770833333</v>
      </c>
      <c r="C185" s="1" t="n">
        <v>45899</v>
      </c>
      <c r="D185" t="inlineStr">
        <is>
          <t>UPPSALA LÄN</t>
        </is>
      </c>
      <c r="E185" t="inlineStr">
        <is>
          <t>ENKÖPING</t>
        </is>
      </c>
      <c r="G185" t="n">
        <v>10.2</v>
      </c>
      <c r="H185" t="n">
        <v>0</v>
      </c>
      <c r="I185" t="n">
        <v>0</v>
      </c>
      <c r="J185" t="n">
        <v>0</v>
      </c>
      <c r="K185" t="n">
        <v>0</v>
      </c>
      <c r="L185" t="n">
        <v>0</v>
      </c>
      <c r="M185" t="n">
        <v>0</v>
      </c>
      <c r="N185" t="n">
        <v>0</v>
      </c>
      <c r="O185" t="n">
        <v>0</v>
      </c>
      <c r="P185" t="n">
        <v>0</v>
      </c>
      <c r="Q185" t="n">
        <v>0</v>
      </c>
      <c r="R185" s="2" t="inlineStr"/>
    </row>
    <row r="186" ht="15" customHeight="1">
      <c r="A186" t="inlineStr">
        <is>
          <t>A 60289-2022</t>
        </is>
      </c>
      <c r="B186" s="1" t="n">
        <v>44910.53026620371</v>
      </c>
      <c r="C186" s="1" t="n">
        <v>45899</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67982-2021</t>
        </is>
      </c>
      <c r="B187" s="1" t="n">
        <v>44525</v>
      </c>
      <c r="C187" s="1" t="n">
        <v>45899</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45899</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45899</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45899</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21612-2023</t>
        </is>
      </c>
      <c r="B191" s="1" t="n">
        <v>45063</v>
      </c>
      <c r="C191" s="1" t="n">
        <v>45899</v>
      </c>
      <c r="D191" t="inlineStr">
        <is>
          <t>UPPSALA LÄN</t>
        </is>
      </c>
      <c r="E191" t="inlineStr">
        <is>
          <t>ENKÖPING</t>
        </is>
      </c>
      <c r="F191" t="inlineStr">
        <is>
          <t>Allmännings- och besparingsskogar</t>
        </is>
      </c>
      <c r="G191" t="n">
        <v>1</v>
      </c>
      <c r="H191" t="n">
        <v>0</v>
      </c>
      <c r="I191" t="n">
        <v>0</v>
      </c>
      <c r="J191" t="n">
        <v>0</v>
      </c>
      <c r="K191" t="n">
        <v>0</v>
      </c>
      <c r="L191" t="n">
        <v>0</v>
      </c>
      <c r="M191" t="n">
        <v>0</v>
      </c>
      <c r="N191" t="n">
        <v>0</v>
      </c>
      <c r="O191" t="n">
        <v>0</v>
      </c>
      <c r="P191" t="n">
        <v>0</v>
      </c>
      <c r="Q191" t="n">
        <v>0</v>
      </c>
      <c r="R191" s="2" t="inlineStr"/>
    </row>
    <row r="192" ht="15" customHeight="1">
      <c r="A192" t="inlineStr">
        <is>
          <t>A 39624-2023</t>
        </is>
      </c>
      <c r="B192" s="1" t="n">
        <v>45164</v>
      </c>
      <c r="C192" s="1" t="n">
        <v>45899</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45899</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45899</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22770-2025</t>
        </is>
      </c>
      <c r="B195" s="1" t="n">
        <v>45789.63454861111</v>
      </c>
      <c r="C195" s="1" t="n">
        <v>45899</v>
      </c>
      <c r="D195" t="inlineStr">
        <is>
          <t>UPPSALA LÄN</t>
        </is>
      </c>
      <c r="E195" t="inlineStr">
        <is>
          <t>ENKÖPING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5892-2023</t>
        </is>
      </c>
      <c r="B196" s="1" t="n">
        <v>44963.64883101852</v>
      </c>
      <c r="C196" s="1" t="n">
        <v>45899</v>
      </c>
      <c r="D196" t="inlineStr">
        <is>
          <t>UPPSALA LÄN</t>
        </is>
      </c>
      <c r="E196" t="inlineStr">
        <is>
          <t>ENKÖPING</t>
        </is>
      </c>
      <c r="G196" t="n">
        <v>5.5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45899</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45899</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68123-2021</t>
        </is>
      </c>
      <c r="B199" s="1" t="n">
        <v>44526.39126157408</v>
      </c>
      <c r="C199" s="1" t="n">
        <v>45899</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22793-2025</t>
        </is>
      </c>
      <c r="B200" s="1" t="n">
        <v>45789.65693287037</v>
      </c>
      <c r="C200" s="1" t="n">
        <v>45899</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22800-2025</t>
        </is>
      </c>
      <c r="B201" s="1" t="n">
        <v>45789.6669212963</v>
      </c>
      <c r="C201" s="1" t="n">
        <v>45899</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39858-2024</t>
        </is>
      </c>
      <c r="B202" s="1" t="n">
        <v>45553</v>
      </c>
      <c r="C202" s="1" t="n">
        <v>45899</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31242-2024</t>
        </is>
      </c>
      <c r="B203" s="1" t="n">
        <v>45503</v>
      </c>
      <c r="C203" s="1" t="n">
        <v>45899</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9957-2023</t>
        </is>
      </c>
      <c r="B204" s="1" t="n">
        <v>44978</v>
      </c>
      <c r="C204" s="1" t="n">
        <v>45899</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8152-2022</t>
        </is>
      </c>
      <c r="B205" s="1" t="n">
        <v>44609</v>
      </c>
      <c r="C205" s="1" t="n">
        <v>45899</v>
      </c>
      <c r="D205" t="inlineStr">
        <is>
          <t>UPPSALA LÄN</t>
        </is>
      </c>
      <c r="E205" t="inlineStr">
        <is>
          <t>ENKÖPING</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45899</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17729-2023</t>
        </is>
      </c>
      <c r="B207" s="1" t="n">
        <v>45037</v>
      </c>
      <c r="C207" s="1" t="n">
        <v>45899</v>
      </c>
      <c r="D207" t="inlineStr">
        <is>
          <t>UPPSALA LÄN</t>
        </is>
      </c>
      <c r="E207" t="inlineStr">
        <is>
          <t>ENKÖPING</t>
        </is>
      </c>
      <c r="G207" t="n">
        <v>10.2</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45899</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5749-2025</t>
        </is>
      </c>
      <c r="B209" s="1" t="n">
        <v>45694</v>
      </c>
      <c r="C209" s="1" t="n">
        <v>45899</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28318-2024</t>
        </is>
      </c>
      <c r="B210" s="1" t="n">
        <v>45477</v>
      </c>
      <c r="C210" s="1" t="n">
        <v>45899</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8020-2022</t>
        </is>
      </c>
      <c r="B211" s="1" t="n">
        <v>44609</v>
      </c>
      <c r="C211" s="1" t="n">
        <v>45899</v>
      </c>
      <c r="D211" t="inlineStr">
        <is>
          <t>UPPSALA LÄN</t>
        </is>
      </c>
      <c r="E211" t="inlineStr">
        <is>
          <t>ENKÖPING</t>
        </is>
      </c>
      <c r="G211" t="n">
        <v>6</v>
      </c>
      <c r="H211" t="n">
        <v>0</v>
      </c>
      <c r="I211" t="n">
        <v>0</v>
      </c>
      <c r="J211" t="n">
        <v>0</v>
      </c>
      <c r="K211" t="n">
        <v>0</v>
      </c>
      <c r="L211" t="n">
        <v>0</v>
      </c>
      <c r="M211" t="n">
        <v>0</v>
      </c>
      <c r="N211" t="n">
        <v>0</v>
      </c>
      <c r="O211" t="n">
        <v>0</v>
      </c>
      <c r="P211" t="n">
        <v>0</v>
      </c>
      <c r="Q211" t="n">
        <v>0</v>
      </c>
      <c r="R211" s="2" t="inlineStr"/>
    </row>
    <row r="212" ht="15" customHeight="1">
      <c r="A212" t="inlineStr">
        <is>
          <t>A 17657-2025</t>
        </is>
      </c>
      <c r="B212" s="1" t="n">
        <v>45758.35006944444</v>
      </c>
      <c r="C212" s="1" t="n">
        <v>45899</v>
      </c>
      <c r="D212" t="inlineStr">
        <is>
          <t>UPPSALA LÄN</t>
        </is>
      </c>
      <c r="E212" t="inlineStr">
        <is>
          <t>ENKÖPING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34805-2024</t>
        </is>
      </c>
      <c r="B213" s="1" t="n">
        <v>45526</v>
      </c>
      <c r="C213" s="1" t="n">
        <v>45899</v>
      </c>
      <c r="D213" t="inlineStr">
        <is>
          <t>UPPSALA LÄN</t>
        </is>
      </c>
      <c r="E213" t="inlineStr">
        <is>
          <t>ENKÖPING</t>
        </is>
      </c>
      <c r="G213" t="n">
        <v>3.6</v>
      </c>
      <c r="H213" t="n">
        <v>0</v>
      </c>
      <c r="I213" t="n">
        <v>0</v>
      </c>
      <c r="J213" t="n">
        <v>0</v>
      </c>
      <c r="K213" t="n">
        <v>0</v>
      </c>
      <c r="L213" t="n">
        <v>0</v>
      </c>
      <c r="M213" t="n">
        <v>0</v>
      </c>
      <c r="N213" t="n">
        <v>0</v>
      </c>
      <c r="O213" t="n">
        <v>0</v>
      </c>
      <c r="P213" t="n">
        <v>0</v>
      </c>
      <c r="Q213" t="n">
        <v>0</v>
      </c>
      <c r="R213" s="2" t="inlineStr"/>
    </row>
    <row r="214" ht="15" customHeight="1">
      <c r="A214" t="inlineStr">
        <is>
          <t>A 314-2025</t>
        </is>
      </c>
      <c r="B214" s="1" t="n">
        <v>45656</v>
      </c>
      <c r="C214" s="1" t="n">
        <v>45899</v>
      </c>
      <c r="D214" t="inlineStr">
        <is>
          <t>UPPSALA LÄN</t>
        </is>
      </c>
      <c r="E214" t="inlineStr">
        <is>
          <t>ENKÖPING</t>
        </is>
      </c>
      <c r="G214" t="n">
        <v>9</v>
      </c>
      <c r="H214" t="n">
        <v>0</v>
      </c>
      <c r="I214" t="n">
        <v>0</v>
      </c>
      <c r="J214" t="n">
        <v>0</v>
      </c>
      <c r="K214" t="n">
        <v>0</v>
      </c>
      <c r="L214" t="n">
        <v>0</v>
      </c>
      <c r="M214" t="n">
        <v>0</v>
      </c>
      <c r="N214" t="n">
        <v>0</v>
      </c>
      <c r="O214" t="n">
        <v>0</v>
      </c>
      <c r="P214" t="n">
        <v>0</v>
      </c>
      <c r="Q214" t="n">
        <v>0</v>
      </c>
      <c r="R214" s="2" t="inlineStr"/>
    </row>
    <row r="215" ht="15" customHeight="1">
      <c r="A215" t="inlineStr">
        <is>
          <t>A 10831-2024</t>
        </is>
      </c>
      <c r="B215" s="1" t="n">
        <v>45369</v>
      </c>
      <c r="C215" s="1" t="n">
        <v>45899</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45378-2020</t>
        </is>
      </c>
      <c r="B216" s="1" t="n">
        <v>44089</v>
      </c>
      <c r="C216" s="1" t="n">
        <v>45899</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5712-2025</t>
        </is>
      </c>
      <c r="B217" s="1" t="n">
        <v>45694</v>
      </c>
      <c r="C217" s="1" t="n">
        <v>45899</v>
      </c>
      <c r="D217" t="inlineStr">
        <is>
          <t>UPPSALA LÄN</t>
        </is>
      </c>
      <c r="E217" t="inlineStr">
        <is>
          <t>ENKÖPING</t>
        </is>
      </c>
      <c r="G217" t="n">
        <v>5.1</v>
      </c>
      <c r="H217" t="n">
        <v>0</v>
      </c>
      <c r="I217" t="n">
        <v>0</v>
      </c>
      <c r="J217" t="n">
        <v>0</v>
      </c>
      <c r="K217" t="n">
        <v>0</v>
      </c>
      <c r="L217" t="n">
        <v>0</v>
      </c>
      <c r="M217" t="n">
        <v>0</v>
      </c>
      <c r="N217" t="n">
        <v>0</v>
      </c>
      <c r="O217" t="n">
        <v>0</v>
      </c>
      <c r="P217" t="n">
        <v>0</v>
      </c>
      <c r="Q217" t="n">
        <v>0</v>
      </c>
      <c r="R217" s="2" t="inlineStr"/>
    </row>
    <row r="218" ht="15" customHeight="1">
      <c r="A218" t="inlineStr">
        <is>
          <t>A 14402-2023</t>
        </is>
      </c>
      <c r="B218" s="1" t="n">
        <v>45012</v>
      </c>
      <c r="C218" s="1" t="n">
        <v>45899</v>
      </c>
      <c r="D218" t="inlineStr">
        <is>
          <t>UPPSALA LÄN</t>
        </is>
      </c>
      <c r="E218" t="inlineStr">
        <is>
          <t>ENKÖPING</t>
        </is>
      </c>
      <c r="G218" t="n">
        <v>9.5</v>
      </c>
      <c r="H218" t="n">
        <v>0</v>
      </c>
      <c r="I218" t="n">
        <v>0</v>
      </c>
      <c r="J218" t="n">
        <v>0</v>
      </c>
      <c r="K218" t="n">
        <v>0</v>
      </c>
      <c r="L218" t="n">
        <v>0</v>
      </c>
      <c r="M218" t="n">
        <v>0</v>
      </c>
      <c r="N218" t="n">
        <v>0</v>
      </c>
      <c r="O218" t="n">
        <v>0</v>
      </c>
      <c r="P218" t="n">
        <v>0</v>
      </c>
      <c r="Q218" t="n">
        <v>0</v>
      </c>
      <c r="R218" s="2" t="inlineStr"/>
    </row>
    <row r="219" ht="15" customHeight="1">
      <c r="A219" t="inlineStr">
        <is>
          <t>A 45956-2024</t>
        </is>
      </c>
      <c r="B219" s="1" t="n">
        <v>45580</v>
      </c>
      <c r="C219" s="1" t="n">
        <v>45899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11627-2025</t>
        </is>
      </c>
      <c r="B220" s="1" t="n">
        <v>45727</v>
      </c>
      <c r="C220" s="1" t="n">
        <v>45899</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74090-2021</t>
        </is>
      </c>
      <c r="B221" s="1" t="n">
        <v>44557</v>
      </c>
      <c r="C221" s="1" t="n">
        <v>45899</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45899</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12020-2024</t>
        </is>
      </c>
      <c r="B223" s="1" t="n">
        <v>45377</v>
      </c>
      <c r="C223" s="1" t="n">
        <v>45899</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15939-2022</t>
        </is>
      </c>
      <c r="B224" s="1" t="n">
        <v>44664</v>
      </c>
      <c r="C224" s="1" t="n">
        <v>45899</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50394-2024</t>
        </is>
      </c>
      <c r="B225" s="1" t="n">
        <v>45600</v>
      </c>
      <c r="C225" s="1" t="n">
        <v>45899</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51092-2020</t>
        </is>
      </c>
      <c r="B226" s="1" t="n">
        <v>44112</v>
      </c>
      <c r="C226" s="1" t="n">
        <v>45899</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69344-2021</t>
        </is>
      </c>
      <c r="B227" s="1" t="n">
        <v>44531</v>
      </c>
      <c r="C227" s="1" t="n">
        <v>45899</v>
      </c>
      <c r="D227" t="inlineStr">
        <is>
          <t>UPPSALA LÄN</t>
        </is>
      </c>
      <c r="E227" t="inlineStr">
        <is>
          <t>ENKÖPING</t>
        </is>
      </c>
      <c r="G227" t="n">
        <v>2.9</v>
      </c>
      <c r="H227" t="n">
        <v>0</v>
      </c>
      <c r="I227" t="n">
        <v>0</v>
      </c>
      <c r="J227" t="n">
        <v>0</v>
      </c>
      <c r="K227" t="n">
        <v>0</v>
      </c>
      <c r="L227" t="n">
        <v>0</v>
      </c>
      <c r="M227" t="n">
        <v>0</v>
      </c>
      <c r="N227" t="n">
        <v>0</v>
      </c>
      <c r="O227" t="n">
        <v>0</v>
      </c>
      <c r="P227" t="n">
        <v>0</v>
      </c>
      <c r="Q227" t="n">
        <v>0</v>
      </c>
      <c r="R227" s="2" t="inlineStr"/>
    </row>
    <row r="228" ht="15" customHeight="1">
      <c r="A228" t="inlineStr">
        <is>
          <t>A 58092-2024</t>
        </is>
      </c>
      <c r="B228" s="1" t="n">
        <v>45632</v>
      </c>
      <c r="C228" s="1" t="n">
        <v>45899</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34124-2021</t>
        </is>
      </c>
      <c r="B229" s="1" t="n">
        <v>44379</v>
      </c>
      <c r="C229" s="1" t="n">
        <v>45899</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43697-2024</t>
        </is>
      </c>
      <c r="B230" s="1" t="n">
        <v>45569</v>
      </c>
      <c r="C230" s="1" t="n">
        <v>45899</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45899</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27983-2024</t>
        </is>
      </c>
      <c r="B232" s="1" t="n">
        <v>45476</v>
      </c>
      <c r="C232" s="1" t="n">
        <v>45899</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24411-2024</t>
        </is>
      </c>
      <c r="B233" s="1" t="n">
        <v>45457</v>
      </c>
      <c r="C233" s="1" t="n">
        <v>45899</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45899</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45899</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25988-2025</t>
        </is>
      </c>
      <c r="B236" s="1" t="n">
        <v>45804.64814814815</v>
      </c>
      <c r="C236" s="1" t="n">
        <v>45899</v>
      </c>
      <c r="D236" t="inlineStr">
        <is>
          <t>UPPSALA LÄN</t>
        </is>
      </c>
      <c r="E236" t="inlineStr">
        <is>
          <t>ENKÖPING</t>
        </is>
      </c>
      <c r="G236" t="n">
        <v>4.7</v>
      </c>
      <c r="H236" t="n">
        <v>0</v>
      </c>
      <c r="I236" t="n">
        <v>0</v>
      </c>
      <c r="J236" t="n">
        <v>0</v>
      </c>
      <c r="K236" t="n">
        <v>0</v>
      </c>
      <c r="L236" t="n">
        <v>0</v>
      </c>
      <c r="M236" t="n">
        <v>0</v>
      </c>
      <c r="N236" t="n">
        <v>0</v>
      </c>
      <c r="O236" t="n">
        <v>0</v>
      </c>
      <c r="P236" t="n">
        <v>0</v>
      </c>
      <c r="Q236" t="n">
        <v>0</v>
      </c>
      <c r="R236" s="2" t="inlineStr"/>
    </row>
    <row r="237" ht="15" customHeight="1">
      <c r="A237" t="inlineStr">
        <is>
          <t>A 26017-2025</t>
        </is>
      </c>
      <c r="B237" s="1" t="n">
        <v>45804</v>
      </c>
      <c r="C237" s="1" t="n">
        <v>45899</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26024-2025</t>
        </is>
      </c>
      <c r="B238" s="1" t="n">
        <v>45804.6831712963</v>
      </c>
      <c r="C238" s="1" t="n">
        <v>45899</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26042-2025</t>
        </is>
      </c>
      <c r="B239" s="1" t="n">
        <v>45804.70018518518</v>
      </c>
      <c r="C239" s="1" t="n">
        <v>45899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25990-2025</t>
        </is>
      </c>
      <c r="B240" s="1" t="n">
        <v>45804.65229166667</v>
      </c>
      <c r="C240" s="1" t="n">
        <v>45899</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26030-2025</t>
        </is>
      </c>
      <c r="B241" s="1" t="n">
        <v>45804.68815972222</v>
      </c>
      <c r="C241" s="1" t="n">
        <v>45899</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21501-2025</t>
        </is>
      </c>
      <c r="B242" s="1" t="n">
        <v>45782</v>
      </c>
      <c r="C242" s="1" t="n">
        <v>45899</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26026-2025</t>
        </is>
      </c>
      <c r="B243" s="1" t="n">
        <v>45804.68510416667</v>
      </c>
      <c r="C243" s="1" t="n">
        <v>45899</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26047-2025</t>
        </is>
      </c>
      <c r="B244" s="1" t="n">
        <v>45804.70835648148</v>
      </c>
      <c r="C244" s="1" t="n">
        <v>45899</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45899</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37870-2023</t>
        </is>
      </c>
      <c r="B246" s="1" t="n">
        <v>45160.41996527778</v>
      </c>
      <c r="C246" s="1" t="n">
        <v>45899</v>
      </c>
      <c r="D246" t="inlineStr">
        <is>
          <t>UPPSALA LÄN</t>
        </is>
      </c>
      <c r="E246" t="inlineStr">
        <is>
          <t>ENKÖPING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7090-2022</t>
        </is>
      </c>
      <c r="B247" s="1" t="n">
        <v>44603.59520833333</v>
      </c>
      <c r="C247" s="1" t="n">
        <v>45899</v>
      </c>
      <c r="D247" t="inlineStr">
        <is>
          <t>UPPSALA LÄN</t>
        </is>
      </c>
      <c r="E247" t="inlineStr">
        <is>
          <t>ENKÖPING</t>
        </is>
      </c>
      <c r="G247" t="n">
        <v>2.8</v>
      </c>
      <c r="H247" t="n">
        <v>0</v>
      </c>
      <c r="I247" t="n">
        <v>0</v>
      </c>
      <c r="J247" t="n">
        <v>0</v>
      </c>
      <c r="K247" t="n">
        <v>0</v>
      </c>
      <c r="L247" t="n">
        <v>0</v>
      </c>
      <c r="M247" t="n">
        <v>0</v>
      </c>
      <c r="N247" t="n">
        <v>0</v>
      </c>
      <c r="O247" t="n">
        <v>0</v>
      </c>
      <c r="P247" t="n">
        <v>0</v>
      </c>
      <c r="Q247" t="n">
        <v>0</v>
      </c>
      <c r="R247" s="2" t="inlineStr"/>
    </row>
    <row r="248" ht="15" customHeight="1">
      <c r="A248" t="inlineStr">
        <is>
          <t>A 49063-2024</t>
        </is>
      </c>
      <c r="B248" s="1" t="n">
        <v>45594.59869212963</v>
      </c>
      <c r="C248" s="1" t="n">
        <v>45899</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22912-2024</t>
        </is>
      </c>
      <c r="B249" s="1" t="n">
        <v>45448.73118055556</v>
      </c>
      <c r="C249" s="1" t="n">
        <v>45899</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45899</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45899</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53149-2020</t>
        </is>
      </c>
      <c r="B252" s="1" t="n">
        <v>44120</v>
      </c>
      <c r="C252" s="1" t="n">
        <v>45899</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26031-2025</t>
        </is>
      </c>
      <c r="B253" s="1" t="n">
        <v>45804.69050925926</v>
      </c>
      <c r="C253" s="1" t="n">
        <v>45899</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26041-2025</t>
        </is>
      </c>
      <c r="B254" s="1" t="n">
        <v>45804.69883101852</v>
      </c>
      <c r="C254" s="1" t="n">
        <v>45899</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26022-2025</t>
        </is>
      </c>
      <c r="B255" s="1" t="n">
        <v>45804.68006944445</v>
      </c>
      <c r="C255" s="1" t="n">
        <v>45899</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45899</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14083-2025</t>
        </is>
      </c>
      <c r="B257" s="1" t="n">
        <v>45740</v>
      </c>
      <c r="C257" s="1" t="n">
        <v>45899</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9667-2024</t>
        </is>
      </c>
      <c r="B258" s="1" t="n">
        <v>45362.45130787037</v>
      </c>
      <c r="C258" s="1" t="n">
        <v>45899</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19298-2023</t>
        </is>
      </c>
      <c r="B259" s="1" t="n">
        <v>45048</v>
      </c>
      <c r="C259" s="1" t="n">
        <v>45899</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15409-2025</t>
        </is>
      </c>
      <c r="B260" s="1" t="n">
        <v>45747</v>
      </c>
      <c r="C260" s="1" t="n">
        <v>45899</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35067-2024</t>
        </is>
      </c>
      <c r="B261" s="1" t="n">
        <v>45527.66153935185</v>
      </c>
      <c r="C261" s="1" t="n">
        <v>45899</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34617-2022</t>
        </is>
      </c>
      <c r="B262" s="1" t="n">
        <v>44795</v>
      </c>
      <c r="C262" s="1" t="n">
        <v>45899</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43506-2023</t>
        </is>
      </c>
      <c r="B263" s="1" t="n">
        <v>45181</v>
      </c>
      <c r="C263" s="1" t="n">
        <v>45899</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40202-2024</t>
        </is>
      </c>
      <c r="B264" s="1" t="n">
        <v>45554</v>
      </c>
      <c r="C264" s="1" t="n">
        <v>45899</v>
      </c>
      <c r="D264" t="inlineStr">
        <is>
          <t>UPPSALA LÄN</t>
        </is>
      </c>
      <c r="E264" t="inlineStr">
        <is>
          <t>ENKÖPING</t>
        </is>
      </c>
      <c r="G264" t="n">
        <v>6.2</v>
      </c>
      <c r="H264" t="n">
        <v>0</v>
      </c>
      <c r="I264" t="n">
        <v>0</v>
      </c>
      <c r="J264" t="n">
        <v>0</v>
      </c>
      <c r="K264" t="n">
        <v>0</v>
      </c>
      <c r="L264" t="n">
        <v>0</v>
      </c>
      <c r="M264" t="n">
        <v>0</v>
      </c>
      <c r="N264" t="n">
        <v>0</v>
      </c>
      <c r="O264" t="n">
        <v>0</v>
      </c>
      <c r="P264" t="n">
        <v>0</v>
      </c>
      <c r="Q264" t="n">
        <v>0</v>
      </c>
      <c r="R264" s="2" t="inlineStr"/>
    </row>
    <row r="265" ht="15" customHeight="1">
      <c r="A265" t="inlineStr">
        <is>
          <t>A 40223-2024</t>
        </is>
      </c>
      <c r="B265" s="1" t="n">
        <v>45554</v>
      </c>
      <c r="C265" s="1" t="n">
        <v>45899</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14004-2023</t>
        </is>
      </c>
      <c r="B266" s="1" t="n">
        <v>45008</v>
      </c>
      <c r="C266" s="1" t="n">
        <v>45899</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51012-2024</t>
        </is>
      </c>
      <c r="B267" s="1" t="n">
        <v>45603.39686342593</v>
      </c>
      <c r="C267" s="1" t="n">
        <v>45899</v>
      </c>
      <c r="D267" t="inlineStr">
        <is>
          <t>UPPSALA LÄN</t>
        </is>
      </c>
      <c r="E267" t="inlineStr">
        <is>
          <t>ENKÖPING</t>
        </is>
      </c>
      <c r="G267" t="n">
        <v>2.7</v>
      </c>
      <c r="H267" t="n">
        <v>0</v>
      </c>
      <c r="I267" t="n">
        <v>0</v>
      </c>
      <c r="J267" t="n">
        <v>0</v>
      </c>
      <c r="K267" t="n">
        <v>0</v>
      </c>
      <c r="L267" t="n">
        <v>0</v>
      </c>
      <c r="M267" t="n">
        <v>0</v>
      </c>
      <c r="N267" t="n">
        <v>0</v>
      </c>
      <c r="O267" t="n">
        <v>0</v>
      </c>
      <c r="P267" t="n">
        <v>0</v>
      </c>
      <c r="Q267" t="n">
        <v>0</v>
      </c>
      <c r="R267" s="2" t="inlineStr"/>
    </row>
    <row r="268" ht="15" customHeight="1">
      <c r="A268" t="inlineStr">
        <is>
          <t>A 51037-2024</t>
        </is>
      </c>
      <c r="B268" s="1" t="n">
        <v>45603.43005787037</v>
      </c>
      <c r="C268" s="1" t="n">
        <v>45899</v>
      </c>
      <c r="D268" t="inlineStr">
        <is>
          <t>UPPSALA LÄN</t>
        </is>
      </c>
      <c r="E268" t="inlineStr">
        <is>
          <t>ENKÖPING</t>
        </is>
      </c>
      <c r="G268" t="n">
        <v>5.7</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45899</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19013-2025</t>
        </is>
      </c>
      <c r="B270" s="1" t="n">
        <v>45764.59533564815</v>
      </c>
      <c r="C270" s="1" t="n">
        <v>45899</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57335-2024</t>
        </is>
      </c>
      <c r="B271" s="1" t="n">
        <v>45629.63302083333</v>
      </c>
      <c r="C271" s="1" t="n">
        <v>45899</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41828-2024</t>
        </is>
      </c>
      <c r="B272" s="1" t="n">
        <v>45561</v>
      </c>
      <c r="C272" s="1" t="n">
        <v>45899</v>
      </c>
      <c r="D272" t="inlineStr">
        <is>
          <t>UPPSALA LÄN</t>
        </is>
      </c>
      <c r="E272" t="inlineStr">
        <is>
          <t>ENKÖPING</t>
        </is>
      </c>
      <c r="G272" t="n">
        <v>2.5</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45899</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45899</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27829-2025</t>
        </is>
      </c>
      <c r="B275" s="1" t="n">
        <v>45817</v>
      </c>
      <c r="C275" s="1" t="n">
        <v>45899</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10465-2022</t>
        </is>
      </c>
      <c r="B276" s="1" t="n">
        <v>44623</v>
      </c>
      <c r="C276" s="1" t="n">
        <v>45899</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33619-2022</t>
        </is>
      </c>
      <c r="B277" s="1" t="n">
        <v>44789</v>
      </c>
      <c r="C277" s="1" t="n">
        <v>45899</v>
      </c>
      <c r="D277" t="inlineStr">
        <is>
          <t>UPPSALA LÄN</t>
        </is>
      </c>
      <c r="E277" t="inlineStr">
        <is>
          <t>ENKÖPING</t>
        </is>
      </c>
      <c r="F277" t="inlineStr">
        <is>
          <t>Allmännings- och besparingsskogar</t>
        </is>
      </c>
      <c r="G277" t="n">
        <v>4.5</v>
      </c>
      <c r="H277" t="n">
        <v>0</v>
      </c>
      <c r="I277" t="n">
        <v>0</v>
      </c>
      <c r="J277" t="n">
        <v>0</v>
      </c>
      <c r="K277" t="n">
        <v>0</v>
      </c>
      <c r="L277" t="n">
        <v>0</v>
      </c>
      <c r="M277" t="n">
        <v>0</v>
      </c>
      <c r="N277" t="n">
        <v>0</v>
      </c>
      <c r="O277" t="n">
        <v>0</v>
      </c>
      <c r="P277" t="n">
        <v>0</v>
      </c>
      <c r="Q277" t="n">
        <v>0</v>
      </c>
      <c r="R277" s="2" t="inlineStr"/>
    </row>
    <row r="278" ht="15" customHeight="1">
      <c r="A278" t="inlineStr">
        <is>
          <t>A 28855-2025</t>
        </is>
      </c>
      <c r="B278" s="1" t="n">
        <v>45820.58274305556</v>
      </c>
      <c r="C278" s="1" t="n">
        <v>45899</v>
      </c>
      <c r="D278" t="inlineStr">
        <is>
          <t>UPPSALA LÄN</t>
        </is>
      </c>
      <c r="E278" t="inlineStr">
        <is>
          <t>ENKÖPING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31604-2023</t>
        </is>
      </c>
      <c r="B279" s="1" t="n">
        <v>45117.50368055556</v>
      </c>
      <c r="C279" s="1" t="n">
        <v>45899</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28758-2025</t>
        </is>
      </c>
      <c r="B280" s="1" t="n">
        <v>45820.41212962963</v>
      </c>
      <c r="C280" s="1" t="n">
        <v>45899</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39009-2024</t>
        </is>
      </c>
      <c r="B281" s="1" t="n">
        <v>45548</v>
      </c>
      <c r="C281" s="1" t="n">
        <v>45899</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8537-2025</t>
        </is>
      </c>
      <c r="B282" s="1" t="n">
        <v>45709</v>
      </c>
      <c r="C282" s="1" t="n">
        <v>45899</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45899</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28862-2025</t>
        </is>
      </c>
      <c r="B284" s="1" t="n">
        <v>45820.59189814814</v>
      </c>
      <c r="C284" s="1" t="n">
        <v>45899</v>
      </c>
      <c r="D284" t="inlineStr">
        <is>
          <t>UPPSALA LÄN</t>
        </is>
      </c>
      <c r="E284" t="inlineStr">
        <is>
          <t>ENKÖPING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45899</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34988-2025</t>
        </is>
      </c>
      <c r="B286" s="1" t="n">
        <v>45849</v>
      </c>
      <c r="C286" s="1" t="n">
        <v>45899</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34987-2025</t>
        </is>
      </c>
      <c r="B287" s="1" t="n">
        <v>45849</v>
      </c>
      <c r="C287" s="1" t="n">
        <v>45899</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34989-2025</t>
        </is>
      </c>
      <c r="B288" s="1" t="n">
        <v>45849</v>
      </c>
      <c r="C288" s="1" t="n">
        <v>45899</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59602-2024</t>
        </is>
      </c>
      <c r="B289" s="1" t="n">
        <v>45638</v>
      </c>
      <c r="C289" s="1" t="n">
        <v>45899</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29093-2025</t>
        </is>
      </c>
      <c r="B290" s="1" t="n">
        <v>45821.55743055556</v>
      </c>
      <c r="C290" s="1" t="n">
        <v>45899</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29477-2025</t>
        </is>
      </c>
      <c r="B291" s="1" t="n">
        <v>45824.71537037037</v>
      </c>
      <c r="C291" s="1" t="n">
        <v>45899</v>
      </c>
      <c r="D291" t="inlineStr">
        <is>
          <t>UPPSALA LÄN</t>
        </is>
      </c>
      <c r="E291" t="inlineStr">
        <is>
          <t>ENKÖPING</t>
        </is>
      </c>
      <c r="G291" t="n">
        <v>13.4</v>
      </c>
      <c r="H291" t="n">
        <v>0</v>
      </c>
      <c r="I291" t="n">
        <v>0</v>
      </c>
      <c r="J291" t="n">
        <v>0</v>
      </c>
      <c r="K291" t="n">
        <v>0</v>
      </c>
      <c r="L291" t="n">
        <v>0</v>
      </c>
      <c r="M291" t="n">
        <v>0</v>
      </c>
      <c r="N291" t="n">
        <v>0</v>
      </c>
      <c r="O291" t="n">
        <v>0</v>
      </c>
      <c r="P291" t="n">
        <v>0</v>
      </c>
      <c r="Q291" t="n">
        <v>0</v>
      </c>
      <c r="R291" s="2" t="inlineStr"/>
    </row>
    <row r="292" ht="15" customHeight="1">
      <c r="A292" t="inlineStr">
        <is>
          <t>A 2164-2023</t>
        </is>
      </c>
      <c r="B292" s="1" t="n">
        <v>44941</v>
      </c>
      <c r="C292" s="1" t="n">
        <v>45899</v>
      </c>
      <c r="D292" t="inlineStr">
        <is>
          <t>UPPSALA LÄN</t>
        </is>
      </c>
      <c r="E292" t="inlineStr">
        <is>
          <t>ENKÖPING</t>
        </is>
      </c>
      <c r="G292" t="n">
        <v>2.5</v>
      </c>
      <c r="H292" t="n">
        <v>0</v>
      </c>
      <c r="I292" t="n">
        <v>0</v>
      </c>
      <c r="J292" t="n">
        <v>0</v>
      </c>
      <c r="K292" t="n">
        <v>0</v>
      </c>
      <c r="L292" t="n">
        <v>0</v>
      </c>
      <c r="M292" t="n">
        <v>0</v>
      </c>
      <c r="N292" t="n">
        <v>0</v>
      </c>
      <c r="O292" t="n">
        <v>0</v>
      </c>
      <c r="P292" t="n">
        <v>0</v>
      </c>
      <c r="Q292" t="n">
        <v>0</v>
      </c>
      <c r="R292" s="2" t="inlineStr"/>
    </row>
    <row r="293" ht="15" customHeight="1">
      <c r="A293" t="inlineStr">
        <is>
          <t>A 14243-2025</t>
        </is>
      </c>
      <c r="B293" s="1" t="n">
        <v>45740.61288194444</v>
      </c>
      <c r="C293" s="1" t="n">
        <v>45899</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19488-2022</t>
        </is>
      </c>
      <c r="B294" s="1" t="n">
        <v>44693</v>
      </c>
      <c r="C294" s="1" t="n">
        <v>45899</v>
      </c>
      <c r="D294" t="inlineStr">
        <is>
          <t>UPPSALA LÄN</t>
        </is>
      </c>
      <c r="E294" t="inlineStr">
        <is>
          <t>ENKÖPING</t>
        </is>
      </c>
      <c r="G294" t="n">
        <v>7.8</v>
      </c>
      <c r="H294" t="n">
        <v>0</v>
      </c>
      <c r="I294" t="n">
        <v>0</v>
      </c>
      <c r="J294" t="n">
        <v>0</v>
      </c>
      <c r="K294" t="n">
        <v>0</v>
      </c>
      <c r="L294" t="n">
        <v>0</v>
      </c>
      <c r="M294" t="n">
        <v>0</v>
      </c>
      <c r="N294" t="n">
        <v>0</v>
      </c>
      <c r="O294" t="n">
        <v>0</v>
      </c>
      <c r="P294" t="n">
        <v>0</v>
      </c>
      <c r="Q294" t="n">
        <v>0</v>
      </c>
      <c r="R294" s="2" t="inlineStr"/>
    </row>
    <row r="295" ht="15" customHeight="1">
      <c r="A295" t="inlineStr">
        <is>
          <t>A 36350-2025</t>
        </is>
      </c>
      <c r="B295" s="1" t="n">
        <v>45868</v>
      </c>
      <c r="C295" s="1" t="n">
        <v>45899</v>
      </c>
      <c r="D295" t="inlineStr">
        <is>
          <t>UPPSALA LÄN</t>
        </is>
      </c>
      <c r="E295" t="inlineStr">
        <is>
          <t>ENKÖPING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33955-2024</t>
        </is>
      </c>
      <c r="B296" s="1" t="n">
        <v>45523.46952546296</v>
      </c>
      <c r="C296" s="1" t="n">
        <v>45899</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45899</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45899</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36368-2025</t>
        </is>
      </c>
      <c r="B299" s="1" t="n">
        <v>45868</v>
      </c>
      <c r="C299" s="1" t="n">
        <v>45899</v>
      </c>
      <c r="D299" t="inlineStr">
        <is>
          <t>UPPSALA LÄN</t>
        </is>
      </c>
      <c r="E299" t="inlineStr">
        <is>
          <t>ENKÖPING</t>
        </is>
      </c>
      <c r="G299" t="n">
        <v>2.6</v>
      </c>
      <c r="H299" t="n">
        <v>0</v>
      </c>
      <c r="I299" t="n">
        <v>0</v>
      </c>
      <c r="J299" t="n">
        <v>0</v>
      </c>
      <c r="K299" t="n">
        <v>0</v>
      </c>
      <c r="L299" t="n">
        <v>0</v>
      </c>
      <c r="M299" t="n">
        <v>0</v>
      </c>
      <c r="N299" t="n">
        <v>0</v>
      </c>
      <c r="O299" t="n">
        <v>0</v>
      </c>
      <c r="P299" t="n">
        <v>0</v>
      </c>
      <c r="Q299" t="n">
        <v>0</v>
      </c>
      <c r="R299" s="2" t="inlineStr"/>
    </row>
    <row r="300" ht="15" customHeight="1">
      <c r="A300" t="inlineStr">
        <is>
          <t>A 36492-2025</t>
        </is>
      </c>
      <c r="B300" s="1" t="n">
        <v>45869</v>
      </c>
      <c r="C300" s="1" t="n">
        <v>45899</v>
      </c>
      <c r="D300" t="inlineStr">
        <is>
          <t>UPPSALA LÄN</t>
        </is>
      </c>
      <c r="E300" t="inlineStr">
        <is>
          <t>ENKÖPING</t>
        </is>
      </c>
      <c r="G300" t="n">
        <v>6.3</v>
      </c>
      <c r="H300" t="n">
        <v>0</v>
      </c>
      <c r="I300" t="n">
        <v>0</v>
      </c>
      <c r="J300" t="n">
        <v>0</v>
      </c>
      <c r="K300" t="n">
        <v>0</v>
      </c>
      <c r="L300" t="n">
        <v>0</v>
      </c>
      <c r="M300" t="n">
        <v>0</v>
      </c>
      <c r="N300" t="n">
        <v>0</v>
      </c>
      <c r="O300" t="n">
        <v>0</v>
      </c>
      <c r="P300" t="n">
        <v>0</v>
      </c>
      <c r="Q300" t="n">
        <v>0</v>
      </c>
      <c r="R300" s="2" t="inlineStr"/>
    </row>
    <row r="301" ht="15" customHeight="1">
      <c r="A301" t="inlineStr">
        <is>
          <t>A 41826-2024</t>
        </is>
      </c>
      <c r="B301" s="1" t="n">
        <v>45561</v>
      </c>
      <c r="C301" s="1" t="n">
        <v>45899</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16916-2022</t>
        </is>
      </c>
      <c r="B302" s="1" t="n">
        <v>44676</v>
      </c>
      <c r="C302" s="1" t="n">
        <v>45899</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36599-2025</t>
        </is>
      </c>
      <c r="B303" s="1" t="n">
        <v>45870.51723379629</v>
      </c>
      <c r="C303" s="1" t="n">
        <v>45899</v>
      </c>
      <c r="D303" t="inlineStr">
        <is>
          <t>UPPSALA LÄN</t>
        </is>
      </c>
      <c r="E303" t="inlineStr">
        <is>
          <t>ENKÖPING</t>
        </is>
      </c>
      <c r="G303" t="n">
        <v>5.9</v>
      </c>
      <c r="H303" t="n">
        <v>0</v>
      </c>
      <c r="I303" t="n">
        <v>0</v>
      </c>
      <c r="J303" t="n">
        <v>0</v>
      </c>
      <c r="K303" t="n">
        <v>0</v>
      </c>
      <c r="L303" t="n">
        <v>0</v>
      </c>
      <c r="M303" t="n">
        <v>0</v>
      </c>
      <c r="N303" t="n">
        <v>0</v>
      </c>
      <c r="O303" t="n">
        <v>0</v>
      </c>
      <c r="P303" t="n">
        <v>0</v>
      </c>
      <c r="Q303" t="n">
        <v>0</v>
      </c>
      <c r="R303" s="2" t="inlineStr"/>
    </row>
    <row r="304" ht="15" customHeight="1">
      <c r="A304" t="inlineStr">
        <is>
          <t>A 69567-2020</t>
        </is>
      </c>
      <c r="B304" s="1" t="n">
        <v>44194</v>
      </c>
      <c r="C304" s="1" t="n">
        <v>45899</v>
      </c>
      <c r="D304" t="inlineStr">
        <is>
          <t>UPPSALA LÄN</t>
        </is>
      </c>
      <c r="E304" t="inlineStr">
        <is>
          <t>ENKÖPING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44115-2024</t>
        </is>
      </c>
      <c r="B305" s="1" t="n">
        <v>45572</v>
      </c>
      <c r="C305" s="1" t="n">
        <v>45899</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30837-2025</t>
        </is>
      </c>
      <c r="B306" s="1" t="n">
        <v>45831.7063425926</v>
      </c>
      <c r="C306" s="1" t="n">
        <v>45899</v>
      </c>
      <c r="D306" t="inlineStr">
        <is>
          <t>UPPSALA LÄN</t>
        </is>
      </c>
      <c r="E306" t="inlineStr">
        <is>
          <t>ENKÖPING</t>
        </is>
      </c>
      <c r="G306" t="n">
        <v>3.8</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45899</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45899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45899</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30634-2022</t>
        </is>
      </c>
      <c r="B310" s="1" t="n">
        <v>44763.45711805556</v>
      </c>
      <c r="C310" s="1" t="n">
        <v>45899</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6298-2021</t>
        </is>
      </c>
      <c r="B311" s="1" t="n">
        <v>44235</v>
      </c>
      <c r="C311" s="1" t="n">
        <v>45899</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3300-2025</t>
        </is>
      </c>
      <c r="B312" s="1" t="n">
        <v>45679</v>
      </c>
      <c r="C312" s="1" t="n">
        <v>45899</v>
      </c>
      <c r="D312" t="inlineStr">
        <is>
          <t>UPPSALA LÄN</t>
        </is>
      </c>
      <c r="E312" t="inlineStr">
        <is>
          <t>ENKÖPING</t>
        </is>
      </c>
      <c r="G312" t="n">
        <v>8.9</v>
      </c>
      <c r="H312" t="n">
        <v>0</v>
      </c>
      <c r="I312" t="n">
        <v>0</v>
      </c>
      <c r="J312" t="n">
        <v>0</v>
      </c>
      <c r="K312" t="n">
        <v>0</v>
      </c>
      <c r="L312" t="n">
        <v>0</v>
      </c>
      <c r="M312" t="n">
        <v>0</v>
      </c>
      <c r="N312" t="n">
        <v>0</v>
      </c>
      <c r="O312" t="n">
        <v>0</v>
      </c>
      <c r="P312" t="n">
        <v>0</v>
      </c>
      <c r="Q312" t="n">
        <v>0</v>
      </c>
      <c r="R312" s="2" t="inlineStr"/>
    </row>
    <row r="313" ht="15" customHeight="1">
      <c r="A313" t="inlineStr">
        <is>
          <t>A 59441-2020</t>
        </is>
      </c>
      <c r="B313" s="1" t="n">
        <v>44148</v>
      </c>
      <c r="C313" s="1" t="n">
        <v>45899</v>
      </c>
      <c r="D313" t="inlineStr">
        <is>
          <t>UPPSALA LÄN</t>
        </is>
      </c>
      <c r="E313" t="inlineStr">
        <is>
          <t>ENKÖPING</t>
        </is>
      </c>
      <c r="G313" t="n">
        <v>4.8</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45899</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51120-2023</t>
        </is>
      </c>
      <c r="B315" s="1" t="n">
        <v>45219.3088425926</v>
      </c>
      <c r="C315" s="1" t="n">
        <v>45899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26319-2022</t>
        </is>
      </c>
      <c r="B316" s="1" t="n">
        <v>44735</v>
      </c>
      <c r="C316" s="1" t="n">
        <v>45899</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54357-2023</t>
        </is>
      </c>
      <c r="B317" s="1" t="n">
        <v>45225</v>
      </c>
      <c r="C317" s="1" t="n">
        <v>45899</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4203-2021</t>
        </is>
      </c>
      <c r="B318" s="1" t="n">
        <v>44223</v>
      </c>
      <c r="C318" s="1" t="n">
        <v>45899</v>
      </c>
      <c r="D318" t="inlineStr">
        <is>
          <t>UPPSALA LÄN</t>
        </is>
      </c>
      <c r="E318" t="inlineStr">
        <is>
          <t>ENKÖPING</t>
        </is>
      </c>
      <c r="G318" t="n">
        <v>11.6</v>
      </c>
      <c r="H318" t="n">
        <v>0</v>
      </c>
      <c r="I318" t="n">
        <v>0</v>
      </c>
      <c r="J318" t="n">
        <v>0</v>
      </c>
      <c r="K318" t="n">
        <v>0</v>
      </c>
      <c r="L318" t="n">
        <v>0</v>
      </c>
      <c r="M318" t="n">
        <v>0</v>
      </c>
      <c r="N318" t="n">
        <v>0</v>
      </c>
      <c r="O318" t="n">
        <v>0</v>
      </c>
      <c r="P318" t="n">
        <v>0</v>
      </c>
      <c r="Q318" t="n">
        <v>0</v>
      </c>
      <c r="R318" s="2" t="inlineStr"/>
    </row>
    <row r="319" ht="15" customHeight="1">
      <c r="A319" t="inlineStr">
        <is>
          <t>A 32477-2025</t>
        </is>
      </c>
      <c r="B319" s="1" t="n">
        <v>45838.43098379629</v>
      </c>
      <c r="C319" s="1" t="n">
        <v>45899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13816-2021</t>
        </is>
      </c>
      <c r="B320" s="1" t="n">
        <v>44276</v>
      </c>
      <c r="C320" s="1" t="n">
        <v>45899</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32031-2025</t>
        </is>
      </c>
      <c r="B321" s="1" t="n">
        <v>45835.41712962963</v>
      </c>
      <c r="C321" s="1" t="n">
        <v>45899</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32111-2025</t>
        </is>
      </c>
      <c r="B322" s="1" t="n">
        <v>45835</v>
      </c>
      <c r="C322" s="1" t="n">
        <v>45899</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56837-2024</t>
        </is>
      </c>
      <c r="B323" s="1" t="n">
        <v>45628</v>
      </c>
      <c r="C323" s="1" t="n">
        <v>45899</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63402-2023</t>
        </is>
      </c>
      <c r="B324" s="1" t="n">
        <v>45274.50646990741</v>
      </c>
      <c r="C324" s="1" t="n">
        <v>45899</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53208-2023</t>
        </is>
      </c>
      <c r="B325" s="1" t="n">
        <v>45226</v>
      </c>
      <c r="C325" s="1" t="n">
        <v>45899</v>
      </c>
      <c r="D325" t="inlineStr">
        <is>
          <t>UPPSALA LÄN</t>
        </is>
      </c>
      <c r="E325" t="inlineStr">
        <is>
          <t>ENKÖPING</t>
        </is>
      </c>
      <c r="G325" t="n">
        <v>4.3</v>
      </c>
      <c r="H325" t="n">
        <v>0</v>
      </c>
      <c r="I325" t="n">
        <v>0</v>
      </c>
      <c r="J325" t="n">
        <v>0</v>
      </c>
      <c r="K325" t="n">
        <v>0</v>
      </c>
      <c r="L325" t="n">
        <v>0</v>
      </c>
      <c r="M325" t="n">
        <v>0</v>
      </c>
      <c r="N325" t="n">
        <v>0</v>
      </c>
      <c r="O325" t="n">
        <v>0</v>
      </c>
      <c r="P325" t="n">
        <v>0</v>
      </c>
      <c r="Q325" t="n">
        <v>0</v>
      </c>
      <c r="R325" s="2" t="inlineStr"/>
    </row>
    <row r="326" ht="15" customHeight="1">
      <c r="A326" t="inlineStr">
        <is>
          <t>A 55876-2024</t>
        </is>
      </c>
      <c r="B326" s="1" t="n">
        <v>45623.5546412037</v>
      </c>
      <c r="C326" s="1" t="n">
        <v>45899</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45899</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45899</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25334-2023</t>
        </is>
      </c>
      <c r="B329" s="1" t="n">
        <v>45083</v>
      </c>
      <c r="C329" s="1" t="n">
        <v>45899</v>
      </c>
      <c r="D329" t="inlineStr">
        <is>
          <t>UPPSALA LÄN</t>
        </is>
      </c>
      <c r="E329" t="inlineStr">
        <is>
          <t>ENKÖPING</t>
        </is>
      </c>
      <c r="G329" t="n">
        <v>0.2</v>
      </c>
      <c r="H329" t="n">
        <v>0</v>
      </c>
      <c r="I329" t="n">
        <v>0</v>
      </c>
      <c r="J329" t="n">
        <v>0</v>
      </c>
      <c r="K329" t="n">
        <v>0</v>
      </c>
      <c r="L329" t="n">
        <v>0</v>
      </c>
      <c r="M329" t="n">
        <v>0</v>
      </c>
      <c r="N329" t="n">
        <v>0</v>
      </c>
      <c r="O329" t="n">
        <v>0</v>
      </c>
      <c r="P329" t="n">
        <v>0</v>
      </c>
      <c r="Q329" t="n">
        <v>0</v>
      </c>
      <c r="R329" s="2" t="inlineStr"/>
    </row>
    <row r="330" ht="15" customHeight="1">
      <c r="A330" t="inlineStr">
        <is>
          <t>A 33349-2024</t>
        </is>
      </c>
      <c r="B330" s="1" t="n">
        <v>45519</v>
      </c>
      <c r="C330" s="1" t="n">
        <v>45899</v>
      </c>
      <c r="D330" t="inlineStr">
        <is>
          <t>UPPSALA LÄN</t>
        </is>
      </c>
      <c r="E330" t="inlineStr">
        <is>
          <t>ENKÖPING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60874-2023</t>
        </is>
      </c>
      <c r="B331" s="1" t="n">
        <v>45261.06280092592</v>
      </c>
      <c r="C331" s="1" t="n">
        <v>45899</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15740-2025</t>
        </is>
      </c>
      <c r="B332" s="1" t="n">
        <v>45748</v>
      </c>
      <c r="C332" s="1" t="n">
        <v>45899</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53587-2024</t>
        </is>
      </c>
      <c r="B333" s="1" t="n">
        <v>45614.66953703704</v>
      </c>
      <c r="C333" s="1" t="n">
        <v>45899</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57848-2024</t>
        </is>
      </c>
      <c r="B334" s="1" t="n">
        <v>45631.40947916666</v>
      </c>
      <c r="C334" s="1" t="n">
        <v>45899</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17029-2025</t>
        </is>
      </c>
      <c r="B335" s="1" t="n">
        <v>45755.57291666666</v>
      </c>
      <c r="C335" s="1" t="n">
        <v>45899</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18994-2025</t>
        </is>
      </c>
      <c r="B336" s="1" t="n">
        <v>45764.57350694444</v>
      </c>
      <c r="C336" s="1" t="n">
        <v>45899</v>
      </c>
      <c r="D336" t="inlineStr">
        <is>
          <t>UPPSALA LÄN</t>
        </is>
      </c>
      <c r="E336" t="inlineStr">
        <is>
          <t>ENKÖPING</t>
        </is>
      </c>
      <c r="G336" t="n">
        <v>3.8</v>
      </c>
      <c r="H336" t="n">
        <v>0</v>
      </c>
      <c r="I336" t="n">
        <v>0</v>
      </c>
      <c r="J336" t="n">
        <v>0</v>
      </c>
      <c r="K336" t="n">
        <v>0</v>
      </c>
      <c r="L336" t="n">
        <v>0</v>
      </c>
      <c r="M336" t="n">
        <v>0</v>
      </c>
      <c r="N336" t="n">
        <v>0</v>
      </c>
      <c r="O336" t="n">
        <v>0</v>
      </c>
      <c r="P336" t="n">
        <v>0</v>
      </c>
      <c r="Q336" t="n">
        <v>0</v>
      </c>
      <c r="R336" s="2" t="inlineStr"/>
    </row>
    <row r="337" ht="15" customHeight="1">
      <c r="A337" t="inlineStr">
        <is>
          <t>A 49601-2024</t>
        </is>
      </c>
      <c r="B337" s="1" t="n">
        <v>45596.56288194445</v>
      </c>
      <c r="C337" s="1" t="n">
        <v>45899</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3550-2023</t>
        </is>
      </c>
      <c r="B338" s="1" t="n">
        <v>44950</v>
      </c>
      <c r="C338" s="1" t="n">
        <v>45899</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18583-2021</t>
        </is>
      </c>
      <c r="B339" s="1" t="n">
        <v>44306</v>
      </c>
      <c r="C339" s="1" t="n">
        <v>45899</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60125-2024</t>
        </is>
      </c>
      <c r="B340" s="1" t="n">
        <v>45642</v>
      </c>
      <c r="C340" s="1" t="n">
        <v>45899</v>
      </c>
      <c r="D340" t="inlineStr">
        <is>
          <t>UPPSALA LÄN</t>
        </is>
      </c>
      <c r="E340" t="inlineStr">
        <is>
          <t>ENKÖPING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37296-2025</t>
        </is>
      </c>
      <c r="B341" s="1" t="n">
        <v>45876</v>
      </c>
      <c r="C341" s="1" t="n">
        <v>45899</v>
      </c>
      <c r="D341" t="inlineStr">
        <is>
          <t>UPPSALA LÄN</t>
        </is>
      </c>
      <c r="E341" t="inlineStr">
        <is>
          <t>ENKÖPING</t>
        </is>
      </c>
      <c r="G341" t="n">
        <v>9.5</v>
      </c>
      <c r="H341" t="n">
        <v>0</v>
      </c>
      <c r="I341" t="n">
        <v>0</v>
      </c>
      <c r="J341" t="n">
        <v>0</v>
      </c>
      <c r="K341" t="n">
        <v>0</v>
      </c>
      <c r="L341" t="n">
        <v>0</v>
      </c>
      <c r="M341" t="n">
        <v>0</v>
      </c>
      <c r="N341" t="n">
        <v>0</v>
      </c>
      <c r="O341" t="n">
        <v>0</v>
      </c>
      <c r="P341" t="n">
        <v>0</v>
      </c>
      <c r="Q341" t="n">
        <v>0</v>
      </c>
      <c r="R341" s="2" t="inlineStr"/>
    </row>
    <row r="342" ht="15" customHeight="1">
      <c r="A342" t="inlineStr">
        <is>
          <t>A 37319-2025</t>
        </is>
      </c>
      <c r="B342" s="1" t="n">
        <v>45876</v>
      </c>
      <c r="C342" s="1" t="n">
        <v>45899</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45899</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26292-2022</t>
        </is>
      </c>
      <c r="B344" s="1" t="n">
        <v>44735</v>
      </c>
      <c r="C344" s="1" t="n">
        <v>45899</v>
      </c>
      <c r="D344" t="inlineStr">
        <is>
          <t>UPPSALA LÄN</t>
        </is>
      </c>
      <c r="E344" t="inlineStr">
        <is>
          <t>ENKÖPING</t>
        </is>
      </c>
      <c r="F344" t="inlineStr">
        <is>
          <t>Kyrkan</t>
        </is>
      </c>
      <c r="G344" t="n">
        <v>4.6</v>
      </c>
      <c r="H344" t="n">
        <v>0</v>
      </c>
      <c r="I344" t="n">
        <v>0</v>
      </c>
      <c r="J344" t="n">
        <v>0</v>
      </c>
      <c r="K344" t="n">
        <v>0</v>
      </c>
      <c r="L344" t="n">
        <v>0</v>
      </c>
      <c r="M344" t="n">
        <v>0</v>
      </c>
      <c r="N344" t="n">
        <v>0</v>
      </c>
      <c r="O344" t="n">
        <v>0</v>
      </c>
      <c r="P344" t="n">
        <v>0</v>
      </c>
      <c r="Q344" t="n">
        <v>0</v>
      </c>
      <c r="R344" s="2" t="inlineStr"/>
    </row>
    <row r="345" ht="15" customHeight="1">
      <c r="A345" t="inlineStr">
        <is>
          <t>A 1695-2025</t>
        </is>
      </c>
      <c r="B345" s="1" t="n">
        <v>45670</v>
      </c>
      <c r="C345" s="1" t="n">
        <v>45899</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59027-2024</t>
        </is>
      </c>
      <c r="B346" s="1" t="n">
        <v>45636.68755787037</v>
      </c>
      <c r="C346" s="1" t="n">
        <v>45899</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45899</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39439-2025</t>
        </is>
      </c>
      <c r="B348" s="1" t="n">
        <v>45889</v>
      </c>
      <c r="C348" s="1" t="n">
        <v>45899</v>
      </c>
      <c r="D348" t="inlineStr">
        <is>
          <t>UPPSALA LÄN</t>
        </is>
      </c>
      <c r="E348" t="inlineStr">
        <is>
          <t>ENKÖPING</t>
        </is>
      </c>
      <c r="G348" t="n">
        <v>0.4</v>
      </c>
      <c r="H348" t="n">
        <v>0</v>
      </c>
      <c r="I348" t="n">
        <v>0</v>
      </c>
      <c r="J348" t="n">
        <v>0</v>
      </c>
      <c r="K348" t="n">
        <v>0</v>
      </c>
      <c r="L348" t="n">
        <v>0</v>
      </c>
      <c r="M348" t="n">
        <v>0</v>
      </c>
      <c r="N348" t="n">
        <v>0</v>
      </c>
      <c r="O348" t="n">
        <v>0</v>
      </c>
      <c r="P348" t="n">
        <v>0</v>
      </c>
      <c r="Q348" t="n">
        <v>0</v>
      </c>
      <c r="R348" s="2" t="inlineStr"/>
    </row>
    <row r="349" ht="15" customHeight="1">
      <c r="A349" t="inlineStr">
        <is>
          <t>A 34990-2025</t>
        </is>
      </c>
      <c r="B349" s="1" t="n">
        <v>45849.78916666667</v>
      </c>
      <c r="C349" s="1" t="n">
        <v>45899</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42564-2024</t>
        </is>
      </c>
      <c r="B350" s="1" t="n">
        <v>45565.63358796296</v>
      </c>
      <c r="C350" s="1" t="n">
        <v>45899</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61207-2023</t>
        </is>
      </c>
      <c r="B351" s="1" t="n">
        <v>45264.39444444444</v>
      </c>
      <c r="C351" s="1" t="n">
        <v>45899</v>
      </c>
      <c r="D351" t="inlineStr">
        <is>
          <t>UPPSALA LÄN</t>
        </is>
      </c>
      <c r="E351" t="inlineStr">
        <is>
          <t>ENKÖPING</t>
        </is>
      </c>
      <c r="G351" t="n">
        <v>10.8</v>
      </c>
      <c r="H351" t="n">
        <v>0</v>
      </c>
      <c r="I351" t="n">
        <v>0</v>
      </c>
      <c r="J351" t="n">
        <v>0</v>
      </c>
      <c r="K351" t="n">
        <v>0</v>
      </c>
      <c r="L351" t="n">
        <v>0</v>
      </c>
      <c r="M351" t="n">
        <v>0</v>
      </c>
      <c r="N351" t="n">
        <v>0</v>
      </c>
      <c r="O351" t="n">
        <v>0</v>
      </c>
      <c r="P351" t="n">
        <v>0</v>
      </c>
      <c r="Q351" t="n">
        <v>0</v>
      </c>
      <c r="R351" s="2" t="inlineStr"/>
    </row>
    <row r="352" ht="15" customHeight="1">
      <c r="A352" t="inlineStr">
        <is>
          <t>A 3235-2025</t>
        </is>
      </c>
      <c r="B352" s="1" t="n">
        <v>45679</v>
      </c>
      <c r="C352" s="1" t="n">
        <v>45899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17844-2025</t>
        </is>
      </c>
      <c r="B353" s="1" t="n">
        <v>45758.59920138889</v>
      </c>
      <c r="C353" s="1" t="n">
        <v>45899</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15711-2025</t>
        </is>
      </c>
      <c r="B354" s="1" t="n">
        <v>45748</v>
      </c>
      <c r="C354" s="1" t="n">
        <v>45899</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840-2025</t>
        </is>
      </c>
      <c r="B355" s="1" t="n">
        <v>45665</v>
      </c>
      <c r="C355" s="1" t="n">
        <v>45899</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4562-2025</t>
        </is>
      </c>
      <c r="B356" s="1" t="n">
        <v>45687</v>
      </c>
      <c r="C356" s="1" t="n">
        <v>45899</v>
      </c>
      <c r="D356" t="inlineStr">
        <is>
          <t>UPPSALA LÄN</t>
        </is>
      </c>
      <c r="E356" t="inlineStr">
        <is>
          <t>ENKÖPING</t>
        </is>
      </c>
      <c r="G356" t="n">
        <v>2.5</v>
      </c>
      <c r="H356" t="n">
        <v>0</v>
      </c>
      <c r="I356" t="n">
        <v>0</v>
      </c>
      <c r="J356" t="n">
        <v>0</v>
      </c>
      <c r="K356" t="n">
        <v>0</v>
      </c>
      <c r="L356" t="n">
        <v>0</v>
      </c>
      <c r="M356" t="n">
        <v>0</v>
      </c>
      <c r="N356" t="n">
        <v>0</v>
      </c>
      <c r="O356" t="n">
        <v>0</v>
      </c>
      <c r="P356" t="n">
        <v>0</v>
      </c>
      <c r="Q356" t="n">
        <v>0</v>
      </c>
      <c r="R356" s="2" t="inlineStr"/>
    </row>
    <row r="357" ht="15" customHeight="1">
      <c r="A357" t="inlineStr">
        <is>
          <t>A 6959-2025</t>
        </is>
      </c>
      <c r="B357" s="1" t="n">
        <v>45701.49315972222</v>
      </c>
      <c r="C357" s="1" t="n">
        <v>45899</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10458-2022</t>
        </is>
      </c>
      <c r="B358" s="1" t="n">
        <v>44623.56711805556</v>
      </c>
      <c r="C358" s="1" t="n">
        <v>45899</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27837-2025</t>
        </is>
      </c>
      <c r="B359" s="1" t="n">
        <v>45817.37207175926</v>
      </c>
      <c r="C359" s="1" t="n">
        <v>45899</v>
      </c>
      <c r="D359" t="inlineStr">
        <is>
          <t>UPPSALA LÄN</t>
        </is>
      </c>
      <c r="E359" t="inlineStr">
        <is>
          <t>ENKÖPING</t>
        </is>
      </c>
      <c r="G359" t="n">
        <v>7.3</v>
      </c>
      <c r="H359" t="n">
        <v>0</v>
      </c>
      <c r="I359" t="n">
        <v>0</v>
      </c>
      <c r="J359" t="n">
        <v>0</v>
      </c>
      <c r="K359" t="n">
        <v>0</v>
      </c>
      <c r="L359" t="n">
        <v>0</v>
      </c>
      <c r="M359" t="n">
        <v>0</v>
      </c>
      <c r="N359" t="n">
        <v>0</v>
      </c>
      <c r="O359" t="n">
        <v>0</v>
      </c>
      <c r="P359" t="n">
        <v>0</v>
      </c>
      <c r="Q359" t="n">
        <v>0</v>
      </c>
      <c r="R359" s="2" t="inlineStr"/>
    </row>
    <row r="360" ht="15" customHeight="1">
      <c r="A360" t="inlineStr">
        <is>
          <t>A 67765-2020</t>
        </is>
      </c>
      <c r="B360" s="1" t="n">
        <v>44182</v>
      </c>
      <c r="C360" s="1" t="n">
        <v>45899</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45142-2023</t>
        </is>
      </c>
      <c r="B361" s="1" t="n">
        <v>45191.4702662037</v>
      </c>
      <c r="C361" s="1" t="n">
        <v>45899</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39746-2025</t>
        </is>
      </c>
      <c r="B362" s="1" t="n">
        <v>45891</v>
      </c>
      <c r="C362" s="1" t="n">
        <v>45899</v>
      </c>
      <c r="D362" t="inlineStr">
        <is>
          <t>UPPSALA LÄN</t>
        </is>
      </c>
      <c r="E362" t="inlineStr">
        <is>
          <t>ENKÖPING</t>
        </is>
      </c>
      <c r="G362" t="n">
        <v>7.4</v>
      </c>
      <c r="H362" t="n">
        <v>0</v>
      </c>
      <c r="I362" t="n">
        <v>0</v>
      </c>
      <c r="J362" t="n">
        <v>0</v>
      </c>
      <c r="K362" t="n">
        <v>0</v>
      </c>
      <c r="L362" t="n">
        <v>0</v>
      </c>
      <c r="M362" t="n">
        <v>0</v>
      </c>
      <c r="N362" t="n">
        <v>0</v>
      </c>
      <c r="O362" t="n">
        <v>0</v>
      </c>
      <c r="P362" t="n">
        <v>0</v>
      </c>
      <c r="Q362" t="n">
        <v>0</v>
      </c>
      <c r="R362" s="2" t="inlineStr"/>
    </row>
    <row r="363" ht="15" customHeight="1">
      <c r="A363" t="inlineStr">
        <is>
          <t>A 29513-2025</t>
        </is>
      </c>
      <c r="B363" s="1" t="n">
        <v>45825</v>
      </c>
      <c r="C363" s="1" t="n">
        <v>45899</v>
      </c>
      <c r="D363" t="inlineStr">
        <is>
          <t>UPPSALA LÄN</t>
        </is>
      </c>
      <c r="E363" t="inlineStr">
        <is>
          <t>ENKÖPING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17165-2025</t>
        </is>
      </c>
      <c r="B364" s="1" t="n">
        <v>45756</v>
      </c>
      <c r="C364" s="1" t="n">
        <v>45899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57998-2024</t>
        </is>
      </c>
      <c r="B365" s="1" t="n">
        <v>45631</v>
      </c>
      <c r="C365" s="1" t="n">
        <v>45899</v>
      </c>
      <c r="D365" t="inlineStr">
        <is>
          <t>UPPSALA LÄN</t>
        </is>
      </c>
      <c r="E365" t="inlineStr">
        <is>
          <t>ENKÖPING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14332-2024</t>
        </is>
      </c>
      <c r="B366" s="1" t="n">
        <v>45393</v>
      </c>
      <c r="C366" s="1" t="n">
        <v>45899</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18831-2023</t>
        </is>
      </c>
      <c r="B367" s="1" t="n">
        <v>45044.40798611111</v>
      </c>
      <c r="C367" s="1" t="n">
        <v>45899</v>
      </c>
      <c r="D367" t="inlineStr">
        <is>
          <t>UPPSALA LÄN</t>
        </is>
      </c>
      <c r="E367" t="inlineStr">
        <is>
          <t>ENKÖPING</t>
        </is>
      </c>
      <c r="G367" t="n">
        <v>4.3</v>
      </c>
      <c r="H367" t="n">
        <v>0</v>
      </c>
      <c r="I367" t="n">
        <v>0</v>
      </c>
      <c r="J367" t="n">
        <v>0</v>
      </c>
      <c r="K367" t="n">
        <v>0</v>
      </c>
      <c r="L367" t="n">
        <v>0</v>
      </c>
      <c r="M367" t="n">
        <v>0</v>
      </c>
      <c r="N367" t="n">
        <v>0</v>
      </c>
      <c r="O367" t="n">
        <v>0</v>
      </c>
      <c r="P367" t="n">
        <v>0</v>
      </c>
      <c r="Q367" t="n">
        <v>0</v>
      </c>
      <c r="R367" s="2" t="inlineStr"/>
    </row>
    <row r="368" ht="15" customHeight="1">
      <c r="A368" t="inlineStr">
        <is>
          <t>A 52299-2023</t>
        </is>
      </c>
      <c r="B368" s="1" t="n">
        <v>45224.61636574074</v>
      </c>
      <c r="C368" s="1" t="n">
        <v>45899</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25598-2021</t>
        </is>
      </c>
      <c r="B369" s="1" t="n">
        <v>44343.4558912037</v>
      </c>
      <c r="C369" s="1" t="n">
        <v>45899</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32081-2024</t>
        </is>
      </c>
      <c r="B370" s="1" t="n">
        <v>45511.34605324074</v>
      </c>
      <c r="C370" s="1" t="n">
        <v>45899</v>
      </c>
      <c r="D370" t="inlineStr">
        <is>
          <t>UPPSALA LÄN</t>
        </is>
      </c>
      <c r="E370" t="inlineStr">
        <is>
          <t>ENKÖPING</t>
        </is>
      </c>
      <c r="G370" t="n">
        <v>5.4</v>
      </c>
      <c r="H370" t="n">
        <v>0</v>
      </c>
      <c r="I370" t="n">
        <v>0</v>
      </c>
      <c r="J370" t="n">
        <v>0</v>
      </c>
      <c r="K370" t="n">
        <v>0</v>
      </c>
      <c r="L370" t="n">
        <v>0</v>
      </c>
      <c r="M370" t="n">
        <v>0</v>
      </c>
      <c r="N370" t="n">
        <v>0</v>
      </c>
      <c r="O370" t="n">
        <v>0</v>
      </c>
      <c r="P370" t="n">
        <v>0</v>
      </c>
      <c r="Q370" t="n">
        <v>0</v>
      </c>
      <c r="R370" s="2" t="inlineStr"/>
    </row>
    <row r="371" ht="15" customHeight="1">
      <c r="A371" t="inlineStr">
        <is>
          <t>A 20184-2023</t>
        </is>
      </c>
      <c r="B371" s="1" t="n">
        <v>45055.5670949074</v>
      </c>
      <c r="C371" s="1" t="n">
        <v>45899</v>
      </c>
      <c r="D371" t="inlineStr">
        <is>
          <t>UPPSALA LÄN</t>
        </is>
      </c>
      <c r="E371" t="inlineStr">
        <is>
          <t>ENKÖPING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33581-2023</t>
        </is>
      </c>
      <c r="B372" s="1" t="n">
        <v>45131</v>
      </c>
      <c r="C372" s="1" t="n">
        <v>45899</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61952-2021</t>
        </is>
      </c>
      <c r="B373" s="1" t="n">
        <v>44502</v>
      </c>
      <c r="C373" s="1" t="n">
        <v>45899</v>
      </c>
      <c r="D373" t="inlineStr">
        <is>
          <t>UPPSALA LÄN</t>
        </is>
      </c>
      <c r="E373" t="inlineStr">
        <is>
          <t>ENKÖPING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58896-2020</t>
        </is>
      </c>
      <c r="B374" s="1" t="n">
        <v>44146</v>
      </c>
      <c r="C374" s="1" t="n">
        <v>45899</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59602-2022</t>
        </is>
      </c>
      <c r="B375" s="1" t="n">
        <v>44907.72241898148</v>
      </c>
      <c r="C375" s="1" t="n">
        <v>45899</v>
      </c>
      <c r="D375" t="inlineStr">
        <is>
          <t>UPPSALA LÄN</t>
        </is>
      </c>
      <c r="E375" t="inlineStr">
        <is>
          <t>ENKÖPING</t>
        </is>
      </c>
      <c r="G375" t="n">
        <v>14.2</v>
      </c>
      <c r="H375" t="n">
        <v>0</v>
      </c>
      <c r="I375" t="n">
        <v>0</v>
      </c>
      <c r="J375" t="n">
        <v>0</v>
      </c>
      <c r="K375" t="n">
        <v>0</v>
      </c>
      <c r="L375" t="n">
        <v>0</v>
      </c>
      <c r="M375" t="n">
        <v>0</v>
      </c>
      <c r="N375" t="n">
        <v>0</v>
      </c>
      <c r="O375" t="n">
        <v>0</v>
      </c>
      <c r="P375" t="n">
        <v>0</v>
      </c>
      <c r="Q375" t="n">
        <v>0</v>
      </c>
      <c r="R375" s="2" t="inlineStr"/>
    </row>
    <row r="376" ht="15" customHeight="1">
      <c r="A376" t="inlineStr">
        <is>
          <t>A 42589-2022</t>
        </is>
      </c>
      <c r="B376" s="1" t="n">
        <v>44831</v>
      </c>
      <c r="C376" s="1" t="n">
        <v>45899</v>
      </c>
      <c r="D376" t="inlineStr">
        <is>
          <t>UPPSALA LÄN</t>
        </is>
      </c>
      <c r="E376" t="inlineStr">
        <is>
          <t>ENKÖPING</t>
        </is>
      </c>
      <c r="G376" t="n">
        <v>20</v>
      </c>
      <c r="H376" t="n">
        <v>0</v>
      </c>
      <c r="I376" t="n">
        <v>0</v>
      </c>
      <c r="J376" t="n">
        <v>0</v>
      </c>
      <c r="K376" t="n">
        <v>0</v>
      </c>
      <c r="L376" t="n">
        <v>0</v>
      </c>
      <c r="M376" t="n">
        <v>0</v>
      </c>
      <c r="N376" t="n">
        <v>0</v>
      </c>
      <c r="O376" t="n">
        <v>0</v>
      </c>
      <c r="P376" t="n">
        <v>0</v>
      </c>
      <c r="Q376" t="n">
        <v>0</v>
      </c>
      <c r="R376" s="2" t="inlineStr"/>
    </row>
    <row r="377" ht="15" customHeight="1">
      <c r="A377" t="inlineStr">
        <is>
          <t>A 35645-2021</t>
        </is>
      </c>
      <c r="B377" s="1" t="n">
        <v>44386.42</v>
      </c>
      <c r="C377" s="1" t="n">
        <v>45899</v>
      </c>
      <c r="D377" t="inlineStr">
        <is>
          <t>UPPSALA LÄN</t>
        </is>
      </c>
      <c r="E377" t="inlineStr">
        <is>
          <t>ENKÖPING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37115-2024</t>
        </is>
      </c>
      <c r="B378" s="1" t="n">
        <v>45539</v>
      </c>
      <c r="C378" s="1" t="n">
        <v>45899</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2968-2025</t>
        </is>
      </c>
      <c r="B379" s="1" t="n">
        <v>45678</v>
      </c>
      <c r="C379" s="1" t="n">
        <v>45899</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58062-2020</t>
        </is>
      </c>
      <c r="B380" s="1" t="n">
        <v>44144</v>
      </c>
      <c r="C380" s="1" t="n">
        <v>45899</v>
      </c>
      <c r="D380" t="inlineStr">
        <is>
          <t>UPPSALA LÄN</t>
        </is>
      </c>
      <c r="E380" t="inlineStr">
        <is>
          <t>ENKÖPING</t>
        </is>
      </c>
      <c r="G380" t="n">
        <v>2.3</v>
      </c>
      <c r="H380" t="n">
        <v>0</v>
      </c>
      <c r="I380" t="n">
        <v>0</v>
      </c>
      <c r="J380" t="n">
        <v>0</v>
      </c>
      <c r="K380" t="n">
        <v>0</v>
      </c>
      <c r="L380" t="n">
        <v>0</v>
      </c>
      <c r="M380" t="n">
        <v>0</v>
      </c>
      <c r="N380" t="n">
        <v>0</v>
      </c>
      <c r="O380" t="n">
        <v>0</v>
      </c>
      <c r="P380" t="n">
        <v>0</v>
      </c>
      <c r="Q380" t="n">
        <v>0</v>
      </c>
      <c r="R380" s="2" t="inlineStr"/>
    </row>
    <row r="381" ht="15" customHeight="1">
      <c r="A381" t="inlineStr">
        <is>
          <t>A 9487-2025</t>
        </is>
      </c>
      <c r="B381" s="1" t="n">
        <v>45715.49331018519</v>
      </c>
      <c r="C381" s="1" t="n">
        <v>45899</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16176-2025</t>
        </is>
      </c>
      <c r="B382" s="1" t="n">
        <v>45750</v>
      </c>
      <c r="C382" s="1" t="n">
        <v>45899</v>
      </c>
      <c r="D382" t="inlineStr">
        <is>
          <t>UPPSALA LÄN</t>
        </is>
      </c>
      <c r="E382" t="inlineStr">
        <is>
          <t>ENKÖPING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6147-2021</t>
        </is>
      </c>
      <c r="B383" s="1" t="n">
        <v>44232</v>
      </c>
      <c r="C383" s="1" t="n">
        <v>45899</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45899</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37035-2023</t>
        </is>
      </c>
      <c r="B385" s="1" t="n">
        <v>45155</v>
      </c>
      <c r="C385" s="1" t="n">
        <v>45899</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46186-2023</t>
        </is>
      </c>
      <c r="B386" s="1" t="n">
        <v>45196</v>
      </c>
      <c r="C386" s="1" t="n">
        <v>45899</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45899</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18028-2023</t>
        </is>
      </c>
      <c r="B388" s="1" t="n">
        <v>45040</v>
      </c>
      <c r="C388" s="1" t="n">
        <v>45899</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18299-2025</t>
        </is>
      </c>
      <c r="B389" s="1" t="n">
        <v>45762</v>
      </c>
      <c r="C389" s="1" t="n">
        <v>45899</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6242-2025</t>
        </is>
      </c>
      <c r="B390" s="1" t="n">
        <v>45697</v>
      </c>
      <c r="C390" s="1" t="n">
        <v>45899</v>
      </c>
      <c r="D390" t="inlineStr">
        <is>
          <t>UPPSALA LÄN</t>
        </is>
      </c>
      <c r="E390" t="inlineStr">
        <is>
          <t>ENKÖPING</t>
        </is>
      </c>
      <c r="G390" t="n">
        <v>17.9</v>
      </c>
      <c r="H390" t="n">
        <v>0</v>
      </c>
      <c r="I390" t="n">
        <v>0</v>
      </c>
      <c r="J390" t="n">
        <v>0</v>
      </c>
      <c r="K390" t="n">
        <v>0</v>
      </c>
      <c r="L390" t="n">
        <v>0</v>
      </c>
      <c r="M390" t="n">
        <v>0</v>
      </c>
      <c r="N390" t="n">
        <v>0</v>
      </c>
      <c r="O390" t="n">
        <v>0</v>
      </c>
      <c r="P390" t="n">
        <v>0</v>
      </c>
      <c r="Q390" t="n">
        <v>0</v>
      </c>
      <c r="R390" s="2" t="inlineStr"/>
    </row>
    <row r="391" ht="15" customHeight="1">
      <c r="A391" t="inlineStr">
        <is>
          <t>A 49568-2022</t>
        </is>
      </c>
      <c r="B391" s="1" t="n">
        <v>44862.32791666667</v>
      </c>
      <c r="C391" s="1" t="n">
        <v>45899</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6144-2024</t>
        </is>
      </c>
      <c r="B392" s="1" t="n">
        <v>45337.4684837963</v>
      </c>
      <c r="C392" s="1" t="n">
        <v>45899</v>
      </c>
      <c r="D392" t="inlineStr">
        <is>
          <t>UPPSALA LÄN</t>
        </is>
      </c>
      <c r="E392" t="inlineStr">
        <is>
          <t>ENKÖPING</t>
        </is>
      </c>
      <c r="G392" t="n">
        <v>13.8</v>
      </c>
      <c r="H392" t="n">
        <v>0</v>
      </c>
      <c r="I392" t="n">
        <v>0</v>
      </c>
      <c r="J392" t="n">
        <v>0</v>
      </c>
      <c r="K392" t="n">
        <v>0</v>
      </c>
      <c r="L392" t="n">
        <v>0</v>
      </c>
      <c r="M392" t="n">
        <v>0</v>
      </c>
      <c r="N392" t="n">
        <v>0</v>
      </c>
      <c r="O392" t="n">
        <v>0</v>
      </c>
      <c r="P392" t="n">
        <v>0</v>
      </c>
      <c r="Q392" t="n">
        <v>0</v>
      </c>
      <c r="R392" s="2" t="inlineStr"/>
    </row>
    <row r="393" ht="15" customHeight="1">
      <c r="A393" t="inlineStr">
        <is>
          <t>A 42459-2024</t>
        </is>
      </c>
      <c r="B393" s="1" t="n">
        <v>45565</v>
      </c>
      <c r="C393" s="1" t="n">
        <v>45899</v>
      </c>
      <c r="D393" t="inlineStr">
        <is>
          <t>UPPSALA LÄN</t>
        </is>
      </c>
      <c r="E393" t="inlineStr">
        <is>
          <t>ENKÖPING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67984-2021</t>
        </is>
      </c>
      <c r="B394" s="1" t="n">
        <v>44525.70237268518</v>
      </c>
      <c r="C394" s="1" t="n">
        <v>45899</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46593-2020</t>
        </is>
      </c>
      <c r="B395" s="1" t="n">
        <v>44095</v>
      </c>
      <c r="C395" s="1" t="n">
        <v>45899</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48864-2022</t>
        </is>
      </c>
      <c r="B396" s="1" t="n">
        <v>44859</v>
      </c>
      <c r="C396" s="1" t="n">
        <v>45899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31622-2022</t>
        </is>
      </c>
      <c r="B397" s="1" t="n">
        <v>44775</v>
      </c>
      <c r="C397" s="1" t="n">
        <v>45899</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18592-2021</t>
        </is>
      </c>
      <c r="B398" s="1" t="n">
        <v>44306</v>
      </c>
      <c r="C398" s="1" t="n">
        <v>45899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11918-2025</t>
        </is>
      </c>
      <c r="B399" s="1" t="n">
        <v>45728.49331018519</v>
      </c>
      <c r="C399" s="1" t="n">
        <v>45899</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52169-2020</t>
        </is>
      </c>
      <c r="B400" s="1" t="n">
        <v>44117</v>
      </c>
      <c r="C400" s="1" t="n">
        <v>45899</v>
      </c>
      <c r="D400" t="inlineStr">
        <is>
          <t>UPPSALA LÄN</t>
        </is>
      </c>
      <c r="E400" t="inlineStr">
        <is>
          <t>ENKÖPING</t>
        </is>
      </c>
      <c r="F400" t="inlineStr">
        <is>
          <t>Allmännings- och besparingsskogar</t>
        </is>
      </c>
      <c r="G400" t="n">
        <v>1.5</v>
      </c>
      <c r="H400" t="n">
        <v>0</v>
      </c>
      <c r="I400" t="n">
        <v>0</v>
      </c>
      <c r="J400" t="n">
        <v>0</v>
      </c>
      <c r="K400" t="n">
        <v>0</v>
      </c>
      <c r="L400" t="n">
        <v>0</v>
      </c>
      <c r="M400" t="n">
        <v>0</v>
      </c>
      <c r="N400" t="n">
        <v>0</v>
      </c>
      <c r="O400" t="n">
        <v>0</v>
      </c>
      <c r="P400" t="n">
        <v>0</v>
      </c>
      <c r="Q400" t="n">
        <v>0</v>
      </c>
      <c r="R400" s="2" t="inlineStr"/>
    </row>
    <row r="401" ht="15" customHeight="1">
      <c r="A401" t="inlineStr">
        <is>
          <t>A 66517-2020</t>
        </is>
      </c>
      <c r="B401" s="1" t="n">
        <v>44178</v>
      </c>
      <c r="C401" s="1" t="n">
        <v>45899</v>
      </c>
      <c r="D401" t="inlineStr">
        <is>
          <t>UPPSALA LÄN</t>
        </is>
      </c>
      <c r="E401" t="inlineStr">
        <is>
          <t>ENKÖPING</t>
        </is>
      </c>
      <c r="G401" t="n">
        <v>4</v>
      </c>
      <c r="H401" t="n">
        <v>0</v>
      </c>
      <c r="I401" t="n">
        <v>0</v>
      </c>
      <c r="J401" t="n">
        <v>0</v>
      </c>
      <c r="K401" t="n">
        <v>0</v>
      </c>
      <c r="L401" t="n">
        <v>0</v>
      </c>
      <c r="M401" t="n">
        <v>0</v>
      </c>
      <c r="N401" t="n">
        <v>0</v>
      </c>
      <c r="O401" t="n">
        <v>0</v>
      </c>
      <c r="P401" t="n">
        <v>0</v>
      </c>
      <c r="Q401" t="n">
        <v>0</v>
      </c>
      <c r="R401" s="2" t="inlineStr"/>
    </row>
    <row r="402" ht="15" customHeight="1">
      <c r="A402" t="inlineStr">
        <is>
          <t>A 6356-2022</t>
        </is>
      </c>
      <c r="B402" s="1" t="n">
        <v>44600</v>
      </c>
      <c r="C402" s="1" t="n">
        <v>45899</v>
      </c>
      <c r="D402" t="inlineStr">
        <is>
          <t>UPPSALA LÄN</t>
        </is>
      </c>
      <c r="E402" t="inlineStr">
        <is>
          <t>ENKÖPING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43896-2022</t>
        </is>
      </c>
      <c r="B403" s="1" t="n">
        <v>44838</v>
      </c>
      <c r="C403" s="1" t="n">
        <v>45899</v>
      </c>
      <c r="D403" t="inlineStr">
        <is>
          <t>UPPSALA LÄN</t>
        </is>
      </c>
      <c r="E403" t="inlineStr">
        <is>
          <t>ENKÖPING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20440-2025</t>
        </is>
      </c>
      <c r="B404" s="1" t="n">
        <v>45775</v>
      </c>
      <c r="C404" s="1" t="n">
        <v>45899</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57147-2021</t>
        </is>
      </c>
      <c r="B405" s="1" t="n">
        <v>44482</v>
      </c>
      <c r="C405" s="1" t="n">
        <v>45899</v>
      </c>
      <c r="D405" t="inlineStr">
        <is>
          <t>UPPSALA LÄN</t>
        </is>
      </c>
      <c r="E405" t="inlineStr">
        <is>
          <t>ENKÖPING</t>
        </is>
      </c>
      <c r="G405" t="n">
        <v>5.7</v>
      </c>
      <c r="H405" t="n">
        <v>0</v>
      </c>
      <c r="I405" t="n">
        <v>0</v>
      </c>
      <c r="J405" t="n">
        <v>0</v>
      </c>
      <c r="K405" t="n">
        <v>0</v>
      </c>
      <c r="L405" t="n">
        <v>0</v>
      </c>
      <c r="M405" t="n">
        <v>0</v>
      </c>
      <c r="N405" t="n">
        <v>0</v>
      </c>
      <c r="O405" t="n">
        <v>0</v>
      </c>
      <c r="P405" t="n">
        <v>0</v>
      </c>
      <c r="Q405" t="n">
        <v>0</v>
      </c>
      <c r="R405" s="2" t="inlineStr"/>
    </row>
    <row r="406" ht="15" customHeight="1">
      <c r="A406" t="inlineStr">
        <is>
          <t>A 61711-2020</t>
        </is>
      </c>
      <c r="B406" s="1" t="n">
        <v>44158</v>
      </c>
      <c r="C406" s="1" t="n">
        <v>45899</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41737-2022</t>
        </is>
      </c>
      <c r="B407" s="1" t="n">
        <v>44827.63826388889</v>
      </c>
      <c r="C407" s="1" t="n">
        <v>45899</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54595-2021</t>
        </is>
      </c>
      <c r="B408" s="1" t="n">
        <v>44473.58824074074</v>
      </c>
      <c r="C408" s="1" t="n">
        <v>45899</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22094-2023</t>
        </is>
      </c>
      <c r="B409" s="1" t="n">
        <v>45069</v>
      </c>
      <c r="C409" s="1" t="n">
        <v>45899</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47909-2024</t>
        </is>
      </c>
      <c r="B410" s="1" t="n">
        <v>45589.31866898148</v>
      </c>
      <c r="C410" s="1" t="n">
        <v>45899</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35647-2021</t>
        </is>
      </c>
      <c r="B411" s="1" t="n">
        <v>44386</v>
      </c>
      <c r="C411" s="1" t="n">
        <v>45899</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6157-2021</t>
        </is>
      </c>
      <c r="B412" s="1" t="n">
        <v>44232</v>
      </c>
      <c r="C412" s="1" t="n">
        <v>45899</v>
      </c>
      <c r="D412" t="inlineStr">
        <is>
          <t>UPPSALA LÄN</t>
        </is>
      </c>
      <c r="E412" t="inlineStr">
        <is>
          <t>ENKÖPING</t>
        </is>
      </c>
      <c r="G412" t="n">
        <v>3.9</v>
      </c>
      <c r="H412" t="n">
        <v>0</v>
      </c>
      <c r="I412" t="n">
        <v>0</v>
      </c>
      <c r="J412" t="n">
        <v>0</v>
      </c>
      <c r="K412" t="n">
        <v>0</v>
      </c>
      <c r="L412" t="n">
        <v>0</v>
      </c>
      <c r="M412" t="n">
        <v>0</v>
      </c>
      <c r="N412" t="n">
        <v>0</v>
      </c>
      <c r="O412" t="n">
        <v>0</v>
      </c>
      <c r="P412" t="n">
        <v>0</v>
      </c>
      <c r="Q412" t="n">
        <v>0</v>
      </c>
      <c r="R412" s="2" t="inlineStr"/>
    </row>
    <row r="413" ht="15" customHeight="1">
      <c r="A413" t="inlineStr">
        <is>
          <t>A 52005-2024</t>
        </is>
      </c>
      <c r="B413" s="1" t="n">
        <v>45607.7627662037</v>
      </c>
      <c r="C413" s="1" t="n">
        <v>45899</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24962-2023</t>
        </is>
      </c>
      <c r="B414" s="1" t="n">
        <v>45085.60123842592</v>
      </c>
      <c r="C414" s="1" t="n">
        <v>45899</v>
      </c>
      <c r="D414" t="inlineStr">
        <is>
          <t>UPPSALA LÄN</t>
        </is>
      </c>
      <c r="E414" t="inlineStr">
        <is>
          <t>ENKÖPING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44131-2023</t>
        </is>
      </c>
      <c r="B415" s="1" t="n">
        <v>45188</v>
      </c>
      <c r="C415" s="1" t="n">
        <v>45899</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29482-2022</t>
        </is>
      </c>
      <c r="B416" s="1" t="n">
        <v>44753.57703703704</v>
      </c>
      <c r="C416" s="1" t="n">
        <v>45899</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29483-2022</t>
        </is>
      </c>
      <c r="B417" s="1" t="n">
        <v>44753.57829861111</v>
      </c>
      <c r="C417" s="1" t="n">
        <v>45899</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37170-2021</t>
        </is>
      </c>
      <c r="B418" s="1" t="n">
        <v>44395</v>
      </c>
      <c r="C418" s="1" t="n">
        <v>45899</v>
      </c>
      <c r="D418" t="inlineStr">
        <is>
          <t>UPPSALA LÄN</t>
        </is>
      </c>
      <c r="E418" t="inlineStr">
        <is>
          <t>ENKÖPING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53343-2020</t>
        </is>
      </c>
      <c r="B419" s="1" t="n">
        <v>44123.53505787037</v>
      </c>
      <c r="C419" s="1" t="n">
        <v>45899</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53496-2022</t>
        </is>
      </c>
      <c r="B420" s="1" t="n">
        <v>44879.57217592592</v>
      </c>
      <c r="C420" s="1" t="n">
        <v>45899</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7870-2024</t>
        </is>
      </c>
      <c r="B421" s="1" t="n">
        <v>45350.33349537037</v>
      </c>
      <c r="C421" s="1" t="n">
        <v>45899</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28243-2023</t>
        </is>
      </c>
      <c r="B422" s="1" t="n">
        <v>45099.58885416666</v>
      </c>
      <c r="C422" s="1" t="n">
        <v>45899</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10829-2024</t>
        </is>
      </c>
      <c r="B423" s="1" t="n">
        <v>45369</v>
      </c>
      <c r="C423" s="1" t="n">
        <v>45899</v>
      </c>
      <c r="D423" t="inlineStr">
        <is>
          <t>UPPSALA LÄN</t>
        </is>
      </c>
      <c r="E423" t="inlineStr">
        <is>
          <t>ENKÖPING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2161-2023</t>
        </is>
      </c>
      <c r="B424" s="1" t="n">
        <v>44941</v>
      </c>
      <c r="C424" s="1" t="n">
        <v>45899</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2165-2023</t>
        </is>
      </c>
      <c r="B425" s="1" t="n">
        <v>44941</v>
      </c>
      <c r="C425" s="1" t="n">
        <v>45899</v>
      </c>
      <c r="D425" t="inlineStr">
        <is>
          <t>UPPSALA LÄN</t>
        </is>
      </c>
      <c r="E425" t="inlineStr">
        <is>
          <t>ENKÖPING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8306-2021</t>
        </is>
      </c>
      <c r="B426" s="1" t="n">
        <v>44244</v>
      </c>
      <c r="C426" s="1" t="n">
        <v>45899</v>
      </c>
      <c r="D426" t="inlineStr">
        <is>
          <t>UPPSALA LÄN</t>
        </is>
      </c>
      <c r="E426" t="inlineStr">
        <is>
          <t>ENKÖPING</t>
        </is>
      </c>
      <c r="G426" t="n">
        <v>14.9</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45899</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45899</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45899</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45899</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45899</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49622-2024</t>
        </is>
      </c>
      <c r="B432" s="1" t="n">
        <v>45596.58372685185</v>
      </c>
      <c r="C432" s="1" t="n">
        <v>45899</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2974-2025</t>
        </is>
      </c>
      <c r="B433" s="1" t="n">
        <v>45678.47168981482</v>
      </c>
      <c r="C433" s="1" t="n">
        <v>45899</v>
      </c>
      <c r="D433" t="inlineStr">
        <is>
          <t>UPPSALA LÄN</t>
        </is>
      </c>
      <c r="E433" t="inlineStr">
        <is>
          <t>ENKÖPING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16916-2023</t>
        </is>
      </c>
      <c r="B434" s="1" t="n">
        <v>45033.58347222222</v>
      </c>
      <c r="C434" s="1" t="n">
        <v>45899</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2850-2025</t>
        </is>
      </c>
      <c r="B435" s="1" t="n">
        <v>45677</v>
      </c>
      <c r="C435" s="1" t="n">
        <v>45899</v>
      </c>
      <c r="D435" t="inlineStr">
        <is>
          <t>UPPSALA LÄN</t>
        </is>
      </c>
      <c r="E435" t="inlineStr">
        <is>
          <t>ENKÖPING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16920-2023</t>
        </is>
      </c>
      <c r="B436" s="1" t="n">
        <v>45033.59030092593</v>
      </c>
      <c r="C436" s="1" t="n">
        <v>45899</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13853-2023</t>
        </is>
      </c>
      <c r="B437" s="1" t="n">
        <v>45007</v>
      </c>
      <c r="C437" s="1" t="n">
        <v>45899</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52388-2024</t>
        </is>
      </c>
      <c r="B438" s="1" t="n">
        <v>45609.42939814815</v>
      </c>
      <c r="C438" s="1" t="n">
        <v>45899</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12434-2021</t>
        </is>
      </c>
      <c r="B439" s="1" t="n">
        <v>44267</v>
      </c>
      <c r="C439" s="1" t="n">
        <v>45899</v>
      </c>
      <c r="D439" t="inlineStr">
        <is>
          <t>UPPSALA LÄN</t>
        </is>
      </c>
      <c r="E439" t="inlineStr">
        <is>
          <t>ENKÖPING</t>
        </is>
      </c>
      <c r="G439" t="n">
        <v>5.3</v>
      </c>
      <c r="H439" t="n">
        <v>0</v>
      </c>
      <c r="I439" t="n">
        <v>0</v>
      </c>
      <c r="J439" t="n">
        <v>0</v>
      </c>
      <c r="K439" t="n">
        <v>0</v>
      </c>
      <c r="L439" t="n">
        <v>0</v>
      </c>
      <c r="M439" t="n">
        <v>0</v>
      </c>
      <c r="N439" t="n">
        <v>0</v>
      </c>
      <c r="O439" t="n">
        <v>0</v>
      </c>
      <c r="P439" t="n">
        <v>0</v>
      </c>
      <c r="Q439" t="n">
        <v>0</v>
      </c>
      <c r="R439" s="2" t="inlineStr"/>
    </row>
    <row r="440" ht="15" customHeight="1">
      <c r="A440" t="inlineStr">
        <is>
          <t>A 1992-2022</t>
        </is>
      </c>
      <c r="B440" s="1" t="n">
        <v>44575.56153935185</v>
      </c>
      <c r="C440" s="1" t="n">
        <v>45899</v>
      </c>
      <c r="D440" t="inlineStr">
        <is>
          <t>UPPSALA LÄN</t>
        </is>
      </c>
      <c r="E440" t="inlineStr">
        <is>
          <t>ENKÖPING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6626-2023</t>
        </is>
      </c>
      <c r="B441" s="1" t="n">
        <v>44966.55946759259</v>
      </c>
      <c r="C441" s="1" t="n">
        <v>45899</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48843-2023</t>
        </is>
      </c>
      <c r="B442" s="1" t="n">
        <v>45209</v>
      </c>
      <c r="C442" s="1" t="n">
        <v>45899</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57940-2022</t>
        </is>
      </c>
      <c r="B443" s="1" t="n">
        <v>44900</v>
      </c>
      <c r="C443" s="1" t="n">
        <v>45899</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35079-2024</t>
        </is>
      </c>
      <c r="B444" s="1" t="n">
        <v>45527.66770833333</v>
      </c>
      <c r="C444" s="1" t="n">
        <v>45899</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53595-2023</t>
        </is>
      </c>
      <c r="B445" s="1" t="n">
        <v>45223</v>
      </c>
      <c r="C445" s="1" t="n">
        <v>45899</v>
      </c>
      <c r="D445" t="inlineStr">
        <is>
          <t>UPPSALA LÄN</t>
        </is>
      </c>
      <c r="E445" t="inlineStr">
        <is>
          <t>ENKÖPING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60533-2021</t>
        </is>
      </c>
      <c r="B446" s="1" t="n">
        <v>44496</v>
      </c>
      <c r="C446" s="1" t="n">
        <v>45899</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15757-2023</t>
        </is>
      </c>
      <c r="B447" s="1" t="n">
        <v>45021</v>
      </c>
      <c r="C447" s="1" t="n">
        <v>45899</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43230-2023</t>
        </is>
      </c>
      <c r="B448" s="1" t="n">
        <v>45183</v>
      </c>
      <c r="C448" s="1" t="n">
        <v>45899</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56886-2023</t>
        </is>
      </c>
      <c r="B449" s="1" t="n">
        <v>45239</v>
      </c>
      <c r="C449" s="1" t="n">
        <v>45899</v>
      </c>
      <c r="D449" t="inlineStr">
        <is>
          <t>UPPSALA LÄN</t>
        </is>
      </c>
      <c r="E449" t="inlineStr">
        <is>
          <t>ENKÖPING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51011-2024</t>
        </is>
      </c>
      <c r="B450" s="1" t="n">
        <v>45603.39427083333</v>
      </c>
      <c r="C450" s="1" t="n">
        <v>45899</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12102-2024</t>
        </is>
      </c>
      <c r="B451" s="1" t="n">
        <v>45377</v>
      </c>
      <c r="C451" s="1" t="n">
        <v>45899</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58961-2024</t>
        </is>
      </c>
      <c r="B452" s="1" t="n">
        <v>45636.585</v>
      </c>
      <c r="C452" s="1" t="n">
        <v>45899</v>
      </c>
      <c r="D452" t="inlineStr">
        <is>
          <t>UPPSALA LÄN</t>
        </is>
      </c>
      <c r="E452" t="inlineStr">
        <is>
          <t>ENKÖPING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45283-2022</t>
        </is>
      </c>
      <c r="B453" s="1" t="n">
        <v>44844</v>
      </c>
      <c r="C453" s="1" t="n">
        <v>45899</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845-2025</t>
        </is>
      </c>
      <c r="B454" s="1" t="n">
        <v>45665</v>
      </c>
      <c r="C454" s="1" t="n">
        <v>45899</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849-2025</t>
        </is>
      </c>
      <c r="B455" s="1" t="n">
        <v>45665</v>
      </c>
      <c r="C455" s="1" t="n">
        <v>45899</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58147-2024</t>
        </is>
      </c>
      <c r="B456" s="1" t="n">
        <v>45632.4334375</v>
      </c>
      <c r="C456" s="1" t="n">
        <v>45899</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18302-2025</t>
        </is>
      </c>
      <c r="B457" s="1" t="n">
        <v>45762</v>
      </c>
      <c r="C457" s="1" t="n">
        <v>45899</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34735-2023</t>
        </is>
      </c>
      <c r="B458" s="1" t="n">
        <v>45139</v>
      </c>
      <c r="C458" s="1" t="n">
        <v>45899</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30514-2021</t>
        </is>
      </c>
      <c r="B459" s="1" t="n">
        <v>44364</v>
      </c>
      <c r="C459" s="1" t="n">
        <v>45899</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57209-2024</t>
        </is>
      </c>
      <c r="B460" s="1" t="n">
        <v>45629.49311342592</v>
      </c>
      <c r="C460" s="1" t="n">
        <v>45899</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13110-2023</t>
        </is>
      </c>
      <c r="B461" s="1" t="n">
        <v>45001</v>
      </c>
      <c r="C461" s="1" t="n">
        <v>45899</v>
      </c>
      <c r="D461" t="inlineStr">
        <is>
          <t>UPPSALA LÄN</t>
        </is>
      </c>
      <c r="E461" t="inlineStr">
        <is>
          <t>ENKÖPING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49623-2024</t>
        </is>
      </c>
      <c r="B462" s="1" t="n">
        <v>45596</v>
      </c>
      <c r="C462" s="1" t="n">
        <v>45899</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49627-2024</t>
        </is>
      </c>
      <c r="B463" s="1" t="n">
        <v>45596.59140046296</v>
      </c>
      <c r="C463" s="1" t="n">
        <v>45899</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9231-2023</t>
        </is>
      </c>
      <c r="B464" s="1" t="n">
        <v>44980</v>
      </c>
      <c r="C464" s="1" t="n">
        <v>45899</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27538-2023</t>
        </is>
      </c>
      <c r="B465" s="1" t="n">
        <v>45097</v>
      </c>
      <c r="C465" s="1" t="n">
        <v>45899</v>
      </c>
      <c r="D465" t="inlineStr">
        <is>
          <t>UPPSALA LÄN</t>
        </is>
      </c>
      <c r="E465" t="inlineStr">
        <is>
          <t>ENKÖPING</t>
        </is>
      </c>
      <c r="G465" t="n">
        <v>5.8</v>
      </c>
      <c r="H465" t="n">
        <v>0</v>
      </c>
      <c r="I465" t="n">
        <v>0</v>
      </c>
      <c r="J465" t="n">
        <v>0</v>
      </c>
      <c r="K465" t="n">
        <v>0</v>
      </c>
      <c r="L465" t="n">
        <v>0</v>
      </c>
      <c r="M465" t="n">
        <v>0</v>
      </c>
      <c r="N465" t="n">
        <v>0</v>
      </c>
      <c r="O465" t="n">
        <v>0</v>
      </c>
      <c r="P465" t="n">
        <v>0</v>
      </c>
      <c r="Q465" t="n">
        <v>0</v>
      </c>
      <c r="R465" s="2" t="inlineStr"/>
    </row>
    <row r="466" ht="15" customHeight="1">
      <c r="A466" t="inlineStr">
        <is>
          <t>A 18821-2023</t>
        </is>
      </c>
      <c r="B466" s="1" t="n">
        <v>45044.3782175926</v>
      </c>
      <c r="C466" s="1" t="n">
        <v>45899</v>
      </c>
      <c r="D466" t="inlineStr">
        <is>
          <t>UPPSALA LÄN</t>
        </is>
      </c>
      <c r="E466" t="inlineStr">
        <is>
          <t>ENKÖPING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52380-2024</t>
        </is>
      </c>
      <c r="B467" s="1" t="n">
        <v>45609</v>
      </c>
      <c r="C467" s="1" t="n">
        <v>45899</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9041-2023</t>
        </is>
      </c>
      <c r="B468" s="1" t="n">
        <v>44979</v>
      </c>
      <c r="C468" s="1" t="n">
        <v>45899</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27786-2023</t>
        </is>
      </c>
      <c r="B469" s="1" t="n">
        <v>45098</v>
      </c>
      <c r="C469" s="1" t="n">
        <v>45899</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15942-2022</t>
        </is>
      </c>
      <c r="B470" s="1" t="n">
        <v>44664</v>
      </c>
      <c r="C470" s="1" t="n">
        <v>45899</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50006-2023</t>
        </is>
      </c>
      <c r="B471" s="1" t="n">
        <v>45215</v>
      </c>
      <c r="C471" s="1" t="n">
        <v>45899</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53607-2023</t>
        </is>
      </c>
      <c r="B472" s="1" t="n">
        <v>45230</v>
      </c>
      <c r="C472" s="1" t="n">
        <v>45899</v>
      </c>
      <c r="D472" t="inlineStr">
        <is>
          <t>UPPSALA LÄN</t>
        </is>
      </c>
      <c r="E472" t="inlineStr">
        <is>
          <t>ENKÖPING</t>
        </is>
      </c>
      <c r="F472" t="inlineStr">
        <is>
          <t>Allmännings- och besparingsskogar</t>
        </is>
      </c>
      <c r="G472" t="n">
        <v>6.3</v>
      </c>
      <c r="H472" t="n">
        <v>0</v>
      </c>
      <c r="I472" t="n">
        <v>0</v>
      </c>
      <c r="J472" t="n">
        <v>0</v>
      </c>
      <c r="K472" t="n">
        <v>0</v>
      </c>
      <c r="L472" t="n">
        <v>0</v>
      </c>
      <c r="M472" t="n">
        <v>0</v>
      </c>
      <c r="N472" t="n">
        <v>0</v>
      </c>
      <c r="O472" t="n">
        <v>0</v>
      </c>
      <c r="P472" t="n">
        <v>0</v>
      </c>
      <c r="Q472" t="n">
        <v>0</v>
      </c>
      <c r="R472" s="2" t="inlineStr"/>
    </row>
    <row r="473" ht="15" customHeight="1">
      <c r="A473" t="inlineStr">
        <is>
          <t>A 59497-2022</t>
        </is>
      </c>
      <c r="B473" s="1" t="n">
        <v>44907.48258101852</v>
      </c>
      <c r="C473" s="1" t="n">
        <v>45899</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49614-2024</t>
        </is>
      </c>
      <c r="B474" s="1" t="n">
        <v>45596.57716435185</v>
      </c>
      <c r="C474" s="1" t="n">
        <v>45899</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49632-2024</t>
        </is>
      </c>
      <c r="B475" s="1" t="n">
        <v>45596</v>
      </c>
      <c r="C475" s="1" t="n">
        <v>45899</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51027-2024</t>
        </is>
      </c>
      <c r="B476" s="1" t="n">
        <v>45603</v>
      </c>
      <c r="C476" s="1" t="n">
        <v>45899</v>
      </c>
      <c r="D476" t="inlineStr">
        <is>
          <t>UPPSALA LÄN</t>
        </is>
      </c>
      <c r="E476" t="inlineStr">
        <is>
          <t>ENKÖPING</t>
        </is>
      </c>
      <c r="G476" t="n">
        <v>3.5</v>
      </c>
      <c r="H476" t="n">
        <v>0</v>
      </c>
      <c r="I476" t="n">
        <v>0</v>
      </c>
      <c r="J476" t="n">
        <v>0</v>
      </c>
      <c r="K476" t="n">
        <v>0</v>
      </c>
      <c r="L476" t="n">
        <v>0</v>
      </c>
      <c r="M476" t="n">
        <v>0</v>
      </c>
      <c r="N476" t="n">
        <v>0</v>
      </c>
      <c r="O476" t="n">
        <v>0</v>
      </c>
      <c r="P476" t="n">
        <v>0</v>
      </c>
      <c r="Q476" t="n">
        <v>0</v>
      </c>
      <c r="R476" s="2" t="inlineStr"/>
    </row>
    <row r="477" ht="15" customHeight="1">
      <c r="A477" t="inlineStr">
        <is>
          <t>A 51030-2024</t>
        </is>
      </c>
      <c r="B477" s="1" t="n">
        <v>45603</v>
      </c>
      <c r="C477" s="1" t="n">
        <v>45899</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c r="A478" t="inlineStr">
        <is>
          <t>A 15405-2025</t>
        </is>
      </c>
      <c r="B478" s="1" t="n">
        <v>45747.44670138889</v>
      </c>
      <c r="C478" s="1" t="n">
        <v>45899</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2025-08-30T08:32:22Z</dcterms:created>
  <dcterms:modified xmlns:dcterms="http://purl.org/dc/terms/" xmlns:xsi="http://www.w3.org/2001/XMLSchema-instance" xsi:type="dcterms:W3CDTF">2025-08-30T08:32:22Z</dcterms:modified>
</cp:coreProperties>
</file>