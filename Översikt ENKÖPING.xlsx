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46070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46070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46070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46070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46070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46070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46070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46070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46070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46070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46070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4166-2026</t>
        </is>
      </c>
      <c r="B23" s="1" t="n">
        <v>46044.66402777778</v>
      </c>
      <c r="C23" s="1" t="n">
        <v>46070</v>
      </c>
      <c r="D23" t="inlineStr">
        <is>
          <t>UPPSALA LÄN</t>
        </is>
      </c>
      <c r="E23" t="inlineStr">
        <is>
          <t>ENKÖPING</t>
        </is>
      </c>
      <c r="G23" t="n">
        <v>1.7</v>
      </c>
      <c r="H23" t="n">
        <v>1</v>
      </c>
      <c r="I23" t="n">
        <v>0</v>
      </c>
      <c r="J23" t="n">
        <v>1</v>
      </c>
      <c r="K23" t="n">
        <v>0</v>
      </c>
      <c r="L23" t="n">
        <v>0</v>
      </c>
      <c r="M23" t="n">
        <v>0</v>
      </c>
      <c r="N23" t="n">
        <v>0</v>
      </c>
      <c r="O23" t="n">
        <v>1</v>
      </c>
      <c r="P23" t="n">
        <v>0</v>
      </c>
      <c r="Q23" t="n">
        <v>1</v>
      </c>
      <c r="R23" s="2" t="inlineStr">
        <is>
          <t>Gulsparv</t>
        </is>
      </c>
      <c r="S23">
        <f>HYPERLINK("https://klasma.github.io/Logging_0381/artfynd/A 4166-2026 artfynd.xlsx", "A 4166-2026")</f>
        <v/>
      </c>
      <c r="T23">
        <f>HYPERLINK("https://klasma.github.io/Logging_0381/kartor/A 4166-2026 karta.png", "A 4166-2026")</f>
        <v/>
      </c>
      <c r="V23">
        <f>HYPERLINK("https://klasma.github.io/Logging_0381/klagomål/A 4166-2026 FSC-klagomål.docx", "A 4166-2026")</f>
        <v/>
      </c>
      <c r="W23">
        <f>HYPERLINK("https://klasma.github.io/Logging_0381/klagomålsmail/A 4166-2026 FSC-klagomål mail.docx", "A 4166-2026")</f>
        <v/>
      </c>
      <c r="X23">
        <f>HYPERLINK("https://klasma.github.io/Logging_0381/tillsyn/A 4166-2026 tillsynsbegäran.docx", "A 4166-2026")</f>
        <v/>
      </c>
      <c r="Y23">
        <f>HYPERLINK("https://klasma.github.io/Logging_0381/tillsynsmail/A 4166-2026 tillsynsbegäran mail.docx", "A 4166-2026")</f>
        <v/>
      </c>
      <c r="Z23">
        <f>HYPERLINK("https://klasma.github.io/Logging_0381/fåglar/A 4166-2026 prioriterade fågelarter.docx", "A 4166-2026")</f>
        <v/>
      </c>
    </row>
    <row r="24" ht="15" customHeight="1">
      <c r="A24" t="inlineStr">
        <is>
          <t>A 26347-2025</t>
        </is>
      </c>
      <c r="B24" s="1" t="n">
        <v>45805.7403125</v>
      </c>
      <c r="C24" s="1" t="n">
        <v>46070</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46070</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29510-2025</t>
        </is>
      </c>
      <c r="B26" s="1" t="n">
        <v>45825</v>
      </c>
      <c r="C26" s="1" t="n">
        <v>46070</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1524-2023</t>
        </is>
      </c>
      <c r="B27" s="1" t="n">
        <v>44935</v>
      </c>
      <c r="C27" s="1" t="n">
        <v>46070</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46070</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28900-2024</t>
        </is>
      </c>
      <c r="B29" s="1" t="n">
        <v>45480</v>
      </c>
      <c r="C29" s="1" t="n">
        <v>46070</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46070</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46070</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46070</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46070</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46070</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46070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46070</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46070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46070</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46070</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46070</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46070</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46070</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46070</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46070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46070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46070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46070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46070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46070</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46070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46070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46070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46070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46070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46070</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46070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46070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46070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46070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46070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46070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46070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46070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46070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46070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46070</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46070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46070</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46070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46070</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46070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46070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46070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46070</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46070</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46070</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46070</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46070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46070</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46070</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46070</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46070</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15997-2021</t>
        </is>
      </c>
      <c r="B83" s="1" t="n">
        <v>44287</v>
      </c>
      <c r="C83" s="1" t="n">
        <v>46070</v>
      </c>
      <c r="D83" t="inlineStr">
        <is>
          <t>UPPSALA LÄN</t>
        </is>
      </c>
      <c r="E83" t="inlineStr">
        <is>
          <t>ENKÖPING</t>
        </is>
      </c>
      <c r="G83" t="n">
        <v>1.2</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46070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46070</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46070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46070</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46070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46070</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46070</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46070</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46070</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46070</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46070</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46070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46070</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46070</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46070</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46070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46070</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46070</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46070</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46070</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46070</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46070</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46070</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46070</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46070</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46070</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46070</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17657-2025</t>
        </is>
      </c>
      <c r="B111" s="1" t="n">
        <v>45758.35006944444</v>
      </c>
      <c r="C111" s="1" t="n">
        <v>46070</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49568-2022</t>
        </is>
      </c>
      <c r="B112" s="1" t="n">
        <v>44862.32791666667</v>
      </c>
      <c r="C112" s="1" t="n">
        <v>46070</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47681-2024</t>
        </is>
      </c>
      <c r="B113" s="1" t="n">
        <v>45588</v>
      </c>
      <c r="C113" s="1" t="n">
        <v>46070</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53496-2022</t>
        </is>
      </c>
      <c r="B114" s="1" t="n">
        <v>44879.57217592592</v>
      </c>
      <c r="C114" s="1" t="n">
        <v>46070</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27786-2023</t>
        </is>
      </c>
      <c r="B115" s="1" t="n">
        <v>45098</v>
      </c>
      <c r="C115" s="1" t="n">
        <v>46070</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46070</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46070</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48864-2022</t>
        </is>
      </c>
      <c r="B118" s="1" t="n">
        <v>44859</v>
      </c>
      <c r="C118" s="1" t="n">
        <v>46070</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60125-2024</t>
        </is>
      </c>
      <c r="B119" s="1" t="n">
        <v>45642</v>
      </c>
      <c r="C119" s="1" t="n">
        <v>46070</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5211-2024</t>
        </is>
      </c>
      <c r="B120" s="1" t="n">
        <v>45330</v>
      </c>
      <c r="C120" s="1" t="n">
        <v>46070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10468-2025</t>
        </is>
      </c>
      <c r="B121" s="1" t="n">
        <v>45720</v>
      </c>
      <c r="C121" s="1" t="n">
        <v>46070</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10409-2025</t>
        </is>
      </c>
      <c r="B122" s="1" t="n">
        <v>45720.631875</v>
      </c>
      <c r="C122" s="1" t="n">
        <v>46070</v>
      </c>
      <c r="D122" t="inlineStr">
        <is>
          <t>UPPSALA LÄN</t>
        </is>
      </c>
      <c r="E122" t="inlineStr">
        <is>
          <t>ENKÖPING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18299-2025</t>
        </is>
      </c>
      <c r="B123" s="1" t="n">
        <v>45762</v>
      </c>
      <c r="C123" s="1" t="n">
        <v>46070</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6242-2025</t>
        </is>
      </c>
      <c r="B124" s="1" t="n">
        <v>45697</v>
      </c>
      <c r="C124" s="1" t="n">
        <v>46070</v>
      </c>
      <c r="D124" t="inlineStr">
        <is>
          <t>UPPSALA LÄN</t>
        </is>
      </c>
      <c r="E124" t="inlineStr">
        <is>
          <t>ENKÖPING</t>
        </is>
      </c>
      <c r="G124" t="n">
        <v>17.9</v>
      </c>
      <c r="H124" t="n">
        <v>0</v>
      </c>
      <c r="I124" t="n">
        <v>0</v>
      </c>
      <c r="J124" t="n">
        <v>0</v>
      </c>
      <c r="K124" t="n">
        <v>0</v>
      </c>
      <c r="L124" t="n">
        <v>0</v>
      </c>
      <c r="M124" t="n">
        <v>0</v>
      </c>
      <c r="N124" t="n">
        <v>0</v>
      </c>
      <c r="O124" t="n">
        <v>0</v>
      </c>
      <c r="P124" t="n">
        <v>0</v>
      </c>
      <c r="Q124" t="n">
        <v>0</v>
      </c>
      <c r="R124" s="2" t="inlineStr"/>
    </row>
    <row r="125" ht="15" customHeight="1">
      <c r="A125" t="inlineStr">
        <is>
          <t>A 42459-2024</t>
        </is>
      </c>
      <c r="B125" s="1" t="n">
        <v>45565</v>
      </c>
      <c r="C125" s="1" t="n">
        <v>46070</v>
      </c>
      <c r="D125" t="inlineStr">
        <is>
          <t>UPPSALA LÄN</t>
        </is>
      </c>
      <c r="E125" t="inlineStr">
        <is>
          <t>ENKÖPING</t>
        </is>
      </c>
      <c r="G125" t="n">
        <v>3.6</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46070</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6172-2023</t>
        </is>
      </c>
      <c r="B127" s="1" t="n">
        <v>44964.68663194445</v>
      </c>
      <c r="C127" s="1" t="n">
        <v>46070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46070</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14402-2023</t>
        </is>
      </c>
      <c r="B129" s="1" t="n">
        <v>45012</v>
      </c>
      <c r="C129" s="1" t="n">
        <v>46070</v>
      </c>
      <c r="D129" t="inlineStr">
        <is>
          <t>UPPSALA LÄN</t>
        </is>
      </c>
      <c r="E129" t="inlineStr">
        <is>
          <t>ENKÖPING</t>
        </is>
      </c>
      <c r="G129" t="n">
        <v>9.5</v>
      </c>
      <c r="H129" t="n">
        <v>0</v>
      </c>
      <c r="I129" t="n">
        <v>0</v>
      </c>
      <c r="J129" t="n">
        <v>0</v>
      </c>
      <c r="K129" t="n">
        <v>0</v>
      </c>
      <c r="L129" t="n">
        <v>0</v>
      </c>
      <c r="M129" t="n">
        <v>0</v>
      </c>
      <c r="N129" t="n">
        <v>0</v>
      </c>
      <c r="O129" t="n">
        <v>0</v>
      </c>
      <c r="P129" t="n">
        <v>0</v>
      </c>
      <c r="Q129" t="n">
        <v>0</v>
      </c>
      <c r="R129" s="2" t="inlineStr"/>
    </row>
    <row r="130" ht="15" customHeight="1">
      <c r="A130" t="inlineStr">
        <is>
          <t>A 50747-2022</t>
        </is>
      </c>
      <c r="B130" s="1" t="n">
        <v>44867.40162037037</v>
      </c>
      <c r="C130" s="1" t="n">
        <v>46070</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19298-2023</t>
        </is>
      </c>
      <c r="B131" s="1" t="n">
        <v>45048</v>
      </c>
      <c r="C131" s="1" t="n">
        <v>46070</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46070</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15939-2022</t>
        </is>
      </c>
      <c r="B133" s="1" t="n">
        <v>44664</v>
      </c>
      <c r="C133" s="1" t="n">
        <v>46070</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22793-2025</t>
        </is>
      </c>
      <c r="B134" s="1" t="n">
        <v>45789.65693287037</v>
      </c>
      <c r="C134" s="1" t="n">
        <v>46070</v>
      </c>
      <c r="D134" t="inlineStr">
        <is>
          <t>UPPSALA LÄN</t>
        </is>
      </c>
      <c r="E134" t="inlineStr">
        <is>
          <t>ENKÖPING</t>
        </is>
      </c>
      <c r="G134" t="n">
        <v>3.2</v>
      </c>
      <c r="H134" t="n">
        <v>0</v>
      </c>
      <c r="I134" t="n">
        <v>0</v>
      </c>
      <c r="J134" t="n">
        <v>0</v>
      </c>
      <c r="K134" t="n">
        <v>0</v>
      </c>
      <c r="L134" t="n">
        <v>0</v>
      </c>
      <c r="M134" t="n">
        <v>0</v>
      </c>
      <c r="N134" t="n">
        <v>0</v>
      </c>
      <c r="O134" t="n">
        <v>0</v>
      </c>
      <c r="P134" t="n">
        <v>0</v>
      </c>
      <c r="Q134" t="n">
        <v>0</v>
      </c>
      <c r="R134" s="2" t="inlineStr"/>
    </row>
    <row r="135" ht="15" customHeight="1">
      <c r="A135" t="inlineStr">
        <is>
          <t>A 22795-2025</t>
        </is>
      </c>
      <c r="B135" s="1" t="n">
        <v>45789.65944444444</v>
      </c>
      <c r="C135" s="1" t="n">
        <v>46070</v>
      </c>
      <c r="D135" t="inlineStr">
        <is>
          <t>UPPSALA LÄN</t>
        </is>
      </c>
      <c r="E135" t="inlineStr">
        <is>
          <t>ENKÖPING</t>
        </is>
      </c>
      <c r="G135" t="n">
        <v>10.4</v>
      </c>
      <c r="H135" t="n">
        <v>0</v>
      </c>
      <c r="I135" t="n">
        <v>0</v>
      </c>
      <c r="J135" t="n">
        <v>0</v>
      </c>
      <c r="K135" t="n">
        <v>0</v>
      </c>
      <c r="L135" t="n">
        <v>0</v>
      </c>
      <c r="M135" t="n">
        <v>0</v>
      </c>
      <c r="N135" t="n">
        <v>0</v>
      </c>
      <c r="O135" t="n">
        <v>0</v>
      </c>
      <c r="P135" t="n">
        <v>0</v>
      </c>
      <c r="Q135" t="n">
        <v>0</v>
      </c>
      <c r="R135" s="2" t="inlineStr"/>
    </row>
    <row r="136" ht="15" customHeight="1">
      <c r="A136" t="inlineStr">
        <is>
          <t>A 22725-2025</t>
        </is>
      </c>
      <c r="B136" s="1" t="n">
        <v>45789.57371527778</v>
      </c>
      <c r="C136" s="1" t="n">
        <v>46070</v>
      </c>
      <c r="D136" t="inlineStr">
        <is>
          <t>UPPSALA LÄN</t>
        </is>
      </c>
      <c r="E136" t="inlineStr">
        <is>
          <t>ENKÖPING</t>
        </is>
      </c>
      <c r="G136" t="n">
        <v>4.8</v>
      </c>
      <c r="H136" t="n">
        <v>0</v>
      </c>
      <c r="I136" t="n">
        <v>0</v>
      </c>
      <c r="J136" t="n">
        <v>0</v>
      </c>
      <c r="K136" t="n">
        <v>0</v>
      </c>
      <c r="L136" t="n">
        <v>0</v>
      </c>
      <c r="M136" t="n">
        <v>0</v>
      </c>
      <c r="N136" t="n">
        <v>0</v>
      </c>
      <c r="O136" t="n">
        <v>0</v>
      </c>
      <c r="P136" t="n">
        <v>0</v>
      </c>
      <c r="Q136" t="n">
        <v>0</v>
      </c>
      <c r="R136" s="2" t="inlineStr"/>
    </row>
    <row r="137" ht="15" customHeight="1">
      <c r="A137" t="inlineStr">
        <is>
          <t>A 57153-2021</t>
        </is>
      </c>
      <c r="B137" s="1" t="n">
        <v>44482</v>
      </c>
      <c r="C137" s="1" t="n">
        <v>46070</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46070</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45283-2022</t>
        </is>
      </c>
      <c r="B139" s="1" t="n">
        <v>44844</v>
      </c>
      <c r="C139" s="1" t="n">
        <v>46070</v>
      </c>
      <c r="D139" t="inlineStr">
        <is>
          <t>UPPSALA LÄN</t>
        </is>
      </c>
      <c r="E139" t="inlineStr">
        <is>
          <t>ENKÖPING</t>
        </is>
      </c>
      <c r="G139" t="n">
        <v>5.9</v>
      </c>
      <c r="H139" t="n">
        <v>0</v>
      </c>
      <c r="I139" t="n">
        <v>0</v>
      </c>
      <c r="J139" t="n">
        <v>0</v>
      </c>
      <c r="K139" t="n">
        <v>0</v>
      </c>
      <c r="L139" t="n">
        <v>0</v>
      </c>
      <c r="M139" t="n">
        <v>0</v>
      </c>
      <c r="N139" t="n">
        <v>0</v>
      </c>
      <c r="O139" t="n">
        <v>0</v>
      </c>
      <c r="P139" t="n">
        <v>0</v>
      </c>
      <c r="Q139" t="n">
        <v>0</v>
      </c>
      <c r="R139" s="2" t="inlineStr"/>
    </row>
    <row r="140" ht="15" customHeight="1">
      <c r="A140" t="inlineStr">
        <is>
          <t>A 29477-2025</t>
        </is>
      </c>
      <c r="B140" s="1" t="n">
        <v>45824.71537037037</v>
      </c>
      <c r="C140" s="1" t="n">
        <v>46070</v>
      </c>
      <c r="D140" t="inlineStr">
        <is>
          <t>UPPSALA LÄN</t>
        </is>
      </c>
      <c r="E140" t="inlineStr">
        <is>
          <t>ENKÖPING</t>
        </is>
      </c>
      <c r="G140" t="n">
        <v>13.4</v>
      </c>
      <c r="H140" t="n">
        <v>0</v>
      </c>
      <c r="I140" t="n">
        <v>0</v>
      </c>
      <c r="J140" t="n">
        <v>0</v>
      </c>
      <c r="K140" t="n">
        <v>0</v>
      </c>
      <c r="L140" t="n">
        <v>0</v>
      </c>
      <c r="M140" t="n">
        <v>0</v>
      </c>
      <c r="N140" t="n">
        <v>0</v>
      </c>
      <c r="O140" t="n">
        <v>0</v>
      </c>
      <c r="P140" t="n">
        <v>0</v>
      </c>
      <c r="Q140" t="n">
        <v>0</v>
      </c>
      <c r="R140" s="2" t="inlineStr"/>
    </row>
    <row r="141" ht="15" customHeight="1">
      <c r="A141" t="inlineStr">
        <is>
          <t>A 61778-2025</t>
        </is>
      </c>
      <c r="B141" s="1" t="n">
        <v>46002.66555555556</v>
      </c>
      <c r="C141" s="1" t="n">
        <v>46070</v>
      </c>
      <c r="D141" t="inlineStr">
        <is>
          <t>UPPSALA LÄN</t>
        </is>
      </c>
      <c r="E141" t="inlineStr">
        <is>
          <t>ENKÖPING</t>
        </is>
      </c>
      <c r="G141" t="n">
        <v>3.2</v>
      </c>
      <c r="H141" t="n">
        <v>0</v>
      </c>
      <c r="I141" t="n">
        <v>0</v>
      </c>
      <c r="J141" t="n">
        <v>0</v>
      </c>
      <c r="K141" t="n">
        <v>0</v>
      </c>
      <c r="L141" t="n">
        <v>0</v>
      </c>
      <c r="M141" t="n">
        <v>0</v>
      </c>
      <c r="N141" t="n">
        <v>0</v>
      </c>
      <c r="O141" t="n">
        <v>0</v>
      </c>
      <c r="P141" t="n">
        <v>0</v>
      </c>
      <c r="Q141" t="n">
        <v>0</v>
      </c>
      <c r="R141" s="2" t="inlineStr"/>
    </row>
    <row r="142" ht="15" customHeight="1">
      <c r="A142" t="inlineStr">
        <is>
          <t>A 61811-2025</t>
        </is>
      </c>
      <c r="B142" s="1" t="n">
        <v>46002.90059027778</v>
      </c>
      <c r="C142" s="1" t="n">
        <v>46070</v>
      </c>
      <c r="D142" t="inlineStr">
        <is>
          <t>UPPSALA LÄN</t>
        </is>
      </c>
      <c r="E142" t="inlineStr">
        <is>
          <t>ENKÖPING</t>
        </is>
      </c>
      <c r="F142" t="inlineStr">
        <is>
          <t>Allmännings- och besparingsskogar</t>
        </is>
      </c>
      <c r="G142" t="n">
        <v>4.7</v>
      </c>
      <c r="H142" t="n">
        <v>0</v>
      </c>
      <c r="I142" t="n">
        <v>0</v>
      </c>
      <c r="J142" t="n">
        <v>0</v>
      </c>
      <c r="K142" t="n">
        <v>0</v>
      </c>
      <c r="L142" t="n">
        <v>0</v>
      </c>
      <c r="M142" t="n">
        <v>0</v>
      </c>
      <c r="N142" t="n">
        <v>0</v>
      </c>
      <c r="O142" t="n">
        <v>0</v>
      </c>
      <c r="P142" t="n">
        <v>0</v>
      </c>
      <c r="Q142" t="n">
        <v>0</v>
      </c>
      <c r="R142" s="2" t="inlineStr"/>
    </row>
    <row r="143" ht="15" customHeight="1">
      <c r="A143" t="inlineStr">
        <is>
          <t>A 41826-2024</t>
        </is>
      </c>
      <c r="B143" s="1" t="n">
        <v>45561</v>
      </c>
      <c r="C143" s="1" t="n">
        <v>46070</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38941-2025</t>
        </is>
      </c>
      <c r="B144" s="1" t="n">
        <v>45887</v>
      </c>
      <c r="C144" s="1" t="n">
        <v>46070</v>
      </c>
      <c r="D144" t="inlineStr">
        <is>
          <t>UPPSALA LÄN</t>
        </is>
      </c>
      <c r="E144" t="inlineStr">
        <is>
          <t>ENKÖPING</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42589-2022</t>
        </is>
      </c>
      <c r="B145" s="1" t="n">
        <v>44831</v>
      </c>
      <c r="C145" s="1" t="n">
        <v>46070</v>
      </c>
      <c r="D145" t="inlineStr">
        <is>
          <t>UPPSALA LÄN</t>
        </is>
      </c>
      <c r="E145" t="inlineStr">
        <is>
          <t>ENKÖPING</t>
        </is>
      </c>
      <c r="G145" t="n">
        <v>20</v>
      </c>
      <c r="H145" t="n">
        <v>0</v>
      </c>
      <c r="I145" t="n">
        <v>0</v>
      </c>
      <c r="J145" t="n">
        <v>0</v>
      </c>
      <c r="K145" t="n">
        <v>0</v>
      </c>
      <c r="L145" t="n">
        <v>0</v>
      </c>
      <c r="M145" t="n">
        <v>0</v>
      </c>
      <c r="N145" t="n">
        <v>0</v>
      </c>
      <c r="O145" t="n">
        <v>0</v>
      </c>
      <c r="P145" t="n">
        <v>0</v>
      </c>
      <c r="Q145" t="n">
        <v>0</v>
      </c>
      <c r="R145" s="2" t="inlineStr"/>
    </row>
    <row r="146" ht="15" customHeight="1">
      <c r="A146" t="inlineStr">
        <is>
          <t>A 840-2025</t>
        </is>
      </c>
      <c r="B146" s="1" t="n">
        <v>45665</v>
      </c>
      <c r="C146" s="1" t="n">
        <v>46070</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22981-2025</t>
        </is>
      </c>
      <c r="B147" s="1" t="n">
        <v>45790.56964120371</v>
      </c>
      <c r="C147" s="1" t="n">
        <v>46070</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56176-2021</t>
        </is>
      </c>
      <c r="B148" s="1" t="n">
        <v>44477</v>
      </c>
      <c r="C148" s="1" t="n">
        <v>46070</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37115-2024</t>
        </is>
      </c>
      <c r="B149" s="1" t="n">
        <v>45539</v>
      </c>
      <c r="C149" s="1" t="n">
        <v>46070</v>
      </c>
      <c r="D149" t="inlineStr">
        <is>
          <t>UPPSALA LÄN</t>
        </is>
      </c>
      <c r="E149" t="inlineStr">
        <is>
          <t>ENKÖPING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45956-2024</t>
        </is>
      </c>
      <c r="B150" s="1" t="n">
        <v>45580</v>
      </c>
      <c r="C150" s="1" t="n">
        <v>46070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10831-2024</t>
        </is>
      </c>
      <c r="B151" s="1" t="n">
        <v>45369</v>
      </c>
      <c r="C151" s="1" t="n">
        <v>46070</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45142-2023</t>
        </is>
      </c>
      <c r="B152" s="1" t="n">
        <v>45191.4702662037</v>
      </c>
      <c r="C152" s="1" t="n">
        <v>46070</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11918-2025</t>
        </is>
      </c>
      <c r="B153" s="1" t="n">
        <v>45728.49331018519</v>
      </c>
      <c r="C153" s="1" t="n">
        <v>46070</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8020-2022</t>
        </is>
      </c>
      <c r="B154" s="1" t="n">
        <v>44609</v>
      </c>
      <c r="C154" s="1" t="n">
        <v>46070</v>
      </c>
      <c r="D154" t="inlineStr">
        <is>
          <t>UPPSALA LÄN</t>
        </is>
      </c>
      <c r="E154" t="inlineStr">
        <is>
          <t>ENKÖPING</t>
        </is>
      </c>
      <c r="G154" t="n">
        <v>6</v>
      </c>
      <c r="H154" t="n">
        <v>0</v>
      </c>
      <c r="I154" t="n">
        <v>0</v>
      </c>
      <c r="J154" t="n">
        <v>0</v>
      </c>
      <c r="K154" t="n">
        <v>0</v>
      </c>
      <c r="L154" t="n">
        <v>0</v>
      </c>
      <c r="M154" t="n">
        <v>0</v>
      </c>
      <c r="N154" t="n">
        <v>0</v>
      </c>
      <c r="O154" t="n">
        <v>0</v>
      </c>
      <c r="P154" t="n">
        <v>0</v>
      </c>
      <c r="Q154" t="n">
        <v>0</v>
      </c>
      <c r="R154" s="2" t="inlineStr"/>
    </row>
    <row r="155" ht="15" customHeight="1">
      <c r="A155" t="inlineStr">
        <is>
          <t>A 74090-2021</t>
        </is>
      </c>
      <c r="B155" s="1" t="n">
        <v>44557</v>
      </c>
      <c r="C155" s="1" t="n">
        <v>46070</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69344-2021</t>
        </is>
      </c>
      <c r="B156" s="1" t="n">
        <v>44531</v>
      </c>
      <c r="C156" s="1" t="n">
        <v>46070</v>
      </c>
      <c r="D156" t="inlineStr">
        <is>
          <t>UPPSALA LÄN</t>
        </is>
      </c>
      <c r="E156" t="inlineStr">
        <is>
          <t>ENKÖPING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34805-2024</t>
        </is>
      </c>
      <c r="B157" s="1" t="n">
        <v>45526</v>
      </c>
      <c r="C157" s="1" t="n">
        <v>46070</v>
      </c>
      <c r="D157" t="inlineStr">
        <is>
          <t>UPPSALA LÄN</t>
        </is>
      </c>
      <c r="E157" t="inlineStr">
        <is>
          <t>ENKÖPING</t>
        </is>
      </c>
      <c r="G157" t="n">
        <v>3.6</v>
      </c>
      <c r="H157" t="n">
        <v>0</v>
      </c>
      <c r="I157" t="n">
        <v>0</v>
      </c>
      <c r="J157" t="n">
        <v>0</v>
      </c>
      <c r="K157" t="n">
        <v>0</v>
      </c>
      <c r="L157" t="n">
        <v>0</v>
      </c>
      <c r="M157" t="n">
        <v>0</v>
      </c>
      <c r="N157" t="n">
        <v>0</v>
      </c>
      <c r="O157" t="n">
        <v>0</v>
      </c>
      <c r="P157" t="n">
        <v>0</v>
      </c>
      <c r="Q157" t="n">
        <v>0</v>
      </c>
      <c r="R157" s="2" t="inlineStr"/>
    </row>
    <row r="158" ht="15" customHeight="1">
      <c r="A158" t="inlineStr">
        <is>
          <t>A 17729-2023</t>
        </is>
      </c>
      <c r="B158" s="1" t="n">
        <v>45037</v>
      </c>
      <c r="C158" s="1" t="n">
        <v>46070</v>
      </c>
      <c r="D158" t="inlineStr">
        <is>
          <t>UPPSALA LÄN</t>
        </is>
      </c>
      <c r="E158" t="inlineStr">
        <is>
          <t>ENKÖPING</t>
        </is>
      </c>
      <c r="G158" t="n">
        <v>10.2</v>
      </c>
      <c r="H158" t="n">
        <v>0</v>
      </c>
      <c r="I158" t="n">
        <v>0</v>
      </c>
      <c r="J158" t="n">
        <v>0</v>
      </c>
      <c r="K158" t="n">
        <v>0</v>
      </c>
      <c r="L158" t="n">
        <v>0</v>
      </c>
      <c r="M158" t="n">
        <v>0</v>
      </c>
      <c r="N158" t="n">
        <v>0</v>
      </c>
      <c r="O158" t="n">
        <v>0</v>
      </c>
      <c r="P158" t="n">
        <v>0</v>
      </c>
      <c r="Q158" t="n">
        <v>0</v>
      </c>
      <c r="R158" s="2" t="inlineStr"/>
    </row>
    <row r="159" ht="15" customHeight="1">
      <c r="A159" t="inlineStr">
        <is>
          <t>A 31242-2024</t>
        </is>
      </c>
      <c r="B159" s="1" t="n">
        <v>45503</v>
      </c>
      <c r="C159" s="1" t="n">
        <v>46070</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5712-2025</t>
        </is>
      </c>
      <c r="B160" s="1" t="n">
        <v>45694</v>
      </c>
      <c r="C160" s="1" t="n">
        <v>46070</v>
      </c>
      <c r="D160" t="inlineStr">
        <is>
          <t>UPPSALA LÄN</t>
        </is>
      </c>
      <c r="E160" t="inlineStr">
        <is>
          <t>ENKÖPING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5749-2025</t>
        </is>
      </c>
      <c r="B161" s="1" t="n">
        <v>45694</v>
      </c>
      <c r="C161" s="1" t="n">
        <v>46070</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845-2025</t>
        </is>
      </c>
      <c r="B162" s="1" t="n">
        <v>45665</v>
      </c>
      <c r="C162" s="1" t="n">
        <v>46070</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849-2025</t>
        </is>
      </c>
      <c r="B163" s="1" t="n">
        <v>45665</v>
      </c>
      <c r="C163" s="1" t="n">
        <v>46070</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61889-2025</t>
        </is>
      </c>
      <c r="B164" s="1" t="n">
        <v>46003.44765046296</v>
      </c>
      <c r="C164" s="1" t="n">
        <v>46070</v>
      </c>
      <c r="D164" t="inlineStr">
        <is>
          <t>UPPSALA LÄN</t>
        </is>
      </c>
      <c r="E164" t="inlineStr">
        <is>
          <t>ENKÖPING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314-2025</t>
        </is>
      </c>
      <c r="B165" s="1" t="n">
        <v>45656</v>
      </c>
      <c r="C165" s="1" t="n">
        <v>46070</v>
      </c>
      <c r="D165" t="inlineStr">
        <is>
          <t>UPPSALA LÄN</t>
        </is>
      </c>
      <c r="E165" t="inlineStr">
        <is>
          <t>ENKÖPING</t>
        </is>
      </c>
      <c r="G165" t="n">
        <v>9</v>
      </c>
      <c r="H165" t="n">
        <v>0</v>
      </c>
      <c r="I165" t="n">
        <v>0</v>
      </c>
      <c r="J165" t="n">
        <v>0</v>
      </c>
      <c r="K165" t="n">
        <v>0</v>
      </c>
      <c r="L165" t="n">
        <v>0</v>
      </c>
      <c r="M165" t="n">
        <v>0</v>
      </c>
      <c r="N165" t="n">
        <v>0</v>
      </c>
      <c r="O165" t="n">
        <v>0</v>
      </c>
      <c r="P165" t="n">
        <v>0</v>
      </c>
      <c r="Q165" t="n">
        <v>0</v>
      </c>
      <c r="R165" s="2" t="inlineStr"/>
    </row>
    <row r="166" ht="15" customHeight="1">
      <c r="A166" t="inlineStr">
        <is>
          <t>A 11627-2025</t>
        </is>
      </c>
      <c r="B166" s="1" t="n">
        <v>45727</v>
      </c>
      <c r="C166" s="1" t="n">
        <v>46070</v>
      </c>
      <c r="D166" t="inlineStr">
        <is>
          <t>UPPSALA LÄN</t>
        </is>
      </c>
      <c r="E166" t="inlineStr">
        <is>
          <t>ENKÖPING</t>
        </is>
      </c>
      <c r="G166" t="n">
        <v>5.5</v>
      </c>
      <c r="H166" t="n">
        <v>0</v>
      </c>
      <c r="I166" t="n">
        <v>0</v>
      </c>
      <c r="J166" t="n">
        <v>0</v>
      </c>
      <c r="K166" t="n">
        <v>0</v>
      </c>
      <c r="L166" t="n">
        <v>0</v>
      </c>
      <c r="M166" t="n">
        <v>0</v>
      </c>
      <c r="N166" t="n">
        <v>0</v>
      </c>
      <c r="O166" t="n">
        <v>0</v>
      </c>
      <c r="P166" t="n">
        <v>0</v>
      </c>
      <c r="Q166" t="n">
        <v>0</v>
      </c>
      <c r="R166" s="2" t="inlineStr"/>
    </row>
    <row r="167" ht="15" customHeight="1">
      <c r="A167" t="inlineStr">
        <is>
          <t>A 24411-2024</t>
        </is>
      </c>
      <c r="B167" s="1" t="n">
        <v>45457</v>
      </c>
      <c r="C167" s="1" t="n">
        <v>46070</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62158-2023</t>
        </is>
      </c>
      <c r="B168" s="1" t="n">
        <v>45267</v>
      </c>
      <c r="C168" s="1" t="n">
        <v>46070</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60350-2022</t>
        </is>
      </c>
      <c r="B169" s="1" t="n">
        <v>44910</v>
      </c>
      <c r="C169" s="1" t="n">
        <v>46070</v>
      </c>
      <c r="D169" t="inlineStr">
        <is>
          <t>UPPSALA LÄN</t>
        </is>
      </c>
      <c r="E169" t="inlineStr">
        <is>
          <t>ENKÖPING</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58092-2024</t>
        </is>
      </c>
      <c r="B170" s="1" t="n">
        <v>45632</v>
      </c>
      <c r="C170" s="1" t="n">
        <v>46070</v>
      </c>
      <c r="D170" t="inlineStr">
        <is>
          <t>UPPSALA LÄN</t>
        </is>
      </c>
      <c r="E170" t="inlineStr">
        <is>
          <t>ENKÖPING</t>
        </is>
      </c>
      <c r="G170" t="n">
        <v>4.8</v>
      </c>
      <c r="H170" t="n">
        <v>0</v>
      </c>
      <c r="I170" t="n">
        <v>0</v>
      </c>
      <c r="J170" t="n">
        <v>0</v>
      </c>
      <c r="K170" t="n">
        <v>0</v>
      </c>
      <c r="L170" t="n">
        <v>0</v>
      </c>
      <c r="M170" t="n">
        <v>0</v>
      </c>
      <c r="N170" t="n">
        <v>0</v>
      </c>
      <c r="O170" t="n">
        <v>0</v>
      </c>
      <c r="P170" t="n">
        <v>0</v>
      </c>
      <c r="Q170" t="n">
        <v>0</v>
      </c>
      <c r="R170" s="2" t="inlineStr"/>
    </row>
    <row r="171" ht="15" customHeight="1">
      <c r="A171" t="inlineStr">
        <is>
          <t>A 39746-2025</t>
        </is>
      </c>
      <c r="B171" s="1" t="n">
        <v>45891</v>
      </c>
      <c r="C171" s="1" t="n">
        <v>46070</v>
      </c>
      <c r="D171" t="inlineStr">
        <is>
          <t>UPPSALA LÄN</t>
        </is>
      </c>
      <c r="E171" t="inlineStr">
        <is>
          <t>ENKÖPING</t>
        </is>
      </c>
      <c r="G171" t="n">
        <v>7.4</v>
      </c>
      <c r="H171" t="n">
        <v>0</v>
      </c>
      <c r="I171" t="n">
        <v>0</v>
      </c>
      <c r="J171" t="n">
        <v>0</v>
      </c>
      <c r="K171" t="n">
        <v>0</v>
      </c>
      <c r="L171" t="n">
        <v>0</v>
      </c>
      <c r="M171" t="n">
        <v>0</v>
      </c>
      <c r="N171" t="n">
        <v>0</v>
      </c>
      <c r="O171" t="n">
        <v>0</v>
      </c>
      <c r="P171" t="n">
        <v>0</v>
      </c>
      <c r="Q171" t="n">
        <v>0</v>
      </c>
      <c r="R171" s="2" t="inlineStr"/>
    </row>
    <row r="172" ht="15" customHeight="1">
      <c r="A172" t="inlineStr">
        <is>
          <t>A 35647-2021</t>
        </is>
      </c>
      <c r="B172" s="1" t="n">
        <v>44386</v>
      </c>
      <c r="C172" s="1" t="n">
        <v>46070</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26024-2025</t>
        </is>
      </c>
      <c r="B173" s="1" t="n">
        <v>45804.6831712963</v>
      </c>
      <c r="C173" s="1" t="n">
        <v>46070</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26042-2025</t>
        </is>
      </c>
      <c r="B174" s="1" t="n">
        <v>45804.70018518518</v>
      </c>
      <c r="C174" s="1" t="n">
        <v>46070</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26005-2025</t>
        </is>
      </c>
      <c r="B175" s="1" t="n">
        <v>45804.67055555555</v>
      </c>
      <c r="C175" s="1" t="n">
        <v>46070</v>
      </c>
      <c r="D175" t="inlineStr">
        <is>
          <t>UPPSALA LÄN</t>
        </is>
      </c>
      <c r="E175" t="inlineStr">
        <is>
          <t>ENKÖPING</t>
        </is>
      </c>
      <c r="G175" t="n">
        <v>0.3</v>
      </c>
      <c r="H175" t="n">
        <v>0</v>
      </c>
      <c r="I175" t="n">
        <v>0</v>
      </c>
      <c r="J175" t="n">
        <v>0</v>
      </c>
      <c r="K175" t="n">
        <v>0</v>
      </c>
      <c r="L175" t="n">
        <v>0</v>
      </c>
      <c r="M175" t="n">
        <v>0</v>
      </c>
      <c r="N175" t="n">
        <v>0</v>
      </c>
      <c r="O175" t="n">
        <v>0</v>
      </c>
      <c r="P175" t="n">
        <v>0</v>
      </c>
      <c r="Q175" t="n">
        <v>0</v>
      </c>
      <c r="R175" s="2" t="inlineStr"/>
    </row>
    <row r="176" ht="15" customHeight="1">
      <c r="A176" t="inlineStr">
        <is>
          <t>A 26026-2025</t>
        </is>
      </c>
      <c r="B176" s="1" t="n">
        <v>45804.68510416667</v>
      </c>
      <c r="C176" s="1" t="n">
        <v>46070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26030-2025</t>
        </is>
      </c>
      <c r="B177" s="1" t="n">
        <v>45804.68815972222</v>
      </c>
      <c r="C177" s="1" t="n">
        <v>46070</v>
      </c>
      <c r="D177" t="inlineStr">
        <is>
          <t>UPPSALA LÄN</t>
        </is>
      </c>
      <c r="E177" t="inlineStr">
        <is>
          <t>ENKÖPING</t>
        </is>
      </c>
      <c r="G177" t="n">
        <v>0.3</v>
      </c>
      <c r="H177" t="n">
        <v>0</v>
      </c>
      <c r="I177" t="n">
        <v>0</v>
      </c>
      <c r="J177" t="n">
        <v>0</v>
      </c>
      <c r="K177" t="n">
        <v>0</v>
      </c>
      <c r="L177" t="n">
        <v>0</v>
      </c>
      <c r="M177" t="n">
        <v>0</v>
      </c>
      <c r="N177" t="n">
        <v>0</v>
      </c>
      <c r="O177" t="n">
        <v>0</v>
      </c>
      <c r="P177" t="n">
        <v>0</v>
      </c>
      <c r="Q177" t="n">
        <v>0</v>
      </c>
      <c r="R177" s="2" t="inlineStr"/>
    </row>
    <row r="178" ht="15" customHeight="1">
      <c r="A178" t="inlineStr">
        <is>
          <t>A 26022-2025</t>
        </is>
      </c>
      <c r="B178" s="1" t="n">
        <v>45804.68006944445</v>
      </c>
      <c r="C178" s="1" t="n">
        <v>46070</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25988-2025</t>
        </is>
      </c>
      <c r="B179" s="1" t="n">
        <v>45804.64814814815</v>
      </c>
      <c r="C179" s="1" t="n">
        <v>46070</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26031-2025</t>
        </is>
      </c>
      <c r="B180" s="1" t="n">
        <v>45804.69050925926</v>
      </c>
      <c r="C180" s="1" t="n">
        <v>46070</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26041-2025</t>
        </is>
      </c>
      <c r="B181" s="1" t="n">
        <v>45804.69883101852</v>
      </c>
      <c r="C181" s="1" t="n">
        <v>46070</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25990-2025</t>
        </is>
      </c>
      <c r="B182" s="1" t="n">
        <v>45804.65229166667</v>
      </c>
      <c r="C182" s="1" t="n">
        <v>46070</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25847-2025</t>
        </is>
      </c>
      <c r="B183" s="1" t="n">
        <v>45804</v>
      </c>
      <c r="C183" s="1" t="n">
        <v>46070</v>
      </c>
      <c r="D183" t="inlineStr">
        <is>
          <t>UPPSALA LÄN</t>
        </is>
      </c>
      <c r="E183" t="inlineStr">
        <is>
          <t>ENKÖPING</t>
        </is>
      </c>
      <c r="G183" t="n">
        <v>3.6</v>
      </c>
      <c r="H183" t="n">
        <v>0</v>
      </c>
      <c r="I183" t="n">
        <v>0</v>
      </c>
      <c r="J183" t="n">
        <v>0</v>
      </c>
      <c r="K183" t="n">
        <v>0</v>
      </c>
      <c r="L183" t="n">
        <v>0</v>
      </c>
      <c r="M183" t="n">
        <v>0</v>
      </c>
      <c r="N183" t="n">
        <v>0</v>
      </c>
      <c r="O183" t="n">
        <v>0</v>
      </c>
      <c r="P183" t="n">
        <v>0</v>
      </c>
      <c r="Q183" t="n">
        <v>0</v>
      </c>
      <c r="R183" s="2" t="inlineStr"/>
    </row>
    <row r="184" ht="15" customHeight="1">
      <c r="A184" t="inlineStr">
        <is>
          <t>A 26047-2025</t>
        </is>
      </c>
      <c r="B184" s="1" t="n">
        <v>45804.70835648148</v>
      </c>
      <c r="C184" s="1" t="n">
        <v>46070</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35067-2024</t>
        </is>
      </c>
      <c r="B185" s="1" t="n">
        <v>45527.66153935185</v>
      </c>
      <c r="C185" s="1" t="n">
        <v>46070</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10458-2022</t>
        </is>
      </c>
      <c r="B186" s="1" t="n">
        <v>44623.56711805556</v>
      </c>
      <c r="C186" s="1" t="n">
        <v>46070</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41616-2025</t>
        </is>
      </c>
      <c r="B187" s="1" t="n">
        <v>45901.69684027778</v>
      </c>
      <c r="C187" s="1" t="n">
        <v>46070</v>
      </c>
      <c r="D187" t="inlineStr">
        <is>
          <t>UPPSALA LÄN</t>
        </is>
      </c>
      <c r="E187" t="inlineStr">
        <is>
          <t>ENKÖPING</t>
        </is>
      </c>
      <c r="F187" t="inlineStr">
        <is>
          <t>Allmännings- och besparingsskogar</t>
        </is>
      </c>
      <c r="G187" t="n">
        <v>17.3</v>
      </c>
      <c r="H187" t="n">
        <v>0</v>
      </c>
      <c r="I187" t="n">
        <v>0</v>
      </c>
      <c r="J187" t="n">
        <v>0</v>
      </c>
      <c r="K187" t="n">
        <v>0</v>
      </c>
      <c r="L187" t="n">
        <v>0</v>
      </c>
      <c r="M187" t="n">
        <v>0</v>
      </c>
      <c r="N187" t="n">
        <v>0</v>
      </c>
      <c r="O187" t="n">
        <v>0</v>
      </c>
      <c r="P187" t="n">
        <v>0</v>
      </c>
      <c r="Q187" t="n">
        <v>0</v>
      </c>
      <c r="R187" s="2" t="inlineStr"/>
    </row>
    <row r="188" ht="15" customHeight="1">
      <c r="A188" t="inlineStr">
        <is>
          <t>A 44115-2024</t>
        </is>
      </c>
      <c r="B188" s="1" t="n">
        <v>45572</v>
      </c>
      <c r="C188" s="1" t="n">
        <v>46070</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46070</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46070</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9957-2023</t>
        </is>
      </c>
      <c r="B191" s="1" t="n">
        <v>44978</v>
      </c>
      <c r="C191" s="1" t="n">
        <v>46070</v>
      </c>
      <c r="D191" t="inlineStr">
        <is>
          <t>UPPSALA LÄN</t>
        </is>
      </c>
      <c r="E191" t="inlineStr">
        <is>
          <t>ENKÖPING</t>
        </is>
      </c>
      <c r="G191" t="n">
        <v>5.9</v>
      </c>
      <c r="H191" t="n">
        <v>0</v>
      </c>
      <c r="I191" t="n">
        <v>0</v>
      </c>
      <c r="J191" t="n">
        <v>0</v>
      </c>
      <c r="K191" t="n">
        <v>0</v>
      </c>
      <c r="L191" t="n">
        <v>0</v>
      </c>
      <c r="M191" t="n">
        <v>0</v>
      </c>
      <c r="N191" t="n">
        <v>0</v>
      </c>
      <c r="O191" t="n">
        <v>0</v>
      </c>
      <c r="P191" t="n">
        <v>0</v>
      </c>
      <c r="Q191" t="n">
        <v>0</v>
      </c>
      <c r="R191" s="2" t="inlineStr"/>
    </row>
    <row r="192" ht="15" customHeight="1">
      <c r="A192" t="inlineStr">
        <is>
          <t>A 63402-2023</t>
        </is>
      </c>
      <c r="B192" s="1" t="n">
        <v>45274.50646990741</v>
      </c>
      <c r="C192" s="1" t="n">
        <v>46070</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42029-2025</t>
        </is>
      </c>
      <c r="B193" s="1" t="n">
        <v>45903</v>
      </c>
      <c r="C193" s="1" t="n">
        <v>46070</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41765-2025</t>
        </is>
      </c>
      <c r="B194" s="1" t="n">
        <v>45902</v>
      </c>
      <c r="C194" s="1" t="n">
        <v>46070</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27829-2025</t>
        </is>
      </c>
      <c r="B195" s="1" t="n">
        <v>45817</v>
      </c>
      <c r="C195" s="1" t="n">
        <v>46070</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16916-2023</t>
        </is>
      </c>
      <c r="B196" s="1" t="n">
        <v>45033.58347222222</v>
      </c>
      <c r="C196" s="1" t="n">
        <v>46070</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47516-2022</t>
        </is>
      </c>
      <c r="B197" s="1" t="n">
        <v>44853.68895833333</v>
      </c>
      <c r="C197" s="1" t="n">
        <v>46070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56886-2023</t>
        </is>
      </c>
      <c r="B198" s="1" t="n">
        <v>45239</v>
      </c>
      <c r="C198" s="1" t="n">
        <v>46070</v>
      </c>
      <c r="D198" t="inlineStr">
        <is>
          <t>UPPSALA LÄN</t>
        </is>
      </c>
      <c r="E198" t="inlineStr">
        <is>
          <t>ENKÖPING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39009-2024</t>
        </is>
      </c>
      <c r="B199" s="1" t="n">
        <v>45548</v>
      </c>
      <c r="C199" s="1" t="n">
        <v>46070</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8537-2025</t>
        </is>
      </c>
      <c r="B200" s="1" t="n">
        <v>45709</v>
      </c>
      <c r="C200" s="1" t="n">
        <v>46070</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28758-2025</t>
        </is>
      </c>
      <c r="B201" s="1" t="n">
        <v>45820.41212962963</v>
      </c>
      <c r="C201" s="1" t="n">
        <v>46070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28862-2025</t>
        </is>
      </c>
      <c r="B202" s="1" t="n">
        <v>45820.59189814814</v>
      </c>
      <c r="C202" s="1" t="n">
        <v>46070</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41764-2025</t>
        </is>
      </c>
      <c r="B203" s="1" t="n">
        <v>45902</v>
      </c>
      <c r="C203" s="1" t="n">
        <v>46070</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28855-2025</t>
        </is>
      </c>
      <c r="B204" s="1" t="n">
        <v>45820.58274305556</v>
      </c>
      <c r="C204" s="1" t="n">
        <v>46070</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18592-2021</t>
        </is>
      </c>
      <c r="B205" s="1" t="n">
        <v>44306</v>
      </c>
      <c r="C205" s="1" t="n">
        <v>46070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29093-2025</t>
        </is>
      </c>
      <c r="B206" s="1" t="n">
        <v>45821.55743055556</v>
      </c>
      <c r="C206" s="1" t="n">
        <v>46070</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51042-2024</t>
        </is>
      </c>
      <c r="B207" s="1" t="n">
        <v>45603.4342824074</v>
      </c>
      <c r="C207" s="1" t="n">
        <v>46070</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51037-2024</t>
        </is>
      </c>
      <c r="B208" s="1" t="n">
        <v>45603.43005787037</v>
      </c>
      <c r="C208" s="1" t="n">
        <v>46070</v>
      </c>
      <c r="D208" t="inlineStr">
        <is>
          <t>UPPSALA LÄN</t>
        </is>
      </c>
      <c r="E208" t="inlineStr">
        <is>
          <t>ENKÖPING</t>
        </is>
      </c>
      <c r="G208" t="n">
        <v>5.7</v>
      </c>
      <c r="H208" t="n">
        <v>0</v>
      </c>
      <c r="I208" t="n">
        <v>0</v>
      </c>
      <c r="J208" t="n">
        <v>0</v>
      </c>
      <c r="K208" t="n">
        <v>0</v>
      </c>
      <c r="L208" t="n">
        <v>0</v>
      </c>
      <c r="M208" t="n">
        <v>0</v>
      </c>
      <c r="N208" t="n">
        <v>0</v>
      </c>
      <c r="O208" t="n">
        <v>0</v>
      </c>
      <c r="P208" t="n">
        <v>0</v>
      </c>
      <c r="Q208" t="n">
        <v>0</v>
      </c>
      <c r="R208" s="2" t="inlineStr"/>
    </row>
    <row r="209" ht="15" customHeight="1">
      <c r="A209" t="inlineStr">
        <is>
          <t>A 42756-2025</t>
        </is>
      </c>
      <c r="B209" s="1" t="n">
        <v>45908</v>
      </c>
      <c r="C209" s="1" t="n">
        <v>46070</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6356-2022</t>
        </is>
      </c>
      <c r="B210" s="1" t="n">
        <v>44600</v>
      </c>
      <c r="C210" s="1" t="n">
        <v>46070</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22632-2025</t>
        </is>
      </c>
      <c r="B211" s="1" t="n">
        <v>45789.44361111111</v>
      </c>
      <c r="C211" s="1" t="n">
        <v>46070</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5104-2026</t>
        </is>
      </c>
      <c r="B212" s="1" t="n">
        <v>46049.56914351852</v>
      </c>
      <c r="C212" s="1" t="n">
        <v>46070</v>
      </c>
      <c r="D212" t="inlineStr">
        <is>
          <t>UPPSALA LÄN</t>
        </is>
      </c>
      <c r="E212" t="inlineStr">
        <is>
          <t>ENKÖPING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13816-2021</t>
        </is>
      </c>
      <c r="B213" s="1" t="n">
        <v>44276</v>
      </c>
      <c r="C213" s="1" t="n">
        <v>46070</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46070</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62599-2025</t>
        </is>
      </c>
      <c r="B215" s="1" t="n">
        <v>46007.91961805556</v>
      </c>
      <c r="C215" s="1" t="n">
        <v>46070</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5569-2026</t>
        </is>
      </c>
      <c r="B216" s="1" t="n">
        <v>46050.89431712963</v>
      </c>
      <c r="C216" s="1" t="n">
        <v>46070</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62772-2025</t>
        </is>
      </c>
      <c r="B217" s="1" t="n">
        <v>46008.60365740741</v>
      </c>
      <c r="C217" s="1" t="n">
        <v>46070</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46070</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63128-2025</t>
        </is>
      </c>
      <c r="B219" s="1" t="n">
        <v>46009</v>
      </c>
      <c r="C219" s="1" t="n">
        <v>46070</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62600-2025</t>
        </is>
      </c>
      <c r="B220" s="1" t="n">
        <v>46007.92175925926</v>
      </c>
      <c r="C220" s="1" t="n">
        <v>46070</v>
      </c>
      <c r="D220" t="inlineStr">
        <is>
          <t>UPPSALA LÄN</t>
        </is>
      </c>
      <c r="E220" t="inlineStr">
        <is>
          <t>ENKÖPING</t>
        </is>
      </c>
      <c r="G220" t="n">
        <v>2</v>
      </c>
      <c r="H220" t="n">
        <v>0</v>
      </c>
      <c r="I220" t="n">
        <v>0</v>
      </c>
      <c r="J220" t="n">
        <v>0</v>
      </c>
      <c r="K220" t="n">
        <v>0</v>
      </c>
      <c r="L220" t="n">
        <v>0</v>
      </c>
      <c r="M220" t="n">
        <v>0</v>
      </c>
      <c r="N220" t="n">
        <v>0</v>
      </c>
      <c r="O220" t="n">
        <v>0</v>
      </c>
      <c r="P220" t="n">
        <v>0</v>
      </c>
      <c r="Q220" t="n">
        <v>0</v>
      </c>
      <c r="R220" s="2" t="inlineStr"/>
    </row>
    <row r="221" ht="15" customHeight="1">
      <c r="A221" t="inlineStr">
        <is>
          <t>A 62602-2025</t>
        </is>
      </c>
      <c r="B221" s="1" t="n">
        <v>46007.92581018519</v>
      </c>
      <c r="C221" s="1" t="n">
        <v>46070</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44419-2025</t>
        </is>
      </c>
      <c r="B222" s="1" t="n">
        <v>45916.54671296296</v>
      </c>
      <c r="C222" s="1" t="n">
        <v>46070</v>
      </c>
      <c r="D222" t="inlineStr">
        <is>
          <t>UPPSALA LÄN</t>
        </is>
      </c>
      <c r="E222" t="inlineStr">
        <is>
          <t>ENKÖPING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30837-2025</t>
        </is>
      </c>
      <c r="B223" s="1" t="n">
        <v>45831.7063425926</v>
      </c>
      <c r="C223" s="1" t="n">
        <v>46070</v>
      </c>
      <c r="D223" t="inlineStr">
        <is>
          <t>UPPSALA LÄN</t>
        </is>
      </c>
      <c r="E223" t="inlineStr">
        <is>
          <t>ENKÖPING</t>
        </is>
      </c>
      <c r="G223" t="n">
        <v>3.8</v>
      </c>
      <c r="H223" t="n">
        <v>0</v>
      </c>
      <c r="I223" t="n">
        <v>0</v>
      </c>
      <c r="J223" t="n">
        <v>0</v>
      </c>
      <c r="K223" t="n">
        <v>0</v>
      </c>
      <c r="L223" t="n">
        <v>0</v>
      </c>
      <c r="M223" t="n">
        <v>0</v>
      </c>
      <c r="N223" t="n">
        <v>0</v>
      </c>
      <c r="O223" t="n">
        <v>0</v>
      </c>
      <c r="P223" t="n">
        <v>0</v>
      </c>
      <c r="Q223" t="n">
        <v>0</v>
      </c>
      <c r="R223" s="2" t="inlineStr"/>
    </row>
    <row r="224" ht="15" customHeight="1">
      <c r="A224" t="inlineStr">
        <is>
          <t>A 32477-2025</t>
        </is>
      </c>
      <c r="B224" s="1" t="n">
        <v>45838.43098379629</v>
      </c>
      <c r="C224" s="1" t="n">
        <v>46070</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12434-2021</t>
        </is>
      </c>
      <c r="B225" s="1" t="n">
        <v>44267</v>
      </c>
      <c r="C225" s="1" t="n">
        <v>46070</v>
      </c>
      <c r="D225" t="inlineStr">
        <is>
          <t>UPPSALA LÄN</t>
        </is>
      </c>
      <c r="E225" t="inlineStr">
        <is>
          <t>ENKÖPING</t>
        </is>
      </c>
      <c r="G225" t="n">
        <v>5.3</v>
      </c>
      <c r="H225" t="n">
        <v>0</v>
      </c>
      <c r="I225" t="n">
        <v>0</v>
      </c>
      <c r="J225" t="n">
        <v>0</v>
      </c>
      <c r="K225" t="n">
        <v>0</v>
      </c>
      <c r="L225" t="n">
        <v>0</v>
      </c>
      <c r="M225" t="n">
        <v>0</v>
      </c>
      <c r="N225" t="n">
        <v>0</v>
      </c>
      <c r="O225" t="n">
        <v>0</v>
      </c>
      <c r="P225" t="n">
        <v>0</v>
      </c>
      <c r="Q225" t="n">
        <v>0</v>
      </c>
      <c r="R225" s="2" t="inlineStr"/>
    </row>
    <row r="226" ht="15" customHeight="1">
      <c r="A226" t="inlineStr">
        <is>
          <t>A 49614-2024</t>
        </is>
      </c>
      <c r="B226" s="1" t="n">
        <v>45596.57716435185</v>
      </c>
      <c r="C226" s="1" t="n">
        <v>46070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49632-2024</t>
        </is>
      </c>
      <c r="B227" s="1" t="n">
        <v>45596</v>
      </c>
      <c r="C227" s="1" t="n">
        <v>46070</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62601-2025</t>
        </is>
      </c>
      <c r="B228" s="1" t="n">
        <v>46007.92395833333</v>
      </c>
      <c r="C228" s="1" t="n">
        <v>46070</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29479-2022</t>
        </is>
      </c>
      <c r="B229" s="1" t="n">
        <v>44753.57265046296</v>
      </c>
      <c r="C229" s="1" t="n">
        <v>46070</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32111-2025</t>
        </is>
      </c>
      <c r="B230" s="1" t="n">
        <v>45835</v>
      </c>
      <c r="C230" s="1" t="n">
        <v>46070</v>
      </c>
      <c r="D230" t="inlineStr">
        <is>
          <t>UPPSALA LÄN</t>
        </is>
      </c>
      <c r="E230" t="inlineStr">
        <is>
          <t>ENKÖPING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32031-2025</t>
        </is>
      </c>
      <c r="B231" s="1" t="n">
        <v>45835.41712962963</v>
      </c>
      <c r="C231" s="1" t="n">
        <v>46070</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27538-2023</t>
        </is>
      </c>
      <c r="B232" s="1" t="n">
        <v>45097</v>
      </c>
      <c r="C232" s="1" t="n">
        <v>46070</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45755-2025</t>
        </is>
      </c>
      <c r="B233" s="1" t="n">
        <v>45923.50240740741</v>
      </c>
      <c r="C233" s="1" t="n">
        <v>46070</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15409-2025</t>
        </is>
      </c>
      <c r="B234" s="1" t="n">
        <v>45747</v>
      </c>
      <c r="C234" s="1" t="n">
        <v>46070</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60874-2023</t>
        </is>
      </c>
      <c r="B235" s="1" t="n">
        <v>45261.06280092592</v>
      </c>
      <c r="C235" s="1" t="n">
        <v>46070</v>
      </c>
      <c r="D235" t="inlineStr">
        <is>
          <t>UPPSALA LÄN</t>
        </is>
      </c>
      <c r="E235" t="inlineStr">
        <is>
          <t>ENKÖPING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34989-2025</t>
        </is>
      </c>
      <c r="B236" s="1" t="n">
        <v>45849</v>
      </c>
      <c r="C236" s="1" t="n">
        <v>46070</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34990-2025</t>
        </is>
      </c>
      <c r="B237" s="1" t="n">
        <v>45849.78916666667</v>
      </c>
      <c r="C237" s="1" t="n">
        <v>46070</v>
      </c>
      <c r="D237" t="inlineStr">
        <is>
          <t>UPPSALA LÄN</t>
        </is>
      </c>
      <c r="E237" t="inlineStr">
        <is>
          <t>ENKÖPING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50394-2024</t>
        </is>
      </c>
      <c r="B238" s="1" t="n">
        <v>45600</v>
      </c>
      <c r="C238" s="1" t="n">
        <v>46070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51010-2024</t>
        </is>
      </c>
      <c r="B239" s="1" t="n">
        <v>45603.39285879629</v>
      </c>
      <c r="C239" s="1" t="n">
        <v>46070</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15740-2025</t>
        </is>
      </c>
      <c r="B240" s="1" t="n">
        <v>45748</v>
      </c>
      <c r="C240" s="1" t="n">
        <v>46070</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43016-2021</t>
        </is>
      </c>
      <c r="B241" s="1" t="n">
        <v>44431</v>
      </c>
      <c r="C241" s="1" t="n">
        <v>46070</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6047-2026</t>
        </is>
      </c>
      <c r="B242" s="1" t="n">
        <v>46052.62738425926</v>
      </c>
      <c r="C242" s="1" t="n">
        <v>46070</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46940-2025</t>
        </is>
      </c>
      <c r="B243" s="1" t="n">
        <v>45929.45483796296</v>
      </c>
      <c r="C243" s="1" t="n">
        <v>46070</v>
      </c>
      <c r="D243" t="inlineStr">
        <is>
          <t>UPPSALA LÄN</t>
        </is>
      </c>
      <c r="E243" t="inlineStr">
        <is>
          <t>ENKÖPING</t>
        </is>
      </c>
      <c r="G243" t="n">
        <v>5.3</v>
      </c>
      <c r="H243" t="n">
        <v>0</v>
      </c>
      <c r="I243" t="n">
        <v>0</v>
      </c>
      <c r="J243" t="n">
        <v>0</v>
      </c>
      <c r="K243" t="n">
        <v>0</v>
      </c>
      <c r="L243" t="n">
        <v>0</v>
      </c>
      <c r="M243" t="n">
        <v>0</v>
      </c>
      <c r="N243" t="n">
        <v>0</v>
      </c>
      <c r="O243" t="n">
        <v>0</v>
      </c>
      <c r="P243" t="n">
        <v>0</v>
      </c>
      <c r="Q243" t="n">
        <v>0</v>
      </c>
      <c r="R243" s="2" t="inlineStr"/>
    </row>
    <row r="244" ht="15" customHeight="1">
      <c r="A244" t="inlineStr">
        <is>
          <t>A 19147-2024</t>
        </is>
      </c>
      <c r="B244" s="1" t="n">
        <v>45428</v>
      </c>
      <c r="C244" s="1" t="n">
        <v>46070</v>
      </c>
      <c r="D244" t="inlineStr">
        <is>
          <t>UPPSALA LÄN</t>
        </is>
      </c>
      <c r="E244" t="inlineStr">
        <is>
          <t>ENKÖPING</t>
        </is>
      </c>
      <c r="G244" t="n">
        <v>1.9</v>
      </c>
      <c r="H244" t="n">
        <v>0</v>
      </c>
      <c r="I244" t="n">
        <v>0</v>
      </c>
      <c r="J244" t="n">
        <v>0</v>
      </c>
      <c r="K244" t="n">
        <v>0</v>
      </c>
      <c r="L244" t="n">
        <v>0</v>
      </c>
      <c r="M244" t="n">
        <v>0</v>
      </c>
      <c r="N244" t="n">
        <v>0</v>
      </c>
      <c r="O244" t="n">
        <v>0</v>
      </c>
      <c r="P244" t="n">
        <v>0</v>
      </c>
      <c r="Q244" t="n">
        <v>0</v>
      </c>
      <c r="R244" s="2" t="inlineStr"/>
    </row>
    <row r="245" ht="15" customHeight="1">
      <c r="A245" t="inlineStr">
        <is>
          <t>A 46590-2025</t>
        </is>
      </c>
      <c r="B245" s="1" t="n">
        <v>45926.39542824074</v>
      </c>
      <c r="C245" s="1" t="n">
        <v>46070</v>
      </c>
      <c r="D245" t="inlineStr">
        <is>
          <t>UPPSALA LÄN</t>
        </is>
      </c>
      <c r="E245" t="inlineStr">
        <is>
          <t>ENKÖPING</t>
        </is>
      </c>
      <c r="G245" t="n">
        <v>2.7</v>
      </c>
      <c r="H245" t="n">
        <v>0</v>
      </c>
      <c r="I245" t="n">
        <v>0</v>
      </c>
      <c r="J245" t="n">
        <v>0</v>
      </c>
      <c r="K245" t="n">
        <v>0</v>
      </c>
      <c r="L245" t="n">
        <v>0</v>
      </c>
      <c r="M245" t="n">
        <v>0</v>
      </c>
      <c r="N245" t="n">
        <v>0</v>
      </c>
      <c r="O245" t="n">
        <v>0</v>
      </c>
      <c r="P245" t="n">
        <v>0</v>
      </c>
      <c r="Q245" t="n">
        <v>0</v>
      </c>
      <c r="R245" s="2" t="inlineStr"/>
    </row>
    <row r="246" ht="15" customHeight="1">
      <c r="A246" t="inlineStr">
        <is>
          <t>A 57209-2024</t>
        </is>
      </c>
      <c r="B246" s="1" t="n">
        <v>45629.49311342592</v>
      </c>
      <c r="C246" s="1" t="n">
        <v>46070</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51120-2023</t>
        </is>
      </c>
      <c r="B247" s="1" t="n">
        <v>45219.3088425926</v>
      </c>
      <c r="C247" s="1" t="n">
        <v>46070</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12878-2025</t>
        </is>
      </c>
      <c r="B248" s="1" t="n">
        <v>45733.68571759259</v>
      </c>
      <c r="C248" s="1" t="n">
        <v>46070</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18994-2025</t>
        </is>
      </c>
      <c r="B249" s="1" t="n">
        <v>45764.57350694444</v>
      </c>
      <c r="C249" s="1" t="n">
        <v>46070</v>
      </c>
      <c r="D249" t="inlineStr">
        <is>
          <t>UPPSALA LÄN</t>
        </is>
      </c>
      <c r="E249" t="inlineStr">
        <is>
          <t>ENKÖPING</t>
        </is>
      </c>
      <c r="G249" t="n">
        <v>3.8</v>
      </c>
      <c r="H249" t="n">
        <v>0</v>
      </c>
      <c r="I249" t="n">
        <v>0</v>
      </c>
      <c r="J249" t="n">
        <v>0</v>
      </c>
      <c r="K249" t="n">
        <v>0</v>
      </c>
      <c r="L249" t="n">
        <v>0</v>
      </c>
      <c r="M249" t="n">
        <v>0</v>
      </c>
      <c r="N249" t="n">
        <v>0</v>
      </c>
      <c r="O249" t="n">
        <v>0</v>
      </c>
      <c r="P249" t="n">
        <v>0</v>
      </c>
      <c r="Q249" t="n">
        <v>0</v>
      </c>
      <c r="R249" s="2" t="inlineStr"/>
    </row>
    <row r="250" ht="15" customHeight="1">
      <c r="A250" t="inlineStr">
        <is>
          <t>A 57848-2024</t>
        </is>
      </c>
      <c r="B250" s="1" t="n">
        <v>45631.40947916666</v>
      </c>
      <c r="C250" s="1" t="n">
        <v>46070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49601-2024</t>
        </is>
      </c>
      <c r="B251" s="1" t="n">
        <v>45596.56288194445</v>
      </c>
      <c r="C251" s="1" t="n">
        <v>46070</v>
      </c>
      <c r="D251" t="inlineStr">
        <is>
          <t>UPPSALA LÄN</t>
        </is>
      </c>
      <c r="E251" t="inlineStr">
        <is>
          <t>ENKÖPING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47441-2025</t>
        </is>
      </c>
      <c r="B252" s="1" t="n">
        <v>45930.63986111111</v>
      </c>
      <c r="C252" s="1" t="n">
        <v>46070</v>
      </c>
      <c r="D252" t="inlineStr">
        <is>
          <t>UPPSALA LÄN</t>
        </is>
      </c>
      <c r="E252" t="inlineStr">
        <is>
          <t>ENKÖPING</t>
        </is>
      </c>
      <c r="F252" t="inlineStr">
        <is>
          <t>Allmännings- och besparingsskogar</t>
        </is>
      </c>
      <c r="G252" t="n">
        <v>11.5</v>
      </c>
      <c r="H252" t="n">
        <v>0</v>
      </c>
      <c r="I252" t="n">
        <v>0</v>
      </c>
      <c r="J252" t="n">
        <v>0</v>
      </c>
      <c r="K252" t="n">
        <v>0</v>
      </c>
      <c r="L252" t="n">
        <v>0</v>
      </c>
      <c r="M252" t="n">
        <v>0</v>
      </c>
      <c r="N252" t="n">
        <v>0</v>
      </c>
      <c r="O252" t="n">
        <v>0</v>
      </c>
      <c r="P252" t="n">
        <v>0</v>
      </c>
      <c r="Q252" t="n">
        <v>0</v>
      </c>
      <c r="R252" s="2" t="inlineStr"/>
    </row>
    <row r="253" ht="15" customHeight="1">
      <c r="A253" t="inlineStr">
        <is>
          <t>A 43896-2022</t>
        </is>
      </c>
      <c r="B253" s="1" t="n">
        <v>44838</v>
      </c>
      <c r="C253" s="1" t="n">
        <v>46070</v>
      </c>
      <c r="D253" t="inlineStr">
        <is>
          <t>UPPSALA LÄN</t>
        </is>
      </c>
      <c r="E253" t="inlineStr">
        <is>
          <t>ENKÖPING</t>
        </is>
      </c>
      <c r="G253" t="n">
        <v>5.3</v>
      </c>
      <c r="H253" t="n">
        <v>0</v>
      </c>
      <c r="I253" t="n">
        <v>0</v>
      </c>
      <c r="J253" t="n">
        <v>0</v>
      </c>
      <c r="K253" t="n">
        <v>0</v>
      </c>
      <c r="L253" t="n">
        <v>0</v>
      </c>
      <c r="M253" t="n">
        <v>0</v>
      </c>
      <c r="N253" t="n">
        <v>0</v>
      </c>
      <c r="O253" t="n">
        <v>0</v>
      </c>
      <c r="P253" t="n">
        <v>0</v>
      </c>
      <c r="Q253" t="n">
        <v>0</v>
      </c>
      <c r="R253" s="2" t="inlineStr"/>
    </row>
    <row r="254" ht="15" customHeight="1">
      <c r="A254" t="inlineStr">
        <is>
          <t>A 29513-2025</t>
        </is>
      </c>
      <c r="B254" s="1" t="n">
        <v>45825</v>
      </c>
      <c r="C254" s="1" t="n">
        <v>46070</v>
      </c>
      <c r="D254" t="inlineStr">
        <is>
          <t>UPPSALA LÄN</t>
        </is>
      </c>
      <c r="E254" t="inlineStr">
        <is>
          <t>ENKÖPING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7090-2022</t>
        </is>
      </c>
      <c r="B255" s="1" t="n">
        <v>44603.59520833333</v>
      </c>
      <c r="C255" s="1" t="n">
        <v>46070</v>
      </c>
      <c r="D255" t="inlineStr">
        <is>
          <t>UPPSALA LÄN</t>
        </is>
      </c>
      <c r="E255" t="inlineStr">
        <is>
          <t>ENKÖPING</t>
        </is>
      </c>
      <c r="G255" t="n">
        <v>2.8</v>
      </c>
      <c r="H255" t="n">
        <v>0</v>
      </c>
      <c r="I255" t="n">
        <v>0</v>
      </c>
      <c r="J255" t="n">
        <v>0</v>
      </c>
      <c r="K255" t="n">
        <v>0</v>
      </c>
      <c r="L255" t="n">
        <v>0</v>
      </c>
      <c r="M255" t="n">
        <v>0</v>
      </c>
      <c r="N255" t="n">
        <v>0</v>
      </c>
      <c r="O255" t="n">
        <v>0</v>
      </c>
      <c r="P255" t="n">
        <v>0</v>
      </c>
      <c r="Q255" t="n">
        <v>0</v>
      </c>
      <c r="R255" s="2" t="inlineStr"/>
    </row>
    <row r="256" ht="15" customHeight="1">
      <c r="A256" t="inlineStr">
        <is>
          <t>A 17844-2025</t>
        </is>
      </c>
      <c r="B256" s="1" t="n">
        <v>45758.59920138889</v>
      </c>
      <c r="C256" s="1" t="n">
        <v>46070</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9487-2025</t>
        </is>
      </c>
      <c r="B257" s="1" t="n">
        <v>45715.49331018519</v>
      </c>
      <c r="C257" s="1" t="n">
        <v>46070</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6144-2024</t>
        </is>
      </c>
      <c r="B258" s="1" t="n">
        <v>45337.4684837963</v>
      </c>
      <c r="C258" s="1" t="n">
        <v>46070</v>
      </c>
      <c r="D258" t="inlineStr">
        <is>
          <t>UPPSALA LÄN</t>
        </is>
      </c>
      <c r="E258" t="inlineStr">
        <is>
          <t>ENKÖPING</t>
        </is>
      </c>
      <c r="G258" t="n">
        <v>13.8</v>
      </c>
      <c r="H258" t="n">
        <v>0</v>
      </c>
      <c r="I258" t="n">
        <v>0</v>
      </c>
      <c r="J258" t="n">
        <v>0</v>
      </c>
      <c r="K258" t="n">
        <v>0</v>
      </c>
      <c r="L258" t="n">
        <v>0</v>
      </c>
      <c r="M258" t="n">
        <v>0</v>
      </c>
      <c r="N258" t="n">
        <v>0</v>
      </c>
      <c r="O258" t="n">
        <v>0</v>
      </c>
      <c r="P258" t="n">
        <v>0</v>
      </c>
      <c r="Q258" t="n">
        <v>0</v>
      </c>
      <c r="R258" s="2" t="inlineStr"/>
    </row>
    <row r="259" ht="15" customHeight="1">
      <c r="A259" t="inlineStr">
        <is>
          <t>A 33955-2024</t>
        </is>
      </c>
      <c r="B259" s="1" t="n">
        <v>45523.46952546296</v>
      </c>
      <c r="C259" s="1" t="n">
        <v>46070</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27837-2025</t>
        </is>
      </c>
      <c r="B260" s="1" t="n">
        <v>45817.37207175926</v>
      </c>
      <c r="C260" s="1" t="n">
        <v>46070</v>
      </c>
      <c r="D260" t="inlineStr">
        <is>
          <t>UPPSALA LÄN</t>
        </is>
      </c>
      <c r="E260" t="inlineStr">
        <is>
          <t>ENKÖPING</t>
        </is>
      </c>
      <c r="G260" t="n">
        <v>7.3</v>
      </c>
      <c r="H260" t="n">
        <v>0</v>
      </c>
      <c r="I260" t="n">
        <v>0</v>
      </c>
      <c r="J260" t="n">
        <v>0</v>
      </c>
      <c r="K260" t="n">
        <v>0</v>
      </c>
      <c r="L260" t="n">
        <v>0</v>
      </c>
      <c r="M260" t="n">
        <v>0</v>
      </c>
      <c r="N260" t="n">
        <v>0</v>
      </c>
      <c r="O260" t="n">
        <v>0</v>
      </c>
      <c r="P260" t="n">
        <v>0</v>
      </c>
      <c r="Q260" t="n">
        <v>0</v>
      </c>
      <c r="R260" s="2" t="inlineStr"/>
    </row>
    <row r="261" ht="15" customHeight="1">
      <c r="A261" t="inlineStr">
        <is>
          <t>A 39439-2025</t>
        </is>
      </c>
      <c r="B261" s="1" t="n">
        <v>45889</v>
      </c>
      <c r="C261" s="1" t="n">
        <v>46070</v>
      </c>
      <c r="D261" t="inlineStr">
        <is>
          <t>UPPSALA LÄN</t>
        </is>
      </c>
      <c r="E261" t="inlineStr">
        <is>
          <t>ENKÖPING</t>
        </is>
      </c>
      <c r="G261" t="n">
        <v>0.4</v>
      </c>
      <c r="H261" t="n">
        <v>0</v>
      </c>
      <c r="I261" t="n">
        <v>0</v>
      </c>
      <c r="J261" t="n">
        <v>0</v>
      </c>
      <c r="K261" t="n">
        <v>0</v>
      </c>
      <c r="L261" t="n">
        <v>0</v>
      </c>
      <c r="M261" t="n">
        <v>0</v>
      </c>
      <c r="N261" t="n">
        <v>0</v>
      </c>
      <c r="O261" t="n">
        <v>0</v>
      </c>
      <c r="P261" t="n">
        <v>0</v>
      </c>
      <c r="Q261" t="n">
        <v>0</v>
      </c>
      <c r="R261" s="2" t="inlineStr"/>
    </row>
    <row r="262" ht="15" customHeight="1">
      <c r="A262" t="inlineStr">
        <is>
          <t>A 6031-2026</t>
        </is>
      </c>
      <c r="B262" s="1" t="n">
        <v>46052.61201388889</v>
      </c>
      <c r="C262" s="1" t="n">
        <v>46070</v>
      </c>
      <c r="D262" t="inlineStr">
        <is>
          <t>UPPSALA LÄN</t>
        </is>
      </c>
      <c r="E262" t="inlineStr">
        <is>
          <t>ENKÖPING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48678-2025</t>
        </is>
      </c>
      <c r="B263" s="1" t="n">
        <v>45936.59168981481</v>
      </c>
      <c r="C263" s="1" t="n">
        <v>46070</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48423-2025</t>
        </is>
      </c>
      <c r="B264" s="1" t="n">
        <v>45934.68024305555</v>
      </c>
      <c r="C264" s="1" t="n">
        <v>46070</v>
      </c>
      <c r="D264" t="inlineStr">
        <is>
          <t>UPPSALA LÄN</t>
        </is>
      </c>
      <c r="E264" t="inlineStr">
        <is>
          <t>ENKÖPING</t>
        </is>
      </c>
      <c r="G264" t="n">
        <v>4.3</v>
      </c>
      <c r="H264" t="n">
        <v>0</v>
      </c>
      <c r="I264" t="n">
        <v>0</v>
      </c>
      <c r="J264" t="n">
        <v>0</v>
      </c>
      <c r="K264" t="n">
        <v>0</v>
      </c>
      <c r="L264" t="n">
        <v>0</v>
      </c>
      <c r="M264" t="n">
        <v>0</v>
      </c>
      <c r="N264" t="n">
        <v>0</v>
      </c>
      <c r="O264" t="n">
        <v>0</v>
      </c>
      <c r="P264" t="n">
        <v>0</v>
      </c>
      <c r="Q264" t="n">
        <v>0</v>
      </c>
      <c r="R264" s="2" t="inlineStr"/>
    </row>
    <row r="265" ht="15" customHeight="1">
      <c r="A265" t="inlineStr">
        <is>
          <t>A 48424-2025</t>
        </is>
      </c>
      <c r="B265" s="1" t="n">
        <v>45934.69131944444</v>
      </c>
      <c r="C265" s="1" t="n">
        <v>46070</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49073-2025</t>
        </is>
      </c>
      <c r="B266" s="1" t="n">
        <v>45937.65512731481</v>
      </c>
      <c r="C266" s="1" t="n">
        <v>46070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21501-2025</t>
        </is>
      </c>
      <c r="B267" s="1" t="n">
        <v>45782</v>
      </c>
      <c r="C267" s="1" t="n">
        <v>46070</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34988-2025</t>
        </is>
      </c>
      <c r="B268" s="1" t="n">
        <v>45849</v>
      </c>
      <c r="C268" s="1" t="n">
        <v>46070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34987-2025</t>
        </is>
      </c>
      <c r="B269" s="1" t="n">
        <v>45849</v>
      </c>
      <c r="C269" s="1" t="n">
        <v>46070</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43103-2025</t>
        </is>
      </c>
      <c r="B270" s="1" t="n">
        <v>45909</v>
      </c>
      <c r="C270" s="1" t="n">
        <v>46070</v>
      </c>
      <c r="D270" t="inlineStr">
        <is>
          <t>UPPSALA LÄN</t>
        </is>
      </c>
      <c r="E270" t="inlineStr">
        <is>
          <t>ENKÖPING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16920-2023</t>
        </is>
      </c>
      <c r="B271" s="1" t="n">
        <v>45033.59030092593</v>
      </c>
      <c r="C271" s="1" t="n">
        <v>46070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49068-2025</t>
        </is>
      </c>
      <c r="B272" s="1" t="n">
        <v>45937.64766203704</v>
      </c>
      <c r="C272" s="1" t="n">
        <v>46070</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36492-2025</t>
        </is>
      </c>
      <c r="B273" s="1" t="n">
        <v>45869</v>
      </c>
      <c r="C273" s="1" t="n">
        <v>46070</v>
      </c>
      <c r="D273" t="inlineStr">
        <is>
          <t>UPPSALA LÄN</t>
        </is>
      </c>
      <c r="E273" t="inlineStr">
        <is>
          <t>ENKÖPING</t>
        </is>
      </c>
      <c r="G273" t="n">
        <v>6.3</v>
      </c>
      <c r="H273" t="n">
        <v>0</v>
      </c>
      <c r="I273" t="n">
        <v>0</v>
      </c>
      <c r="J273" t="n">
        <v>0</v>
      </c>
      <c r="K273" t="n">
        <v>0</v>
      </c>
      <c r="L273" t="n">
        <v>0</v>
      </c>
      <c r="M273" t="n">
        <v>0</v>
      </c>
      <c r="N273" t="n">
        <v>0</v>
      </c>
      <c r="O273" t="n">
        <v>0</v>
      </c>
      <c r="P273" t="n">
        <v>0</v>
      </c>
      <c r="Q273" t="n">
        <v>0</v>
      </c>
      <c r="R273" s="2" t="inlineStr"/>
    </row>
    <row r="274" ht="15" customHeight="1">
      <c r="A274" t="inlineStr">
        <is>
          <t>A 53586-2024</t>
        </is>
      </c>
      <c r="B274" s="1" t="n">
        <v>45614</v>
      </c>
      <c r="C274" s="1" t="n">
        <v>46070</v>
      </c>
      <c r="D274" t="inlineStr">
        <is>
          <t>UPPSALA LÄN</t>
        </is>
      </c>
      <c r="E274" t="inlineStr">
        <is>
          <t>ENKÖPING</t>
        </is>
      </c>
      <c r="G274" t="n">
        <v>6.6</v>
      </c>
      <c r="H274" t="n">
        <v>0</v>
      </c>
      <c r="I274" t="n">
        <v>0</v>
      </c>
      <c r="J274" t="n">
        <v>0</v>
      </c>
      <c r="K274" t="n">
        <v>0</v>
      </c>
      <c r="L274" t="n">
        <v>0</v>
      </c>
      <c r="M274" t="n">
        <v>0</v>
      </c>
      <c r="N274" t="n">
        <v>0</v>
      </c>
      <c r="O274" t="n">
        <v>0</v>
      </c>
      <c r="P274" t="n">
        <v>0</v>
      </c>
      <c r="Q274" t="n">
        <v>0</v>
      </c>
      <c r="R274" s="2" t="inlineStr"/>
    </row>
    <row r="275" ht="15" customHeight="1">
      <c r="A275" t="inlineStr">
        <is>
          <t>A 36350-2025</t>
        </is>
      </c>
      <c r="B275" s="1" t="n">
        <v>45868</v>
      </c>
      <c r="C275" s="1" t="n">
        <v>46070</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25989-2025</t>
        </is>
      </c>
      <c r="B276" s="1" t="n">
        <v>45804.65050925926</v>
      </c>
      <c r="C276" s="1" t="n">
        <v>46070</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6049-2026</t>
        </is>
      </c>
      <c r="B277" s="1" t="n">
        <v>46052.63005787037</v>
      </c>
      <c r="C277" s="1" t="n">
        <v>46070</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36599-2025</t>
        </is>
      </c>
      <c r="B278" s="1" t="n">
        <v>45870.51723379629</v>
      </c>
      <c r="C278" s="1" t="n">
        <v>46070</v>
      </c>
      <c r="D278" t="inlineStr">
        <is>
          <t>UPPSALA LÄN</t>
        </is>
      </c>
      <c r="E278" t="inlineStr">
        <is>
          <t>ENKÖPING</t>
        </is>
      </c>
      <c r="G278" t="n">
        <v>5.9</v>
      </c>
      <c r="H278" t="n">
        <v>0</v>
      </c>
      <c r="I278" t="n">
        <v>0</v>
      </c>
      <c r="J278" t="n">
        <v>0</v>
      </c>
      <c r="K278" t="n">
        <v>0</v>
      </c>
      <c r="L278" t="n">
        <v>0</v>
      </c>
      <c r="M278" t="n">
        <v>0</v>
      </c>
      <c r="N278" t="n">
        <v>0</v>
      </c>
      <c r="O278" t="n">
        <v>0</v>
      </c>
      <c r="P278" t="n">
        <v>0</v>
      </c>
      <c r="Q278" t="n">
        <v>0</v>
      </c>
      <c r="R278" s="2" t="inlineStr"/>
    </row>
    <row r="279" ht="15" customHeight="1">
      <c r="A279" t="inlineStr">
        <is>
          <t>A 51162-2025</t>
        </is>
      </c>
      <c r="B279" s="1" t="n">
        <v>45947.58820601852</v>
      </c>
      <c r="C279" s="1" t="n">
        <v>46070</v>
      </c>
      <c r="D279" t="inlineStr">
        <is>
          <t>UPPSALA LÄN</t>
        </is>
      </c>
      <c r="E279" t="inlineStr">
        <is>
          <t>ENKÖPING</t>
        </is>
      </c>
      <c r="G279" t="n">
        <v>3.4</v>
      </c>
      <c r="H279" t="n">
        <v>0</v>
      </c>
      <c r="I279" t="n">
        <v>0</v>
      </c>
      <c r="J279" t="n">
        <v>0</v>
      </c>
      <c r="K279" t="n">
        <v>0</v>
      </c>
      <c r="L279" t="n">
        <v>0</v>
      </c>
      <c r="M279" t="n">
        <v>0</v>
      </c>
      <c r="N279" t="n">
        <v>0</v>
      </c>
      <c r="O279" t="n">
        <v>0</v>
      </c>
      <c r="P279" t="n">
        <v>0</v>
      </c>
      <c r="Q279" t="n">
        <v>0</v>
      </c>
      <c r="R279" s="2" t="inlineStr"/>
    </row>
    <row r="280" ht="15" customHeight="1">
      <c r="A280" t="inlineStr">
        <is>
          <t>A 51133-2025</t>
        </is>
      </c>
      <c r="B280" s="1" t="n">
        <v>45947.55598379629</v>
      </c>
      <c r="C280" s="1" t="n">
        <v>46070</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43506-2023</t>
        </is>
      </c>
      <c r="B281" s="1" t="n">
        <v>45181</v>
      </c>
      <c r="C281" s="1" t="n">
        <v>46070</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5953-2026</t>
        </is>
      </c>
      <c r="B282" s="1" t="n">
        <v>46052.49119212963</v>
      </c>
      <c r="C282" s="1" t="n">
        <v>46070</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6041-2026</t>
        </is>
      </c>
      <c r="B283" s="1" t="n">
        <v>46052.62184027778</v>
      </c>
      <c r="C283" s="1" t="n">
        <v>46070</v>
      </c>
      <c r="D283" t="inlineStr">
        <is>
          <t>UPPSALA LÄN</t>
        </is>
      </c>
      <c r="E283" t="inlineStr">
        <is>
          <t>ENKÖPING</t>
        </is>
      </c>
      <c r="G283" t="n">
        <v>4</v>
      </c>
      <c r="H283" t="n">
        <v>0</v>
      </c>
      <c r="I283" t="n">
        <v>0</v>
      </c>
      <c r="J283" t="n">
        <v>0</v>
      </c>
      <c r="K283" t="n">
        <v>0</v>
      </c>
      <c r="L283" t="n">
        <v>0</v>
      </c>
      <c r="M283" t="n">
        <v>0</v>
      </c>
      <c r="N283" t="n">
        <v>0</v>
      </c>
      <c r="O283" t="n">
        <v>0</v>
      </c>
      <c r="P283" t="n">
        <v>0</v>
      </c>
      <c r="Q283" t="n">
        <v>0</v>
      </c>
      <c r="R283" s="2" t="inlineStr"/>
    </row>
    <row r="284" ht="15" customHeight="1">
      <c r="A284" t="inlineStr">
        <is>
          <t>A 6044-2026</t>
        </is>
      </c>
      <c r="B284" s="1" t="n">
        <v>46052.62506944445</v>
      </c>
      <c r="C284" s="1" t="n">
        <v>46070</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5948-2026</t>
        </is>
      </c>
      <c r="B285" s="1" t="n">
        <v>46052</v>
      </c>
      <c r="C285" s="1" t="n">
        <v>46070</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46070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46186-2023</t>
        </is>
      </c>
      <c r="B287" s="1" t="n">
        <v>45196</v>
      </c>
      <c r="C287" s="1" t="n">
        <v>46070</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37296-2025</t>
        </is>
      </c>
      <c r="B288" s="1" t="n">
        <v>45876</v>
      </c>
      <c r="C288" s="1" t="n">
        <v>46070</v>
      </c>
      <c r="D288" t="inlineStr">
        <is>
          <t>UPPSALA LÄN</t>
        </is>
      </c>
      <c r="E288" t="inlineStr">
        <is>
          <t>ENKÖPING</t>
        </is>
      </c>
      <c r="G288" t="n">
        <v>9.5</v>
      </c>
      <c r="H288" t="n">
        <v>0</v>
      </c>
      <c r="I288" t="n">
        <v>0</v>
      </c>
      <c r="J288" t="n">
        <v>0</v>
      </c>
      <c r="K288" t="n">
        <v>0</v>
      </c>
      <c r="L288" t="n">
        <v>0</v>
      </c>
      <c r="M288" t="n">
        <v>0</v>
      </c>
      <c r="N288" t="n">
        <v>0</v>
      </c>
      <c r="O288" t="n">
        <v>0</v>
      </c>
      <c r="P288" t="n">
        <v>0</v>
      </c>
      <c r="Q288" t="n">
        <v>0</v>
      </c>
      <c r="R288" s="2" t="inlineStr"/>
    </row>
    <row r="289" ht="15" customHeight="1">
      <c r="A289" t="inlineStr">
        <is>
          <t>A 54595-2021</t>
        </is>
      </c>
      <c r="B289" s="1" t="n">
        <v>44473.58824074074</v>
      </c>
      <c r="C289" s="1" t="n">
        <v>46070</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54588-2024</t>
        </is>
      </c>
      <c r="B290" s="1" t="n">
        <v>45617</v>
      </c>
      <c r="C290" s="1" t="n">
        <v>46070</v>
      </c>
      <c r="D290" t="inlineStr">
        <is>
          <t>UPPSALA LÄN</t>
        </is>
      </c>
      <c r="E290" t="inlineStr">
        <is>
          <t>ENKÖPING</t>
        </is>
      </c>
      <c r="G290" t="n">
        <v>3.7</v>
      </c>
      <c r="H290" t="n">
        <v>0</v>
      </c>
      <c r="I290" t="n">
        <v>0</v>
      </c>
      <c r="J290" t="n">
        <v>0</v>
      </c>
      <c r="K290" t="n">
        <v>0</v>
      </c>
      <c r="L290" t="n">
        <v>0</v>
      </c>
      <c r="M290" t="n">
        <v>0</v>
      </c>
      <c r="N290" t="n">
        <v>0</v>
      </c>
      <c r="O290" t="n">
        <v>0</v>
      </c>
      <c r="P290" t="n">
        <v>0</v>
      </c>
      <c r="Q290" t="n">
        <v>0</v>
      </c>
      <c r="R290" s="2" t="inlineStr"/>
    </row>
    <row r="291" ht="15" customHeight="1">
      <c r="A291" t="inlineStr">
        <is>
          <t>A 37319-2025</t>
        </is>
      </c>
      <c r="B291" s="1" t="n">
        <v>45876</v>
      </c>
      <c r="C291" s="1" t="n">
        <v>46070</v>
      </c>
      <c r="D291" t="inlineStr">
        <is>
          <t>UPPSALA LÄN</t>
        </is>
      </c>
      <c r="E291" t="inlineStr">
        <is>
          <t>ENKÖPING</t>
        </is>
      </c>
      <c r="G291" t="n">
        <v>9.5</v>
      </c>
      <c r="H291" t="n">
        <v>0</v>
      </c>
      <c r="I291" t="n">
        <v>0</v>
      </c>
      <c r="J291" t="n">
        <v>0</v>
      </c>
      <c r="K291" t="n">
        <v>0</v>
      </c>
      <c r="L291" t="n">
        <v>0</v>
      </c>
      <c r="M291" t="n">
        <v>0</v>
      </c>
      <c r="N291" t="n">
        <v>0</v>
      </c>
      <c r="O291" t="n">
        <v>0</v>
      </c>
      <c r="P291" t="n">
        <v>0</v>
      </c>
      <c r="Q291" t="n">
        <v>0</v>
      </c>
      <c r="R291" s="2" t="inlineStr"/>
    </row>
    <row r="292" ht="15" customHeight="1">
      <c r="A292" t="inlineStr">
        <is>
          <t>A 47428-2023</t>
        </is>
      </c>
      <c r="B292" s="1" t="n">
        <v>45202.66664351852</v>
      </c>
      <c r="C292" s="1" t="n">
        <v>46070</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26017-2025</t>
        </is>
      </c>
      <c r="B293" s="1" t="n">
        <v>45804</v>
      </c>
      <c r="C293" s="1" t="n">
        <v>46070</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49622-2024</t>
        </is>
      </c>
      <c r="B294" s="1" t="n">
        <v>45596.58372685185</v>
      </c>
      <c r="C294" s="1" t="n">
        <v>46070</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5892-2023</t>
        </is>
      </c>
      <c r="B295" s="1" t="n">
        <v>44963.64883101852</v>
      </c>
      <c r="C295" s="1" t="n">
        <v>46070</v>
      </c>
      <c r="D295" t="inlineStr">
        <is>
          <t>UPPSALA LÄN</t>
        </is>
      </c>
      <c r="E295" t="inlineStr">
        <is>
          <t>ENKÖPING</t>
        </is>
      </c>
      <c r="G295" t="n">
        <v>5.5</v>
      </c>
      <c r="H295" t="n">
        <v>0</v>
      </c>
      <c r="I295" t="n">
        <v>0</v>
      </c>
      <c r="J295" t="n">
        <v>0</v>
      </c>
      <c r="K295" t="n">
        <v>0</v>
      </c>
      <c r="L295" t="n">
        <v>0</v>
      </c>
      <c r="M295" t="n">
        <v>0</v>
      </c>
      <c r="N295" t="n">
        <v>0</v>
      </c>
      <c r="O295" t="n">
        <v>0</v>
      </c>
      <c r="P295" t="n">
        <v>0</v>
      </c>
      <c r="Q295" t="n">
        <v>0</v>
      </c>
      <c r="R295" s="2" t="inlineStr"/>
    </row>
    <row r="296" ht="15" customHeight="1">
      <c r="A296" t="inlineStr">
        <is>
          <t>A 12572-2021</t>
        </is>
      </c>
      <c r="B296" s="1" t="n">
        <v>44270.36438657407</v>
      </c>
      <c r="C296" s="1" t="n">
        <v>46070</v>
      </c>
      <c r="D296" t="inlineStr">
        <is>
          <t>UPPSALA LÄN</t>
        </is>
      </c>
      <c r="E296" t="inlineStr">
        <is>
          <t>ENKÖPING</t>
        </is>
      </c>
      <c r="G296" t="n">
        <v>3.3</v>
      </c>
      <c r="H296" t="n">
        <v>0</v>
      </c>
      <c r="I296" t="n">
        <v>0</v>
      </c>
      <c r="J296" t="n">
        <v>0</v>
      </c>
      <c r="K296" t="n">
        <v>0</v>
      </c>
      <c r="L296" t="n">
        <v>0</v>
      </c>
      <c r="M296" t="n">
        <v>0</v>
      </c>
      <c r="N296" t="n">
        <v>0</v>
      </c>
      <c r="O296" t="n">
        <v>0</v>
      </c>
      <c r="P296" t="n">
        <v>0</v>
      </c>
      <c r="Q296" t="n">
        <v>0</v>
      </c>
      <c r="R296" s="2" t="inlineStr"/>
    </row>
    <row r="297" ht="15" customHeight="1">
      <c r="A297" t="inlineStr">
        <is>
          <t>A 671-2022</t>
        </is>
      </c>
      <c r="B297" s="1" t="n">
        <v>44568</v>
      </c>
      <c r="C297" s="1" t="n">
        <v>46070</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43488-2023</t>
        </is>
      </c>
      <c r="B298" s="1" t="n">
        <v>45181</v>
      </c>
      <c r="C298" s="1" t="n">
        <v>46070</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9171-2024</t>
        </is>
      </c>
      <c r="B299" s="1" t="n">
        <v>45358</v>
      </c>
      <c r="C299" s="1" t="n">
        <v>46070</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7008-2026</t>
        </is>
      </c>
      <c r="B300" s="1" t="n">
        <v>46057.63806712963</v>
      </c>
      <c r="C300" s="1" t="n">
        <v>46070</v>
      </c>
      <c r="D300" t="inlineStr">
        <is>
          <t>UPPSALA LÄN</t>
        </is>
      </c>
      <c r="E300" t="inlineStr">
        <is>
          <t>ENKÖPING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7003-2026</t>
        </is>
      </c>
      <c r="B301" s="1" t="n">
        <v>46057.63243055555</v>
      </c>
      <c r="C301" s="1" t="n">
        <v>46070</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26011-2025</t>
        </is>
      </c>
      <c r="B302" s="1" t="n">
        <v>45804.67412037037</v>
      </c>
      <c r="C302" s="1" t="n">
        <v>46070</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7167-2026</t>
        </is>
      </c>
      <c r="B303" s="1" t="n">
        <v>46058.45677083333</v>
      </c>
      <c r="C303" s="1" t="n">
        <v>46070</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43230-2023</t>
        </is>
      </c>
      <c r="B304" s="1" t="n">
        <v>45183</v>
      </c>
      <c r="C304" s="1" t="n">
        <v>46070</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45362-2022</t>
        </is>
      </c>
      <c r="B305" s="1" t="n">
        <v>44844.62366898148</v>
      </c>
      <c r="C305" s="1" t="n">
        <v>46070</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7168-2026</t>
        </is>
      </c>
      <c r="B306" s="1" t="n">
        <v>46058.45831018518</v>
      </c>
      <c r="C306" s="1" t="n">
        <v>46070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7175-2026</t>
        </is>
      </c>
      <c r="B307" s="1" t="n">
        <v>46058.46399305556</v>
      </c>
      <c r="C307" s="1" t="n">
        <v>46070</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72840-2021</t>
        </is>
      </c>
      <c r="B308" s="1" t="n">
        <v>44547</v>
      </c>
      <c r="C308" s="1" t="n">
        <v>46070</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21017-2023</t>
        </is>
      </c>
      <c r="B309" s="1" t="n">
        <v>45061</v>
      </c>
      <c r="C309" s="1" t="n">
        <v>46070</v>
      </c>
      <c r="D309" t="inlineStr">
        <is>
          <t>UPPSALA LÄN</t>
        </is>
      </c>
      <c r="E309" t="inlineStr">
        <is>
          <t>ENKÖPING</t>
        </is>
      </c>
      <c r="G309" t="n">
        <v>4.8</v>
      </c>
      <c r="H309" t="n">
        <v>0</v>
      </c>
      <c r="I309" t="n">
        <v>0</v>
      </c>
      <c r="J309" t="n">
        <v>0</v>
      </c>
      <c r="K309" t="n">
        <v>0</v>
      </c>
      <c r="L309" t="n">
        <v>0</v>
      </c>
      <c r="M309" t="n">
        <v>0</v>
      </c>
      <c r="N309" t="n">
        <v>0</v>
      </c>
      <c r="O309" t="n">
        <v>0</v>
      </c>
      <c r="P309" t="n">
        <v>0</v>
      </c>
      <c r="Q309" t="n">
        <v>0</v>
      </c>
      <c r="R309" s="2" t="inlineStr"/>
    </row>
    <row r="310" ht="15" customHeight="1">
      <c r="A310" t="inlineStr">
        <is>
          <t>A 2850-2025</t>
        </is>
      </c>
      <c r="B310" s="1" t="n">
        <v>45677</v>
      </c>
      <c r="C310" s="1" t="n">
        <v>46070</v>
      </c>
      <c r="D310" t="inlineStr">
        <is>
          <t>UPPSALA LÄN</t>
        </is>
      </c>
      <c r="E310" t="inlineStr">
        <is>
          <t>ENKÖPING</t>
        </is>
      </c>
      <c r="G310" t="n">
        <v>0.3</v>
      </c>
      <c r="H310" t="n">
        <v>0</v>
      </c>
      <c r="I310" t="n">
        <v>0</v>
      </c>
      <c r="J310" t="n">
        <v>0</v>
      </c>
      <c r="K310" t="n">
        <v>0</v>
      </c>
      <c r="L310" t="n">
        <v>0</v>
      </c>
      <c r="M310" t="n">
        <v>0</v>
      </c>
      <c r="N310" t="n">
        <v>0</v>
      </c>
      <c r="O310" t="n">
        <v>0</v>
      </c>
      <c r="P310" t="n">
        <v>0</v>
      </c>
      <c r="Q310" t="n">
        <v>0</v>
      </c>
      <c r="R310" s="2" t="inlineStr"/>
    </row>
    <row r="311" ht="15" customHeight="1">
      <c r="A311" t="inlineStr">
        <is>
          <t>A 7172-2026</t>
        </is>
      </c>
      <c r="B311" s="1" t="n">
        <v>46058.46113425926</v>
      </c>
      <c r="C311" s="1" t="n">
        <v>46070</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54541-2025</t>
        </is>
      </c>
      <c r="B312" s="1" t="n">
        <v>45965.64733796296</v>
      </c>
      <c r="C312" s="1" t="n">
        <v>46070</v>
      </c>
      <c r="D312" t="inlineStr">
        <is>
          <t>UPPSALA LÄN</t>
        </is>
      </c>
      <c r="E312" t="inlineStr">
        <is>
          <t>ENKÖPING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54263-2025</t>
        </is>
      </c>
      <c r="B313" s="1" t="n">
        <v>45964.66271990741</v>
      </c>
      <c r="C313" s="1" t="n">
        <v>46070</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34617-2022</t>
        </is>
      </c>
      <c r="B314" s="1" t="n">
        <v>44795</v>
      </c>
      <c r="C314" s="1" t="n">
        <v>46070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1992-2022</t>
        </is>
      </c>
      <c r="B315" s="1" t="n">
        <v>44575.56153935185</v>
      </c>
      <c r="C315" s="1" t="n">
        <v>46070</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18583-2021</t>
        </is>
      </c>
      <c r="B316" s="1" t="n">
        <v>44306</v>
      </c>
      <c r="C316" s="1" t="n">
        <v>46070</v>
      </c>
      <c r="D316" t="inlineStr">
        <is>
          <t>UPPSALA LÄN</t>
        </is>
      </c>
      <c r="E316" t="inlineStr">
        <is>
          <t>ENKÖPING</t>
        </is>
      </c>
      <c r="G316" t="n">
        <v>0.4</v>
      </c>
      <c r="H316" t="n">
        <v>0</v>
      </c>
      <c r="I316" t="n">
        <v>0</v>
      </c>
      <c r="J316" t="n">
        <v>0</v>
      </c>
      <c r="K316" t="n">
        <v>0</v>
      </c>
      <c r="L316" t="n">
        <v>0</v>
      </c>
      <c r="M316" t="n">
        <v>0</v>
      </c>
      <c r="N316" t="n">
        <v>0</v>
      </c>
      <c r="O316" t="n">
        <v>0</v>
      </c>
      <c r="P316" t="n">
        <v>0</v>
      </c>
      <c r="Q316" t="n">
        <v>0</v>
      </c>
      <c r="R316" s="2" t="inlineStr"/>
    </row>
    <row r="317" ht="15" customHeight="1">
      <c r="A317" t="inlineStr">
        <is>
          <t>A 1695-2025</t>
        </is>
      </c>
      <c r="B317" s="1" t="n">
        <v>45670</v>
      </c>
      <c r="C317" s="1" t="n">
        <v>46070</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54357-2023</t>
        </is>
      </c>
      <c r="B318" s="1" t="n">
        <v>45225</v>
      </c>
      <c r="C318" s="1" t="n">
        <v>46070</v>
      </c>
      <c r="D318" t="inlineStr">
        <is>
          <t>UPPSALA LÄN</t>
        </is>
      </c>
      <c r="E318" t="inlineStr">
        <is>
          <t>ENKÖPING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54844-2025</t>
        </is>
      </c>
      <c r="B319" s="1" t="n">
        <v>45966.69570601852</v>
      </c>
      <c r="C319" s="1" t="n">
        <v>46070</v>
      </c>
      <c r="D319" t="inlineStr">
        <is>
          <t>UPPSALA LÄN</t>
        </is>
      </c>
      <c r="E319" t="inlineStr">
        <is>
          <t>ENKÖPING</t>
        </is>
      </c>
      <c r="G319" t="n">
        <v>5.5</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46070</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60848-2025</t>
        </is>
      </c>
      <c r="B321" s="1" t="n">
        <v>45999</v>
      </c>
      <c r="C321" s="1" t="n">
        <v>46070</v>
      </c>
      <c r="D321" t="inlineStr">
        <is>
          <t>UPPSALA LÄN</t>
        </is>
      </c>
      <c r="E321" t="inlineStr">
        <is>
          <t>ENKÖPING</t>
        </is>
      </c>
      <c r="G321" t="n">
        <v>2.5</v>
      </c>
      <c r="H321" t="n">
        <v>0</v>
      </c>
      <c r="I321" t="n">
        <v>0</v>
      </c>
      <c r="J321" t="n">
        <v>0</v>
      </c>
      <c r="K321" t="n">
        <v>0</v>
      </c>
      <c r="L321" t="n">
        <v>0</v>
      </c>
      <c r="M321" t="n">
        <v>0</v>
      </c>
      <c r="N321" t="n">
        <v>0</v>
      </c>
      <c r="O321" t="n">
        <v>0</v>
      </c>
      <c r="P321" t="n">
        <v>0</v>
      </c>
      <c r="Q321" t="n">
        <v>0</v>
      </c>
      <c r="R321" s="2" t="inlineStr"/>
    </row>
    <row r="322" ht="15" customHeight="1">
      <c r="A322" t="inlineStr">
        <is>
          <t>A 54758-2025</t>
        </is>
      </c>
      <c r="B322" s="1" t="n">
        <v>45966.59737268519</v>
      </c>
      <c r="C322" s="1" t="n">
        <v>46070</v>
      </c>
      <c r="D322" t="inlineStr">
        <is>
          <t>UPPSALA LÄN</t>
        </is>
      </c>
      <c r="E322" t="inlineStr">
        <is>
          <t>ENKÖPING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55567-2025</t>
        </is>
      </c>
      <c r="B323" s="1" t="n">
        <v>45971.65589120371</v>
      </c>
      <c r="C323" s="1" t="n">
        <v>46070</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58961-2024</t>
        </is>
      </c>
      <c r="B324" s="1" t="n">
        <v>45636.585</v>
      </c>
      <c r="C324" s="1" t="n">
        <v>46070</v>
      </c>
      <c r="D324" t="inlineStr">
        <is>
          <t>UPPSALA LÄN</t>
        </is>
      </c>
      <c r="E324" t="inlineStr">
        <is>
          <t>ENKÖPING</t>
        </is>
      </c>
      <c r="G324" t="n">
        <v>4</v>
      </c>
      <c r="H324" t="n">
        <v>0</v>
      </c>
      <c r="I324" t="n">
        <v>0</v>
      </c>
      <c r="J324" t="n">
        <v>0</v>
      </c>
      <c r="K324" t="n">
        <v>0</v>
      </c>
      <c r="L324" t="n">
        <v>0</v>
      </c>
      <c r="M324" t="n">
        <v>0</v>
      </c>
      <c r="N324" t="n">
        <v>0</v>
      </c>
      <c r="O324" t="n">
        <v>0</v>
      </c>
      <c r="P324" t="n">
        <v>0</v>
      </c>
      <c r="Q324" t="n">
        <v>0</v>
      </c>
      <c r="R324" s="2" t="inlineStr"/>
    </row>
    <row r="325" ht="15" customHeight="1">
      <c r="A325" t="inlineStr">
        <is>
          <t>A 2258-2026</t>
        </is>
      </c>
      <c r="B325" s="1" t="n">
        <v>46036</v>
      </c>
      <c r="C325" s="1" t="n">
        <v>46070</v>
      </c>
      <c r="D325" t="inlineStr">
        <is>
          <t>UPPSALA LÄN</t>
        </is>
      </c>
      <c r="E325" t="inlineStr">
        <is>
          <t>ENKÖPING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53595-2023</t>
        </is>
      </c>
      <c r="B326" s="1" t="n">
        <v>45223</v>
      </c>
      <c r="C326" s="1" t="n">
        <v>46070</v>
      </c>
      <c r="D326" t="inlineStr">
        <is>
          <t>UPPSALA LÄN</t>
        </is>
      </c>
      <c r="E326" t="inlineStr">
        <is>
          <t>ENKÖPING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15893-2024</t>
        </is>
      </c>
      <c r="B327" s="1" t="n">
        <v>45405</v>
      </c>
      <c r="C327" s="1" t="n">
        <v>46070</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18028-2023</t>
        </is>
      </c>
      <c r="B328" s="1" t="n">
        <v>45040</v>
      </c>
      <c r="C328" s="1" t="n">
        <v>46070</v>
      </c>
      <c r="D328" t="inlineStr">
        <is>
          <t>UPPSALA LÄN</t>
        </is>
      </c>
      <c r="E328" t="inlineStr">
        <is>
          <t>ENKÖPING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56625-2025</t>
        </is>
      </c>
      <c r="B329" s="1" t="n">
        <v>45975.60608796297</v>
      </c>
      <c r="C329" s="1" t="n">
        <v>46070</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8309-2026</t>
        </is>
      </c>
      <c r="B330" s="1" t="n">
        <v>46064.59081018518</v>
      </c>
      <c r="C330" s="1" t="n">
        <v>46070</v>
      </c>
      <c r="D330" t="inlineStr">
        <is>
          <t>UPPSALA LÄN</t>
        </is>
      </c>
      <c r="E330" t="inlineStr">
        <is>
          <t>ENKÖPING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57294-2025</t>
        </is>
      </c>
      <c r="B331" s="1" t="n">
        <v>45979</v>
      </c>
      <c r="C331" s="1" t="n">
        <v>46070</v>
      </c>
      <c r="D331" t="inlineStr">
        <is>
          <t>UPPSALA LÄN</t>
        </is>
      </c>
      <c r="E331" t="inlineStr">
        <is>
          <t>ENKÖPING</t>
        </is>
      </c>
      <c r="G331" t="n">
        <v>6.2</v>
      </c>
      <c r="H331" t="n">
        <v>0</v>
      </c>
      <c r="I331" t="n">
        <v>0</v>
      </c>
      <c r="J331" t="n">
        <v>0</v>
      </c>
      <c r="K331" t="n">
        <v>0</v>
      </c>
      <c r="L331" t="n">
        <v>0</v>
      </c>
      <c r="M331" t="n">
        <v>0</v>
      </c>
      <c r="N331" t="n">
        <v>0</v>
      </c>
      <c r="O331" t="n">
        <v>0</v>
      </c>
      <c r="P331" t="n">
        <v>0</v>
      </c>
      <c r="Q331" t="n">
        <v>0</v>
      </c>
      <c r="R331" s="2" t="inlineStr"/>
    </row>
    <row r="332" ht="15" customHeight="1">
      <c r="A332" t="inlineStr">
        <is>
          <t>A 48843-2023</t>
        </is>
      </c>
      <c r="B332" s="1" t="n">
        <v>45209</v>
      </c>
      <c r="C332" s="1" t="n">
        <v>46070</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33670-2024</t>
        </is>
      </c>
      <c r="B333" s="1" t="n">
        <v>45520</v>
      </c>
      <c r="C333" s="1" t="n">
        <v>46070</v>
      </c>
      <c r="D333" t="inlineStr">
        <is>
          <t>UPPSALA LÄN</t>
        </is>
      </c>
      <c r="E333" t="inlineStr">
        <is>
          <t>ENKÖPING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58025-2025</t>
        </is>
      </c>
      <c r="B334" s="1" t="n">
        <v>45982</v>
      </c>
      <c r="C334" s="1" t="n">
        <v>46070</v>
      </c>
      <c r="D334" t="inlineStr">
        <is>
          <t>UPPSALA LÄN</t>
        </is>
      </c>
      <c r="E334" t="inlineStr">
        <is>
          <t>ENKÖPING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19376-2024</t>
        </is>
      </c>
      <c r="B335" s="1" t="n">
        <v>45429</v>
      </c>
      <c r="C335" s="1" t="n">
        <v>46070</v>
      </c>
      <c r="D335" t="inlineStr">
        <is>
          <t>UPPSALA LÄN</t>
        </is>
      </c>
      <c r="E335" t="inlineStr">
        <is>
          <t>ENKÖPING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57188-2025</t>
        </is>
      </c>
      <c r="B336" s="1" t="n">
        <v>45979</v>
      </c>
      <c r="C336" s="1" t="n">
        <v>46070</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12020-2024</t>
        </is>
      </c>
      <c r="B337" s="1" t="n">
        <v>45377</v>
      </c>
      <c r="C337" s="1" t="n">
        <v>46070</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192-2026</t>
        </is>
      </c>
      <c r="B338" s="1" t="n">
        <v>46025</v>
      </c>
      <c r="C338" s="1" t="n">
        <v>46070</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10465-2022</t>
        </is>
      </c>
      <c r="B339" s="1" t="n">
        <v>44623</v>
      </c>
      <c r="C339" s="1" t="n">
        <v>46070</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14332-2024</t>
        </is>
      </c>
      <c r="B340" s="1" t="n">
        <v>45393</v>
      </c>
      <c r="C340" s="1" t="n">
        <v>46070</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61207-2023</t>
        </is>
      </c>
      <c r="B341" s="1" t="n">
        <v>45264.39444444444</v>
      </c>
      <c r="C341" s="1" t="n">
        <v>46070</v>
      </c>
      <c r="D341" t="inlineStr">
        <is>
          <t>UPPSALA LÄN</t>
        </is>
      </c>
      <c r="E341" t="inlineStr">
        <is>
          <t>ENKÖPING</t>
        </is>
      </c>
      <c r="G341" t="n">
        <v>10.8</v>
      </c>
      <c r="H341" t="n">
        <v>0</v>
      </c>
      <c r="I341" t="n">
        <v>0</v>
      </c>
      <c r="J341" t="n">
        <v>0</v>
      </c>
      <c r="K341" t="n">
        <v>0</v>
      </c>
      <c r="L341" t="n">
        <v>0</v>
      </c>
      <c r="M341" t="n">
        <v>0</v>
      </c>
      <c r="N341" t="n">
        <v>0</v>
      </c>
      <c r="O341" t="n">
        <v>0</v>
      </c>
      <c r="P341" t="n">
        <v>0</v>
      </c>
      <c r="Q341" t="n">
        <v>0</v>
      </c>
      <c r="R341" s="2" t="inlineStr"/>
    </row>
    <row r="342" ht="15" customHeight="1">
      <c r="A342" t="inlineStr">
        <is>
          <t>A 40812-2022</t>
        </is>
      </c>
      <c r="B342" s="1" t="n">
        <v>44824.68791666667</v>
      </c>
      <c r="C342" s="1" t="n">
        <v>46070</v>
      </c>
      <c r="D342" t="inlineStr">
        <is>
          <t>UPPSALA LÄN</t>
        </is>
      </c>
      <c r="E342" t="inlineStr">
        <is>
          <t>ENKÖPING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43691-2024</t>
        </is>
      </c>
      <c r="B343" s="1" t="n">
        <v>45569</v>
      </c>
      <c r="C343" s="1" t="n">
        <v>46070</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861-2026</t>
        </is>
      </c>
      <c r="B344" s="1" t="n">
        <v>46030</v>
      </c>
      <c r="C344" s="1" t="n">
        <v>46070</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25333-2023</t>
        </is>
      </c>
      <c r="B345" s="1" t="n">
        <v>45083</v>
      </c>
      <c r="C345" s="1" t="n">
        <v>46070</v>
      </c>
      <c r="D345" t="inlineStr">
        <is>
          <t>UPPSALA LÄN</t>
        </is>
      </c>
      <c r="E345" t="inlineStr">
        <is>
          <t>ENKÖPING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59668-2025</t>
        </is>
      </c>
      <c r="B346" s="1" t="n">
        <v>45992.45567129629</v>
      </c>
      <c r="C346" s="1" t="n">
        <v>46070</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3300-2025</t>
        </is>
      </c>
      <c r="B347" s="1" t="n">
        <v>45679</v>
      </c>
      <c r="C347" s="1" t="n">
        <v>46070</v>
      </c>
      <c r="D347" t="inlineStr">
        <is>
          <t>UPPSALA LÄN</t>
        </is>
      </c>
      <c r="E347" t="inlineStr">
        <is>
          <t>ENKÖPING</t>
        </is>
      </c>
      <c r="G347" t="n">
        <v>8.9</v>
      </c>
      <c r="H347" t="n">
        <v>0</v>
      </c>
      <c r="I347" t="n">
        <v>0</v>
      </c>
      <c r="J347" t="n">
        <v>0</v>
      </c>
      <c r="K347" t="n">
        <v>0</v>
      </c>
      <c r="L347" t="n">
        <v>0</v>
      </c>
      <c r="M347" t="n">
        <v>0</v>
      </c>
      <c r="N347" t="n">
        <v>0</v>
      </c>
      <c r="O347" t="n">
        <v>0</v>
      </c>
      <c r="P347" t="n">
        <v>0</v>
      </c>
      <c r="Q347" t="n">
        <v>0</v>
      </c>
      <c r="R347" s="2" t="inlineStr"/>
    </row>
    <row r="348" ht="15" customHeight="1">
      <c r="A348" t="inlineStr">
        <is>
          <t>A 59964-2025</t>
        </is>
      </c>
      <c r="B348" s="1" t="n">
        <v>45993.48043981481</v>
      </c>
      <c r="C348" s="1" t="n">
        <v>46070</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12754-2025</t>
        </is>
      </c>
      <c r="B349" s="1" t="n">
        <v>45733.56331018519</v>
      </c>
      <c r="C349" s="1" t="n">
        <v>46070</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16176-2025</t>
        </is>
      </c>
      <c r="B350" s="1" t="n">
        <v>45750</v>
      </c>
      <c r="C350" s="1" t="n">
        <v>46070</v>
      </c>
      <c r="D350" t="inlineStr">
        <is>
          <t>UPPSALA LÄN</t>
        </is>
      </c>
      <c r="E350" t="inlineStr">
        <is>
          <t>ENKÖPING</t>
        </is>
      </c>
      <c r="G350" t="n">
        <v>3.9</v>
      </c>
      <c r="H350" t="n">
        <v>0</v>
      </c>
      <c r="I350" t="n">
        <v>0</v>
      </c>
      <c r="J350" t="n">
        <v>0</v>
      </c>
      <c r="K350" t="n">
        <v>0</v>
      </c>
      <c r="L350" t="n">
        <v>0</v>
      </c>
      <c r="M350" t="n">
        <v>0</v>
      </c>
      <c r="N350" t="n">
        <v>0</v>
      </c>
      <c r="O350" t="n">
        <v>0</v>
      </c>
      <c r="P350" t="n">
        <v>0</v>
      </c>
      <c r="Q350" t="n">
        <v>0</v>
      </c>
      <c r="R350" s="2" t="inlineStr"/>
    </row>
    <row r="351" ht="15" customHeight="1">
      <c r="A351" t="inlineStr">
        <is>
          <t>A 60340-2025</t>
        </is>
      </c>
      <c r="B351" s="1" t="n">
        <v>45994.83415509259</v>
      </c>
      <c r="C351" s="1" t="n">
        <v>46070</v>
      </c>
      <c r="D351" t="inlineStr">
        <is>
          <t>UPPSALA LÄN</t>
        </is>
      </c>
      <c r="E351" t="inlineStr">
        <is>
          <t>ENKÖPING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56713-2024</t>
        </is>
      </c>
      <c r="B352" s="1" t="n">
        <v>45628</v>
      </c>
      <c r="C352" s="1" t="n">
        <v>46070</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37870-2023</t>
        </is>
      </c>
      <c r="B353" s="1" t="n">
        <v>45160.41996527778</v>
      </c>
      <c r="C353" s="1" t="n">
        <v>46070</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22094-2023</t>
        </is>
      </c>
      <c r="B354" s="1" t="n">
        <v>45069</v>
      </c>
      <c r="C354" s="1" t="n">
        <v>46070</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15405-2025</t>
        </is>
      </c>
      <c r="B355" s="1" t="n">
        <v>45747.44670138889</v>
      </c>
      <c r="C355" s="1" t="n">
        <v>46070</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60174-2025</t>
        </is>
      </c>
      <c r="B356" s="1" t="n">
        <v>45994.45039351852</v>
      </c>
      <c r="C356" s="1" t="n">
        <v>46070</v>
      </c>
      <c r="D356" t="inlineStr">
        <is>
          <t>UPPSALA LÄN</t>
        </is>
      </c>
      <c r="E356" t="inlineStr">
        <is>
          <t>ENKÖPING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2218-2026</t>
        </is>
      </c>
      <c r="B357" s="1" t="n">
        <v>46036.50010416667</v>
      </c>
      <c r="C357" s="1" t="n">
        <v>46070</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35079-2024</t>
        </is>
      </c>
      <c r="B358" s="1" t="n">
        <v>45527.66770833333</v>
      </c>
      <c r="C358" s="1" t="n">
        <v>46070</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60175-2025</t>
        </is>
      </c>
      <c r="B359" s="1" t="n">
        <v>45994.45378472222</v>
      </c>
      <c r="C359" s="1" t="n">
        <v>46070</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33581-2023</t>
        </is>
      </c>
      <c r="B360" s="1" t="n">
        <v>45131</v>
      </c>
      <c r="C360" s="1" t="n">
        <v>46070</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60947-2025</t>
        </is>
      </c>
      <c r="B361" s="1" t="n">
        <v>45999</v>
      </c>
      <c r="C361" s="1" t="n">
        <v>46070</v>
      </c>
      <c r="D361" t="inlineStr">
        <is>
          <t>UPPSALA LÄN</t>
        </is>
      </c>
      <c r="E361" t="inlineStr">
        <is>
          <t>ENKÖPING</t>
        </is>
      </c>
      <c r="G361" t="n">
        <v>4</v>
      </c>
      <c r="H361" t="n">
        <v>0</v>
      </c>
      <c r="I361" t="n">
        <v>0</v>
      </c>
      <c r="J361" t="n">
        <v>0</v>
      </c>
      <c r="K361" t="n">
        <v>0</v>
      </c>
      <c r="L361" t="n">
        <v>0</v>
      </c>
      <c r="M361" t="n">
        <v>0</v>
      </c>
      <c r="N361" t="n">
        <v>0</v>
      </c>
      <c r="O361" t="n">
        <v>0</v>
      </c>
      <c r="P361" t="n">
        <v>0</v>
      </c>
      <c r="Q361" t="n">
        <v>0</v>
      </c>
      <c r="R361" s="2" t="inlineStr"/>
    </row>
    <row r="362" ht="15" customHeight="1">
      <c r="A362" t="inlineStr">
        <is>
          <t>A 56163-2021</t>
        </is>
      </c>
      <c r="B362" s="1" t="n">
        <v>44477</v>
      </c>
      <c r="C362" s="1" t="n">
        <v>46070</v>
      </c>
      <c r="D362" t="inlineStr">
        <is>
          <t>UPPSALA LÄN</t>
        </is>
      </c>
      <c r="E362" t="inlineStr">
        <is>
          <t>ENKÖPING</t>
        </is>
      </c>
      <c r="F362" t="inlineStr">
        <is>
          <t>Allmännings- och besparingsskogar</t>
        </is>
      </c>
      <c r="G362" t="n">
        <v>0.6</v>
      </c>
      <c r="H362" t="n">
        <v>0</v>
      </c>
      <c r="I362" t="n">
        <v>0</v>
      </c>
      <c r="J362" t="n">
        <v>0</v>
      </c>
      <c r="K362" t="n">
        <v>0</v>
      </c>
      <c r="L362" t="n">
        <v>0</v>
      </c>
      <c r="M362" t="n">
        <v>0</v>
      </c>
      <c r="N362" t="n">
        <v>0</v>
      </c>
      <c r="O362" t="n">
        <v>0</v>
      </c>
      <c r="P362" t="n">
        <v>0</v>
      </c>
      <c r="Q362" t="n">
        <v>0</v>
      </c>
      <c r="R362" s="2" t="inlineStr"/>
    </row>
    <row r="363" ht="15" customHeight="1">
      <c r="A363" t="inlineStr">
        <is>
          <t>A 47909-2024</t>
        </is>
      </c>
      <c r="B363" s="1" t="n">
        <v>45589.31866898148</v>
      </c>
      <c r="C363" s="1" t="n">
        <v>46070</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51932-2022</t>
        </is>
      </c>
      <c r="B364" s="1" t="n">
        <v>44872</v>
      </c>
      <c r="C364" s="1" t="n">
        <v>46070</v>
      </c>
      <c r="D364" t="inlineStr">
        <is>
          <t>UPPSALA LÄN</t>
        </is>
      </c>
      <c r="E364" t="inlineStr">
        <is>
          <t>ENKÖPING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60934-2025</t>
        </is>
      </c>
      <c r="B365" s="1" t="n">
        <v>45999</v>
      </c>
      <c r="C365" s="1" t="n">
        <v>46070</v>
      </c>
      <c r="D365" t="inlineStr">
        <is>
          <t>UPPSALA LÄN</t>
        </is>
      </c>
      <c r="E365" t="inlineStr">
        <is>
          <t>ENKÖPING</t>
        </is>
      </c>
      <c r="G365" t="n">
        <v>2.5</v>
      </c>
      <c r="H365" t="n">
        <v>0</v>
      </c>
      <c r="I365" t="n">
        <v>0</v>
      </c>
      <c r="J365" t="n">
        <v>0</v>
      </c>
      <c r="K365" t="n">
        <v>0</v>
      </c>
      <c r="L365" t="n">
        <v>0</v>
      </c>
      <c r="M365" t="n">
        <v>0</v>
      </c>
      <c r="N365" t="n">
        <v>0</v>
      </c>
      <c r="O365" t="n">
        <v>0</v>
      </c>
      <c r="P365" t="n">
        <v>0</v>
      </c>
      <c r="Q365" t="n">
        <v>0</v>
      </c>
      <c r="R365" s="2" t="inlineStr"/>
    </row>
    <row r="366" ht="15" customHeight="1">
      <c r="A366" t="inlineStr">
        <is>
          <t>A 61437-2025</t>
        </is>
      </c>
      <c r="B366" s="1" t="n">
        <v>46001.5659375</v>
      </c>
      <c r="C366" s="1" t="n">
        <v>46070</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59497-2022</t>
        </is>
      </c>
      <c r="B367" s="1" t="n">
        <v>44907.48258101852</v>
      </c>
      <c r="C367" s="1" t="n">
        <v>46070</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9041-2023</t>
        </is>
      </c>
      <c r="B368" s="1" t="n">
        <v>44979</v>
      </c>
      <c r="C368" s="1" t="n">
        <v>46070</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12755-2025</t>
        </is>
      </c>
      <c r="B369" s="1" t="n">
        <v>45733.56541666666</v>
      </c>
      <c r="C369" s="1" t="n">
        <v>46070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59027-2024</t>
        </is>
      </c>
      <c r="B370" s="1" t="n">
        <v>45636.68755787037</v>
      </c>
      <c r="C370" s="1" t="n">
        <v>46070</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53587-2024</t>
        </is>
      </c>
      <c r="B371" s="1" t="n">
        <v>45614.66953703704</v>
      </c>
      <c r="C371" s="1" t="n">
        <v>46070</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11503-2024</t>
        </is>
      </c>
      <c r="B372" s="1" t="n">
        <v>45372.68020833333</v>
      </c>
      <c r="C372" s="1" t="n">
        <v>46070</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39115-2024</t>
        </is>
      </c>
      <c r="B373" s="1" t="n">
        <v>45548</v>
      </c>
      <c r="C373" s="1" t="n">
        <v>46070</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25334-2023</t>
        </is>
      </c>
      <c r="B374" s="1" t="n">
        <v>45083</v>
      </c>
      <c r="C374" s="1" t="n">
        <v>46070</v>
      </c>
      <c r="D374" t="inlineStr">
        <is>
          <t>UPPSALA LÄN</t>
        </is>
      </c>
      <c r="E374" t="inlineStr">
        <is>
          <t>ENKÖPING</t>
        </is>
      </c>
      <c r="G374" t="n">
        <v>0.2</v>
      </c>
      <c r="H374" t="n">
        <v>0</v>
      </c>
      <c r="I374" t="n">
        <v>0</v>
      </c>
      <c r="J374" t="n">
        <v>0</v>
      </c>
      <c r="K374" t="n">
        <v>0</v>
      </c>
      <c r="L374" t="n">
        <v>0</v>
      </c>
      <c r="M374" t="n">
        <v>0</v>
      </c>
      <c r="N374" t="n">
        <v>0</v>
      </c>
      <c r="O374" t="n">
        <v>0</v>
      </c>
      <c r="P374" t="n">
        <v>0</v>
      </c>
      <c r="Q374" t="n">
        <v>0</v>
      </c>
      <c r="R374" s="2" t="inlineStr"/>
    </row>
    <row r="375" ht="15" customHeight="1">
      <c r="A375" t="inlineStr">
        <is>
          <t>A 56837-2024</t>
        </is>
      </c>
      <c r="B375" s="1" t="n">
        <v>45628</v>
      </c>
      <c r="C375" s="1" t="n">
        <v>46070</v>
      </c>
      <c r="D375" t="inlineStr">
        <is>
          <t>UPPSALA LÄN</t>
        </is>
      </c>
      <c r="E375" t="inlineStr">
        <is>
          <t>ENKÖPING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18821-2023</t>
        </is>
      </c>
      <c r="B376" s="1" t="n">
        <v>45044.3782175926</v>
      </c>
      <c r="C376" s="1" t="n">
        <v>46070</v>
      </c>
      <c r="D376" t="inlineStr">
        <is>
          <t>UPPSALA LÄN</t>
        </is>
      </c>
      <c r="E376" t="inlineStr">
        <is>
          <t>ENKÖPING</t>
        </is>
      </c>
      <c r="G376" t="n">
        <v>6</v>
      </c>
      <c r="H376" t="n">
        <v>0</v>
      </c>
      <c r="I376" t="n">
        <v>0</v>
      </c>
      <c r="J376" t="n">
        <v>0</v>
      </c>
      <c r="K376" t="n">
        <v>0</v>
      </c>
      <c r="L376" t="n">
        <v>0</v>
      </c>
      <c r="M376" t="n">
        <v>0</v>
      </c>
      <c r="N376" t="n">
        <v>0</v>
      </c>
      <c r="O376" t="n">
        <v>0</v>
      </c>
      <c r="P376" t="n">
        <v>0</v>
      </c>
      <c r="Q376" t="n">
        <v>0</v>
      </c>
      <c r="R376" s="2" t="inlineStr"/>
    </row>
    <row r="377" ht="15" customHeight="1">
      <c r="A377" t="inlineStr">
        <is>
          <t>A 57335-2024</t>
        </is>
      </c>
      <c r="B377" s="1" t="n">
        <v>45629.63302083333</v>
      </c>
      <c r="C377" s="1" t="n">
        <v>46070</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57835-2024</t>
        </is>
      </c>
      <c r="B378" s="1" t="n">
        <v>45631.39947916667</v>
      </c>
      <c r="C378" s="1" t="n">
        <v>46070</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53208-2023</t>
        </is>
      </c>
      <c r="B379" s="1" t="n">
        <v>45226</v>
      </c>
      <c r="C379" s="1" t="n">
        <v>46070</v>
      </c>
      <c r="D379" t="inlineStr">
        <is>
          <t>UPPSALA LÄN</t>
        </is>
      </c>
      <c r="E379" t="inlineStr">
        <is>
          <t>ENKÖPING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19013-2025</t>
        </is>
      </c>
      <c r="B380" s="1" t="n">
        <v>45764.59533564815</v>
      </c>
      <c r="C380" s="1" t="n">
        <v>46070</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2164-2023</t>
        </is>
      </c>
      <c r="B381" s="1" t="n">
        <v>44941</v>
      </c>
      <c r="C381" s="1" t="n">
        <v>46070</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61952-2021</t>
        </is>
      </c>
      <c r="B382" s="1" t="n">
        <v>44502</v>
      </c>
      <c r="C382" s="1" t="n">
        <v>46070</v>
      </c>
      <c r="D382" t="inlineStr">
        <is>
          <t>UPPSALA LÄN</t>
        </is>
      </c>
      <c r="E382" t="inlineStr">
        <is>
          <t>ENKÖPING</t>
        </is>
      </c>
      <c r="G382" t="n">
        <v>2.3</v>
      </c>
      <c r="H382" t="n">
        <v>0</v>
      </c>
      <c r="I382" t="n">
        <v>0</v>
      </c>
      <c r="J382" t="n">
        <v>0</v>
      </c>
      <c r="K382" t="n">
        <v>0</v>
      </c>
      <c r="L382" t="n">
        <v>0</v>
      </c>
      <c r="M382" t="n">
        <v>0</v>
      </c>
      <c r="N382" t="n">
        <v>0</v>
      </c>
      <c r="O382" t="n">
        <v>0</v>
      </c>
      <c r="P382" t="n">
        <v>0</v>
      </c>
      <c r="Q382" t="n">
        <v>0</v>
      </c>
      <c r="R382" s="2" t="inlineStr"/>
    </row>
    <row r="383" ht="15" customHeight="1">
      <c r="A383" t="inlineStr">
        <is>
          <t>A 14083-2025</t>
        </is>
      </c>
      <c r="B383" s="1" t="n">
        <v>45740</v>
      </c>
      <c r="C383" s="1" t="n">
        <v>46070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69879-2021</t>
        </is>
      </c>
      <c r="B384" s="1" t="n">
        <v>44532</v>
      </c>
      <c r="C384" s="1" t="n">
        <v>46070</v>
      </c>
      <c r="D384" t="inlineStr">
        <is>
          <t>UPPSALA LÄN</t>
        </is>
      </c>
      <c r="E384" t="inlineStr">
        <is>
          <t>ENKÖPING</t>
        </is>
      </c>
      <c r="G384" t="n">
        <v>4.2</v>
      </c>
      <c r="H384" t="n">
        <v>0</v>
      </c>
      <c r="I384" t="n">
        <v>0</v>
      </c>
      <c r="J384" t="n">
        <v>0</v>
      </c>
      <c r="K384" t="n">
        <v>0</v>
      </c>
      <c r="L384" t="n">
        <v>0</v>
      </c>
      <c r="M384" t="n">
        <v>0</v>
      </c>
      <c r="N384" t="n">
        <v>0</v>
      </c>
      <c r="O384" t="n">
        <v>0</v>
      </c>
      <c r="P384" t="n">
        <v>0</v>
      </c>
      <c r="Q384" t="n">
        <v>0</v>
      </c>
      <c r="R384" s="2" t="inlineStr"/>
    </row>
    <row r="385" ht="15" customHeight="1">
      <c r="A385" t="inlineStr">
        <is>
          <t>A 15757-2023</t>
        </is>
      </c>
      <c r="B385" s="1" t="n">
        <v>45021</v>
      </c>
      <c r="C385" s="1" t="n">
        <v>46070</v>
      </c>
      <c r="D385" t="inlineStr">
        <is>
          <t>UPPSALA LÄN</t>
        </is>
      </c>
      <c r="E385" t="inlineStr">
        <is>
          <t>ENKÖPING</t>
        </is>
      </c>
      <c r="G385" t="n">
        <v>3</v>
      </c>
      <c r="H385" t="n">
        <v>0</v>
      </c>
      <c r="I385" t="n">
        <v>0</v>
      </c>
      <c r="J385" t="n">
        <v>0</v>
      </c>
      <c r="K385" t="n">
        <v>0</v>
      </c>
      <c r="L385" t="n">
        <v>0</v>
      </c>
      <c r="M385" t="n">
        <v>0</v>
      </c>
      <c r="N385" t="n">
        <v>0</v>
      </c>
      <c r="O385" t="n">
        <v>0</v>
      </c>
      <c r="P385" t="n">
        <v>0</v>
      </c>
      <c r="Q385" t="n">
        <v>0</v>
      </c>
      <c r="R385" s="2" t="inlineStr"/>
    </row>
    <row r="386" ht="15" customHeight="1">
      <c r="A386" t="inlineStr">
        <is>
          <t>A 2161-2023</t>
        </is>
      </c>
      <c r="B386" s="1" t="n">
        <v>44941</v>
      </c>
      <c r="C386" s="1" t="n">
        <v>46070</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2165-2023</t>
        </is>
      </c>
      <c r="B387" s="1" t="n">
        <v>44941</v>
      </c>
      <c r="C387" s="1" t="n">
        <v>46070</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20112-2024</t>
        </is>
      </c>
      <c r="B388" s="1" t="n">
        <v>45434</v>
      </c>
      <c r="C388" s="1" t="n">
        <v>46070</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2162-2023</t>
        </is>
      </c>
      <c r="B389" s="1" t="n">
        <v>44941</v>
      </c>
      <c r="C389" s="1" t="n">
        <v>46070</v>
      </c>
      <c r="D389" t="inlineStr">
        <is>
          <t>UPPSALA LÄN</t>
        </is>
      </c>
      <c r="E389" t="inlineStr">
        <is>
          <t>ENKÖPING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32081-2024</t>
        </is>
      </c>
      <c r="B390" s="1" t="n">
        <v>45511.34605324074</v>
      </c>
      <c r="C390" s="1" t="n">
        <v>46070</v>
      </c>
      <c r="D390" t="inlineStr">
        <is>
          <t>UPPSALA LÄN</t>
        </is>
      </c>
      <c r="E390" t="inlineStr">
        <is>
          <t>ENKÖPING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2968-2025</t>
        </is>
      </c>
      <c r="B391" s="1" t="n">
        <v>45678</v>
      </c>
      <c r="C391" s="1" t="n">
        <v>46070</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49525-2021</t>
        </is>
      </c>
      <c r="B392" s="1" t="n">
        <v>44455</v>
      </c>
      <c r="C392" s="1" t="n">
        <v>46070</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6959-2025</t>
        </is>
      </c>
      <c r="B393" s="1" t="n">
        <v>45701.49315972222</v>
      </c>
      <c r="C393" s="1" t="n">
        <v>46070</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30437-2022</t>
        </is>
      </c>
      <c r="B394" s="1" t="n">
        <v>44761</v>
      </c>
      <c r="C394" s="1" t="n">
        <v>46070</v>
      </c>
      <c r="D394" t="inlineStr">
        <is>
          <t>UPPSALA LÄN</t>
        </is>
      </c>
      <c r="E394" t="inlineStr">
        <is>
          <t>ENKÖPING</t>
        </is>
      </c>
      <c r="G394" t="n">
        <v>3.4</v>
      </c>
      <c r="H394" t="n">
        <v>0</v>
      </c>
      <c r="I394" t="n">
        <v>0</v>
      </c>
      <c r="J394" t="n">
        <v>0</v>
      </c>
      <c r="K394" t="n">
        <v>0</v>
      </c>
      <c r="L394" t="n">
        <v>0</v>
      </c>
      <c r="M394" t="n">
        <v>0</v>
      </c>
      <c r="N394" t="n">
        <v>0</v>
      </c>
      <c r="O394" t="n">
        <v>0</v>
      </c>
      <c r="P394" t="n">
        <v>0</v>
      </c>
      <c r="Q394" t="n">
        <v>0</v>
      </c>
      <c r="R394" s="2" t="inlineStr"/>
    </row>
    <row r="395" ht="15" customHeight="1">
      <c r="A395" t="inlineStr">
        <is>
          <t>A 51011-2024</t>
        </is>
      </c>
      <c r="B395" s="1" t="n">
        <v>45603.39427083333</v>
      </c>
      <c r="C395" s="1" t="n">
        <v>46070</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26319-2022</t>
        </is>
      </c>
      <c r="B396" s="1" t="n">
        <v>44735</v>
      </c>
      <c r="C396" s="1" t="n">
        <v>46070</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29918-2023</t>
        </is>
      </c>
      <c r="B397" s="1" t="n">
        <v>45099</v>
      </c>
      <c r="C397" s="1" t="n">
        <v>46070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24291-2024</t>
        </is>
      </c>
      <c r="B398" s="1" t="n">
        <v>45457.4584837963</v>
      </c>
      <c r="C398" s="1" t="n">
        <v>46070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2833-2025</t>
        </is>
      </c>
      <c r="B399" s="1" t="n">
        <v>45677.63206018518</v>
      </c>
      <c r="C399" s="1" t="n">
        <v>46070</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50006-2023</t>
        </is>
      </c>
      <c r="B400" s="1" t="n">
        <v>45215</v>
      </c>
      <c r="C400" s="1" t="n">
        <v>46070</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56526-2022</t>
        </is>
      </c>
      <c r="B401" s="1" t="n">
        <v>44893</v>
      </c>
      <c r="C401" s="1" t="n">
        <v>46070</v>
      </c>
      <c r="D401" t="inlineStr">
        <is>
          <t>UPPSALA LÄN</t>
        </is>
      </c>
      <c r="E401" t="inlineStr">
        <is>
          <t>ENKÖPING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39858-2024</t>
        </is>
      </c>
      <c r="B402" s="1" t="n">
        <v>45553</v>
      </c>
      <c r="C402" s="1" t="n">
        <v>46070</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60289-2022</t>
        </is>
      </c>
      <c r="B403" s="1" t="n">
        <v>44910.53026620371</v>
      </c>
      <c r="C403" s="1" t="n">
        <v>46070</v>
      </c>
      <c r="D403" t="inlineStr">
        <is>
          <t>UPPSALA LÄN</t>
        </is>
      </c>
      <c r="E403" t="inlineStr">
        <is>
          <t>ENKÖPING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13110-2023</t>
        </is>
      </c>
      <c r="B404" s="1" t="n">
        <v>45001</v>
      </c>
      <c r="C404" s="1" t="n">
        <v>46070</v>
      </c>
      <c r="D404" t="inlineStr">
        <is>
          <t>UPPSALA LÄN</t>
        </is>
      </c>
      <c r="E404" t="inlineStr">
        <is>
          <t>ENKÖPING</t>
        </is>
      </c>
      <c r="G404" t="n">
        <v>2.5</v>
      </c>
      <c r="H404" t="n">
        <v>0</v>
      </c>
      <c r="I404" t="n">
        <v>0</v>
      </c>
      <c r="J404" t="n">
        <v>0</v>
      </c>
      <c r="K404" t="n">
        <v>0</v>
      </c>
      <c r="L404" t="n">
        <v>0</v>
      </c>
      <c r="M404" t="n">
        <v>0</v>
      </c>
      <c r="N404" t="n">
        <v>0</v>
      </c>
      <c r="O404" t="n">
        <v>0</v>
      </c>
      <c r="P404" t="n">
        <v>0</v>
      </c>
      <c r="Q404" t="n">
        <v>0</v>
      </c>
      <c r="R404" s="2" t="inlineStr"/>
    </row>
    <row r="405" ht="15" customHeight="1">
      <c r="A405" t="inlineStr">
        <is>
          <t>A 58384-2022</t>
        </is>
      </c>
      <c r="B405" s="1" t="n">
        <v>44901</v>
      </c>
      <c r="C405" s="1" t="n">
        <v>46070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59602-2022</t>
        </is>
      </c>
      <c r="B406" s="1" t="n">
        <v>44907.72241898148</v>
      </c>
      <c r="C406" s="1" t="n">
        <v>46070</v>
      </c>
      <c r="D406" t="inlineStr">
        <is>
          <t>UPPSALA LÄN</t>
        </is>
      </c>
      <c r="E406" t="inlineStr">
        <is>
          <t>ENKÖPING</t>
        </is>
      </c>
      <c r="G406" t="n">
        <v>14.2</v>
      </c>
      <c r="H406" t="n">
        <v>0</v>
      </c>
      <c r="I406" t="n">
        <v>0</v>
      </c>
      <c r="J406" t="n">
        <v>0</v>
      </c>
      <c r="K406" t="n">
        <v>0</v>
      </c>
      <c r="L406" t="n">
        <v>0</v>
      </c>
      <c r="M406" t="n">
        <v>0</v>
      </c>
      <c r="N406" t="n">
        <v>0</v>
      </c>
      <c r="O406" t="n">
        <v>0</v>
      </c>
      <c r="P406" t="n">
        <v>0</v>
      </c>
      <c r="Q406" t="n">
        <v>0</v>
      </c>
      <c r="R406" s="2" t="inlineStr"/>
    </row>
    <row r="407" ht="15" customHeight="1">
      <c r="A407" t="inlineStr">
        <is>
          <t>A 31965-2021</t>
        </is>
      </c>
      <c r="B407" s="1" t="n">
        <v>44370.56901620371</v>
      </c>
      <c r="C407" s="1" t="n">
        <v>46070</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67984-2021</t>
        </is>
      </c>
      <c r="B408" s="1" t="n">
        <v>44525.70237268518</v>
      </c>
      <c r="C408" s="1" t="n">
        <v>46070</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33619-2022</t>
        </is>
      </c>
      <c r="B409" s="1" t="n">
        <v>44789</v>
      </c>
      <c r="C409" s="1" t="n">
        <v>46070</v>
      </c>
      <c r="D409" t="inlineStr">
        <is>
          <t>UPPSALA LÄN</t>
        </is>
      </c>
      <c r="E409" t="inlineStr">
        <is>
          <t>ENKÖPING</t>
        </is>
      </c>
      <c r="F409" t="inlineStr">
        <is>
          <t>Allmännings- och besparingsskogar</t>
        </is>
      </c>
      <c r="G409" t="n">
        <v>4.5</v>
      </c>
      <c r="H409" t="n">
        <v>0</v>
      </c>
      <c r="I409" t="n">
        <v>0</v>
      </c>
      <c r="J409" t="n">
        <v>0</v>
      </c>
      <c r="K409" t="n">
        <v>0</v>
      </c>
      <c r="L409" t="n">
        <v>0</v>
      </c>
      <c r="M409" t="n">
        <v>0</v>
      </c>
      <c r="N409" t="n">
        <v>0</v>
      </c>
      <c r="O409" t="n">
        <v>0</v>
      </c>
      <c r="P409" t="n">
        <v>0</v>
      </c>
      <c r="Q409" t="n">
        <v>0</v>
      </c>
      <c r="R409" s="2" t="inlineStr"/>
    </row>
    <row r="410" ht="15" customHeight="1">
      <c r="A410" t="inlineStr">
        <is>
          <t>A 10829-2024</t>
        </is>
      </c>
      <c r="B410" s="1" t="n">
        <v>45369</v>
      </c>
      <c r="C410" s="1" t="n">
        <v>46070</v>
      </c>
      <c r="D410" t="inlineStr">
        <is>
          <t>UPPSALA LÄN</t>
        </is>
      </c>
      <c r="E410" t="inlineStr">
        <is>
          <t>ENKÖPING</t>
        </is>
      </c>
      <c r="G410" t="n">
        <v>2.1</v>
      </c>
      <c r="H410" t="n">
        <v>0</v>
      </c>
      <c r="I410" t="n">
        <v>0</v>
      </c>
      <c r="J410" t="n">
        <v>0</v>
      </c>
      <c r="K410" t="n">
        <v>0</v>
      </c>
      <c r="L410" t="n">
        <v>0</v>
      </c>
      <c r="M410" t="n">
        <v>0</v>
      </c>
      <c r="N410" t="n">
        <v>0</v>
      </c>
      <c r="O410" t="n">
        <v>0</v>
      </c>
      <c r="P410" t="n">
        <v>0</v>
      </c>
      <c r="Q410" t="n">
        <v>0</v>
      </c>
      <c r="R410" s="2" t="inlineStr"/>
    </row>
    <row r="411" ht="15" customHeight="1">
      <c r="A411" t="inlineStr">
        <is>
          <t>A 67982-2021</t>
        </is>
      </c>
      <c r="B411" s="1" t="n">
        <v>44525</v>
      </c>
      <c r="C411" s="1" t="n">
        <v>46070</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51034-2024</t>
        </is>
      </c>
      <c r="B412" s="1" t="n">
        <v>45603.4262037037</v>
      </c>
      <c r="C412" s="1" t="n">
        <v>46070</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51036-2024</t>
        </is>
      </c>
      <c r="B413" s="1" t="n">
        <v>45603.42839120371</v>
      </c>
      <c r="C413" s="1" t="n">
        <v>46070</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55876-2024</t>
        </is>
      </c>
      <c r="B414" s="1" t="n">
        <v>45623.5546412037</v>
      </c>
      <c r="C414" s="1" t="n">
        <v>46070</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11005-2023</t>
        </is>
      </c>
      <c r="B415" s="1" t="n">
        <v>44991</v>
      </c>
      <c r="C415" s="1" t="n">
        <v>46070</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57142-2021</t>
        </is>
      </c>
      <c r="B416" s="1" t="n">
        <v>44482</v>
      </c>
      <c r="C416" s="1" t="n">
        <v>46070</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57147-2021</t>
        </is>
      </c>
      <c r="B417" s="1" t="n">
        <v>44482</v>
      </c>
      <c r="C417" s="1" t="n">
        <v>46070</v>
      </c>
      <c r="D417" t="inlineStr">
        <is>
          <t>UPPSALA LÄN</t>
        </is>
      </c>
      <c r="E417" t="inlineStr">
        <is>
          <t>ENKÖPING</t>
        </is>
      </c>
      <c r="G417" t="n">
        <v>5.7</v>
      </c>
      <c r="H417" t="n">
        <v>0</v>
      </c>
      <c r="I417" t="n">
        <v>0</v>
      </c>
      <c r="J417" t="n">
        <v>0</v>
      </c>
      <c r="K417" t="n">
        <v>0</v>
      </c>
      <c r="L417" t="n">
        <v>0</v>
      </c>
      <c r="M417" t="n">
        <v>0</v>
      </c>
      <c r="N417" t="n">
        <v>0</v>
      </c>
      <c r="O417" t="n">
        <v>0</v>
      </c>
      <c r="P417" t="n">
        <v>0</v>
      </c>
      <c r="Q417" t="n">
        <v>0</v>
      </c>
      <c r="R417" s="2" t="inlineStr"/>
    </row>
    <row r="418" ht="15" customHeight="1">
      <c r="A418" t="inlineStr">
        <is>
          <t>A 7868-2024</t>
        </is>
      </c>
      <c r="B418" s="1" t="n">
        <v>45350.33020833333</v>
      </c>
      <c r="C418" s="1" t="n">
        <v>46070</v>
      </c>
      <c r="D418" t="inlineStr">
        <is>
          <t>UPPSALA LÄN</t>
        </is>
      </c>
      <c r="E418" t="inlineStr">
        <is>
          <t>ENKÖPING</t>
        </is>
      </c>
      <c r="G418" t="n">
        <v>0.3</v>
      </c>
      <c r="H418" t="n">
        <v>0</v>
      </c>
      <c r="I418" t="n">
        <v>0</v>
      </c>
      <c r="J418" t="n">
        <v>0</v>
      </c>
      <c r="K418" t="n">
        <v>0</v>
      </c>
      <c r="L418" t="n">
        <v>0</v>
      </c>
      <c r="M418" t="n">
        <v>0</v>
      </c>
      <c r="N418" t="n">
        <v>0</v>
      </c>
      <c r="O418" t="n">
        <v>0</v>
      </c>
      <c r="P418" t="n">
        <v>0</v>
      </c>
      <c r="Q418" t="n">
        <v>0</v>
      </c>
      <c r="R418" s="2" t="inlineStr"/>
    </row>
    <row r="419" ht="15" customHeight="1">
      <c r="A419" t="inlineStr">
        <is>
          <t>A 7870-2024</t>
        </is>
      </c>
      <c r="B419" s="1" t="n">
        <v>45350.33349537037</v>
      </c>
      <c r="C419" s="1" t="n">
        <v>46070</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9231-2023</t>
        </is>
      </c>
      <c r="B420" s="1" t="n">
        <v>44980</v>
      </c>
      <c r="C420" s="1" t="n">
        <v>46070</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16916-2022</t>
        </is>
      </c>
      <c r="B421" s="1" t="n">
        <v>44676</v>
      </c>
      <c r="C421" s="1" t="n">
        <v>46070</v>
      </c>
      <c r="D421" t="inlineStr">
        <is>
          <t>UPPSALA LÄN</t>
        </is>
      </c>
      <c r="E421" t="inlineStr">
        <is>
          <t>ENKÖPING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30514-2021</t>
        </is>
      </c>
      <c r="B422" s="1" t="n">
        <v>44364</v>
      </c>
      <c r="C422" s="1" t="n">
        <v>46070</v>
      </c>
      <c r="D422" t="inlineStr">
        <is>
          <t>UPPSALA LÄN</t>
        </is>
      </c>
      <c r="E422" t="inlineStr">
        <is>
          <t>ENKÖPING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31604-2023</t>
        </is>
      </c>
      <c r="B423" s="1" t="n">
        <v>45117.50368055556</v>
      </c>
      <c r="C423" s="1" t="n">
        <v>46070</v>
      </c>
      <c r="D423" t="inlineStr">
        <is>
          <t>UPPSALA LÄN</t>
        </is>
      </c>
      <c r="E423" t="inlineStr">
        <is>
          <t>ENKÖPING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25598-2021</t>
        </is>
      </c>
      <c r="B424" s="1" t="n">
        <v>44343.4558912037</v>
      </c>
      <c r="C424" s="1" t="n">
        <v>46070</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15162-2025</t>
        </is>
      </c>
      <c r="B425" s="1" t="n">
        <v>45744</v>
      </c>
      <c r="C425" s="1" t="n">
        <v>46070</v>
      </c>
      <c r="D425" t="inlineStr">
        <is>
          <t>UPPSALA LÄN</t>
        </is>
      </c>
      <c r="E425" t="inlineStr">
        <is>
          <t>ENKÖPING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52388-2024</t>
        </is>
      </c>
      <c r="B426" s="1" t="n">
        <v>45609.42939814815</v>
      </c>
      <c r="C426" s="1" t="n">
        <v>46070</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53607-2023</t>
        </is>
      </c>
      <c r="B427" s="1" t="n">
        <v>45230</v>
      </c>
      <c r="C427" s="1" t="n">
        <v>46070</v>
      </c>
      <c r="D427" t="inlineStr">
        <is>
          <t>UPPSALA LÄN</t>
        </is>
      </c>
      <c r="E427" t="inlineStr">
        <is>
          <t>ENKÖPING</t>
        </is>
      </c>
      <c r="F427" t="inlineStr">
        <is>
          <t>Allmännings- och besparingsskogar</t>
        </is>
      </c>
      <c r="G427" t="n">
        <v>6.3</v>
      </c>
      <c r="H427" t="n">
        <v>0</v>
      </c>
      <c r="I427" t="n">
        <v>0</v>
      </c>
      <c r="J427" t="n">
        <v>0</v>
      </c>
      <c r="K427" t="n">
        <v>0</v>
      </c>
      <c r="L427" t="n">
        <v>0</v>
      </c>
      <c r="M427" t="n">
        <v>0</v>
      </c>
      <c r="N427" t="n">
        <v>0</v>
      </c>
      <c r="O427" t="n">
        <v>0</v>
      </c>
      <c r="P427" t="n">
        <v>0</v>
      </c>
      <c r="Q427" t="n">
        <v>0</v>
      </c>
      <c r="R427" s="2" t="inlineStr"/>
    </row>
    <row r="428" ht="15" customHeight="1">
      <c r="A428" t="inlineStr">
        <is>
          <t>A 40202-2024</t>
        </is>
      </c>
      <c r="B428" s="1" t="n">
        <v>45554</v>
      </c>
      <c r="C428" s="1" t="n">
        <v>46070</v>
      </c>
      <c r="D428" t="inlineStr">
        <is>
          <t>UPPSALA LÄN</t>
        </is>
      </c>
      <c r="E428" t="inlineStr">
        <is>
          <t>ENKÖPING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8306-2021</t>
        </is>
      </c>
      <c r="B429" s="1" t="n">
        <v>44244</v>
      </c>
      <c r="C429" s="1" t="n">
        <v>46070</v>
      </c>
      <c r="D429" t="inlineStr">
        <is>
          <t>UPPSALA LÄN</t>
        </is>
      </c>
      <c r="E429" t="inlineStr">
        <is>
          <t>ENKÖPING</t>
        </is>
      </c>
      <c r="G429" t="n">
        <v>14.9</v>
      </c>
      <c r="H429" t="n">
        <v>0</v>
      </c>
      <c r="I429" t="n">
        <v>0</v>
      </c>
      <c r="J429" t="n">
        <v>0</v>
      </c>
      <c r="K429" t="n">
        <v>0</v>
      </c>
      <c r="L429" t="n">
        <v>0</v>
      </c>
      <c r="M429" t="n">
        <v>0</v>
      </c>
      <c r="N429" t="n">
        <v>0</v>
      </c>
      <c r="O429" t="n">
        <v>0</v>
      </c>
      <c r="P429" t="n">
        <v>0</v>
      </c>
      <c r="Q429" t="n">
        <v>0</v>
      </c>
      <c r="R429" s="2" t="inlineStr"/>
    </row>
    <row r="430" ht="15" customHeight="1">
      <c r="A430" t="inlineStr">
        <is>
          <t>A 57152-2021</t>
        </is>
      </c>
      <c r="B430" s="1" t="n">
        <v>44482</v>
      </c>
      <c r="C430" s="1" t="n">
        <v>46070</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34124-2021</t>
        </is>
      </c>
      <c r="B431" s="1" t="n">
        <v>44379</v>
      </c>
      <c r="C431" s="1" t="n">
        <v>46070</v>
      </c>
      <c r="D431" t="inlineStr">
        <is>
          <t>UPPSALA LÄN</t>
        </is>
      </c>
      <c r="E431" t="inlineStr">
        <is>
          <t>ENKÖPING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28518-2024</t>
        </is>
      </c>
      <c r="B432" s="1" t="n">
        <v>45477</v>
      </c>
      <c r="C432" s="1" t="n">
        <v>46070</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52299-2023</t>
        </is>
      </c>
      <c r="B433" s="1" t="n">
        <v>45224.61636574074</v>
      </c>
      <c r="C433" s="1" t="n">
        <v>46070</v>
      </c>
      <c r="D433" t="inlineStr">
        <is>
          <t>UPPSALA LÄN</t>
        </is>
      </c>
      <c r="E433" t="inlineStr">
        <is>
          <t>ENKÖPING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44763.45711805556</v>
      </c>
      <c r="C434" s="1" t="n">
        <v>46070</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46070</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14004-2023</t>
        </is>
      </c>
      <c r="B436" s="1" t="n">
        <v>45008</v>
      </c>
      <c r="C436" s="1" t="n">
        <v>46070</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46070</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46070</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49627-2024</t>
        </is>
      </c>
      <c r="B439" s="1" t="n">
        <v>45596.59140046296</v>
      </c>
      <c r="C439" s="1" t="n">
        <v>46070</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46070</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9667-2024</t>
        </is>
      </c>
      <c r="B441" s="1" t="n">
        <v>45362.45130787037</v>
      </c>
      <c r="C441" s="1" t="n">
        <v>46070</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35645-2021</t>
        </is>
      </c>
      <c r="B442" s="1" t="n">
        <v>44386.42</v>
      </c>
      <c r="C442" s="1" t="n">
        <v>46070</v>
      </c>
      <c r="D442" t="inlineStr">
        <is>
          <t>UPPSALA LÄN</t>
        </is>
      </c>
      <c r="E442" t="inlineStr">
        <is>
          <t>ENKÖPING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15711-2025</t>
        </is>
      </c>
      <c r="B443" s="1" t="n">
        <v>45748</v>
      </c>
      <c r="C443" s="1" t="n">
        <v>46070</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28318-2024</t>
        </is>
      </c>
      <c r="B444" s="1" t="n">
        <v>45477</v>
      </c>
      <c r="C444" s="1" t="n">
        <v>46070</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69344-2021</t>
        </is>
      </c>
      <c r="B445" s="1" t="n">
        <v>44531</v>
      </c>
      <c r="C445" s="1" t="n">
        <v>46070</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51524-2022</t>
        </is>
      </c>
      <c r="B446" s="1" t="n">
        <v>44869</v>
      </c>
      <c r="C446" s="1" t="n">
        <v>46070</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46103-2023</t>
        </is>
      </c>
      <c r="B447" s="1" t="n">
        <v>45190</v>
      </c>
      <c r="C447" s="1" t="n">
        <v>46070</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44827.63826388889</v>
      </c>
      <c r="C448" s="1" t="n">
        <v>46070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46070</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46070</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52380-2024</t>
        </is>
      </c>
      <c r="B451" s="1" t="n">
        <v>45609</v>
      </c>
      <c r="C451" s="1" t="n">
        <v>46070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30098-2024</t>
        </is>
      </c>
      <c r="B452" s="1" t="n">
        <v>45489.41609953704</v>
      </c>
      <c r="C452" s="1" t="n">
        <v>46070</v>
      </c>
      <c r="D452" t="inlineStr">
        <is>
          <t>UPPSALA LÄN</t>
        </is>
      </c>
      <c r="E452" t="inlineStr">
        <is>
          <t>ENKÖPING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46070</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46070</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46070</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46070</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46070</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46070</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46070</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46070</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46070</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46070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46070</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46070</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46070</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46070</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46070</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33349-2024</t>
        </is>
      </c>
      <c r="B468" s="1" t="n">
        <v>45519</v>
      </c>
      <c r="C468" s="1" t="n">
        <v>46070</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22912-2024</t>
        </is>
      </c>
      <c r="B469" s="1" t="n">
        <v>45448.73118055556</v>
      </c>
      <c r="C469" s="1" t="n">
        <v>46070</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21612-2023</t>
        </is>
      </c>
      <c r="B470" s="1" t="n">
        <v>45063</v>
      </c>
      <c r="C470" s="1" t="n">
        <v>46070</v>
      </c>
      <c r="D470" t="inlineStr">
        <is>
          <t>UPPSALA LÄN</t>
        </is>
      </c>
      <c r="E470" t="inlineStr">
        <is>
          <t>ENKÖPING</t>
        </is>
      </c>
      <c r="F470" t="inlineStr">
        <is>
          <t>Allmännings- och besparingsskogar</t>
        </is>
      </c>
      <c r="G470" t="n">
        <v>1</v>
      </c>
      <c r="H470" t="n">
        <v>0</v>
      </c>
      <c r="I470" t="n">
        <v>0</v>
      </c>
      <c r="J470" t="n">
        <v>0</v>
      </c>
      <c r="K470" t="n">
        <v>0</v>
      </c>
      <c r="L470" t="n">
        <v>0</v>
      </c>
      <c r="M470" t="n">
        <v>0</v>
      </c>
      <c r="N470" t="n">
        <v>0</v>
      </c>
      <c r="O470" t="n">
        <v>0</v>
      </c>
      <c r="P470" t="n">
        <v>0</v>
      </c>
      <c r="Q470" t="n">
        <v>0</v>
      </c>
      <c r="R470" s="2" t="inlineStr"/>
    </row>
    <row r="471" ht="15" customHeight="1">
      <c r="A471" t="inlineStr">
        <is>
          <t>A 14243-2025</t>
        </is>
      </c>
      <c r="B471" s="1" t="n">
        <v>45740.61288194444</v>
      </c>
      <c r="C471" s="1" t="n">
        <v>46070</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33343-2024</t>
        </is>
      </c>
      <c r="B472" s="1" t="n">
        <v>45519</v>
      </c>
      <c r="C472" s="1" t="n">
        <v>46070</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46070</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28243-2023</t>
        </is>
      </c>
      <c r="B474" s="1" t="n">
        <v>45099.58885416666</v>
      </c>
      <c r="C474" s="1" t="n">
        <v>46070</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3235-2025</t>
        </is>
      </c>
      <c r="B475" s="1" t="n">
        <v>45679</v>
      </c>
      <c r="C475" s="1" t="n">
        <v>46070</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41828-2024</t>
        </is>
      </c>
      <c r="B476" s="1" t="n">
        <v>45561</v>
      </c>
      <c r="C476" s="1" t="n">
        <v>46070</v>
      </c>
      <c r="D476" t="inlineStr">
        <is>
          <t>UPPSALA LÄN</t>
        </is>
      </c>
      <c r="E476" t="inlineStr">
        <is>
          <t>ENKÖPING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1536-2024</t>
        </is>
      </c>
      <c r="B477" s="1" t="n">
        <v>45306</v>
      </c>
      <c r="C477" s="1" t="n">
        <v>46070</v>
      </c>
      <c r="D477" t="inlineStr">
        <is>
          <t>UPPSALA LÄN</t>
        </is>
      </c>
      <c r="E477" t="inlineStr">
        <is>
          <t>ENKÖPING</t>
        </is>
      </c>
      <c r="F477" t="inlineStr">
        <is>
          <t>Kyrkan</t>
        </is>
      </c>
      <c r="G477" t="n">
        <v>5.6</v>
      </c>
      <c r="H477" t="n">
        <v>0</v>
      </c>
      <c r="I477" t="n">
        <v>0</v>
      </c>
      <c r="J477" t="n">
        <v>0</v>
      </c>
      <c r="K477" t="n">
        <v>0</v>
      </c>
      <c r="L477" t="n">
        <v>0</v>
      </c>
      <c r="M477" t="n">
        <v>0</v>
      </c>
      <c r="N477" t="n">
        <v>0</v>
      </c>
      <c r="O477" t="n">
        <v>0</v>
      </c>
      <c r="P477" t="n">
        <v>0</v>
      </c>
      <c r="Q477" t="n">
        <v>0</v>
      </c>
      <c r="R477" s="2" t="inlineStr"/>
    </row>
    <row r="478" ht="15" customHeight="1">
      <c r="A478" t="inlineStr">
        <is>
          <t>A 42564-2024</t>
        </is>
      </c>
      <c r="B478" s="1" t="n">
        <v>45565.63358796296</v>
      </c>
      <c r="C478" s="1" t="n">
        <v>46070</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43492-2023</t>
        </is>
      </c>
      <c r="B479" s="1" t="n">
        <v>45181</v>
      </c>
      <c r="C479" s="1" t="n">
        <v>46070</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6626-2023</t>
        </is>
      </c>
      <c r="B480" s="1" t="n">
        <v>44966.55946759259</v>
      </c>
      <c r="C480" s="1" t="n">
        <v>46070</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46070</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5013-2025</t>
        </is>
      </c>
      <c r="B482" s="1" t="n">
        <v>45691</v>
      </c>
      <c r="C482" s="1" t="n">
        <v>46070</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37170-2021</t>
        </is>
      </c>
      <c r="B483" s="1" t="n">
        <v>44395</v>
      </c>
      <c r="C483" s="1" t="n">
        <v>46070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58147-2024</t>
        </is>
      </c>
      <c r="B484" s="1" t="n">
        <v>45632.4334375</v>
      </c>
      <c r="C484" s="1" t="n">
        <v>46070</v>
      </c>
      <c r="D484" t="inlineStr">
        <is>
          <t>UPPSALA LÄN</t>
        </is>
      </c>
      <c r="E484" t="inlineStr">
        <is>
          <t>ENKÖPING</t>
        </is>
      </c>
      <c r="G484" t="n">
        <v>3</v>
      </c>
      <c r="H484" t="n">
        <v>0</v>
      </c>
      <c r="I484" t="n">
        <v>0</v>
      </c>
      <c r="J484" t="n">
        <v>0</v>
      </c>
      <c r="K484" t="n">
        <v>0</v>
      </c>
      <c r="L484" t="n">
        <v>0</v>
      </c>
      <c r="M484" t="n">
        <v>0</v>
      </c>
      <c r="N484" t="n">
        <v>0</v>
      </c>
      <c r="O484" t="n">
        <v>0</v>
      </c>
      <c r="P484" t="n">
        <v>0</v>
      </c>
      <c r="Q484" t="n">
        <v>0</v>
      </c>
      <c r="R484" s="2" t="inlineStr"/>
    </row>
    <row r="485" ht="15" customHeight="1">
      <c r="A485" t="inlineStr">
        <is>
          <t>A 3550-2023</t>
        </is>
      </c>
      <c r="B485" s="1" t="n">
        <v>44950</v>
      </c>
      <c r="C485" s="1" t="n">
        <v>46070</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19014-2025</t>
        </is>
      </c>
      <c r="B486" s="1" t="n">
        <v>45764.59631944444</v>
      </c>
      <c r="C486" s="1" t="n">
        <v>46070</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12958-2024</t>
        </is>
      </c>
      <c r="B487" s="1" t="n">
        <v>45385</v>
      </c>
      <c r="C487" s="1" t="n">
        <v>46070</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1651-2024</t>
        </is>
      </c>
      <c r="B488" s="1" t="n">
        <v>45306.73770833333</v>
      </c>
      <c r="C488" s="1" t="n">
        <v>46070</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row r="489" ht="15" customHeight="1">
      <c r="A489" t="inlineStr">
        <is>
          <t>A 51012-2024</t>
        </is>
      </c>
      <c r="B489" s="1" t="n">
        <v>45603.39686342593</v>
      </c>
      <c r="C489" s="1" t="n">
        <v>46070</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57940-2022</t>
        </is>
      </c>
      <c r="B490" s="1" t="n">
        <v>44900</v>
      </c>
      <c r="C490" s="1" t="n">
        <v>46070</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63310-2021</t>
        </is>
      </c>
      <c r="B491" s="1" t="n">
        <v>44508</v>
      </c>
      <c r="C491" s="1" t="n">
        <v>46070</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20440-2025</t>
        </is>
      </c>
      <c r="B492" s="1" t="n">
        <v>45775</v>
      </c>
      <c r="C492" s="1" t="n">
        <v>46070</v>
      </c>
      <c r="D492" t="inlineStr">
        <is>
          <t>UPPSALA LÄN</t>
        </is>
      </c>
      <c r="E492" t="inlineStr">
        <is>
          <t>ENKÖPING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19488-2022</t>
        </is>
      </c>
      <c r="B493" s="1" t="n">
        <v>44693</v>
      </c>
      <c r="C493" s="1" t="n">
        <v>46070</v>
      </c>
      <c r="D493" t="inlineStr">
        <is>
          <t>UPPSALA LÄN</t>
        </is>
      </c>
      <c r="E493" t="inlineStr">
        <is>
          <t>ENKÖPING</t>
        </is>
      </c>
      <c r="G493" t="n">
        <v>7.8</v>
      </c>
      <c r="H493" t="n">
        <v>0</v>
      </c>
      <c r="I493" t="n">
        <v>0</v>
      </c>
      <c r="J493" t="n">
        <v>0</v>
      </c>
      <c r="K493" t="n">
        <v>0</v>
      </c>
      <c r="L493" t="n">
        <v>0</v>
      </c>
      <c r="M493" t="n">
        <v>0</v>
      </c>
      <c r="N493" t="n">
        <v>0</v>
      </c>
      <c r="O493" t="n">
        <v>0</v>
      </c>
      <c r="P493" t="n">
        <v>0</v>
      </c>
      <c r="Q493" t="n">
        <v>0</v>
      </c>
      <c r="R493" s="2" t="inlineStr"/>
    </row>
    <row r="494" ht="15" customHeight="1">
      <c r="A494" t="inlineStr">
        <is>
          <t>A 5188-2022</t>
        </is>
      </c>
      <c r="B494" s="1" t="n">
        <v>44594.4471412037</v>
      </c>
      <c r="C494" s="1" t="n">
        <v>46070</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31622-2022</t>
        </is>
      </c>
      <c r="B495" s="1" t="n">
        <v>44775</v>
      </c>
      <c r="C495" s="1" t="n">
        <v>46070</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46070</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59602-2024</t>
        </is>
      </c>
      <c r="B497" s="1" t="n">
        <v>45638</v>
      </c>
      <c r="C497" s="1" t="n">
        <v>46070</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44131-2023</t>
        </is>
      </c>
      <c r="B498" s="1" t="n">
        <v>45188</v>
      </c>
      <c r="C498" s="1" t="n">
        <v>46070</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60533-2021</t>
        </is>
      </c>
      <c r="B499" s="1" t="n">
        <v>44496</v>
      </c>
      <c r="C499" s="1" t="n">
        <v>46070</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35052-2024</t>
        </is>
      </c>
      <c r="B500" s="1" t="n">
        <v>45527.6516087963</v>
      </c>
      <c r="C500" s="1" t="n">
        <v>46070</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51008-2024</t>
        </is>
      </c>
      <c r="B501" s="1" t="n">
        <v>45603.39041666667</v>
      </c>
      <c r="C501" s="1" t="n">
        <v>46070</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46070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22150-2025</t>
        </is>
      </c>
      <c r="B503" s="1" t="n">
        <v>45785.56398148148</v>
      </c>
      <c r="C503" s="1" t="n">
        <v>46070</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30087-2024</t>
        </is>
      </c>
      <c r="B504" s="1" t="n">
        <v>45489.39447916667</v>
      </c>
      <c r="C504" s="1" t="n">
        <v>46070</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54776-2024</t>
        </is>
      </c>
      <c r="B505" s="1" t="n">
        <v>45618</v>
      </c>
      <c r="C505" s="1" t="n">
        <v>46070</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46070</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14518-2025</t>
        </is>
      </c>
      <c r="B507" s="1" t="n">
        <v>45741</v>
      </c>
      <c r="C507" s="1" t="n">
        <v>46070</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22677-2025</t>
        </is>
      </c>
      <c r="B508" s="1" t="n">
        <v>45789.49515046296</v>
      </c>
      <c r="C508" s="1" t="n">
        <v>46070</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22679-2025</t>
        </is>
      </c>
      <c r="B509" s="1" t="n">
        <v>45789.49747685185</v>
      </c>
      <c r="C509" s="1" t="n">
        <v>46070</v>
      </c>
      <c r="D509" t="inlineStr">
        <is>
          <t>UPPSALA LÄN</t>
        </is>
      </c>
      <c r="E509" t="inlineStr">
        <is>
          <t>ENKÖPING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22770-2025</t>
        </is>
      </c>
      <c r="B510" s="1" t="n">
        <v>45789.63454861111</v>
      </c>
      <c r="C510" s="1" t="n">
        <v>46070</v>
      </c>
      <c r="D510" t="inlineStr">
        <is>
          <t>UPPSALA LÄN</t>
        </is>
      </c>
      <c r="E510" t="inlineStr">
        <is>
          <t>ENKÖPING</t>
        </is>
      </c>
      <c r="G510" t="n">
        <v>4.5</v>
      </c>
      <c r="H510" t="n">
        <v>0</v>
      </c>
      <c r="I510" t="n">
        <v>0</v>
      </c>
      <c r="J510" t="n">
        <v>0</v>
      </c>
      <c r="K510" t="n">
        <v>0</v>
      </c>
      <c r="L510" t="n">
        <v>0</v>
      </c>
      <c r="M510" t="n">
        <v>0</v>
      </c>
      <c r="N510" t="n">
        <v>0</v>
      </c>
      <c r="O510" t="n">
        <v>0</v>
      </c>
      <c r="P510" t="n">
        <v>0</v>
      </c>
      <c r="Q510" t="n">
        <v>0</v>
      </c>
      <c r="R510" s="2" t="inlineStr"/>
    </row>
    <row r="511" ht="15" customHeight="1">
      <c r="A511" t="inlineStr">
        <is>
          <t>A 22800-2025</t>
        </is>
      </c>
      <c r="B511" s="1" t="n">
        <v>45789.6669212963</v>
      </c>
      <c r="C511" s="1" t="n">
        <v>46070</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6981-2025</t>
        </is>
      </c>
      <c r="B512" s="1" t="n">
        <v>45701</v>
      </c>
      <c r="C512" s="1" t="n">
        <v>46070</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22786-2025</t>
        </is>
      </c>
      <c r="B513" s="1" t="n">
        <v>45789.64643518518</v>
      </c>
      <c r="C513" s="1" t="n">
        <v>46070</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68123-2021</t>
        </is>
      </c>
      <c r="B514" s="1" t="n">
        <v>44526.39126157408</v>
      </c>
      <c r="C514" s="1" t="n">
        <v>46070</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22680-2025</t>
        </is>
      </c>
      <c r="B515" s="1" t="n">
        <v>45789.5005787037</v>
      </c>
      <c r="C515" s="1" t="n">
        <v>46070</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c r="A516" t="inlineStr">
        <is>
          <t>A 22802-2025</t>
        </is>
      </c>
      <c r="B516" s="1" t="n">
        <v>45789.6686574074</v>
      </c>
      <c r="C516" s="1" t="n">
        <v>46070</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2026-02-17T11:38:47Z</dcterms:created>
  <dcterms:modified xmlns:dcterms="http://purl.org/dc/terms/" xmlns:xsi="http://www.w3.org/2001/XMLSchema-instance" xsi:type="dcterms:W3CDTF">2026-02-17T11:38:48Z</dcterms:modified>
</cp:coreProperties>
</file>